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14" i="1" l="1"/>
  <c r="CY114" i="1"/>
  <c r="CW114" i="1"/>
  <c r="CX114" i="1" s="1"/>
  <c r="AY114" i="1" s="1"/>
  <c r="BA114" i="1" s="1"/>
  <c r="BL114" i="1"/>
  <c r="BK114" i="1"/>
  <c r="BI114" i="1"/>
  <c r="BM114" i="1" s="1"/>
  <c r="BN114" i="1" s="1"/>
  <c r="BG114" i="1"/>
  <c r="BJ114" i="1" s="1"/>
  <c r="BC114" i="1"/>
  <c r="AW114" i="1"/>
  <c r="AQ114" i="1"/>
  <c r="BD114" i="1" s="1"/>
  <c r="AL114" i="1"/>
  <c r="AJ114" i="1"/>
  <c r="AB114" i="1"/>
  <c r="Z114" i="1" s="1"/>
  <c r="AA114" i="1"/>
  <c r="S114" i="1"/>
  <c r="CZ113" i="1"/>
  <c r="V113" i="1" s="1"/>
  <c r="CY113" i="1"/>
  <c r="CX113" i="1"/>
  <c r="AY113" i="1" s="1"/>
  <c r="CW113" i="1"/>
  <c r="BL113" i="1"/>
  <c r="BK113" i="1"/>
  <c r="BG113" i="1"/>
  <c r="BI113" i="1" s="1"/>
  <c r="BM113" i="1" s="1"/>
  <c r="BN113" i="1" s="1"/>
  <c r="BC113" i="1"/>
  <c r="AW113" i="1"/>
  <c r="BA113" i="1" s="1"/>
  <c r="AQ113" i="1"/>
  <c r="BD113" i="1" s="1"/>
  <c r="AL113" i="1"/>
  <c r="AJ113" i="1"/>
  <c r="AB113" i="1"/>
  <c r="AA113" i="1"/>
  <c r="Z113" i="1"/>
  <c r="S113" i="1"/>
  <c r="CZ112" i="1"/>
  <c r="V112" i="1" s="1"/>
  <c r="CY112" i="1"/>
  <c r="CX112" i="1"/>
  <c r="AY112" i="1" s="1"/>
  <c r="CW112" i="1"/>
  <c r="BL112" i="1"/>
  <c r="BK112" i="1"/>
  <c r="BJ112" i="1"/>
  <c r="BI112" i="1"/>
  <c r="BM112" i="1" s="1"/>
  <c r="BN112" i="1" s="1"/>
  <c r="BH112" i="1"/>
  <c r="BG112" i="1"/>
  <c r="BD112" i="1"/>
  <c r="BC112" i="1"/>
  <c r="AW112" i="1"/>
  <c r="BA112" i="1" s="1"/>
  <c r="AQ112" i="1"/>
  <c r="AL112" i="1"/>
  <c r="AJ112" i="1" s="1"/>
  <c r="AB112" i="1"/>
  <c r="AA112" i="1"/>
  <c r="S112" i="1"/>
  <c r="CZ111" i="1"/>
  <c r="V111" i="1" s="1"/>
  <c r="CY111" i="1"/>
  <c r="CX111" i="1" s="1"/>
  <c r="CW111" i="1"/>
  <c r="BL111" i="1"/>
  <c r="BK111" i="1"/>
  <c r="BJ111" i="1"/>
  <c r="BI111" i="1"/>
  <c r="BM111" i="1" s="1"/>
  <c r="BN111" i="1" s="1"/>
  <c r="BH111" i="1"/>
  <c r="BG111" i="1"/>
  <c r="BC111" i="1"/>
  <c r="AY111" i="1"/>
  <c r="AW111" i="1"/>
  <c r="BA111" i="1" s="1"/>
  <c r="AQ111" i="1"/>
  <c r="BD111" i="1" s="1"/>
  <c r="AL111" i="1"/>
  <c r="AJ111" i="1" s="1"/>
  <c r="AB111" i="1"/>
  <c r="Z111" i="1" s="1"/>
  <c r="AA111" i="1"/>
  <c r="S111" i="1"/>
  <c r="L111" i="1"/>
  <c r="K111" i="1" s="1"/>
  <c r="AD111" i="1" s="1"/>
  <c r="CZ110" i="1"/>
  <c r="CY110" i="1"/>
  <c r="CX110" i="1"/>
  <c r="AY110" i="1" s="1"/>
  <c r="CW110" i="1"/>
  <c r="BM110" i="1"/>
  <c r="BN110" i="1" s="1"/>
  <c r="BL110" i="1"/>
  <c r="BK110" i="1"/>
  <c r="BI110" i="1"/>
  <c r="BH110" i="1"/>
  <c r="BG110" i="1"/>
  <c r="BJ110" i="1" s="1"/>
  <c r="BC110" i="1"/>
  <c r="AW110" i="1"/>
  <c r="AQ110" i="1"/>
  <c r="BD110" i="1" s="1"/>
  <c r="AL110" i="1"/>
  <c r="AJ110" i="1"/>
  <c r="AB110" i="1"/>
  <c r="Z110" i="1" s="1"/>
  <c r="AA110" i="1"/>
  <c r="V110" i="1"/>
  <c r="S110" i="1"/>
  <c r="M110" i="1"/>
  <c r="AZ110" i="1" s="1"/>
  <c r="BB110" i="1" s="1"/>
  <c r="CZ109" i="1"/>
  <c r="CY109" i="1"/>
  <c r="CW109" i="1"/>
  <c r="BM109" i="1"/>
  <c r="BN109" i="1" s="1"/>
  <c r="BL109" i="1"/>
  <c r="BK109" i="1"/>
  <c r="BJ109" i="1"/>
  <c r="BG109" i="1"/>
  <c r="BI109" i="1" s="1"/>
  <c r="BD109" i="1"/>
  <c r="BC109" i="1"/>
  <c r="AW109" i="1"/>
  <c r="AQ109" i="1"/>
  <c r="AL109" i="1"/>
  <c r="AJ109" i="1" s="1"/>
  <c r="AK109" i="1"/>
  <c r="AB109" i="1"/>
  <c r="AA109" i="1"/>
  <c r="Z109" i="1"/>
  <c r="S109" i="1"/>
  <c r="Q109" i="1"/>
  <c r="N109" i="1"/>
  <c r="CZ108" i="1"/>
  <c r="CY108" i="1"/>
  <c r="CX108" i="1"/>
  <c r="AY108" i="1" s="1"/>
  <c r="CW108" i="1"/>
  <c r="BN108" i="1"/>
  <c r="BL108" i="1"/>
  <c r="BK108" i="1"/>
  <c r="BJ108" i="1"/>
  <c r="BI108" i="1"/>
  <c r="BM108" i="1" s="1"/>
  <c r="BH108" i="1"/>
  <c r="BG108" i="1"/>
  <c r="BD108" i="1"/>
  <c r="BC108" i="1"/>
  <c r="BA108" i="1"/>
  <c r="AW108" i="1"/>
  <c r="AQ108" i="1"/>
  <c r="AL108" i="1"/>
  <c r="AJ108" i="1" s="1"/>
  <c r="AB108" i="1"/>
  <c r="AA108" i="1"/>
  <c r="Z108" i="1" s="1"/>
  <c r="V108" i="1"/>
  <c r="S108" i="1"/>
  <c r="CZ107" i="1"/>
  <c r="CY107" i="1"/>
  <c r="CW107" i="1"/>
  <c r="V107" i="1" s="1"/>
  <c r="BN107" i="1"/>
  <c r="BL107" i="1"/>
  <c r="BK107" i="1"/>
  <c r="BJ107" i="1"/>
  <c r="BI107" i="1"/>
  <c r="BM107" i="1" s="1"/>
  <c r="BH107" i="1"/>
  <c r="BG107" i="1"/>
  <c r="BD107" i="1"/>
  <c r="BC107" i="1"/>
  <c r="AW107" i="1"/>
  <c r="AQ107" i="1"/>
  <c r="AL107" i="1"/>
  <c r="AJ107" i="1"/>
  <c r="M107" i="1" s="1"/>
  <c r="AZ107" i="1" s="1"/>
  <c r="AB107" i="1"/>
  <c r="AA107" i="1"/>
  <c r="Z107" i="1"/>
  <c r="S107" i="1"/>
  <c r="CZ106" i="1"/>
  <c r="CY106" i="1"/>
  <c r="CW106" i="1"/>
  <c r="V106" i="1" s="1"/>
  <c r="BL106" i="1"/>
  <c r="BK106" i="1"/>
  <c r="BI106" i="1"/>
  <c r="BM106" i="1" s="1"/>
  <c r="BN106" i="1" s="1"/>
  <c r="BG106" i="1"/>
  <c r="BJ106" i="1" s="1"/>
  <c r="BD106" i="1"/>
  <c r="BC106" i="1"/>
  <c r="AW106" i="1"/>
  <c r="AQ106" i="1"/>
  <c r="AL106" i="1"/>
  <c r="AJ106" i="1" s="1"/>
  <c r="AK106" i="1" s="1"/>
  <c r="AB106" i="1"/>
  <c r="AA106" i="1"/>
  <c r="Z106" i="1"/>
  <c r="S106" i="1"/>
  <c r="CZ105" i="1"/>
  <c r="V105" i="1" s="1"/>
  <c r="CY105" i="1"/>
  <c r="CX105" i="1"/>
  <c r="AY105" i="1" s="1"/>
  <c r="CW105" i="1"/>
  <c r="BL105" i="1"/>
  <c r="BK105" i="1"/>
  <c r="BG105" i="1"/>
  <c r="BC105" i="1"/>
  <c r="AW105" i="1"/>
  <c r="BA105" i="1" s="1"/>
  <c r="AQ105" i="1"/>
  <c r="BD105" i="1" s="1"/>
  <c r="AL105" i="1"/>
  <c r="AJ105" i="1"/>
  <c r="L105" i="1" s="1"/>
  <c r="K105" i="1" s="1"/>
  <c r="AB105" i="1"/>
  <c r="AA105" i="1"/>
  <c r="Z105" i="1" s="1"/>
  <c r="S105" i="1"/>
  <c r="CZ104" i="1"/>
  <c r="CY104" i="1"/>
  <c r="CX104" i="1" s="1"/>
  <c r="CW104" i="1"/>
  <c r="BL104" i="1"/>
  <c r="BK104" i="1"/>
  <c r="BJ104" i="1"/>
  <c r="BI104" i="1"/>
  <c r="BM104" i="1" s="1"/>
  <c r="BN104" i="1" s="1"/>
  <c r="BH104" i="1"/>
  <c r="BG104" i="1"/>
  <c r="BD104" i="1"/>
  <c r="BC104" i="1"/>
  <c r="AY104" i="1"/>
  <c r="BA104" i="1" s="1"/>
  <c r="AW104" i="1"/>
  <c r="AQ104" i="1"/>
  <c r="AL104" i="1"/>
  <c r="AJ104" i="1"/>
  <c r="AB104" i="1"/>
  <c r="Z104" i="1" s="1"/>
  <c r="AA104" i="1"/>
  <c r="V104" i="1"/>
  <c r="S104" i="1"/>
  <c r="L104" i="1"/>
  <c r="K104" i="1" s="1"/>
  <c r="CZ103" i="1"/>
  <c r="CY103" i="1"/>
  <c r="CW103" i="1"/>
  <c r="CX103" i="1" s="1"/>
  <c r="BL103" i="1"/>
  <c r="BK103" i="1"/>
  <c r="BI103" i="1"/>
  <c r="BM103" i="1" s="1"/>
  <c r="BN103" i="1" s="1"/>
  <c r="BG103" i="1"/>
  <c r="BJ103" i="1" s="1"/>
  <c r="BD103" i="1"/>
  <c r="BC103" i="1"/>
  <c r="AY103" i="1"/>
  <c r="BA103" i="1" s="1"/>
  <c r="AW103" i="1"/>
  <c r="AQ103" i="1"/>
  <c r="AL103" i="1"/>
  <c r="AJ103" i="1" s="1"/>
  <c r="N103" i="1" s="1"/>
  <c r="AB103" i="1"/>
  <c r="AA103" i="1"/>
  <c r="Z103" i="1"/>
  <c r="S103" i="1"/>
  <c r="CZ102" i="1"/>
  <c r="CY102" i="1"/>
  <c r="CW102" i="1"/>
  <c r="BL102" i="1"/>
  <c r="BK102" i="1"/>
  <c r="BJ102" i="1"/>
  <c r="BG102" i="1"/>
  <c r="BC102" i="1"/>
  <c r="AW102" i="1"/>
  <c r="AQ102" i="1"/>
  <c r="BD102" i="1" s="1"/>
  <c r="AL102" i="1"/>
  <c r="AJ102" i="1"/>
  <c r="L102" i="1" s="1"/>
  <c r="K102" i="1" s="1"/>
  <c r="AB102" i="1"/>
  <c r="AA102" i="1"/>
  <c r="Z102" i="1" s="1"/>
  <c r="S102" i="1"/>
  <c r="CZ101" i="1"/>
  <c r="CY101" i="1"/>
  <c r="CW101" i="1"/>
  <c r="CX101" i="1" s="1"/>
  <c r="AY101" i="1" s="1"/>
  <c r="BM101" i="1"/>
  <c r="BN101" i="1" s="1"/>
  <c r="BL101" i="1"/>
  <c r="BK101" i="1"/>
  <c r="BJ101" i="1"/>
  <c r="BH101" i="1"/>
  <c r="BG101" i="1"/>
  <c r="BI101" i="1" s="1"/>
  <c r="BC101" i="1"/>
  <c r="BA101" i="1"/>
  <c r="AW101" i="1"/>
  <c r="AQ101" i="1"/>
  <c r="BD101" i="1" s="1"/>
  <c r="AL101" i="1"/>
  <c r="AJ101" i="1" s="1"/>
  <c r="AK101" i="1" s="1"/>
  <c r="AB101" i="1"/>
  <c r="AA101" i="1"/>
  <c r="Z101" i="1"/>
  <c r="V101" i="1"/>
  <c r="S101" i="1"/>
  <c r="Q101" i="1"/>
  <c r="CZ100" i="1"/>
  <c r="V100" i="1" s="1"/>
  <c r="CY100" i="1"/>
  <c r="CX100" i="1"/>
  <c r="AY100" i="1" s="1"/>
  <c r="CW100" i="1"/>
  <c r="BM100" i="1"/>
  <c r="BN100" i="1" s="1"/>
  <c r="BL100" i="1"/>
  <c r="BK100" i="1"/>
  <c r="BJ100" i="1"/>
  <c r="BI100" i="1"/>
  <c r="BH100" i="1"/>
  <c r="BG100" i="1"/>
  <c r="BD100" i="1"/>
  <c r="BC100" i="1"/>
  <c r="AW100" i="1"/>
  <c r="BA100" i="1" s="1"/>
  <c r="AQ100" i="1"/>
  <c r="AL100" i="1"/>
  <c r="AJ100" i="1"/>
  <c r="Q100" i="1" s="1"/>
  <c r="AB100" i="1"/>
  <c r="AA100" i="1"/>
  <c r="Z100" i="1"/>
  <c r="S100" i="1"/>
  <c r="CZ99" i="1"/>
  <c r="CY99" i="1"/>
  <c r="CW99" i="1"/>
  <c r="V99" i="1" s="1"/>
  <c r="BL99" i="1"/>
  <c r="BK99" i="1"/>
  <c r="BJ99" i="1"/>
  <c r="BG99" i="1"/>
  <c r="BC99" i="1"/>
  <c r="AW99" i="1"/>
  <c r="AQ99" i="1"/>
  <c r="BD99" i="1" s="1"/>
  <c r="AL99" i="1"/>
  <c r="AJ99" i="1" s="1"/>
  <c r="Q99" i="1" s="1"/>
  <c r="AB99" i="1"/>
  <c r="Z99" i="1" s="1"/>
  <c r="AA99" i="1"/>
  <c r="S99" i="1"/>
  <c r="CZ98" i="1"/>
  <c r="CY98" i="1"/>
  <c r="CX98" i="1"/>
  <c r="AY98" i="1" s="1"/>
  <c r="CW98" i="1"/>
  <c r="BL98" i="1"/>
  <c r="BK98" i="1"/>
  <c r="BJ98" i="1"/>
  <c r="BI98" i="1"/>
  <c r="BM98" i="1" s="1"/>
  <c r="BN98" i="1" s="1"/>
  <c r="BH98" i="1"/>
  <c r="BG98" i="1"/>
  <c r="BC98" i="1"/>
  <c r="AW98" i="1"/>
  <c r="AQ98" i="1"/>
  <c r="BD98" i="1" s="1"/>
  <c r="AL98" i="1"/>
  <c r="AJ98" i="1" s="1"/>
  <c r="AK98" i="1" s="1"/>
  <c r="AB98" i="1"/>
  <c r="AA98" i="1"/>
  <c r="Z98" i="1"/>
  <c r="V98" i="1"/>
  <c r="S98" i="1"/>
  <c r="CZ97" i="1"/>
  <c r="CY97" i="1"/>
  <c r="CX97" i="1"/>
  <c r="AY97" i="1" s="1"/>
  <c r="BA97" i="1" s="1"/>
  <c r="CW97" i="1"/>
  <c r="BL97" i="1"/>
  <c r="BK97" i="1"/>
  <c r="BG97" i="1"/>
  <c r="BC97" i="1"/>
  <c r="AW97" i="1"/>
  <c r="AQ97" i="1"/>
  <c r="BD97" i="1" s="1"/>
  <c r="AL97" i="1"/>
  <c r="AJ97" i="1" s="1"/>
  <c r="AB97" i="1"/>
  <c r="AA97" i="1"/>
  <c r="Z97" i="1" s="1"/>
  <c r="V97" i="1"/>
  <c r="S97" i="1"/>
  <c r="CZ96" i="1"/>
  <c r="CY96" i="1"/>
  <c r="CX96" i="1" s="1"/>
  <c r="CW96" i="1"/>
  <c r="BL96" i="1"/>
  <c r="BK96" i="1"/>
  <c r="BJ96" i="1"/>
  <c r="BI96" i="1"/>
  <c r="BM96" i="1" s="1"/>
  <c r="BN96" i="1" s="1"/>
  <c r="BH96" i="1"/>
  <c r="BG96" i="1"/>
  <c r="BD96" i="1"/>
  <c r="BC96" i="1"/>
  <c r="AY96" i="1"/>
  <c r="BA96" i="1" s="1"/>
  <c r="AW96" i="1"/>
  <c r="AQ96" i="1"/>
  <c r="AL96" i="1"/>
  <c r="AJ96" i="1" s="1"/>
  <c r="AB96" i="1"/>
  <c r="AA96" i="1"/>
  <c r="Z96" i="1" s="1"/>
  <c r="V96" i="1"/>
  <c r="S96" i="1"/>
  <c r="Q96" i="1"/>
  <c r="CZ95" i="1"/>
  <c r="CY95" i="1"/>
  <c r="CW95" i="1"/>
  <c r="V95" i="1" s="1"/>
  <c r="BN95" i="1"/>
  <c r="BL95" i="1"/>
  <c r="BK95" i="1"/>
  <c r="BI95" i="1"/>
  <c r="BM95" i="1" s="1"/>
  <c r="BH95" i="1"/>
  <c r="BG95" i="1"/>
  <c r="BJ95" i="1" s="1"/>
  <c r="BC95" i="1"/>
  <c r="AW95" i="1"/>
  <c r="AQ95" i="1"/>
  <c r="BD95" i="1" s="1"/>
  <c r="AL95" i="1"/>
  <c r="AJ95" i="1" s="1"/>
  <c r="AB95" i="1"/>
  <c r="Z95" i="1" s="1"/>
  <c r="AA95" i="1"/>
  <c r="S95" i="1"/>
  <c r="CZ94" i="1"/>
  <c r="CY94" i="1"/>
  <c r="CW94" i="1"/>
  <c r="BL94" i="1"/>
  <c r="BK94" i="1"/>
  <c r="BJ94" i="1"/>
  <c r="BG94" i="1"/>
  <c r="BH94" i="1" s="1"/>
  <c r="BC94" i="1"/>
  <c r="AZ94" i="1"/>
  <c r="AW94" i="1"/>
  <c r="AQ94" i="1"/>
  <c r="BD94" i="1" s="1"/>
  <c r="AL94" i="1"/>
  <c r="AJ94" i="1"/>
  <c r="AB94" i="1"/>
  <c r="AA94" i="1"/>
  <c r="Z94" i="1" s="1"/>
  <c r="S94" i="1"/>
  <c r="M94" i="1"/>
  <c r="L94" i="1"/>
  <c r="K94" i="1"/>
  <c r="AD94" i="1" s="1"/>
  <c r="CZ93" i="1"/>
  <c r="CY93" i="1"/>
  <c r="CW93" i="1"/>
  <c r="CX93" i="1" s="1"/>
  <c r="AY93" i="1" s="1"/>
  <c r="BA93" i="1" s="1"/>
  <c r="BN93" i="1"/>
  <c r="BM93" i="1"/>
  <c r="BL93" i="1"/>
  <c r="BK93" i="1"/>
  <c r="BJ93" i="1"/>
  <c r="BH93" i="1"/>
  <c r="BG93" i="1"/>
  <c r="BI93" i="1" s="1"/>
  <c r="BC93" i="1"/>
  <c r="AW93" i="1"/>
  <c r="AQ93" i="1"/>
  <c r="BD93" i="1" s="1"/>
  <c r="AL93" i="1"/>
  <c r="AK93" i="1"/>
  <c r="AJ93" i="1"/>
  <c r="L93" i="1" s="1"/>
  <c r="K93" i="1" s="1"/>
  <c r="AB93" i="1"/>
  <c r="Z93" i="1" s="1"/>
  <c r="AA93" i="1"/>
  <c r="S93" i="1"/>
  <c r="Q93" i="1"/>
  <c r="N93" i="1"/>
  <c r="M93" i="1"/>
  <c r="AZ93" i="1" s="1"/>
  <c r="BB93" i="1" s="1"/>
  <c r="CZ92" i="1"/>
  <c r="V92" i="1" s="1"/>
  <c r="CY92" i="1"/>
  <c r="CX92" i="1"/>
  <c r="AY92" i="1" s="1"/>
  <c r="CW92" i="1"/>
  <c r="BN92" i="1"/>
  <c r="BM92" i="1"/>
  <c r="BL92" i="1"/>
  <c r="BK92" i="1"/>
  <c r="BJ92" i="1"/>
  <c r="BI92" i="1"/>
  <c r="BH92" i="1"/>
  <c r="BG92" i="1"/>
  <c r="BD92" i="1"/>
  <c r="BC92" i="1"/>
  <c r="AW92" i="1"/>
  <c r="AQ92" i="1"/>
  <c r="AL92" i="1"/>
  <c r="AK92" i="1"/>
  <c r="AJ92" i="1"/>
  <c r="N92" i="1" s="1"/>
  <c r="AB92" i="1"/>
  <c r="AA92" i="1"/>
  <c r="Z92" i="1" s="1"/>
  <c r="S92" i="1"/>
  <c r="CZ91" i="1"/>
  <c r="CY91" i="1"/>
  <c r="CW91" i="1"/>
  <c r="BL91" i="1"/>
  <c r="BK91" i="1"/>
  <c r="BJ91" i="1"/>
  <c r="BI91" i="1"/>
  <c r="BM91" i="1" s="1"/>
  <c r="BN91" i="1" s="1"/>
  <c r="BH91" i="1"/>
  <c r="BG91" i="1"/>
  <c r="BC91" i="1"/>
  <c r="AW91" i="1"/>
  <c r="AQ91" i="1"/>
  <c r="BD91" i="1" s="1"/>
  <c r="AL91" i="1"/>
  <c r="AK91" i="1"/>
  <c r="AJ91" i="1"/>
  <c r="L91" i="1" s="1"/>
  <c r="K91" i="1" s="1"/>
  <c r="AB91" i="1"/>
  <c r="AA91" i="1"/>
  <c r="Z91" i="1" s="1"/>
  <c r="V91" i="1"/>
  <c r="S91" i="1"/>
  <c r="N91" i="1"/>
  <c r="M91" i="1"/>
  <c r="AZ91" i="1" s="1"/>
  <c r="CZ90" i="1"/>
  <c r="CY90" i="1"/>
  <c r="CW90" i="1"/>
  <c r="CX90" i="1" s="1"/>
  <c r="AY90" i="1" s="1"/>
  <c r="BA90" i="1" s="1"/>
  <c r="BN90" i="1"/>
  <c r="BM90" i="1"/>
  <c r="BL90" i="1"/>
  <c r="BK90" i="1"/>
  <c r="BJ90" i="1"/>
  <c r="BG90" i="1"/>
  <c r="BI90" i="1" s="1"/>
  <c r="BD90" i="1"/>
  <c r="BC90" i="1"/>
  <c r="AW90" i="1"/>
  <c r="AQ90" i="1"/>
  <c r="AL90" i="1"/>
  <c r="AJ90" i="1" s="1"/>
  <c r="AK90" i="1"/>
  <c r="AB90" i="1"/>
  <c r="AA90" i="1"/>
  <c r="Z90" i="1" s="1"/>
  <c r="S90" i="1"/>
  <c r="CZ89" i="1"/>
  <c r="CY89" i="1"/>
  <c r="CX89" i="1" s="1"/>
  <c r="AY89" i="1" s="1"/>
  <c r="BA89" i="1" s="1"/>
  <c r="CW89" i="1"/>
  <c r="BL89" i="1"/>
  <c r="BK89" i="1"/>
  <c r="BJ89" i="1"/>
  <c r="BI89" i="1"/>
  <c r="BM89" i="1" s="1"/>
  <c r="BN89" i="1" s="1"/>
  <c r="BH89" i="1"/>
  <c r="BG89" i="1"/>
  <c r="BC89" i="1"/>
  <c r="AW89" i="1"/>
  <c r="AQ89" i="1"/>
  <c r="BD89" i="1" s="1"/>
  <c r="AL89" i="1"/>
  <c r="AJ89" i="1"/>
  <c r="AB89" i="1"/>
  <c r="AA89" i="1"/>
  <c r="Z89" i="1"/>
  <c r="V89" i="1"/>
  <c r="S89" i="1"/>
  <c r="Q89" i="1"/>
  <c r="CZ88" i="1"/>
  <c r="CY88" i="1"/>
  <c r="CW88" i="1"/>
  <c r="CX88" i="1" s="1"/>
  <c r="BL88" i="1"/>
  <c r="BK88" i="1"/>
  <c r="BJ88" i="1"/>
  <c r="BI88" i="1"/>
  <c r="BM88" i="1" s="1"/>
  <c r="BN88" i="1" s="1"/>
  <c r="BG88" i="1"/>
  <c r="BH88" i="1" s="1"/>
  <c r="BC88" i="1"/>
  <c r="AY88" i="1"/>
  <c r="BA88" i="1" s="1"/>
  <c r="AW88" i="1"/>
  <c r="AQ88" i="1"/>
  <c r="BD88" i="1" s="1"/>
  <c r="AL88" i="1"/>
  <c r="AJ88" i="1" s="1"/>
  <c r="AB88" i="1"/>
  <c r="AA88" i="1"/>
  <c r="Z88" i="1" s="1"/>
  <c r="S88" i="1"/>
  <c r="CZ87" i="1"/>
  <c r="CY87" i="1"/>
  <c r="CW87" i="1"/>
  <c r="CX87" i="1" s="1"/>
  <c r="AY87" i="1" s="1"/>
  <c r="BL87" i="1"/>
  <c r="BK87" i="1"/>
  <c r="BG87" i="1"/>
  <c r="BC87" i="1"/>
  <c r="AW87" i="1"/>
  <c r="AQ87" i="1"/>
  <c r="BD87" i="1" s="1"/>
  <c r="AL87" i="1"/>
  <c r="AK87" i="1"/>
  <c r="AJ87" i="1"/>
  <c r="L87" i="1" s="1"/>
  <c r="K87" i="1" s="1"/>
  <c r="AB87" i="1"/>
  <c r="AA87" i="1"/>
  <c r="Z87" i="1" s="1"/>
  <c r="V87" i="1"/>
  <c r="S87" i="1"/>
  <c r="N87" i="1"/>
  <c r="M87" i="1"/>
  <c r="AZ87" i="1" s="1"/>
  <c r="CZ86" i="1"/>
  <c r="CY86" i="1"/>
  <c r="CW86" i="1"/>
  <c r="CX86" i="1" s="1"/>
  <c r="AY86" i="1" s="1"/>
  <c r="BA86" i="1" s="1"/>
  <c r="BM86" i="1"/>
  <c r="BN86" i="1" s="1"/>
  <c r="BL86" i="1"/>
  <c r="BK86" i="1"/>
  <c r="BJ86" i="1"/>
  <c r="BG86" i="1"/>
  <c r="BI86" i="1" s="1"/>
  <c r="BD86" i="1"/>
  <c r="BC86" i="1"/>
  <c r="AW86" i="1"/>
  <c r="AQ86" i="1"/>
  <c r="AL86" i="1"/>
  <c r="AJ86" i="1" s="1"/>
  <c r="AK86" i="1" s="1"/>
  <c r="AB86" i="1"/>
  <c r="AA86" i="1"/>
  <c r="Z86" i="1" s="1"/>
  <c r="S86" i="1"/>
  <c r="Q86" i="1"/>
  <c r="CZ85" i="1"/>
  <c r="CY85" i="1"/>
  <c r="CX85" i="1" s="1"/>
  <c r="AY85" i="1" s="1"/>
  <c r="CW85" i="1"/>
  <c r="BL85" i="1"/>
  <c r="BK85" i="1"/>
  <c r="BJ85" i="1"/>
  <c r="BI85" i="1"/>
  <c r="BM85" i="1" s="1"/>
  <c r="BN85" i="1" s="1"/>
  <c r="BH85" i="1"/>
  <c r="BG85" i="1"/>
  <c r="BC85" i="1"/>
  <c r="BA85" i="1"/>
  <c r="AW85" i="1"/>
  <c r="AQ85" i="1"/>
  <c r="BD85" i="1" s="1"/>
  <c r="AL85" i="1"/>
  <c r="AJ85" i="1"/>
  <c r="AB85" i="1"/>
  <c r="AA85" i="1"/>
  <c r="Z85" i="1"/>
  <c r="V85" i="1"/>
  <c r="S85" i="1"/>
  <c r="CZ84" i="1"/>
  <c r="CY84" i="1"/>
  <c r="CW84" i="1"/>
  <c r="BL84" i="1"/>
  <c r="BK84" i="1"/>
  <c r="BG84" i="1"/>
  <c r="BH84" i="1" s="1"/>
  <c r="BD84" i="1"/>
  <c r="BC84" i="1"/>
  <c r="AW84" i="1"/>
  <c r="AQ84" i="1"/>
  <c r="AL84" i="1"/>
  <c r="AJ84" i="1" s="1"/>
  <c r="L84" i="1" s="1"/>
  <c r="K84" i="1" s="1"/>
  <c r="AD84" i="1" s="1"/>
  <c r="AB84" i="1"/>
  <c r="AA84" i="1"/>
  <c r="Z84" i="1" s="1"/>
  <c r="S84" i="1"/>
  <c r="M84" i="1"/>
  <c r="AZ84" i="1" s="1"/>
  <c r="CZ83" i="1"/>
  <c r="CY83" i="1"/>
  <c r="CX83" i="1" s="1"/>
  <c r="AY83" i="1" s="1"/>
  <c r="CW83" i="1"/>
  <c r="BL83" i="1"/>
  <c r="BK83" i="1"/>
  <c r="BG83" i="1"/>
  <c r="BC83" i="1"/>
  <c r="AW83" i="1"/>
  <c r="AQ83" i="1"/>
  <c r="BD83" i="1" s="1"/>
  <c r="AL83" i="1"/>
  <c r="AJ83" i="1"/>
  <c r="AB83" i="1"/>
  <c r="AA83" i="1"/>
  <c r="Z83" i="1" s="1"/>
  <c r="V83" i="1"/>
  <c r="S83" i="1"/>
  <c r="CZ82" i="1"/>
  <c r="CY82" i="1"/>
  <c r="CW82" i="1"/>
  <c r="BL82" i="1"/>
  <c r="BK82" i="1"/>
  <c r="BG82" i="1"/>
  <c r="BC82" i="1"/>
  <c r="AW82" i="1"/>
  <c r="AQ82" i="1"/>
  <c r="BD82" i="1" s="1"/>
  <c r="AL82" i="1"/>
  <c r="AJ82" i="1" s="1"/>
  <c r="N82" i="1" s="1"/>
  <c r="AK82" i="1"/>
  <c r="AB82" i="1"/>
  <c r="AA82" i="1"/>
  <c r="Z82" i="1" s="1"/>
  <c r="S82" i="1"/>
  <c r="L82" i="1"/>
  <c r="K82" i="1"/>
  <c r="CZ81" i="1"/>
  <c r="CY81" i="1"/>
  <c r="CX81" i="1" s="1"/>
  <c r="AY81" i="1" s="1"/>
  <c r="BA81" i="1" s="1"/>
  <c r="CW81" i="1"/>
  <c r="BM81" i="1"/>
  <c r="BN81" i="1" s="1"/>
  <c r="BL81" i="1"/>
  <c r="BK81" i="1"/>
  <c r="BJ81" i="1"/>
  <c r="BI81" i="1"/>
  <c r="BH81" i="1"/>
  <c r="BG81" i="1"/>
  <c r="BC81" i="1"/>
  <c r="AW81" i="1"/>
  <c r="AQ81" i="1"/>
  <c r="BD81" i="1" s="1"/>
  <c r="AL81" i="1"/>
  <c r="AJ81" i="1"/>
  <c r="N81" i="1" s="1"/>
  <c r="AB81" i="1"/>
  <c r="AA81" i="1"/>
  <c r="Z81" i="1"/>
  <c r="V81" i="1"/>
  <c r="S81" i="1"/>
  <c r="CZ80" i="1"/>
  <c r="V80" i="1" s="1"/>
  <c r="CY80" i="1"/>
  <c r="CX80" i="1"/>
  <c r="AY80" i="1" s="1"/>
  <c r="CW80" i="1"/>
  <c r="BL80" i="1"/>
  <c r="BK80" i="1"/>
  <c r="BI80" i="1"/>
  <c r="BM80" i="1" s="1"/>
  <c r="BN80" i="1" s="1"/>
  <c r="BG80" i="1"/>
  <c r="BH80" i="1" s="1"/>
  <c r="BC80" i="1"/>
  <c r="AW80" i="1"/>
  <c r="BA80" i="1" s="1"/>
  <c r="AQ80" i="1"/>
  <c r="BD80" i="1" s="1"/>
  <c r="AL80" i="1"/>
  <c r="AJ80" i="1" s="1"/>
  <c r="AK80" i="1" s="1"/>
  <c r="AB80" i="1"/>
  <c r="AA80" i="1"/>
  <c r="S80" i="1"/>
  <c r="Q80" i="1"/>
  <c r="CZ79" i="1"/>
  <c r="V79" i="1" s="1"/>
  <c r="CY79" i="1"/>
  <c r="CW79" i="1"/>
  <c r="CX79" i="1" s="1"/>
  <c r="AY79" i="1" s="1"/>
  <c r="BL79" i="1"/>
  <c r="BK79" i="1"/>
  <c r="BJ79" i="1"/>
  <c r="BI79" i="1"/>
  <c r="BM79" i="1" s="1"/>
  <c r="BN79" i="1" s="1"/>
  <c r="BG79" i="1"/>
  <c r="BH79" i="1" s="1"/>
  <c r="BD79" i="1"/>
  <c r="BC79" i="1"/>
  <c r="BA79" i="1"/>
  <c r="AW79" i="1"/>
  <c r="AQ79" i="1"/>
  <c r="AL79" i="1"/>
  <c r="AJ79" i="1" s="1"/>
  <c r="AB79" i="1"/>
  <c r="Z79" i="1" s="1"/>
  <c r="AA79" i="1"/>
  <c r="S79" i="1"/>
  <c r="CZ78" i="1"/>
  <c r="CY78" i="1"/>
  <c r="CW78" i="1"/>
  <c r="BL78" i="1"/>
  <c r="BK78" i="1"/>
  <c r="BI78" i="1"/>
  <c r="BM78" i="1" s="1"/>
  <c r="BN78" i="1" s="1"/>
  <c r="BG78" i="1"/>
  <c r="BH78" i="1" s="1"/>
  <c r="BC78" i="1"/>
  <c r="AW78" i="1"/>
  <c r="AQ78" i="1"/>
  <c r="BD78" i="1" s="1"/>
  <c r="AL78" i="1"/>
  <c r="AJ78" i="1"/>
  <c r="N78" i="1" s="1"/>
  <c r="AB78" i="1"/>
  <c r="AA78" i="1"/>
  <c r="Z78" i="1"/>
  <c r="S78" i="1"/>
  <c r="M78" i="1"/>
  <c r="AZ78" i="1" s="1"/>
  <c r="CZ77" i="1"/>
  <c r="CY77" i="1"/>
  <c r="CW77" i="1"/>
  <c r="BL77" i="1"/>
  <c r="BK77" i="1"/>
  <c r="BG77" i="1"/>
  <c r="BC77" i="1"/>
  <c r="AW77" i="1"/>
  <c r="AQ77" i="1"/>
  <c r="BD77" i="1" s="1"/>
  <c r="AL77" i="1"/>
  <c r="AJ77" i="1" s="1"/>
  <c r="AB77" i="1"/>
  <c r="AA77" i="1"/>
  <c r="Z77" i="1" s="1"/>
  <c r="S77" i="1"/>
  <c r="CZ76" i="1"/>
  <c r="CY76" i="1"/>
  <c r="CX76" i="1"/>
  <c r="AY76" i="1" s="1"/>
  <c r="BA76" i="1" s="1"/>
  <c r="CW76" i="1"/>
  <c r="BL76" i="1"/>
  <c r="BK76" i="1"/>
  <c r="BH76" i="1"/>
  <c r="BG76" i="1"/>
  <c r="BJ76" i="1" s="1"/>
  <c r="BD76" i="1"/>
  <c r="BC76" i="1"/>
  <c r="AW76" i="1"/>
  <c r="AQ76" i="1"/>
  <c r="AL76" i="1"/>
  <c r="AJ76" i="1" s="1"/>
  <c r="AK76" i="1" s="1"/>
  <c r="AB76" i="1"/>
  <c r="AA76" i="1"/>
  <c r="Z76" i="1" s="1"/>
  <c r="V76" i="1"/>
  <c r="S76" i="1"/>
  <c r="CZ75" i="1"/>
  <c r="CY75" i="1"/>
  <c r="CW75" i="1"/>
  <c r="CX75" i="1" s="1"/>
  <c r="AY75" i="1" s="1"/>
  <c r="BL75" i="1"/>
  <c r="BK75" i="1"/>
  <c r="BJ75" i="1"/>
  <c r="BI75" i="1"/>
  <c r="BM75" i="1" s="1"/>
  <c r="BN75" i="1" s="1"/>
  <c r="BG75" i="1"/>
  <c r="BH75" i="1" s="1"/>
  <c r="BD75" i="1"/>
  <c r="BC75" i="1"/>
  <c r="BA75" i="1"/>
  <c r="AW75" i="1"/>
  <c r="AQ75" i="1"/>
  <c r="AL75" i="1"/>
  <c r="AJ75" i="1"/>
  <c r="N75" i="1" s="1"/>
  <c r="AB75" i="1"/>
  <c r="AA75" i="1"/>
  <c r="Z75" i="1"/>
  <c r="S75" i="1"/>
  <c r="Q75" i="1"/>
  <c r="CZ74" i="1"/>
  <c r="CY74" i="1"/>
  <c r="CW74" i="1"/>
  <c r="CX74" i="1" s="1"/>
  <c r="BL74" i="1"/>
  <c r="BK74" i="1"/>
  <c r="BI74" i="1"/>
  <c r="BM74" i="1" s="1"/>
  <c r="BN74" i="1" s="1"/>
  <c r="BG74" i="1"/>
  <c r="BH74" i="1" s="1"/>
  <c r="BC74" i="1"/>
  <c r="AY74" i="1"/>
  <c r="BA74" i="1" s="1"/>
  <c r="AW74" i="1"/>
  <c r="AQ74" i="1"/>
  <c r="BD74" i="1" s="1"/>
  <c r="AL74" i="1"/>
  <c r="AJ74" i="1"/>
  <c r="N74" i="1" s="1"/>
  <c r="AB74" i="1"/>
  <c r="AA74" i="1"/>
  <c r="Z74" i="1"/>
  <c r="S74" i="1"/>
  <c r="M74" i="1"/>
  <c r="AZ74" i="1" s="1"/>
  <c r="CZ73" i="1"/>
  <c r="CY73" i="1"/>
  <c r="CW73" i="1"/>
  <c r="BL73" i="1"/>
  <c r="BK73" i="1"/>
  <c r="BG73" i="1"/>
  <c r="BC73" i="1"/>
  <c r="AW73" i="1"/>
  <c r="AQ73" i="1"/>
  <c r="BD73" i="1" s="1"/>
  <c r="AL73" i="1"/>
  <c r="AJ73" i="1" s="1"/>
  <c r="AB73" i="1"/>
  <c r="AA73" i="1"/>
  <c r="Z73" i="1" s="1"/>
  <c r="S73" i="1"/>
  <c r="M73" i="1"/>
  <c r="AZ73" i="1" s="1"/>
  <c r="CZ72" i="1"/>
  <c r="CY72" i="1"/>
  <c r="CX72" i="1"/>
  <c r="AY72" i="1" s="1"/>
  <c r="BA72" i="1" s="1"/>
  <c r="CW72" i="1"/>
  <c r="BL72" i="1"/>
  <c r="BK72" i="1"/>
  <c r="BH72" i="1"/>
  <c r="BG72" i="1"/>
  <c r="BJ72" i="1" s="1"/>
  <c r="BD72" i="1"/>
  <c r="BC72" i="1"/>
  <c r="AW72" i="1"/>
  <c r="AQ72" i="1"/>
  <c r="AL72" i="1"/>
  <c r="AJ72" i="1" s="1"/>
  <c r="AK72" i="1" s="1"/>
  <c r="AB72" i="1"/>
  <c r="AA72" i="1"/>
  <c r="Z72" i="1" s="1"/>
  <c r="V72" i="1"/>
  <c r="S72" i="1"/>
  <c r="Q72" i="1"/>
  <c r="CZ71" i="1"/>
  <c r="CY71" i="1"/>
  <c r="CW71" i="1"/>
  <c r="BL71" i="1"/>
  <c r="BK71" i="1"/>
  <c r="BJ71" i="1"/>
  <c r="BI71" i="1"/>
  <c r="BM71" i="1" s="1"/>
  <c r="BN71" i="1" s="1"/>
  <c r="BG71" i="1"/>
  <c r="BH71" i="1" s="1"/>
  <c r="BD71" i="1"/>
  <c r="BC71" i="1"/>
  <c r="AW71" i="1"/>
  <c r="AQ71" i="1"/>
  <c r="AL71" i="1"/>
  <c r="AJ71" i="1" s="1"/>
  <c r="Q71" i="1" s="1"/>
  <c r="AB71" i="1"/>
  <c r="Z71" i="1" s="1"/>
  <c r="AA71" i="1"/>
  <c r="S71" i="1"/>
  <c r="L71" i="1"/>
  <c r="K71" i="1" s="1"/>
  <c r="AD71" i="1" s="1"/>
  <c r="CZ70" i="1"/>
  <c r="CY70" i="1"/>
  <c r="CW70" i="1"/>
  <c r="BL70" i="1"/>
  <c r="BK70" i="1"/>
  <c r="BG70" i="1"/>
  <c r="BH70" i="1" s="1"/>
  <c r="BC70" i="1"/>
  <c r="AW70" i="1"/>
  <c r="AQ70" i="1"/>
  <c r="BD70" i="1" s="1"/>
  <c r="AL70" i="1"/>
  <c r="AJ70" i="1"/>
  <c r="AB70" i="1"/>
  <c r="AA70" i="1"/>
  <c r="Z70" i="1"/>
  <c r="S70" i="1"/>
  <c r="CZ69" i="1"/>
  <c r="CY69" i="1"/>
  <c r="CX69" i="1"/>
  <c r="AY69" i="1" s="1"/>
  <c r="CW69" i="1"/>
  <c r="BL69" i="1"/>
  <c r="BK69" i="1"/>
  <c r="BH69" i="1"/>
  <c r="BG69" i="1"/>
  <c r="BJ69" i="1" s="1"/>
  <c r="BC69" i="1"/>
  <c r="AZ69" i="1"/>
  <c r="AW69" i="1"/>
  <c r="AQ69" i="1"/>
  <c r="BD69" i="1" s="1"/>
  <c r="AL69" i="1"/>
  <c r="AJ69" i="1" s="1"/>
  <c r="AK69" i="1"/>
  <c r="AB69" i="1"/>
  <c r="AA69" i="1"/>
  <c r="Z69" i="1" s="1"/>
  <c r="V69" i="1"/>
  <c r="S69" i="1"/>
  <c r="N69" i="1"/>
  <c r="M69" i="1"/>
  <c r="CZ68" i="1"/>
  <c r="CY68" i="1"/>
  <c r="CX68" i="1"/>
  <c r="AY68" i="1" s="1"/>
  <c r="CW68" i="1"/>
  <c r="BL68" i="1"/>
  <c r="BK68" i="1"/>
  <c r="BG68" i="1"/>
  <c r="BJ68" i="1" s="1"/>
  <c r="BC68" i="1"/>
  <c r="AW68" i="1"/>
  <c r="AQ68" i="1"/>
  <c r="BD68" i="1" s="1"/>
  <c r="AL68" i="1"/>
  <c r="AJ68" i="1" s="1"/>
  <c r="AK68" i="1"/>
  <c r="AB68" i="1"/>
  <c r="AA68" i="1"/>
  <c r="V68" i="1"/>
  <c r="S68" i="1"/>
  <c r="Q68" i="1"/>
  <c r="N68" i="1"/>
  <c r="M68" i="1"/>
  <c r="AZ68" i="1" s="1"/>
  <c r="L68" i="1"/>
  <c r="K68" i="1" s="1"/>
  <c r="CZ67" i="1"/>
  <c r="CY67" i="1"/>
  <c r="CW67" i="1"/>
  <c r="BL67" i="1"/>
  <c r="BK67" i="1"/>
  <c r="BJ67" i="1"/>
  <c r="BG67" i="1"/>
  <c r="BH67" i="1" s="1"/>
  <c r="BD67" i="1"/>
  <c r="BC67" i="1"/>
  <c r="AW67" i="1"/>
  <c r="AQ67" i="1"/>
  <c r="AL67" i="1"/>
  <c r="AJ67" i="1" s="1"/>
  <c r="AB67" i="1"/>
  <c r="AA67" i="1"/>
  <c r="Z67" i="1" s="1"/>
  <c r="S67" i="1"/>
  <c r="CZ66" i="1"/>
  <c r="CY66" i="1"/>
  <c r="CW66" i="1"/>
  <c r="CX66" i="1" s="1"/>
  <c r="AY66" i="1" s="1"/>
  <c r="BA66" i="1" s="1"/>
  <c r="BL66" i="1"/>
  <c r="BK66" i="1"/>
  <c r="BJ66" i="1"/>
  <c r="BG66" i="1"/>
  <c r="BI66" i="1" s="1"/>
  <c r="BM66" i="1" s="1"/>
  <c r="BN66" i="1" s="1"/>
  <c r="BC66" i="1"/>
  <c r="AW66" i="1"/>
  <c r="AQ66" i="1"/>
  <c r="BD66" i="1" s="1"/>
  <c r="AL66" i="1"/>
  <c r="AJ66" i="1" s="1"/>
  <c r="AB66" i="1"/>
  <c r="AA66" i="1"/>
  <c r="Z66" i="1" s="1"/>
  <c r="S66" i="1"/>
  <c r="CZ65" i="1"/>
  <c r="CY65" i="1"/>
  <c r="CX65" i="1"/>
  <c r="AY65" i="1" s="1"/>
  <c r="CW65" i="1"/>
  <c r="BM65" i="1"/>
  <c r="BN65" i="1" s="1"/>
  <c r="BL65" i="1"/>
  <c r="BK65" i="1"/>
  <c r="BI65" i="1"/>
  <c r="BH65" i="1"/>
  <c r="BG65" i="1"/>
  <c r="BJ65" i="1" s="1"/>
  <c r="BC65" i="1"/>
  <c r="AW65" i="1"/>
  <c r="BA65" i="1" s="1"/>
  <c r="AQ65" i="1"/>
  <c r="BD65" i="1" s="1"/>
  <c r="AL65" i="1"/>
  <c r="AK65" i="1"/>
  <c r="AJ65" i="1"/>
  <c r="L65" i="1" s="1"/>
  <c r="K65" i="1" s="1"/>
  <c r="AB65" i="1"/>
  <c r="AA65" i="1"/>
  <c r="Z65" i="1" s="1"/>
  <c r="V65" i="1"/>
  <c r="S65" i="1"/>
  <c r="Q65" i="1"/>
  <c r="N65" i="1"/>
  <c r="M65" i="1"/>
  <c r="AZ65" i="1" s="1"/>
  <c r="CZ64" i="1"/>
  <c r="CY64" i="1"/>
  <c r="CW64" i="1"/>
  <c r="CX64" i="1" s="1"/>
  <c r="AY64" i="1" s="1"/>
  <c r="BA64" i="1" s="1"/>
  <c r="BL64" i="1"/>
  <c r="BK64" i="1"/>
  <c r="BJ64" i="1"/>
  <c r="BI64" i="1"/>
  <c r="BM64" i="1" s="1"/>
  <c r="BN64" i="1" s="1"/>
  <c r="BG64" i="1"/>
  <c r="BH64" i="1" s="1"/>
  <c r="BD64" i="1"/>
  <c r="BC64" i="1"/>
  <c r="AW64" i="1"/>
  <c r="AQ64" i="1"/>
  <c r="AL64" i="1"/>
  <c r="AJ64" i="1" s="1"/>
  <c r="AB64" i="1"/>
  <c r="AA64" i="1"/>
  <c r="Z64" i="1" s="1"/>
  <c r="S64" i="1"/>
  <c r="CZ63" i="1"/>
  <c r="CY63" i="1"/>
  <c r="CW63" i="1"/>
  <c r="CX63" i="1" s="1"/>
  <c r="AY63" i="1" s="1"/>
  <c r="BA63" i="1" s="1"/>
  <c r="BL63" i="1"/>
  <c r="BK63" i="1"/>
  <c r="BI63" i="1"/>
  <c r="BM63" i="1" s="1"/>
  <c r="BN63" i="1" s="1"/>
  <c r="BG63" i="1"/>
  <c r="BJ63" i="1" s="1"/>
  <c r="BC63" i="1"/>
  <c r="AW63" i="1"/>
  <c r="AQ63" i="1"/>
  <c r="BD63" i="1" s="1"/>
  <c r="AL63" i="1"/>
  <c r="AJ63" i="1"/>
  <c r="Q63" i="1" s="1"/>
  <c r="AB63" i="1"/>
  <c r="AA63" i="1"/>
  <c r="Z63" i="1"/>
  <c r="S63" i="1"/>
  <c r="CZ62" i="1"/>
  <c r="CY62" i="1"/>
  <c r="CW62" i="1"/>
  <c r="CX62" i="1" s="1"/>
  <c r="AY62" i="1" s="1"/>
  <c r="BA62" i="1" s="1"/>
  <c r="BL62" i="1"/>
  <c r="BK62" i="1"/>
  <c r="BJ62" i="1"/>
  <c r="BG62" i="1"/>
  <c r="BI62" i="1" s="1"/>
  <c r="BM62" i="1" s="1"/>
  <c r="BN62" i="1" s="1"/>
  <c r="BC62" i="1"/>
  <c r="AW62" i="1"/>
  <c r="AQ62" i="1"/>
  <c r="BD62" i="1" s="1"/>
  <c r="AL62" i="1"/>
  <c r="AJ62" i="1" s="1"/>
  <c r="AB62" i="1"/>
  <c r="AA62" i="1"/>
  <c r="Z62" i="1" s="1"/>
  <c r="S62" i="1"/>
  <c r="CZ61" i="1"/>
  <c r="CY61" i="1"/>
  <c r="CX61" i="1"/>
  <c r="AY61" i="1" s="1"/>
  <c r="CW61" i="1"/>
  <c r="BL61" i="1"/>
  <c r="BK61" i="1"/>
  <c r="BH61" i="1"/>
  <c r="BG61" i="1"/>
  <c r="BJ61" i="1" s="1"/>
  <c r="BC61" i="1"/>
  <c r="AW61" i="1"/>
  <c r="AQ61" i="1"/>
  <c r="BD61" i="1" s="1"/>
  <c r="AL61" i="1"/>
  <c r="AK61" i="1"/>
  <c r="AJ61" i="1"/>
  <c r="L61" i="1" s="1"/>
  <c r="AB61" i="1"/>
  <c r="AA61" i="1"/>
  <c r="Z61" i="1" s="1"/>
  <c r="V61" i="1"/>
  <c r="S61" i="1"/>
  <c r="Q61" i="1"/>
  <c r="N61" i="1"/>
  <c r="M61" i="1"/>
  <c r="AZ61" i="1" s="1"/>
  <c r="K61" i="1"/>
  <c r="CZ60" i="1"/>
  <c r="CY60" i="1"/>
  <c r="CW60" i="1"/>
  <c r="CX60" i="1" s="1"/>
  <c r="BN60" i="1"/>
  <c r="BL60" i="1"/>
  <c r="BK60" i="1"/>
  <c r="BJ60" i="1"/>
  <c r="BI60" i="1"/>
  <c r="BM60" i="1" s="1"/>
  <c r="BG60" i="1"/>
  <c r="BH60" i="1" s="1"/>
  <c r="BD60" i="1"/>
  <c r="BC60" i="1"/>
  <c r="AY60" i="1"/>
  <c r="BA60" i="1" s="1"/>
  <c r="AW60" i="1"/>
  <c r="AQ60" i="1"/>
  <c r="AL60" i="1"/>
  <c r="AJ60" i="1" s="1"/>
  <c r="Q60" i="1" s="1"/>
  <c r="AB60" i="1"/>
  <c r="AA60" i="1"/>
  <c r="Z60" i="1" s="1"/>
  <c r="V60" i="1"/>
  <c r="S60" i="1"/>
  <c r="N60" i="1"/>
  <c r="CZ59" i="1"/>
  <c r="CY59" i="1"/>
  <c r="CW59" i="1"/>
  <c r="BL59" i="1"/>
  <c r="BK59" i="1"/>
  <c r="BG59" i="1"/>
  <c r="BD59" i="1"/>
  <c r="BC59" i="1"/>
  <c r="AW59" i="1"/>
  <c r="AQ59" i="1"/>
  <c r="AL59" i="1"/>
  <c r="AJ59" i="1"/>
  <c r="AB59" i="1"/>
  <c r="Z59" i="1" s="1"/>
  <c r="AA59" i="1"/>
  <c r="S59" i="1"/>
  <c r="Q59" i="1"/>
  <c r="L59" i="1"/>
  <c r="K59" i="1" s="1"/>
  <c r="AD59" i="1" s="1"/>
  <c r="CZ58" i="1"/>
  <c r="CY58" i="1"/>
  <c r="CW58" i="1"/>
  <c r="BL58" i="1"/>
  <c r="BK58" i="1"/>
  <c r="BG58" i="1"/>
  <c r="BH58" i="1" s="1"/>
  <c r="BC58" i="1"/>
  <c r="AW58" i="1"/>
  <c r="AQ58" i="1"/>
  <c r="BD58" i="1" s="1"/>
  <c r="AL58" i="1"/>
  <c r="AJ58" i="1"/>
  <c r="AB58" i="1"/>
  <c r="AA58" i="1"/>
  <c r="Z58" i="1"/>
  <c r="S58" i="1"/>
  <c r="CZ57" i="1"/>
  <c r="CY57" i="1"/>
  <c r="CW57" i="1"/>
  <c r="CX57" i="1" s="1"/>
  <c r="AY57" i="1" s="1"/>
  <c r="BA57" i="1" s="1"/>
  <c r="BL57" i="1"/>
  <c r="BK57" i="1"/>
  <c r="BJ57" i="1"/>
  <c r="BI57" i="1"/>
  <c r="BM57" i="1" s="1"/>
  <c r="BN57" i="1" s="1"/>
  <c r="BH57" i="1"/>
  <c r="BG57" i="1"/>
  <c r="BC57" i="1"/>
  <c r="AZ57" i="1"/>
  <c r="BB57" i="1" s="1"/>
  <c r="AW57" i="1"/>
  <c r="AQ57" i="1"/>
  <c r="BD57" i="1" s="1"/>
  <c r="AL57" i="1"/>
  <c r="AJ57" i="1"/>
  <c r="L57" i="1" s="1"/>
  <c r="AB57" i="1"/>
  <c r="AA57" i="1"/>
  <c r="Z57" i="1"/>
  <c r="V57" i="1"/>
  <c r="W57" i="1" s="1"/>
  <c r="X57" i="1" s="1"/>
  <c r="S57" i="1"/>
  <c r="Q57" i="1"/>
  <c r="M57" i="1"/>
  <c r="K57" i="1"/>
  <c r="CZ56" i="1"/>
  <c r="CY56" i="1"/>
  <c r="CW56" i="1"/>
  <c r="CX56" i="1" s="1"/>
  <c r="AY56" i="1" s="1"/>
  <c r="BA56" i="1" s="1"/>
  <c r="BL56" i="1"/>
  <c r="BK56" i="1"/>
  <c r="BG56" i="1"/>
  <c r="BJ56" i="1" s="1"/>
  <c r="BD56" i="1"/>
  <c r="BC56" i="1"/>
  <c r="AW56" i="1"/>
  <c r="AQ56" i="1"/>
  <c r="AL56" i="1"/>
  <c r="AJ56" i="1" s="1"/>
  <c r="L56" i="1" s="1"/>
  <c r="K56" i="1" s="1"/>
  <c r="AK56" i="1"/>
  <c r="AB56" i="1"/>
  <c r="AA56" i="1"/>
  <c r="Z56" i="1" s="1"/>
  <c r="V56" i="1"/>
  <c r="S56" i="1"/>
  <c r="Q56" i="1"/>
  <c r="M56" i="1"/>
  <c r="AZ56" i="1" s="1"/>
  <c r="BB56" i="1" s="1"/>
  <c r="CZ55" i="1"/>
  <c r="CY55" i="1"/>
  <c r="CX55" i="1"/>
  <c r="AY55" i="1" s="1"/>
  <c r="CW55" i="1"/>
  <c r="V55" i="1" s="1"/>
  <c r="BL55" i="1"/>
  <c r="BK55" i="1"/>
  <c r="BG55" i="1"/>
  <c r="BC55" i="1"/>
  <c r="AW55" i="1"/>
  <c r="BA55" i="1" s="1"/>
  <c r="AQ55" i="1"/>
  <c r="BD55" i="1" s="1"/>
  <c r="AL55" i="1"/>
  <c r="AJ55" i="1" s="1"/>
  <c r="AB55" i="1"/>
  <c r="AA55" i="1"/>
  <c r="Z55" i="1" s="1"/>
  <c r="S55" i="1"/>
  <c r="CZ54" i="1"/>
  <c r="CY54" i="1"/>
  <c r="CW54" i="1"/>
  <c r="BL54" i="1"/>
  <c r="BK54" i="1"/>
  <c r="BG54" i="1"/>
  <c r="BC54" i="1"/>
  <c r="AW54" i="1"/>
  <c r="AQ54" i="1"/>
  <c r="BD54" i="1" s="1"/>
  <c r="AL54" i="1"/>
  <c r="AJ54" i="1"/>
  <c r="AB54" i="1"/>
  <c r="Z54" i="1" s="1"/>
  <c r="AA54" i="1"/>
  <c r="S54" i="1"/>
  <c r="CZ53" i="1"/>
  <c r="CY53" i="1"/>
  <c r="CW53" i="1"/>
  <c r="CX53" i="1" s="1"/>
  <c r="AY53" i="1" s="1"/>
  <c r="BL53" i="1"/>
  <c r="BK53" i="1"/>
  <c r="BJ53" i="1"/>
  <c r="BI53" i="1"/>
  <c r="BM53" i="1" s="1"/>
  <c r="BN53" i="1" s="1"/>
  <c r="BG53" i="1"/>
  <c r="BH53" i="1" s="1"/>
  <c r="BC53" i="1"/>
  <c r="AW53" i="1"/>
  <c r="BA53" i="1" s="1"/>
  <c r="AQ53" i="1"/>
  <c r="BD53" i="1" s="1"/>
  <c r="AL53" i="1"/>
  <c r="AK53" i="1"/>
  <c r="AJ53" i="1"/>
  <c r="L53" i="1" s="1"/>
  <c r="AD53" i="1"/>
  <c r="AB53" i="1"/>
  <c r="AA53" i="1"/>
  <c r="Z53" i="1" s="1"/>
  <c r="V53" i="1"/>
  <c r="S53" i="1"/>
  <c r="Q53" i="1"/>
  <c r="N53" i="1"/>
  <c r="M53" i="1"/>
  <c r="AZ53" i="1" s="1"/>
  <c r="BB53" i="1" s="1"/>
  <c r="K53" i="1"/>
  <c r="CZ52" i="1"/>
  <c r="CY52" i="1"/>
  <c r="CX52" i="1" s="1"/>
  <c r="AY52" i="1" s="1"/>
  <c r="BA52" i="1" s="1"/>
  <c r="CW52" i="1"/>
  <c r="BM52" i="1"/>
  <c r="BN52" i="1" s="1"/>
  <c r="BL52" i="1"/>
  <c r="BK52" i="1"/>
  <c r="BJ52" i="1"/>
  <c r="BI52" i="1"/>
  <c r="BH52" i="1"/>
  <c r="BG52" i="1"/>
  <c r="BD52" i="1"/>
  <c r="BC52" i="1"/>
  <c r="AW52" i="1"/>
  <c r="AQ52" i="1"/>
  <c r="AL52" i="1"/>
  <c r="AJ52" i="1"/>
  <c r="Q52" i="1" s="1"/>
  <c r="AB52" i="1"/>
  <c r="AA52" i="1"/>
  <c r="Z52" i="1"/>
  <c r="V52" i="1"/>
  <c r="S52" i="1"/>
  <c r="N52" i="1"/>
  <c r="CZ51" i="1"/>
  <c r="CY51" i="1"/>
  <c r="CW51" i="1"/>
  <c r="CX51" i="1" s="1"/>
  <c r="AY51" i="1" s="1"/>
  <c r="BA51" i="1" s="1"/>
  <c r="BL51" i="1"/>
  <c r="BK51" i="1"/>
  <c r="BJ51" i="1"/>
  <c r="BI51" i="1"/>
  <c r="BM51" i="1" s="1"/>
  <c r="BN51" i="1" s="1"/>
  <c r="BG51" i="1"/>
  <c r="BH51" i="1" s="1"/>
  <c r="BD51" i="1"/>
  <c r="BC51" i="1"/>
  <c r="AW51" i="1"/>
  <c r="AQ51" i="1"/>
  <c r="AL51" i="1"/>
  <c r="AJ51" i="1" s="1"/>
  <c r="AB51" i="1"/>
  <c r="AA51" i="1"/>
  <c r="S51" i="1"/>
  <c r="L51" i="1"/>
  <c r="K51" i="1" s="1"/>
  <c r="CZ50" i="1"/>
  <c r="CY50" i="1"/>
  <c r="CX50" i="1"/>
  <c r="AY50" i="1" s="1"/>
  <c r="CW50" i="1"/>
  <c r="BL50" i="1"/>
  <c r="BK50" i="1"/>
  <c r="BG50" i="1"/>
  <c r="BC50" i="1"/>
  <c r="AW50" i="1"/>
  <c r="BA50" i="1" s="1"/>
  <c r="AQ50" i="1"/>
  <c r="BD50" i="1" s="1"/>
  <c r="AL50" i="1"/>
  <c r="AJ50" i="1"/>
  <c r="AB50" i="1"/>
  <c r="AA50" i="1"/>
  <c r="Z50" i="1"/>
  <c r="V50" i="1"/>
  <c r="S50" i="1"/>
  <c r="N50" i="1"/>
  <c r="CZ49" i="1"/>
  <c r="CY49" i="1"/>
  <c r="CW49" i="1"/>
  <c r="CX49" i="1" s="1"/>
  <c r="AY49" i="1" s="1"/>
  <c r="BA49" i="1" s="1"/>
  <c r="BM49" i="1"/>
  <c r="BN49" i="1" s="1"/>
  <c r="BL49" i="1"/>
  <c r="BK49" i="1"/>
  <c r="BJ49" i="1"/>
  <c r="BI49" i="1"/>
  <c r="BG49" i="1"/>
  <c r="BH49" i="1" s="1"/>
  <c r="BD49" i="1"/>
  <c r="BC49" i="1"/>
  <c r="AW49" i="1"/>
  <c r="AQ49" i="1"/>
  <c r="AL49" i="1"/>
  <c r="AJ49" i="1" s="1"/>
  <c r="AK49" i="1" s="1"/>
  <c r="AB49" i="1"/>
  <c r="AA49" i="1"/>
  <c r="Z49" i="1" s="1"/>
  <c r="S49" i="1"/>
  <c r="CZ48" i="1"/>
  <c r="CY48" i="1"/>
  <c r="CX48" i="1"/>
  <c r="AY48" i="1" s="1"/>
  <c r="CW48" i="1"/>
  <c r="BL48" i="1"/>
  <c r="BK48" i="1"/>
  <c r="BJ48" i="1"/>
  <c r="BI48" i="1"/>
  <c r="BM48" i="1" s="1"/>
  <c r="BN48" i="1" s="1"/>
  <c r="BH48" i="1"/>
  <c r="BG48" i="1"/>
  <c r="BC48" i="1"/>
  <c r="BA48" i="1"/>
  <c r="AW48" i="1"/>
  <c r="AQ48" i="1"/>
  <c r="BD48" i="1" s="1"/>
  <c r="AL48" i="1"/>
  <c r="AJ48" i="1"/>
  <c r="AB48" i="1"/>
  <c r="AA48" i="1"/>
  <c r="Z48" i="1"/>
  <c r="V48" i="1"/>
  <c r="S48" i="1"/>
  <c r="Q48" i="1"/>
  <c r="N48" i="1"/>
  <c r="CZ47" i="1"/>
  <c r="CY47" i="1"/>
  <c r="CW47" i="1"/>
  <c r="BN47" i="1"/>
  <c r="BL47" i="1"/>
  <c r="BK47" i="1"/>
  <c r="BJ47" i="1"/>
  <c r="BI47" i="1"/>
  <c r="BM47" i="1" s="1"/>
  <c r="BG47" i="1"/>
  <c r="BH47" i="1" s="1"/>
  <c r="BD47" i="1"/>
  <c r="BC47" i="1"/>
  <c r="AW47" i="1"/>
  <c r="AQ47" i="1"/>
  <c r="AL47" i="1"/>
  <c r="AJ47" i="1" s="1"/>
  <c r="L47" i="1" s="1"/>
  <c r="K47" i="1" s="1"/>
  <c r="AB47" i="1"/>
  <c r="AA47" i="1"/>
  <c r="Z47" i="1" s="1"/>
  <c r="S47" i="1"/>
  <c r="CZ46" i="1"/>
  <c r="CY46" i="1"/>
  <c r="CW46" i="1"/>
  <c r="CX46" i="1" s="1"/>
  <c r="AY46" i="1" s="1"/>
  <c r="BL46" i="1"/>
  <c r="BK46" i="1"/>
  <c r="BH46" i="1"/>
  <c r="BG46" i="1"/>
  <c r="BC46" i="1"/>
  <c r="AW46" i="1"/>
  <c r="AQ46" i="1"/>
  <c r="BD46" i="1" s="1"/>
  <c r="AL46" i="1"/>
  <c r="AJ46" i="1"/>
  <c r="AB46" i="1"/>
  <c r="AA46" i="1"/>
  <c r="Z46" i="1"/>
  <c r="V46" i="1"/>
  <c r="S46" i="1"/>
  <c r="CZ45" i="1"/>
  <c r="CY45" i="1"/>
  <c r="CW45" i="1"/>
  <c r="CX45" i="1" s="1"/>
  <c r="AY45" i="1" s="1"/>
  <c r="BA45" i="1" s="1"/>
  <c r="BN45" i="1"/>
  <c r="BM45" i="1"/>
  <c r="BL45" i="1"/>
  <c r="BK45" i="1"/>
  <c r="BJ45" i="1"/>
  <c r="BI45" i="1"/>
  <c r="BG45" i="1"/>
  <c r="BH45" i="1" s="1"/>
  <c r="BD45" i="1"/>
  <c r="BC45" i="1"/>
  <c r="AW45" i="1"/>
  <c r="AQ45" i="1"/>
  <c r="AL45" i="1"/>
  <c r="AJ45" i="1" s="1"/>
  <c r="AK45" i="1"/>
  <c r="AB45" i="1"/>
  <c r="AA45" i="1"/>
  <c r="S45" i="1"/>
  <c r="CZ44" i="1"/>
  <c r="CY44" i="1"/>
  <c r="CX44" i="1"/>
  <c r="AY44" i="1" s="1"/>
  <c r="CW44" i="1"/>
  <c r="BL44" i="1"/>
  <c r="BK44" i="1"/>
  <c r="BI44" i="1"/>
  <c r="BM44" i="1" s="1"/>
  <c r="BN44" i="1" s="1"/>
  <c r="BH44" i="1"/>
  <c r="BG44" i="1"/>
  <c r="BJ44" i="1" s="1"/>
  <c r="BC44" i="1"/>
  <c r="AW44" i="1"/>
  <c r="BA44" i="1" s="1"/>
  <c r="AQ44" i="1"/>
  <c r="BD44" i="1" s="1"/>
  <c r="AL44" i="1"/>
  <c r="AJ44" i="1"/>
  <c r="AB44" i="1"/>
  <c r="AA44" i="1"/>
  <c r="Z44" i="1"/>
  <c r="V44" i="1"/>
  <c r="S44" i="1"/>
  <c r="CZ43" i="1"/>
  <c r="CY43" i="1"/>
  <c r="CW43" i="1"/>
  <c r="BN43" i="1"/>
  <c r="BL43" i="1"/>
  <c r="BK43" i="1"/>
  <c r="BJ43" i="1"/>
  <c r="BI43" i="1"/>
  <c r="BM43" i="1" s="1"/>
  <c r="BG43" i="1"/>
  <c r="BH43" i="1" s="1"/>
  <c r="BD43" i="1"/>
  <c r="BC43" i="1"/>
  <c r="AW43" i="1"/>
  <c r="AQ43" i="1"/>
  <c r="AL43" i="1"/>
  <c r="AJ43" i="1" s="1"/>
  <c r="AB43" i="1"/>
  <c r="AA43" i="1"/>
  <c r="Z43" i="1" s="1"/>
  <c r="S43" i="1"/>
  <c r="M43" i="1"/>
  <c r="AZ43" i="1" s="1"/>
  <c r="L43" i="1"/>
  <c r="K43" i="1" s="1"/>
  <c r="AD43" i="1" s="1"/>
  <c r="CZ42" i="1"/>
  <c r="CY42" i="1"/>
  <c r="CW42" i="1"/>
  <c r="BL42" i="1"/>
  <c r="BK42" i="1"/>
  <c r="BG42" i="1"/>
  <c r="BC42" i="1"/>
  <c r="AW42" i="1"/>
  <c r="AQ42" i="1"/>
  <c r="BD42" i="1" s="1"/>
  <c r="AL42" i="1"/>
  <c r="AK42" i="1"/>
  <c r="AJ42" i="1"/>
  <c r="N42" i="1" s="1"/>
  <c r="AB42" i="1"/>
  <c r="AA42" i="1"/>
  <c r="Z42" i="1" s="1"/>
  <c r="S42" i="1"/>
  <c r="CZ41" i="1"/>
  <c r="CY41" i="1"/>
  <c r="CW41" i="1"/>
  <c r="CX41" i="1" s="1"/>
  <c r="AY41" i="1" s="1"/>
  <c r="BA41" i="1" s="1"/>
  <c r="BM41" i="1"/>
  <c r="BN41" i="1" s="1"/>
  <c r="BL41" i="1"/>
  <c r="BK41" i="1"/>
  <c r="BJ41" i="1"/>
  <c r="BI41" i="1"/>
  <c r="BG41" i="1"/>
  <c r="BH41" i="1" s="1"/>
  <c r="BD41" i="1"/>
  <c r="BC41" i="1"/>
  <c r="AW41" i="1"/>
  <c r="AQ41" i="1"/>
  <c r="AL41" i="1"/>
  <c r="AJ41" i="1" s="1"/>
  <c r="AK41" i="1"/>
  <c r="AB41" i="1"/>
  <c r="AA41" i="1"/>
  <c r="S41" i="1"/>
  <c r="Q41" i="1"/>
  <c r="L41" i="1"/>
  <c r="K41" i="1" s="1"/>
  <c r="CZ40" i="1"/>
  <c r="CY40" i="1"/>
  <c r="CX40" i="1" s="1"/>
  <c r="AY40" i="1" s="1"/>
  <c r="CW40" i="1"/>
  <c r="BL40" i="1"/>
  <c r="BK40" i="1"/>
  <c r="BJ40" i="1"/>
  <c r="BI40" i="1"/>
  <c r="BM40" i="1" s="1"/>
  <c r="BN40" i="1" s="1"/>
  <c r="BH40" i="1"/>
  <c r="BG40" i="1"/>
  <c r="BC40" i="1"/>
  <c r="AW40" i="1"/>
  <c r="BA40" i="1" s="1"/>
  <c r="AQ40" i="1"/>
  <c r="BD40" i="1" s="1"/>
  <c r="AL40" i="1"/>
  <c r="AJ40" i="1"/>
  <c r="AB40" i="1"/>
  <c r="AA40" i="1"/>
  <c r="Z40" i="1"/>
  <c r="V40" i="1"/>
  <c r="S40" i="1"/>
  <c r="Q40" i="1"/>
  <c r="N40" i="1"/>
  <c r="CZ39" i="1"/>
  <c r="CY39" i="1"/>
  <c r="CX39" i="1"/>
  <c r="AY39" i="1" s="1"/>
  <c r="CW39" i="1"/>
  <c r="BL39" i="1"/>
  <c r="BK39" i="1"/>
  <c r="BJ39" i="1"/>
  <c r="BG39" i="1"/>
  <c r="BD39" i="1"/>
  <c r="BC39" i="1"/>
  <c r="AW39" i="1"/>
  <c r="BA39" i="1" s="1"/>
  <c r="AQ39" i="1"/>
  <c r="AL39" i="1"/>
  <c r="AJ39" i="1" s="1"/>
  <c r="AB39" i="1"/>
  <c r="AA39" i="1"/>
  <c r="Z39" i="1" s="1"/>
  <c r="V39" i="1"/>
  <c r="S39" i="1"/>
  <c r="M39" i="1"/>
  <c r="AZ39" i="1" s="1"/>
  <c r="L39" i="1"/>
  <c r="K39" i="1" s="1"/>
  <c r="AD39" i="1" s="1"/>
  <c r="CZ38" i="1"/>
  <c r="CY38" i="1"/>
  <c r="CW38" i="1"/>
  <c r="BL38" i="1"/>
  <c r="BK38" i="1"/>
  <c r="BH38" i="1"/>
  <c r="BG38" i="1"/>
  <c r="BC38" i="1"/>
  <c r="AW38" i="1"/>
  <c r="AQ38" i="1"/>
  <c r="BD38" i="1" s="1"/>
  <c r="AL38" i="1"/>
  <c r="AJ38" i="1" s="1"/>
  <c r="AB38" i="1"/>
  <c r="Z38" i="1" s="1"/>
  <c r="AA38" i="1"/>
  <c r="S38" i="1"/>
  <c r="CZ37" i="1"/>
  <c r="CY37" i="1"/>
  <c r="CW37" i="1"/>
  <c r="CX37" i="1" s="1"/>
  <c r="BL37" i="1"/>
  <c r="BK37" i="1"/>
  <c r="BJ37" i="1"/>
  <c r="BG37" i="1"/>
  <c r="BH37" i="1" s="1"/>
  <c r="BD37" i="1"/>
  <c r="BC37" i="1"/>
  <c r="AY37" i="1"/>
  <c r="BA37" i="1" s="1"/>
  <c r="AW37" i="1"/>
  <c r="AQ37" i="1"/>
  <c r="AL37" i="1"/>
  <c r="AJ37" i="1"/>
  <c r="AB37" i="1"/>
  <c r="AA37" i="1"/>
  <c r="Z37" i="1" s="1"/>
  <c r="S37" i="1"/>
  <c r="CZ36" i="1"/>
  <c r="CY36" i="1"/>
  <c r="CW36" i="1"/>
  <c r="BL36" i="1"/>
  <c r="BK36" i="1"/>
  <c r="BI36" i="1"/>
  <c r="BM36" i="1" s="1"/>
  <c r="BN36" i="1" s="1"/>
  <c r="BH36" i="1"/>
  <c r="BG36" i="1"/>
  <c r="BJ36" i="1" s="1"/>
  <c r="BC36" i="1"/>
  <c r="AZ36" i="1"/>
  <c r="AW36" i="1"/>
  <c r="AQ36" i="1"/>
  <c r="BD36" i="1" s="1"/>
  <c r="AL36" i="1"/>
  <c r="AK36" i="1"/>
  <c r="AJ36" i="1"/>
  <c r="L36" i="1" s="1"/>
  <c r="AB36" i="1"/>
  <c r="AA36" i="1"/>
  <c r="Z36" i="1" s="1"/>
  <c r="S36" i="1"/>
  <c r="Q36" i="1"/>
  <c r="M36" i="1"/>
  <c r="K36" i="1"/>
  <c r="CZ35" i="1"/>
  <c r="CY35" i="1"/>
  <c r="CX35" i="1" s="1"/>
  <c r="AY35" i="1" s="1"/>
  <c r="CW35" i="1"/>
  <c r="BN35" i="1"/>
  <c r="BL35" i="1"/>
  <c r="BK35" i="1"/>
  <c r="BJ35" i="1"/>
  <c r="BI35" i="1"/>
  <c r="BM35" i="1" s="1"/>
  <c r="BH35" i="1"/>
  <c r="BG35" i="1"/>
  <c r="BD35" i="1"/>
  <c r="BC35" i="1"/>
  <c r="AW35" i="1"/>
  <c r="AQ35" i="1"/>
  <c r="AL35" i="1"/>
  <c r="AJ35" i="1" s="1"/>
  <c r="AK35" i="1"/>
  <c r="AB35" i="1"/>
  <c r="AA35" i="1"/>
  <c r="V35" i="1"/>
  <c r="S35" i="1"/>
  <c r="Q35" i="1"/>
  <c r="N35" i="1"/>
  <c r="M35" i="1"/>
  <c r="AZ35" i="1" s="1"/>
  <c r="BB35" i="1" s="1"/>
  <c r="L35" i="1"/>
  <c r="K35" i="1"/>
  <c r="AD35" i="1" s="1"/>
  <c r="CZ34" i="1"/>
  <c r="CY34" i="1"/>
  <c r="CX34" i="1"/>
  <c r="CW34" i="1"/>
  <c r="BL34" i="1"/>
  <c r="BK34" i="1"/>
  <c r="BG34" i="1"/>
  <c r="BC34" i="1"/>
  <c r="AY34" i="1"/>
  <c r="BA34" i="1" s="1"/>
  <c r="AW34" i="1"/>
  <c r="AQ34" i="1"/>
  <c r="BD34" i="1" s="1"/>
  <c r="AL34" i="1"/>
  <c r="AJ34" i="1" s="1"/>
  <c r="N34" i="1" s="1"/>
  <c r="AB34" i="1"/>
  <c r="AA34" i="1"/>
  <c r="Z34" i="1" s="1"/>
  <c r="V34" i="1"/>
  <c r="S34" i="1"/>
  <c r="L34" i="1"/>
  <c r="K34" i="1" s="1"/>
  <c r="W34" i="1" s="1"/>
  <c r="X34" i="1" s="1"/>
  <c r="CZ33" i="1"/>
  <c r="CY33" i="1"/>
  <c r="CW33" i="1"/>
  <c r="BL33" i="1"/>
  <c r="BK33" i="1"/>
  <c r="BG33" i="1"/>
  <c r="BC33" i="1"/>
  <c r="AW33" i="1"/>
  <c r="AQ33" i="1"/>
  <c r="BD33" i="1" s="1"/>
  <c r="AL33" i="1"/>
  <c r="AJ33" i="1"/>
  <c r="AB33" i="1"/>
  <c r="AA33" i="1"/>
  <c r="Z33" i="1"/>
  <c r="V33" i="1"/>
  <c r="S33" i="1"/>
  <c r="M33" i="1"/>
  <c r="AZ33" i="1" s="1"/>
  <c r="CZ32" i="1"/>
  <c r="V32" i="1" s="1"/>
  <c r="CY32" i="1"/>
  <c r="CX32" i="1"/>
  <c r="AY32" i="1" s="1"/>
  <c r="CW32" i="1"/>
  <c r="BM32" i="1"/>
  <c r="BN32" i="1" s="1"/>
  <c r="BL32" i="1"/>
  <c r="BK32" i="1"/>
  <c r="BJ32" i="1"/>
  <c r="BI32" i="1"/>
  <c r="BH32" i="1"/>
  <c r="BG32" i="1"/>
  <c r="BC32" i="1"/>
  <c r="AW32" i="1"/>
  <c r="BA32" i="1" s="1"/>
  <c r="AQ32" i="1"/>
  <c r="BD32" i="1" s="1"/>
  <c r="AL32" i="1"/>
  <c r="AJ32" i="1" s="1"/>
  <c r="AK32" i="1"/>
  <c r="AB32" i="1"/>
  <c r="AA32" i="1"/>
  <c r="Z32" i="1" s="1"/>
  <c r="S32" i="1"/>
  <c r="N32" i="1"/>
  <c r="CZ31" i="1"/>
  <c r="CY31" i="1"/>
  <c r="CX31" i="1"/>
  <c r="CW31" i="1"/>
  <c r="BN31" i="1"/>
  <c r="BL31" i="1"/>
  <c r="BK31" i="1"/>
  <c r="BI31" i="1"/>
  <c r="BM31" i="1" s="1"/>
  <c r="BH31" i="1"/>
  <c r="BG31" i="1"/>
  <c r="BJ31" i="1" s="1"/>
  <c r="BD31" i="1"/>
  <c r="BC31" i="1"/>
  <c r="AY31" i="1"/>
  <c r="AW31" i="1"/>
  <c r="BA31" i="1" s="1"/>
  <c r="AQ31" i="1"/>
  <c r="AL31" i="1"/>
  <c r="AJ31" i="1" s="1"/>
  <c r="AB31" i="1"/>
  <c r="AA31" i="1"/>
  <c r="Z31" i="1" s="1"/>
  <c r="V31" i="1"/>
  <c r="S31" i="1"/>
  <c r="Q31" i="1"/>
  <c r="N31" i="1"/>
  <c r="L31" i="1"/>
  <c r="K31" i="1" s="1"/>
  <c r="W31" i="1" s="1"/>
  <c r="X31" i="1" s="1"/>
  <c r="CZ30" i="1"/>
  <c r="CY30" i="1"/>
  <c r="CW30" i="1"/>
  <c r="BL30" i="1"/>
  <c r="BK30" i="1"/>
  <c r="BG30" i="1"/>
  <c r="BC30" i="1"/>
  <c r="AW30" i="1"/>
  <c r="AQ30" i="1"/>
  <c r="BD30" i="1" s="1"/>
  <c r="AL30" i="1"/>
  <c r="AJ30" i="1"/>
  <c r="AB30" i="1"/>
  <c r="AA30" i="1"/>
  <c r="Z30" i="1"/>
  <c r="S30" i="1"/>
  <c r="CZ29" i="1"/>
  <c r="CY29" i="1"/>
  <c r="CW29" i="1"/>
  <c r="BL29" i="1"/>
  <c r="BK29" i="1"/>
  <c r="BJ29" i="1"/>
  <c r="BG29" i="1"/>
  <c r="BC29" i="1"/>
  <c r="AW29" i="1"/>
  <c r="AQ29" i="1"/>
  <c r="BD29" i="1" s="1"/>
  <c r="AL29" i="1"/>
  <c r="AK29" i="1"/>
  <c r="AJ29" i="1"/>
  <c r="AB29" i="1"/>
  <c r="AA29" i="1"/>
  <c r="Z29" i="1" s="1"/>
  <c r="S29" i="1"/>
  <c r="M29" i="1"/>
  <c r="AZ29" i="1" s="1"/>
  <c r="CZ28" i="1"/>
  <c r="CY28" i="1"/>
  <c r="CX28" i="1"/>
  <c r="AY28" i="1" s="1"/>
  <c r="CW28" i="1"/>
  <c r="BM28" i="1"/>
  <c r="BN28" i="1" s="1"/>
  <c r="BL28" i="1"/>
  <c r="BK28" i="1"/>
  <c r="BJ28" i="1"/>
  <c r="BI28" i="1"/>
  <c r="BH28" i="1"/>
  <c r="BG28" i="1"/>
  <c r="BC28" i="1"/>
  <c r="AW28" i="1"/>
  <c r="BA28" i="1" s="1"/>
  <c r="AQ28" i="1"/>
  <c r="BD28" i="1" s="1"/>
  <c r="AL28" i="1"/>
  <c r="AJ28" i="1" s="1"/>
  <c r="AK28" i="1" s="1"/>
  <c r="AB28" i="1"/>
  <c r="AA28" i="1"/>
  <c r="Z28" i="1" s="1"/>
  <c r="V28" i="1"/>
  <c r="S28" i="1"/>
  <c r="Q28" i="1"/>
  <c r="N28" i="1"/>
  <c r="CZ27" i="1"/>
  <c r="CY27" i="1"/>
  <c r="CX27" i="1" s="1"/>
  <c r="AY27" i="1" s="1"/>
  <c r="CW27" i="1"/>
  <c r="BL27" i="1"/>
  <c r="BK27" i="1"/>
  <c r="BI27" i="1"/>
  <c r="BM27" i="1" s="1"/>
  <c r="BN27" i="1" s="1"/>
  <c r="BH27" i="1"/>
  <c r="BG27" i="1"/>
  <c r="BJ27" i="1" s="1"/>
  <c r="BD27" i="1"/>
  <c r="BC27" i="1"/>
  <c r="AW27" i="1"/>
  <c r="BA27" i="1" s="1"/>
  <c r="AQ27" i="1"/>
  <c r="AL27" i="1"/>
  <c r="AJ27" i="1" s="1"/>
  <c r="AB27" i="1"/>
  <c r="AA27" i="1"/>
  <c r="Z27" i="1" s="1"/>
  <c r="W27" i="1"/>
  <c r="X27" i="1" s="1"/>
  <c r="AF27" i="1" s="1"/>
  <c r="V27" i="1"/>
  <c r="S27" i="1"/>
  <c r="Q27" i="1"/>
  <c r="N27" i="1"/>
  <c r="L27" i="1"/>
  <c r="K27" i="1" s="1"/>
  <c r="T27" i="1" s="1"/>
  <c r="R27" i="1" s="1"/>
  <c r="U27" i="1" s="1"/>
  <c r="CZ26" i="1"/>
  <c r="CY26" i="1"/>
  <c r="CW26" i="1"/>
  <c r="BL26" i="1"/>
  <c r="BK26" i="1"/>
  <c r="BG26" i="1"/>
  <c r="BI26" i="1" s="1"/>
  <c r="BM26" i="1" s="1"/>
  <c r="BN26" i="1" s="1"/>
  <c r="BD26" i="1"/>
  <c r="BC26" i="1"/>
  <c r="AW26" i="1"/>
  <c r="AQ26" i="1"/>
  <c r="AL26" i="1"/>
  <c r="AJ26" i="1"/>
  <c r="AB26" i="1"/>
  <c r="AA26" i="1"/>
  <c r="Z26" i="1"/>
  <c r="S26" i="1"/>
  <c r="CZ25" i="1"/>
  <c r="CY25" i="1"/>
  <c r="CW25" i="1"/>
  <c r="V25" i="1" s="1"/>
  <c r="BM25" i="1"/>
  <c r="BN25" i="1" s="1"/>
  <c r="BL25" i="1"/>
  <c r="BK25" i="1"/>
  <c r="BJ25" i="1"/>
  <c r="BH25" i="1"/>
  <c r="BG25" i="1"/>
  <c r="BI25" i="1" s="1"/>
  <c r="BC25" i="1"/>
  <c r="AW25" i="1"/>
  <c r="AQ25" i="1"/>
  <c r="BD25" i="1" s="1"/>
  <c r="AL25" i="1"/>
  <c r="AK25" i="1"/>
  <c r="AJ25" i="1"/>
  <c r="AB25" i="1"/>
  <c r="AA25" i="1"/>
  <c r="Z25" i="1"/>
  <c r="S25" i="1"/>
  <c r="N25" i="1"/>
  <c r="M25" i="1"/>
  <c r="AZ25" i="1" s="1"/>
  <c r="CZ24" i="1"/>
  <c r="CY24" i="1"/>
  <c r="CX24" i="1"/>
  <c r="AY24" i="1" s="1"/>
  <c r="CW24" i="1"/>
  <c r="BM24" i="1"/>
  <c r="BN24" i="1" s="1"/>
  <c r="BL24" i="1"/>
  <c r="BK24" i="1"/>
  <c r="BJ24" i="1"/>
  <c r="BI24" i="1"/>
  <c r="BH24" i="1"/>
  <c r="BG24" i="1"/>
  <c r="BD24" i="1"/>
  <c r="BC24" i="1"/>
  <c r="BA24" i="1"/>
  <c r="AW24" i="1"/>
  <c r="AQ24" i="1"/>
  <c r="AL24" i="1"/>
  <c r="AJ24" i="1" s="1"/>
  <c r="M24" i="1" s="1"/>
  <c r="AZ24" i="1" s="1"/>
  <c r="BB24" i="1" s="1"/>
  <c r="AB24" i="1"/>
  <c r="AA24" i="1"/>
  <c r="V24" i="1"/>
  <c r="S24" i="1"/>
  <c r="Q24" i="1"/>
  <c r="CZ23" i="1"/>
  <c r="CY23" i="1"/>
  <c r="CX23" i="1"/>
  <c r="AY23" i="1" s="1"/>
  <c r="CW23" i="1"/>
  <c r="BL23" i="1"/>
  <c r="BK23" i="1"/>
  <c r="BI23" i="1"/>
  <c r="BM23" i="1" s="1"/>
  <c r="BN23" i="1" s="1"/>
  <c r="BH23" i="1"/>
  <c r="BG23" i="1"/>
  <c r="BJ23" i="1" s="1"/>
  <c r="BD23" i="1"/>
  <c r="BC23" i="1"/>
  <c r="AW23" i="1"/>
  <c r="BA23" i="1" s="1"/>
  <c r="AQ23" i="1"/>
  <c r="AL23" i="1"/>
  <c r="AJ23" i="1"/>
  <c r="N23" i="1" s="1"/>
  <c r="AB23" i="1"/>
  <c r="AA23" i="1"/>
  <c r="Z23" i="1"/>
  <c r="V23" i="1"/>
  <c r="S23" i="1"/>
  <c r="CZ22" i="1"/>
  <c r="CY22" i="1"/>
  <c r="CW22" i="1"/>
  <c r="BL22" i="1"/>
  <c r="BK22" i="1"/>
  <c r="BG22" i="1"/>
  <c r="BH22" i="1" s="1"/>
  <c r="BC22" i="1"/>
  <c r="AW22" i="1"/>
  <c r="AQ22" i="1"/>
  <c r="BD22" i="1" s="1"/>
  <c r="AL22" i="1"/>
  <c r="AJ22" i="1" s="1"/>
  <c r="AB22" i="1"/>
  <c r="AA22" i="1"/>
  <c r="Z22" i="1"/>
  <c r="S22" i="1"/>
  <c r="CZ21" i="1"/>
  <c r="CY21" i="1"/>
  <c r="CX21" i="1"/>
  <c r="AY21" i="1" s="1"/>
  <c r="CW21" i="1"/>
  <c r="BM21" i="1"/>
  <c r="BN21" i="1" s="1"/>
  <c r="BL21" i="1"/>
  <c r="BK21" i="1"/>
  <c r="BJ21" i="1"/>
  <c r="BH21" i="1"/>
  <c r="BG21" i="1"/>
  <c r="BI21" i="1" s="1"/>
  <c r="BC21" i="1"/>
  <c r="AW21" i="1"/>
  <c r="BA21" i="1" s="1"/>
  <c r="AQ21" i="1"/>
  <c r="BD21" i="1" s="1"/>
  <c r="AL21" i="1"/>
  <c r="AJ21" i="1"/>
  <c r="L21" i="1" s="1"/>
  <c r="AD21" i="1"/>
  <c r="AB21" i="1"/>
  <c r="AA21" i="1"/>
  <c r="Z21" i="1" s="1"/>
  <c r="V21" i="1"/>
  <c r="S21" i="1"/>
  <c r="N21" i="1"/>
  <c r="K21" i="1"/>
  <c r="CZ20" i="1"/>
  <c r="V20" i="1" s="1"/>
  <c r="CY20" i="1"/>
  <c r="CX20" i="1" s="1"/>
  <c r="AY20" i="1" s="1"/>
  <c r="CW20" i="1"/>
  <c r="BL20" i="1"/>
  <c r="BK20" i="1"/>
  <c r="BJ20" i="1"/>
  <c r="BI20" i="1"/>
  <c r="BM20" i="1" s="1"/>
  <c r="BN20" i="1" s="1"/>
  <c r="BH20" i="1"/>
  <c r="BG20" i="1"/>
  <c r="BD20" i="1"/>
  <c r="BC20" i="1"/>
  <c r="AZ20" i="1"/>
  <c r="AW20" i="1"/>
  <c r="BA20" i="1" s="1"/>
  <c r="AQ20" i="1"/>
  <c r="AL20" i="1"/>
  <c r="AJ20" i="1" s="1"/>
  <c r="M20" i="1" s="1"/>
  <c r="AB20" i="1"/>
  <c r="AA20" i="1"/>
  <c r="S20" i="1"/>
  <c r="Q20" i="1"/>
  <c r="L20" i="1"/>
  <c r="K20" i="1" s="1"/>
  <c r="CZ19" i="1"/>
  <c r="CY19" i="1"/>
  <c r="CX19" i="1"/>
  <c r="AY19" i="1" s="1"/>
  <c r="CW19" i="1"/>
  <c r="V19" i="1" s="1"/>
  <c r="BL19" i="1"/>
  <c r="BK19" i="1"/>
  <c r="BG19" i="1"/>
  <c r="BJ19" i="1" s="1"/>
  <c r="BD19" i="1"/>
  <c r="BC19" i="1"/>
  <c r="AW19" i="1"/>
  <c r="AQ19" i="1"/>
  <c r="AL19" i="1"/>
  <c r="AJ19" i="1" s="1"/>
  <c r="AB19" i="1"/>
  <c r="Z19" i="1" s="1"/>
  <c r="AA19" i="1"/>
  <c r="S19" i="1"/>
  <c r="CZ18" i="1"/>
  <c r="CY18" i="1"/>
  <c r="CW18" i="1"/>
  <c r="CX18" i="1" s="1"/>
  <c r="AY18" i="1" s="1"/>
  <c r="BA18" i="1" s="1"/>
  <c r="BL18" i="1"/>
  <c r="BK18" i="1"/>
  <c r="BG18" i="1"/>
  <c r="BJ18" i="1" s="1"/>
  <c r="BC18" i="1"/>
  <c r="AW18" i="1"/>
  <c r="AQ18" i="1"/>
  <c r="BD18" i="1" s="1"/>
  <c r="AL18" i="1"/>
  <c r="AJ18" i="1"/>
  <c r="N18" i="1" s="1"/>
  <c r="AB18" i="1"/>
  <c r="AA18" i="1"/>
  <c r="Z18" i="1"/>
  <c r="S18" i="1"/>
  <c r="Q18" i="1"/>
  <c r="CZ17" i="1"/>
  <c r="V17" i="1" s="1"/>
  <c r="CY17" i="1"/>
  <c r="CX17" i="1" s="1"/>
  <c r="AY17" i="1" s="1"/>
  <c r="BA17" i="1" s="1"/>
  <c r="CW17" i="1"/>
  <c r="BL17" i="1"/>
  <c r="BK17" i="1"/>
  <c r="BJ17" i="1"/>
  <c r="BI17" i="1"/>
  <c r="BM17" i="1" s="1"/>
  <c r="BN17" i="1" s="1"/>
  <c r="BH17" i="1"/>
  <c r="BG17" i="1"/>
  <c r="BC17" i="1"/>
  <c r="AZ17" i="1"/>
  <c r="AW17" i="1"/>
  <c r="AQ17" i="1"/>
  <c r="BD17" i="1" s="1"/>
  <c r="AL17" i="1"/>
  <c r="AK17" i="1"/>
  <c r="AJ17" i="1"/>
  <c r="L17" i="1" s="1"/>
  <c r="K17" i="1" s="1"/>
  <c r="AB17" i="1"/>
  <c r="AA17" i="1"/>
  <c r="Z17" i="1" s="1"/>
  <c r="S17" i="1"/>
  <c r="Q17" i="1"/>
  <c r="N17" i="1"/>
  <c r="M17" i="1"/>
  <c r="W20" i="1" l="1"/>
  <c r="X20" i="1" s="1"/>
  <c r="W32" i="1"/>
  <c r="X32" i="1" s="1"/>
  <c r="W17" i="1"/>
  <c r="X17" i="1" s="1"/>
  <c r="AD20" i="1"/>
  <c r="AD17" i="1"/>
  <c r="T17" i="1"/>
  <c r="R17" i="1" s="1"/>
  <c r="U17" i="1" s="1"/>
  <c r="O17" i="1" s="1"/>
  <c r="P17" i="1" s="1"/>
  <c r="AK19" i="1"/>
  <c r="Q19" i="1"/>
  <c r="L19" i="1"/>
  <c r="K19" i="1" s="1"/>
  <c r="N19" i="1"/>
  <c r="M19" i="1"/>
  <c r="AZ19" i="1" s="1"/>
  <c r="BB19" i="1" s="1"/>
  <c r="W19" i="1"/>
  <c r="X19" i="1" s="1"/>
  <c r="AF34" i="1"/>
  <c r="AE34" i="1"/>
  <c r="Y34" i="1"/>
  <c r="AC34" i="1" s="1"/>
  <c r="AF31" i="1"/>
  <c r="Y31" i="1"/>
  <c r="AC31" i="1" s="1"/>
  <c r="AE31" i="1"/>
  <c r="BB17" i="1"/>
  <c r="BA19" i="1"/>
  <c r="AK22" i="1"/>
  <c r="Q22" i="1"/>
  <c r="N22" i="1"/>
  <c r="L22" i="1"/>
  <c r="K22" i="1" s="1"/>
  <c r="M22" i="1"/>
  <c r="AZ22" i="1" s="1"/>
  <c r="BB22" i="1" s="1"/>
  <c r="O27" i="1"/>
  <c r="P27" i="1" s="1"/>
  <c r="AK26" i="1"/>
  <c r="Q26" i="1"/>
  <c r="N26" i="1"/>
  <c r="BH19" i="1"/>
  <c r="BB20" i="1"/>
  <c r="BA25" i="1"/>
  <c r="M32" i="1"/>
  <c r="AZ32" i="1" s="1"/>
  <c r="BB32" i="1" s="1"/>
  <c r="L32" i="1"/>
  <c r="K32" i="1" s="1"/>
  <c r="Q32" i="1"/>
  <c r="M44" i="1"/>
  <c r="AZ44" i="1" s="1"/>
  <c r="BB44" i="1" s="1"/>
  <c r="L44" i="1"/>
  <c r="K44" i="1" s="1"/>
  <c r="AK44" i="1"/>
  <c r="Q44" i="1"/>
  <c r="N44" i="1"/>
  <c r="BJ50" i="1"/>
  <c r="BI50" i="1"/>
  <c r="BM50" i="1" s="1"/>
  <c r="BN50" i="1" s="1"/>
  <c r="BH50" i="1"/>
  <c r="BJ55" i="1"/>
  <c r="BI55" i="1"/>
  <c r="BM55" i="1" s="1"/>
  <c r="BN55" i="1" s="1"/>
  <c r="BH55" i="1"/>
  <c r="Y57" i="1"/>
  <c r="AC57" i="1" s="1"/>
  <c r="AE57" i="1"/>
  <c r="AK30" i="1"/>
  <c r="Q30" i="1"/>
  <c r="N30" i="1"/>
  <c r="N37" i="1"/>
  <c r="AK37" i="1"/>
  <c r="Q37" i="1"/>
  <c r="M37" i="1"/>
  <c r="AZ37" i="1" s="1"/>
  <c r="BB37" i="1" s="1"/>
  <c r="BJ42" i="1"/>
  <c r="BI42" i="1"/>
  <c r="BM42" i="1" s="1"/>
  <c r="BN42" i="1" s="1"/>
  <c r="BH42" i="1"/>
  <c r="BI22" i="1"/>
  <c r="BM22" i="1" s="1"/>
  <c r="BN22" i="1" s="1"/>
  <c r="CX38" i="1"/>
  <c r="AY38" i="1" s="1"/>
  <c r="V38" i="1"/>
  <c r="AK18" i="1"/>
  <c r="W21" i="1"/>
  <c r="X21" i="1" s="1"/>
  <c r="T21" i="1" s="1"/>
  <c r="R21" i="1" s="1"/>
  <c r="U21" i="1" s="1"/>
  <c r="O21" i="1" s="1"/>
  <c r="P21" i="1" s="1"/>
  <c r="BJ22" i="1"/>
  <c r="L18" i="1"/>
  <c r="K18" i="1" s="1"/>
  <c r="BI19" i="1"/>
  <c r="BM19" i="1" s="1"/>
  <c r="BN19" i="1" s="1"/>
  <c r="M21" i="1"/>
  <c r="AZ21" i="1" s="1"/>
  <c r="BB21" i="1" s="1"/>
  <c r="AK24" i="1"/>
  <c r="Q29" i="1"/>
  <c r="N29" i="1"/>
  <c r="L29" i="1"/>
  <c r="K29" i="1" s="1"/>
  <c r="BI29" i="1"/>
  <c r="BM29" i="1" s="1"/>
  <c r="BN29" i="1" s="1"/>
  <c r="BH29" i="1"/>
  <c r="L30" i="1"/>
  <c r="K30" i="1" s="1"/>
  <c r="AD31" i="1"/>
  <c r="BA38" i="1"/>
  <c r="BI39" i="1"/>
  <c r="BM39" i="1" s="1"/>
  <c r="BN39" i="1" s="1"/>
  <c r="BH39" i="1"/>
  <c r="CX42" i="1"/>
  <c r="AY42" i="1" s="1"/>
  <c r="V42" i="1"/>
  <c r="CX29" i="1"/>
  <c r="AY29" i="1" s="1"/>
  <c r="BA29" i="1" s="1"/>
  <c r="V29" i="1"/>
  <c r="M23" i="1"/>
  <c r="AZ23" i="1" s="1"/>
  <c r="BB23" i="1" s="1"/>
  <c r="AK23" i="1"/>
  <c r="AD27" i="1"/>
  <c r="M30" i="1"/>
  <c r="AZ30" i="1" s="1"/>
  <c r="BB30" i="1" s="1"/>
  <c r="T34" i="1"/>
  <c r="R34" i="1" s="1"/>
  <c r="U34" i="1" s="1"/>
  <c r="O34" i="1" s="1"/>
  <c r="P34" i="1" s="1"/>
  <c r="AD36" i="1"/>
  <c r="CX36" i="1"/>
  <c r="AY36" i="1" s="1"/>
  <c r="BA36" i="1" s="1"/>
  <c r="V36" i="1"/>
  <c r="AD41" i="1"/>
  <c r="Q46" i="1"/>
  <c r="L46" i="1"/>
  <c r="K46" i="1" s="1"/>
  <c r="AK46" i="1"/>
  <c r="N46" i="1"/>
  <c r="M26" i="1"/>
  <c r="AZ26" i="1" s="1"/>
  <c r="W39" i="1"/>
  <c r="X39" i="1" s="1"/>
  <c r="M18" i="1"/>
  <c r="AZ18" i="1" s="1"/>
  <c r="BB18" i="1" s="1"/>
  <c r="Q23" i="1"/>
  <c r="V18" i="1"/>
  <c r="BH18" i="1"/>
  <c r="N20" i="1"/>
  <c r="AK20" i="1"/>
  <c r="AK21" i="1"/>
  <c r="L24" i="1"/>
  <c r="K24" i="1" s="1"/>
  <c r="W24" i="1" s="1"/>
  <c r="X24" i="1" s="1"/>
  <c r="CX25" i="1"/>
  <c r="AY25" i="1" s="1"/>
  <c r="BB25" i="1" s="1"/>
  <c r="AE27" i="1"/>
  <c r="AG27" i="1" s="1"/>
  <c r="W28" i="1"/>
  <c r="X28" i="1" s="1"/>
  <c r="CX30" i="1"/>
  <c r="AY30" i="1" s="1"/>
  <c r="BA30" i="1" s="1"/>
  <c r="V30" i="1"/>
  <c r="T31" i="1"/>
  <c r="R31" i="1" s="1"/>
  <c r="U31" i="1" s="1"/>
  <c r="BH33" i="1"/>
  <c r="BJ33" i="1"/>
  <c r="BI33" i="1"/>
  <c r="BM33" i="1" s="1"/>
  <c r="BN33" i="1" s="1"/>
  <c r="AD34" i="1"/>
  <c r="BJ34" i="1"/>
  <c r="BI34" i="1"/>
  <c r="BM34" i="1" s="1"/>
  <c r="BN34" i="1" s="1"/>
  <c r="BH34" i="1"/>
  <c r="W35" i="1"/>
  <c r="X35" i="1" s="1"/>
  <c r="BB36" i="1"/>
  <c r="BB39" i="1"/>
  <c r="M40" i="1"/>
  <c r="AZ40" i="1" s="1"/>
  <c r="BB40" i="1" s="1"/>
  <c r="L40" i="1"/>
  <c r="K40" i="1" s="1"/>
  <c r="AK40" i="1"/>
  <c r="AD47" i="1"/>
  <c r="BJ30" i="1"/>
  <c r="BH30" i="1"/>
  <c r="Y27" i="1"/>
  <c r="AC27" i="1" s="1"/>
  <c r="BI30" i="1"/>
  <c r="BM30" i="1" s="1"/>
  <c r="BN30" i="1" s="1"/>
  <c r="Q38" i="1"/>
  <c r="AK38" i="1"/>
  <c r="M38" i="1"/>
  <c r="AZ38" i="1" s="1"/>
  <c r="BB38" i="1" s="1"/>
  <c r="L38" i="1"/>
  <c r="K38" i="1" s="1"/>
  <c r="W53" i="1"/>
  <c r="X53" i="1" s="1"/>
  <c r="T53" i="1" s="1"/>
  <c r="R53" i="1" s="1"/>
  <c r="U53" i="1" s="1"/>
  <c r="O53" i="1" s="1"/>
  <c r="P53" i="1" s="1"/>
  <c r="BI18" i="1"/>
  <c r="BM18" i="1" s="1"/>
  <c r="BN18" i="1" s="1"/>
  <c r="Q21" i="1"/>
  <c r="CX22" i="1"/>
  <c r="AY22" i="1" s="1"/>
  <c r="BA22" i="1" s="1"/>
  <c r="V22" i="1"/>
  <c r="N24" i="1"/>
  <c r="Z24" i="1"/>
  <c r="Q25" i="1"/>
  <c r="L25" i="1"/>
  <c r="K25" i="1" s="1"/>
  <c r="CX26" i="1"/>
  <c r="AY26" i="1" s="1"/>
  <c r="BA26" i="1" s="1"/>
  <c r="V26" i="1"/>
  <c r="M28" i="1"/>
  <c r="AZ28" i="1" s="1"/>
  <c r="BB28" i="1" s="1"/>
  <c r="L28" i="1"/>
  <c r="K28" i="1" s="1"/>
  <c r="M31" i="1"/>
  <c r="AZ31" i="1" s="1"/>
  <c r="BB31" i="1" s="1"/>
  <c r="AK31" i="1"/>
  <c r="Q33" i="1"/>
  <c r="N33" i="1"/>
  <c r="L33" i="1"/>
  <c r="K33" i="1" s="1"/>
  <c r="AK33" i="1"/>
  <c r="BA35" i="1"/>
  <c r="BA42" i="1"/>
  <c r="M46" i="1"/>
  <c r="AZ46" i="1" s="1"/>
  <c r="BB46" i="1" s="1"/>
  <c r="M55" i="1"/>
  <c r="AZ55" i="1" s="1"/>
  <c r="BB55" i="1" s="1"/>
  <c r="L55" i="1"/>
  <c r="K55" i="1" s="1"/>
  <c r="AK55" i="1"/>
  <c r="Q55" i="1"/>
  <c r="N55" i="1"/>
  <c r="AF57" i="1"/>
  <c r="L26" i="1"/>
  <c r="K26" i="1" s="1"/>
  <c r="L23" i="1"/>
  <c r="K23" i="1" s="1"/>
  <c r="BJ26" i="1"/>
  <c r="BH26" i="1"/>
  <c r="N38" i="1"/>
  <c r="AD51" i="1"/>
  <c r="Z20" i="1"/>
  <c r="M27" i="1"/>
  <c r="AZ27" i="1" s="1"/>
  <c r="BB27" i="1" s="1"/>
  <c r="AK27" i="1"/>
  <c r="M34" i="1"/>
  <c r="AZ34" i="1" s="1"/>
  <c r="BB34" i="1" s="1"/>
  <c r="AK34" i="1"/>
  <c r="Q34" i="1"/>
  <c r="L37" i="1"/>
  <c r="K37" i="1" s="1"/>
  <c r="W48" i="1"/>
  <c r="X48" i="1" s="1"/>
  <c r="Q50" i="1"/>
  <c r="L50" i="1"/>
  <c r="K50" i="1" s="1"/>
  <c r="AK50" i="1"/>
  <c r="BH54" i="1"/>
  <c r="BJ54" i="1"/>
  <c r="BI54" i="1"/>
  <c r="BM54" i="1" s="1"/>
  <c r="BN54" i="1" s="1"/>
  <c r="N66" i="1"/>
  <c r="M66" i="1"/>
  <c r="AZ66" i="1" s="1"/>
  <c r="BB66" i="1" s="1"/>
  <c r="L66" i="1"/>
  <c r="K66" i="1" s="1"/>
  <c r="AK66" i="1"/>
  <c r="Q66" i="1"/>
  <c r="AK39" i="1"/>
  <c r="Q39" i="1"/>
  <c r="N45" i="1"/>
  <c r="M45" i="1"/>
  <c r="AZ45" i="1" s="1"/>
  <c r="BB45" i="1" s="1"/>
  <c r="BA46" i="1"/>
  <c r="AK51" i="1"/>
  <c r="Q51" i="1"/>
  <c r="N51" i="1"/>
  <c r="M51" i="1"/>
  <c r="AZ51" i="1" s="1"/>
  <c r="BB51" i="1" s="1"/>
  <c r="CX33" i="1"/>
  <c r="AY33" i="1" s="1"/>
  <c r="BA33" i="1" s="1"/>
  <c r="N36" i="1"/>
  <c r="BI37" i="1"/>
  <c r="BM37" i="1" s="1"/>
  <c r="BN37" i="1" s="1"/>
  <c r="N39" i="1"/>
  <c r="W40" i="1"/>
  <c r="X40" i="1" s="1"/>
  <c r="N41" i="1"/>
  <c r="M41" i="1"/>
  <c r="AZ41" i="1" s="1"/>
  <c r="BB41" i="1" s="1"/>
  <c r="CX43" i="1"/>
  <c r="AY43" i="1" s="1"/>
  <c r="BA43" i="1" s="1"/>
  <c r="V43" i="1"/>
  <c r="M48" i="1"/>
  <c r="AZ48" i="1" s="1"/>
  <c r="BB48" i="1" s="1"/>
  <c r="L48" i="1"/>
  <c r="K48" i="1" s="1"/>
  <c r="AK48" i="1"/>
  <c r="N54" i="1"/>
  <c r="M54" i="1"/>
  <c r="AZ54" i="1" s="1"/>
  <c r="L54" i="1"/>
  <c r="K54" i="1" s="1"/>
  <c r="AK54" i="1"/>
  <c r="Q54" i="1"/>
  <c r="T57" i="1"/>
  <c r="R57" i="1" s="1"/>
  <c r="U57" i="1" s="1"/>
  <c r="AD57" i="1"/>
  <c r="CX59" i="1"/>
  <c r="AY59" i="1" s="1"/>
  <c r="BA59" i="1" s="1"/>
  <c r="V59" i="1"/>
  <c r="Z35" i="1"/>
  <c r="M42" i="1"/>
  <c r="AZ42" i="1" s="1"/>
  <c r="BB42" i="1" s="1"/>
  <c r="Z45" i="1"/>
  <c r="BJ46" i="1"/>
  <c r="BI46" i="1"/>
  <c r="BM46" i="1" s="1"/>
  <c r="BN46" i="1" s="1"/>
  <c r="CX47" i="1"/>
  <c r="AY47" i="1" s="1"/>
  <c r="BA47" i="1" s="1"/>
  <c r="L49" i="1"/>
  <c r="K49" i="1" s="1"/>
  <c r="M52" i="1"/>
  <c r="AZ52" i="1" s="1"/>
  <c r="BB52" i="1" s="1"/>
  <c r="L52" i="1"/>
  <c r="K52" i="1" s="1"/>
  <c r="AK52" i="1"/>
  <c r="BJ38" i="1"/>
  <c r="BI38" i="1"/>
  <c r="BM38" i="1" s="1"/>
  <c r="BN38" i="1" s="1"/>
  <c r="Z41" i="1"/>
  <c r="AK43" i="1"/>
  <c r="Q43" i="1"/>
  <c r="N43" i="1"/>
  <c r="L45" i="1"/>
  <c r="K45" i="1" s="1"/>
  <c r="N49" i="1"/>
  <c r="M49" i="1"/>
  <c r="AZ49" i="1" s="1"/>
  <c r="BB49" i="1" s="1"/>
  <c r="Q49" i="1"/>
  <c r="M50" i="1"/>
  <c r="AZ50" i="1" s="1"/>
  <c r="BB50" i="1" s="1"/>
  <c r="Z51" i="1"/>
  <c r="W52" i="1"/>
  <c r="X52" i="1" s="1"/>
  <c r="AD56" i="1"/>
  <c r="N58" i="1"/>
  <c r="Q58" i="1"/>
  <c r="AK58" i="1"/>
  <c r="M58" i="1"/>
  <c r="AZ58" i="1" s="1"/>
  <c r="BB58" i="1" s="1"/>
  <c r="L58" i="1"/>
  <c r="K58" i="1" s="1"/>
  <c r="Q42" i="1"/>
  <c r="L42" i="1"/>
  <c r="K42" i="1" s="1"/>
  <c r="Q45" i="1"/>
  <c r="AK47" i="1"/>
  <c r="Q47" i="1"/>
  <c r="N47" i="1"/>
  <c r="M47" i="1"/>
  <c r="AZ47" i="1" s="1"/>
  <c r="BB47" i="1" s="1"/>
  <c r="W56" i="1"/>
  <c r="X56" i="1" s="1"/>
  <c r="N56" i="1"/>
  <c r="AK64" i="1"/>
  <c r="Q64" i="1"/>
  <c r="N64" i="1"/>
  <c r="M64" i="1"/>
  <c r="AZ64" i="1" s="1"/>
  <c r="BB64" i="1" s="1"/>
  <c r="L64" i="1"/>
  <c r="K64" i="1" s="1"/>
  <c r="V47" i="1"/>
  <c r="V51" i="1"/>
  <c r="CX54" i="1"/>
  <c r="AY54" i="1" s="1"/>
  <c r="BA54" i="1" s="1"/>
  <c r="V54" i="1"/>
  <c r="N57" i="1"/>
  <c r="CX58" i="1"/>
  <c r="AY58" i="1" s="1"/>
  <c r="BA58" i="1" s="1"/>
  <c r="V58" i="1"/>
  <c r="W61" i="1"/>
  <c r="X61" i="1" s="1"/>
  <c r="T61" i="1" s="1"/>
  <c r="R61" i="1" s="1"/>
  <c r="U61" i="1" s="1"/>
  <c r="O61" i="1" s="1"/>
  <c r="P61" i="1" s="1"/>
  <c r="BA61" i="1"/>
  <c r="N62" i="1"/>
  <c r="M62" i="1"/>
  <c r="AZ62" i="1" s="1"/>
  <c r="BB62" i="1" s="1"/>
  <c r="L62" i="1"/>
  <c r="K62" i="1" s="1"/>
  <c r="AK62" i="1"/>
  <c r="Q62" i="1"/>
  <c r="W68" i="1"/>
  <c r="X68" i="1" s="1"/>
  <c r="AD68" i="1"/>
  <c r="T68" i="1"/>
  <c r="R68" i="1" s="1"/>
  <c r="U68" i="1" s="1"/>
  <c r="O68" i="1" s="1"/>
  <c r="P68" i="1" s="1"/>
  <c r="BH56" i="1"/>
  <c r="BI58" i="1"/>
  <c r="BM58" i="1" s="1"/>
  <c r="BN58" i="1" s="1"/>
  <c r="N59" i="1"/>
  <c r="AK59" i="1"/>
  <c r="AK60" i="1"/>
  <c r="M60" i="1"/>
  <c r="AZ60" i="1" s="1"/>
  <c r="BB60" i="1" s="1"/>
  <c r="AD61" i="1"/>
  <c r="AD65" i="1"/>
  <c r="BA68" i="1"/>
  <c r="V37" i="1"/>
  <c r="V41" i="1"/>
  <c r="V45" i="1"/>
  <c r="V49" i="1"/>
  <c r="BI56" i="1"/>
  <c r="BM56" i="1" s="1"/>
  <c r="BN56" i="1" s="1"/>
  <c r="AK57" i="1"/>
  <c r="BJ58" i="1"/>
  <c r="M59" i="1"/>
  <c r="AZ59" i="1" s="1"/>
  <c r="BB59" i="1" s="1"/>
  <c r="BJ59" i="1"/>
  <c r="BH59" i="1"/>
  <c r="BB61" i="1"/>
  <c r="BB65" i="1"/>
  <c r="AK67" i="1"/>
  <c r="Q67" i="1"/>
  <c r="N67" i="1"/>
  <c r="M67" i="1"/>
  <c r="AZ67" i="1" s="1"/>
  <c r="BB67" i="1" s="1"/>
  <c r="L67" i="1"/>
  <c r="K67" i="1" s="1"/>
  <c r="BI59" i="1"/>
  <c r="BM59" i="1" s="1"/>
  <c r="BN59" i="1" s="1"/>
  <c r="L60" i="1"/>
  <c r="K60" i="1" s="1"/>
  <c r="CX67" i="1"/>
  <c r="AY67" i="1" s="1"/>
  <c r="BA67" i="1" s="1"/>
  <c r="V67" i="1"/>
  <c r="N70" i="1"/>
  <c r="L70" i="1"/>
  <c r="K70" i="1" s="1"/>
  <c r="AK70" i="1"/>
  <c r="Q70" i="1"/>
  <c r="CX73" i="1"/>
  <c r="AY73" i="1" s="1"/>
  <c r="BA73" i="1" s="1"/>
  <c r="V73" i="1"/>
  <c r="L77" i="1"/>
  <c r="K77" i="1" s="1"/>
  <c r="AK77" i="1"/>
  <c r="Q77" i="1"/>
  <c r="N77" i="1"/>
  <c r="W97" i="1"/>
  <c r="X97" i="1" s="1"/>
  <c r="AD105" i="1"/>
  <c r="BI61" i="1"/>
  <c r="BM61" i="1" s="1"/>
  <c r="BN61" i="1" s="1"/>
  <c r="AK63" i="1"/>
  <c r="W65" i="1"/>
  <c r="X65" i="1" s="1"/>
  <c r="L69" i="1"/>
  <c r="K69" i="1" s="1"/>
  <c r="Q69" i="1"/>
  <c r="BI69" i="1"/>
  <c r="BM69" i="1" s="1"/>
  <c r="BN69" i="1" s="1"/>
  <c r="BI70" i="1"/>
  <c r="BM70" i="1" s="1"/>
  <c r="BN70" i="1" s="1"/>
  <c r="L73" i="1"/>
  <c r="K73" i="1" s="1"/>
  <c r="AK73" i="1"/>
  <c r="Q73" i="1"/>
  <c r="N73" i="1"/>
  <c r="L63" i="1"/>
  <c r="K63" i="1" s="1"/>
  <c r="V64" i="1"/>
  <c r="BI67" i="1"/>
  <c r="BM67" i="1" s="1"/>
  <c r="BN67" i="1" s="1"/>
  <c r="M70" i="1"/>
  <c r="AZ70" i="1" s="1"/>
  <c r="BJ70" i="1"/>
  <c r="M77" i="1"/>
  <c r="AZ77" i="1" s="1"/>
  <c r="BA77" i="1"/>
  <c r="AD82" i="1"/>
  <c r="AD87" i="1"/>
  <c r="BB94" i="1"/>
  <c r="M63" i="1"/>
  <c r="AZ63" i="1" s="1"/>
  <c r="BB63" i="1" s="1"/>
  <c r="BA69" i="1"/>
  <c r="N71" i="1"/>
  <c r="M71" i="1"/>
  <c r="AZ71" i="1" s="1"/>
  <c r="AK71" i="1"/>
  <c r="N72" i="1"/>
  <c r="M72" i="1"/>
  <c r="AZ72" i="1" s="1"/>
  <c r="BB72" i="1" s="1"/>
  <c r="L72" i="1"/>
  <c r="K72" i="1" s="1"/>
  <c r="BB74" i="1"/>
  <c r="N63" i="1"/>
  <c r="V63" i="1"/>
  <c r="BH63" i="1"/>
  <c r="Q76" i="1"/>
  <c r="N76" i="1"/>
  <c r="M76" i="1"/>
  <c r="AZ76" i="1" s="1"/>
  <c r="BB76" i="1" s="1"/>
  <c r="L76" i="1"/>
  <c r="K76" i="1" s="1"/>
  <c r="BJ77" i="1"/>
  <c r="BI77" i="1"/>
  <c r="BM77" i="1" s="1"/>
  <c r="BN77" i="1" s="1"/>
  <c r="BH77" i="1"/>
  <c r="CX78" i="1"/>
  <c r="AY78" i="1" s="1"/>
  <c r="BB78" i="1" s="1"/>
  <c r="BJ83" i="1"/>
  <c r="BI83" i="1"/>
  <c r="BM83" i="1" s="1"/>
  <c r="BN83" i="1" s="1"/>
  <c r="BH83" i="1"/>
  <c r="AD91" i="1"/>
  <c r="BB68" i="1"/>
  <c r="BB69" i="1"/>
  <c r="CX70" i="1"/>
  <c r="AY70" i="1" s="1"/>
  <c r="BA70" i="1" s="1"/>
  <c r="V70" i="1"/>
  <c r="BJ73" i="1"/>
  <c r="BI73" i="1"/>
  <c r="BM73" i="1" s="1"/>
  <c r="BN73" i="1" s="1"/>
  <c r="BH73" i="1"/>
  <c r="BA78" i="1"/>
  <c r="N79" i="1"/>
  <c r="M79" i="1"/>
  <c r="AZ79" i="1" s="1"/>
  <c r="BB79" i="1" s="1"/>
  <c r="L79" i="1"/>
  <c r="K79" i="1" s="1"/>
  <c r="AK79" i="1"/>
  <c r="BI82" i="1"/>
  <c r="BM82" i="1" s="1"/>
  <c r="BN82" i="1" s="1"/>
  <c r="BH82" i="1"/>
  <c r="BJ82" i="1"/>
  <c r="V62" i="1"/>
  <c r="BH62" i="1"/>
  <c r="V66" i="1"/>
  <c r="BH66" i="1"/>
  <c r="BH68" i="1"/>
  <c r="Z68" i="1"/>
  <c r="BI68" i="1"/>
  <c r="BM68" i="1" s="1"/>
  <c r="BN68" i="1" s="1"/>
  <c r="CX71" i="1"/>
  <c r="AY71" i="1" s="1"/>
  <c r="BA71" i="1" s="1"/>
  <c r="CX77" i="1"/>
  <c r="AY77" i="1" s="1"/>
  <c r="V77" i="1"/>
  <c r="Q79" i="1"/>
  <c r="L83" i="1"/>
  <c r="K83" i="1" s="1"/>
  <c r="Q83" i="1"/>
  <c r="N83" i="1"/>
  <c r="M83" i="1"/>
  <c r="AZ83" i="1" s="1"/>
  <c r="BB83" i="1" s="1"/>
  <c r="AK83" i="1"/>
  <c r="BJ74" i="1"/>
  <c r="BJ78" i="1"/>
  <c r="L80" i="1"/>
  <c r="K80" i="1" s="1"/>
  <c r="BJ80" i="1"/>
  <c r="CX84" i="1"/>
  <c r="AY84" i="1" s="1"/>
  <c r="BA84" i="1" s="1"/>
  <c r="V84" i="1"/>
  <c r="Q90" i="1"/>
  <c r="N90" i="1"/>
  <c r="M90" i="1"/>
  <c r="AZ90" i="1" s="1"/>
  <c r="BB90" i="1" s="1"/>
  <c r="AE91" i="1"/>
  <c r="AE104" i="1"/>
  <c r="Q74" i="1"/>
  <c r="AK75" i="1"/>
  <c r="Q78" i="1"/>
  <c r="M80" i="1"/>
  <c r="AZ80" i="1" s="1"/>
  <c r="BB80" i="1" s="1"/>
  <c r="M82" i="1"/>
  <c r="AZ82" i="1" s="1"/>
  <c r="N89" i="1"/>
  <c r="M89" i="1"/>
  <c r="AZ89" i="1" s="1"/>
  <c r="BB89" i="1" s="1"/>
  <c r="L89" i="1"/>
  <c r="K89" i="1" s="1"/>
  <c r="AK89" i="1"/>
  <c r="CX94" i="1"/>
  <c r="AY94" i="1" s="1"/>
  <c r="V94" i="1"/>
  <c r="AK95" i="1"/>
  <c r="Q95" i="1"/>
  <c r="N95" i="1"/>
  <c r="M95" i="1"/>
  <c r="AZ95" i="1" s="1"/>
  <c r="L95" i="1"/>
  <c r="K95" i="1" s="1"/>
  <c r="L75" i="1"/>
  <c r="K75" i="1" s="1"/>
  <c r="N80" i="1"/>
  <c r="M81" i="1"/>
  <c r="AZ81" i="1" s="1"/>
  <c r="BB81" i="1" s="1"/>
  <c r="L81" i="1"/>
  <c r="K81" i="1" s="1"/>
  <c r="W81" i="1" s="1"/>
  <c r="X81" i="1" s="1"/>
  <c r="N84" i="1"/>
  <c r="AK84" i="1"/>
  <c r="M85" i="1"/>
  <c r="AZ85" i="1" s="1"/>
  <c r="BB85" i="1" s="1"/>
  <c r="L85" i="1"/>
  <c r="K85" i="1" s="1"/>
  <c r="AK85" i="1"/>
  <c r="W87" i="1"/>
  <c r="X87" i="1" s="1"/>
  <c r="T87" i="1" s="1"/>
  <c r="R87" i="1" s="1"/>
  <c r="U87" i="1" s="1"/>
  <c r="O87" i="1" s="1"/>
  <c r="P87" i="1" s="1"/>
  <c r="N88" i="1"/>
  <c r="L88" i="1"/>
  <c r="K88" i="1" s="1"/>
  <c r="AK88" i="1"/>
  <c r="Q88" i="1"/>
  <c r="L90" i="1"/>
  <c r="K90" i="1" s="1"/>
  <c r="W91" i="1"/>
  <c r="X91" i="1" s="1"/>
  <c r="T91" i="1" s="1"/>
  <c r="R91" i="1" s="1"/>
  <c r="U91" i="1" s="1"/>
  <c r="O91" i="1" s="1"/>
  <c r="P91" i="1" s="1"/>
  <c r="AK97" i="1"/>
  <c r="Q97" i="1"/>
  <c r="N97" i="1"/>
  <c r="M97" i="1"/>
  <c r="AZ97" i="1" s="1"/>
  <c r="BB97" i="1" s="1"/>
  <c r="L97" i="1"/>
  <c r="K97" i="1" s="1"/>
  <c r="AD102" i="1"/>
  <c r="BI72" i="1"/>
  <c r="BM72" i="1" s="1"/>
  <c r="BN72" i="1" s="1"/>
  <c r="AK74" i="1"/>
  <c r="M75" i="1"/>
  <c r="AZ75" i="1" s="1"/>
  <c r="BB75" i="1" s="1"/>
  <c r="BI76" i="1"/>
  <c r="BM76" i="1" s="1"/>
  <c r="BN76" i="1" s="1"/>
  <c r="AK78" i="1"/>
  <c r="AK81" i="1"/>
  <c r="Q82" i="1"/>
  <c r="BA83" i="1"/>
  <c r="BI84" i="1"/>
  <c r="BM84" i="1" s="1"/>
  <c r="BN84" i="1" s="1"/>
  <c r="BA87" i="1"/>
  <c r="CX91" i="1"/>
  <c r="AY91" i="1" s="1"/>
  <c r="BA91" i="1" s="1"/>
  <c r="AD93" i="1"/>
  <c r="W99" i="1"/>
  <c r="X99" i="1" s="1"/>
  <c r="V71" i="1"/>
  <c r="L74" i="1"/>
  <c r="K74" i="1" s="1"/>
  <c r="V75" i="1"/>
  <c r="L78" i="1"/>
  <c r="K78" i="1" s="1"/>
  <c r="Q81" i="1"/>
  <c r="BJ84" i="1"/>
  <c r="N85" i="1"/>
  <c r="CX82" i="1"/>
  <c r="AY82" i="1" s="1"/>
  <c r="BA82" i="1" s="1"/>
  <c r="V82" i="1"/>
  <c r="Q84" i="1"/>
  <c r="L86" i="1"/>
  <c r="K86" i="1" s="1"/>
  <c r="BJ87" i="1"/>
  <c r="BI87" i="1"/>
  <c r="BM87" i="1" s="1"/>
  <c r="BN87" i="1" s="1"/>
  <c r="W111" i="1"/>
  <c r="X111" i="1" s="1"/>
  <c r="V74" i="1"/>
  <c r="V78" i="1"/>
  <c r="Z80" i="1"/>
  <c r="Q85" i="1"/>
  <c r="N86" i="1"/>
  <c r="M86" i="1"/>
  <c r="AZ86" i="1" s="1"/>
  <c r="BB86" i="1" s="1"/>
  <c r="BB87" i="1"/>
  <c r="BH87" i="1"/>
  <c r="M88" i="1"/>
  <c r="AZ88" i="1" s="1"/>
  <c r="BB88" i="1" s="1"/>
  <c r="BA92" i="1"/>
  <c r="M96" i="1"/>
  <c r="AZ96" i="1" s="1"/>
  <c r="BB96" i="1" s="1"/>
  <c r="N96" i="1"/>
  <c r="L96" i="1"/>
  <c r="K96" i="1" s="1"/>
  <c r="AK96" i="1"/>
  <c r="L98" i="1"/>
  <c r="K98" i="1" s="1"/>
  <c r="BA98" i="1"/>
  <c r="L99" i="1"/>
  <c r="K99" i="1" s="1"/>
  <c r="AK100" i="1"/>
  <c r="BA106" i="1"/>
  <c r="M109" i="1"/>
  <c r="AZ109" i="1" s="1"/>
  <c r="L109" i="1"/>
  <c r="K109" i="1" s="1"/>
  <c r="V86" i="1"/>
  <c r="BH86" i="1"/>
  <c r="V90" i="1"/>
  <c r="BH90" i="1"/>
  <c r="L92" i="1"/>
  <c r="K92" i="1" s="1"/>
  <c r="W92" i="1" s="1"/>
  <c r="X92" i="1" s="1"/>
  <c r="Q94" i="1"/>
  <c r="AK94" i="1"/>
  <c r="CX95" i="1"/>
  <c r="AY95" i="1" s="1"/>
  <c r="BA95" i="1" s="1"/>
  <c r="M98" i="1"/>
  <c r="AZ98" i="1" s="1"/>
  <c r="BB98" i="1" s="1"/>
  <c r="W105" i="1"/>
  <c r="X105" i="1" s="1"/>
  <c r="W110" i="1"/>
  <c r="X110" i="1" s="1"/>
  <c r="T111" i="1"/>
  <c r="R111" i="1" s="1"/>
  <c r="U111" i="1" s="1"/>
  <c r="Q87" i="1"/>
  <c r="Q91" i="1"/>
  <c r="M92" i="1"/>
  <c r="AZ92" i="1" s="1"/>
  <c r="BB92" i="1" s="1"/>
  <c r="V93" i="1"/>
  <c r="N94" i="1"/>
  <c r="BI94" i="1"/>
  <c r="BM94" i="1" s="1"/>
  <c r="BN94" i="1" s="1"/>
  <c r="W96" i="1"/>
  <c r="X96" i="1" s="1"/>
  <c r="BI99" i="1"/>
  <c r="BM99" i="1" s="1"/>
  <c r="BN99" i="1" s="1"/>
  <c r="BH99" i="1"/>
  <c r="BH102" i="1"/>
  <c r="BI102" i="1"/>
  <c r="BM102" i="1" s="1"/>
  <c r="BN102" i="1" s="1"/>
  <c r="AD104" i="1"/>
  <c r="T104" i="1"/>
  <c r="R104" i="1" s="1"/>
  <c r="U104" i="1" s="1"/>
  <c r="O104" i="1" s="1"/>
  <c r="P104" i="1" s="1"/>
  <c r="M104" i="1"/>
  <c r="AZ104" i="1" s="1"/>
  <c r="BB104" i="1" s="1"/>
  <c r="N104" i="1"/>
  <c r="AK104" i="1"/>
  <c r="Q104" i="1"/>
  <c r="BI105" i="1"/>
  <c r="BM105" i="1" s="1"/>
  <c r="BN105" i="1" s="1"/>
  <c r="BH105" i="1"/>
  <c r="BJ105" i="1"/>
  <c r="BA107" i="1"/>
  <c r="AK99" i="1"/>
  <c r="N99" i="1"/>
  <c r="M99" i="1"/>
  <c r="AZ99" i="1" s="1"/>
  <c r="N100" i="1"/>
  <c r="M101" i="1"/>
  <c r="AZ101" i="1" s="1"/>
  <c r="BB101" i="1" s="1"/>
  <c r="N106" i="1"/>
  <c r="M108" i="1"/>
  <c r="AZ108" i="1" s="1"/>
  <c r="BB108" i="1" s="1"/>
  <c r="L108" i="1"/>
  <c r="K108" i="1" s="1"/>
  <c r="AK108" i="1"/>
  <c r="Q108" i="1"/>
  <c r="N108" i="1"/>
  <c r="CX109" i="1"/>
  <c r="AY109" i="1" s="1"/>
  <c r="BA109" i="1" s="1"/>
  <c r="V109" i="1"/>
  <c r="BA94" i="1"/>
  <c r="N101" i="1"/>
  <c r="L101" i="1"/>
  <c r="K101" i="1" s="1"/>
  <c r="Q102" i="1"/>
  <c r="AK102" i="1"/>
  <c r="N102" i="1"/>
  <c r="M102" i="1"/>
  <c r="AZ102" i="1" s="1"/>
  <c r="BB102" i="1" s="1"/>
  <c r="AK103" i="1"/>
  <c r="Q103" i="1"/>
  <c r="M103" i="1"/>
  <c r="AZ103" i="1" s="1"/>
  <c r="BB103" i="1" s="1"/>
  <c r="L103" i="1"/>
  <c r="K103" i="1" s="1"/>
  <c r="AK105" i="1"/>
  <c r="Q105" i="1"/>
  <c r="N105" i="1"/>
  <c r="M105" i="1"/>
  <c r="AZ105" i="1" s="1"/>
  <c r="BB105" i="1" s="1"/>
  <c r="AE112" i="1"/>
  <c r="AK113" i="1"/>
  <c r="Q113" i="1"/>
  <c r="N113" i="1"/>
  <c r="M113" i="1"/>
  <c r="AZ113" i="1" s="1"/>
  <c r="BB113" i="1" s="1"/>
  <c r="L113" i="1"/>
  <c r="K113" i="1" s="1"/>
  <c r="W113" i="1" s="1"/>
  <c r="X113" i="1" s="1"/>
  <c r="V88" i="1"/>
  <c r="Q92" i="1"/>
  <c r="BA99" i="1"/>
  <c r="V103" i="1"/>
  <c r="W104" i="1"/>
  <c r="X104" i="1" s="1"/>
  <c r="W108" i="1"/>
  <c r="X108" i="1" s="1"/>
  <c r="Z112" i="1"/>
  <c r="W112" i="1"/>
  <c r="X112" i="1" s="1"/>
  <c r="BI97" i="1"/>
  <c r="BM97" i="1" s="1"/>
  <c r="BN97" i="1" s="1"/>
  <c r="BH97" i="1"/>
  <c r="W98" i="1"/>
  <c r="X98" i="1" s="1"/>
  <c r="Q98" i="1"/>
  <c r="N98" i="1"/>
  <c r="W101" i="1"/>
  <c r="X101" i="1" s="1"/>
  <c r="Q106" i="1"/>
  <c r="M106" i="1"/>
  <c r="AZ106" i="1" s="1"/>
  <c r="L106" i="1"/>
  <c r="K106" i="1" s="1"/>
  <c r="Q110" i="1"/>
  <c r="AK110" i="1"/>
  <c r="N110" i="1"/>
  <c r="L110" i="1"/>
  <c r="K110" i="1" s="1"/>
  <c r="AK111" i="1"/>
  <c r="M111" i="1"/>
  <c r="AZ111" i="1" s="1"/>
  <c r="BB111" i="1" s="1"/>
  <c r="Q111" i="1"/>
  <c r="BJ97" i="1"/>
  <c r="CX99" i="1"/>
  <c r="AY99" i="1" s="1"/>
  <c r="M100" i="1"/>
  <c r="AZ100" i="1" s="1"/>
  <c r="BB100" i="1" s="1"/>
  <c r="L100" i="1"/>
  <c r="K100" i="1" s="1"/>
  <c r="CX102" i="1"/>
  <c r="AY102" i="1" s="1"/>
  <c r="V102" i="1"/>
  <c r="AK107" i="1"/>
  <c r="N107" i="1"/>
  <c r="L107" i="1"/>
  <c r="K107" i="1" s="1"/>
  <c r="Q107" i="1"/>
  <c r="N111" i="1"/>
  <c r="M112" i="1"/>
  <c r="AZ112" i="1" s="1"/>
  <c r="BB112" i="1" s="1"/>
  <c r="AK112" i="1"/>
  <c r="Q112" i="1"/>
  <c r="N112" i="1"/>
  <c r="L112" i="1"/>
  <c r="K112" i="1" s="1"/>
  <c r="BA102" i="1"/>
  <c r="BH106" i="1"/>
  <c r="CX106" i="1"/>
  <c r="AY106" i="1" s="1"/>
  <c r="BH109" i="1"/>
  <c r="BH113" i="1"/>
  <c r="BJ113" i="1"/>
  <c r="N114" i="1"/>
  <c r="Q114" i="1"/>
  <c r="BA110" i="1"/>
  <c r="L114" i="1"/>
  <c r="K114" i="1" s="1"/>
  <c r="AK114" i="1"/>
  <c r="BH103" i="1"/>
  <c r="CX107" i="1"/>
  <c r="AY107" i="1" s="1"/>
  <c r="BB107" i="1" s="1"/>
  <c r="M114" i="1"/>
  <c r="AZ114" i="1" s="1"/>
  <c r="BB114" i="1" s="1"/>
  <c r="AE97" i="1"/>
  <c r="AE105" i="1"/>
  <c r="V114" i="1"/>
  <c r="BH114" i="1"/>
  <c r="Y92" i="1" l="1"/>
  <c r="AC92" i="1" s="1"/>
  <c r="AF92" i="1"/>
  <c r="AE92" i="1"/>
  <c r="AF113" i="1"/>
  <c r="Y113" i="1"/>
  <c r="AC113" i="1" s="1"/>
  <c r="AE113" i="1"/>
  <c r="Y81" i="1"/>
  <c r="AC81" i="1" s="1"/>
  <c r="AF81" i="1"/>
  <c r="AG81" i="1" s="1"/>
  <c r="AE81" i="1"/>
  <c r="Y24" i="1"/>
  <c r="AC24" i="1" s="1"/>
  <c r="AF24" i="1"/>
  <c r="AE24" i="1"/>
  <c r="AD75" i="1"/>
  <c r="W70" i="1"/>
  <c r="X70" i="1" s="1"/>
  <c r="T70" i="1" s="1"/>
  <c r="R70" i="1" s="1"/>
  <c r="U70" i="1" s="1"/>
  <c r="O70" i="1" s="1"/>
  <c r="P70" i="1" s="1"/>
  <c r="W64" i="1"/>
  <c r="X64" i="1" s="1"/>
  <c r="Y28" i="1"/>
  <c r="AC28" i="1" s="1"/>
  <c r="AF28" i="1"/>
  <c r="Y32" i="1"/>
  <c r="AC32" i="1" s="1"/>
  <c r="AF32" i="1"/>
  <c r="W93" i="1"/>
  <c r="X93" i="1" s="1"/>
  <c r="AD49" i="1"/>
  <c r="AD54" i="1"/>
  <c r="AD50" i="1"/>
  <c r="T23" i="1"/>
  <c r="R23" i="1" s="1"/>
  <c r="U23" i="1" s="1"/>
  <c r="O23" i="1" s="1"/>
  <c r="P23" i="1" s="1"/>
  <c r="AD23" i="1"/>
  <c r="AD46" i="1"/>
  <c r="W29" i="1"/>
  <c r="X29" i="1" s="1"/>
  <c r="AD107" i="1"/>
  <c r="AD106" i="1"/>
  <c r="W106" i="1"/>
  <c r="X106" i="1" s="1"/>
  <c r="Y98" i="1"/>
  <c r="AC98" i="1" s="1"/>
  <c r="AF98" i="1"/>
  <c r="AE98" i="1"/>
  <c r="W88" i="1"/>
  <c r="X88" i="1" s="1"/>
  <c r="BB99" i="1"/>
  <c r="AD99" i="1"/>
  <c r="T99" i="1"/>
  <c r="R99" i="1" s="1"/>
  <c r="U99" i="1" s="1"/>
  <c r="O99" i="1" s="1"/>
  <c r="P99" i="1" s="1"/>
  <c r="BB91" i="1"/>
  <c r="W78" i="1"/>
  <c r="X78" i="1" s="1"/>
  <c r="AD86" i="1"/>
  <c r="T97" i="1"/>
  <c r="R97" i="1" s="1"/>
  <c r="U97" i="1" s="1"/>
  <c r="O97" i="1" s="1"/>
  <c r="P97" i="1" s="1"/>
  <c r="AD97" i="1"/>
  <c r="BB95" i="1"/>
  <c r="BB73" i="1"/>
  <c r="Y65" i="1"/>
  <c r="AC65" i="1" s="1"/>
  <c r="AF65" i="1"/>
  <c r="AD67" i="1"/>
  <c r="W41" i="1"/>
  <c r="X41" i="1" s="1"/>
  <c r="AD58" i="1"/>
  <c r="W59" i="1"/>
  <c r="X59" i="1" s="1"/>
  <c r="BB54" i="1"/>
  <c r="AD66" i="1"/>
  <c r="BB43" i="1"/>
  <c r="AD26" i="1"/>
  <c r="AD38" i="1"/>
  <c r="AD30" i="1"/>
  <c r="W38" i="1"/>
  <c r="X38" i="1" s="1"/>
  <c r="AD44" i="1"/>
  <c r="W44" i="1"/>
  <c r="X44" i="1" s="1"/>
  <c r="AD22" i="1"/>
  <c r="AG31" i="1"/>
  <c r="Y20" i="1"/>
  <c r="AC20" i="1" s="1"/>
  <c r="AF20" i="1"/>
  <c r="AG20" i="1" s="1"/>
  <c r="W54" i="1"/>
  <c r="X54" i="1" s="1"/>
  <c r="T54" i="1" s="1"/>
  <c r="R54" i="1" s="1"/>
  <c r="U54" i="1" s="1"/>
  <c r="O54" i="1" s="1"/>
  <c r="P54" i="1" s="1"/>
  <c r="Y53" i="1"/>
  <c r="AC53" i="1" s="1"/>
  <c r="AF53" i="1"/>
  <c r="AG53" i="1" s="1"/>
  <c r="AE53" i="1"/>
  <c r="Y21" i="1"/>
  <c r="AC21" i="1" s="1"/>
  <c r="AF21" i="1"/>
  <c r="AD92" i="1"/>
  <c r="T92" i="1"/>
  <c r="R92" i="1" s="1"/>
  <c r="U92" i="1" s="1"/>
  <c r="O92" i="1" s="1"/>
  <c r="P92" i="1" s="1"/>
  <c r="W85" i="1"/>
  <c r="X85" i="1" s="1"/>
  <c r="AD85" i="1"/>
  <c r="AD76" i="1"/>
  <c r="T69" i="1"/>
  <c r="R69" i="1" s="1"/>
  <c r="U69" i="1" s="1"/>
  <c r="O69" i="1" s="1"/>
  <c r="P69" i="1" s="1"/>
  <c r="AD69" i="1"/>
  <c r="W69" i="1"/>
  <c r="X69" i="1" s="1"/>
  <c r="W45" i="1"/>
  <c r="X45" i="1" s="1"/>
  <c r="Y19" i="1"/>
  <c r="AC19" i="1" s="1"/>
  <c r="AF19" i="1"/>
  <c r="AE19" i="1"/>
  <c r="AD113" i="1"/>
  <c r="T113" i="1"/>
  <c r="R113" i="1" s="1"/>
  <c r="U113" i="1" s="1"/>
  <c r="O113" i="1" s="1"/>
  <c r="P113" i="1" s="1"/>
  <c r="W90" i="1"/>
  <c r="X90" i="1" s="1"/>
  <c r="W74" i="1"/>
  <c r="X74" i="1" s="1"/>
  <c r="AD80" i="1"/>
  <c r="T83" i="1"/>
  <c r="R83" i="1" s="1"/>
  <c r="U83" i="1" s="1"/>
  <c r="O83" i="1" s="1"/>
  <c r="P83" i="1" s="1"/>
  <c r="AD83" i="1"/>
  <c r="W83" i="1"/>
  <c r="X83" i="1" s="1"/>
  <c r="AD72" i="1"/>
  <c r="AD70" i="1"/>
  <c r="W37" i="1"/>
  <c r="X37" i="1" s="1"/>
  <c r="AF68" i="1"/>
  <c r="AG68" i="1" s="1"/>
  <c r="Y68" i="1"/>
  <c r="AC68" i="1" s="1"/>
  <c r="AE68" i="1"/>
  <c r="Y61" i="1"/>
  <c r="AC61" i="1" s="1"/>
  <c r="AF61" i="1"/>
  <c r="W51" i="1"/>
  <c r="X51" i="1" s="1"/>
  <c r="AE61" i="1"/>
  <c r="AE21" i="1"/>
  <c r="AF35" i="1"/>
  <c r="AG35" i="1" s="1"/>
  <c r="Y35" i="1"/>
  <c r="AC35" i="1" s="1"/>
  <c r="T35" i="1"/>
  <c r="R35" i="1" s="1"/>
  <c r="U35" i="1" s="1"/>
  <c r="O35" i="1" s="1"/>
  <c r="P35" i="1" s="1"/>
  <c r="AE35" i="1"/>
  <c r="AD24" i="1"/>
  <c r="T24" i="1"/>
  <c r="R24" i="1" s="1"/>
  <c r="U24" i="1" s="1"/>
  <c r="O24" i="1" s="1"/>
  <c r="P24" i="1" s="1"/>
  <c r="Y39" i="1"/>
  <c r="AC39" i="1" s="1"/>
  <c r="AE39" i="1"/>
  <c r="AF39" i="1"/>
  <c r="T39" i="1"/>
  <c r="R39" i="1" s="1"/>
  <c r="U39" i="1" s="1"/>
  <c r="O39" i="1" s="1"/>
  <c r="P39" i="1" s="1"/>
  <c r="W62" i="1"/>
  <c r="X62" i="1" s="1"/>
  <c r="AD95" i="1"/>
  <c r="AF52" i="1"/>
  <c r="AE52" i="1"/>
  <c r="Y52" i="1"/>
  <c r="AC52" i="1" s="1"/>
  <c r="AF105" i="1"/>
  <c r="AG105" i="1" s="1"/>
  <c r="Y105" i="1"/>
  <c r="AC105" i="1" s="1"/>
  <c r="T98" i="1"/>
  <c r="R98" i="1" s="1"/>
  <c r="U98" i="1" s="1"/>
  <c r="O98" i="1" s="1"/>
  <c r="P98" i="1" s="1"/>
  <c r="AD98" i="1"/>
  <c r="W82" i="1"/>
  <c r="X82" i="1" s="1"/>
  <c r="AD78" i="1"/>
  <c r="T78" i="1"/>
  <c r="R78" i="1" s="1"/>
  <c r="U78" i="1" s="1"/>
  <c r="O78" i="1" s="1"/>
  <c r="P78" i="1" s="1"/>
  <c r="AD88" i="1"/>
  <c r="T88" i="1"/>
  <c r="R88" i="1" s="1"/>
  <c r="U88" i="1" s="1"/>
  <c r="O88" i="1" s="1"/>
  <c r="P88" i="1" s="1"/>
  <c r="BB82" i="1"/>
  <c r="BB77" i="1"/>
  <c r="W47" i="1"/>
  <c r="X47" i="1" s="1"/>
  <c r="W50" i="1"/>
  <c r="X50" i="1" s="1"/>
  <c r="T50" i="1" s="1"/>
  <c r="R50" i="1" s="1"/>
  <c r="U50" i="1" s="1"/>
  <c r="O50" i="1" s="1"/>
  <c r="P50" i="1" s="1"/>
  <c r="W46" i="1"/>
  <c r="X46" i="1" s="1"/>
  <c r="AD37" i="1"/>
  <c r="AG57" i="1"/>
  <c r="T28" i="1"/>
  <c r="R28" i="1" s="1"/>
  <c r="U28" i="1" s="1"/>
  <c r="O28" i="1" s="1"/>
  <c r="P28" i="1" s="1"/>
  <c r="AD28" i="1"/>
  <c r="W22" i="1"/>
  <c r="X22" i="1" s="1"/>
  <c r="T22" i="1" s="1"/>
  <c r="R22" i="1" s="1"/>
  <c r="U22" i="1" s="1"/>
  <c r="O22" i="1" s="1"/>
  <c r="P22" i="1" s="1"/>
  <c r="AE28" i="1"/>
  <c r="W42" i="1"/>
  <c r="X42" i="1" s="1"/>
  <c r="W23" i="1"/>
  <c r="X23" i="1" s="1"/>
  <c r="T20" i="1"/>
  <c r="R20" i="1" s="1"/>
  <c r="U20" i="1" s="1"/>
  <c r="O20" i="1" s="1"/>
  <c r="P20" i="1" s="1"/>
  <c r="AF99" i="1"/>
  <c r="Y99" i="1"/>
  <c r="AC99" i="1" s="1"/>
  <c r="AE99" i="1"/>
  <c r="AD79" i="1"/>
  <c r="AD60" i="1"/>
  <c r="W49" i="1"/>
  <c r="X49" i="1" s="1"/>
  <c r="AF48" i="1"/>
  <c r="AE48" i="1"/>
  <c r="Y48" i="1"/>
  <c r="AC48" i="1" s="1"/>
  <c r="W89" i="1"/>
  <c r="X89" i="1" s="1"/>
  <c r="T89" i="1" s="1"/>
  <c r="R89" i="1" s="1"/>
  <c r="U89" i="1" s="1"/>
  <c r="O89" i="1" s="1"/>
  <c r="P89" i="1" s="1"/>
  <c r="AD89" i="1"/>
  <c r="W63" i="1"/>
  <c r="X63" i="1" s="1"/>
  <c r="AD63" i="1"/>
  <c r="T63" i="1"/>
  <c r="R63" i="1" s="1"/>
  <c r="U63" i="1" s="1"/>
  <c r="O63" i="1" s="1"/>
  <c r="P63" i="1" s="1"/>
  <c r="AD55" i="1"/>
  <c r="AD112" i="1"/>
  <c r="T112" i="1"/>
  <c r="R112" i="1" s="1"/>
  <c r="U112" i="1" s="1"/>
  <c r="O112" i="1" s="1"/>
  <c r="P112" i="1" s="1"/>
  <c r="BB106" i="1"/>
  <c r="AD114" i="1"/>
  <c r="T114" i="1"/>
  <c r="R114" i="1" s="1"/>
  <c r="U114" i="1" s="1"/>
  <c r="O114" i="1" s="1"/>
  <c r="P114" i="1" s="1"/>
  <c r="W102" i="1"/>
  <c r="X102" i="1" s="1"/>
  <c r="AF104" i="1"/>
  <c r="AG104" i="1" s="1"/>
  <c r="Y104" i="1"/>
  <c r="AC104" i="1" s="1"/>
  <c r="AD103" i="1"/>
  <c r="T101" i="1"/>
  <c r="R101" i="1" s="1"/>
  <c r="U101" i="1" s="1"/>
  <c r="O101" i="1" s="1"/>
  <c r="P101" i="1" s="1"/>
  <c r="AD101" i="1"/>
  <c r="T108" i="1"/>
  <c r="R108" i="1" s="1"/>
  <c r="U108" i="1" s="1"/>
  <c r="O108" i="1" s="1"/>
  <c r="P108" i="1" s="1"/>
  <c r="AD108" i="1"/>
  <c r="W86" i="1"/>
  <c r="X86" i="1" s="1"/>
  <c r="T86" i="1" s="1"/>
  <c r="R86" i="1" s="1"/>
  <c r="U86" i="1" s="1"/>
  <c r="O86" i="1" s="1"/>
  <c r="P86" i="1" s="1"/>
  <c r="AE111" i="1"/>
  <c r="Y111" i="1"/>
  <c r="AC111" i="1" s="1"/>
  <c r="AF111" i="1"/>
  <c r="W75" i="1"/>
  <c r="X75" i="1" s="1"/>
  <c r="T75" i="1" s="1"/>
  <c r="R75" i="1" s="1"/>
  <c r="U75" i="1" s="1"/>
  <c r="O75" i="1" s="1"/>
  <c r="P75" i="1" s="1"/>
  <c r="T81" i="1"/>
  <c r="R81" i="1" s="1"/>
  <c r="U81" i="1" s="1"/>
  <c r="O81" i="1" s="1"/>
  <c r="P81" i="1" s="1"/>
  <c r="AD81" i="1"/>
  <c r="W77" i="1"/>
  <c r="X77" i="1" s="1"/>
  <c r="W80" i="1"/>
  <c r="X80" i="1" s="1"/>
  <c r="T80" i="1" s="1"/>
  <c r="R80" i="1" s="1"/>
  <c r="U80" i="1" s="1"/>
  <c r="O80" i="1" s="1"/>
  <c r="P80" i="1" s="1"/>
  <c r="AD73" i="1"/>
  <c r="T77" i="1"/>
  <c r="R77" i="1" s="1"/>
  <c r="U77" i="1" s="1"/>
  <c r="O77" i="1" s="1"/>
  <c r="P77" i="1" s="1"/>
  <c r="AD77" i="1"/>
  <c r="W67" i="1"/>
  <c r="X67" i="1" s="1"/>
  <c r="T67" i="1" s="1"/>
  <c r="R67" i="1" s="1"/>
  <c r="U67" i="1" s="1"/>
  <c r="O67" i="1" s="1"/>
  <c r="P67" i="1" s="1"/>
  <c r="W58" i="1"/>
  <c r="X58" i="1" s="1"/>
  <c r="AE65" i="1"/>
  <c r="W60" i="1"/>
  <c r="X60" i="1" s="1"/>
  <c r="O57" i="1"/>
  <c r="P57" i="1" s="1"/>
  <c r="AF40" i="1"/>
  <c r="Y40" i="1"/>
  <c r="AC40" i="1" s="1"/>
  <c r="AE40" i="1"/>
  <c r="O31" i="1"/>
  <c r="P31" i="1" s="1"/>
  <c r="BB26" i="1"/>
  <c r="W36" i="1"/>
  <c r="X36" i="1" s="1"/>
  <c r="AD29" i="1"/>
  <c r="T29" i="1"/>
  <c r="R29" i="1" s="1"/>
  <c r="U29" i="1" s="1"/>
  <c r="O29" i="1" s="1"/>
  <c r="P29" i="1" s="1"/>
  <c r="T32" i="1"/>
  <c r="R32" i="1" s="1"/>
  <c r="U32" i="1" s="1"/>
  <c r="O32" i="1" s="1"/>
  <c r="P32" i="1" s="1"/>
  <c r="AD32" i="1"/>
  <c r="AG34" i="1"/>
  <c r="AD19" i="1"/>
  <c r="T19" i="1"/>
  <c r="R19" i="1" s="1"/>
  <c r="U19" i="1" s="1"/>
  <c r="O19" i="1" s="1"/>
  <c r="P19" i="1" s="1"/>
  <c r="AE20" i="1"/>
  <c r="W109" i="1"/>
  <c r="X109" i="1" s="1"/>
  <c r="W84" i="1"/>
  <c r="X84" i="1" s="1"/>
  <c r="AE108" i="1"/>
  <c r="Y108" i="1"/>
  <c r="AC108" i="1" s="1"/>
  <c r="AF108" i="1"/>
  <c r="AD90" i="1"/>
  <c r="T90" i="1"/>
  <c r="R90" i="1" s="1"/>
  <c r="U90" i="1" s="1"/>
  <c r="O90" i="1" s="1"/>
  <c r="P90" i="1" s="1"/>
  <c r="W79" i="1"/>
  <c r="X79" i="1" s="1"/>
  <c r="T79" i="1" s="1"/>
  <c r="R79" i="1" s="1"/>
  <c r="U79" i="1" s="1"/>
  <c r="O79" i="1" s="1"/>
  <c r="P79" i="1" s="1"/>
  <c r="W43" i="1"/>
  <c r="X43" i="1" s="1"/>
  <c r="AD110" i="1"/>
  <c r="T110" i="1"/>
  <c r="R110" i="1" s="1"/>
  <c r="U110" i="1" s="1"/>
  <c r="O110" i="1" s="1"/>
  <c r="P110" i="1" s="1"/>
  <c r="Y112" i="1"/>
  <c r="AC112" i="1" s="1"/>
  <c r="AF112" i="1"/>
  <c r="AG112" i="1" s="1"/>
  <c r="W103" i="1"/>
  <c r="X103" i="1" s="1"/>
  <c r="T103" i="1" s="1"/>
  <c r="R103" i="1" s="1"/>
  <c r="U103" i="1" s="1"/>
  <c r="O103" i="1" s="1"/>
  <c r="P103" i="1" s="1"/>
  <c r="AF96" i="1"/>
  <c r="Y96" i="1"/>
  <c r="AC96" i="1" s="1"/>
  <c r="AE96" i="1"/>
  <c r="AD109" i="1"/>
  <c r="AD96" i="1"/>
  <c r="T96" i="1"/>
  <c r="R96" i="1" s="1"/>
  <c r="U96" i="1" s="1"/>
  <c r="O96" i="1" s="1"/>
  <c r="P96" i="1" s="1"/>
  <c r="W95" i="1"/>
  <c r="X95" i="1" s="1"/>
  <c r="T95" i="1" s="1"/>
  <c r="R95" i="1" s="1"/>
  <c r="U95" i="1" s="1"/>
  <c r="O95" i="1" s="1"/>
  <c r="P95" i="1" s="1"/>
  <c r="AD74" i="1"/>
  <c r="T74" i="1"/>
  <c r="R74" i="1" s="1"/>
  <c r="U74" i="1" s="1"/>
  <c r="O74" i="1" s="1"/>
  <c r="P74" i="1" s="1"/>
  <c r="Y87" i="1"/>
  <c r="AC87" i="1" s="1"/>
  <c r="AF87" i="1"/>
  <c r="W94" i="1"/>
  <c r="X94" i="1" s="1"/>
  <c r="W66" i="1"/>
  <c r="X66" i="1" s="1"/>
  <c r="T66" i="1" s="1"/>
  <c r="R66" i="1" s="1"/>
  <c r="U66" i="1" s="1"/>
  <c r="O66" i="1" s="1"/>
  <c r="P66" i="1" s="1"/>
  <c r="BB84" i="1"/>
  <c r="BB70" i="1"/>
  <c r="W76" i="1"/>
  <c r="X76" i="1" s="1"/>
  <c r="T76" i="1" s="1"/>
  <c r="R76" i="1" s="1"/>
  <c r="U76" i="1" s="1"/>
  <c r="O76" i="1" s="1"/>
  <c r="P76" i="1" s="1"/>
  <c r="AD64" i="1"/>
  <c r="T64" i="1"/>
  <c r="R64" i="1" s="1"/>
  <c r="U64" i="1" s="1"/>
  <c r="O64" i="1" s="1"/>
  <c r="P64" i="1" s="1"/>
  <c r="W55" i="1"/>
  <c r="X55" i="1" s="1"/>
  <c r="W26" i="1"/>
  <c r="X26" i="1" s="1"/>
  <c r="T26" i="1" s="1"/>
  <c r="R26" i="1" s="1"/>
  <c r="U26" i="1" s="1"/>
  <c r="O26" i="1" s="1"/>
  <c r="P26" i="1" s="1"/>
  <c r="W30" i="1"/>
  <c r="X30" i="1" s="1"/>
  <c r="T30" i="1" s="1"/>
  <c r="R30" i="1" s="1"/>
  <c r="U30" i="1" s="1"/>
  <c r="O30" i="1" s="1"/>
  <c r="P30" i="1" s="1"/>
  <c r="AD18" i="1"/>
  <c r="BB33" i="1"/>
  <c r="AF17" i="1"/>
  <c r="AG17" i="1" s="1"/>
  <c r="Y17" i="1"/>
  <c r="AC17" i="1" s="1"/>
  <c r="AE17" i="1"/>
  <c r="Y110" i="1"/>
  <c r="AC110" i="1" s="1"/>
  <c r="AF110" i="1"/>
  <c r="AE110" i="1"/>
  <c r="AD25" i="1"/>
  <c r="W18" i="1"/>
  <c r="X18" i="1" s="1"/>
  <c r="T18" i="1" s="1"/>
  <c r="R18" i="1" s="1"/>
  <c r="U18" i="1" s="1"/>
  <c r="O18" i="1" s="1"/>
  <c r="P18" i="1" s="1"/>
  <c r="Y97" i="1"/>
  <c r="AC97" i="1" s="1"/>
  <c r="AF97" i="1"/>
  <c r="W114" i="1"/>
  <c r="X114" i="1" s="1"/>
  <c r="AD100" i="1"/>
  <c r="W100" i="1"/>
  <c r="X100" i="1" s="1"/>
  <c r="T100" i="1" s="1"/>
  <c r="R100" i="1" s="1"/>
  <c r="U100" i="1" s="1"/>
  <c r="O100" i="1" s="1"/>
  <c r="P100" i="1" s="1"/>
  <c r="Y101" i="1"/>
  <c r="AC101" i="1" s="1"/>
  <c r="AF101" i="1"/>
  <c r="AE101" i="1"/>
  <c r="O111" i="1"/>
  <c r="P111" i="1" s="1"/>
  <c r="BB109" i="1"/>
  <c r="W107" i="1"/>
  <c r="X107" i="1" s="1"/>
  <c r="T107" i="1" s="1"/>
  <c r="R107" i="1" s="1"/>
  <c r="U107" i="1" s="1"/>
  <c r="O107" i="1" s="1"/>
  <c r="P107" i="1" s="1"/>
  <c r="W71" i="1"/>
  <c r="X71" i="1" s="1"/>
  <c r="Y91" i="1"/>
  <c r="AC91" i="1" s="1"/>
  <c r="AF91" i="1"/>
  <c r="AG91" i="1" s="1"/>
  <c r="AE87" i="1"/>
  <c r="W72" i="1"/>
  <c r="X72" i="1" s="1"/>
  <c r="BB71" i="1"/>
  <c r="T105" i="1"/>
  <c r="R105" i="1" s="1"/>
  <c r="U105" i="1" s="1"/>
  <c r="O105" i="1" s="1"/>
  <c r="P105" i="1" s="1"/>
  <c r="W73" i="1"/>
  <c r="X73" i="1" s="1"/>
  <c r="T65" i="1"/>
  <c r="R65" i="1" s="1"/>
  <c r="U65" i="1" s="1"/>
  <c r="O65" i="1" s="1"/>
  <c r="P65" i="1" s="1"/>
  <c r="AD62" i="1"/>
  <c r="T62" i="1"/>
  <c r="R62" i="1" s="1"/>
  <c r="U62" i="1" s="1"/>
  <c r="O62" i="1" s="1"/>
  <c r="P62" i="1" s="1"/>
  <c r="AF56" i="1"/>
  <c r="Y56" i="1"/>
  <c r="AC56" i="1" s="1"/>
  <c r="AE56" i="1"/>
  <c r="T42" i="1"/>
  <c r="R42" i="1" s="1"/>
  <c r="U42" i="1" s="1"/>
  <c r="O42" i="1" s="1"/>
  <c r="P42" i="1" s="1"/>
  <c r="AD42" i="1"/>
  <c r="T56" i="1"/>
  <c r="R56" i="1" s="1"/>
  <c r="U56" i="1" s="1"/>
  <c r="O56" i="1" s="1"/>
  <c r="P56" i="1" s="1"/>
  <c r="AD45" i="1"/>
  <c r="T45" i="1"/>
  <c r="R45" i="1" s="1"/>
  <c r="U45" i="1" s="1"/>
  <c r="O45" i="1" s="1"/>
  <c r="P45" i="1" s="1"/>
  <c r="T52" i="1"/>
  <c r="R52" i="1" s="1"/>
  <c r="U52" i="1" s="1"/>
  <c r="O52" i="1" s="1"/>
  <c r="P52" i="1" s="1"/>
  <c r="AD52" i="1"/>
  <c r="T48" i="1"/>
  <c r="R48" i="1" s="1"/>
  <c r="U48" i="1" s="1"/>
  <c r="O48" i="1" s="1"/>
  <c r="P48" i="1" s="1"/>
  <c r="AD48" i="1"/>
  <c r="W33" i="1"/>
  <c r="X33" i="1" s="1"/>
  <c r="AD33" i="1"/>
  <c r="T40" i="1"/>
  <c r="R40" i="1" s="1"/>
  <c r="U40" i="1" s="1"/>
  <c r="O40" i="1" s="1"/>
  <c r="P40" i="1" s="1"/>
  <c r="AD40" i="1"/>
  <c r="AE32" i="1"/>
  <c r="W25" i="1"/>
  <c r="X25" i="1" s="1"/>
  <c r="T25" i="1" s="1"/>
  <c r="R25" i="1" s="1"/>
  <c r="U25" i="1" s="1"/>
  <c r="O25" i="1" s="1"/>
  <c r="P25" i="1" s="1"/>
  <c r="BB29" i="1"/>
  <c r="Y109" i="1" l="1"/>
  <c r="AC109" i="1" s="1"/>
  <c r="AF109" i="1"/>
  <c r="AE109" i="1"/>
  <c r="Y73" i="1"/>
  <c r="AC73" i="1" s="1"/>
  <c r="AF73" i="1"/>
  <c r="AE73" i="1"/>
  <c r="AF38" i="1"/>
  <c r="AG38" i="1" s="1"/>
  <c r="Y38" i="1"/>
  <c r="AC38" i="1" s="1"/>
  <c r="AE38" i="1"/>
  <c r="Y93" i="1"/>
  <c r="AC93" i="1" s="1"/>
  <c r="AF93" i="1"/>
  <c r="AG93" i="1" s="1"/>
  <c r="T93" i="1"/>
  <c r="R93" i="1" s="1"/>
  <c r="U93" i="1" s="1"/>
  <c r="O93" i="1" s="1"/>
  <c r="P93" i="1" s="1"/>
  <c r="AE93" i="1"/>
  <c r="AF71" i="1"/>
  <c r="Y71" i="1"/>
  <c r="AC71" i="1" s="1"/>
  <c r="AE71" i="1"/>
  <c r="T71" i="1"/>
  <c r="R71" i="1" s="1"/>
  <c r="U71" i="1" s="1"/>
  <c r="O71" i="1" s="1"/>
  <c r="P71" i="1" s="1"/>
  <c r="T109" i="1"/>
  <c r="R109" i="1" s="1"/>
  <c r="U109" i="1" s="1"/>
  <c r="O109" i="1" s="1"/>
  <c r="P109" i="1" s="1"/>
  <c r="AG108" i="1"/>
  <c r="T73" i="1"/>
  <c r="R73" i="1" s="1"/>
  <c r="U73" i="1" s="1"/>
  <c r="O73" i="1" s="1"/>
  <c r="P73" i="1" s="1"/>
  <c r="AG111" i="1"/>
  <c r="Y63" i="1"/>
  <c r="AC63" i="1" s="1"/>
  <c r="AF63" i="1"/>
  <c r="AE63" i="1"/>
  <c r="AG99" i="1"/>
  <c r="AF82" i="1"/>
  <c r="AG82" i="1" s="1"/>
  <c r="Y82" i="1"/>
  <c r="AC82" i="1" s="1"/>
  <c r="T82" i="1"/>
  <c r="R82" i="1" s="1"/>
  <c r="U82" i="1" s="1"/>
  <c r="O82" i="1" s="1"/>
  <c r="P82" i="1" s="1"/>
  <c r="AE82" i="1"/>
  <c r="Y51" i="1"/>
  <c r="AC51" i="1" s="1"/>
  <c r="AE51" i="1"/>
  <c r="AF51" i="1"/>
  <c r="AG51" i="1" s="1"/>
  <c r="T51" i="1"/>
  <c r="R51" i="1" s="1"/>
  <c r="U51" i="1" s="1"/>
  <c r="O51" i="1" s="1"/>
  <c r="P51" i="1" s="1"/>
  <c r="Y88" i="1"/>
  <c r="AC88" i="1" s="1"/>
  <c r="AF88" i="1"/>
  <c r="AE88" i="1"/>
  <c r="AG32" i="1"/>
  <c r="Y33" i="1"/>
  <c r="AC33" i="1" s="1"/>
  <c r="AF33" i="1"/>
  <c r="AE33" i="1"/>
  <c r="Y36" i="1"/>
  <c r="AC36" i="1" s="1"/>
  <c r="AF36" i="1"/>
  <c r="AG36" i="1" s="1"/>
  <c r="AE36" i="1"/>
  <c r="T36" i="1"/>
  <c r="R36" i="1" s="1"/>
  <c r="U36" i="1" s="1"/>
  <c r="O36" i="1" s="1"/>
  <c r="P36" i="1" s="1"/>
  <c r="AG48" i="1"/>
  <c r="AG52" i="1"/>
  <c r="AF41" i="1"/>
  <c r="AG41" i="1" s="1"/>
  <c r="Y41" i="1"/>
  <c r="AC41" i="1" s="1"/>
  <c r="T41" i="1"/>
  <c r="R41" i="1" s="1"/>
  <c r="U41" i="1" s="1"/>
  <c r="O41" i="1" s="1"/>
  <c r="P41" i="1" s="1"/>
  <c r="AE41" i="1"/>
  <c r="AF107" i="1"/>
  <c r="AG107" i="1" s="1"/>
  <c r="Y107" i="1"/>
  <c r="AC107" i="1" s="1"/>
  <c r="AE107" i="1"/>
  <c r="AG87" i="1"/>
  <c r="Y58" i="1"/>
  <c r="AC58" i="1" s="1"/>
  <c r="AF58" i="1"/>
  <c r="AG58" i="1" s="1"/>
  <c r="AE58" i="1"/>
  <c r="Y80" i="1"/>
  <c r="AC80" i="1" s="1"/>
  <c r="AF80" i="1"/>
  <c r="AE80" i="1"/>
  <c r="Y49" i="1"/>
  <c r="AC49" i="1" s="1"/>
  <c r="AF49" i="1"/>
  <c r="AE49" i="1"/>
  <c r="AG19" i="1"/>
  <c r="AF18" i="1"/>
  <c r="AG18" i="1" s="1"/>
  <c r="Y18" i="1"/>
  <c r="AC18" i="1" s="1"/>
  <c r="AE18" i="1"/>
  <c r="AF60" i="1"/>
  <c r="Y60" i="1"/>
  <c r="AC60" i="1" s="1"/>
  <c r="AE60" i="1"/>
  <c r="Y47" i="1"/>
  <c r="AC47" i="1" s="1"/>
  <c r="AE47" i="1"/>
  <c r="AF47" i="1"/>
  <c r="T47" i="1"/>
  <c r="R47" i="1" s="1"/>
  <c r="U47" i="1" s="1"/>
  <c r="O47" i="1" s="1"/>
  <c r="P47" i="1" s="1"/>
  <c r="AF37" i="1"/>
  <c r="AE37" i="1"/>
  <c r="Y37" i="1"/>
  <c r="AC37" i="1" s="1"/>
  <c r="Y114" i="1"/>
  <c r="AC114" i="1" s="1"/>
  <c r="AF114" i="1"/>
  <c r="AE114" i="1"/>
  <c r="Y76" i="1"/>
  <c r="AC76" i="1" s="1"/>
  <c r="AF76" i="1"/>
  <c r="AG76" i="1" s="1"/>
  <c r="AE76" i="1"/>
  <c r="Y77" i="1"/>
  <c r="AC77" i="1" s="1"/>
  <c r="AF77" i="1"/>
  <c r="AE77" i="1"/>
  <c r="AF23" i="1"/>
  <c r="AE23" i="1"/>
  <c r="Y23" i="1"/>
  <c r="AC23" i="1" s="1"/>
  <c r="AG61" i="1"/>
  <c r="Y74" i="1"/>
  <c r="AC74" i="1" s="1"/>
  <c r="AF74" i="1"/>
  <c r="AG74" i="1" s="1"/>
  <c r="AE74" i="1"/>
  <c r="T38" i="1"/>
  <c r="R38" i="1" s="1"/>
  <c r="U38" i="1" s="1"/>
  <c r="O38" i="1" s="1"/>
  <c r="P38" i="1" s="1"/>
  <c r="AG65" i="1"/>
  <c r="Y78" i="1"/>
  <c r="AC78" i="1" s="1"/>
  <c r="AF78" i="1"/>
  <c r="AG78" i="1" s="1"/>
  <c r="AE78" i="1"/>
  <c r="Y29" i="1"/>
  <c r="AC29" i="1" s="1"/>
  <c r="AF29" i="1"/>
  <c r="AG29" i="1" s="1"/>
  <c r="AE29" i="1"/>
  <c r="AG28" i="1"/>
  <c r="AG113" i="1"/>
  <c r="Y22" i="1"/>
  <c r="AC22" i="1" s="1"/>
  <c r="AF22" i="1"/>
  <c r="AG22" i="1" s="1"/>
  <c r="AE22" i="1"/>
  <c r="Y94" i="1"/>
  <c r="AC94" i="1" s="1"/>
  <c r="AF94" i="1"/>
  <c r="AG94" i="1" s="1"/>
  <c r="AE94" i="1"/>
  <c r="T94" i="1"/>
  <c r="R94" i="1" s="1"/>
  <c r="U94" i="1" s="1"/>
  <c r="O94" i="1" s="1"/>
  <c r="P94" i="1" s="1"/>
  <c r="AF75" i="1"/>
  <c r="AE75" i="1"/>
  <c r="Y75" i="1"/>
  <c r="AC75" i="1" s="1"/>
  <c r="AG21" i="1"/>
  <c r="Y25" i="1"/>
  <c r="AC25" i="1" s="1"/>
  <c r="AF25" i="1"/>
  <c r="AG25" i="1" s="1"/>
  <c r="AE25" i="1"/>
  <c r="AG56" i="1"/>
  <c r="AF72" i="1"/>
  <c r="AG72" i="1" s="1"/>
  <c r="Y72" i="1"/>
  <c r="AC72" i="1" s="1"/>
  <c r="AE72" i="1"/>
  <c r="AG110" i="1"/>
  <c r="Y30" i="1"/>
  <c r="AC30" i="1" s="1"/>
  <c r="AF30" i="1"/>
  <c r="AG30" i="1" s="1"/>
  <c r="AE30" i="1"/>
  <c r="Y43" i="1"/>
  <c r="AC43" i="1" s="1"/>
  <c r="AF43" i="1"/>
  <c r="AE43" i="1"/>
  <c r="T43" i="1"/>
  <c r="R43" i="1" s="1"/>
  <c r="U43" i="1" s="1"/>
  <c r="O43" i="1" s="1"/>
  <c r="P43" i="1" s="1"/>
  <c r="Y84" i="1"/>
  <c r="AC84" i="1" s="1"/>
  <c r="AF84" i="1"/>
  <c r="AE84" i="1"/>
  <c r="T84" i="1"/>
  <c r="R84" i="1" s="1"/>
  <c r="U84" i="1" s="1"/>
  <c r="O84" i="1" s="1"/>
  <c r="P84" i="1" s="1"/>
  <c r="Y67" i="1"/>
  <c r="AC67" i="1" s="1"/>
  <c r="AF67" i="1"/>
  <c r="AE67" i="1"/>
  <c r="T60" i="1"/>
  <c r="R60" i="1" s="1"/>
  <c r="U60" i="1" s="1"/>
  <c r="O60" i="1" s="1"/>
  <c r="P60" i="1" s="1"/>
  <c r="Y42" i="1"/>
  <c r="AC42" i="1" s="1"/>
  <c r="AF42" i="1"/>
  <c r="AE42" i="1"/>
  <c r="T37" i="1"/>
  <c r="R37" i="1" s="1"/>
  <c r="U37" i="1" s="1"/>
  <c r="O37" i="1" s="1"/>
  <c r="P37" i="1" s="1"/>
  <c r="Y62" i="1"/>
  <c r="AC62" i="1" s="1"/>
  <c r="AF62" i="1"/>
  <c r="AE62" i="1"/>
  <c r="T72" i="1"/>
  <c r="R72" i="1" s="1"/>
  <c r="U72" i="1" s="1"/>
  <c r="O72" i="1" s="1"/>
  <c r="P72" i="1" s="1"/>
  <c r="AF85" i="1"/>
  <c r="Y85" i="1"/>
  <c r="AC85" i="1" s="1"/>
  <c r="AE85" i="1"/>
  <c r="AF44" i="1"/>
  <c r="Y44" i="1"/>
  <c r="AC44" i="1" s="1"/>
  <c r="AE44" i="1"/>
  <c r="AF59" i="1"/>
  <c r="AG59" i="1" s="1"/>
  <c r="Y59" i="1"/>
  <c r="AC59" i="1" s="1"/>
  <c r="AE59" i="1"/>
  <c r="T59" i="1"/>
  <c r="R59" i="1" s="1"/>
  <c r="U59" i="1" s="1"/>
  <c r="O59" i="1" s="1"/>
  <c r="P59" i="1" s="1"/>
  <c r="AG98" i="1"/>
  <c r="AG24" i="1"/>
  <c r="Y50" i="1"/>
  <c r="AC50" i="1" s="1"/>
  <c r="AF50" i="1"/>
  <c r="AE50" i="1"/>
  <c r="Y70" i="1"/>
  <c r="AC70" i="1" s="1"/>
  <c r="AF70" i="1"/>
  <c r="AE70" i="1"/>
  <c r="AF55" i="1"/>
  <c r="Y55" i="1"/>
  <c r="AC55" i="1" s="1"/>
  <c r="AE55" i="1"/>
  <c r="AG97" i="1"/>
  <c r="AG96" i="1"/>
  <c r="AF86" i="1"/>
  <c r="AG86" i="1" s="1"/>
  <c r="Y86" i="1"/>
  <c r="AC86" i="1" s="1"/>
  <c r="AE86" i="1"/>
  <c r="T55" i="1"/>
  <c r="R55" i="1" s="1"/>
  <c r="U55" i="1" s="1"/>
  <c r="O55" i="1" s="1"/>
  <c r="P55" i="1" s="1"/>
  <c r="AF89" i="1"/>
  <c r="AE89" i="1"/>
  <c r="Y89" i="1"/>
  <c r="AC89" i="1" s="1"/>
  <c r="Y90" i="1"/>
  <c r="AC90" i="1" s="1"/>
  <c r="AF90" i="1"/>
  <c r="AG90" i="1" s="1"/>
  <c r="AE90" i="1"/>
  <c r="AF45" i="1"/>
  <c r="AG45" i="1" s="1"/>
  <c r="Y45" i="1"/>
  <c r="AC45" i="1" s="1"/>
  <c r="AE45" i="1"/>
  <c r="T85" i="1"/>
  <c r="R85" i="1" s="1"/>
  <c r="U85" i="1" s="1"/>
  <c r="O85" i="1" s="1"/>
  <c r="P85" i="1" s="1"/>
  <c r="AF54" i="1"/>
  <c r="AG54" i="1" s="1"/>
  <c r="Y54" i="1"/>
  <c r="AC54" i="1" s="1"/>
  <c r="AE54" i="1"/>
  <c r="T58" i="1"/>
  <c r="R58" i="1" s="1"/>
  <c r="U58" i="1" s="1"/>
  <c r="O58" i="1" s="1"/>
  <c r="P58" i="1" s="1"/>
  <c r="T49" i="1"/>
  <c r="R49" i="1" s="1"/>
  <c r="U49" i="1" s="1"/>
  <c r="O49" i="1" s="1"/>
  <c r="P49" i="1" s="1"/>
  <c r="Y64" i="1"/>
  <c r="AC64" i="1" s="1"/>
  <c r="AF64" i="1"/>
  <c r="AE64" i="1"/>
  <c r="AG92" i="1"/>
  <c r="Y66" i="1"/>
  <c r="AC66" i="1" s="1"/>
  <c r="AF66" i="1"/>
  <c r="AG66" i="1" s="1"/>
  <c r="AE66" i="1"/>
  <c r="Y106" i="1"/>
  <c r="AC106" i="1" s="1"/>
  <c r="AF106" i="1"/>
  <c r="AG106" i="1" s="1"/>
  <c r="AE106" i="1"/>
  <c r="AE100" i="1"/>
  <c r="AF100" i="1"/>
  <c r="AG100" i="1" s="1"/>
  <c r="Y100" i="1"/>
  <c r="AC100" i="1" s="1"/>
  <c r="T33" i="1"/>
  <c r="R33" i="1" s="1"/>
  <c r="U33" i="1" s="1"/>
  <c r="O33" i="1" s="1"/>
  <c r="P33" i="1" s="1"/>
  <c r="AG101" i="1"/>
  <c r="Y26" i="1"/>
  <c r="AC26" i="1" s="1"/>
  <c r="AF26" i="1"/>
  <c r="AG26" i="1" s="1"/>
  <c r="AE26" i="1"/>
  <c r="Y95" i="1"/>
  <c r="AC95" i="1" s="1"/>
  <c r="AE95" i="1"/>
  <c r="AF95" i="1"/>
  <c r="AG95" i="1" s="1"/>
  <c r="Y103" i="1"/>
  <c r="AC103" i="1" s="1"/>
  <c r="AE103" i="1"/>
  <c r="AF103" i="1"/>
  <c r="AG103" i="1" s="1"/>
  <c r="AF79" i="1"/>
  <c r="AG79" i="1" s="1"/>
  <c r="AE79" i="1"/>
  <c r="Y79" i="1"/>
  <c r="AC79" i="1" s="1"/>
  <c r="AG40" i="1"/>
  <c r="Y102" i="1"/>
  <c r="AC102" i="1" s="1"/>
  <c r="AF102" i="1"/>
  <c r="AG102" i="1" s="1"/>
  <c r="AE102" i="1"/>
  <c r="T102" i="1"/>
  <c r="R102" i="1" s="1"/>
  <c r="U102" i="1" s="1"/>
  <c r="O102" i="1" s="1"/>
  <c r="P102" i="1" s="1"/>
  <c r="Y46" i="1"/>
  <c r="AC46" i="1" s="1"/>
  <c r="AF46" i="1"/>
  <c r="AE46" i="1"/>
  <c r="AG39" i="1"/>
  <c r="Y83" i="1"/>
  <c r="AC83" i="1" s="1"/>
  <c r="AF83" i="1"/>
  <c r="AG83" i="1" s="1"/>
  <c r="AE83" i="1"/>
  <c r="Y69" i="1"/>
  <c r="AC69" i="1" s="1"/>
  <c r="AF69" i="1"/>
  <c r="AG69" i="1" s="1"/>
  <c r="AE69" i="1"/>
  <c r="T44" i="1"/>
  <c r="R44" i="1" s="1"/>
  <c r="U44" i="1" s="1"/>
  <c r="O44" i="1" s="1"/>
  <c r="P44" i="1" s="1"/>
  <c r="T106" i="1"/>
  <c r="R106" i="1" s="1"/>
  <c r="U106" i="1" s="1"/>
  <c r="O106" i="1" s="1"/>
  <c r="P106" i="1" s="1"/>
  <c r="T46" i="1"/>
  <c r="R46" i="1" s="1"/>
  <c r="U46" i="1" s="1"/>
  <c r="O46" i="1" s="1"/>
  <c r="P46" i="1" s="1"/>
  <c r="AG50" i="1" l="1"/>
  <c r="AG43" i="1"/>
  <c r="AG33" i="1"/>
  <c r="AG63" i="1"/>
  <c r="AG49" i="1"/>
  <c r="AG71" i="1"/>
  <c r="AG46" i="1"/>
  <c r="AG64" i="1"/>
  <c r="AG89" i="1"/>
  <c r="AG44" i="1"/>
  <c r="AG77" i="1"/>
  <c r="AG73" i="1"/>
  <c r="AG75" i="1"/>
  <c r="AG55" i="1"/>
  <c r="AG60" i="1"/>
  <c r="AG67" i="1"/>
  <c r="AG114" i="1"/>
  <c r="AG42" i="1"/>
  <c r="AG84" i="1"/>
  <c r="AG37" i="1"/>
  <c r="AG80" i="1"/>
  <c r="AG88" i="1"/>
  <c r="AG62" i="1"/>
  <c r="AG23" i="1"/>
  <c r="AG70" i="1"/>
  <c r="AG85" i="1"/>
  <c r="AG109" i="1"/>
  <c r="AG47" i="1"/>
</calcChain>
</file>

<file path=xl/sharedStrings.xml><?xml version="1.0" encoding="utf-8"?>
<sst xmlns="http://schemas.openxmlformats.org/spreadsheetml/2006/main" count="2604" uniqueCount="918">
  <si>
    <t>File opened</t>
  </si>
  <si>
    <t>2023-08-29 09:29:38</t>
  </si>
  <si>
    <t>Console s/n</t>
  </si>
  <si>
    <t>68C-812070</t>
  </si>
  <si>
    <t>Console ver</t>
  </si>
  <si>
    <t>Bluestem v.2.1.08</t>
  </si>
  <si>
    <t>Scripts ver</t>
  </si>
  <si>
    <t>2022.05  2.1.08, Aug 2022</t>
  </si>
  <si>
    <t>Head s/n</t>
  </si>
  <si>
    <t>68H-712060</t>
  </si>
  <si>
    <t>Head ver</t>
  </si>
  <si>
    <t>1.4.22</t>
  </si>
  <si>
    <t>Head cal</t>
  </si>
  <si>
    <t>{"oxygen": "21", "co2azero": "0.958686", "co2aspan1": "1.00384", "co2aspan2": "-0.0388579", "co2aspan2a": "0.298443", "co2aspan2b": "0.296129", "co2aspanconc1": "2473", "co2aspanconc2": "301.4", "co2bzero": "0.928023", "co2bspan1": "1.00369", "co2bspan2": "-0.0381895", "co2bspan2a": "0.304009", "co2bspan2b": "0.301603", "co2bspanconc1": "2473", "co2bspanconc2": "301.4", "h2oazero": "1.03295", "h2oaspan1": "1.01426", "h2oaspan2": "0", "h2oaspan2a": "0.0674578", "h2oaspan2b": "0.06842", "h2oaspanconc1": "11.74", "h2oaspanconc2": "0", "h2obzero": "1.03066", "h2obspan1": "0.988155", "h2obspan2": "0", "h2obspan2a": "0.0699234", "h2obspan2b": "0.0690952", "h2obspanconc1": "11.74", "h2obspanconc2": "0", "tazero": "0.0809345", "tbzero": "0.115692", "flowmeterzero": "2.48309", "flowazero": "0.32467", "flowbzero": "0.30139", "chamberpressurezero": "2.71672", "ssa_ref": "35016.3", "ssb_ref": "26963.9"}</t>
  </si>
  <si>
    <t>CO2 rangematch</t>
  </si>
  <si>
    <t>Sat Aug 26 10:18</t>
  </si>
  <si>
    <t>H2O rangematch</t>
  </si>
  <si>
    <t>Sat Aug 26 10:25</t>
  </si>
  <si>
    <t>Chamber type</t>
  </si>
  <si>
    <t>6800-01A</t>
  </si>
  <si>
    <t>Chamber s/n</t>
  </si>
  <si>
    <t>MPF-281819</t>
  </si>
  <si>
    <t>Chamber rev</t>
  </si>
  <si>
    <t>0</t>
  </si>
  <si>
    <t>Chamber cal</t>
  </si>
  <si>
    <t>Fluorometer</t>
  </si>
  <si>
    <t>Flr. Version</t>
  </si>
  <si>
    <t>09:29:38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</si>
  <si>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</si>
  <si>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</si>
  <si>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</si>
  <si>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</si>
  <si>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</si>
  <si>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</si>
  <si>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</si>
  <si>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</si>
  <si>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</si>
  <si>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</si>
  <si>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</si>
  <si>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</si>
  <si>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</si>
  <si>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</si>
  <si>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</si>
  <si>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</si>
  <si>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</si>
  <si>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</si>
  <si>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</si>
  <si>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</si>
  <si>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</si>
  <si>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</si>
  <si>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</si>
  <si>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</si>
  <si>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</si>
  <si>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</si>
  <si>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</si>
  <si>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</si>
  <si>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</si>
  <si>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</si>
  <si>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</si>
  <si>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</si>
  <si>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</si>
  <si>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</si>
  <si>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</si>
  <si>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</si>
  <si>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</si>
  <si>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</si>
  <si>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</si>
  <si>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</si>
  <si>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</si>
  <si>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</si>
  <si>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</si>
  <si>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</si>
  <si>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</si>
  <si>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</si>
  <si>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</si>
  <si>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</si>
  <si>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</si>
  <si>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</si>
  <si>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</si>
  <si>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</si>
  <si>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</si>
  <si>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1.00174 154.875 367.824 612.306 846.028 1024.56 1185.6 1272.17</t>
  </si>
  <si>
    <t>Fs_true</t>
  </si>
  <si>
    <t>-1.45111 185.154 394.164 600.976 802.751 1001.67 1200.61 1400.81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</si>
  <si>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</si>
  <si>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</si>
  <si>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</si>
  <si>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</si>
  <si>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</si>
  <si>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</si>
  <si>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</si>
  <si>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</si>
  <si>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</si>
  <si>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</si>
  <si>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</si>
  <si>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</si>
  <si>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</si>
  <si>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</si>
  <si>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</si>
  <si>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</si>
  <si>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</si>
  <si>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</si>
  <si>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</si>
  <si>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</si>
  <si>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</si>
  <si>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</si>
  <si>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</si>
  <si>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</si>
  <si>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</si>
  <si>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</si>
  <si>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</si>
  <si>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</si>
  <si>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</si>
  <si>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</si>
  <si>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</si>
  <si>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</si>
  <si>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</si>
  <si>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</si>
  <si>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</si>
  <si>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</si>
  <si>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</si>
  <si>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</si>
  <si>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</si>
  <si>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</si>
  <si>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</si>
  <si>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</si>
  <si>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</si>
  <si>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</si>
  <si>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</si>
  <si>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</si>
  <si>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</si>
  <si>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</si>
  <si>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</si>
  <si>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</si>
  <si>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</si>
  <si>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</si>
  <si>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</si>
  <si>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</si>
  <si>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</si>
  <si>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</si>
  <si>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</si>
  <si>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</si>
  <si>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</si>
  <si>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</si>
  <si>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</si>
  <si>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</si>
  <si>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</si>
  <si>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</si>
  <si>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</si>
  <si>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</si>
  <si>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</si>
  <si>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</si>
  <si>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</si>
  <si>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</si>
  <si>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</si>
  <si>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</si>
  <si>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</si>
  <si>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</si>
  <si>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</si>
  <si>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</si>
  <si>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</si>
  <si>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</si>
  <si>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</si>
  <si>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</si>
  <si>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</si>
  <si>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</si>
  <si>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</si>
  <si>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</si>
  <si>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</si>
  <si>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</si>
  <si>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</si>
  <si>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</si>
  <si>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</si>
  <si>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</si>
  <si>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</si>
  <si>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</si>
  <si>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</si>
  <si>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</si>
  <si>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</si>
  <si>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</si>
  <si>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</si>
  <si>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</si>
  <si>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</si>
  <si>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</si>
  <si>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</si>
  <si>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</si>
  <si>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</si>
  <si>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</si>
  <si>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</si>
  <si>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</si>
  <si>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</si>
  <si>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</si>
  <si>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</si>
  <si>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</si>
  <si>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</si>
  <si>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</si>
  <si>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</si>
  <si>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</si>
  <si>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</si>
  <si>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</si>
  <si>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</si>
  <si>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</si>
  <si>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</si>
  <si>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</si>
  <si>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</si>
  <si>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</si>
  <si>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</si>
  <si>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</si>
  <si>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</si>
  <si>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</si>
  <si>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</si>
  <si>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</si>
  <si>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</si>
  <si>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</si>
  <si>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</si>
  <si>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</si>
  <si>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</si>
  <si>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</si>
  <si>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</si>
  <si>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</si>
  <si>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</si>
  <si>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</si>
  <si>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</si>
  <si>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</si>
  <si>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</si>
  <si>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</si>
  <si>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</si>
  <si>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</si>
  <si>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</si>
  <si>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</si>
  <si>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</si>
  <si>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</si>
  <si>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</si>
  <si>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</si>
  <si>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</si>
  <si>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</si>
  <si>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</si>
  <si>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</si>
  <si>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</si>
  <si>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</si>
  <si>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</si>
  <si>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</si>
  <si>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</si>
  <si>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</si>
  <si>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</si>
  <si>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</si>
  <si>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</si>
  <si>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</si>
  <si>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</si>
  <si>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</si>
  <si>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</si>
  <si>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</si>
  <si>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</si>
  <si>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</si>
  <si>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</si>
  <si>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</si>
  <si>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</si>
  <si>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</si>
  <si>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</si>
  <si>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</si>
  <si>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</si>
  <si>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</si>
  <si>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</si>
  <si>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</si>
  <si>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</si>
  <si>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</si>
  <si>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</si>
  <si>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</si>
  <si>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</si>
  <si>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</si>
  <si>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</si>
  <si>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</si>
  <si>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</si>
  <si>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</si>
  <si>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</si>
  <si>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</si>
  <si>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</si>
  <si>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</si>
  <si>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</si>
  <si>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</si>
  <si>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</si>
  <si>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</si>
  <si>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</si>
  <si>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</si>
  <si>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</si>
  <si>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</si>
  <si>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</si>
  <si>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</si>
  <si>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</si>
  <si>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</si>
  <si>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</si>
  <si>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</si>
  <si>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</si>
  <si>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</si>
  <si>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</si>
  <si>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</si>
  <si>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</si>
  <si>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</si>
  <si>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</si>
  <si>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</si>
  <si>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</si>
  <si>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</si>
  <si>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</si>
  <si>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</si>
  <si>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</si>
  <si>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</si>
  <si>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</si>
  <si>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</si>
  <si>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</si>
  <si>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</si>
  <si>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</si>
  <si>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</si>
  <si>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</si>
  <si>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</si>
  <si>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</si>
  <si>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</si>
  <si>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</si>
  <si>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</si>
  <si>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</si>
  <si>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</si>
  <si>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</si>
  <si>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</si>
  <si>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</si>
  <si>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</si>
  <si>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</si>
  <si>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</si>
  <si>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</si>
  <si>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</si>
  <si>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</si>
  <si>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</si>
  <si>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</si>
  <si>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</si>
  <si>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</si>
  <si>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</si>
  <si>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</si>
  <si>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</si>
  <si>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</si>
  <si>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</si>
  <si>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</si>
  <si>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</si>
  <si>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</si>
  <si>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</si>
  <si>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</si>
  <si>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</si>
  <si>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</si>
  <si>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</si>
  <si>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</si>
  <si>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</si>
  <si>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</si>
  <si>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</si>
  <si>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</si>
  <si>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</si>
  <si>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</si>
  <si>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</si>
  <si>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</si>
  <si>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</si>
  <si>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</si>
  <si>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</si>
  <si>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</si>
  <si>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</si>
  <si>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</si>
  <si>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</si>
  <si>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</si>
  <si>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</si>
  <si>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</si>
  <si>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</si>
  <si>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</si>
  <si>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</si>
  <si>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</si>
  <si>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</si>
  <si>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</si>
  <si>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</si>
  <si>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</si>
  <si>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</si>
  <si>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</si>
  <si>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</si>
  <si>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</si>
  <si>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</si>
  <si>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</si>
  <si>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</si>
  <si>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</si>
  <si>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</si>
  <si>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</si>
  <si>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</si>
  <si>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</si>
  <si>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</si>
  <si>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</si>
  <si>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</si>
  <si>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</si>
  <si>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</si>
  <si>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</si>
  <si>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</si>
  <si>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</si>
  <si>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</si>
  <si>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</si>
  <si>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</si>
  <si>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</si>
  <si>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</si>
  <si>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</si>
  <si>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</si>
  <si>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</si>
  <si>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</si>
  <si>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</si>
  <si>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</si>
  <si>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</si>
  <si>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</si>
  <si>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</si>
  <si>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</si>
  <si>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</si>
  <si>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</si>
  <si>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</si>
  <si>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20230829 10:09:21</t>
  </si>
  <si>
    <t>10:09:21</t>
  </si>
  <si>
    <t>none</t>
  </si>
  <si>
    <t>zg12a</t>
  </si>
  <si>
    <t>MPF-918-20220629-11_33_48</t>
  </si>
  <si>
    <t>MPF-1953-20230829-10_08_39</t>
  </si>
  <si>
    <t>DARK-1954-20230829-10_08_46</t>
  </si>
  <si>
    <t>0: Broadleaf</t>
  </si>
  <si>
    <t>10:08:49</t>
  </si>
  <si>
    <t>1/2</t>
  </si>
  <si>
    <t>11111111</t>
  </si>
  <si>
    <t>oooooooo</t>
  </si>
  <si>
    <t>off</t>
  </si>
  <si>
    <t>20230829 10:11:02</t>
  </si>
  <si>
    <t>10:11:02</t>
  </si>
  <si>
    <t>MPF-1955-20230829-10_10_19</t>
  </si>
  <si>
    <t>DARK-1956-20230829-10_10_26</t>
  </si>
  <si>
    <t>10:10:34</t>
  </si>
  <si>
    <t>2/2</t>
  </si>
  <si>
    <t>20230829 10:12:42</t>
  </si>
  <si>
    <t>10:12:42</t>
  </si>
  <si>
    <t>MPF-1957-20230829-10_11_59</t>
  </si>
  <si>
    <t>DARK-1958-20230829-10_12_06</t>
  </si>
  <si>
    <t>10:12:14</t>
  </si>
  <si>
    <t>20230829 10:14:21</t>
  </si>
  <si>
    <t>10:14:21</t>
  </si>
  <si>
    <t>MPF-1959-20230829-10_13_39</t>
  </si>
  <si>
    <t>DARK-1960-20230829-10_13_46</t>
  </si>
  <si>
    <t>10:13:52</t>
  </si>
  <si>
    <t>20230829 10:16:14</t>
  </si>
  <si>
    <t>10:16:14</t>
  </si>
  <si>
    <t>MPF-1961-20230829-10_15_31</t>
  </si>
  <si>
    <t>DARK-1962-20230829-10_15_38</t>
  </si>
  <si>
    <t>10:15:46</t>
  </si>
  <si>
    <t>20230829 10:18:02</t>
  </si>
  <si>
    <t>10:18:02</t>
  </si>
  <si>
    <t>MPF-1963-20230829-10_17_20</t>
  </si>
  <si>
    <t>DARK-1964-20230829-10_17_27</t>
  </si>
  <si>
    <t>10:17:34</t>
  </si>
  <si>
    <t>20230829 10:19:42</t>
  </si>
  <si>
    <t>10:19:42</t>
  </si>
  <si>
    <t>MPF-1965-20230829-10_18_59</t>
  </si>
  <si>
    <t>DARK-1966-20230829-10_19_06</t>
  </si>
  <si>
    <t>10:19:08</t>
  </si>
  <si>
    <t>20230829 10:22:51</t>
  </si>
  <si>
    <t>10:22:51</t>
  </si>
  <si>
    <t>MPF-1967-20230829-10_22_09</t>
  </si>
  <si>
    <t>DARK-1968-20230829-10_22_16</t>
  </si>
  <si>
    <t>10:20:52</t>
  </si>
  <si>
    <t>20230829 10:25:57</t>
  </si>
  <si>
    <t>10:25:57</t>
  </si>
  <si>
    <t>MPF-1969-20230829-10_25_14</t>
  </si>
  <si>
    <t>DARK-1970-20230829-10_25_21</t>
  </si>
  <si>
    <t>10:24:03</t>
  </si>
  <si>
    <t>20230829 10:27:37</t>
  </si>
  <si>
    <t>10:27:37</t>
  </si>
  <si>
    <t>MPF-1971-20230829-10_26_54</t>
  </si>
  <si>
    <t>DARK-1972-20230829-10_27_01</t>
  </si>
  <si>
    <t>10:27:09</t>
  </si>
  <si>
    <t>20230829 10:29:21</t>
  </si>
  <si>
    <t>10:29:21</t>
  </si>
  <si>
    <t>MPF-1973-20230829-10_28_39</t>
  </si>
  <si>
    <t>DARK-1974-20230829-10_28_46</t>
  </si>
  <si>
    <t>10:28:52</t>
  </si>
  <si>
    <t>20230829 10:31:08</t>
  </si>
  <si>
    <t>10:31:08</t>
  </si>
  <si>
    <t>MPF-1975-20230829-10_30_26</t>
  </si>
  <si>
    <t>DARK-1976-20230829-10_30_33</t>
  </si>
  <si>
    <t>10:30:34</t>
  </si>
  <si>
    <t>20230829 10:32:50</t>
  </si>
  <si>
    <t>10:32:50</t>
  </si>
  <si>
    <t>MPF-1977-20230829-10_32_08</t>
  </si>
  <si>
    <t>DARK-1978-20230829-10_32_15</t>
  </si>
  <si>
    <t>10:32:21</t>
  </si>
  <si>
    <t>20230829 10:34:39</t>
  </si>
  <si>
    <t>10:34:39</t>
  </si>
  <si>
    <t>MPF-1979-20230829-10_33_57</t>
  </si>
  <si>
    <t>DARK-1980-20230829-10_34_04</t>
  </si>
  <si>
    <t>10:34:10</t>
  </si>
  <si>
    <t>20230829 11:15:16</t>
  </si>
  <si>
    <t>11:15:16</t>
  </si>
  <si>
    <t>hn1a</t>
  </si>
  <si>
    <t>2</t>
  </si>
  <si>
    <t>MPF-1981-20230829-11_14_34</t>
  </si>
  <si>
    <t>DARK-1982-20230829-11_14_41</t>
  </si>
  <si>
    <t>11:14:48</t>
  </si>
  <si>
    <t>20230829 11:16:56</t>
  </si>
  <si>
    <t>11:16:56</t>
  </si>
  <si>
    <t>MPF-1983-20230829-11_16_13</t>
  </si>
  <si>
    <t>DARK-1984-20230829-11_16_21</t>
  </si>
  <si>
    <t>11:16:24</t>
  </si>
  <si>
    <t>20230829 11:18:42</t>
  </si>
  <si>
    <t>11:18:42</t>
  </si>
  <si>
    <t>MPF-1985-20230829-11_17_59</t>
  </si>
  <si>
    <t>DARK-1986-20230829-11_18_07</t>
  </si>
  <si>
    <t>11:18:13</t>
  </si>
  <si>
    <t>20230829 11:20:30</t>
  </si>
  <si>
    <t>11:20:30</t>
  </si>
  <si>
    <t>MPF-1987-20230829-11_19_47</t>
  </si>
  <si>
    <t>DARK-1988-20230829-11_19_55</t>
  </si>
  <si>
    <t>11:20:02</t>
  </si>
  <si>
    <t>20230829 11:22:11</t>
  </si>
  <si>
    <t>11:22:11</t>
  </si>
  <si>
    <t>MPF-1989-20230829-11_21_28</t>
  </si>
  <si>
    <t>DARK-1990-20230829-11_21_36</t>
  </si>
  <si>
    <t>11:21:43</t>
  </si>
  <si>
    <t>20230829 11:23:52</t>
  </si>
  <si>
    <t>11:23:52</t>
  </si>
  <si>
    <t>MPF-1991-20230829-11_23_10</t>
  </si>
  <si>
    <t>DARK-1992-20230829-11_23_17</t>
  </si>
  <si>
    <t>11:23:26</t>
  </si>
  <si>
    <t>20230829 11:25:40</t>
  </si>
  <si>
    <t>11:25:40</t>
  </si>
  <si>
    <t>MPF-1993-20230829-11_24_58</t>
  </si>
  <si>
    <t>DARK-1994-20230829-11_25_05</t>
  </si>
  <si>
    <t>11:25:12</t>
  </si>
  <si>
    <t>20230829 11:28:50</t>
  </si>
  <si>
    <t>11:28:50</t>
  </si>
  <si>
    <t>MPF-1995-20230829-11_28_07</t>
  </si>
  <si>
    <t>DARK-1996-20230829-11_28_15</t>
  </si>
  <si>
    <t>11:26:52</t>
  </si>
  <si>
    <t>20230829 11:30:30</t>
  </si>
  <si>
    <t>11:30:30</t>
  </si>
  <si>
    <t>MPF-1997-20230829-11_29_48</t>
  </si>
  <si>
    <t>DARK-1998-20230829-11_29_55</t>
  </si>
  <si>
    <t>11:30:03</t>
  </si>
  <si>
    <t>20230829 11:32:25</t>
  </si>
  <si>
    <t>11:32:25</t>
  </si>
  <si>
    <t>MPF-1999-20230829-11_31_42</t>
  </si>
  <si>
    <t>DARK-2000-20230829-11_31_50</t>
  </si>
  <si>
    <t>11:31:58</t>
  </si>
  <si>
    <t>20230829 11:34:06</t>
  </si>
  <si>
    <t>11:34:06</t>
  </si>
  <si>
    <t>MPF-2001-20230829-11_33_24</t>
  </si>
  <si>
    <t>DARK-2002-20230829-11_33_31</t>
  </si>
  <si>
    <t>11:33:36</t>
  </si>
  <si>
    <t>20230829 11:35:46</t>
  </si>
  <si>
    <t>11:35:46</t>
  </si>
  <si>
    <t>MPF-2003-20230829-11_35_03</t>
  </si>
  <si>
    <t>DARK-2004-20230829-11_35_11</t>
  </si>
  <si>
    <t>11:35:15</t>
  </si>
  <si>
    <t>20230829 11:37:30</t>
  </si>
  <si>
    <t>11:37:30</t>
  </si>
  <si>
    <t>MPF-2005-20230829-11_36_48</t>
  </si>
  <si>
    <t>DARK-2006-20230829-11_36_55</t>
  </si>
  <si>
    <t>11:37:00</t>
  </si>
  <si>
    <t>20230829 11:39:42</t>
  </si>
  <si>
    <t>11:39:42</t>
  </si>
  <si>
    <t>MPF-2007-20230829-11_39_00</t>
  </si>
  <si>
    <t>DARK-2008-20230829-11_39_07</t>
  </si>
  <si>
    <t>11:39:10</t>
  </si>
  <si>
    <t>20230829 12:26:39</t>
  </si>
  <si>
    <t>12:26:39</t>
  </si>
  <si>
    <t>zg5b</t>
  </si>
  <si>
    <t>3</t>
  </si>
  <si>
    <t>MPF-2009-20230829-12_25_57</t>
  </si>
  <si>
    <t>DARK-2010-20230829-12_26_04</t>
  </si>
  <si>
    <t>12:26:11</t>
  </si>
  <si>
    <t>20230829 12:28:19</t>
  </si>
  <si>
    <t>12:28:19</t>
  </si>
  <si>
    <t>MPF-2011-20230829-12_27_36</t>
  </si>
  <si>
    <t>DARK-2012-20230829-12_27_44</t>
  </si>
  <si>
    <t>12:27:50</t>
  </si>
  <si>
    <t>20230829 12:30:06</t>
  </si>
  <si>
    <t>12:30:06</t>
  </si>
  <si>
    <t>MPF-2013-20230829-12_29_23</t>
  </si>
  <si>
    <t>DARK-2014-20230829-12_29_31</t>
  </si>
  <si>
    <t>12:29:39</t>
  </si>
  <si>
    <t>20230829 12:31:49</t>
  </si>
  <si>
    <t>12:31:49</t>
  </si>
  <si>
    <t>MPF-2015-20230829-12_31_07</t>
  </si>
  <si>
    <t>DARK-2016-20230829-12_31_14</t>
  </si>
  <si>
    <t>12:31:18</t>
  </si>
  <si>
    <t>20230829 12:34:02</t>
  </si>
  <si>
    <t>12:34:02</t>
  </si>
  <si>
    <t>MPF-2017-20230829-12_33_20</t>
  </si>
  <si>
    <t>DARK-2018-20230829-12_33_27</t>
  </si>
  <si>
    <t>12:33:35</t>
  </si>
  <si>
    <t>20230829 12:35:42</t>
  </si>
  <si>
    <t>12:35:42</t>
  </si>
  <si>
    <t>MPF-2019-20230829-12_34_59</t>
  </si>
  <si>
    <t>DARK-2020-20230829-12_35_07</t>
  </si>
  <si>
    <t>12:35:14</t>
  </si>
  <si>
    <t>20230829 12:37:21</t>
  </si>
  <si>
    <t>12:37:21</t>
  </si>
  <si>
    <t>MPF-2021-20230829-12_36_39</t>
  </si>
  <si>
    <t>DARK-2022-20230829-12_36_46</t>
  </si>
  <si>
    <t>12:36:52</t>
  </si>
  <si>
    <t>20230829 12:40:31</t>
  </si>
  <si>
    <t>12:40:31</t>
  </si>
  <si>
    <t>MPF-2023-20230829-12_39_48</t>
  </si>
  <si>
    <t>DARK-2024-20230829-12_39_56</t>
  </si>
  <si>
    <t>12:39:02</t>
  </si>
  <si>
    <t>20230829 12:42:14</t>
  </si>
  <si>
    <t>12:42:14</t>
  </si>
  <si>
    <t>MPF-2025-20230829-12_41_31</t>
  </si>
  <si>
    <t>DARK-2026-20230829-12_41_39</t>
  </si>
  <si>
    <t>12:41:46</t>
  </si>
  <si>
    <t>20230829 12:43:53</t>
  </si>
  <si>
    <t>12:43:53</t>
  </si>
  <si>
    <t>MPF-2027-20230829-12_43_11</t>
  </si>
  <si>
    <t>DARK-2028-20230829-12_43_18</t>
  </si>
  <si>
    <t>12:43:22</t>
  </si>
  <si>
    <t>20230829 12:45:33</t>
  </si>
  <si>
    <t>12:45:33</t>
  </si>
  <si>
    <t>MPF-2029-20230829-12_44_50</t>
  </si>
  <si>
    <t>DARK-2030-20230829-12_44_58</t>
  </si>
  <si>
    <t>12:45:59</t>
  </si>
  <si>
    <t>20230829 12:47:32</t>
  </si>
  <si>
    <t>12:47:32</t>
  </si>
  <si>
    <t>MPF-2031-20230829-12_46_49</t>
  </si>
  <si>
    <t>DARK-2032-20230829-12_46_57</t>
  </si>
  <si>
    <t>12:46:58</t>
  </si>
  <si>
    <t>20230829 12:49:22</t>
  </si>
  <si>
    <t>12:49:22</t>
  </si>
  <si>
    <t>MPF-2033-20230829-12_48_40</t>
  </si>
  <si>
    <t>DARK-2034-20230829-12_48_47</t>
  </si>
  <si>
    <t>12:48:36</t>
  </si>
  <si>
    <t>20230829 12:51:49</t>
  </si>
  <si>
    <t>12:51:49</t>
  </si>
  <si>
    <t>MPF-2035-20230829-12_51_07</t>
  </si>
  <si>
    <t>DARK-2036-20230829-12_51_14</t>
  </si>
  <si>
    <t>12:51:06</t>
  </si>
  <si>
    <t>20230829 13:25:51</t>
  </si>
  <si>
    <t>13:25:51</t>
  </si>
  <si>
    <t>wt</t>
  </si>
  <si>
    <t>6</t>
  </si>
  <si>
    <t>MPF-2037-20230829-13_25_09</t>
  </si>
  <si>
    <t>DARK-2038-20230829-13_25_16</t>
  </si>
  <si>
    <t>13:25:19</t>
  </si>
  <si>
    <t>20230829 13:27:35</t>
  </si>
  <si>
    <t>13:27:35</t>
  </si>
  <si>
    <t>MPF-2039-20230829-13_26_52</t>
  </si>
  <si>
    <t>DARK-2040-20230829-13_27_00</t>
  </si>
  <si>
    <t>13:27:03</t>
  </si>
  <si>
    <t>20230829 13:29:37</t>
  </si>
  <si>
    <t>13:29:37</t>
  </si>
  <si>
    <t>MPF-2041-20230829-13_28_54</t>
  </si>
  <si>
    <t>DARK-2042-20230829-13_29_02</t>
  </si>
  <si>
    <t>13:29:04</t>
  </si>
  <si>
    <t>20230829 13:31:24</t>
  </si>
  <si>
    <t>13:31:24</t>
  </si>
  <si>
    <t>MPF-2043-20230829-13_30_42</t>
  </si>
  <si>
    <t>DARK-2044-20230829-13_30_49</t>
  </si>
  <si>
    <t>13:30:53</t>
  </si>
  <si>
    <t>20230829 13:33:04</t>
  </si>
  <si>
    <t>13:33:04</t>
  </si>
  <si>
    <t>MPF-2045-20230829-13_32_21</t>
  </si>
  <si>
    <t>DARK-2046-20230829-13_32_29</t>
  </si>
  <si>
    <t>13:33:30</t>
  </si>
  <si>
    <t>20230829 13:35:42</t>
  </si>
  <si>
    <t>13:35:42</t>
  </si>
  <si>
    <t>MPF-2047-20230829-13_34_59</t>
  </si>
  <si>
    <t>DARK-2048-20230829-13_35_07</t>
  </si>
  <si>
    <t>13:35:12</t>
  </si>
  <si>
    <t>20230829 13:37:41</t>
  </si>
  <si>
    <t>13:37:41</t>
  </si>
  <si>
    <t>MPF-2049-20230829-13_36_58</t>
  </si>
  <si>
    <t>DARK-2050-20230829-13_37_06</t>
  </si>
  <si>
    <t>13:37:12</t>
  </si>
  <si>
    <t>20230829 13:40:50</t>
  </si>
  <si>
    <t>13:40:50</t>
  </si>
  <si>
    <t>MPF-2051-20230829-13_40_08</t>
  </si>
  <si>
    <t>DARK-2052-20230829-13_40_15</t>
  </si>
  <si>
    <t>13:39:03</t>
  </si>
  <si>
    <t>20230829 13:43:17</t>
  </si>
  <si>
    <t>13:43:17</t>
  </si>
  <si>
    <t>MPF-2053-20230829-13_42_35</t>
  </si>
  <si>
    <t>DARK-2054-20230829-13_42_42</t>
  </si>
  <si>
    <t>13:41:58</t>
  </si>
  <si>
    <t>20230829 13:45:07</t>
  </si>
  <si>
    <t>13:45:07</t>
  </si>
  <si>
    <t>MPF-2055-20230829-13_44_24</t>
  </si>
  <si>
    <t>DARK-2056-20230829-13_44_32</t>
  </si>
  <si>
    <t>13:44:39</t>
  </si>
  <si>
    <t>20230829 13:46:57</t>
  </si>
  <si>
    <t>13:46:57</t>
  </si>
  <si>
    <t>MPF-2057-20230829-13_46_15</t>
  </si>
  <si>
    <t>DARK-2058-20230829-13_46_22</t>
  </si>
  <si>
    <t>13:46:30</t>
  </si>
  <si>
    <t>20230829 13:48:41</t>
  </si>
  <si>
    <t>13:48:41</t>
  </si>
  <si>
    <t>MPF-2059-20230829-13_47_59</t>
  </si>
  <si>
    <t>DARK-2060-20230829-13_48_06</t>
  </si>
  <si>
    <t>13:48:09</t>
  </si>
  <si>
    <t>20230829 13:50:40</t>
  </si>
  <si>
    <t>13:50:40</t>
  </si>
  <si>
    <t>MPF-2061-20230829-13_49_57</t>
  </si>
  <si>
    <t>DARK-2062-20230829-13_50_05</t>
  </si>
  <si>
    <t>13:50:09</t>
  </si>
  <si>
    <t>20230829 13:52:37</t>
  </si>
  <si>
    <t>13:52:37</t>
  </si>
  <si>
    <t>MPF-2063-20230829-13_51_54</t>
  </si>
  <si>
    <t>DARK-2064-20230829-13_52_02</t>
  </si>
  <si>
    <t>13:52:06</t>
  </si>
  <si>
    <t>20230829 14:31:15</t>
  </si>
  <si>
    <t>14:31:15</t>
  </si>
  <si>
    <t>5</t>
  </si>
  <si>
    <t>MPF-2065-20230829-14_30_33</t>
  </si>
  <si>
    <t>DARK-2066-20230829-14_30_40</t>
  </si>
  <si>
    <t>14:30:41</t>
  </si>
  <si>
    <t>20230829 14:32:54</t>
  </si>
  <si>
    <t>14:32:54</t>
  </si>
  <si>
    <t>MPF-2067-20230829-14_32_12</t>
  </si>
  <si>
    <t>DARK-2068-20230829-14_32_19</t>
  </si>
  <si>
    <t>14:32:24</t>
  </si>
  <si>
    <t>20230829 14:34:39</t>
  </si>
  <si>
    <t>14:34:39</t>
  </si>
  <si>
    <t>MPF-2069-20230829-14_33_57</t>
  </si>
  <si>
    <t>DARK-2070-20230829-14_34_04</t>
  </si>
  <si>
    <t>14:34:11</t>
  </si>
  <si>
    <t>20230829 14:36:19</t>
  </si>
  <si>
    <t>14:36:19</t>
  </si>
  <si>
    <t>MPF-2071-20230829-14_35_37</t>
  </si>
  <si>
    <t>DARK-2072-20230829-14_35_44</t>
  </si>
  <si>
    <t>14:35:50</t>
  </si>
  <si>
    <t>20230829 14:38:05</t>
  </si>
  <si>
    <t>14:38:05</t>
  </si>
  <si>
    <t>MPF-2073-20230829-14_37_23</t>
  </si>
  <si>
    <t>DARK-2074-20230829-14_37_30</t>
  </si>
  <si>
    <t>14:37:37</t>
  </si>
  <si>
    <t>20230829 14:39:47</t>
  </si>
  <si>
    <t>14:39:47</t>
  </si>
  <si>
    <t>MPF-2075-20230829-14_39_05</t>
  </si>
  <si>
    <t>DARK-2076-20230829-14_39_12</t>
  </si>
  <si>
    <t>14:39:19</t>
  </si>
  <si>
    <t>20230829 14:41:40</t>
  </si>
  <si>
    <t>14:41:40</t>
  </si>
  <si>
    <t>MPF-2077-20230829-14_40_58</t>
  </si>
  <si>
    <t>DARK-2078-20230829-14_41_05</t>
  </si>
  <si>
    <t>14:41:13</t>
  </si>
  <si>
    <t>20230829 14:44:50</t>
  </si>
  <si>
    <t>14:44:50</t>
  </si>
  <si>
    <t>MPF-2079-20230829-14_44_08</t>
  </si>
  <si>
    <t>DARK-2080-20230829-14_44_15</t>
  </si>
  <si>
    <t>14:43:02</t>
  </si>
  <si>
    <t>20230829 14:46:54</t>
  </si>
  <si>
    <t>14:46:54</t>
  </si>
  <si>
    <t>MPF-2081-20230829-14_46_12</t>
  </si>
  <si>
    <t>DARK-2082-20230829-14_46_19</t>
  </si>
  <si>
    <t>14:45:54</t>
  </si>
  <si>
    <t>20230829 14:48:34</t>
  </si>
  <si>
    <t>14:48:34</t>
  </si>
  <si>
    <t>MPF-2083-20230829-14_47_52</t>
  </si>
  <si>
    <t>DARK-2084-20230829-14_47_59</t>
  </si>
  <si>
    <t>14:48:07</t>
  </si>
  <si>
    <t>20230829 14:50:21</t>
  </si>
  <si>
    <t>14:50:21</t>
  </si>
  <si>
    <t>MPF-2085-20230829-14_49_39</t>
  </si>
  <si>
    <t>DARK-2086-20230829-14_49_46</t>
  </si>
  <si>
    <t>14:49:54</t>
  </si>
  <si>
    <t>20230829 14:52:08</t>
  </si>
  <si>
    <t>14:52:08</t>
  </si>
  <si>
    <t>MPF-2087-20230829-14_51_26</t>
  </si>
  <si>
    <t>DARK-2088-20230829-14_51_33</t>
  </si>
  <si>
    <t>14:51:39</t>
  </si>
  <si>
    <t>20230829 14:53:48</t>
  </si>
  <si>
    <t>14:53:48</t>
  </si>
  <si>
    <t>MPF-2089-20230829-14_53_06</t>
  </si>
  <si>
    <t>DARK-2090-20230829-14_53_13</t>
  </si>
  <si>
    <t>14:53:19</t>
  </si>
  <si>
    <t>20230829 14:55:29</t>
  </si>
  <si>
    <t>14:55:29</t>
  </si>
  <si>
    <t>MPF-2091-20230829-14_54_47</t>
  </si>
  <si>
    <t>DARK-2092-20230829-14_54_54</t>
  </si>
  <si>
    <t>14:54:57</t>
  </si>
  <si>
    <t>20230829 15:27:02</t>
  </si>
  <si>
    <t>15:27:02</t>
  </si>
  <si>
    <t>4</t>
  </si>
  <si>
    <t>MPF-2093-20230829-15_26_20</t>
  </si>
  <si>
    <t>DARK-2094-20230829-15_26_28</t>
  </si>
  <si>
    <t>15:26:28</t>
  </si>
  <si>
    <t>20230829 15:28:42</t>
  </si>
  <si>
    <t>15:28:42</t>
  </si>
  <si>
    <t>MPF-2095-20230829-15_28_00</t>
  </si>
  <si>
    <t>DARK-2096-20230829-15_28_07</t>
  </si>
  <si>
    <t>15:28:13</t>
  </si>
  <si>
    <t>20230829 15:30:43</t>
  </si>
  <si>
    <t>15:30:43</t>
  </si>
  <si>
    <t>MPF-2097-20230829-15_30_01</t>
  </si>
  <si>
    <t>DARK-2098-20230829-15_30_09</t>
  </si>
  <si>
    <t>15:30:14</t>
  </si>
  <si>
    <t>20230829 15:32:30</t>
  </si>
  <si>
    <t>15:32:30</t>
  </si>
  <si>
    <t>MPF-2099-20230829-15_31_48</t>
  </si>
  <si>
    <t>DARK-2100-20230829-15_31_55</t>
  </si>
  <si>
    <t>15:32:00</t>
  </si>
  <si>
    <t>20230829 15:34:24</t>
  </si>
  <si>
    <t>15:34:24</t>
  </si>
  <si>
    <t>MPF-2101-20230829-15_33_42</t>
  </si>
  <si>
    <t>DARK-2102-20230829-15_33_49</t>
  </si>
  <si>
    <t>15:33:52</t>
  </si>
  <si>
    <t>20230829 15:36:07</t>
  </si>
  <si>
    <t>15:36:07</t>
  </si>
  <si>
    <t>MPF-2103-20230829-15_35_25</t>
  </si>
  <si>
    <t>DARK-2104-20230829-15_35_32</t>
  </si>
  <si>
    <t>15:35:38</t>
  </si>
  <si>
    <t>20230829 15:37:46</t>
  </si>
  <si>
    <t>15:37:46</t>
  </si>
  <si>
    <t>MPF-2105-20230829-15_37_04</t>
  </si>
  <si>
    <t>DARK-2106-20230829-15_37_12</t>
  </si>
  <si>
    <t>15:37:19</t>
  </si>
  <si>
    <t>20230829 15:40:56</t>
  </si>
  <si>
    <t>15:40:56</t>
  </si>
  <si>
    <t>MPF-2107-20230829-15_40_14</t>
  </si>
  <si>
    <t>DARK-2108-20230829-15_40_21</t>
  </si>
  <si>
    <t>15:39:15</t>
  </si>
  <si>
    <t>20230829 15:43:24</t>
  </si>
  <si>
    <t>15:43:24</t>
  </si>
  <si>
    <t>MPF-2109-20230829-15_42_42</t>
  </si>
  <si>
    <t>DARK-2110-20230829-15_42_49</t>
  </si>
  <si>
    <t>15:42:08</t>
  </si>
  <si>
    <t>20230829 15:45:08</t>
  </si>
  <si>
    <t>15:45:08</t>
  </si>
  <si>
    <t>MPF-2111-20230829-15_44_26</t>
  </si>
  <si>
    <t>DARK-2112-20230829-15_44_33</t>
  </si>
  <si>
    <t>15:44:41</t>
  </si>
  <si>
    <t>20230829 15:46:56</t>
  </si>
  <si>
    <t>15:46:56</t>
  </si>
  <si>
    <t>MPF-2113-20230829-15_46_14</t>
  </si>
  <si>
    <t>DARK-2114-20230829-15_46_22</t>
  </si>
  <si>
    <t>15:46:26</t>
  </si>
  <si>
    <t>20230829 15:49:10</t>
  </si>
  <si>
    <t>15:49:10</t>
  </si>
  <si>
    <t>MPF-2115-20230829-15_48_28</t>
  </si>
  <si>
    <t>DARK-2116-20230829-15_48_35</t>
  </si>
  <si>
    <t>15:48:42</t>
  </si>
  <si>
    <t>20230829 15:50:54</t>
  </si>
  <si>
    <t>15:50:54</t>
  </si>
  <si>
    <t>MPF-2117-20230829-15_50_12</t>
  </si>
  <si>
    <t>DARK-2118-20230829-15_50_19</t>
  </si>
  <si>
    <t>15:50:24</t>
  </si>
  <si>
    <t>20230829 15:52:33</t>
  </si>
  <si>
    <t>15:52:33</t>
  </si>
  <si>
    <t>MPF-2119-20230829-15_51_51</t>
  </si>
  <si>
    <t>DARK-2120-20230829-15_51_59</t>
  </si>
  <si>
    <t>15:52:03</t>
  </si>
  <si>
    <t>20230829 16:35:48</t>
  </si>
  <si>
    <t>16:35:48</t>
  </si>
  <si>
    <t>MPF-2121-20230829-16_35_06</t>
  </si>
  <si>
    <t>DARK-2122-20230829-16_35_13</t>
  </si>
  <si>
    <t>16:35:20</t>
  </si>
  <si>
    <t>20230829 16:37:33</t>
  </si>
  <si>
    <t>16:37:33</t>
  </si>
  <si>
    <t>MPF-2123-20230829-16_36_51</t>
  </si>
  <si>
    <t>DARK-2124-20230829-16_36_59</t>
  </si>
  <si>
    <t>16:37:05</t>
  </si>
  <si>
    <t>20230829 16:39:14</t>
  </si>
  <si>
    <t>16:39:14</t>
  </si>
  <si>
    <t>MPF-2125-20230829-16_38_32</t>
  </si>
  <si>
    <t>DARK-2126-20230829-16_38_40</t>
  </si>
  <si>
    <t>16:38:46</t>
  </si>
  <si>
    <t>20230829 16:40:57</t>
  </si>
  <si>
    <t>16:40:57</t>
  </si>
  <si>
    <t>MPF-2127-20230829-16_40_15</t>
  </si>
  <si>
    <t>DARK-2128-20230829-16_40_22</t>
  </si>
  <si>
    <t>16:40:27</t>
  </si>
  <si>
    <t>20230829 16:42:38</t>
  </si>
  <si>
    <t>16:42:38</t>
  </si>
  <si>
    <t>MPF-2129-20230829-16_41_56</t>
  </si>
  <si>
    <t>DARK-2130-20230829-16_42_04</t>
  </si>
  <si>
    <t>16:42:07</t>
  </si>
  <si>
    <t>20230829 16:44:20</t>
  </si>
  <si>
    <t>16:44:20</t>
  </si>
  <si>
    <t>MPF-2131-20230829-16_43_38</t>
  </si>
  <si>
    <t>DARK-2132-20230829-16_43_45</t>
  </si>
  <si>
    <t>16:43:49</t>
  </si>
  <si>
    <t>20230829 16:45:59</t>
  </si>
  <si>
    <t>16:45:59</t>
  </si>
  <si>
    <t>MPF-2133-20230829-16_45_17</t>
  </si>
  <si>
    <t>DARK-2134-20230829-16_45_25</t>
  </si>
  <si>
    <t>16:45:26</t>
  </si>
  <si>
    <t>20230829 16:49:09</t>
  </si>
  <si>
    <t>16:49:09</t>
  </si>
  <si>
    <t>MPF-2135-20230829-16_48_27</t>
  </si>
  <si>
    <t>DARK-2136-20230829-16_48_34</t>
  </si>
  <si>
    <t>16:47:15</t>
  </si>
  <si>
    <t>20230829 16:51:44</t>
  </si>
  <si>
    <t>16:51:44</t>
  </si>
  <si>
    <t>MPF-2137-20230829-16_51_02</t>
  </si>
  <si>
    <t>DARK-2138-20230829-16_51_10</t>
  </si>
  <si>
    <t>16:50:11</t>
  </si>
  <si>
    <t>20230829 16:53:24</t>
  </si>
  <si>
    <t>16:53:24</t>
  </si>
  <si>
    <t>MPF-2139-20230829-16_52_42</t>
  </si>
  <si>
    <t>DARK-2140-20230829-16_52_50</t>
  </si>
  <si>
    <t>16:52:55</t>
  </si>
  <si>
    <t>20230829 16:55:04</t>
  </si>
  <si>
    <t>16:55:04</t>
  </si>
  <si>
    <t>MPF-2141-20230829-16_54_22</t>
  </si>
  <si>
    <t>DARK-2142-20230829-16_54_30</t>
  </si>
  <si>
    <t>16:54:37</t>
  </si>
  <si>
    <t>20230829 16:56:44</t>
  </si>
  <si>
    <t>16:56:44</t>
  </si>
  <si>
    <t>MPF-2143-20230829-16_56_02</t>
  </si>
  <si>
    <t>DARK-2144-20230829-16_56_10</t>
  </si>
  <si>
    <t>16:56:14</t>
  </si>
  <si>
    <t>20230829 16:58:47</t>
  </si>
  <si>
    <t>16:58:47</t>
  </si>
  <si>
    <t>MPF-2145-20230829-16_58_05</t>
  </si>
  <si>
    <t>DARK-2146-20230829-16_58_13</t>
  </si>
  <si>
    <t>16:58:16</t>
  </si>
  <si>
    <t>20230829 17:00:42</t>
  </si>
  <si>
    <t>17:00:42</t>
  </si>
  <si>
    <t>MPF-2147-20230829-17_00_00</t>
  </si>
  <si>
    <t>DARK-2148-20230829-17_00_07</t>
  </si>
  <si>
    <t>17:00:07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</si>
</sst>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14"/>
  <sheetViews>
    <sheetView tabSelected="1" workbookViewId="0"/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1693321761.5</v>
      </c>
      <c r="C17">
        <v>0</v>
      </c>
      <c r="D17" t="s">
        <v>411</v>
      </c>
      <c r="E17" t="s">
        <v>412</v>
      </c>
      <c r="F17" t="s">
        <v>413</v>
      </c>
      <c r="G17" t="s">
        <v>414</v>
      </c>
      <c r="H17" t="s">
        <v>31</v>
      </c>
      <c r="I17" t="s">
        <v>31</v>
      </c>
      <c r="J17">
        <v>1693321761.5</v>
      </c>
      <c r="K17">
        <f t="shared" ref="K17:K48" si="0">(L17)/1000</f>
        <v>4.7082521560255705E-3</v>
      </c>
      <c r="L17">
        <f t="shared" ref="L17:L48" si="1">1000*DL17*AJ17*(DH17-DI17)/(100*DA17*(1000-AJ17*DH17))</f>
        <v>4.7082521560255701</v>
      </c>
      <c r="M17">
        <f t="shared" ref="M17:M48" si="2">DL17*AJ17*(DG17-DF17*(1000-AJ17*DI17)/(1000-AJ17*DH17))/(100*DA17)</f>
        <v>42.104513199319939</v>
      </c>
      <c r="N17">
        <f t="shared" ref="N17:N48" si="3">DF17 - IF(AJ17&gt;1, M17*DA17*100/(AL17*DT17), 0)</f>
        <v>347.48200000000003</v>
      </c>
      <c r="O17">
        <f t="shared" ref="O17:O48" si="4">((U17-K17/2)*N17-M17)/(U17+K17/2)</f>
        <v>134.93583434559753</v>
      </c>
      <c r="P17">
        <f t="shared" ref="P17:P48" si="5">O17*(DM17+DN17)/1000</f>
        <v>13.391442391899925</v>
      </c>
      <c r="Q17">
        <f t="shared" ref="Q17:Q48" si="6">(DF17 - IF(AJ17&gt;1, M17*DA17*100/(AL17*DT17), 0))*(DM17+DN17)/1000</f>
        <v>34.485169990531801</v>
      </c>
      <c r="R17">
        <f t="shared" ref="R17:R48" si="7">2/((1/T17-1/S17)+SIGN(T17)*SQRT((1/T17-1/S17)*(1/T17-1/S17) + 4*DB17/((DB17+1)*(DB17+1))*(2*1/T17*1/S17-1/S17*1/S17)))</f>
        <v>0.34355812632052934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2.9336739704282362</v>
      </c>
      <c r="T17">
        <f t="shared" ref="T17:T48" si="9">K17*(1000-(1000*0.61365*EXP(17.502*X17/(240.97+X17))/(DM17+DN17)+DH17)/2)/(1000*0.61365*EXP(17.502*X17/(240.97+X17))/(DM17+DN17)-DH17)</f>
        <v>0.32266904912334071</v>
      </c>
      <c r="U17">
        <f t="shared" ref="U17:U48" si="10">1/((DB17+1)/(R17/1.6)+1/(S17/1.37)) + DB17/((DB17+1)/(R17/1.6) + DB17/(S17/1.37))</f>
        <v>0.20343902921287874</v>
      </c>
      <c r="V17">
        <f t="shared" ref="V17:V48" si="11">(CW17*CZ17)</f>
        <v>344.32249964445066</v>
      </c>
      <c r="W17">
        <f t="shared" ref="W17:W48" si="12">(DO17+(V17+2*0.95*0.0000000567*(((DO17+$B$7)+273)^4-(DO17+273)^4)-44100*K17)/(1.84*29.3*S17+8*0.95*0.0000000567*(DO17+273)^3))</f>
        <v>31.193933662080134</v>
      </c>
      <c r="X17">
        <f t="shared" ref="X17:X48" si="13">($C$7*DP17+$D$7*DQ17+$E$7*W17)</f>
        <v>29.939499999999999</v>
      </c>
      <c r="Y17">
        <f t="shared" ref="Y17:Y48" si="14">0.61365*EXP(17.502*X17/(240.97+X17))</f>
        <v>4.2456668096383687</v>
      </c>
      <c r="Z17">
        <f t="shared" ref="Z17:Z48" si="15">(AA17/AB17*100)</f>
        <v>65.395926280878513</v>
      </c>
      <c r="AA17">
        <f t="shared" ref="AA17:AA48" si="16">DH17*(DM17+DN17)/1000</f>
        <v>2.84931729704895</v>
      </c>
      <c r="AB17">
        <f t="shared" ref="AB17:AB48" si="17">0.61365*EXP(17.502*DO17/(240.97+DO17))</f>
        <v>4.357025672839316</v>
      </c>
      <c r="AC17">
        <f t="shared" ref="AC17:AC48" si="18">(Y17-DH17*(DM17+DN17)/1000)</f>
        <v>1.3963495125894188</v>
      </c>
      <c r="AD17">
        <f t="shared" ref="AD17:AD48" si="19">(-K17*44100)</f>
        <v>-207.63392008072765</v>
      </c>
      <c r="AE17">
        <f t="shared" ref="AE17:AE48" si="20">2*29.3*S17*0.92*(DO17-X17)</f>
        <v>71.377712292599</v>
      </c>
      <c r="AF17">
        <f t="shared" ref="AF17:AF48" si="21">2*0.95*0.0000000567*(((DO17+$B$7)+273)^4-(X17+273)^4)</f>
        <v>5.4187617097847438</v>
      </c>
      <c r="AG17">
        <f t="shared" ref="AG17:AG48" si="22">V17+AF17+AD17+AE17</f>
        <v>213.48505356610676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52385.039531931296</v>
      </c>
      <c r="AM17" t="s">
        <v>415</v>
      </c>
      <c r="AN17">
        <v>10366.9</v>
      </c>
      <c r="AO17">
        <v>993.59653846153856</v>
      </c>
      <c r="AP17">
        <v>3431.87</v>
      </c>
      <c r="AQ17">
        <f t="shared" ref="AQ17:AQ48" si="26">1-AO17/AP17</f>
        <v>0.71047955241266758</v>
      </c>
      <c r="AR17">
        <v>-3.9894345373445681</v>
      </c>
      <c r="AS17" t="s">
        <v>416</v>
      </c>
      <c r="AT17">
        <v>10390.5</v>
      </c>
      <c r="AU17">
        <v>760.96842307692305</v>
      </c>
      <c r="AV17">
        <v>1094.2405452458149</v>
      </c>
      <c r="AW17">
        <f t="shared" ref="AW17:AW48" si="27">1-AU17/AV17</f>
        <v>0.30456934137276392</v>
      </c>
      <c r="AX17">
        <v>0.5</v>
      </c>
      <c r="AY17">
        <f t="shared" ref="AY17:AY48" si="28">CX17</f>
        <v>1512.9749998222253</v>
      </c>
      <c r="AZ17">
        <f t="shared" ref="AZ17:AZ48" si="29">M17</f>
        <v>42.104513199319939</v>
      </c>
      <c r="BA17">
        <f t="shared" ref="BA17:BA48" si="30">AW17*AX17*AY17</f>
        <v>230.4028996046564</v>
      </c>
      <c r="BB17">
        <f t="shared" ref="BB17:BB48" si="31">(AZ17-AR17)/AY17</f>
        <v>3.0465769587786014E-2</v>
      </c>
      <c r="BC17">
        <f t="shared" ref="BC17:BC48" si="32">(AP17-AV17)/AV17</f>
        <v>2.136303087022835</v>
      </c>
      <c r="BD17">
        <f t="shared" ref="BD17:BD48" si="33">AO17/(AQ17+AO17/AV17)</f>
        <v>613.89832269665067</v>
      </c>
      <c r="BE17" t="s">
        <v>417</v>
      </c>
      <c r="BF17">
        <v>597.85</v>
      </c>
      <c r="BG17">
        <f t="shared" ref="BG17:BG48" si="34">IF(BF17&lt;&gt;0, BF17, BD17)</f>
        <v>597.85</v>
      </c>
      <c r="BH17">
        <f t="shared" ref="BH17:BH48" si="35">1-BG17/AV17</f>
        <v>0.45363932766200288</v>
      </c>
      <c r="BI17">
        <f t="shared" ref="BI17:BI48" si="36">(AV17-AU17)/(AV17-BG17)</f>
        <v>0.67139095488584288</v>
      </c>
      <c r="BJ17">
        <f t="shared" ref="BJ17:BJ48" si="37">(AP17-AV17)/(AP17-BG17)</f>
        <v>0.82484578611096071</v>
      </c>
      <c r="BK17">
        <f t="shared" ref="BK17:BK48" si="38">(AV17-AU17)/(AV17-AO17)</f>
        <v>3.3113956093107277</v>
      </c>
      <c r="BL17">
        <f t="shared" ref="BL17:BL48" si="39">(AP17-AV17)/(AP17-AO17)</f>
        <v>0.9587232489005667</v>
      </c>
      <c r="BM17">
        <f t="shared" ref="BM17:BM48" si="40">(BI17*BG17/AU17)</f>
        <v>0.52747403204393717</v>
      </c>
      <c r="BN17">
        <f t="shared" ref="BN17:BN48" si="41">(1-BM17)</f>
        <v>0.47252596795606283</v>
      </c>
      <c r="BO17">
        <v>1953</v>
      </c>
      <c r="BP17">
        <v>290.00000000000011</v>
      </c>
      <c r="BQ17">
        <v>999.71</v>
      </c>
      <c r="BR17">
        <v>125</v>
      </c>
      <c r="BS17">
        <v>10390.5</v>
      </c>
      <c r="BT17">
        <v>997.09</v>
      </c>
      <c r="BU17">
        <v>2.62</v>
      </c>
      <c r="BV17">
        <v>300.00000000000011</v>
      </c>
      <c r="BW17">
        <v>38.4</v>
      </c>
      <c r="BX17">
        <v>1094.2405452458149</v>
      </c>
      <c r="BY17">
        <v>1.3390319095115579</v>
      </c>
      <c r="BZ17">
        <v>-100.9397411795394</v>
      </c>
      <c r="CA17">
        <v>1.1371405030328079</v>
      </c>
      <c r="CB17">
        <v>0.99645903719176987</v>
      </c>
      <c r="CC17">
        <v>-1.1290691657397109E-2</v>
      </c>
      <c r="CD17">
        <v>289.99999999999989</v>
      </c>
      <c r="CE17">
        <v>987.67</v>
      </c>
      <c r="CF17">
        <v>715</v>
      </c>
      <c r="CG17">
        <v>10350.799999999999</v>
      </c>
      <c r="CH17">
        <v>996.72</v>
      </c>
      <c r="CI17">
        <v>-9.0500000000000007</v>
      </c>
      <c r="CW17">
        <f t="shared" ref="CW17:CW48" si="42">$B$11*DU17+$C$11*DV17+$F$11*EG17*(1-EJ17)</f>
        <v>1799.75</v>
      </c>
      <c r="CX17">
        <f t="shared" ref="CX17:CX48" si="43">CW17*CY17</f>
        <v>1512.9749998222253</v>
      </c>
      <c r="CY17">
        <f t="shared" ref="CY17:CY48" si="44">($B$11*$D$9+$C$11*$D$9+$F$11*((ET17+EL17)/MAX(ET17+EL17+EU17, 0.1)*$I$9+EU17/MAX(ET17+EL17+EU17, 0.1)*$J$9))/($B$11+$C$11+$F$11)</f>
        <v>0.84065842468244212</v>
      </c>
      <c r="CZ17">
        <f t="shared" ref="CZ17:CZ48" si="45">($B$11*$K$9+$C$11*$K$9+$F$11*((ET17+EL17)/MAX(ET17+EL17+EU17, 0.1)*$P$9+EU17/MAX(ET17+EL17+EU17, 0.1)*$Q$9))/($B$11+$C$11+$F$11)</f>
        <v>0.19131684936488438</v>
      </c>
      <c r="DA17">
        <v>6</v>
      </c>
      <c r="DB17">
        <v>0.5</v>
      </c>
      <c r="DC17" t="s">
        <v>418</v>
      </c>
      <c r="DD17">
        <v>2</v>
      </c>
      <c r="DE17">
        <v>1693321761.5</v>
      </c>
      <c r="DF17">
        <v>347.48200000000003</v>
      </c>
      <c r="DG17">
        <v>400.00900000000001</v>
      </c>
      <c r="DH17">
        <v>28.7105</v>
      </c>
      <c r="DI17">
        <v>23.218800000000002</v>
      </c>
      <c r="DJ17">
        <v>347.08300000000003</v>
      </c>
      <c r="DK17">
        <v>27.828800000000001</v>
      </c>
      <c r="DL17">
        <v>499.63499999999999</v>
      </c>
      <c r="DM17">
        <v>99.1447</v>
      </c>
      <c r="DN17">
        <v>9.8339899999999994E-2</v>
      </c>
      <c r="DO17">
        <v>30.390799999999999</v>
      </c>
      <c r="DP17">
        <v>29.939499999999999</v>
      </c>
      <c r="DQ17">
        <v>999.9</v>
      </c>
      <c r="DR17">
        <v>0</v>
      </c>
      <c r="DS17">
        <v>0</v>
      </c>
      <c r="DT17">
        <v>10110</v>
      </c>
      <c r="DU17">
        <v>0</v>
      </c>
      <c r="DV17">
        <v>1609.08</v>
      </c>
      <c r="DW17">
        <v>-52.526800000000001</v>
      </c>
      <c r="DX17">
        <v>357.75299999999999</v>
      </c>
      <c r="DY17">
        <v>409.517</v>
      </c>
      <c r="DZ17">
        <v>5.4916099999999997</v>
      </c>
      <c r="EA17">
        <v>400.00900000000001</v>
      </c>
      <c r="EB17">
        <v>23.218800000000002</v>
      </c>
      <c r="EC17">
        <v>2.8464900000000002</v>
      </c>
      <c r="ED17">
        <v>2.3020200000000002</v>
      </c>
      <c r="EE17">
        <v>23.156199999999998</v>
      </c>
      <c r="EF17">
        <v>19.6906</v>
      </c>
      <c r="EG17">
        <v>1799.75</v>
      </c>
      <c r="EH17">
        <v>0.97799100000000005</v>
      </c>
      <c r="EI17">
        <v>2.20092E-2</v>
      </c>
      <c r="EJ17">
        <v>0</v>
      </c>
      <c r="EK17">
        <v>761.14400000000001</v>
      </c>
      <c r="EL17">
        <v>5.0002700000000004</v>
      </c>
      <c r="EM17">
        <v>14525.5</v>
      </c>
      <c r="EN17">
        <v>16246.3</v>
      </c>
      <c r="EO17">
        <v>47.436999999999998</v>
      </c>
      <c r="EP17">
        <v>49.936999999999998</v>
      </c>
      <c r="EQ17">
        <v>48.686999999999998</v>
      </c>
      <c r="ER17">
        <v>48.875</v>
      </c>
      <c r="ES17">
        <v>49.311999999999998</v>
      </c>
      <c r="ET17">
        <v>1755.25</v>
      </c>
      <c r="EU17">
        <v>39.5</v>
      </c>
      <c r="EV17">
        <v>0</v>
      </c>
      <c r="EW17">
        <v>1693321753.0999999</v>
      </c>
      <c r="EX17">
        <v>0</v>
      </c>
      <c r="EY17">
        <v>760.96842307692305</v>
      </c>
      <c r="EZ17">
        <v>2.4130256478864829</v>
      </c>
      <c r="FA17">
        <v>63.688889017493452</v>
      </c>
      <c r="FB17">
        <v>14521.08846153846</v>
      </c>
      <c r="FC17">
        <v>15</v>
      </c>
      <c r="FD17">
        <v>1693321729</v>
      </c>
      <c r="FE17" t="s">
        <v>419</v>
      </c>
      <c r="FF17">
        <v>1693321729</v>
      </c>
      <c r="FG17">
        <v>1693321729</v>
      </c>
      <c r="FH17">
        <v>3</v>
      </c>
      <c r="FI17">
        <v>0.105</v>
      </c>
      <c r="FJ17">
        <v>-2.1999999999999999E-2</v>
      </c>
      <c r="FK17">
        <v>0.40300000000000002</v>
      </c>
      <c r="FL17">
        <v>0.57699999999999996</v>
      </c>
      <c r="FM17">
        <v>400</v>
      </c>
      <c r="FN17">
        <v>23</v>
      </c>
      <c r="FO17">
        <v>0.12</v>
      </c>
      <c r="FP17">
        <v>0.05</v>
      </c>
      <c r="FQ17">
        <v>42.083430576244098</v>
      </c>
      <c r="FR17">
        <v>0.70254526770654568</v>
      </c>
      <c r="FS17">
        <v>0.1043818614183926</v>
      </c>
      <c r="FT17">
        <v>0</v>
      </c>
      <c r="FU17">
        <v>0.34849404053583888</v>
      </c>
      <c r="FV17">
        <v>-4.0686489230834552E-2</v>
      </c>
      <c r="FW17">
        <v>3.3816975593140468E-3</v>
      </c>
      <c r="FX17">
        <v>1</v>
      </c>
      <c r="FY17">
        <v>1</v>
      </c>
      <c r="FZ17">
        <v>2</v>
      </c>
      <c r="GA17" t="s">
        <v>420</v>
      </c>
      <c r="GB17">
        <v>3.1336599999999999</v>
      </c>
      <c r="GC17">
        <v>2.8644500000000002</v>
      </c>
      <c r="GD17">
        <v>8.2896899999999996E-2</v>
      </c>
      <c r="GE17">
        <v>9.5063099999999998E-2</v>
      </c>
      <c r="GF17">
        <v>0.12914800000000001</v>
      </c>
      <c r="GG17">
        <v>0.116517</v>
      </c>
      <c r="GH17">
        <v>27845.5</v>
      </c>
      <c r="GI17">
        <v>21073.200000000001</v>
      </c>
      <c r="GJ17">
        <v>29270.9</v>
      </c>
      <c r="GK17">
        <v>21703.599999999999</v>
      </c>
      <c r="GL17">
        <v>34145.199999999997</v>
      </c>
      <c r="GM17">
        <v>26375</v>
      </c>
      <c r="GN17">
        <v>40630.800000000003</v>
      </c>
      <c r="GO17">
        <v>30830.3</v>
      </c>
      <c r="GP17">
        <v>2.0369999999999999</v>
      </c>
      <c r="GQ17">
        <v>1.8757999999999999</v>
      </c>
      <c r="GR17">
        <v>4.6640599999999997E-2</v>
      </c>
      <c r="GS17">
        <v>0</v>
      </c>
      <c r="GT17">
        <v>29.1799</v>
      </c>
      <c r="GU17">
        <v>999.9</v>
      </c>
      <c r="GV17">
        <v>56.7</v>
      </c>
      <c r="GW17">
        <v>32.299999999999997</v>
      </c>
      <c r="GX17">
        <v>27.7744</v>
      </c>
      <c r="GY17">
        <v>61.4</v>
      </c>
      <c r="GZ17">
        <v>12.1715</v>
      </c>
      <c r="HA17">
        <v>1</v>
      </c>
      <c r="HB17">
        <v>0.22536600000000001</v>
      </c>
      <c r="HC17">
        <v>2.0540400000000001</v>
      </c>
      <c r="HD17">
        <v>20.2714</v>
      </c>
      <c r="HE17">
        <v>5.2214799999999997</v>
      </c>
      <c r="HF17">
        <v>11.974</v>
      </c>
      <c r="HG17">
        <v>4.9720000000000004</v>
      </c>
      <c r="HH17">
        <v>3.2812999999999999</v>
      </c>
      <c r="HI17">
        <v>9999</v>
      </c>
      <c r="HJ17">
        <v>9999</v>
      </c>
      <c r="HK17">
        <v>9999</v>
      </c>
      <c r="HL17">
        <v>999.9</v>
      </c>
      <c r="HM17">
        <v>1.8612500000000001</v>
      </c>
      <c r="HN17">
        <v>1.8629199999999999</v>
      </c>
      <c r="HO17">
        <v>1.86829</v>
      </c>
      <c r="HP17">
        <v>1.8589100000000001</v>
      </c>
      <c r="HQ17">
        <v>1.8573</v>
      </c>
      <c r="HR17">
        <v>1.86103</v>
      </c>
      <c r="HS17">
        <v>1.86493</v>
      </c>
      <c r="HT17">
        <v>1.8669100000000001</v>
      </c>
      <c r="HU17">
        <v>5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0.39900000000000002</v>
      </c>
      <c r="II17">
        <v>0.88170000000000004</v>
      </c>
      <c r="IJ17">
        <v>0.1917073621454741</v>
      </c>
      <c r="IK17">
        <v>1.118558698776514E-3</v>
      </c>
      <c r="IL17">
        <v>-1.6939696309573479E-6</v>
      </c>
      <c r="IM17">
        <v>5.4698917449866148E-10</v>
      </c>
      <c r="IN17">
        <v>-1.445437990873966E-2</v>
      </c>
      <c r="IO17">
        <v>-7.6058941998734366E-3</v>
      </c>
      <c r="IP17">
        <v>1.6984902717538061E-3</v>
      </c>
      <c r="IQ17">
        <v>-9.6352527008986976E-6</v>
      </c>
      <c r="IR17">
        <v>2</v>
      </c>
      <c r="IS17">
        <v>2021</v>
      </c>
      <c r="IT17">
        <v>2</v>
      </c>
      <c r="IU17">
        <v>40</v>
      </c>
      <c r="IV17">
        <v>0.5</v>
      </c>
      <c r="IW17">
        <v>0.5</v>
      </c>
      <c r="IX17">
        <v>1.03271</v>
      </c>
      <c r="IY17">
        <v>2.4584999999999999</v>
      </c>
      <c r="IZ17">
        <v>1.34399</v>
      </c>
      <c r="JA17">
        <v>2.2497600000000002</v>
      </c>
      <c r="JB17">
        <v>1.5918000000000001</v>
      </c>
      <c r="JC17">
        <v>2.4731399999999999</v>
      </c>
      <c r="JD17">
        <v>37.361800000000002</v>
      </c>
      <c r="JE17">
        <v>23.868600000000001</v>
      </c>
      <c r="JF17">
        <v>18</v>
      </c>
      <c r="JG17">
        <v>503.71899999999999</v>
      </c>
      <c r="JH17">
        <v>447.26600000000002</v>
      </c>
      <c r="JI17">
        <v>26.195</v>
      </c>
      <c r="JJ17">
        <v>30.528300000000002</v>
      </c>
      <c r="JK17">
        <v>30.0002</v>
      </c>
      <c r="JL17">
        <v>30.2881</v>
      </c>
      <c r="JM17">
        <v>30.223700000000001</v>
      </c>
      <c r="JN17">
        <v>20.747299999999999</v>
      </c>
      <c r="JO17">
        <v>26.979399999999998</v>
      </c>
      <c r="JP17">
        <v>65.039000000000001</v>
      </c>
      <c r="JQ17">
        <v>26.198</v>
      </c>
      <c r="JR17">
        <v>400</v>
      </c>
      <c r="JS17">
        <v>23.254300000000001</v>
      </c>
      <c r="JT17">
        <v>99.813100000000006</v>
      </c>
      <c r="JU17">
        <v>97.415300000000002</v>
      </c>
    </row>
    <row r="18" spans="1:281" x14ac:dyDescent="0.25">
      <c r="A18">
        <v>2</v>
      </c>
      <c r="B18">
        <v>1693321862.0999999</v>
      </c>
      <c r="C18">
        <v>100.5999999046326</v>
      </c>
      <c r="D18" t="s">
        <v>424</v>
      </c>
      <c r="E18" t="s">
        <v>425</v>
      </c>
      <c r="F18" t="s">
        <v>413</v>
      </c>
      <c r="G18" t="s">
        <v>414</v>
      </c>
      <c r="H18" t="s">
        <v>31</v>
      </c>
      <c r="I18" t="s">
        <v>31</v>
      </c>
      <c r="J18">
        <v>1693321862.0999999</v>
      </c>
      <c r="K18">
        <f t="shared" si="0"/>
        <v>4.7386440623633699E-3</v>
      </c>
      <c r="L18">
        <f t="shared" si="1"/>
        <v>4.7386440623633694</v>
      </c>
      <c r="M18">
        <f t="shared" si="2"/>
        <v>33.435912640387173</v>
      </c>
      <c r="N18">
        <f t="shared" si="3"/>
        <v>258.43400000000003</v>
      </c>
      <c r="O18">
        <f t="shared" si="4"/>
        <v>90.945542925142476</v>
      </c>
      <c r="P18">
        <f t="shared" si="5"/>
        <v>9.0259594989347267</v>
      </c>
      <c r="Q18">
        <f t="shared" si="6"/>
        <v>25.648478662309806</v>
      </c>
      <c r="R18">
        <f t="shared" si="7"/>
        <v>0.34568635497793293</v>
      </c>
      <c r="S18">
        <f t="shared" si="8"/>
        <v>2.9175846080152499</v>
      </c>
      <c r="T18">
        <f t="shared" si="9"/>
        <v>0.32443732688516641</v>
      </c>
      <c r="U18">
        <f t="shared" si="10"/>
        <v>0.20457353233226111</v>
      </c>
      <c r="V18">
        <f t="shared" si="11"/>
        <v>344.34149964447039</v>
      </c>
      <c r="W18">
        <f t="shared" si="12"/>
        <v>31.23302066659657</v>
      </c>
      <c r="X18">
        <f t="shared" si="13"/>
        <v>29.975999999999999</v>
      </c>
      <c r="Y18">
        <f t="shared" si="14"/>
        <v>4.2545800974264791</v>
      </c>
      <c r="Z18">
        <f t="shared" si="15"/>
        <v>65.41077519225621</v>
      </c>
      <c r="AA18">
        <f t="shared" si="16"/>
        <v>2.8569579107559901</v>
      </c>
      <c r="AB18">
        <f t="shared" si="17"/>
        <v>4.3677175547282259</v>
      </c>
      <c r="AC18">
        <f t="shared" si="18"/>
        <v>1.397622186670489</v>
      </c>
      <c r="AD18">
        <f t="shared" si="19"/>
        <v>-208.97420315022461</v>
      </c>
      <c r="AE18">
        <f t="shared" si="20"/>
        <v>71.977195066836686</v>
      </c>
      <c r="AF18">
        <f t="shared" si="21"/>
        <v>5.4965620002539533</v>
      </c>
      <c r="AG18">
        <f t="shared" si="22"/>
        <v>212.84105356133642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51919.338695985309</v>
      </c>
      <c r="AM18" t="s">
        <v>415</v>
      </c>
      <c r="AN18">
        <v>10366.9</v>
      </c>
      <c r="AO18">
        <v>993.59653846153856</v>
      </c>
      <c r="AP18">
        <v>3431.87</v>
      </c>
      <c r="AQ18">
        <f t="shared" si="26"/>
        <v>0.71047955241266758</v>
      </c>
      <c r="AR18">
        <v>-3.9894345373445681</v>
      </c>
      <c r="AS18" t="s">
        <v>426</v>
      </c>
      <c r="AT18">
        <v>10388.6</v>
      </c>
      <c r="AU18">
        <v>727.50830769230765</v>
      </c>
      <c r="AV18">
        <v>989.98509834832305</v>
      </c>
      <c r="AW18">
        <f t="shared" si="27"/>
        <v>0.26513206218348939</v>
      </c>
      <c r="AX18">
        <v>0.5</v>
      </c>
      <c r="AY18">
        <f t="shared" si="28"/>
        <v>1513.0589998222349</v>
      </c>
      <c r="AZ18">
        <f t="shared" si="29"/>
        <v>33.435912640387173</v>
      </c>
      <c r="BA18">
        <f t="shared" si="30"/>
        <v>200.58022641407854</v>
      </c>
      <c r="BB18">
        <f t="shared" si="31"/>
        <v>2.4734889506707099E-2</v>
      </c>
      <c r="BC18">
        <f t="shared" si="32"/>
        <v>2.4665875332120479</v>
      </c>
      <c r="BD18">
        <f t="shared" si="33"/>
        <v>579.651468765343</v>
      </c>
      <c r="BE18" t="s">
        <v>427</v>
      </c>
      <c r="BF18">
        <v>579.04</v>
      </c>
      <c r="BG18">
        <f t="shared" si="34"/>
        <v>579.04</v>
      </c>
      <c r="BH18">
        <f t="shared" si="35"/>
        <v>0.41510230712961038</v>
      </c>
      <c r="BI18">
        <f t="shared" si="36"/>
        <v>0.63871498093289392</v>
      </c>
      <c r="BJ18">
        <f t="shared" si="37"/>
        <v>0.85595177478212059</v>
      </c>
      <c r="BK18">
        <f t="shared" si="38"/>
        <v>-72.679258807455255</v>
      </c>
      <c r="BL18">
        <f t="shared" si="39"/>
        <v>1.0014811464629307</v>
      </c>
      <c r="BM18">
        <f t="shared" si="40"/>
        <v>0.5083674215797459</v>
      </c>
      <c r="BN18">
        <f t="shared" si="41"/>
        <v>0.4916325784202541</v>
      </c>
      <c r="BO18">
        <v>1955</v>
      </c>
      <c r="BP18">
        <v>290.00000000000011</v>
      </c>
      <c r="BQ18">
        <v>914.04</v>
      </c>
      <c r="BR18">
        <v>135</v>
      </c>
      <c r="BS18">
        <v>10388.6</v>
      </c>
      <c r="BT18">
        <v>911.85</v>
      </c>
      <c r="BU18">
        <v>2.19</v>
      </c>
      <c r="BV18">
        <v>300.00000000000011</v>
      </c>
      <c r="BW18">
        <v>38.4</v>
      </c>
      <c r="BX18">
        <v>989.98509834832305</v>
      </c>
      <c r="BY18">
        <v>1.0813900646316119</v>
      </c>
      <c r="BZ18">
        <v>-81.170574628353506</v>
      </c>
      <c r="CA18">
        <v>0.91837464197343766</v>
      </c>
      <c r="CB18">
        <v>0.99642853241786866</v>
      </c>
      <c r="CC18">
        <v>-1.12907276974416E-2</v>
      </c>
      <c r="CD18">
        <v>289.99999999999989</v>
      </c>
      <c r="CE18">
        <v>906.59</v>
      </c>
      <c r="CF18">
        <v>655</v>
      </c>
      <c r="CG18">
        <v>10356.4</v>
      </c>
      <c r="CH18">
        <v>911.61</v>
      </c>
      <c r="CI18">
        <v>-5.0199999999999996</v>
      </c>
      <c r="CW18">
        <f t="shared" si="42"/>
        <v>1799.85</v>
      </c>
      <c r="CX18">
        <f t="shared" si="43"/>
        <v>1513.0589998222349</v>
      </c>
      <c r="CY18">
        <f t="shared" si="44"/>
        <v>0.84065838810025006</v>
      </c>
      <c r="CZ18">
        <f t="shared" si="45"/>
        <v>0.19131677620050028</v>
      </c>
      <c r="DA18">
        <v>6</v>
      </c>
      <c r="DB18">
        <v>0.5</v>
      </c>
      <c r="DC18" t="s">
        <v>418</v>
      </c>
      <c r="DD18">
        <v>2</v>
      </c>
      <c r="DE18">
        <v>1693321862.0999999</v>
      </c>
      <c r="DF18">
        <v>258.43400000000003</v>
      </c>
      <c r="DG18">
        <v>300.017</v>
      </c>
      <c r="DH18">
        <v>28.7867</v>
      </c>
      <c r="DI18">
        <v>23.2653</v>
      </c>
      <c r="DJ18">
        <v>258.06799999999998</v>
      </c>
      <c r="DK18">
        <v>27.9053</v>
      </c>
      <c r="DL18">
        <v>500.11599999999999</v>
      </c>
      <c r="DM18">
        <v>99.146000000000001</v>
      </c>
      <c r="DN18">
        <v>9.9759700000000007E-2</v>
      </c>
      <c r="DO18">
        <v>30.433599999999998</v>
      </c>
      <c r="DP18">
        <v>29.975999999999999</v>
      </c>
      <c r="DQ18">
        <v>999.9</v>
      </c>
      <c r="DR18">
        <v>0</v>
      </c>
      <c r="DS18">
        <v>0</v>
      </c>
      <c r="DT18">
        <v>10017.5</v>
      </c>
      <c r="DU18">
        <v>0</v>
      </c>
      <c r="DV18">
        <v>1614.15</v>
      </c>
      <c r="DW18">
        <v>-41.582700000000003</v>
      </c>
      <c r="DX18">
        <v>266.09399999999999</v>
      </c>
      <c r="DY18">
        <v>307.16300000000001</v>
      </c>
      <c r="DZ18">
        <v>5.52135</v>
      </c>
      <c r="EA18">
        <v>300.017</v>
      </c>
      <c r="EB18">
        <v>23.2653</v>
      </c>
      <c r="EC18">
        <v>2.8540800000000002</v>
      </c>
      <c r="ED18">
        <v>2.3066599999999999</v>
      </c>
      <c r="EE18">
        <v>23.200299999999999</v>
      </c>
      <c r="EF18">
        <v>19.722999999999999</v>
      </c>
      <c r="EG18">
        <v>1799.85</v>
      </c>
      <c r="EH18">
        <v>0.97799100000000005</v>
      </c>
      <c r="EI18">
        <v>2.20092E-2</v>
      </c>
      <c r="EJ18">
        <v>0</v>
      </c>
      <c r="EK18">
        <v>727.09799999999996</v>
      </c>
      <c r="EL18">
        <v>5.0002700000000004</v>
      </c>
      <c r="EM18">
        <v>13889.4</v>
      </c>
      <c r="EN18">
        <v>16247.2</v>
      </c>
      <c r="EO18">
        <v>47.311999999999998</v>
      </c>
      <c r="EP18">
        <v>49.75</v>
      </c>
      <c r="EQ18">
        <v>48.5</v>
      </c>
      <c r="ER18">
        <v>48.75</v>
      </c>
      <c r="ES18">
        <v>49.186999999999998</v>
      </c>
      <c r="ET18">
        <v>1755.35</v>
      </c>
      <c r="EU18">
        <v>39.5</v>
      </c>
      <c r="EV18">
        <v>0</v>
      </c>
      <c r="EW18">
        <v>98.599999904632568</v>
      </c>
      <c r="EX18">
        <v>0</v>
      </c>
      <c r="EY18">
        <v>727.50830769230765</v>
      </c>
      <c r="EZ18">
        <v>-7.0243418761698466</v>
      </c>
      <c r="FA18">
        <v>-106.6051279846416</v>
      </c>
      <c r="FB18">
        <v>13902.23846153846</v>
      </c>
      <c r="FC18">
        <v>15</v>
      </c>
      <c r="FD18">
        <v>1693321834.5999999</v>
      </c>
      <c r="FE18" t="s">
        <v>428</v>
      </c>
      <c r="FF18">
        <v>1693321827.0999999</v>
      </c>
      <c r="FG18">
        <v>1693321834.5999999</v>
      </c>
      <c r="FH18">
        <v>4</v>
      </c>
      <c r="FI18">
        <v>-1.0999999999999999E-2</v>
      </c>
      <c r="FJ18">
        <v>-5.0000000000000001E-3</v>
      </c>
      <c r="FK18">
        <v>0.379</v>
      </c>
      <c r="FL18">
        <v>0.55800000000000005</v>
      </c>
      <c r="FM18">
        <v>300</v>
      </c>
      <c r="FN18">
        <v>23</v>
      </c>
      <c r="FO18">
        <v>0.13</v>
      </c>
      <c r="FP18">
        <v>0.04</v>
      </c>
      <c r="FQ18">
        <v>33.464230130458738</v>
      </c>
      <c r="FR18">
        <v>-0.65564766471697788</v>
      </c>
      <c r="FS18">
        <v>8.7611064095652516E-2</v>
      </c>
      <c r="FT18">
        <v>1</v>
      </c>
      <c r="FU18">
        <v>0.34431811109253418</v>
      </c>
      <c r="FV18">
        <v>4.9823166876833441E-2</v>
      </c>
      <c r="FW18">
        <v>6.752079104850762E-3</v>
      </c>
      <c r="FX18">
        <v>1</v>
      </c>
      <c r="FY18">
        <v>2</v>
      </c>
      <c r="FZ18">
        <v>2</v>
      </c>
      <c r="GA18" t="s">
        <v>429</v>
      </c>
      <c r="GB18">
        <v>3.13422</v>
      </c>
      <c r="GC18">
        <v>2.8650699999999998</v>
      </c>
      <c r="GD18">
        <v>6.4982300000000007E-2</v>
      </c>
      <c r="GE18">
        <v>7.5666300000000006E-2</v>
      </c>
      <c r="GF18">
        <v>0.12937799999999999</v>
      </c>
      <c r="GG18">
        <v>0.116664</v>
      </c>
      <c r="GH18">
        <v>28386.7</v>
      </c>
      <c r="GI18">
        <v>21525.3</v>
      </c>
      <c r="GJ18">
        <v>29268.3</v>
      </c>
      <c r="GK18">
        <v>21704.1</v>
      </c>
      <c r="GL18">
        <v>34132.199999999997</v>
      </c>
      <c r="GM18">
        <v>26370.3</v>
      </c>
      <c r="GN18">
        <v>40628</v>
      </c>
      <c r="GO18">
        <v>30831.5</v>
      </c>
      <c r="GP18">
        <v>2.0363000000000002</v>
      </c>
      <c r="GQ18">
        <v>1.8744000000000001</v>
      </c>
      <c r="GR18">
        <v>5.2452100000000002E-2</v>
      </c>
      <c r="GS18">
        <v>0</v>
      </c>
      <c r="GT18">
        <v>29.1218</v>
      </c>
      <c r="GU18">
        <v>999.9</v>
      </c>
      <c r="GV18">
        <v>56.7</v>
      </c>
      <c r="GW18">
        <v>32.299999999999997</v>
      </c>
      <c r="GX18">
        <v>27.776599999999998</v>
      </c>
      <c r="GY18">
        <v>61.884599999999999</v>
      </c>
      <c r="GZ18">
        <v>11.8429</v>
      </c>
      <c r="HA18">
        <v>1</v>
      </c>
      <c r="HB18">
        <v>0.229573</v>
      </c>
      <c r="HC18">
        <v>2.1484299999999998</v>
      </c>
      <c r="HD18">
        <v>20.2729</v>
      </c>
      <c r="HE18">
        <v>5.2328599999999996</v>
      </c>
      <c r="HF18">
        <v>11.974</v>
      </c>
      <c r="HG18">
        <v>4.9749999999999996</v>
      </c>
      <c r="HH18">
        <v>3.2839999999999998</v>
      </c>
      <c r="HI18">
        <v>9999</v>
      </c>
      <c r="HJ18">
        <v>9999</v>
      </c>
      <c r="HK18">
        <v>9999</v>
      </c>
      <c r="HL18">
        <v>999.9</v>
      </c>
      <c r="HM18">
        <v>1.86127</v>
      </c>
      <c r="HN18">
        <v>1.86293</v>
      </c>
      <c r="HO18">
        <v>1.86832</v>
      </c>
      <c r="HP18">
        <v>1.8589100000000001</v>
      </c>
      <c r="HQ18">
        <v>1.8573200000000001</v>
      </c>
      <c r="HR18">
        <v>1.8610199999999999</v>
      </c>
      <c r="HS18">
        <v>1.86493</v>
      </c>
      <c r="HT18">
        <v>1.86694</v>
      </c>
      <c r="HU18">
        <v>5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0.36599999999999999</v>
      </c>
      <c r="II18">
        <v>0.88139999999999996</v>
      </c>
      <c r="IJ18">
        <v>0.18118233929129471</v>
      </c>
      <c r="IK18">
        <v>1.118558698776514E-3</v>
      </c>
      <c r="IL18">
        <v>-1.6939696309573479E-6</v>
      </c>
      <c r="IM18">
        <v>5.4698917449866148E-10</v>
      </c>
      <c r="IN18">
        <v>-1.9668687517394701E-2</v>
      </c>
      <c r="IO18">
        <v>-7.6058941998734366E-3</v>
      </c>
      <c r="IP18">
        <v>1.6984902717538061E-3</v>
      </c>
      <c r="IQ18">
        <v>-9.6352527008986976E-6</v>
      </c>
      <c r="IR18">
        <v>2</v>
      </c>
      <c r="IS18">
        <v>2021</v>
      </c>
      <c r="IT18">
        <v>2</v>
      </c>
      <c r="IU18">
        <v>40</v>
      </c>
      <c r="IV18">
        <v>0.6</v>
      </c>
      <c r="IW18">
        <v>0.5</v>
      </c>
      <c r="IX18">
        <v>0.82275399999999999</v>
      </c>
      <c r="IY18">
        <v>2.4670399999999999</v>
      </c>
      <c r="IZ18">
        <v>1.34399</v>
      </c>
      <c r="JA18">
        <v>2.2497600000000002</v>
      </c>
      <c r="JB18">
        <v>1.5918000000000001</v>
      </c>
      <c r="JC18">
        <v>2.4706999999999999</v>
      </c>
      <c r="JD18">
        <v>37.361800000000002</v>
      </c>
      <c r="JE18">
        <v>23.8598</v>
      </c>
      <c r="JF18">
        <v>18</v>
      </c>
      <c r="JG18">
        <v>503.84899999999999</v>
      </c>
      <c r="JH18">
        <v>446.89499999999998</v>
      </c>
      <c r="JI18">
        <v>26.290600000000001</v>
      </c>
      <c r="JJ18">
        <v>30.581399999999999</v>
      </c>
      <c r="JK18">
        <v>30.0001</v>
      </c>
      <c r="JL18">
        <v>30.3535</v>
      </c>
      <c r="JM18">
        <v>30.288799999999998</v>
      </c>
      <c r="JN18">
        <v>16.538900000000002</v>
      </c>
      <c r="JO18">
        <v>26.511199999999999</v>
      </c>
      <c r="JP18">
        <v>65.260900000000007</v>
      </c>
      <c r="JQ18">
        <v>26.295200000000001</v>
      </c>
      <c r="JR18">
        <v>300</v>
      </c>
      <c r="JS18">
        <v>23.245899999999999</v>
      </c>
      <c r="JT18">
        <v>99.805300000000003</v>
      </c>
      <c r="JU18">
        <v>97.418499999999995</v>
      </c>
    </row>
    <row r="19" spans="1:281" x14ac:dyDescent="0.25">
      <c r="A19">
        <v>3</v>
      </c>
      <c r="B19">
        <v>1693321962.0999999</v>
      </c>
      <c r="C19">
        <v>200.5999999046326</v>
      </c>
      <c r="D19" t="s">
        <v>430</v>
      </c>
      <c r="E19" t="s">
        <v>431</v>
      </c>
      <c r="F19" t="s">
        <v>413</v>
      </c>
      <c r="G19" t="s">
        <v>414</v>
      </c>
      <c r="H19" t="s">
        <v>31</v>
      </c>
      <c r="I19" t="s">
        <v>31</v>
      </c>
      <c r="J19">
        <v>1693321962.0999999</v>
      </c>
      <c r="K19">
        <f t="shared" si="0"/>
        <v>4.9274654997549941E-3</v>
      </c>
      <c r="L19">
        <f t="shared" si="1"/>
        <v>4.9274654997549945</v>
      </c>
      <c r="M19">
        <f t="shared" si="2"/>
        <v>23.32348400706573</v>
      </c>
      <c r="N19">
        <f t="shared" si="3"/>
        <v>171.04900000000001</v>
      </c>
      <c r="O19">
        <f t="shared" si="4"/>
        <v>59.543957458015562</v>
      </c>
      <c r="P19">
        <f t="shared" si="5"/>
        <v>5.9095091646377798</v>
      </c>
      <c r="Q19">
        <f t="shared" si="6"/>
        <v>16.9759565244694</v>
      </c>
      <c r="R19">
        <f t="shared" si="7"/>
        <v>0.36303912631423552</v>
      </c>
      <c r="S19">
        <f t="shared" si="8"/>
        <v>2.9154048468941625</v>
      </c>
      <c r="T19">
        <f t="shared" si="9"/>
        <v>0.33966429725347558</v>
      </c>
      <c r="U19">
        <f t="shared" si="10"/>
        <v>0.21426478017126768</v>
      </c>
      <c r="V19">
        <f t="shared" si="11"/>
        <v>344.34529964447438</v>
      </c>
      <c r="W19">
        <f t="shared" si="12"/>
        <v>31.193883325426604</v>
      </c>
      <c r="X19">
        <f t="shared" si="13"/>
        <v>29.9697</v>
      </c>
      <c r="Y19">
        <f t="shared" si="14"/>
        <v>4.2530404760597662</v>
      </c>
      <c r="Z19">
        <f t="shared" si="15"/>
        <v>65.557380842409401</v>
      </c>
      <c r="AA19">
        <f t="shared" si="16"/>
        <v>2.8649190688080797</v>
      </c>
      <c r="AB19">
        <f t="shared" si="17"/>
        <v>4.3700938505992744</v>
      </c>
      <c r="AC19">
        <f t="shared" si="18"/>
        <v>1.3881214072516865</v>
      </c>
      <c r="AD19">
        <f t="shared" si="19"/>
        <v>-217.30122853919525</v>
      </c>
      <c r="AE19">
        <f t="shared" si="20"/>
        <v>74.406789910466131</v>
      </c>
      <c r="AF19">
        <f t="shared" si="21"/>
        <v>5.686437387053763</v>
      </c>
      <c r="AG19">
        <f t="shared" si="22"/>
        <v>207.13729840279905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51855.750202446005</v>
      </c>
      <c r="AM19" t="s">
        <v>415</v>
      </c>
      <c r="AN19">
        <v>10366.9</v>
      </c>
      <c r="AO19">
        <v>993.59653846153856</v>
      </c>
      <c r="AP19">
        <v>3431.87</v>
      </c>
      <c r="AQ19">
        <f t="shared" si="26"/>
        <v>0.71047955241266758</v>
      </c>
      <c r="AR19">
        <v>-3.9894345373445681</v>
      </c>
      <c r="AS19" t="s">
        <v>432</v>
      </c>
      <c r="AT19">
        <v>10388.6</v>
      </c>
      <c r="AU19">
        <v>711.82524000000001</v>
      </c>
      <c r="AV19">
        <v>899.95498148725596</v>
      </c>
      <c r="AW19">
        <f t="shared" si="27"/>
        <v>0.20904350257204507</v>
      </c>
      <c r="AX19">
        <v>0.5</v>
      </c>
      <c r="AY19">
        <f t="shared" si="28"/>
        <v>1513.0757998222371</v>
      </c>
      <c r="AZ19">
        <f t="shared" si="29"/>
        <v>23.32348400706573</v>
      </c>
      <c r="BA19">
        <f t="shared" si="30"/>
        <v>158.14933242591948</v>
      </c>
      <c r="BB19">
        <f t="shared" si="31"/>
        <v>1.8051255956654085E-2</v>
      </c>
      <c r="BC19">
        <f t="shared" si="32"/>
        <v>2.8133796363108385</v>
      </c>
      <c r="BD19">
        <f t="shared" si="33"/>
        <v>547.57762526509998</v>
      </c>
      <c r="BE19" t="s">
        <v>433</v>
      </c>
      <c r="BF19">
        <v>564.98</v>
      </c>
      <c r="BG19">
        <f t="shared" si="34"/>
        <v>564.98</v>
      </c>
      <c r="BH19">
        <f t="shared" si="35"/>
        <v>0.37221304218315443</v>
      </c>
      <c r="BI19">
        <f t="shared" si="36"/>
        <v>0.56162326109245064</v>
      </c>
      <c r="BJ19">
        <f t="shared" si="37"/>
        <v>0.8831573651283251</v>
      </c>
      <c r="BK19">
        <f t="shared" si="38"/>
        <v>-2.0090411518779345</v>
      </c>
      <c r="BL19">
        <f t="shared" si="39"/>
        <v>1.0384048624780575</v>
      </c>
      <c r="BM19">
        <f t="shared" si="40"/>
        <v>0.44576378052007931</v>
      </c>
      <c r="BN19">
        <f t="shared" si="41"/>
        <v>0.55423621947992063</v>
      </c>
      <c r="BO19">
        <v>1957</v>
      </c>
      <c r="BP19">
        <v>290.00000000000011</v>
      </c>
      <c r="BQ19">
        <v>846.87</v>
      </c>
      <c r="BR19">
        <v>135</v>
      </c>
      <c r="BS19">
        <v>10388.6</v>
      </c>
      <c r="BT19">
        <v>845.88</v>
      </c>
      <c r="BU19">
        <v>0.99</v>
      </c>
      <c r="BV19">
        <v>300.00000000000011</v>
      </c>
      <c r="BW19">
        <v>38.4</v>
      </c>
      <c r="BX19">
        <v>899.95498148725596</v>
      </c>
      <c r="BY19">
        <v>0.69357816849301968</v>
      </c>
      <c r="BZ19">
        <v>-56.180507481512663</v>
      </c>
      <c r="CA19">
        <v>0.58902511364079757</v>
      </c>
      <c r="CB19">
        <v>0.99693154557294617</v>
      </c>
      <c r="CC19">
        <v>-1.129088008898777E-2</v>
      </c>
      <c r="CD19">
        <v>289.99999999999989</v>
      </c>
      <c r="CE19">
        <v>843.88</v>
      </c>
      <c r="CF19">
        <v>725</v>
      </c>
      <c r="CG19">
        <v>10350.299999999999</v>
      </c>
      <c r="CH19">
        <v>845.68</v>
      </c>
      <c r="CI19">
        <v>-1.8</v>
      </c>
      <c r="CW19">
        <f t="shared" si="42"/>
        <v>1799.87</v>
      </c>
      <c r="CX19">
        <f t="shared" si="43"/>
        <v>1513.0757998222371</v>
      </c>
      <c r="CY19">
        <f t="shared" si="44"/>
        <v>0.84065838078429955</v>
      </c>
      <c r="CZ19">
        <f t="shared" si="45"/>
        <v>0.19131676156859906</v>
      </c>
      <c r="DA19">
        <v>6</v>
      </c>
      <c r="DB19">
        <v>0.5</v>
      </c>
      <c r="DC19" t="s">
        <v>418</v>
      </c>
      <c r="DD19">
        <v>2</v>
      </c>
      <c r="DE19">
        <v>1693321962.0999999</v>
      </c>
      <c r="DF19">
        <v>171.04900000000001</v>
      </c>
      <c r="DG19">
        <v>200.02500000000001</v>
      </c>
      <c r="DH19">
        <v>28.866800000000001</v>
      </c>
      <c r="DI19">
        <v>23.129200000000001</v>
      </c>
      <c r="DJ19">
        <v>170.74199999999999</v>
      </c>
      <c r="DK19">
        <v>27.977900000000002</v>
      </c>
      <c r="DL19">
        <v>500.40699999999998</v>
      </c>
      <c r="DM19">
        <v>99.146299999999997</v>
      </c>
      <c r="DN19">
        <v>9.9860599999999994E-2</v>
      </c>
      <c r="DO19">
        <v>30.443100000000001</v>
      </c>
      <c r="DP19">
        <v>29.9697</v>
      </c>
      <c r="DQ19">
        <v>999.9</v>
      </c>
      <c r="DR19">
        <v>0</v>
      </c>
      <c r="DS19">
        <v>0</v>
      </c>
      <c r="DT19">
        <v>10005</v>
      </c>
      <c r="DU19">
        <v>0</v>
      </c>
      <c r="DV19">
        <v>1622.39</v>
      </c>
      <c r="DW19">
        <v>-28.976099999999999</v>
      </c>
      <c r="DX19">
        <v>176.13300000000001</v>
      </c>
      <c r="DY19">
        <v>204.761</v>
      </c>
      <c r="DZ19">
        <v>5.7375999999999996</v>
      </c>
      <c r="EA19">
        <v>200.02500000000001</v>
      </c>
      <c r="EB19">
        <v>23.129200000000001</v>
      </c>
      <c r="EC19">
        <v>2.8620299999999999</v>
      </c>
      <c r="ED19">
        <v>2.2931699999999999</v>
      </c>
      <c r="EE19">
        <v>23.246300000000002</v>
      </c>
      <c r="EF19">
        <v>19.628499999999999</v>
      </c>
      <c r="EG19">
        <v>1799.87</v>
      </c>
      <c r="EH19">
        <v>0.97799100000000005</v>
      </c>
      <c r="EI19">
        <v>2.20092E-2</v>
      </c>
      <c r="EJ19">
        <v>0</v>
      </c>
      <c r="EK19">
        <v>711.01099999999997</v>
      </c>
      <c r="EL19">
        <v>5.0002700000000004</v>
      </c>
      <c r="EM19">
        <v>13609.1</v>
      </c>
      <c r="EN19">
        <v>16247.4</v>
      </c>
      <c r="EO19">
        <v>47.25</v>
      </c>
      <c r="EP19">
        <v>49.561999999999998</v>
      </c>
      <c r="EQ19">
        <v>48.375</v>
      </c>
      <c r="ER19">
        <v>48.625</v>
      </c>
      <c r="ES19">
        <v>49.125</v>
      </c>
      <c r="ET19">
        <v>1755.37</v>
      </c>
      <c r="EU19">
        <v>39.5</v>
      </c>
      <c r="EV19">
        <v>0</v>
      </c>
      <c r="EW19">
        <v>98</v>
      </c>
      <c r="EX19">
        <v>0</v>
      </c>
      <c r="EY19">
        <v>711.82524000000001</v>
      </c>
      <c r="EZ19">
        <v>-4.8334615347564931</v>
      </c>
      <c r="FA19">
        <v>31.861538525321372</v>
      </c>
      <c r="FB19">
        <v>13612.592000000001</v>
      </c>
      <c r="FC19">
        <v>15</v>
      </c>
      <c r="FD19">
        <v>1693321934.0999999</v>
      </c>
      <c r="FE19" t="s">
        <v>434</v>
      </c>
      <c r="FF19">
        <v>1693321929.5999999</v>
      </c>
      <c r="FG19">
        <v>1693321934.0999999</v>
      </c>
      <c r="FH19">
        <v>5</v>
      </c>
      <c r="FI19">
        <v>-1.9E-2</v>
      </c>
      <c r="FJ19">
        <v>3.0000000000000001E-3</v>
      </c>
      <c r="FK19">
        <v>0.32200000000000001</v>
      </c>
      <c r="FL19">
        <v>0.56299999999999994</v>
      </c>
      <c r="FM19">
        <v>200</v>
      </c>
      <c r="FN19">
        <v>23</v>
      </c>
      <c r="FO19">
        <v>0.12</v>
      </c>
      <c r="FP19">
        <v>0.04</v>
      </c>
      <c r="FQ19">
        <v>23.22802758351196</v>
      </c>
      <c r="FR19">
        <v>0.12013464269262961</v>
      </c>
      <c r="FS19">
        <v>5.6992512911317572E-2</v>
      </c>
      <c r="FT19">
        <v>1</v>
      </c>
      <c r="FU19">
        <v>0.36316757754692358</v>
      </c>
      <c r="FV19">
        <v>3.6874114560601197E-2</v>
      </c>
      <c r="FW19">
        <v>4.8166133138779496E-3</v>
      </c>
      <c r="FX19">
        <v>1</v>
      </c>
      <c r="FY19">
        <v>2</v>
      </c>
      <c r="FZ19">
        <v>2</v>
      </c>
      <c r="GA19" t="s">
        <v>429</v>
      </c>
      <c r="GB19">
        <v>3.1345200000000002</v>
      </c>
      <c r="GC19">
        <v>2.8650600000000002</v>
      </c>
      <c r="GD19">
        <v>4.5213999999999997E-2</v>
      </c>
      <c r="GE19">
        <v>5.3586500000000002E-2</v>
      </c>
      <c r="GF19">
        <v>0.12960099999999999</v>
      </c>
      <c r="GG19">
        <v>0.116176</v>
      </c>
      <c r="GH19">
        <v>28984.400000000001</v>
      </c>
      <c r="GI19">
        <v>22039.4</v>
      </c>
      <c r="GJ19">
        <v>29265.9</v>
      </c>
      <c r="GK19">
        <v>21704.1</v>
      </c>
      <c r="GL19">
        <v>34118.6</v>
      </c>
      <c r="GM19">
        <v>26383.8</v>
      </c>
      <c r="GN19">
        <v>40624.300000000003</v>
      </c>
      <c r="GO19">
        <v>30832.2</v>
      </c>
      <c r="GP19">
        <v>2.0366</v>
      </c>
      <c r="GQ19">
        <v>1.8732</v>
      </c>
      <c r="GR19">
        <v>5.2988500000000001E-2</v>
      </c>
      <c r="GS19">
        <v>0</v>
      </c>
      <c r="GT19">
        <v>29.1068</v>
      </c>
      <c r="GU19">
        <v>999.9</v>
      </c>
      <c r="GV19">
        <v>56.6</v>
      </c>
      <c r="GW19">
        <v>32.299999999999997</v>
      </c>
      <c r="GX19">
        <v>27.726299999999998</v>
      </c>
      <c r="GY19">
        <v>61.784599999999998</v>
      </c>
      <c r="GZ19">
        <v>12.051299999999999</v>
      </c>
      <c r="HA19">
        <v>1</v>
      </c>
      <c r="HB19">
        <v>0.23064999999999999</v>
      </c>
      <c r="HC19">
        <v>1.4362699999999999</v>
      </c>
      <c r="HD19">
        <v>20.28</v>
      </c>
      <c r="HE19">
        <v>5.2340600000000004</v>
      </c>
      <c r="HF19">
        <v>11.974</v>
      </c>
      <c r="HG19">
        <v>4.9752000000000001</v>
      </c>
      <c r="HH19">
        <v>3.2839999999999998</v>
      </c>
      <c r="HI19">
        <v>9999</v>
      </c>
      <c r="HJ19">
        <v>9999</v>
      </c>
      <c r="HK19">
        <v>9999</v>
      </c>
      <c r="HL19">
        <v>999.9</v>
      </c>
      <c r="HM19">
        <v>1.8612500000000001</v>
      </c>
      <c r="HN19">
        <v>1.8627899999999999</v>
      </c>
      <c r="HO19">
        <v>1.86829</v>
      </c>
      <c r="HP19">
        <v>1.8589500000000001</v>
      </c>
      <c r="HQ19">
        <v>1.8573200000000001</v>
      </c>
      <c r="HR19">
        <v>1.8610599999999999</v>
      </c>
      <c r="HS19">
        <v>1.86493</v>
      </c>
      <c r="HT19">
        <v>1.8669100000000001</v>
      </c>
      <c r="HU19">
        <v>5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0.307</v>
      </c>
      <c r="II19">
        <v>0.88890000000000002</v>
      </c>
      <c r="IJ19">
        <v>0.1622820421930439</v>
      </c>
      <c r="IK19">
        <v>1.118558698776514E-3</v>
      </c>
      <c r="IL19">
        <v>-1.6939696309573479E-6</v>
      </c>
      <c r="IM19">
        <v>5.4698917449866148E-10</v>
      </c>
      <c r="IN19">
        <v>-1.6842468770000289E-2</v>
      </c>
      <c r="IO19">
        <v>-7.6058941998734366E-3</v>
      </c>
      <c r="IP19">
        <v>1.6984902717538061E-3</v>
      </c>
      <c r="IQ19">
        <v>-9.6352527008986976E-6</v>
      </c>
      <c r="IR19">
        <v>2</v>
      </c>
      <c r="IS19">
        <v>2021</v>
      </c>
      <c r="IT19">
        <v>2</v>
      </c>
      <c r="IU19">
        <v>40</v>
      </c>
      <c r="IV19">
        <v>0.5</v>
      </c>
      <c r="IW19">
        <v>0.5</v>
      </c>
      <c r="IX19">
        <v>0.60302699999999998</v>
      </c>
      <c r="IY19">
        <v>2.47925</v>
      </c>
      <c r="IZ19">
        <v>1.34399</v>
      </c>
      <c r="JA19">
        <v>2.2485400000000002</v>
      </c>
      <c r="JB19">
        <v>1.5918000000000001</v>
      </c>
      <c r="JC19">
        <v>2.4609399999999999</v>
      </c>
      <c r="JD19">
        <v>37.361800000000002</v>
      </c>
      <c r="JE19">
        <v>23.8598</v>
      </c>
      <c r="JF19">
        <v>18</v>
      </c>
      <c r="JG19">
        <v>504.43900000000002</v>
      </c>
      <c r="JH19">
        <v>446.50299999999999</v>
      </c>
      <c r="JI19">
        <v>26.285499999999999</v>
      </c>
      <c r="JJ19">
        <v>30.612200000000001</v>
      </c>
      <c r="JK19">
        <v>29.9986</v>
      </c>
      <c r="JL19">
        <v>30.398099999999999</v>
      </c>
      <c r="JM19">
        <v>30.335899999999999</v>
      </c>
      <c r="JN19">
        <v>12.1577</v>
      </c>
      <c r="JO19">
        <v>26.42</v>
      </c>
      <c r="JP19">
        <v>65.553600000000003</v>
      </c>
      <c r="JQ19">
        <v>26.382200000000001</v>
      </c>
      <c r="JR19">
        <v>200</v>
      </c>
      <c r="JS19">
        <v>23.095099999999999</v>
      </c>
      <c r="JT19">
        <v>99.796700000000001</v>
      </c>
      <c r="JU19">
        <v>97.419799999999995</v>
      </c>
    </row>
    <row r="20" spans="1:281" x14ac:dyDescent="0.25">
      <c r="A20">
        <v>4</v>
      </c>
      <c r="B20">
        <v>1693322061.5999999</v>
      </c>
      <c r="C20">
        <v>300.09999990463263</v>
      </c>
      <c r="D20" t="s">
        <v>435</v>
      </c>
      <c r="E20" t="s">
        <v>436</v>
      </c>
      <c r="F20" t="s">
        <v>413</v>
      </c>
      <c r="G20" t="s">
        <v>414</v>
      </c>
      <c r="H20" t="s">
        <v>31</v>
      </c>
      <c r="I20" t="s">
        <v>31</v>
      </c>
      <c r="J20">
        <v>1693322061.5999999</v>
      </c>
      <c r="K20">
        <f t="shared" si="0"/>
        <v>5.2731724547313156E-3</v>
      </c>
      <c r="L20">
        <f t="shared" si="1"/>
        <v>5.2731724547313155</v>
      </c>
      <c r="M20">
        <f t="shared" si="2"/>
        <v>14.661325847904751</v>
      </c>
      <c r="N20">
        <f t="shared" si="3"/>
        <v>101.72</v>
      </c>
      <c r="O20">
        <f t="shared" si="4"/>
        <v>35.702320877027169</v>
      </c>
      <c r="P20">
        <f t="shared" si="5"/>
        <v>3.5433659091609178</v>
      </c>
      <c r="Q20">
        <f t="shared" si="6"/>
        <v>10.095455181228001</v>
      </c>
      <c r="R20">
        <f t="shared" si="7"/>
        <v>0.3870184105046714</v>
      </c>
      <c r="S20">
        <f t="shared" si="8"/>
        <v>2.9123673755840249</v>
      </c>
      <c r="T20">
        <f t="shared" si="9"/>
        <v>0.36054875843690637</v>
      </c>
      <c r="U20">
        <f t="shared" si="10"/>
        <v>0.22757012736659221</v>
      </c>
      <c r="V20">
        <f t="shared" si="11"/>
        <v>344.36879964468005</v>
      </c>
      <c r="W20">
        <f t="shared" si="12"/>
        <v>31.160639901693269</v>
      </c>
      <c r="X20">
        <f t="shared" si="13"/>
        <v>30.028500000000001</v>
      </c>
      <c r="Y20">
        <f t="shared" si="14"/>
        <v>4.2674291766662593</v>
      </c>
      <c r="Z20">
        <f t="shared" si="15"/>
        <v>65.419164381623048</v>
      </c>
      <c r="AA20">
        <f t="shared" si="16"/>
        <v>2.8680739571191802</v>
      </c>
      <c r="AB20">
        <f t="shared" si="17"/>
        <v>4.3841494831518411</v>
      </c>
      <c r="AC20">
        <f t="shared" si="18"/>
        <v>1.3993552195470791</v>
      </c>
      <c r="AD20">
        <f t="shared" si="19"/>
        <v>-232.546905253651</v>
      </c>
      <c r="AE20">
        <f t="shared" si="20"/>
        <v>73.905336562634702</v>
      </c>
      <c r="AF20">
        <f t="shared" si="21"/>
        <v>5.6572196792361726</v>
      </c>
      <c r="AG20">
        <f t="shared" si="22"/>
        <v>191.38445063289993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51759.905658348674</v>
      </c>
      <c r="AM20" t="s">
        <v>415</v>
      </c>
      <c r="AN20">
        <v>10366.9</v>
      </c>
      <c r="AO20">
        <v>993.59653846153856</v>
      </c>
      <c r="AP20">
        <v>3431.87</v>
      </c>
      <c r="AQ20">
        <f t="shared" si="26"/>
        <v>0.71047955241266758</v>
      </c>
      <c r="AR20">
        <v>-3.9894345373445681</v>
      </c>
      <c r="AS20" t="s">
        <v>437</v>
      </c>
      <c r="AT20">
        <v>10368.9</v>
      </c>
      <c r="AU20">
        <v>712.61076000000003</v>
      </c>
      <c r="AV20">
        <v>843.445115621931</v>
      </c>
      <c r="AW20">
        <f t="shared" si="27"/>
        <v>0.15511899138269081</v>
      </c>
      <c r="AX20">
        <v>0.5</v>
      </c>
      <c r="AY20">
        <f t="shared" si="28"/>
        <v>1513.1843998223399</v>
      </c>
      <c r="AZ20">
        <f t="shared" si="29"/>
        <v>14.661325847904751</v>
      </c>
      <c r="BA20">
        <f t="shared" si="30"/>
        <v>117.36181893823185</v>
      </c>
      <c r="BB20">
        <f t="shared" si="31"/>
        <v>1.2325504008261698E-2</v>
      </c>
      <c r="BC20">
        <f t="shared" si="32"/>
        <v>3.0688717456967454</v>
      </c>
      <c r="BD20">
        <f t="shared" si="33"/>
        <v>526.12970529971324</v>
      </c>
      <c r="BE20" t="s">
        <v>438</v>
      </c>
      <c r="BF20">
        <v>566.73</v>
      </c>
      <c r="BG20">
        <f t="shared" si="34"/>
        <v>566.73</v>
      </c>
      <c r="BH20">
        <f t="shared" si="35"/>
        <v>0.32807720442828059</v>
      </c>
      <c r="BI20">
        <f t="shared" si="36"/>
        <v>0.47281246392295645</v>
      </c>
      <c r="BJ20">
        <f t="shared" si="37"/>
        <v>0.90342003684918326</v>
      </c>
      <c r="BK20">
        <f t="shared" si="38"/>
        <v>-0.87134942278694771</v>
      </c>
      <c r="BL20">
        <f t="shared" si="39"/>
        <v>1.0615810429831227</v>
      </c>
      <c r="BM20">
        <f t="shared" si="40"/>
        <v>0.37602155723702113</v>
      </c>
      <c r="BN20">
        <f t="shared" si="41"/>
        <v>0.62397844276297887</v>
      </c>
      <c r="BO20">
        <v>1959</v>
      </c>
      <c r="BP20">
        <v>290.00000000000011</v>
      </c>
      <c r="BQ20">
        <v>807.46</v>
      </c>
      <c r="BR20">
        <v>265</v>
      </c>
      <c r="BS20">
        <v>10368.9</v>
      </c>
      <c r="BT20">
        <v>806.93</v>
      </c>
      <c r="BU20">
        <v>0.53</v>
      </c>
      <c r="BV20">
        <v>300.00000000000011</v>
      </c>
      <c r="BW20">
        <v>38.4</v>
      </c>
      <c r="BX20">
        <v>843.445115621931</v>
      </c>
      <c r="BY20">
        <v>0.83150612678252522</v>
      </c>
      <c r="BZ20">
        <v>-37.8655156809536</v>
      </c>
      <c r="CA20">
        <v>0.70619883320666155</v>
      </c>
      <c r="CB20">
        <v>0.99035471543952835</v>
      </c>
      <c r="CC20">
        <v>-1.1290991323692989E-2</v>
      </c>
      <c r="CD20">
        <v>289.99999999999989</v>
      </c>
      <c r="CE20">
        <v>804.62</v>
      </c>
      <c r="CF20">
        <v>685</v>
      </c>
      <c r="CG20">
        <v>10354.200000000001</v>
      </c>
      <c r="CH20">
        <v>806.87</v>
      </c>
      <c r="CI20">
        <v>-2.25</v>
      </c>
      <c r="CW20">
        <f t="shared" si="42"/>
        <v>1800</v>
      </c>
      <c r="CX20">
        <f t="shared" si="43"/>
        <v>1513.1843998223399</v>
      </c>
      <c r="CY20">
        <f t="shared" si="44"/>
        <v>0.84065799990129997</v>
      </c>
      <c r="CZ20">
        <f t="shared" si="45"/>
        <v>0.19131599980260003</v>
      </c>
      <c r="DA20">
        <v>6</v>
      </c>
      <c r="DB20">
        <v>0.5</v>
      </c>
      <c r="DC20" t="s">
        <v>418</v>
      </c>
      <c r="DD20">
        <v>2</v>
      </c>
      <c r="DE20">
        <v>1693322061.5999999</v>
      </c>
      <c r="DF20">
        <v>101.72</v>
      </c>
      <c r="DG20">
        <v>119.95</v>
      </c>
      <c r="DH20">
        <v>28.898199999999999</v>
      </c>
      <c r="DI20">
        <v>22.755700000000001</v>
      </c>
      <c r="DJ20">
        <v>101.31</v>
      </c>
      <c r="DK20">
        <v>28.013999999999999</v>
      </c>
      <c r="DL20">
        <v>500.19900000000001</v>
      </c>
      <c r="DM20">
        <v>99.1477</v>
      </c>
      <c r="DN20">
        <v>9.9794900000000006E-2</v>
      </c>
      <c r="DO20">
        <v>30.499199999999998</v>
      </c>
      <c r="DP20">
        <v>30.028500000000001</v>
      </c>
      <c r="DQ20">
        <v>999.9</v>
      </c>
      <c r="DR20">
        <v>0</v>
      </c>
      <c r="DS20">
        <v>0</v>
      </c>
      <c r="DT20">
        <v>9987.5</v>
      </c>
      <c r="DU20">
        <v>0</v>
      </c>
      <c r="DV20">
        <v>1617.89</v>
      </c>
      <c r="DW20">
        <v>-18.230599999999999</v>
      </c>
      <c r="DX20">
        <v>104.747</v>
      </c>
      <c r="DY20">
        <v>122.74299999999999</v>
      </c>
      <c r="DZ20">
        <v>6.1424300000000001</v>
      </c>
      <c r="EA20">
        <v>119.95</v>
      </c>
      <c r="EB20">
        <v>22.755700000000001</v>
      </c>
      <c r="EC20">
        <v>2.8651900000000001</v>
      </c>
      <c r="ED20">
        <v>2.2561800000000001</v>
      </c>
      <c r="EE20">
        <v>23.264500000000002</v>
      </c>
      <c r="EF20">
        <v>19.366900000000001</v>
      </c>
      <c r="EG20">
        <v>1800</v>
      </c>
      <c r="EH20">
        <v>0.97800799999999999</v>
      </c>
      <c r="EI20">
        <v>2.1992399999999999E-2</v>
      </c>
      <c r="EJ20">
        <v>0</v>
      </c>
      <c r="EK20">
        <v>712.22</v>
      </c>
      <c r="EL20">
        <v>5.0002700000000004</v>
      </c>
      <c r="EM20">
        <v>13623.5</v>
      </c>
      <c r="EN20">
        <v>16248.7</v>
      </c>
      <c r="EO20">
        <v>47.125</v>
      </c>
      <c r="EP20">
        <v>49.436999999999998</v>
      </c>
      <c r="EQ20">
        <v>48.311999999999998</v>
      </c>
      <c r="ER20">
        <v>48.5</v>
      </c>
      <c r="ES20">
        <v>49</v>
      </c>
      <c r="ET20">
        <v>1755.52</v>
      </c>
      <c r="EU20">
        <v>39.479999999999997</v>
      </c>
      <c r="EV20">
        <v>0</v>
      </c>
      <c r="EW20">
        <v>97.399999856948853</v>
      </c>
      <c r="EX20">
        <v>0</v>
      </c>
      <c r="EY20">
        <v>712.61076000000003</v>
      </c>
      <c r="EZ20">
        <v>-3.6949230956149188</v>
      </c>
      <c r="FA20">
        <v>-78.930769339414752</v>
      </c>
      <c r="FB20">
        <v>13632.56</v>
      </c>
      <c r="FC20">
        <v>15</v>
      </c>
      <c r="FD20">
        <v>1693322032.0999999</v>
      </c>
      <c r="FE20" t="s">
        <v>439</v>
      </c>
      <c r="FF20">
        <v>1693322026.0999999</v>
      </c>
      <c r="FG20">
        <v>1693322032.0999999</v>
      </c>
      <c r="FH20">
        <v>6</v>
      </c>
      <c r="FI20">
        <v>0.151</v>
      </c>
      <c r="FJ20">
        <v>-7.0000000000000001E-3</v>
      </c>
      <c r="FK20">
        <v>0.42399999999999999</v>
      </c>
      <c r="FL20">
        <v>0.54200000000000004</v>
      </c>
      <c r="FM20">
        <v>120</v>
      </c>
      <c r="FN20">
        <v>23</v>
      </c>
      <c r="FO20">
        <v>0.2</v>
      </c>
      <c r="FP20">
        <v>0.05</v>
      </c>
      <c r="FQ20">
        <v>14.635238059362599</v>
      </c>
      <c r="FR20">
        <v>0.15870658640175511</v>
      </c>
      <c r="FS20">
        <v>6.0731506537857999E-2</v>
      </c>
      <c r="FT20">
        <v>1</v>
      </c>
      <c r="FU20">
        <v>0.39033241864256679</v>
      </c>
      <c r="FV20">
        <v>3.608226160384085E-2</v>
      </c>
      <c r="FW20">
        <v>4.2728247527494554E-3</v>
      </c>
      <c r="FX20">
        <v>1</v>
      </c>
      <c r="FY20">
        <v>2</v>
      </c>
      <c r="FZ20">
        <v>2</v>
      </c>
      <c r="GA20" t="s">
        <v>429</v>
      </c>
      <c r="GB20">
        <v>3.1341899999999998</v>
      </c>
      <c r="GC20">
        <v>2.8648400000000001</v>
      </c>
      <c r="GD20">
        <v>2.7741999999999999E-2</v>
      </c>
      <c r="GE20">
        <v>3.3546800000000002E-2</v>
      </c>
      <c r="GF20">
        <v>0.12970799999999999</v>
      </c>
      <c r="GG20">
        <v>0.114854</v>
      </c>
      <c r="GH20">
        <v>29512.2</v>
      </c>
      <c r="GI20">
        <v>22508.2</v>
      </c>
      <c r="GJ20">
        <v>29263.5</v>
      </c>
      <c r="GK20">
        <v>21706.2</v>
      </c>
      <c r="GL20">
        <v>34110.300000000003</v>
      </c>
      <c r="GM20">
        <v>26424.6</v>
      </c>
      <c r="GN20">
        <v>40621.4</v>
      </c>
      <c r="GO20">
        <v>30835.7</v>
      </c>
      <c r="GP20">
        <v>2.0369999999999999</v>
      </c>
      <c r="GQ20">
        <v>1.8720000000000001</v>
      </c>
      <c r="GR20">
        <v>5.4925700000000001E-2</v>
      </c>
      <c r="GS20">
        <v>0</v>
      </c>
      <c r="GT20">
        <v>29.134</v>
      </c>
      <c r="GU20">
        <v>999.9</v>
      </c>
      <c r="GV20">
        <v>56.6</v>
      </c>
      <c r="GW20">
        <v>32.299999999999997</v>
      </c>
      <c r="GX20">
        <v>27.726600000000001</v>
      </c>
      <c r="GY20">
        <v>61.994599999999998</v>
      </c>
      <c r="GZ20">
        <v>11.882999999999999</v>
      </c>
      <c r="HA20">
        <v>1</v>
      </c>
      <c r="HB20">
        <v>0.23436000000000001</v>
      </c>
      <c r="HC20">
        <v>2.06928</v>
      </c>
      <c r="HD20">
        <v>20.273099999999999</v>
      </c>
      <c r="HE20">
        <v>5.2328599999999996</v>
      </c>
      <c r="HF20">
        <v>11.974</v>
      </c>
      <c r="HG20">
        <v>4.9740000000000002</v>
      </c>
      <c r="HH20">
        <v>3.2839999999999998</v>
      </c>
      <c r="HI20">
        <v>9999</v>
      </c>
      <c r="HJ20">
        <v>9999</v>
      </c>
      <c r="HK20">
        <v>9999</v>
      </c>
      <c r="HL20">
        <v>999.9</v>
      </c>
      <c r="HM20">
        <v>1.8612500000000001</v>
      </c>
      <c r="HN20">
        <v>1.86293</v>
      </c>
      <c r="HO20">
        <v>1.86829</v>
      </c>
      <c r="HP20">
        <v>1.8589800000000001</v>
      </c>
      <c r="HQ20">
        <v>1.8573200000000001</v>
      </c>
      <c r="HR20">
        <v>1.8610599999999999</v>
      </c>
      <c r="HS20">
        <v>1.86493</v>
      </c>
      <c r="HT20">
        <v>1.86693</v>
      </c>
      <c r="HU20">
        <v>5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0.41</v>
      </c>
      <c r="II20">
        <v>0.88419999999999999</v>
      </c>
      <c r="IJ20">
        <v>0.31366292055442818</v>
      </c>
      <c r="IK20">
        <v>1.118558698776514E-3</v>
      </c>
      <c r="IL20">
        <v>-1.6939696309573479E-6</v>
      </c>
      <c r="IM20">
        <v>5.4698917449866148E-10</v>
      </c>
      <c r="IN20">
        <v>-2.3898565241199269E-2</v>
      </c>
      <c r="IO20">
        <v>-7.6058941998734366E-3</v>
      </c>
      <c r="IP20">
        <v>1.6984902717538061E-3</v>
      </c>
      <c r="IQ20">
        <v>-9.6352527008986976E-6</v>
      </c>
      <c r="IR20">
        <v>2</v>
      </c>
      <c r="IS20">
        <v>2021</v>
      </c>
      <c r="IT20">
        <v>2</v>
      </c>
      <c r="IU20">
        <v>40</v>
      </c>
      <c r="IV20">
        <v>0.6</v>
      </c>
      <c r="IW20">
        <v>0.5</v>
      </c>
      <c r="IX20">
        <v>0.42236299999999999</v>
      </c>
      <c r="IY20">
        <v>2.49268</v>
      </c>
      <c r="IZ20">
        <v>1.34399</v>
      </c>
      <c r="JA20">
        <v>2.2485400000000002</v>
      </c>
      <c r="JB20">
        <v>1.5918000000000001</v>
      </c>
      <c r="JC20">
        <v>2.4682599999999999</v>
      </c>
      <c r="JD20">
        <v>37.409799999999997</v>
      </c>
      <c r="JE20">
        <v>23.8598</v>
      </c>
      <c r="JF20">
        <v>18</v>
      </c>
      <c r="JG20">
        <v>505.04700000000003</v>
      </c>
      <c r="JH20">
        <v>446.06700000000001</v>
      </c>
      <c r="JI20">
        <v>26.519100000000002</v>
      </c>
      <c r="JJ20">
        <v>30.6372</v>
      </c>
      <c r="JK20">
        <v>30.000599999999999</v>
      </c>
      <c r="JL20">
        <v>30.4376</v>
      </c>
      <c r="JM20">
        <v>30.377800000000001</v>
      </c>
      <c r="JN20">
        <v>8.5284700000000004</v>
      </c>
      <c r="JO20">
        <v>27.868200000000002</v>
      </c>
      <c r="JP20">
        <v>65.928399999999996</v>
      </c>
      <c r="JQ20">
        <v>26.503900000000002</v>
      </c>
      <c r="JR20">
        <v>120</v>
      </c>
      <c r="JS20">
        <v>22.665700000000001</v>
      </c>
      <c r="JT20">
        <v>99.789100000000005</v>
      </c>
      <c r="JU20">
        <v>97.430099999999996</v>
      </c>
    </row>
    <row r="21" spans="1:281" x14ac:dyDescent="0.25">
      <c r="A21">
        <v>5</v>
      </c>
      <c r="B21">
        <v>1693322174.0999999</v>
      </c>
      <c r="C21">
        <v>412.59999990463263</v>
      </c>
      <c r="D21" t="s">
        <v>440</v>
      </c>
      <c r="E21" t="s">
        <v>441</v>
      </c>
      <c r="F21" t="s">
        <v>413</v>
      </c>
      <c r="G21" t="s">
        <v>414</v>
      </c>
      <c r="H21" t="s">
        <v>31</v>
      </c>
      <c r="I21" t="s">
        <v>31</v>
      </c>
      <c r="J21">
        <v>1693322174.0999999</v>
      </c>
      <c r="K21">
        <f t="shared" si="0"/>
        <v>5.7004065665745649E-3</v>
      </c>
      <c r="L21">
        <f t="shared" si="1"/>
        <v>5.7004065665745651</v>
      </c>
      <c r="M21">
        <f t="shared" si="2"/>
        <v>9.066593261083824</v>
      </c>
      <c r="N21">
        <f t="shared" si="3"/>
        <v>58.6175</v>
      </c>
      <c r="O21">
        <f t="shared" si="4"/>
        <v>21.024268692137088</v>
      </c>
      <c r="P21">
        <f t="shared" si="5"/>
        <v>2.0866952814585336</v>
      </c>
      <c r="Q21">
        <f t="shared" si="6"/>
        <v>5.8178889573762502</v>
      </c>
      <c r="R21">
        <f t="shared" si="7"/>
        <v>0.42277887356672161</v>
      </c>
      <c r="S21">
        <f t="shared" si="8"/>
        <v>2.9054268218959969</v>
      </c>
      <c r="T21">
        <f t="shared" si="9"/>
        <v>0.39133517761179937</v>
      </c>
      <c r="U21">
        <f t="shared" si="10"/>
        <v>0.24721440983853743</v>
      </c>
      <c r="V21">
        <f t="shared" si="11"/>
        <v>344.39159964470372</v>
      </c>
      <c r="W21">
        <f t="shared" si="12"/>
        <v>31.069040956390207</v>
      </c>
      <c r="X21">
        <f t="shared" si="13"/>
        <v>30.031500000000001</v>
      </c>
      <c r="Y21">
        <f t="shared" si="14"/>
        <v>4.2681644301024715</v>
      </c>
      <c r="Z21">
        <f t="shared" si="15"/>
        <v>65.494762369947665</v>
      </c>
      <c r="AA21">
        <f t="shared" si="16"/>
        <v>2.8744296855814997</v>
      </c>
      <c r="AB21">
        <f t="shared" si="17"/>
        <v>4.3887932127232734</v>
      </c>
      <c r="AC21">
        <f t="shared" si="18"/>
        <v>1.3937347445209718</v>
      </c>
      <c r="AD21">
        <f t="shared" si="19"/>
        <v>-251.38792958593831</v>
      </c>
      <c r="AE21">
        <f t="shared" si="20"/>
        <v>76.157089693684142</v>
      </c>
      <c r="AF21">
        <f t="shared" si="21"/>
        <v>5.8441317824632399</v>
      </c>
      <c r="AG21">
        <f t="shared" si="22"/>
        <v>175.00489153491282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51559.890433003296</v>
      </c>
      <c r="AM21" t="s">
        <v>415</v>
      </c>
      <c r="AN21">
        <v>10366.9</v>
      </c>
      <c r="AO21">
        <v>993.59653846153856</v>
      </c>
      <c r="AP21">
        <v>3431.87</v>
      </c>
      <c r="AQ21">
        <f t="shared" si="26"/>
        <v>0.71047955241266758</v>
      </c>
      <c r="AR21">
        <v>-3.9894345373445681</v>
      </c>
      <c r="AS21" t="s">
        <v>442</v>
      </c>
      <c r="AT21">
        <v>10374.700000000001</v>
      </c>
      <c r="AU21">
        <v>712.75096153846164</v>
      </c>
      <c r="AV21">
        <v>797.54377979122285</v>
      </c>
      <c r="AW21">
        <f t="shared" si="27"/>
        <v>0.10631744664218667</v>
      </c>
      <c r="AX21">
        <v>0.5</v>
      </c>
      <c r="AY21">
        <f t="shared" si="28"/>
        <v>1513.2851998223518</v>
      </c>
      <c r="AZ21">
        <f t="shared" si="29"/>
        <v>9.066593261083824</v>
      </c>
      <c r="BA21">
        <f t="shared" si="30"/>
        <v>80.444309243261841</v>
      </c>
      <c r="BB21">
        <f t="shared" si="31"/>
        <v>8.6276055564153218E-3</v>
      </c>
      <c r="BC21">
        <f t="shared" si="32"/>
        <v>3.3030490450297014</v>
      </c>
      <c r="BD21">
        <f t="shared" si="33"/>
        <v>507.89573052345344</v>
      </c>
      <c r="BE21" t="s">
        <v>443</v>
      </c>
      <c r="BF21">
        <v>573.94000000000005</v>
      </c>
      <c r="BG21">
        <f t="shared" si="34"/>
        <v>573.94000000000005</v>
      </c>
      <c r="BH21">
        <f t="shared" si="35"/>
        <v>0.28036552407161486</v>
      </c>
      <c r="BI21">
        <f t="shared" si="36"/>
        <v>0.37921012932756165</v>
      </c>
      <c r="BJ21">
        <f t="shared" si="37"/>
        <v>0.9217602321291205</v>
      </c>
      <c r="BK21">
        <f t="shared" si="38"/>
        <v>-0.43250000065211869</v>
      </c>
      <c r="BL21">
        <f t="shared" si="39"/>
        <v>1.0804063866349976</v>
      </c>
      <c r="BM21">
        <f t="shared" si="40"/>
        <v>0.3053575138734011</v>
      </c>
      <c r="BN21">
        <f t="shared" si="41"/>
        <v>0.69464248612659896</v>
      </c>
      <c r="BO21">
        <v>1961</v>
      </c>
      <c r="BP21">
        <v>290.00000000000011</v>
      </c>
      <c r="BQ21">
        <v>775.55</v>
      </c>
      <c r="BR21">
        <v>225</v>
      </c>
      <c r="BS21">
        <v>10374.700000000001</v>
      </c>
      <c r="BT21">
        <v>774.47</v>
      </c>
      <c r="BU21">
        <v>1.08</v>
      </c>
      <c r="BV21">
        <v>300.00000000000011</v>
      </c>
      <c r="BW21">
        <v>38.4</v>
      </c>
      <c r="BX21">
        <v>797.54377979122285</v>
      </c>
      <c r="BY21">
        <v>0.84062071033826735</v>
      </c>
      <c r="BZ21">
        <v>-23.942966877456421</v>
      </c>
      <c r="CA21">
        <v>0.71398401428723812</v>
      </c>
      <c r="CB21">
        <v>0.97570605311074843</v>
      </c>
      <c r="CC21">
        <v>-1.1291578865406011E-2</v>
      </c>
      <c r="CD21">
        <v>289.99999999999989</v>
      </c>
      <c r="CE21">
        <v>772.75</v>
      </c>
      <c r="CF21">
        <v>665</v>
      </c>
      <c r="CG21">
        <v>10356.700000000001</v>
      </c>
      <c r="CH21">
        <v>774.43</v>
      </c>
      <c r="CI21">
        <v>-1.68</v>
      </c>
      <c r="CW21">
        <f t="shared" si="42"/>
        <v>1800.12</v>
      </c>
      <c r="CX21">
        <f t="shared" si="43"/>
        <v>1513.2851998223518</v>
      </c>
      <c r="CY21">
        <f t="shared" si="44"/>
        <v>0.84065795603757076</v>
      </c>
      <c r="CZ21">
        <f t="shared" si="45"/>
        <v>0.19131591207514151</v>
      </c>
      <c r="DA21">
        <v>6</v>
      </c>
      <c r="DB21">
        <v>0.5</v>
      </c>
      <c r="DC21" t="s">
        <v>418</v>
      </c>
      <c r="DD21">
        <v>2</v>
      </c>
      <c r="DE21">
        <v>1693322174.0999999</v>
      </c>
      <c r="DF21">
        <v>58.6175</v>
      </c>
      <c r="DG21">
        <v>69.895700000000005</v>
      </c>
      <c r="DH21">
        <v>28.960999999999999</v>
      </c>
      <c r="DI21">
        <v>22.3202</v>
      </c>
      <c r="DJ21">
        <v>58.191600000000001</v>
      </c>
      <c r="DK21">
        <v>28.075600000000001</v>
      </c>
      <c r="DL21">
        <v>500.11900000000003</v>
      </c>
      <c r="DM21">
        <v>99.151799999999994</v>
      </c>
      <c r="DN21">
        <v>9.9941500000000003E-2</v>
      </c>
      <c r="DO21">
        <v>30.517700000000001</v>
      </c>
      <c r="DP21">
        <v>30.031500000000001</v>
      </c>
      <c r="DQ21">
        <v>999.9</v>
      </c>
      <c r="DR21">
        <v>0</v>
      </c>
      <c r="DS21">
        <v>0</v>
      </c>
      <c r="DT21">
        <v>9947.5</v>
      </c>
      <c r="DU21">
        <v>0</v>
      </c>
      <c r="DV21">
        <v>1632.74</v>
      </c>
      <c r="DW21">
        <v>-11.2782</v>
      </c>
      <c r="DX21">
        <v>60.3658</v>
      </c>
      <c r="DY21">
        <v>71.491399999999999</v>
      </c>
      <c r="DZ21">
        <v>6.6408300000000002</v>
      </c>
      <c r="EA21">
        <v>69.895700000000005</v>
      </c>
      <c r="EB21">
        <v>22.3202</v>
      </c>
      <c r="EC21">
        <v>2.87154</v>
      </c>
      <c r="ED21">
        <v>2.2130899999999998</v>
      </c>
      <c r="EE21">
        <v>23.301200000000001</v>
      </c>
      <c r="EF21">
        <v>19.057400000000001</v>
      </c>
      <c r="EG21">
        <v>1800.12</v>
      </c>
      <c r="EH21">
        <v>0.97800799999999999</v>
      </c>
      <c r="EI21">
        <v>2.1992399999999999E-2</v>
      </c>
      <c r="EJ21">
        <v>0</v>
      </c>
      <c r="EK21">
        <v>712.39599999999996</v>
      </c>
      <c r="EL21">
        <v>5.0002700000000004</v>
      </c>
      <c r="EM21">
        <v>13635.3</v>
      </c>
      <c r="EN21">
        <v>16249.8</v>
      </c>
      <c r="EO21">
        <v>47.125</v>
      </c>
      <c r="EP21">
        <v>49.436999999999998</v>
      </c>
      <c r="EQ21">
        <v>48.25</v>
      </c>
      <c r="ER21">
        <v>48.436999999999998</v>
      </c>
      <c r="ES21">
        <v>48.936999999999998</v>
      </c>
      <c r="ET21">
        <v>1755.64</v>
      </c>
      <c r="EU21">
        <v>39.479999999999997</v>
      </c>
      <c r="EV21">
        <v>0</v>
      </c>
      <c r="EW21">
        <v>110.6000001430511</v>
      </c>
      <c r="EX21">
        <v>0</v>
      </c>
      <c r="EY21">
        <v>712.75096153846164</v>
      </c>
      <c r="EZ21">
        <v>-2.7890940162276192</v>
      </c>
      <c r="FA21">
        <v>-46.30427351778868</v>
      </c>
      <c r="FB21">
        <v>13638.99230769231</v>
      </c>
      <c r="FC21">
        <v>15</v>
      </c>
      <c r="FD21">
        <v>1693322146.0999999</v>
      </c>
      <c r="FE21" t="s">
        <v>444</v>
      </c>
      <c r="FF21">
        <v>1693322132.0999999</v>
      </c>
      <c r="FG21">
        <v>1693322146.0999999</v>
      </c>
      <c r="FH21">
        <v>7</v>
      </c>
      <c r="FI21">
        <v>5.2999999999999999E-2</v>
      </c>
      <c r="FJ21">
        <v>-3.0000000000000001E-3</v>
      </c>
      <c r="FK21">
        <v>0.436</v>
      </c>
      <c r="FL21">
        <v>0.52400000000000002</v>
      </c>
      <c r="FM21">
        <v>70</v>
      </c>
      <c r="FN21">
        <v>22</v>
      </c>
      <c r="FO21">
        <v>0.4</v>
      </c>
      <c r="FP21">
        <v>0.04</v>
      </c>
      <c r="FQ21">
        <v>9.1278420227589603</v>
      </c>
      <c r="FR21">
        <v>-1.9543536731447039E-2</v>
      </c>
      <c r="FS21">
        <v>4.8870902421502549E-2</v>
      </c>
      <c r="FT21">
        <v>1</v>
      </c>
      <c r="FU21">
        <v>0.42720495411459752</v>
      </c>
      <c r="FV21">
        <v>2.8646594235258081E-2</v>
      </c>
      <c r="FW21">
        <v>3.9197849069762111E-3</v>
      </c>
      <c r="FX21">
        <v>1</v>
      </c>
      <c r="FY21">
        <v>2</v>
      </c>
      <c r="FZ21">
        <v>2</v>
      </c>
      <c r="GA21" t="s">
        <v>429</v>
      </c>
      <c r="GB21">
        <v>3.1339899999999998</v>
      </c>
      <c r="GC21">
        <v>2.8646400000000001</v>
      </c>
      <c r="GD21">
        <v>1.6165700000000002E-2</v>
      </c>
      <c r="GE21">
        <v>1.9938999999999998E-2</v>
      </c>
      <c r="GF21">
        <v>0.12989800000000001</v>
      </c>
      <c r="GG21">
        <v>0.113304</v>
      </c>
      <c r="GH21">
        <v>29859.200000000001</v>
      </c>
      <c r="GI21">
        <v>22823.5</v>
      </c>
      <c r="GJ21">
        <v>29259.4</v>
      </c>
      <c r="GK21">
        <v>21704.799999999999</v>
      </c>
      <c r="GL21">
        <v>34096.699999999997</v>
      </c>
      <c r="GM21">
        <v>26469.1</v>
      </c>
      <c r="GN21">
        <v>40615.1</v>
      </c>
      <c r="GO21">
        <v>30834.799999999999</v>
      </c>
      <c r="GP21">
        <v>2.0364</v>
      </c>
      <c r="GQ21">
        <v>1.8702000000000001</v>
      </c>
      <c r="GR21">
        <v>5.2481899999999998E-2</v>
      </c>
      <c r="GS21">
        <v>0</v>
      </c>
      <c r="GT21">
        <v>29.1769</v>
      </c>
      <c r="GU21">
        <v>999.9</v>
      </c>
      <c r="GV21">
        <v>56.4</v>
      </c>
      <c r="GW21">
        <v>32.299999999999997</v>
      </c>
      <c r="GX21">
        <v>27.628900000000002</v>
      </c>
      <c r="GY21">
        <v>62.064700000000002</v>
      </c>
      <c r="GZ21">
        <v>12.351800000000001</v>
      </c>
      <c r="HA21">
        <v>1</v>
      </c>
      <c r="HB21">
        <v>0.23863799999999999</v>
      </c>
      <c r="HC21">
        <v>2.0944400000000001</v>
      </c>
      <c r="HD21">
        <v>20.272300000000001</v>
      </c>
      <c r="HE21">
        <v>5.2352600000000002</v>
      </c>
      <c r="HF21">
        <v>11.974</v>
      </c>
      <c r="HG21">
        <v>4.9753999999999996</v>
      </c>
      <c r="HH21">
        <v>3.2839999999999998</v>
      </c>
      <c r="HI21">
        <v>9999</v>
      </c>
      <c r="HJ21">
        <v>9999</v>
      </c>
      <c r="HK21">
        <v>9999</v>
      </c>
      <c r="HL21">
        <v>999.9</v>
      </c>
      <c r="HM21">
        <v>1.8612500000000001</v>
      </c>
      <c r="HN21">
        <v>1.8628899999999999</v>
      </c>
      <c r="HO21">
        <v>1.86829</v>
      </c>
      <c r="HP21">
        <v>1.8589500000000001</v>
      </c>
      <c r="HQ21">
        <v>1.8573299999999999</v>
      </c>
      <c r="HR21">
        <v>1.8610599999999999</v>
      </c>
      <c r="HS21">
        <v>1.86493</v>
      </c>
      <c r="HT21">
        <v>1.8669100000000001</v>
      </c>
      <c r="HU21">
        <v>5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0.42599999999999999</v>
      </c>
      <c r="II21">
        <v>0.88539999999999996</v>
      </c>
      <c r="IJ21">
        <v>0.36641176735089792</v>
      </c>
      <c r="IK21">
        <v>1.118558698776514E-3</v>
      </c>
      <c r="IL21">
        <v>-1.6939696309573479E-6</v>
      </c>
      <c r="IM21">
        <v>5.4698917449866148E-10</v>
      </c>
      <c r="IN21">
        <v>-2.6648965996586841E-2</v>
      </c>
      <c r="IO21">
        <v>-7.6058941998734366E-3</v>
      </c>
      <c r="IP21">
        <v>1.6984902717538061E-3</v>
      </c>
      <c r="IQ21">
        <v>-9.6352527008986976E-6</v>
      </c>
      <c r="IR21">
        <v>2</v>
      </c>
      <c r="IS21">
        <v>2021</v>
      </c>
      <c r="IT21">
        <v>2</v>
      </c>
      <c r="IU21">
        <v>40</v>
      </c>
      <c r="IV21">
        <v>0.7</v>
      </c>
      <c r="IW21">
        <v>0.5</v>
      </c>
      <c r="IX21">
        <v>0.30761699999999997</v>
      </c>
      <c r="IY21">
        <v>2.52075</v>
      </c>
      <c r="IZ21">
        <v>1.34399</v>
      </c>
      <c r="JA21">
        <v>2.2497600000000002</v>
      </c>
      <c r="JB21">
        <v>1.5918000000000001</v>
      </c>
      <c r="JC21">
        <v>2.33521</v>
      </c>
      <c r="JD21">
        <v>37.457799999999999</v>
      </c>
      <c r="JE21">
        <v>23.851099999999999</v>
      </c>
      <c r="JF21">
        <v>18</v>
      </c>
      <c r="JG21">
        <v>505.10300000000001</v>
      </c>
      <c r="JH21">
        <v>445.30399999999997</v>
      </c>
      <c r="JI21">
        <v>26.4877</v>
      </c>
      <c r="JJ21">
        <v>30.682500000000001</v>
      </c>
      <c r="JK21">
        <v>30.000499999999999</v>
      </c>
      <c r="JL21">
        <v>30.4876</v>
      </c>
      <c r="JM21">
        <v>30.427600000000002</v>
      </c>
      <c r="JN21">
        <v>6.2436100000000003</v>
      </c>
      <c r="JO21">
        <v>28.790299999999998</v>
      </c>
      <c r="JP21">
        <v>65.768600000000006</v>
      </c>
      <c r="JQ21">
        <v>26.471599999999999</v>
      </c>
      <c r="JR21">
        <v>70</v>
      </c>
      <c r="JS21">
        <v>22.2529</v>
      </c>
      <c r="JT21">
        <v>99.774299999999997</v>
      </c>
      <c r="JU21">
        <v>97.425899999999999</v>
      </c>
    </row>
    <row r="22" spans="1:281" x14ac:dyDescent="0.25">
      <c r="A22">
        <v>6</v>
      </c>
      <c r="B22">
        <v>1693322282.5999999</v>
      </c>
      <c r="C22">
        <v>521.09999990463257</v>
      </c>
      <c r="D22" t="s">
        <v>445</v>
      </c>
      <c r="E22" t="s">
        <v>446</v>
      </c>
      <c r="F22" t="s">
        <v>413</v>
      </c>
      <c r="G22" t="s">
        <v>414</v>
      </c>
      <c r="H22" t="s">
        <v>31</v>
      </c>
      <c r="I22" t="s">
        <v>31</v>
      </c>
      <c r="J22">
        <v>1693322282.5999999</v>
      </c>
      <c r="K22">
        <f t="shared" si="0"/>
        <v>5.950054677651904E-3</v>
      </c>
      <c r="L22">
        <f t="shared" si="1"/>
        <v>5.9500546776519041</v>
      </c>
      <c r="M22">
        <f t="shared" si="2"/>
        <v>4.0787516422292063</v>
      </c>
      <c r="N22">
        <f t="shared" si="3"/>
        <v>24.9664</v>
      </c>
      <c r="O22">
        <f t="shared" si="4"/>
        <v>8.89403756551234</v>
      </c>
      <c r="P22">
        <f t="shared" si="5"/>
        <v>0.88272608379672335</v>
      </c>
      <c r="Q22">
        <f t="shared" si="6"/>
        <v>2.4778951444908799</v>
      </c>
      <c r="R22">
        <f t="shared" si="7"/>
        <v>0.44613303599765725</v>
      </c>
      <c r="S22">
        <f t="shared" si="8"/>
        <v>2.9207024278080516</v>
      </c>
      <c r="T22">
        <f t="shared" si="9"/>
        <v>0.41144007049195636</v>
      </c>
      <c r="U22">
        <f t="shared" si="10"/>
        <v>0.26004188162923569</v>
      </c>
      <c r="V22">
        <f t="shared" si="11"/>
        <v>344.36879964468005</v>
      </c>
      <c r="W22">
        <f t="shared" si="12"/>
        <v>31.019872601310567</v>
      </c>
      <c r="X22">
        <f t="shared" si="13"/>
        <v>30.0059</v>
      </c>
      <c r="Y22">
        <f t="shared" si="14"/>
        <v>4.2618938144372551</v>
      </c>
      <c r="Z22">
        <f t="shared" si="15"/>
        <v>65.511522482948052</v>
      </c>
      <c r="AA22">
        <f t="shared" si="16"/>
        <v>2.8782267043000003</v>
      </c>
      <c r="AB22">
        <f t="shared" si="17"/>
        <v>4.3934663631869819</v>
      </c>
      <c r="AC22">
        <f t="shared" si="18"/>
        <v>1.3836671101372549</v>
      </c>
      <c r="AD22">
        <f t="shared" si="19"/>
        <v>-262.39741128444899</v>
      </c>
      <c r="AE22">
        <f t="shared" si="20"/>
        <v>83.517266286348701</v>
      </c>
      <c r="AF22">
        <f t="shared" si="21"/>
        <v>6.3751965410209079</v>
      </c>
      <c r="AG22">
        <f t="shared" si="22"/>
        <v>171.86385118760066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51990.51049038487</v>
      </c>
      <c r="AM22" t="s">
        <v>415</v>
      </c>
      <c r="AN22">
        <v>10366.9</v>
      </c>
      <c r="AO22">
        <v>993.59653846153856</v>
      </c>
      <c r="AP22">
        <v>3431.87</v>
      </c>
      <c r="AQ22">
        <f t="shared" si="26"/>
        <v>0.71047955241266758</v>
      </c>
      <c r="AR22">
        <v>-3.9894345373445681</v>
      </c>
      <c r="AS22" t="s">
        <v>447</v>
      </c>
      <c r="AT22">
        <v>10368</v>
      </c>
      <c r="AU22">
        <v>715.20069230769229</v>
      </c>
      <c r="AV22">
        <v>769.98367864235138</v>
      </c>
      <c r="AW22">
        <f t="shared" si="27"/>
        <v>7.1148243598167404E-2</v>
      </c>
      <c r="AX22">
        <v>0.5</v>
      </c>
      <c r="AY22">
        <f t="shared" si="28"/>
        <v>1513.1843998223399</v>
      </c>
      <c r="AZ22">
        <f t="shared" si="29"/>
        <v>4.0787516422292063</v>
      </c>
      <c r="BA22">
        <f t="shared" si="30"/>
        <v>53.830206143753287</v>
      </c>
      <c r="BB22">
        <f t="shared" si="31"/>
        <v>5.3319252964285427E-3</v>
      </c>
      <c r="BC22">
        <f t="shared" si="32"/>
        <v>3.4570685005312489</v>
      </c>
      <c r="BD22">
        <f t="shared" si="33"/>
        <v>496.57679111203566</v>
      </c>
      <c r="BE22" t="s">
        <v>448</v>
      </c>
      <c r="BF22">
        <v>588.48</v>
      </c>
      <c r="BG22">
        <f t="shared" si="34"/>
        <v>588.48</v>
      </c>
      <c r="BH22">
        <f t="shared" si="35"/>
        <v>0.23572405971303423</v>
      </c>
      <c r="BI22">
        <f t="shared" si="36"/>
        <v>0.3018285179916802</v>
      </c>
      <c r="BJ22">
        <f t="shared" si="37"/>
        <v>0.93616644968071527</v>
      </c>
      <c r="BK22">
        <f t="shared" si="38"/>
        <v>-0.2449903211244491</v>
      </c>
      <c r="BL22">
        <f t="shared" si="39"/>
        <v>1.0917095081197725</v>
      </c>
      <c r="BM22">
        <f t="shared" si="40"/>
        <v>0.24834993614817225</v>
      </c>
      <c r="BN22">
        <f t="shared" si="41"/>
        <v>0.75165006385182775</v>
      </c>
      <c r="BO22">
        <v>1963</v>
      </c>
      <c r="BP22">
        <v>290.00000000000011</v>
      </c>
      <c r="BQ22">
        <v>755.89</v>
      </c>
      <c r="BR22">
        <v>295</v>
      </c>
      <c r="BS22">
        <v>10368</v>
      </c>
      <c r="BT22">
        <v>754.77</v>
      </c>
      <c r="BU22">
        <v>1.1200000000000001</v>
      </c>
      <c r="BV22">
        <v>300.00000000000011</v>
      </c>
      <c r="BW22">
        <v>38.4</v>
      </c>
      <c r="BX22">
        <v>769.98367864235138</v>
      </c>
      <c r="BY22">
        <v>1.264579875024767</v>
      </c>
      <c r="BZ22">
        <v>-15.77073720427196</v>
      </c>
      <c r="CA22">
        <v>1.074165381442358</v>
      </c>
      <c r="CB22">
        <v>0.88503707409066446</v>
      </c>
      <c r="CC22">
        <v>-1.1292426251390439E-2</v>
      </c>
      <c r="CD22">
        <v>289.99999999999989</v>
      </c>
      <c r="CE22">
        <v>752.27</v>
      </c>
      <c r="CF22">
        <v>665</v>
      </c>
      <c r="CG22">
        <v>10357.5</v>
      </c>
      <c r="CH22">
        <v>754.76</v>
      </c>
      <c r="CI22">
        <v>-2.4900000000000002</v>
      </c>
      <c r="CW22">
        <f t="shared" si="42"/>
        <v>1800</v>
      </c>
      <c r="CX22">
        <f t="shared" si="43"/>
        <v>1513.1843998223399</v>
      </c>
      <c r="CY22">
        <f t="shared" si="44"/>
        <v>0.84065799990129997</v>
      </c>
      <c r="CZ22">
        <f t="shared" si="45"/>
        <v>0.19131599980260003</v>
      </c>
      <c r="DA22">
        <v>6</v>
      </c>
      <c r="DB22">
        <v>0.5</v>
      </c>
      <c r="DC22" t="s">
        <v>418</v>
      </c>
      <c r="DD22">
        <v>2</v>
      </c>
      <c r="DE22">
        <v>1693322282.5999999</v>
      </c>
      <c r="DF22">
        <v>24.9664</v>
      </c>
      <c r="DG22">
        <v>30.0396</v>
      </c>
      <c r="DH22">
        <v>29</v>
      </c>
      <c r="DI22">
        <v>22.066400000000002</v>
      </c>
      <c r="DJ22">
        <v>24.523199999999999</v>
      </c>
      <c r="DK22">
        <v>28.115500000000001</v>
      </c>
      <c r="DL22">
        <v>499.95699999999999</v>
      </c>
      <c r="DM22">
        <v>99.149500000000003</v>
      </c>
      <c r="DN22">
        <v>9.9696699999999999E-2</v>
      </c>
      <c r="DO22">
        <v>30.536300000000001</v>
      </c>
      <c r="DP22">
        <v>30.0059</v>
      </c>
      <c r="DQ22">
        <v>999.9</v>
      </c>
      <c r="DR22">
        <v>0</v>
      </c>
      <c r="DS22">
        <v>0</v>
      </c>
      <c r="DT22">
        <v>10035</v>
      </c>
      <c r="DU22">
        <v>0</v>
      </c>
      <c r="DV22">
        <v>1639.52</v>
      </c>
      <c r="DW22">
        <v>-5.0732799999999996</v>
      </c>
      <c r="DX22">
        <v>25.712</v>
      </c>
      <c r="DY22">
        <v>30.717500000000001</v>
      </c>
      <c r="DZ22">
        <v>6.9336099999999998</v>
      </c>
      <c r="EA22">
        <v>30.0396</v>
      </c>
      <c r="EB22">
        <v>22.066400000000002</v>
      </c>
      <c r="EC22">
        <v>2.87534</v>
      </c>
      <c r="ED22">
        <v>2.1878799999999998</v>
      </c>
      <c r="EE22">
        <v>23.3231</v>
      </c>
      <c r="EF22">
        <v>18.873799999999999</v>
      </c>
      <c r="EG22">
        <v>1800</v>
      </c>
      <c r="EH22">
        <v>0.97800399999999998</v>
      </c>
      <c r="EI22">
        <v>2.1996000000000002E-2</v>
      </c>
      <c r="EJ22">
        <v>0</v>
      </c>
      <c r="EK22">
        <v>714.48099999999999</v>
      </c>
      <c r="EL22">
        <v>5.0002700000000004</v>
      </c>
      <c r="EM22">
        <v>13677.9</v>
      </c>
      <c r="EN22">
        <v>16248.6</v>
      </c>
      <c r="EO22">
        <v>47.061999999999998</v>
      </c>
      <c r="EP22">
        <v>49.311999999999998</v>
      </c>
      <c r="EQ22">
        <v>48.125</v>
      </c>
      <c r="ER22">
        <v>48.375</v>
      </c>
      <c r="ES22">
        <v>48.875</v>
      </c>
      <c r="ET22">
        <v>1755.52</v>
      </c>
      <c r="EU22">
        <v>39.479999999999997</v>
      </c>
      <c r="EV22">
        <v>0</v>
      </c>
      <c r="EW22">
        <v>106.3999998569489</v>
      </c>
      <c r="EX22">
        <v>0</v>
      </c>
      <c r="EY22">
        <v>715.20069230769229</v>
      </c>
      <c r="EZ22">
        <v>-3.329367512163254</v>
      </c>
      <c r="FA22">
        <v>-35.753846198128933</v>
      </c>
      <c r="FB22">
        <v>13681.8</v>
      </c>
      <c r="FC22">
        <v>15</v>
      </c>
      <c r="FD22">
        <v>1693322254.0999999</v>
      </c>
      <c r="FE22" t="s">
        <v>449</v>
      </c>
      <c r="FF22">
        <v>1693322234.5999999</v>
      </c>
      <c r="FG22">
        <v>1693322254.0999999</v>
      </c>
      <c r="FH22">
        <v>8</v>
      </c>
      <c r="FI22">
        <v>0.05</v>
      </c>
      <c r="FJ22">
        <v>-3.0000000000000001E-3</v>
      </c>
      <c r="FK22">
        <v>0.44800000000000001</v>
      </c>
      <c r="FL22">
        <v>0.504</v>
      </c>
      <c r="FM22">
        <v>30</v>
      </c>
      <c r="FN22">
        <v>22</v>
      </c>
      <c r="FO22">
        <v>0.73</v>
      </c>
      <c r="FP22">
        <v>0.03</v>
      </c>
      <c r="FQ22">
        <v>4.0712514985564097</v>
      </c>
      <c r="FR22">
        <v>0.26388550324958648</v>
      </c>
      <c r="FS22">
        <v>3.2270427333895797E-2</v>
      </c>
      <c r="FT22">
        <v>1</v>
      </c>
      <c r="FU22">
        <v>0.4524528995415053</v>
      </c>
      <c r="FV22">
        <v>5.7097520105097071E-3</v>
      </c>
      <c r="FW22">
        <v>3.32388956896094E-3</v>
      </c>
      <c r="FX22">
        <v>1</v>
      </c>
      <c r="FY22">
        <v>2</v>
      </c>
      <c r="FZ22">
        <v>2</v>
      </c>
      <c r="GA22" t="s">
        <v>429</v>
      </c>
      <c r="GB22">
        <v>3.13374</v>
      </c>
      <c r="GC22">
        <v>2.8651599999999999</v>
      </c>
      <c r="GD22">
        <v>6.8538399999999999E-3</v>
      </c>
      <c r="GE22">
        <v>8.6473399999999999E-3</v>
      </c>
      <c r="GF22">
        <v>0.13001399999999999</v>
      </c>
      <c r="GG22">
        <v>0.112389</v>
      </c>
      <c r="GH22">
        <v>30142.6</v>
      </c>
      <c r="GI22">
        <v>23090.7</v>
      </c>
      <c r="GJ22">
        <v>29260.400000000001</v>
      </c>
      <c r="GK22">
        <v>21708.9</v>
      </c>
      <c r="GL22">
        <v>34093</v>
      </c>
      <c r="GM22">
        <v>26500</v>
      </c>
      <c r="GN22">
        <v>40616.9</v>
      </c>
      <c r="GO22">
        <v>30840</v>
      </c>
      <c r="GP22">
        <v>2.0363000000000002</v>
      </c>
      <c r="GQ22">
        <v>1.8694999999999999</v>
      </c>
      <c r="GR22">
        <v>4.9680500000000002E-2</v>
      </c>
      <c r="GS22">
        <v>0</v>
      </c>
      <c r="GT22">
        <v>29.196899999999999</v>
      </c>
      <c r="GU22">
        <v>999.9</v>
      </c>
      <c r="GV22">
        <v>56.3</v>
      </c>
      <c r="GW22">
        <v>32.200000000000003</v>
      </c>
      <c r="GX22">
        <v>27.422799999999999</v>
      </c>
      <c r="GY22">
        <v>61.884700000000002</v>
      </c>
      <c r="GZ22">
        <v>12.3317</v>
      </c>
      <c r="HA22">
        <v>1</v>
      </c>
      <c r="HB22">
        <v>0.23942099999999999</v>
      </c>
      <c r="HC22">
        <v>1.82117</v>
      </c>
      <c r="HD22">
        <v>20.276299999999999</v>
      </c>
      <c r="HE22">
        <v>5.2352600000000002</v>
      </c>
      <c r="HF22">
        <v>11.974</v>
      </c>
      <c r="HG22">
        <v>4.9740000000000002</v>
      </c>
      <c r="HH22">
        <v>3.2839999999999998</v>
      </c>
      <c r="HI22">
        <v>9999</v>
      </c>
      <c r="HJ22">
        <v>9999</v>
      </c>
      <c r="HK22">
        <v>9999</v>
      </c>
      <c r="HL22">
        <v>999.9</v>
      </c>
      <c r="HM22">
        <v>1.8612500000000001</v>
      </c>
      <c r="HN22">
        <v>1.8629199999999999</v>
      </c>
      <c r="HO22">
        <v>1.8683000000000001</v>
      </c>
      <c r="HP22">
        <v>1.8589500000000001</v>
      </c>
      <c r="HQ22">
        <v>1.8573</v>
      </c>
      <c r="HR22">
        <v>1.8609899999999999</v>
      </c>
      <c r="HS22">
        <v>1.86493</v>
      </c>
      <c r="HT22">
        <v>1.86693</v>
      </c>
      <c r="HU22">
        <v>5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0.443</v>
      </c>
      <c r="II22">
        <v>0.88449999999999995</v>
      </c>
      <c r="IJ22">
        <v>0.41672571556194621</v>
      </c>
      <c r="IK22">
        <v>1.118558698776514E-3</v>
      </c>
      <c r="IL22">
        <v>-1.6939696309573479E-6</v>
      </c>
      <c r="IM22">
        <v>5.4698917449866148E-10</v>
      </c>
      <c r="IN22">
        <v>-3.0064309157805891E-2</v>
      </c>
      <c r="IO22">
        <v>-7.6058941998734366E-3</v>
      </c>
      <c r="IP22">
        <v>1.6984902717538061E-3</v>
      </c>
      <c r="IQ22">
        <v>-9.6352527008986976E-6</v>
      </c>
      <c r="IR22">
        <v>2</v>
      </c>
      <c r="IS22">
        <v>2021</v>
      </c>
      <c r="IT22">
        <v>2</v>
      </c>
      <c r="IU22">
        <v>40</v>
      </c>
      <c r="IV22">
        <v>0.8</v>
      </c>
      <c r="IW22">
        <v>0.5</v>
      </c>
      <c r="IX22">
        <v>0.21850600000000001</v>
      </c>
      <c r="IY22">
        <v>2.5366200000000001</v>
      </c>
      <c r="IZ22">
        <v>1.34399</v>
      </c>
      <c r="JA22">
        <v>2.2497600000000002</v>
      </c>
      <c r="JB22">
        <v>1.5918000000000001</v>
      </c>
      <c r="JC22">
        <v>2.3950200000000001</v>
      </c>
      <c r="JD22">
        <v>37.481900000000003</v>
      </c>
      <c r="JE22">
        <v>23.851099999999999</v>
      </c>
      <c r="JF22">
        <v>18</v>
      </c>
      <c r="JG22">
        <v>505.34300000000002</v>
      </c>
      <c r="JH22">
        <v>445.13099999999997</v>
      </c>
      <c r="JI22">
        <v>26.652999999999999</v>
      </c>
      <c r="JJ22">
        <v>30.7119</v>
      </c>
      <c r="JK22">
        <v>30.000399999999999</v>
      </c>
      <c r="JL22">
        <v>30.521899999999999</v>
      </c>
      <c r="JM22">
        <v>30.4618</v>
      </c>
      <c r="JN22">
        <v>4.4475199999999999</v>
      </c>
      <c r="JO22">
        <v>29.726400000000002</v>
      </c>
      <c r="JP22">
        <v>65.617900000000006</v>
      </c>
      <c r="JQ22">
        <v>26.6404</v>
      </c>
      <c r="JR22">
        <v>30</v>
      </c>
      <c r="JS22">
        <v>21.9725</v>
      </c>
      <c r="JT22">
        <v>99.778300000000002</v>
      </c>
      <c r="JU22">
        <v>97.443100000000001</v>
      </c>
    </row>
    <row r="23" spans="1:281" x14ac:dyDescent="0.25">
      <c r="A23">
        <v>7</v>
      </c>
      <c r="B23">
        <v>1693322382.0999999</v>
      </c>
      <c r="C23">
        <v>620.59999990463257</v>
      </c>
      <c r="D23" t="s">
        <v>450</v>
      </c>
      <c r="E23" t="s">
        <v>451</v>
      </c>
      <c r="F23" t="s">
        <v>413</v>
      </c>
      <c r="G23" t="s">
        <v>414</v>
      </c>
      <c r="H23" t="s">
        <v>31</v>
      </c>
      <c r="I23" t="s">
        <v>31</v>
      </c>
      <c r="J23">
        <v>1693322382.0999999</v>
      </c>
      <c r="K23">
        <f t="shared" si="0"/>
        <v>6.0885453925558115E-3</v>
      </c>
      <c r="L23">
        <f t="shared" si="1"/>
        <v>6.0885453925558117</v>
      </c>
      <c r="M23">
        <f t="shared" si="2"/>
        <v>1.2509337535070602</v>
      </c>
      <c r="N23">
        <f t="shared" si="3"/>
        <v>8.4144400000000008</v>
      </c>
      <c r="O23">
        <f t="shared" si="4"/>
        <v>3.5700081549968474</v>
      </c>
      <c r="P23">
        <f t="shared" si="5"/>
        <v>0.35432480878686223</v>
      </c>
      <c r="Q23">
        <f t="shared" si="6"/>
        <v>0.83513670406480012</v>
      </c>
      <c r="R23">
        <f t="shared" si="7"/>
        <v>0.45668504364033108</v>
      </c>
      <c r="S23">
        <f t="shared" si="8"/>
        <v>2.91765522485507</v>
      </c>
      <c r="T23">
        <f t="shared" si="9"/>
        <v>0.42036834497843467</v>
      </c>
      <c r="U23">
        <f t="shared" si="10"/>
        <v>0.26575204750443482</v>
      </c>
      <c r="V23">
        <f t="shared" si="11"/>
        <v>344.38591280410901</v>
      </c>
      <c r="W23">
        <f t="shared" si="12"/>
        <v>30.989376697494905</v>
      </c>
      <c r="X23">
        <f t="shared" si="13"/>
        <v>30.001899999999999</v>
      </c>
      <c r="Y23">
        <f t="shared" si="14"/>
        <v>4.2609147563459624</v>
      </c>
      <c r="Z23">
        <f t="shared" si="15"/>
        <v>65.420871884659732</v>
      </c>
      <c r="AA23">
        <f t="shared" si="16"/>
        <v>2.8750663164760004</v>
      </c>
      <c r="AB23">
        <f t="shared" si="17"/>
        <v>4.394723325523521</v>
      </c>
      <c r="AC23">
        <f t="shared" si="18"/>
        <v>1.385848439869962</v>
      </c>
      <c r="AD23">
        <f t="shared" si="19"/>
        <v>-268.50485181171126</v>
      </c>
      <c r="AE23">
        <f t="shared" si="20"/>
        <v>84.845801403399392</v>
      </c>
      <c r="AF23">
        <f t="shared" si="21"/>
        <v>6.4834051898451373</v>
      </c>
      <c r="AG23">
        <f t="shared" si="22"/>
        <v>167.21026758564227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51903.011026709501</v>
      </c>
      <c r="AM23" t="s">
        <v>415</v>
      </c>
      <c r="AN23">
        <v>10366.9</v>
      </c>
      <c r="AO23">
        <v>993.59653846153856</v>
      </c>
      <c r="AP23">
        <v>3431.87</v>
      </c>
      <c r="AQ23">
        <f t="shared" si="26"/>
        <v>0.71047955241266758</v>
      </c>
      <c r="AR23">
        <v>-3.9894345373445681</v>
      </c>
      <c r="AS23" t="s">
        <v>452</v>
      </c>
      <c r="AT23">
        <v>10380.4</v>
      </c>
      <c r="AU23">
        <v>717.18803846153844</v>
      </c>
      <c r="AV23">
        <v>759.7590656647626</v>
      </c>
      <c r="AW23">
        <f t="shared" si="27"/>
        <v>5.6032272765282554E-2</v>
      </c>
      <c r="AX23">
        <v>0.5</v>
      </c>
      <c r="AY23">
        <f t="shared" si="28"/>
        <v>1513.2600064020542</v>
      </c>
      <c r="AZ23">
        <f t="shared" si="29"/>
        <v>1.2509337535070602</v>
      </c>
      <c r="BA23">
        <f t="shared" si="30"/>
        <v>42.39569872175656</v>
      </c>
      <c r="BB23">
        <f t="shared" si="31"/>
        <v>3.4629662243643067E-3</v>
      </c>
      <c r="BC23">
        <f t="shared" si="32"/>
        <v>3.5170504112342953</v>
      </c>
      <c r="BD23">
        <f t="shared" si="33"/>
        <v>492.30402352366588</v>
      </c>
      <c r="BE23" t="s">
        <v>453</v>
      </c>
      <c r="BF23">
        <v>596.19000000000005</v>
      </c>
      <c r="BG23">
        <f t="shared" si="34"/>
        <v>596.19000000000005</v>
      </c>
      <c r="BH23">
        <f t="shared" si="35"/>
        <v>0.21529070603671618</v>
      </c>
      <c r="BI23">
        <f t="shared" si="36"/>
        <v>0.26026331464455615</v>
      </c>
      <c r="BJ23">
        <f t="shared" si="37"/>
        <v>0.94231751619902016</v>
      </c>
      <c r="BK23">
        <f t="shared" si="38"/>
        <v>-0.18205391417406352</v>
      </c>
      <c r="BL23">
        <f t="shared" si="39"/>
        <v>1.0959028905023773</v>
      </c>
      <c r="BM23">
        <f t="shared" si="40"/>
        <v>0.21635383921180562</v>
      </c>
      <c r="BN23">
        <f t="shared" si="41"/>
        <v>0.78364616078819438</v>
      </c>
      <c r="BO23">
        <v>1965</v>
      </c>
      <c r="BP23">
        <v>290.00000000000011</v>
      </c>
      <c r="BQ23">
        <v>749.76</v>
      </c>
      <c r="BR23">
        <v>195</v>
      </c>
      <c r="BS23">
        <v>10380.4</v>
      </c>
      <c r="BT23">
        <v>747.51</v>
      </c>
      <c r="BU23">
        <v>2.25</v>
      </c>
      <c r="BV23">
        <v>300.00000000000011</v>
      </c>
      <c r="BW23">
        <v>38.4</v>
      </c>
      <c r="BX23">
        <v>759.7590656647626</v>
      </c>
      <c r="BY23">
        <v>0.68738545522845951</v>
      </c>
      <c r="BZ23">
        <v>-12.71748178861348</v>
      </c>
      <c r="CA23">
        <v>0.58390933089440356</v>
      </c>
      <c r="CB23">
        <v>0.94426348517550773</v>
      </c>
      <c r="CC23">
        <v>-1.129305161290323E-2</v>
      </c>
      <c r="CD23">
        <v>289.99999999999989</v>
      </c>
      <c r="CE23">
        <v>745.97</v>
      </c>
      <c r="CF23">
        <v>675</v>
      </c>
      <c r="CG23">
        <v>10357.1</v>
      </c>
      <c r="CH23">
        <v>747.48</v>
      </c>
      <c r="CI23">
        <v>-1.51</v>
      </c>
      <c r="CW23">
        <f t="shared" si="42"/>
        <v>1800.09</v>
      </c>
      <c r="CX23">
        <f t="shared" si="43"/>
        <v>1513.2600064020542</v>
      </c>
      <c r="CY23">
        <f t="shared" si="44"/>
        <v>0.84065797065816394</v>
      </c>
      <c r="CZ23">
        <f t="shared" si="45"/>
        <v>0.19131594131632809</v>
      </c>
      <c r="DA23">
        <v>6</v>
      </c>
      <c r="DB23">
        <v>0.5</v>
      </c>
      <c r="DC23" t="s">
        <v>418</v>
      </c>
      <c r="DD23">
        <v>2</v>
      </c>
      <c r="DE23">
        <v>1693322382.0999999</v>
      </c>
      <c r="DF23">
        <v>8.4144400000000008</v>
      </c>
      <c r="DG23">
        <v>9.9764199999999992</v>
      </c>
      <c r="DH23">
        <v>28.9678</v>
      </c>
      <c r="DI23">
        <v>21.876000000000001</v>
      </c>
      <c r="DJ23">
        <v>7.93126</v>
      </c>
      <c r="DK23">
        <v>28.093599999999999</v>
      </c>
      <c r="DL23">
        <v>500.19799999999998</v>
      </c>
      <c r="DM23">
        <v>99.15</v>
      </c>
      <c r="DN23">
        <v>0.10042</v>
      </c>
      <c r="DO23">
        <v>30.5413</v>
      </c>
      <c r="DP23">
        <v>30.001899999999999</v>
      </c>
      <c r="DQ23">
        <v>999.9</v>
      </c>
      <c r="DR23">
        <v>0</v>
      </c>
      <c r="DS23">
        <v>0</v>
      </c>
      <c r="DT23">
        <v>10017.5</v>
      </c>
      <c r="DU23">
        <v>0</v>
      </c>
      <c r="DV23">
        <v>1651.29</v>
      </c>
      <c r="DW23">
        <v>-1.5619799999999999</v>
      </c>
      <c r="DX23">
        <v>8.6654599999999995</v>
      </c>
      <c r="DY23">
        <v>10.1995</v>
      </c>
      <c r="DZ23">
        <v>7.0918299999999999</v>
      </c>
      <c r="EA23">
        <v>9.9764199999999992</v>
      </c>
      <c r="EB23">
        <v>21.876000000000001</v>
      </c>
      <c r="EC23">
        <v>2.87216</v>
      </c>
      <c r="ED23">
        <v>2.169</v>
      </c>
      <c r="EE23">
        <v>23.3048</v>
      </c>
      <c r="EF23">
        <v>18.735199999999999</v>
      </c>
      <c r="EG23">
        <v>1800.09</v>
      </c>
      <c r="EH23">
        <v>0.97800399999999998</v>
      </c>
      <c r="EI23">
        <v>2.1996000000000002E-2</v>
      </c>
      <c r="EJ23">
        <v>0</v>
      </c>
      <c r="EK23">
        <v>717.01599999999996</v>
      </c>
      <c r="EL23">
        <v>5.0002700000000004</v>
      </c>
      <c r="EM23">
        <v>13710.8</v>
      </c>
      <c r="EN23">
        <v>16249.5</v>
      </c>
      <c r="EO23">
        <v>47</v>
      </c>
      <c r="EP23">
        <v>49.311999999999998</v>
      </c>
      <c r="EQ23">
        <v>48.125</v>
      </c>
      <c r="ER23">
        <v>48.375</v>
      </c>
      <c r="ES23">
        <v>48.875</v>
      </c>
      <c r="ET23">
        <v>1755.6</v>
      </c>
      <c r="EU23">
        <v>39.479999999999997</v>
      </c>
      <c r="EV23">
        <v>0</v>
      </c>
      <c r="EW23">
        <v>97.400000095367432</v>
      </c>
      <c r="EX23">
        <v>0</v>
      </c>
      <c r="EY23">
        <v>717.18803846153844</v>
      </c>
      <c r="EZ23">
        <v>-0.85658119733282989</v>
      </c>
      <c r="FA23">
        <v>-16.376068380353431</v>
      </c>
      <c r="FB23">
        <v>13711.892307692309</v>
      </c>
      <c r="FC23">
        <v>15</v>
      </c>
      <c r="FD23">
        <v>1693322348.5999999</v>
      </c>
      <c r="FE23" t="s">
        <v>454</v>
      </c>
      <c r="FF23">
        <v>1693322346.0999999</v>
      </c>
      <c r="FG23">
        <v>1693322348.5999999</v>
      </c>
      <c r="FH23">
        <v>9</v>
      </c>
      <c r="FI23">
        <v>5.8000000000000003E-2</v>
      </c>
      <c r="FJ23">
        <v>-8.9999999999999993E-3</v>
      </c>
      <c r="FK23">
        <v>0.48499999999999999</v>
      </c>
      <c r="FL23">
        <v>0.48399999999999999</v>
      </c>
      <c r="FM23">
        <v>10</v>
      </c>
      <c r="FN23">
        <v>22</v>
      </c>
      <c r="FO23">
        <v>0.61</v>
      </c>
      <c r="FP23">
        <v>0.04</v>
      </c>
      <c r="FQ23">
        <v>1.256514894799988</v>
      </c>
      <c r="FR23">
        <v>0.1189021750647621</v>
      </c>
      <c r="FS23">
        <v>4.5917592653557701E-2</v>
      </c>
      <c r="FT23">
        <v>1</v>
      </c>
      <c r="FU23">
        <v>0.46248841890844988</v>
      </c>
      <c r="FV23">
        <v>-5.0380125351081682E-2</v>
      </c>
      <c r="FW23">
        <v>3.848363479728608E-3</v>
      </c>
      <c r="FX23">
        <v>0</v>
      </c>
      <c r="FY23">
        <v>1</v>
      </c>
      <c r="FZ23">
        <v>2</v>
      </c>
      <c r="GA23" t="s">
        <v>420</v>
      </c>
      <c r="GB23">
        <v>3.1339700000000001</v>
      </c>
      <c r="GC23">
        <v>2.8657300000000001</v>
      </c>
      <c r="GD23">
        <v>2.2187700000000001E-3</v>
      </c>
      <c r="GE23">
        <v>2.8766099999999999E-3</v>
      </c>
      <c r="GF23">
        <v>0.12993499999999999</v>
      </c>
      <c r="GG23">
        <v>0.11170099999999999</v>
      </c>
      <c r="GH23">
        <v>30279.7</v>
      </c>
      <c r="GI23">
        <v>23224.799999999999</v>
      </c>
      <c r="GJ23">
        <v>29257.1</v>
      </c>
      <c r="GK23">
        <v>21708.7</v>
      </c>
      <c r="GL23">
        <v>34092.400000000001</v>
      </c>
      <c r="GM23">
        <v>26520.2</v>
      </c>
      <c r="GN23">
        <v>40612.699999999997</v>
      </c>
      <c r="GO23">
        <v>30840.1</v>
      </c>
      <c r="GP23">
        <v>2.0367999999999999</v>
      </c>
      <c r="GQ23">
        <v>1.8684000000000001</v>
      </c>
      <c r="GR23">
        <v>4.71175E-2</v>
      </c>
      <c r="GS23">
        <v>0</v>
      </c>
      <c r="GT23">
        <v>29.2346</v>
      </c>
      <c r="GU23">
        <v>999.9</v>
      </c>
      <c r="GV23">
        <v>56.1</v>
      </c>
      <c r="GW23">
        <v>32.200000000000003</v>
      </c>
      <c r="GX23">
        <v>27.3249</v>
      </c>
      <c r="GY23">
        <v>61.844700000000003</v>
      </c>
      <c r="GZ23">
        <v>11.898999999999999</v>
      </c>
      <c r="HA23">
        <v>1</v>
      </c>
      <c r="HB23">
        <v>0.240041</v>
      </c>
      <c r="HC23">
        <v>1.5710599999999999</v>
      </c>
      <c r="HD23">
        <v>20.2788</v>
      </c>
      <c r="HE23">
        <v>5.2346599999999999</v>
      </c>
      <c r="HF23">
        <v>11.974</v>
      </c>
      <c r="HG23">
        <v>4.9753999999999996</v>
      </c>
      <c r="HH23">
        <v>3.2839999999999998</v>
      </c>
      <c r="HI23">
        <v>9999</v>
      </c>
      <c r="HJ23">
        <v>9999</v>
      </c>
      <c r="HK23">
        <v>9999</v>
      </c>
      <c r="HL23">
        <v>999.9</v>
      </c>
      <c r="HM23">
        <v>1.86127</v>
      </c>
      <c r="HN23">
        <v>1.8628899999999999</v>
      </c>
      <c r="HO23">
        <v>1.8683000000000001</v>
      </c>
      <c r="HP23">
        <v>1.8589599999999999</v>
      </c>
      <c r="HQ23">
        <v>1.8573200000000001</v>
      </c>
      <c r="HR23">
        <v>1.86103</v>
      </c>
      <c r="HS23">
        <v>1.86493</v>
      </c>
      <c r="HT23">
        <v>1.86697</v>
      </c>
      <c r="HU23">
        <v>5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0.48299999999999998</v>
      </c>
      <c r="II23">
        <v>0.87419999999999998</v>
      </c>
      <c r="IJ23">
        <v>0.4744200648317819</v>
      </c>
      <c r="IK23">
        <v>1.118558698776514E-3</v>
      </c>
      <c r="IL23">
        <v>-1.6939696309573479E-6</v>
      </c>
      <c r="IM23">
        <v>5.4698917449866148E-10</v>
      </c>
      <c r="IN23">
        <v>-3.8984856748228158E-2</v>
      </c>
      <c r="IO23">
        <v>-7.6058941998734366E-3</v>
      </c>
      <c r="IP23">
        <v>1.6984902717538061E-3</v>
      </c>
      <c r="IQ23">
        <v>-9.6352527008986976E-6</v>
      </c>
      <c r="IR23">
        <v>2</v>
      </c>
      <c r="IS23">
        <v>2021</v>
      </c>
      <c r="IT23">
        <v>2</v>
      </c>
      <c r="IU23">
        <v>40</v>
      </c>
      <c r="IV23">
        <v>0.6</v>
      </c>
      <c r="IW23">
        <v>0.6</v>
      </c>
      <c r="IX23">
        <v>0.17333999999999999</v>
      </c>
      <c r="IY23">
        <v>2.5463900000000002</v>
      </c>
      <c r="IZ23">
        <v>1.34399</v>
      </c>
      <c r="JA23">
        <v>2.2497600000000002</v>
      </c>
      <c r="JB23">
        <v>1.5918000000000001</v>
      </c>
      <c r="JC23">
        <v>2.4145500000000002</v>
      </c>
      <c r="JD23">
        <v>37.481900000000003</v>
      </c>
      <c r="JE23">
        <v>23.851099999999999</v>
      </c>
      <c r="JF23">
        <v>18</v>
      </c>
      <c r="JG23">
        <v>505.90100000000001</v>
      </c>
      <c r="JH23">
        <v>444.65199999999999</v>
      </c>
      <c r="JI23">
        <v>26.6784</v>
      </c>
      <c r="JJ23">
        <v>30.738600000000002</v>
      </c>
      <c r="JK23">
        <v>29.999700000000001</v>
      </c>
      <c r="JL23">
        <v>30.548300000000001</v>
      </c>
      <c r="JM23">
        <v>30.4907</v>
      </c>
      <c r="JN23">
        <v>3.5701800000000001</v>
      </c>
      <c r="JO23">
        <v>29.550999999999998</v>
      </c>
      <c r="JP23">
        <v>65.406999999999996</v>
      </c>
      <c r="JQ23">
        <v>26.680399999999999</v>
      </c>
      <c r="JR23">
        <v>10</v>
      </c>
      <c r="JS23">
        <v>21.844999999999999</v>
      </c>
      <c r="JT23">
        <v>99.767399999999995</v>
      </c>
      <c r="JU23">
        <v>97.442800000000005</v>
      </c>
    </row>
    <row r="24" spans="1:281" x14ac:dyDescent="0.25">
      <c r="A24">
        <v>8</v>
      </c>
      <c r="B24">
        <v>1693322571.5999999</v>
      </c>
      <c r="C24">
        <v>810.09999990463257</v>
      </c>
      <c r="D24" t="s">
        <v>455</v>
      </c>
      <c r="E24" t="s">
        <v>456</v>
      </c>
      <c r="F24" t="s">
        <v>413</v>
      </c>
      <c r="G24" t="s">
        <v>414</v>
      </c>
      <c r="H24" t="s">
        <v>31</v>
      </c>
      <c r="I24" t="s">
        <v>31</v>
      </c>
      <c r="J24">
        <v>1693322571.5999999</v>
      </c>
      <c r="K24">
        <f t="shared" si="0"/>
        <v>5.9748441166458935E-3</v>
      </c>
      <c r="L24">
        <f t="shared" si="1"/>
        <v>5.9748441166458939</v>
      </c>
      <c r="M24">
        <f t="shared" si="2"/>
        <v>38.069973196022758</v>
      </c>
      <c r="N24">
        <f t="shared" si="3"/>
        <v>351.77600000000001</v>
      </c>
      <c r="O24">
        <f t="shared" si="4"/>
        <v>198.03216255128191</v>
      </c>
      <c r="P24">
        <f t="shared" si="5"/>
        <v>19.653927729067281</v>
      </c>
      <c r="Q24">
        <f t="shared" si="6"/>
        <v>34.912410144639999</v>
      </c>
      <c r="R24">
        <f t="shared" si="7"/>
        <v>0.44308017253812032</v>
      </c>
      <c r="S24">
        <f t="shared" si="8"/>
        <v>2.9075146367530338</v>
      </c>
      <c r="T24">
        <f t="shared" si="9"/>
        <v>0.40869847795977376</v>
      </c>
      <c r="U24">
        <f t="shared" si="10"/>
        <v>0.2583029205441858</v>
      </c>
      <c r="V24">
        <f t="shared" si="11"/>
        <v>344.37889964459993</v>
      </c>
      <c r="W24">
        <f t="shared" si="12"/>
        <v>31.036085902289528</v>
      </c>
      <c r="X24">
        <f t="shared" si="13"/>
        <v>29.9787</v>
      </c>
      <c r="Y24">
        <f t="shared" si="14"/>
        <v>4.2552400838358402</v>
      </c>
      <c r="Z24">
        <f t="shared" si="15"/>
        <v>64.936416088754129</v>
      </c>
      <c r="AA24">
        <f t="shared" si="16"/>
        <v>2.8563237584280001</v>
      </c>
      <c r="AB24">
        <f t="shared" si="17"/>
        <v>4.3986470619567601</v>
      </c>
      <c r="AC24">
        <f t="shared" si="18"/>
        <v>1.3989163254078401</v>
      </c>
      <c r="AD24">
        <f t="shared" si="19"/>
        <v>-263.49062554408391</v>
      </c>
      <c r="AE24">
        <f t="shared" si="20"/>
        <v>90.632809003671056</v>
      </c>
      <c r="AF24">
        <f t="shared" si="21"/>
        <v>6.94950762028677</v>
      </c>
      <c r="AG24">
        <f t="shared" si="22"/>
        <v>178.47059072447388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51612.313434074669</v>
      </c>
      <c r="AM24" t="s">
        <v>415</v>
      </c>
      <c r="AN24">
        <v>10366.9</v>
      </c>
      <c r="AO24">
        <v>993.59653846153856</v>
      </c>
      <c r="AP24">
        <v>3431.87</v>
      </c>
      <c r="AQ24">
        <f t="shared" si="26"/>
        <v>0.71047955241266758</v>
      </c>
      <c r="AR24">
        <v>-3.9894345373445681</v>
      </c>
      <c r="AS24" t="s">
        <v>457</v>
      </c>
      <c r="AT24">
        <v>10386.4</v>
      </c>
      <c r="AU24">
        <v>726.06834615384605</v>
      </c>
      <c r="AV24">
        <v>1020.289220049728</v>
      </c>
      <c r="AW24">
        <f t="shared" si="27"/>
        <v>0.28837007008810878</v>
      </c>
      <c r="AX24">
        <v>0.5</v>
      </c>
      <c r="AY24">
        <f t="shared" si="28"/>
        <v>1513.2266998222999</v>
      </c>
      <c r="AZ24">
        <f t="shared" si="29"/>
        <v>38.069973196022758</v>
      </c>
      <c r="BA24">
        <f t="shared" si="30"/>
        <v>218.18464474347709</v>
      </c>
      <c r="BB24">
        <f t="shared" si="31"/>
        <v>2.7794518652298702E-2</v>
      </c>
      <c r="BC24">
        <f t="shared" si="32"/>
        <v>2.3636246787285802</v>
      </c>
      <c r="BD24">
        <f t="shared" si="33"/>
        <v>589.91041491759711</v>
      </c>
      <c r="BE24" t="s">
        <v>458</v>
      </c>
      <c r="BF24">
        <v>581.37</v>
      </c>
      <c r="BG24">
        <f t="shared" si="34"/>
        <v>581.37</v>
      </c>
      <c r="BH24">
        <f t="shared" si="35"/>
        <v>0.43019098058130556</v>
      </c>
      <c r="BI24">
        <f t="shared" si="36"/>
        <v>0.67033034885678455</v>
      </c>
      <c r="BJ24">
        <f t="shared" si="37"/>
        <v>0.84602027011060232</v>
      </c>
      <c r="BK24">
        <f t="shared" si="38"/>
        <v>11.022529636964773</v>
      </c>
      <c r="BL24">
        <f t="shared" si="39"/>
        <v>0.98905263006416533</v>
      </c>
      <c r="BM24">
        <f t="shared" si="40"/>
        <v>0.53674004242059814</v>
      </c>
      <c r="BN24">
        <f t="shared" si="41"/>
        <v>0.46325995757940186</v>
      </c>
      <c r="BO24">
        <v>1967</v>
      </c>
      <c r="BP24">
        <v>290.00000000000011</v>
      </c>
      <c r="BQ24">
        <v>924.33</v>
      </c>
      <c r="BR24">
        <v>175</v>
      </c>
      <c r="BS24">
        <v>10386.4</v>
      </c>
      <c r="BT24">
        <v>921.4</v>
      </c>
      <c r="BU24">
        <v>2.93</v>
      </c>
      <c r="BV24">
        <v>300.00000000000011</v>
      </c>
      <c r="BW24">
        <v>38.4</v>
      </c>
      <c r="BX24">
        <v>1020.289220049728</v>
      </c>
      <c r="BY24">
        <v>1.2855796532851771</v>
      </c>
      <c r="BZ24">
        <v>-102.714372962562</v>
      </c>
      <c r="CA24">
        <v>1.0923363625014999</v>
      </c>
      <c r="CB24">
        <v>0.99684328580733539</v>
      </c>
      <c r="CC24">
        <v>-1.129669966629589E-2</v>
      </c>
      <c r="CD24">
        <v>289.99999999999989</v>
      </c>
      <c r="CE24">
        <v>901.09</v>
      </c>
      <c r="CF24">
        <v>635</v>
      </c>
      <c r="CG24">
        <v>10363.6</v>
      </c>
      <c r="CH24">
        <v>921.18</v>
      </c>
      <c r="CI24">
        <v>-20.09</v>
      </c>
      <c r="CW24">
        <f t="shared" si="42"/>
        <v>1800.05</v>
      </c>
      <c r="CX24">
        <f t="shared" si="43"/>
        <v>1513.2266998222999</v>
      </c>
      <c r="CY24">
        <f t="shared" si="44"/>
        <v>0.84065814828604757</v>
      </c>
      <c r="CZ24">
        <f t="shared" si="45"/>
        <v>0.19131629657209517</v>
      </c>
      <c r="DA24">
        <v>6</v>
      </c>
      <c r="DB24">
        <v>0.5</v>
      </c>
      <c r="DC24" t="s">
        <v>418</v>
      </c>
      <c r="DD24">
        <v>2</v>
      </c>
      <c r="DE24">
        <v>1693322571.5999999</v>
      </c>
      <c r="DF24">
        <v>351.77600000000001</v>
      </c>
      <c r="DG24">
        <v>399.95400000000001</v>
      </c>
      <c r="DH24">
        <v>28.780200000000001</v>
      </c>
      <c r="DI24">
        <v>21.820799999999998</v>
      </c>
      <c r="DJ24">
        <v>351.084</v>
      </c>
      <c r="DK24">
        <v>27.920500000000001</v>
      </c>
      <c r="DL24">
        <v>500.29199999999997</v>
      </c>
      <c r="DM24">
        <v>99.145799999999994</v>
      </c>
      <c r="DN24">
        <v>0.10034</v>
      </c>
      <c r="DO24">
        <v>30.556899999999999</v>
      </c>
      <c r="DP24">
        <v>29.9787</v>
      </c>
      <c r="DQ24">
        <v>999.9</v>
      </c>
      <c r="DR24">
        <v>0</v>
      </c>
      <c r="DS24">
        <v>0</v>
      </c>
      <c r="DT24">
        <v>9960</v>
      </c>
      <c r="DU24">
        <v>0</v>
      </c>
      <c r="DV24">
        <v>1663.53</v>
      </c>
      <c r="DW24">
        <v>-48.177599999999998</v>
      </c>
      <c r="DX24">
        <v>362.2</v>
      </c>
      <c r="DY24">
        <v>408.87599999999998</v>
      </c>
      <c r="DZ24">
        <v>6.9594800000000001</v>
      </c>
      <c r="EA24">
        <v>399.95400000000001</v>
      </c>
      <c r="EB24">
        <v>21.820799999999998</v>
      </c>
      <c r="EC24">
        <v>2.85344</v>
      </c>
      <c r="ED24">
        <v>2.16344</v>
      </c>
      <c r="EE24">
        <v>23.1965</v>
      </c>
      <c r="EF24">
        <v>18.694099999999999</v>
      </c>
      <c r="EG24">
        <v>1800.05</v>
      </c>
      <c r="EH24">
        <v>0.97799999999999998</v>
      </c>
      <c r="EI24">
        <v>2.1999700000000001E-2</v>
      </c>
      <c r="EJ24">
        <v>0</v>
      </c>
      <c r="EK24">
        <v>725.85500000000002</v>
      </c>
      <c r="EL24">
        <v>5.0002700000000004</v>
      </c>
      <c r="EM24">
        <v>13865.1</v>
      </c>
      <c r="EN24">
        <v>16249.1</v>
      </c>
      <c r="EO24">
        <v>46.936999999999998</v>
      </c>
      <c r="EP24">
        <v>49.25</v>
      </c>
      <c r="EQ24">
        <v>48.061999999999998</v>
      </c>
      <c r="ER24">
        <v>48.375</v>
      </c>
      <c r="ES24">
        <v>48.811999999999998</v>
      </c>
      <c r="ET24">
        <v>1755.56</v>
      </c>
      <c r="EU24">
        <v>39.49</v>
      </c>
      <c r="EV24">
        <v>0</v>
      </c>
      <c r="EW24">
        <v>187.4000000953674</v>
      </c>
      <c r="EX24">
        <v>0</v>
      </c>
      <c r="EY24">
        <v>726.06834615384605</v>
      </c>
      <c r="EZ24">
        <v>1.3311111014997219</v>
      </c>
      <c r="FA24">
        <v>29.31623929202587</v>
      </c>
      <c r="FB24">
        <v>13863.788461538459</v>
      </c>
      <c r="FC24">
        <v>15</v>
      </c>
      <c r="FD24">
        <v>1693322452.5999999</v>
      </c>
      <c r="FE24" t="s">
        <v>459</v>
      </c>
      <c r="FF24">
        <v>1693322444.5999999</v>
      </c>
      <c r="FG24">
        <v>1693322452.5999999</v>
      </c>
      <c r="FH24">
        <v>10</v>
      </c>
      <c r="FI24">
        <v>0.01</v>
      </c>
      <c r="FJ24">
        <v>-3.0000000000000001E-3</v>
      </c>
      <c r="FK24">
        <v>0.69599999999999995</v>
      </c>
      <c r="FL24">
        <v>0.46800000000000003</v>
      </c>
      <c r="FM24">
        <v>400</v>
      </c>
      <c r="FN24">
        <v>22</v>
      </c>
      <c r="FO24">
        <v>0.23</v>
      </c>
      <c r="FP24">
        <v>0.04</v>
      </c>
      <c r="FQ24">
        <v>37.567462340553433</v>
      </c>
      <c r="FR24">
        <v>3.6321130941119879</v>
      </c>
      <c r="FS24">
        <v>0.27987298822532092</v>
      </c>
      <c r="FT24">
        <v>0</v>
      </c>
      <c r="FU24">
        <v>0.44646871720749132</v>
      </c>
      <c r="FV24">
        <v>-5.3330343583985378E-3</v>
      </c>
      <c r="FW24">
        <v>1.820219560795662E-3</v>
      </c>
      <c r="FX24">
        <v>1</v>
      </c>
      <c r="FY24">
        <v>1</v>
      </c>
      <c r="FZ24">
        <v>2</v>
      </c>
      <c r="GA24" t="s">
        <v>420</v>
      </c>
      <c r="GB24">
        <v>3.1340699999999999</v>
      </c>
      <c r="GC24">
        <v>2.8651499999999999</v>
      </c>
      <c r="GD24">
        <v>8.3593399999999998E-2</v>
      </c>
      <c r="GE24">
        <v>9.4968899999999995E-2</v>
      </c>
      <c r="GF24">
        <v>0.12936</v>
      </c>
      <c r="GG24">
        <v>0.11149000000000001</v>
      </c>
      <c r="GH24">
        <v>27807.9</v>
      </c>
      <c r="GI24">
        <v>21082.799999999999</v>
      </c>
      <c r="GJ24">
        <v>29254.799999999999</v>
      </c>
      <c r="GK24">
        <v>21711.9</v>
      </c>
      <c r="GL24">
        <v>34120.699999999997</v>
      </c>
      <c r="GM24">
        <v>26538.1</v>
      </c>
      <c r="GN24">
        <v>40608.5</v>
      </c>
      <c r="GO24">
        <v>30845.1</v>
      </c>
      <c r="GP24">
        <v>2.0358999999999998</v>
      </c>
      <c r="GQ24">
        <v>1.869</v>
      </c>
      <c r="GR24">
        <v>4.0590800000000003E-2</v>
      </c>
      <c r="GS24">
        <v>0</v>
      </c>
      <c r="GT24">
        <v>29.317699999999999</v>
      </c>
      <c r="GU24">
        <v>999.9</v>
      </c>
      <c r="GV24">
        <v>55.8</v>
      </c>
      <c r="GW24">
        <v>32.200000000000003</v>
      </c>
      <c r="GX24">
        <v>27.180399999999999</v>
      </c>
      <c r="GY24">
        <v>61.7547</v>
      </c>
      <c r="GZ24">
        <v>11.995200000000001</v>
      </c>
      <c r="HA24">
        <v>1</v>
      </c>
      <c r="HB24">
        <v>0.243364</v>
      </c>
      <c r="HC24">
        <v>1.7956099999999999</v>
      </c>
      <c r="HD24">
        <v>20.276599999999998</v>
      </c>
      <c r="HE24">
        <v>5.2352600000000002</v>
      </c>
      <c r="HF24">
        <v>11.974</v>
      </c>
      <c r="HG24">
        <v>4.9752000000000001</v>
      </c>
      <c r="HH24">
        <v>3.2839999999999998</v>
      </c>
      <c r="HI24">
        <v>9999</v>
      </c>
      <c r="HJ24">
        <v>9999</v>
      </c>
      <c r="HK24">
        <v>9999</v>
      </c>
      <c r="HL24">
        <v>999.9</v>
      </c>
      <c r="HM24">
        <v>1.86127</v>
      </c>
      <c r="HN24">
        <v>1.86287</v>
      </c>
      <c r="HO24">
        <v>1.86832</v>
      </c>
      <c r="HP24">
        <v>1.8589500000000001</v>
      </c>
      <c r="HQ24">
        <v>1.8573</v>
      </c>
      <c r="HR24">
        <v>1.8610599999999999</v>
      </c>
      <c r="HS24">
        <v>1.86493</v>
      </c>
      <c r="HT24">
        <v>1.86697</v>
      </c>
      <c r="HU24">
        <v>5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0.69199999999999995</v>
      </c>
      <c r="II24">
        <v>0.85970000000000002</v>
      </c>
      <c r="IJ24">
        <v>0.48416524762235791</v>
      </c>
      <c r="IK24">
        <v>1.118558698776514E-3</v>
      </c>
      <c r="IL24">
        <v>-1.6939696309573479E-6</v>
      </c>
      <c r="IM24">
        <v>5.4698917449866148E-10</v>
      </c>
      <c r="IN24">
        <v>-4.2298057658842758E-2</v>
      </c>
      <c r="IO24">
        <v>-7.6058941998734366E-3</v>
      </c>
      <c r="IP24">
        <v>1.6984902717538061E-3</v>
      </c>
      <c r="IQ24">
        <v>-9.6352527008986976E-6</v>
      </c>
      <c r="IR24">
        <v>2</v>
      </c>
      <c r="IS24">
        <v>2021</v>
      </c>
      <c r="IT24">
        <v>2</v>
      </c>
      <c r="IU24">
        <v>40</v>
      </c>
      <c r="IV24">
        <v>2.1</v>
      </c>
      <c r="IW24">
        <v>2</v>
      </c>
      <c r="IX24">
        <v>1.03149</v>
      </c>
      <c r="IY24">
        <v>2.4865699999999999</v>
      </c>
      <c r="IZ24">
        <v>1.34399</v>
      </c>
      <c r="JA24">
        <v>2.2485400000000002</v>
      </c>
      <c r="JB24">
        <v>1.5918000000000001</v>
      </c>
      <c r="JC24">
        <v>2.47559</v>
      </c>
      <c r="JD24">
        <v>37.457799999999999</v>
      </c>
      <c r="JE24">
        <v>23.8598</v>
      </c>
      <c r="JF24">
        <v>18</v>
      </c>
      <c r="JG24">
        <v>505.59899999999999</v>
      </c>
      <c r="JH24">
        <v>445.33</v>
      </c>
      <c r="JI24">
        <v>26.766300000000001</v>
      </c>
      <c r="JJ24">
        <v>30.7761</v>
      </c>
      <c r="JK24">
        <v>30</v>
      </c>
      <c r="JL24">
        <v>30.580100000000002</v>
      </c>
      <c r="JM24">
        <v>30.524999999999999</v>
      </c>
      <c r="JN24">
        <v>20.733799999999999</v>
      </c>
      <c r="JO24">
        <v>28.565999999999999</v>
      </c>
      <c r="JP24">
        <v>64.320300000000003</v>
      </c>
      <c r="JQ24">
        <v>26.775200000000002</v>
      </c>
      <c r="JR24">
        <v>400</v>
      </c>
      <c r="JS24">
        <v>21.967400000000001</v>
      </c>
      <c r="JT24">
        <v>99.758200000000002</v>
      </c>
      <c r="JU24">
        <v>97.458100000000002</v>
      </c>
    </row>
    <row r="25" spans="1:281" x14ac:dyDescent="0.25">
      <c r="A25">
        <v>9</v>
      </c>
      <c r="B25">
        <v>1693322757.0999999</v>
      </c>
      <c r="C25">
        <v>995.59999990463257</v>
      </c>
      <c r="D25" t="s">
        <v>460</v>
      </c>
      <c r="E25" t="s">
        <v>461</v>
      </c>
      <c r="F25" t="s">
        <v>413</v>
      </c>
      <c r="G25" t="s">
        <v>414</v>
      </c>
      <c r="H25" t="s">
        <v>31</v>
      </c>
      <c r="I25" t="s">
        <v>31</v>
      </c>
      <c r="J25">
        <v>1693322757.0999999</v>
      </c>
      <c r="K25">
        <f t="shared" si="0"/>
        <v>5.7862186385132424E-3</v>
      </c>
      <c r="L25">
        <f t="shared" si="1"/>
        <v>5.7862186385132421</v>
      </c>
      <c r="M25">
        <f t="shared" si="2"/>
        <v>44.168755811200597</v>
      </c>
      <c r="N25">
        <f t="shared" si="3"/>
        <v>344.60899999999998</v>
      </c>
      <c r="O25">
        <f t="shared" si="4"/>
        <v>162.62453676886477</v>
      </c>
      <c r="P25">
        <f t="shared" si="5"/>
        <v>16.140072207986439</v>
      </c>
      <c r="Q25">
        <f t="shared" si="6"/>
        <v>34.201567943139999</v>
      </c>
      <c r="R25">
        <f t="shared" si="7"/>
        <v>0.4292876913610672</v>
      </c>
      <c r="S25">
        <f t="shared" si="8"/>
        <v>2.9049033579313095</v>
      </c>
      <c r="T25">
        <f t="shared" si="9"/>
        <v>0.39690272912023244</v>
      </c>
      <c r="U25">
        <f t="shared" si="10"/>
        <v>0.25076996724442535</v>
      </c>
      <c r="V25">
        <f t="shared" si="11"/>
        <v>344.37889964459993</v>
      </c>
      <c r="W25">
        <f t="shared" si="12"/>
        <v>31.084805865691742</v>
      </c>
      <c r="X25">
        <f t="shared" si="13"/>
        <v>30.007999999999999</v>
      </c>
      <c r="Y25">
        <f t="shared" si="14"/>
        <v>4.2624078984144971</v>
      </c>
      <c r="Z25">
        <f t="shared" si="15"/>
        <v>65.19439353248454</v>
      </c>
      <c r="AA25">
        <f t="shared" si="16"/>
        <v>2.86750723805</v>
      </c>
      <c r="AB25">
        <f t="shared" si="17"/>
        <v>4.3983954488681629</v>
      </c>
      <c r="AC25">
        <f t="shared" si="18"/>
        <v>1.3949006603644971</v>
      </c>
      <c r="AD25">
        <f t="shared" si="19"/>
        <v>-255.172241958434</v>
      </c>
      <c r="AE25">
        <f t="shared" si="20"/>
        <v>85.806153193387473</v>
      </c>
      <c r="AF25">
        <f t="shared" si="21"/>
        <v>6.5862467509493898</v>
      </c>
      <c r="AG25">
        <f t="shared" si="22"/>
        <v>181.59905763050278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51538.463223089937</v>
      </c>
      <c r="AM25" t="s">
        <v>415</v>
      </c>
      <c r="AN25">
        <v>10366.9</v>
      </c>
      <c r="AO25">
        <v>993.59653846153856</v>
      </c>
      <c r="AP25">
        <v>3431.87</v>
      </c>
      <c r="AQ25">
        <f t="shared" si="26"/>
        <v>0.71047955241266758</v>
      </c>
      <c r="AR25">
        <v>-3.9894345373445681</v>
      </c>
      <c r="AS25" t="s">
        <v>462</v>
      </c>
      <c r="AT25">
        <v>10390.299999999999</v>
      </c>
      <c r="AU25">
        <v>749.32600000000002</v>
      </c>
      <c r="AV25">
        <v>1074.964613604737</v>
      </c>
      <c r="AW25">
        <f t="shared" si="27"/>
        <v>0.30292961227138016</v>
      </c>
      <c r="AX25">
        <v>0.5</v>
      </c>
      <c r="AY25">
        <f t="shared" si="28"/>
        <v>1513.2266998222999</v>
      </c>
      <c r="AZ25">
        <f t="shared" si="29"/>
        <v>44.168755811200597</v>
      </c>
      <c r="BA25">
        <f t="shared" si="30"/>
        <v>229.20058872793473</v>
      </c>
      <c r="BB25">
        <f t="shared" si="31"/>
        <v>3.1824835204269417E-2</v>
      </c>
      <c r="BC25">
        <f t="shared" si="32"/>
        <v>2.1925423000592779</v>
      </c>
      <c r="BD25">
        <f t="shared" si="33"/>
        <v>607.78391970536563</v>
      </c>
      <c r="BE25" t="s">
        <v>463</v>
      </c>
      <c r="BF25">
        <v>595.89</v>
      </c>
      <c r="BG25">
        <f t="shared" si="34"/>
        <v>595.89</v>
      </c>
      <c r="BH25">
        <f t="shared" si="35"/>
        <v>0.44566547358078157</v>
      </c>
      <c r="BI25">
        <f t="shared" si="36"/>
        <v>0.67972421071221023</v>
      </c>
      <c r="BJ25">
        <f t="shared" si="37"/>
        <v>0.83107264028493255</v>
      </c>
      <c r="BK25">
        <f t="shared" si="38"/>
        <v>4.0020439592758033</v>
      </c>
      <c r="BL25">
        <f t="shared" si="39"/>
        <v>0.96662881484513297</v>
      </c>
      <c r="BM25">
        <f t="shared" si="40"/>
        <v>0.54054024539559409</v>
      </c>
      <c r="BN25">
        <f t="shared" si="41"/>
        <v>0.45945975460440591</v>
      </c>
      <c r="BO25">
        <v>1969</v>
      </c>
      <c r="BP25">
        <v>290.00000000000011</v>
      </c>
      <c r="BQ25">
        <v>983.24</v>
      </c>
      <c r="BR25">
        <v>155</v>
      </c>
      <c r="BS25">
        <v>10390.299999999999</v>
      </c>
      <c r="BT25">
        <v>976.05</v>
      </c>
      <c r="BU25">
        <v>7.19</v>
      </c>
      <c r="BV25">
        <v>300.00000000000011</v>
      </c>
      <c r="BW25">
        <v>38.4</v>
      </c>
      <c r="BX25">
        <v>1074.964613604737</v>
      </c>
      <c r="BY25">
        <v>1.1121331927739251</v>
      </c>
      <c r="BZ25">
        <v>-102.7789448589362</v>
      </c>
      <c r="CA25">
        <v>0.94499211293587648</v>
      </c>
      <c r="CB25">
        <v>0.99763854697704879</v>
      </c>
      <c r="CC25">
        <v>-1.1297125027808681E-2</v>
      </c>
      <c r="CD25">
        <v>289.99999999999989</v>
      </c>
      <c r="CE25">
        <v>964.37</v>
      </c>
      <c r="CF25">
        <v>665</v>
      </c>
      <c r="CG25">
        <v>10361.1</v>
      </c>
      <c r="CH25">
        <v>975.77</v>
      </c>
      <c r="CI25">
        <v>-11.4</v>
      </c>
      <c r="CW25">
        <f t="shared" si="42"/>
        <v>1800.05</v>
      </c>
      <c r="CX25">
        <f t="shared" si="43"/>
        <v>1513.2266998222999</v>
      </c>
      <c r="CY25">
        <f t="shared" si="44"/>
        <v>0.84065814828604757</v>
      </c>
      <c r="CZ25">
        <f t="shared" si="45"/>
        <v>0.19131629657209517</v>
      </c>
      <c r="DA25">
        <v>6</v>
      </c>
      <c r="DB25">
        <v>0.5</v>
      </c>
      <c r="DC25" t="s">
        <v>418</v>
      </c>
      <c r="DD25">
        <v>2</v>
      </c>
      <c r="DE25">
        <v>1693322757.0999999</v>
      </c>
      <c r="DF25">
        <v>344.60899999999998</v>
      </c>
      <c r="DG25">
        <v>400.03100000000001</v>
      </c>
      <c r="DH25">
        <v>28.892499999999998</v>
      </c>
      <c r="DI25">
        <v>22.1464</v>
      </c>
      <c r="DJ25">
        <v>343.99200000000002</v>
      </c>
      <c r="DK25">
        <v>28.017600000000002</v>
      </c>
      <c r="DL25">
        <v>499.75900000000001</v>
      </c>
      <c r="DM25">
        <v>99.147000000000006</v>
      </c>
      <c r="DN25">
        <v>0.10045999999999999</v>
      </c>
      <c r="DO25">
        <v>30.555900000000001</v>
      </c>
      <c r="DP25">
        <v>30.007999999999999</v>
      </c>
      <c r="DQ25">
        <v>999.9</v>
      </c>
      <c r="DR25">
        <v>0</v>
      </c>
      <c r="DS25">
        <v>0</v>
      </c>
      <c r="DT25">
        <v>9945</v>
      </c>
      <c r="DU25">
        <v>0</v>
      </c>
      <c r="DV25">
        <v>1672.97</v>
      </c>
      <c r="DW25">
        <v>-55.4221</v>
      </c>
      <c r="DX25">
        <v>354.86200000000002</v>
      </c>
      <c r="DY25">
        <v>409.09100000000001</v>
      </c>
      <c r="DZ25">
        <v>6.7461200000000003</v>
      </c>
      <c r="EA25">
        <v>400.03100000000001</v>
      </c>
      <c r="EB25">
        <v>22.1464</v>
      </c>
      <c r="EC25">
        <v>2.8645999999999998</v>
      </c>
      <c r="ED25">
        <v>2.1957499999999999</v>
      </c>
      <c r="EE25">
        <v>23.261199999999999</v>
      </c>
      <c r="EF25">
        <v>18.9313</v>
      </c>
      <c r="EG25">
        <v>1800.05</v>
      </c>
      <c r="EH25">
        <v>0.97799999999999998</v>
      </c>
      <c r="EI25">
        <v>2.1999700000000001E-2</v>
      </c>
      <c r="EJ25">
        <v>0</v>
      </c>
      <c r="EK25">
        <v>750.27300000000002</v>
      </c>
      <c r="EL25">
        <v>5.0002700000000004</v>
      </c>
      <c r="EM25">
        <v>14315</v>
      </c>
      <c r="EN25">
        <v>16249</v>
      </c>
      <c r="EO25">
        <v>46.875</v>
      </c>
      <c r="EP25">
        <v>49.311999999999998</v>
      </c>
      <c r="EQ25">
        <v>48</v>
      </c>
      <c r="ER25">
        <v>48.311999999999998</v>
      </c>
      <c r="ES25">
        <v>48.75</v>
      </c>
      <c r="ET25">
        <v>1755.56</v>
      </c>
      <c r="EU25">
        <v>39.49</v>
      </c>
      <c r="EV25">
        <v>0</v>
      </c>
      <c r="EW25">
        <v>183.79999995231631</v>
      </c>
      <c r="EX25">
        <v>0</v>
      </c>
      <c r="EY25">
        <v>749.32600000000002</v>
      </c>
      <c r="EZ25">
        <v>9.9169231000842188</v>
      </c>
      <c r="FA25">
        <v>193.853846445583</v>
      </c>
      <c r="FB25">
        <v>14291.62</v>
      </c>
      <c r="FC25">
        <v>15</v>
      </c>
      <c r="FD25">
        <v>1693322643.5999999</v>
      </c>
      <c r="FE25" t="s">
        <v>464</v>
      </c>
      <c r="FF25">
        <v>1693322643.5999999</v>
      </c>
      <c r="FG25">
        <v>1693322643.5999999</v>
      </c>
      <c r="FH25">
        <v>11</v>
      </c>
      <c r="FI25">
        <v>-7.3999999999999996E-2</v>
      </c>
      <c r="FJ25">
        <v>8.9999999999999993E-3</v>
      </c>
      <c r="FK25">
        <v>0.622</v>
      </c>
      <c r="FL25">
        <v>0.48499999999999999</v>
      </c>
      <c r="FM25">
        <v>400</v>
      </c>
      <c r="FN25">
        <v>22</v>
      </c>
      <c r="FO25">
        <v>0.12</v>
      </c>
      <c r="FP25">
        <v>0.02</v>
      </c>
      <c r="FQ25">
        <v>44.036518755218097</v>
      </c>
      <c r="FR25">
        <v>0.67071242480635673</v>
      </c>
      <c r="FS25">
        <v>9.2654800882055757E-2</v>
      </c>
      <c r="FT25">
        <v>1</v>
      </c>
      <c r="FU25">
        <v>0.42922615294539479</v>
      </c>
      <c r="FV25">
        <v>-1.3971900898912819E-3</v>
      </c>
      <c r="FW25">
        <v>7.7809034034701159E-4</v>
      </c>
      <c r="FX25">
        <v>1</v>
      </c>
      <c r="FY25">
        <v>2</v>
      </c>
      <c r="FZ25">
        <v>2</v>
      </c>
      <c r="GA25" t="s">
        <v>429</v>
      </c>
      <c r="GB25">
        <v>3.1335299999999999</v>
      </c>
      <c r="GC25">
        <v>2.8651300000000002</v>
      </c>
      <c r="GD25">
        <v>8.2238000000000006E-2</v>
      </c>
      <c r="GE25">
        <v>9.4975100000000007E-2</v>
      </c>
      <c r="GF25">
        <v>0.129662</v>
      </c>
      <c r="GG25">
        <v>0.11264200000000001</v>
      </c>
      <c r="GH25">
        <v>27845</v>
      </c>
      <c r="GI25">
        <v>21082.6</v>
      </c>
      <c r="GJ25">
        <v>29250.799999999999</v>
      </c>
      <c r="GK25">
        <v>21712</v>
      </c>
      <c r="GL25">
        <v>34104.199999999997</v>
      </c>
      <c r="GM25">
        <v>26504.799999999999</v>
      </c>
      <c r="GN25">
        <v>40602.9</v>
      </c>
      <c r="GO25">
        <v>30846.2</v>
      </c>
      <c r="GP25">
        <v>2.0350000000000001</v>
      </c>
      <c r="GQ25">
        <v>1.8688</v>
      </c>
      <c r="GR25">
        <v>3.8981399999999999E-2</v>
      </c>
      <c r="GS25">
        <v>0</v>
      </c>
      <c r="GT25">
        <v>29.3734</v>
      </c>
      <c r="GU25">
        <v>999.9</v>
      </c>
      <c r="GV25">
        <v>55.7</v>
      </c>
      <c r="GW25">
        <v>32.200000000000003</v>
      </c>
      <c r="GX25">
        <v>27.132400000000001</v>
      </c>
      <c r="GY25">
        <v>62.024700000000003</v>
      </c>
      <c r="GZ25">
        <v>11.8429</v>
      </c>
      <c r="HA25">
        <v>1</v>
      </c>
      <c r="HB25">
        <v>0.24896299999999999</v>
      </c>
      <c r="HC25">
        <v>2.20973</v>
      </c>
      <c r="HD25">
        <v>20.2714</v>
      </c>
      <c r="HE25">
        <v>5.2340600000000004</v>
      </c>
      <c r="HF25">
        <v>11.974</v>
      </c>
      <c r="HG25">
        <v>4.9756</v>
      </c>
      <c r="HH25">
        <v>3.2839999999999998</v>
      </c>
      <c r="HI25">
        <v>9999</v>
      </c>
      <c r="HJ25">
        <v>9999</v>
      </c>
      <c r="HK25">
        <v>9999</v>
      </c>
      <c r="HL25">
        <v>999.9</v>
      </c>
      <c r="HM25">
        <v>1.86124</v>
      </c>
      <c r="HN25">
        <v>1.86287</v>
      </c>
      <c r="HO25">
        <v>1.86829</v>
      </c>
      <c r="HP25">
        <v>1.8588899999999999</v>
      </c>
      <c r="HQ25">
        <v>1.8573</v>
      </c>
      <c r="HR25">
        <v>1.8610100000000001</v>
      </c>
      <c r="HS25">
        <v>1.86493</v>
      </c>
      <c r="HT25">
        <v>1.86693</v>
      </c>
      <c r="HU25">
        <v>5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0.61699999999999999</v>
      </c>
      <c r="II25">
        <v>0.87490000000000001</v>
      </c>
      <c r="IJ25">
        <v>0.41014069021078409</v>
      </c>
      <c r="IK25">
        <v>1.118558698776514E-3</v>
      </c>
      <c r="IL25">
        <v>-1.6939696309573479E-6</v>
      </c>
      <c r="IM25">
        <v>5.4698917449866148E-10</v>
      </c>
      <c r="IN25">
        <v>-3.3376505104159793E-2</v>
      </c>
      <c r="IO25">
        <v>-7.6058941998734366E-3</v>
      </c>
      <c r="IP25">
        <v>1.6984902717538061E-3</v>
      </c>
      <c r="IQ25">
        <v>-9.6352527008986976E-6</v>
      </c>
      <c r="IR25">
        <v>2</v>
      </c>
      <c r="IS25">
        <v>2021</v>
      </c>
      <c r="IT25">
        <v>2</v>
      </c>
      <c r="IU25">
        <v>40</v>
      </c>
      <c r="IV25">
        <v>1.9</v>
      </c>
      <c r="IW25">
        <v>1.9</v>
      </c>
      <c r="IX25">
        <v>1.03149</v>
      </c>
      <c r="IY25">
        <v>2.4841299999999999</v>
      </c>
      <c r="IZ25">
        <v>1.34399</v>
      </c>
      <c r="JA25">
        <v>2.2485400000000002</v>
      </c>
      <c r="JB25">
        <v>1.5918000000000001</v>
      </c>
      <c r="JC25">
        <v>2.3706100000000001</v>
      </c>
      <c r="JD25">
        <v>37.409799999999997</v>
      </c>
      <c r="JE25">
        <v>23.851099999999999</v>
      </c>
      <c r="JF25">
        <v>18</v>
      </c>
      <c r="JG25">
        <v>505.44</v>
      </c>
      <c r="JH25">
        <v>445.61599999999999</v>
      </c>
      <c r="JI25">
        <v>26.478300000000001</v>
      </c>
      <c r="JJ25">
        <v>30.827000000000002</v>
      </c>
      <c r="JK25">
        <v>30.0001</v>
      </c>
      <c r="JL25">
        <v>30.627800000000001</v>
      </c>
      <c r="JM25">
        <v>30.575199999999999</v>
      </c>
      <c r="JN25">
        <v>20.7333</v>
      </c>
      <c r="JO25">
        <v>27.6235</v>
      </c>
      <c r="JP25">
        <v>64.422399999999996</v>
      </c>
      <c r="JQ25">
        <v>26.482099999999999</v>
      </c>
      <c r="JR25">
        <v>400</v>
      </c>
      <c r="JS25">
        <v>22.204699999999999</v>
      </c>
      <c r="JT25">
        <v>99.744600000000005</v>
      </c>
      <c r="JU25">
        <v>97.460400000000007</v>
      </c>
    </row>
    <row r="26" spans="1:281" x14ac:dyDescent="0.25">
      <c r="A26">
        <v>10</v>
      </c>
      <c r="B26">
        <v>1693322857.0999999</v>
      </c>
      <c r="C26">
        <v>1095.599999904633</v>
      </c>
      <c r="D26" t="s">
        <v>465</v>
      </c>
      <c r="E26" t="s">
        <v>466</v>
      </c>
      <c r="F26" t="s">
        <v>413</v>
      </c>
      <c r="G26" t="s">
        <v>414</v>
      </c>
      <c r="H26" t="s">
        <v>31</v>
      </c>
      <c r="I26" t="s">
        <v>31</v>
      </c>
      <c r="J26">
        <v>1693322857.0999999</v>
      </c>
      <c r="K26">
        <f t="shared" si="0"/>
        <v>5.7957249656848337E-3</v>
      </c>
      <c r="L26">
        <f t="shared" si="1"/>
        <v>5.7957249656848333</v>
      </c>
      <c r="M26">
        <f t="shared" si="2"/>
        <v>46.845345559790054</v>
      </c>
      <c r="N26">
        <f t="shared" si="3"/>
        <v>440.72</v>
      </c>
      <c r="O26">
        <f t="shared" si="4"/>
        <v>248.65957625813374</v>
      </c>
      <c r="P26">
        <f t="shared" si="5"/>
        <v>24.679904488429337</v>
      </c>
      <c r="Q26">
        <f t="shared" si="6"/>
        <v>43.742242586504005</v>
      </c>
      <c r="R26">
        <f t="shared" si="7"/>
        <v>0.43557399616458214</v>
      </c>
      <c r="S26">
        <f t="shared" si="8"/>
        <v>2.9242454227901269</v>
      </c>
      <c r="T26">
        <f t="shared" si="9"/>
        <v>0.40247537067201516</v>
      </c>
      <c r="U26">
        <f t="shared" si="10"/>
        <v>0.25431097057201402</v>
      </c>
      <c r="V26">
        <f t="shared" si="11"/>
        <v>344.35609964457626</v>
      </c>
      <c r="W26">
        <f t="shared" si="12"/>
        <v>31.005278327673285</v>
      </c>
      <c r="X26">
        <f t="shared" si="13"/>
        <v>29.9634</v>
      </c>
      <c r="Y26">
        <f t="shared" si="14"/>
        <v>4.2515013402791926</v>
      </c>
      <c r="Z26">
        <f t="shared" si="15"/>
        <v>65.608037046957335</v>
      </c>
      <c r="AA26">
        <f t="shared" si="16"/>
        <v>2.8735572604215402</v>
      </c>
      <c r="AB26">
        <f t="shared" si="17"/>
        <v>4.3798860471391068</v>
      </c>
      <c r="AC26">
        <f t="shared" si="18"/>
        <v>1.3779440798576523</v>
      </c>
      <c r="AD26">
        <f t="shared" si="19"/>
        <v>-255.59147098670115</v>
      </c>
      <c r="AE26">
        <f t="shared" si="20"/>
        <v>81.789815698319558</v>
      </c>
      <c r="AF26">
        <f t="shared" si="21"/>
        <v>6.2327900452017806</v>
      </c>
      <c r="AG26">
        <f t="shared" si="22"/>
        <v>176.78723440139646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52100.692249686384</v>
      </c>
      <c r="AM26" t="s">
        <v>415</v>
      </c>
      <c r="AN26">
        <v>10366.9</v>
      </c>
      <c r="AO26">
        <v>993.59653846153856</v>
      </c>
      <c r="AP26">
        <v>3431.87</v>
      </c>
      <c r="AQ26">
        <f t="shared" si="26"/>
        <v>0.71047955241266758</v>
      </c>
      <c r="AR26">
        <v>-3.9894345373445681</v>
      </c>
      <c r="AS26" t="s">
        <v>467</v>
      </c>
      <c r="AT26">
        <v>10395.6</v>
      </c>
      <c r="AU26">
        <v>776.34507692307693</v>
      </c>
      <c r="AV26">
        <v>1144.227475420651</v>
      </c>
      <c r="AW26">
        <f t="shared" si="27"/>
        <v>0.32151159310549671</v>
      </c>
      <c r="AX26">
        <v>0.5</v>
      </c>
      <c r="AY26">
        <f t="shared" si="28"/>
        <v>1513.1258998222881</v>
      </c>
      <c r="AZ26">
        <f t="shared" si="29"/>
        <v>46.845345559790054</v>
      </c>
      <c r="BA26">
        <f t="shared" si="30"/>
        <v>243.24375931052603</v>
      </c>
      <c r="BB26">
        <f t="shared" si="31"/>
        <v>3.359586938740855E-2</v>
      </c>
      <c r="BC26">
        <f t="shared" si="32"/>
        <v>1.9992899783658364</v>
      </c>
      <c r="BD26">
        <f t="shared" si="33"/>
        <v>629.32246318767136</v>
      </c>
      <c r="BE26" t="s">
        <v>468</v>
      </c>
      <c r="BF26">
        <v>605.12</v>
      </c>
      <c r="BG26">
        <f t="shared" si="34"/>
        <v>605.12</v>
      </c>
      <c r="BH26">
        <f t="shared" si="35"/>
        <v>0.47115410790363998</v>
      </c>
      <c r="BI26">
        <f t="shared" si="36"/>
        <v>0.68239157361067082</v>
      </c>
      <c r="BJ26">
        <f t="shared" si="37"/>
        <v>0.80928363830524419</v>
      </c>
      <c r="BK26">
        <f t="shared" si="38"/>
        <v>2.4422765065680552</v>
      </c>
      <c r="BL26">
        <f t="shared" si="39"/>
        <v>0.93822229567963633</v>
      </c>
      <c r="BM26">
        <f t="shared" si="40"/>
        <v>0.5318882044823009</v>
      </c>
      <c r="BN26">
        <f t="shared" si="41"/>
        <v>0.4681117955176991</v>
      </c>
      <c r="BO26">
        <v>1971</v>
      </c>
      <c r="BP26">
        <v>290.00000000000011</v>
      </c>
      <c r="BQ26">
        <v>1038.92</v>
      </c>
      <c r="BR26">
        <v>125</v>
      </c>
      <c r="BS26">
        <v>10395.6</v>
      </c>
      <c r="BT26">
        <v>1032.6199999999999</v>
      </c>
      <c r="BU26">
        <v>6.3</v>
      </c>
      <c r="BV26">
        <v>300.00000000000011</v>
      </c>
      <c r="BW26">
        <v>38.4</v>
      </c>
      <c r="BX26">
        <v>1144.227475420651</v>
      </c>
      <c r="BY26">
        <v>1.3536628280896319</v>
      </c>
      <c r="BZ26">
        <v>-116.01855686660051</v>
      </c>
      <c r="CA26">
        <v>1.1501670179463011</v>
      </c>
      <c r="CB26">
        <v>0.99725570079261394</v>
      </c>
      <c r="CC26">
        <v>-1.1296563070077859E-2</v>
      </c>
      <c r="CD26">
        <v>289.99999999999989</v>
      </c>
      <c r="CE26">
        <v>1019.57</v>
      </c>
      <c r="CF26">
        <v>645</v>
      </c>
      <c r="CG26">
        <v>10362.6</v>
      </c>
      <c r="CH26">
        <v>1032.27</v>
      </c>
      <c r="CI26">
        <v>-12.7</v>
      </c>
      <c r="CW26">
        <f t="shared" si="42"/>
        <v>1799.93</v>
      </c>
      <c r="CX26">
        <f t="shared" si="43"/>
        <v>1513.1258998222881</v>
      </c>
      <c r="CY26">
        <f t="shared" si="44"/>
        <v>0.84065819216429982</v>
      </c>
      <c r="CZ26">
        <f t="shared" si="45"/>
        <v>0.19131638432859957</v>
      </c>
      <c r="DA26">
        <v>6</v>
      </c>
      <c r="DB26">
        <v>0.5</v>
      </c>
      <c r="DC26" t="s">
        <v>418</v>
      </c>
      <c r="DD26">
        <v>2</v>
      </c>
      <c r="DE26">
        <v>1693322857.0999999</v>
      </c>
      <c r="DF26">
        <v>440.72</v>
      </c>
      <c r="DG26">
        <v>500.01</v>
      </c>
      <c r="DH26">
        <v>28.952200000000001</v>
      </c>
      <c r="DI26">
        <v>22.197500000000002</v>
      </c>
      <c r="DJ26">
        <v>439.98099999999999</v>
      </c>
      <c r="DK26">
        <v>28.078600000000002</v>
      </c>
      <c r="DL26">
        <v>499.91199999999998</v>
      </c>
      <c r="DM26">
        <v>99.152600000000007</v>
      </c>
      <c r="DN26">
        <v>9.9175700000000006E-2</v>
      </c>
      <c r="DO26">
        <v>30.482199999999999</v>
      </c>
      <c r="DP26">
        <v>29.9634</v>
      </c>
      <c r="DQ26">
        <v>999.9</v>
      </c>
      <c r="DR26">
        <v>0</v>
      </c>
      <c r="DS26">
        <v>0</v>
      </c>
      <c r="DT26">
        <v>10055</v>
      </c>
      <c r="DU26">
        <v>0</v>
      </c>
      <c r="DV26">
        <v>1680.9</v>
      </c>
      <c r="DW26">
        <v>-59.289700000000003</v>
      </c>
      <c r="DX26">
        <v>453.86099999999999</v>
      </c>
      <c r="DY26">
        <v>511.36099999999999</v>
      </c>
      <c r="DZ26">
        <v>6.7547300000000003</v>
      </c>
      <c r="EA26">
        <v>500.01</v>
      </c>
      <c r="EB26">
        <v>22.197500000000002</v>
      </c>
      <c r="EC26">
        <v>2.8706900000000002</v>
      </c>
      <c r="ED26">
        <v>2.2009400000000001</v>
      </c>
      <c r="EE26">
        <v>23.296299999999999</v>
      </c>
      <c r="EF26">
        <v>18.969200000000001</v>
      </c>
      <c r="EG26">
        <v>1799.93</v>
      </c>
      <c r="EH26">
        <v>0.97799999999999998</v>
      </c>
      <c r="EI26">
        <v>2.1999700000000001E-2</v>
      </c>
      <c r="EJ26">
        <v>0</v>
      </c>
      <c r="EK26">
        <v>777.11500000000001</v>
      </c>
      <c r="EL26">
        <v>5.0002700000000004</v>
      </c>
      <c r="EM26">
        <v>14798</v>
      </c>
      <c r="EN26">
        <v>16248</v>
      </c>
      <c r="EO26">
        <v>46.936999999999998</v>
      </c>
      <c r="EP26">
        <v>49.375</v>
      </c>
      <c r="EQ26">
        <v>48.061999999999998</v>
      </c>
      <c r="ER26">
        <v>48.375</v>
      </c>
      <c r="ES26">
        <v>48.811999999999998</v>
      </c>
      <c r="ET26">
        <v>1755.44</v>
      </c>
      <c r="EU26">
        <v>39.49</v>
      </c>
      <c r="EV26">
        <v>0</v>
      </c>
      <c r="EW26">
        <v>97.799999952316284</v>
      </c>
      <c r="EX26">
        <v>0</v>
      </c>
      <c r="EY26">
        <v>776.34507692307693</v>
      </c>
      <c r="EZ26">
        <v>6.866871798824655</v>
      </c>
      <c r="FA26">
        <v>120.0068375359638</v>
      </c>
      <c r="FB26">
        <v>14785.64615384615</v>
      </c>
      <c r="FC26">
        <v>15</v>
      </c>
      <c r="FD26">
        <v>1693322829.5999999</v>
      </c>
      <c r="FE26" t="s">
        <v>469</v>
      </c>
      <c r="FF26">
        <v>1693322829.5999999</v>
      </c>
      <c r="FG26">
        <v>1693322827.5999999</v>
      </c>
      <c r="FH26">
        <v>12</v>
      </c>
      <c r="FI26">
        <v>0.11799999999999999</v>
      </c>
      <c r="FJ26">
        <v>-5.0000000000000001E-3</v>
      </c>
      <c r="FK26">
        <v>0.73299999999999998</v>
      </c>
      <c r="FL26">
        <v>0.48799999999999999</v>
      </c>
      <c r="FM26">
        <v>500</v>
      </c>
      <c r="FN26">
        <v>22</v>
      </c>
      <c r="FO26">
        <v>7.0000000000000007E-2</v>
      </c>
      <c r="FP26">
        <v>0.03</v>
      </c>
      <c r="FQ26">
        <v>46.84323444501819</v>
      </c>
      <c r="FR26">
        <v>-0.63460949447672388</v>
      </c>
      <c r="FS26">
        <v>7.8457297306458881E-2</v>
      </c>
      <c r="FT26">
        <v>1</v>
      </c>
      <c r="FU26">
        <v>0.43706003054799009</v>
      </c>
      <c r="FV26">
        <v>4.5556423954393757E-2</v>
      </c>
      <c r="FW26">
        <v>5.1797609567033149E-3</v>
      </c>
      <c r="FX26">
        <v>1</v>
      </c>
      <c r="FY26">
        <v>2</v>
      </c>
      <c r="FZ26">
        <v>2</v>
      </c>
      <c r="GA26" t="s">
        <v>429</v>
      </c>
      <c r="GB26">
        <v>3.1337199999999998</v>
      </c>
      <c r="GC26">
        <v>2.8648099999999999</v>
      </c>
      <c r="GD26">
        <v>9.95616E-2</v>
      </c>
      <c r="GE26">
        <v>0.112278</v>
      </c>
      <c r="GF26">
        <v>0.12984799999999999</v>
      </c>
      <c r="GG26">
        <v>0.112816</v>
      </c>
      <c r="GH26">
        <v>27315.1</v>
      </c>
      <c r="GI26">
        <v>20678.400000000001</v>
      </c>
      <c r="GJ26">
        <v>29246.6</v>
      </c>
      <c r="GK26">
        <v>21711.1</v>
      </c>
      <c r="GL26">
        <v>34094.400000000001</v>
      </c>
      <c r="GM26">
        <v>26499.4</v>
      </c>
      <c r="GN26">
        <v>40597.1</v>
      </c>
      <c r="GO26">
        <v>30844.3</v>
      </c>
      <c r="GP26">
        <v>2.0337000000000001</v>
      </c>
      <c r="GQ26">
        <v>1.8678999999999999</v>
      </c>
      <c r="GR26">
        <v>3.29763E-2</v>
      </c>
      <c r="GS26">
        <v>0</v>
      </c>
      <c r="GT26">
        <v>29.426500000000001</v>
      </c>
      <c r="GU26">
        <v>999.9</v>
      </c>
      <c r="GV26">
        <v>55.6</v>
      </c>
      <c r="GW26">
        <v>32.200000000000003</v>
      </c>
      <c r="GX26">
        <v>27.080400000000001</v>
      </c>
      <c r="GY26">
        <v>61.654699999999998</v>
      </c>
      <c r="GZ26">
        <v>11.754799999999999</v>
      </c>
      <c r="HA26">
        <v>1</v>
      </c>
      <c r="HB26">
        <v>0.252917</v>
      </c>
      <c r="HC26">
        <v>1.7818000000000001</v>
      </c>
      <c r="HD26">
        <v>20.276900000000001</v>
      </c>
      <c r="HE26">
        <v>5.2352600000000002</v>
      </c>
      <c r="HF26">
        <v>11.974</v>
      </c>
      <c r="HG26">
        <v>4.9753999999999996</v>
      </c>
      <c r="HH26">
        <v>3.2839999999999998</v>
      </c>
      <c r="HI26">
        <v>9999</v>
      </c>
      <c r="HJ26">
        <v>9999</v>
      </c>
      <c r="HK26">
        <v>9999</v>
      </c>
      <c r="HL26">
        <v>999.9</v>
      </c>
      <c r="HM26">
        <v>1.86127</v>
      </c>
      <c r="HN26">
        <v>1.8629500000000001</v>
      </c>
      <c r="HO26">
        <v>1.86829</v>
      </c>
      <c r="HP26">
        <v>1.8588899999999999</v>
      </c>
      <c r="HQ26">
        <v>1.8573</v>
      </c>
      <c r="HR26">
        <v>1.8609899999999999</v>
      </c>
      <c r="HS26">
        <v>1.86493</v>
      </c>
      <c r="HT26">
        <v>1.86693</v>
      </c>
      <c r="HU26">
        <v>5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0.73899999999999999</v>
      </c>
      <c r="II26">
        <v>0.87360000000000004</v>
      </c>
      <c r="IJ26">
        <v>0.52853380699310615</v>
      </c>
      <c r="IK26">
        <v>1.118558698776514E-3</v>
      </c>
      <c r="IL26">
        <v>-1.6939696309573479E-6</v>
      </c>
      <c r="IM26">
        <v>5.4698917449866148E-10</v>
      </c>
      <c r="IN26">
        <v>-3.8567575888704297E-2</v>
      </c>
      <c r="IO26">
        <v>-7.6058941998734366E-3</v>
      </c>
      <c r="IP26">
        <v>1.6984902717538061E-3</v>
      </c>
      <c r="IQ26">
        <v>-9.6352527008986976E-6</v>
      </c>
      <c r="IR26">
        <v>2</v>
      </c>
      <c r="IS26">
        <v>2021</v>
      </c>
      <c r="IT26">
        <v>2</v>
      </c>
      <c r="IU26">
        <v>40</v>
      </c>
      <c r="IV26">
        <v>0.5</v>
      </c>
      <c r="IW26">
        <v>0.5</v>
      </c>
      <c r="IX26">
        <v>1.2341299999999999</v>
      </c>
      <c r="IY26">
        <v>2.47437</v>
      </c>
      <c r="IZ26">
        <v>1.34399</v>
      </c>
      <c r="JA26">
        <v>2.2485400000000002</v>
      </c>
      <c r="JB26">
        <v>1.5918000000000001</v>
      </c>
      <c r="JC26">
        <v>2.4157700000000002</v>
      </c>
      <c r="JD26">
        <v>37.433799999999998</v>
      </c>
      <c r="JE26">
        <v>23.851099999999999</v>
      </c>
      <c r="JF26">
        <v>18</v>
      </c>
      <c r="JG26">
        <v>505.13799999999998</v>
      </c>
      <c r="JH26">
        <v>445.49700000000001</v>
      </c>
      <c r="JI26">
        <v>26.474599999999999</v>
      </c>
      <c r="JJ26">
        <v>30.894200000000001</v>
      </c>
      <c r="JK26">
        <v>29.999700000000001</v>
      </c>
      <c r="JL26">
        <v>30.688800000000001</v>
      </c>
      <c r="JM26">
        <v>30.632000000000001</v>
      </c>
      <c r="JN26">
        <v>24.7804</v>
      </c>
      <c r="JO26">
        <v>27.5535</v>
      </c>
      <c r="JP26">
        <v>64.267499999999998</v>
      </c>
      <c r="JQ26">
        <v>26.473199999999999</v>
      </c>
      <c r="JR26">
        <v>500</v>
      </c>
      <c r="JS26">
        <v>22.1633</v>
      </c>
      <c r="JT26">
        <v>99.7303</v>
      </c>
      <c r="JU26">
        <v>97.454999999999998</v>
      </c>
    </row>
    <row r="27" spans="1:281" x14ac:dyDescent="0.25">
      <c r="A27">
        <v>11</v>
      </c>
      <c r="B27">
        <v>1693322961.5999999</v>
      </c>
      <c r="C27">
        <v>1200.099999904633</v>
      </c>
      <c r="D27" t="s">
        <v>470</v>
      </c>
      <c r="E27" t="s">
        <v>471</v>
      </c>
      <c r="F27" t="s">
        <v>413</v>
      </c>
      <c r="G27" t="s">
        <v>414</v>
      </c>
      <c r="H27" t="s">
        <v>31</v>
      </c>
      <c r="I27" t="s">
        <v>31</v>
      </c>
      <c r="J27">
        <v>1693322961.5999999</v>
      </c>
      <c r="K27">
        <f t="shared" si="0"/>
        <v>5.6294836478373404E-3</v>
      </c>
      <c r="L27">
        <f t="shared" si="1"/>
        <v>5.6294836478373407</v>
      </c>
      <c r="M27">
        <f t="shared" si="2"/>
        <v>47.938242675026324</v>
      </c>
      <c r="N27">
        <f t="shared" si="3"/>
        <v>638.01099999999997</v>
      </c>
      <c r="O27">
        <f t="shared" si="4"/>
        <v>427.25310232512084</v>
      </c>
      <c r="P27">
        <f t="shared" si="5"/>
        <v>42.409889262510632</v>
      </c>
      <c r="Q27">
        <f t="shared" si="6"/>
        <v>63.330086337614794</v>
      </c>
      <c r="R27">
        <f t="shared" si="7"/>
        <v>0.41249609175878182</v>
      </c>
      <c r="S27">
        <f t="shared" si="8"/>
        <v>2.9257237842271895</v>
      </c>
      <c r="T27">
        <f t="shared" si="9"/>
        <v>0.38269715548251432</v>
      </c>
      <c r="U27">
        <f t="shared" si="10"/>
        <v>0.2416834038453749</v>
      </c>
      <c r="V27">
        <f t="shared" si="11"/>
        <v>344.34659964456642</v>
      </c>
      <c r="W27">
        <f t="shared" si="12"/>
        <v>31.106935239106164</v>
      </c>
      <c r="X27">
        <f t="shared" si="13"/>
        <v>30.049499999999998</v>
      </c>
      <c r="Y27">
        <f t="shared" si="14"/>
        <v>4.2725782695517216</v>
      </c>
      <c r="Z27">
        <f t="shared" si="15"/>
        <v>65.19139432138671</v>
      </c>
      <c r="AA27">
        <f t="shared" si="16"/>
        <v>2.8649322408403202</v>
      </c>
      <c r="AB27">
        <f t="shared" si="17"/>
        <v>4.3946478989489099</v>
      </c>
      <c r="AC27">
        <f t="shared" si="18"/>
        <v>1.4076460287114014</v>
      </c>
      <c r="AD27">
        <f t="shared" si="19"/>
        <v>-248.2602288696267</v>
      </c>
      <c r="AE27">
        <f t="shared" si="20"/>
        <v>77.525091552058768</v>
      </c>
      <c r="AF27">
        <f t="shared" si="21"/>
        <v>5.9090448281099794</v>
      </c>
      <c r="AG27">
        <f t="shared" si="22"/>
        <v>179.52050715510848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52132.910071777129</v>
      </c>
      <c r="AM27" t="s">
        <v>415</v>
      </c>
      <c r="AN27">
        <v>10366.9</v>
      </c>
      <c r="AO27">
        <v>993.59653846153856</v>
      </c>
      <c r="AP27">
        <v>3431.87</v>
      </c>
      <c r="AQ27">
        <f t="shared" si="26"/>
        <v>0.71047955241266758</v>
      </c>
      <c r="AR27">
        <v>-3.9894345373445681</v>
      </c>
      <c r="AS27" t="s">
        <v>472</v>
      </c>
      <c r="AT27">
        <v>10393.5</v>
      </c>
      <c r="AU27">
        <v>788.34631999999999</v>
      </c>
      <c r="AV27">
        <v>1175.8998600404329</v>
      </c>
      <c r="AW27">
        <f t="shared" si="27"/>
        <v>0.32958039473455425</v>
      </c>
      <c r="AX27">
        <v>0.5</v>
      </c>
      <c r="AY27">
        <f t="shared" si="28"/>
        <v>1513.0838998222832</v>
      </c>
      <c r="AZ27">
        <f t="shared" si="29"/>
        <v>47.938242675026324</v>
      </c>
      <c r="BA27">
        <f t="shared" si="30"/>
        <v>249.34139448496342</v>
      </c>
      <c r="BB27">
        <f t="shared" si="31"/>
        <v>3.4319099699937308E-2</v>
      </c>
      <c r="BC27">
        <f t="shared" si="32"/>
        <v>1.9185053222831374</v>
      </c>
      <c r="BD27">
        <f t="shared" si="33"/>
        <v>638.7854072367337</v>
      </c>
      <c r="BE27" t="s">
        <v>473</v>
      </c>
      <c r="BF27">
        <v>610.25</v>
      </c>
      <c r="BG27">
        <f t="shared" si="34"/>
        <v>610.25</v>
      </c>
      <c r="BH27">
        <f t="shared" si="35"/>
        <v>0.48103574059527765</v>
      </c>
      <c r="BI27">
        <f t="shared" si="36"/>
        <v>0.68514741612899965</v>
      </c>
      <c r="BJ27">
        <f t="shared" si="37"/>
        <v>0.79953010680373937</v>
      </c>
      <c r="BK27">
        <f t="shared" si="38"/>
        <v>2.125872072345723</v>
      </c>
      <c r="BL27">
        <f t="shared" si="39"/>
        <v>0.92523261871378948</v>
      </c>
      <c r="BM27">
        <f t="shared" si="40"/>
        <v>0.53036489178096502</v>
      </c>
      <c r="BN27">
        <f t="shared" si="41"/>
        <v>0.46963510821903498</v>
      </c>
      <c r="BO27">
        <v>1973</v>
      </c>
      <c r="BP27">
        <v>290.00000000000011</v>
      </c>
      <c r="BQ27">
        <v>1065.48</v>
      </c>
      <c r="BR27">
        <v>135</v>
      </c>
      <c r="BS27">
        <v>10393.5</v>
      </c>
      <c r="BT27">
        <v>1058.8599999999999</v>
      </c>
      <c r="BU27">
        <v>6.62</v>
      </c>
      <c r="BV27">
        <v>300.00000000000011</v>
      </c>
      <c r="BW27">
        <v>38.4</v>
      </c>
      <c r="BX27">
        <v>1175.8998600404329</v>
      </c>
      <c r="BY27">
        <v>1.501628797327887</v>
      </c>
      <c r="BZ27">
        <v>-121.640486739221</v>
      </c>
      <c r="CA27">
        <v>1.275872796041317</v>
      </c>
      <c r="CB27">
        <v>0.99692899364842213</v>
      </c>
      <c r="CC27">
        <v>-1.1296760845383769E-2</v>
      </c>
      <c r="CD27">
        <v>289.99999999999989</v>
      </c>
      <c r="CE27">
        <v>1045.67</v>
      </c>
      <c r="CF27">
        <v>655</v>
      </c>
      <c r="CG27">
        <v>10361.4</v>
      </c>
      <c r="CH27">
        <v>1058.5</v>
      </c>
      <c r="CI27">
        <v>-12.83</v>
      </c>
      <c r="CW27">
        <f t="shared" si="42"/>
        <v>1799.88</v>
      </c>
      <c r="CX27">
        <f t="shared" si="43"/>
        <v>1513.0838998222832</v>
      </c>
      <c r="CY27">
        <f t="shared" si="44"/>
        <v>0.84065821044863165</v>
      </c>
      <c r="CZ27">
        <f t="shared" si="45"/>
        <v>0.19131642089726336</v>
      </c>
      <c r="DA27">
        <v>6</v>
      </c>
      <c r="DB27">
        <v>0.5</v>
      </c>
      <c r="DC27" t="s">
        <v>418</v>
      </c>
      <c r="DD27">
        <v>2</v>
      </c>
      <c r="DE27">
        <v>1693322961.5999999</v>
      </c>
      <c r="DF27">
        <v>638.01099999999997</v>
      </c>
      <c r="DG27">
        <v>699.86099999999999</v>
      </c>
      <c r="DH27">
        <v>28.862400000000001</v>
      </c>
      <c r="DI27">
        <v>22.3005</v>
      </c>
      <c r="DJ27">
        <v>637.21799999999996</v>
      </c>
      <c r="DK27">
        <v>27.991</v>
      </c>
      <c r="DL27">
        <v>499.88600000000002</v>
      </c>
      <c r="DM27">
        <v>99.162300000000002</v>
      </c>
      <c r="DN27">
        <v>9.9446800000000002E-2</v>
      </c>
      <c r="DO27">
        <v>30.541</v>
      </c>
      <c r="DP27">
        <v>30.049499999999998</v>
      </c>
      <c r="DQ27">
        <v>999.9</v>
      </c>
      <c r="DR27">
        <v>0</v>
      </c>
      <c r="DS27">
        <v>0</v>
      </c>
      <c r="DT27">
        <v>10062.5</v>
      </c>
      <c r="DU27">
        <v>0</v>
      </c>
      <c r="DV27">
        <v>1678.65</v>
      </c>
      <c r="DW27">
        <v>-61.849699999999999</v>
      </c>
      <c r="DX27">
        <v>656.97299999999996</v>
      </c>
      <c r="DY27">
        <v>715.82399999999996</v>
      </c>
      <c r="DZ27">
        <v>6.5618800000000004</v>
      </c>
      <c r="EA27">
        <v>699.86099999999999</v>
      </c>
      <c r="EB27">
        <v>22.3005</v>
      </c>
      <c r="EC27">
        <v>2.86206</v>
      </c>
      <c r="ED27">
        <v>2.2113700000000001</v>
      </c>
      <c r="EE27">
        <v>23.246500000000001</v>
      </c>
      <c r="EF27">
        <v>19.044899999999998</v>
      </c>
      <c r="EG27">
        <v>1799.88</v>
      </c>
      <c r="EH27">
        <v>0.97799999999999998</v>
      </c>
      <c r="EI27">
        <v>2.1999700000000001E-2</v>
      </c>
      <c r="EJ27">
        <v>0</v>
      </c>
      <c r="EK27">
        <v>788.38599999999997</v>
      </c>
      <c r="EL27">
        <v>5.0002700000000004</v>
      </c>
      <c r="EM27">
        <v>15012.7</v>
      </c>
      <c r="EN27">
        <v>16247.6</v>
      </c>
      <c r="EO27">
        <v>46.936999999999998</v>
      </c>
      <c r="EP27">
        <v>49.375</v>
      </c>
      <c r="EQ27">
        <v>48.125</v>
      </c>
      <c r="ER27">
        <v>48.375</v>
      </c>
      <c r="ES27">
        <v>48.811999999999998</v>
      </c>
      <c r="ET27">
        <v>1755.39</v>
      </c>
      <c r="EU27">
        <v>39.49</v>
      </c>
      <c r="EV27">
        <v>0</v>
      </c>
      <c r="EW27">
        <v>102.7999999523163</v>
      </c>
      <c r="EX27">
        <v>0</v>
      </c>
      <c r="EY27">
        <v>788.34631999999999</v>
      </c>
      <c r="EZ27">
        <v>1.4503846296379981</v>
      </c>
      <c r="FA27">
        <v>34.638461550244372</v>
      </c>
      <c r="FB27">
        <v>15010.144</v>
      </c>
      <c r="FC27">
        <v>15</v>
      </c>
      <c r="FD27">
        <v>1693322932.5999999</v>
      </c>
      <c r="FE27" t="s">
        <v>474</v>
      </c>
      <c r="FF27">
        <v>1693322932.5999999</v>
      </c>
      <c r="FG27">
        <v>1693322931.5999999</v>
      </c>
      <c r="FH27">
        <v>13</v>
      </c>
      <c r="FI27">
        <v>9.9000000000000005E-2</v>
      </c>
      <c r="FJ27">
        <v>3.0000000000000001E-3</v>
      </c>
      <c r="FK27">
        <v>0.76800000000000002</v>
      </c>
      <c r="FL27">
        <v>0.49099999999999999</v>
      </c>
      <c r="FM27">
        <v>700</v>
      </c>
      <c r="FN27">
        <v>22</v>
      </c>
      <c r="FO27">
        <v>0.1</v>
      </c>
      <c r="FP27">
        <v>0.04</v>
      </c>
      <c r="FQ27">
        <v>47.989391531059908</v>
      </c>
      <c r="FR27">
        <v>-0.15388542525548629</v>
      </c>
      <c r="FS27">
        <v>0.13741966119353821</v>
      </c>
      <c r="FT27">
        <v>1</v>
      </c>
      <c r="FU27">
        <v>0.4185574913066662</v>
      </c>
      <c r="FV27">
        <v>-2.0733316664795731E-2</v>
      </c>
      <c r="FW27">
        <v>2.7163088233868389E-3</v>
      </c>
      <c r="FX27">
        <v>1</v>
      </c>
      <c r="FY27">
        <v>2</v>
      </c>
      <c r="FZ27">
        <v>2</v>
      </c>
      <c r="GA27" t="s">
        <v>429</v>
      </c>
      <c r="GB27">
        <v>3.1337199999999998</v>
      </c>
      <c r="GC27">
        <v>2.8651499999999999</v>
      </c>
      <c r="GD27">
        <v>0.13039300000000001</v>
      </c>
      <c r="GE27">
        <v>0.142488</v>
      </c>
      <c r="GF27">
        <v>0.12956000000000001</v>
      </c>
      <c r="GG27">
        <v>0.113178</v>
      </c>
      <c r="GH27">
        <v>26377.3</v>
      </c>
      <c r="GI27">
        <v>19972.3</v>
      </c>
      <c r="GJ27">
        <v>29244.2</v>
      </c>
      <c r="GK27">
        <v>21708.7</v>
      </c>
      <c r="GL27">
        <v>34106.9</v>
      </c>
      <c r="GM27">
        <v>26489.1</v>
      </c>
      <c r="GN27">
        <v>40593.699999999997</v>
      </c>
      <c r="GO27">
        <v>30842</v>
      </c>
      <c r="GP27">
        <v>2.0335000000000001</v>
      </c>
      <c r="GQ27">
        <v>1.8673999999999999</v>
      </c>
      <c r="GR27">
        <v>4.1067600000000003E-2</v>
      </c>
      <c r="GS27">
        <v>0</v>
      </c>
      <c r="GT27">
        <v>29.3809</v>
      </c>
      <c r="GU27">
        <v>999.9</v>
      </c>
      <c r="GV27">
        <v>55.6</v>
      </c>
      <c r="GW27">
        <v>32.200000000000003</v>
      </c>
      <c r="GX27">
        <v>27.079799999999999</v>
      </c>
      <c r="GY27">
        <v>61.874699999999997</v>
      </c>
      <c r="GZ27">
        <v>12.243600000000001</v>
      </c>
      <c r="HA27">
        <v>1</v>
      </c>
      <c r="HB27">
        <v>0.26148399999999999</v>
      </c>
      <c r="HC27">
        <v>2.68404</v>
      </c>
      <c r="HD27">
        <v>20.264099999999999</v>
      </c>
      <c r="HE27">
        <v>5.2340600000000004</v>
      </c>
      <c r="HF27">
        <v>11.974</v>
      </c>
      <c r="HG27">
        <v>4.9753999999999996</v>
      </c>
      <c r="HH27">
        <v>3.2839999999999998</v>
      </c>
      <c r="HI27">
        <v>9999</v>
      </c>
      <c r="HJ27">
        <v>9999</v>
      </c>
      <c r="HK27">
        <v>9999</v>
      </c>
      <c r="HL27">
        <v>999.9</v>
      </c>
      <c r="HM27">
        <v>1.8612200000000001</v>
      </c>
      <c r="HN27">
        <v>1.8629</v>
      </c>
      <c r="HO27">
        <v>1.86829</v>
      </c>
      <c r="HP27">
        <v>1.8589199999999999</v>
      </c>
      <c r="HQ27">
        <v>1.8573</v>
      </c>
      <c r="HR27">
        <v>1.8610100000000001</v>
      </c>
      <c r="HS27">
        <v>1.86493</v>
      </c>
      <c r="HT27">
        <v>1.86694</v>
      </c>
      <c r="HU27">
        <v>5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0.79300000000000004</v>
      </c>
      <c r="II27">
        <v>0.87139999999999995</v>
      </c>
      <c r="IJ27">
        <v>0.62720824733743097</v>
      </c>
      <c r="IK27">
        <v>1.118558698776514E-3</v>
      </c>
      <c r="IL27">
        <v>-1.6939696309573479E-6</v>
      </c>
      <c r="IM27">
        <v>5.4698917449866148E-10</v>
      </c>
      <c r="IN27">
        <v>-3.51761811839153E-2</v>
      </c>
      <c r="IO27">
        <v>-7.6058941998734366E-3</v>
      </c>
      <c r="IP27">
        <v>1.6984902717538061E-3</v>
      </c>
      <c r="IQ27">
        <v>-9.6352527008986976E-6</v>
      </c>
      <c r="IR27">
        <v>2</v>
      </c>
      <c r="IS27">
        <v>2021</v>
      </c>
      <c r="IT27">
        <v>2</v>
      </c>
      <c r="IU27">
        <v>40</v>
      </c>
      <c r="IV27">
        <v>0.5</v>
      </c>
      <c r="IW27">
        <v>0.5</v>
      </c>
      <c r="IX27">
        <v>1.62354</v>
      </c>
      <c r="IY27">
        <v>2.48169</v>
      </c>
      <c r="IZ27">
        <v>1.34399</v>
      </c>
      <c r="JA27">
        <v>2.2485400000000002</v>
      </c>
      <c r="JB27">
        <v>1.5918000000000001</v>
      </c>
      <c r="JC27">
        <v>2.3278799999999999</v>
      </c>
      <c r="JD27">
        <v>37.433799999999998</v>
      </c>
      <c r="JE27">
        <v>23.851099999999999</v>
      </c>
      <c r="JF27">
        <v>18</v>
      </c>
      <c r="JG27">
        <v>505.50200000000001</v>
      </c>
      <c r="JH27">
        <v>445.62200000000001</v>
      </c>
      <c r="JI27">
        <v>26.243500000000001</v>
      </c>
      <c r="JJ27">
        <v>30.953499999999998</v>
      </c>
      <c r="JK27">
        <v>30.000699999999998</v>
      </c>
      <c r="JL27">
        <v>30.744800000000001</v>
      </c>
      <c r="JM27">
        <v>30.686399999999999</v>
      </c>
      <c r="JN27">
        <v>32.566499999999998</v>
      </c>
      <c r="JO27">
        <v>27.102599999999999</v>
      </c>
      <c r="JP27">
        <v>64.316000000000003</v>
      </c>
      <c r="JQ27">
        <v>26.2241</v>
      </c>
      <c r="JR27">
        <v>700</v>
      </c>
      <c r="JS27">
        <v>22.307700000000001</v>
      </c>
      <c r="JT27">
        <v>99.722099999999998</v>
      </c>
      <c r="JU27">
        <v>97.446399999999997</v>
      </c>
    </row>
    <row r="28" spans="1:281" x14ac:dyDescent="0.25">
      <c r="A28">
        <v>12</v>
      </c>
      <c r="B28">
        <v>1693323068.5999999</v>
      </c>
      <c r="C28">
        <v>1307.099999904633</v>
      </c>
      <c r="D28" t="s">
        <v>475</v>
      </c>
      <c r="E28" t="s">
        <v>476</v>
      </c>
      <c r="F28" t="s">
        <v>413</v>
      </c>
      <c r="G28" t="s">
        <v>414</v>
      </c>
      <c r="H28" t="s">
        <v>31</v>
      </c>
      <c r="I28" t="s">
        <v>31</v>
      </c>
      <c r="J28">
        <v>1693323068.5999999</v>
      </c>
      <c r="K28">
        <f t="shared" si="0"/>
        <v>5.2227101850428675E-3</v>
      </c>
      <c r="L28">
        <f t="shared" si="1"/>
        <v>5.2227101850428674</v>
      </c>
      <c r="M28">
        <f t="shared" si="2"/>
        <v>48.169667593403439</v>
      </c>
      <c r="N28">
        <f t="shared" si="3"/>
        <v>837.13900000000001</v>
      </c>
      <c r="O28">
        <f t="shared" si="4"/>
        <v>604.21012083046548</v>
      </c>
      <c r="P28">
        <f t="shared" si="5"/>
        <v>59.976321288846897</v>
      </c>
      <c r="Q28">
        <f t="shared" si="6"/>
        <v>83.097776578807014</v>
      </c>
      <c r="R28">
        <f t="shared" si="7"/>
        <v>0.37865167954380102</v>
      </c>
      <c r="S28">
        <f t="shared" si="8"/>
        <v>2.9179023686892909</v>
      </c>
      <c r="T28">
        <f t="shared" si="9"/>
        <v>0.35331857509569881</v>
      </c>
      <c r="U28">
        <f t="shared" si="10"/>
        <v>0.22295879388311562</v>
      </c>
      <c r="V28">
        <f t="shared" si="11"/>
        <v>344.39219964461375</v>
      </c>
      <c r="W28">
        <f t="shared" si="12"/>
        <v>31.083495143342674</v>
      </c>
      <c r="X28">
        <f t="shared" si="13"/>
        <v>29.986599999999999</v>
      </c>
      <c r="Y28">
        <f t="shared" si="14"/>
        <v>4.2571716676707947</v>
      </c>
      <c r="Z28">
        <f t="shared" si="15"/>
        <v>65.164368730077797</v>
      </c>
      <c r="AA28">
        <f t="shared" si="16"/>
        <v>2.8423356746433002</v>
      </c>
      <c r="AB28">
        <f t="shared" si="17"/>
        <v>4.361794229016092</v>
      </c>
      <c r="AC28">
        <f t="shared" si="18"/>
        <v>1.4148359930274945</v>
      </c>
      <c r="AD28">
        <f t="shared" si="19"/>
        <v>-230.32151916039047</v>
      </c>
      <c r="AE28">
        <f t="shared" si="20"/>
        <v>66.589302893579116</v>
      </c>
      <c r="AF28">
        <f t="shared" si="21"/>
        <v>5.0842301555170391</v>
      </c>
      <c r="AG28">
        <f t="shared" si="22"/>
        <v>185.74421353331945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51932.820942330334</v>
      </c>
      <c r="AM28" t="s">
        <v>415</v>
      </c>
      <c r="AN28">
        <v>10366.9</v>
      </c>
      <c r="AO28">
        <v>993.59653846153856</v>
      </c>
      <c r="AP28">
        <v>3431.87</v>
      </c>
      <c r="AQ28">
        <f t="shared" si="26"/>
        <v>0.71047955241266758</v>
      </c>
      <c r="AR28">
        <v>-3.9894345373445681</v>
      </c>
      <c r="AS28" t="s">
        <v>477</v>
      </c>
      <c r="AT28">
        <v>10395.200000000001</v>
      </c>
      <c r="AU28">
        <v>790.99295999999993</v>
      </c>
      <c r="AV28">
        <v>1186.6998584605769</v>
      </c>
      <c r="AW28">
        <f t="shared" si="27"/>
        <v>0.33345154264524812</v>
      </c>
      <c r="AX28">
        <v>0.5</v>
      </c>
      <c r="AY28">
        <f t="shared" si="28"/>
        <v>1513.2854998223067</v>
      </c>
      <c r="AZ28">
        <f t="shared" si="29"/>
        <v>48.169667593403439</v>
      </c>
      <c r="BA28">
        <f t="shared" si="30"/>
        <v>252.30369218921678</v>
      </c>
      <c r="BB28">
        <f t="shared" si="31"/>
        <v>3.4467456495732393E-2</v>
      </c>
      <c r="BC28">
        <f t="shared" si="32"/>
        <v>1.8919443914419316</v>
      </c>
      <c r="BD28">
        <f t="shared" si="33"/>
        <v>641.95917290469072</v>
      </c>
      <c r="BE28" t="s">
        <v>478</v>
      </c>
      <c r="BF28">
        <v>613.47</v>
      </c>
      <c r="BG28">
        <f t="shared" si="34"/>
        <v>613.47</v>
      </c>
      <c r="BH28">
        <f t="shared" si="35"/>
        <v>0.4830453584145431</v>
      </c>
      <c r="BI28">
        <f t="shared" si="36"/>
        <v>0.69031103774541291</v>
      </c>
      <c r="BJ28">
        <f t="shared" si="37"/>
        <v>0.79661160287376631</v>
      </c>
      <c r="BK28">
        <f t="shared" si="38"/>
        <v>2.0491977997195883</v>
      </c>
      <c r="BL28">
        <f t="shared" si="39"/>
        <v>0.92080325564582177</v>
      </c>
      <c r="BM28">
        <f t="shared" si="40"/>
        <v>0.53538417374242941</v>
      </c>
      <c r="BN28">
        <f t="shared" si="41"/>
        <v>0.46461582625757059</v>
      </c>
      <c r="BO28">
        <v>1975</v>
      </c>
      <c r="BP28">
        <v>290.00000000000011</v>
      </c>
      <c r="BQ28">
        <v>1074.74</v>
      </c>
      <c r="BR28">
        <v>125</v>
      </c>
      <c r="BS28">
        <v>10395.200000000001</v>
      </c>
      <c r="BT28">
        <v>1068.1300000000001</v>
      </c>
      <c r="BU28">
        <v>6.61</v>
      </c>
      <c r="BV28">
        <v>300.00000000000011</v>
      </c>
      <c r="BW28">
        <v>38.4</v>
      </c>
      <c r="BX28">
        <v>1186.6998584605769</v>
      </c>
      <c r="BY28">
        <v>1.582163968850919</v>
      </c>
      <c r="BZ28">
        <v>-123.2600704099366</v>
      </c>
      <c r="CA28">
        <v>1.344258025297955</v>
      </c>
      <c r="CB28">
        <v>0.99668079120553987</v>
      </c>
      <c r="CC28">
        <v>-1.1296545494994431E-2</v>
      </c>
      <c r="CD28">
        <v>289.99999999999989</v>
      </c>
      <c r="CE28">
        <v>1054.92</v>
      </c>
      <c r="CF28">
        <v>655</v>
      </c>
      <c r="CG28">
        <v>10361.1</v>
      </c>
      <c r="CH28">
        <v>1067.74</v>
      </c>
      <c r="CI28">
        <v>-12.82</v>
      </c>
      <c r="CW28">
        <f t="shared" si="42"/>
        <v>1800.12</v>
      </c>
      <c r="CX28">
        <f t="shared" si="43"/>
        <v>1513.2854998223067</v>
      </c>
      <c r="CY28">
        <f t="shared" si="44"/>
        <v>0.84065812269310203</v>
      </c>
      <c r="CZ28">
        <f t="shared" si="45"/>
        <v>0.19131624538620412</v>
      </c>
      <c r="DA28">
        <v>6</v>
      </c>
      <c r="DB28">
        <v>0.5</v>
      </c>
      <c r="DC28" t="s">
        <v>418</v>
      </c>
      <c r="DD28">
        <v>2</v>
      </c>
      <c r="DE28">
        <v>1693323068.5999999</v>
      </c>
      <c r="DF28">
        <v>837.13900000000001</v>
      </c>
      <c r="DG28">
        <v>900.154</v>
      </c>
      <c r="DH28">
        <v>28.6341</v>
      </c>
      <c r="DI28">
        <v>22.549700000000001</v>
      </c>
      <c r="DJ28">
        <v>836.48</v>
      </c>
      <c r="DK28">
        <v>27.774100000000001</v>
      </c>
      <c r="DL28">
        <v>500.279</v>
      </c>
      <c r="DM28">
        <v>99.164000000000001</v>
      </c>
      <c r="DN28">
        <v>0.100013</v>
      </c>
      <c r="DO28">
        <v>30.4099</v>
      </c>
      <c r="DP28">
        <v>29.986599999999999</v>
      </c>
      <c r="DQ28">
        <v>999.9</v>
      </c>
      <c r="DR28">
        <v>0</v>
      </c>
      <c r="DS28">
        <v>0</v>
      </c>
      <c r="DT28">
        <v>10017.5</v>
      </c>
      <c r="DU28">
        <v>0</v>
      </c>
      <c r="DV28">
        <v>1687.94</v>
      </c>
      <c r="DW28">
        <v>-63.015099999999997</v>
      </c>
      <c r="DX28">
        <v>861.81600000000003</v>
      </c>
      <c r="DY28">
        <v>920.92</v>
      </c>
      <c r="DZ28">
        <v>6.0843999999999996</v>
      </c>
      <c r="EA28">
        <v>900.154</v>
      </c>
      <c r="EB28">
        <v>22.549700000000001</v>
      </c>
      <c r="EC28">
        <v>2.83948</v>
      </c>
      <c r="ED28">
        <v>2.2361200000000001</v>
      </c>
      <c r="EE28">
        <v>23.115400000000001</v>
      </c>
      <c r="EF28">
        <v>19.223500000000001</v>
      </c>
      <c r="EG28">
        <v>1800.12</v>
      </c>
      <c r="EH28">
        <v>0.97800399999999998</v>
      </c>
      <c r="EI28">
        <v>2.1996000000000002E-2</v>
      </c>
      <c r="EJ28">
        <v>0</v>
      </c>
      <c r="EK28">
        <v>790.726</v>
      </c>
      <c r="EL28">
        <v>5.0002700000000004</v>
      </c>
      <c r="EM28">
        <v>15063.8</v>
      </c>
      <c r="EN28">
        <v>16249.7</v>
      </c>
      <c r="EO28">
        <v>47</v>
      </c>
      <c r="EP28">
        <v>49.436999999999998</v>
      </c>
      <c r="EQ28">
        <v>48.125</v>
      </c>
      <c r="ER28">
        <v>48.436999999999998</v>
      </c>
      <c r="ES28">
        <v>48.875</v>
      </c>
      <c r="ET28">
        <v>1755.63</v>
      </c>
      <c r="EU28">
        <v>39.49</v>
      </c>
      <c r="EV28">
        <v>0</v>
      </c>
      <c r="EW28">
        <v>105</v>
      </c>
      <c r="EX28">
        <v>0</v>
      </c>
      <c r="EY28">
        <v>790.99295999999993</v>
      </c>
      <c r="EZ28">
        <v>0.3244615414745412</v>
      </c>
      <c r="FA28">
        <v>6.5461537995211314</v>
      </c>
      <c r="FB28">
        <v>15059.304</v>
      </c>
      <c r="FC28">
        <v>15</v>
      </c>
      <c r="FD28">
        <v>1693323034.5999999</v>
      </c>
      <c r="FE28" t="s">
        <v>479</v>
      </c>
      <c r="FF28">
        <v>1693323031.5999999</v>
      </c>
      <c r="FG28">
        <v>1693323034.5999999</v>
      </c>
      <c r="FH28">
        <v>14</v>
      </c>
      <c r="FI28">
        <v>-3.9E-2</v>
      </c>
      <c r="FJ28">
        <v>3.0000000000000001E-3</v>
      </c>
      <c r="FK28">
        <v>0.622</v>
      </c>
      <c r="FL28">
        <v>0.503</v>
      </c>
      <c r="FM28">
        <v>900</v>
      </c>
      <c r="FN28">
        <v>22</v>
      </c>
      <c r="FO28">
        <v>0.16</v>
      </c>
      <c r="FP28">
        <v>0.04</v>
      </c>
      <c r="FQ28">
        <v>47.948132422292971</v>
      </c>
      <c r="FR28">
        <v>-0.166841482995323</v>
      </c>
      <c r="FS28">
        <v>0.13190916627737409</v>
      </c>
      <c r="FT28">
        <v>1</v>
      </c>
      <c r="FU28">
        <v>0.38392476639181489</v>
      </c>
      <c r="FV28">
        <v>-4.5678609233857199E-2</v>
      </c>
      <c r="FW28">
        <v>3.4950978912598129E-3</v>
      </c>
      <c r="FX28">
        <v>1</v>
      </c>
      <c r="FY28">
        <v>2</v>
      </c>
      <c r="FZ28">
        <v>2</v>
      </c>
      <c r="GA28" t="s">
        <v>429</v>
      </c>
      <c r="GB28">
        <v>3.13422</v>
      </c>
      <c r="GC28">
        <v>2.8653300000000002</v>
      </c>
      <c r="GD28">
        <v>0.15706800000000001</v>
      </c>
      <c r="GE28">
        <v>0.16867599999999999</v>
      </c>
      <c r="GF28">
        <v>0.12884100000000001</v>
      </c>
      <c r="GG28">
        <v>0.114048</v>
      </c>
      <c r="GH28">
        <v>25564.6</v>
      </c>
      <c r="GI28">
        <v>19361.599999999999</v>
      </c>
      <c r="GJ28">
        <v>29240.5</v>
      </c>
      <c r="GK28">
        <v>21708.2</v>
      </c>
      <c r="GL28">
        <v>34134.699999999997</v>
      </c>
      <c r="GM28">
        <v>26464.9</v>
      </c>
      <c r="GN28">
        <v>40588.199999999997</v>
      </c>
      <c r="GO28">
        <v>30841.5</v>
      </c>
      <c r="GP28">
        <v>2.0324</v>
      </c>
      <c r="GQ28">
        <v>1.867</v>
      </c>
      <c r="GR28">
        <v>3.7044300000000002E-2</v>
      </c>
      <c r="GS28">
        <v>0</v>
      </c>
      <c r="GT28">
        <v>29.383500000000002</v>
      </c>
      <c r="GU28">
        <v>999.9</v>
      </c>
      <c r="GV28">
        <v>55.7</v>
      </c>
      <c r="GW28">
        <v>32.200000000000003</v>
      </c>
      <c r="GX28">
        <v>27.1266</v>
      </c>
      <c r="GY28">
        <v>61.884700000000002</v>
      </c>
      <c r="GZ28">
        <v>11.790900000000001</v>
      </c>
      <c r="HA28">
        <v>1</v>
      </c>
      <c r="HB28">
        <v>0.26666699999999999</v>
      </c>
      <c r="HC28">
        <v>2.6796700000000002</v>
      </c>
      <c r="HD28">
        <v>20.264199999999999</v>
      </c>
      <c r="HE28">
        <v>5.2352600000000002</v>
      </c>
      <c r="HF28">
        <v>11.974</v>
      </c>
      <c r="HG28">
        <v>4.9752000000000001</v>
      </c>
      <c r="HH28">
        <v>3.2839999999999998</v>
      </c>
      <c r="HI28">
        <v>9999</v>
      </c>
      <c r="HJ28">
        <v>9999</v>
      </c>
      <c r="HK28">
        <v>9999</v>
      </c>
      <c r="HL28">
        <v>999.9</v>
      </c>
      <c r="HM28">
        <v>1.8612500000000001</v>
      </c>
      <c r="HN28">
        <v>1.8628899999999999</v>
      </c>
      <c r="HO28">
        <v>1.86829</v>
      </c>
      <c r="HP28">
        <v>1.8589100000000001</v>
      </c>
      <c r="HQ28">
        <v>1.8573299999999999</v>
      </c>
      <c r="HR28">
        <v>1.8609899999999999</v>
      </c>
      <c r="HS28">
        <v>1.86493</v>
      </c>
      <c r="HT28">
        <v>1.8669100000000001</v>
      </c>
      <c r="HU28">
        <v>5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0.65900000000000003</v>
      </c>
      <c r="II28">
        <v>0.86</v>
      </c>
      <c r="IJ28">
        <v>0.58847608914940319</v>
      </c>
      <c r="IK28">
        <v>1.118558698776514E-3</v>
      </c>
      <c r="IL28">
        <v>-1.6939696309573479E-6</v>
      </c>
      <c r="IM28">
        <v>5.4698917449866148E-10</v>
      </c>
      <c r="IN28">
        <v>-3.2501457984744582E-2</v>
      </c>
      <c r="IO28">
        <v>-7.6058941998734366E-3</v>
      </c>
      <c r="IP28">
        <v>1.6984902717538061E-3</v>
      </c>
      <c r="IQ28">
        <v>-9.6352527008986976E-6</v>
      </c>
      <c r="IR28">
        <v>2</v>
      </c>
      <c r="IS28">
        <v>2021</v>
      </c>
      <c r="IT28">
        <v>2</v>
      </c>
      <c r="IU28">
        <v>40</v>
      </c>
      <c r="IV28">
        <v>0.6</v>
      </c>
      <c r="IW28">
        <v>0.6</v>
      </c>
      <c r="IX28">
        <v>1.9946299999999999</v>
      </c>
      <c r="IY28">
        <v>2.4658199999999999</v>
      </c>
      <c r="IZ28">
        <v>1.34399</v>
      </c>
      <c r="JA28">
        <v>2.2485400000000002</v>
      </c>
      <c r="JB28">
        <v>1.5918000000000001</v>
      </c>
      <c r="JC28">
        <v>2.47925</v>
      </c>
      <c r="JD28">
        <v>37.481900000000003</v>
      </c>
      <c r="JE28">
        <v>23.851099999999999</v>
      </c>
      <c r="JF28">
        <v>18</v>
      </c>
      <c r="JG28">
        <v>505.30900000000003</v>
      </c>
      <c r="JH28">
        <v>445.846</v>
      </c>
      <c r="JI28">
        <v>25.893999999999998</v>
      </c>
      <c r="JJ28">
        <v>31.021000000000001</v>
      </c>
      <c r="JK28">
        <v>30.0001</v>
      </c>
      <c r="JL28">
        <v>30.8035</v>
      </c>
      <c r="JM28">
        <v>30.744900000000001</v>
      </c>
      <c r="JN28">
        <v>40.006</v>
      </c>
      <c r="JO28">
        <v>26.447399999999998</v>
      </c>
      <c r="JP28">
        <v>64.787099999999995</v>
      </c>
      <c r="JQ28">
        <v>25.904</v>
      </c>
      <c r="JR28">
        <v>900</v>
      </c>
      <c r="JS28">
        <v>22.6005</v>
      </c>
      <c r="JT28">
        <v>99.7089</v>
      </c>
      <c r="JU28">
        <v>97.444599999999994</v>
      </c>
    </row>
    <row r="29" spans="1:281" x14ac:dyDescent="0.25">
      <c r="A29">
        <v>13</v>
      </c>
      <c r="B29">
        <v>1693323170.5999999</v>
      </c>
      <c r="C29">
        <v>1409.099999904633</v>
      </c>
      <c r="D29" t="s">
        <v>480</v>
      </c>
      <c r="E29" t="s">
        <v>481</v>
      </c>
      <c r="F29" t="s">
        <v>413</v>
      </c>
      <c r="G29" t="s">
        <v>414</v>
      </c>
      <c r="H29" t="s">
        <v>31</v>
      </c>
      <c r="I29" t="s">
        <v>31</v>
      </c>
      <c r="J29">
        <v>1693323170.5999999</v>
      </c>
      <c r="K29">
        <f t="shared" si="0"/>
        <v>4.7681606591653374E-3</v>
      </c>
      <c r="L29">
        <f t="shared" si="1"/>
        <v>4.7681606591653374</v>
      </c>
      <c r="M29">
        <f t="shared" si="2"/>
        <v>47.294729825873958</v>
      </c>
      <c r="N29">
        <f t="shared" si="3"/>
        <v>1136.78</v>
      </c>
      <c r="O29">
        <f t="shared" si="4"/>
        <v>877.19089633547492</v>
      </c>
      <c r="P29">
        <f t="shared" si="5"/>
        <v>87.079785890771035</v>
      </c>
      <c r="Q29">
        <f t="shared" si="6"/>
        <v>112.84950564176</v>
      </c>
      <c r="R29">
        <f t="shared" si="7"/>
        <v>0.33879021951404975</v>
      </c>
      <c r="S29">
        <f t="shared" si="8"/>
        <v>2.9127747553700392</v>
      </c>
      <c r="T29">
        <f t="shared" si="9"/>
        <v>0.31832208479557472</v>
      </c>
      <c r="U29">
        <f t="shared" si="10"/>
        <v>0.20068715323084158</v>
      </c>
      <c r="V29">
        <f t="shared" si="11"/>
        <v>344.3289128062433</v>
      </c>
      <c r="W29">
        <f t="shared" si="12"/>
        <v>31.134824516107969</v>
      </c>
      <c r="X29">
        <f t="shared" si="13"/>
        <v>30.011099999999999</v>
      </c>
      <c r="Y29">
        <f t="shared" si="14"/>
        <v>4.2631668830561553</v>
      </c>
      <c r="Z29">
        <f t="shared" si="15"/>
        <v>65.118620047272927</v>
      </c>
      <c r="AA29">
        <f t="shared" si="16"/>
        <v>2.8292984618343997</v>
      </c>
      <c r="AB29">
        <f t="shared" si="17"/>
        <v>4.3448378663129956</v>
      </c>
      <c r="AC29">
        <f t="shared" si="18"/>
        <v>1.4338684212217556</v>
      </c>
      <c r="AD29">
        <f t="shared" si="19"/>
        <v>-210.27588506919139</v>
      </c>
      <c r="AE29">
        <f t="shared" si="20"/>
        <v>51.946685971887362</v>
      </c>
      <c r="AF29">
        <f t="shared" si="21"/>
        <v>3.9723626172562425</v>
      </c>
      <c r="AG29">
        <f t="shared" si="22"/>
        <v>189.97207632619552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51798.811681778861</v>
      </c>
      <c r="AM29" t="s">
        <v>415</v>
      </c>
      <c r="AN29">
        <v>10366.9</v>
      </c>
      <c r="AO29">
        <v>993.59653846153856</v>
      </c>
      <c r="AP29">
        <v>3431.87</v>
      </c>
      <c r="AQ29">
        <f t="shared" si="26"/>
        <v>0.71047955241266758</v>
      </c>
      <c r="AR29">
        <v>-3.9894345373445681</v>
      </c>
      <c r="AS29" t="s">
        <v>482</v>
      </c>
      <c r="AT29">
        <v>10397.1</v>
      </c>
      <c r="AU29">
        <v>791.1037692307691</v>
      </c>
      <c r="AV29">
        <v>1193.836710995181</v>
      </c>
      <c r="AW29">
        <f t="shared" si="27"/>
        <v>0.33734340555560072</v>
      </c>
      <c r="AX29">
        <v>0.5</v>
      </c>
      <c r="AY29">
        <f t="shared" si="28"/>
        <v>1513.0080064031215</v>
      </c>
      <c r="AZ29">
        <f t="shared" si="29"/>
        <v>47.294729825873958</v>
      </c>
      <c r="BA29">
        <f t="shared" si="30"/>
        <v>255.20163675645958</v>
      </c>
      <c r="BB29">
        <f t="shared" si="31"/>
        <v>3.3895500979625695E-2</v>
      </c>
      <c r="BC29">
        <f t="shared" si="32"/>
        <v>1.8746561136817419</v>
      </c>
      <c r="BD29">
        <f t="shared" si="33"/>
        <v>644.04194843755965</v>
      </c>
      <c r="BE29" t="s">
        <v>483</v>
      </c>
      <c r="BF29">
        <v>614.39</v>
      </c>
      <c r="BG29">
        <f t="shared" si="34"/>
        <v>614.39</v>
      </c>
      <c r="BH29">
        <f t="shared" si="35"/>
        <v>0.4853651304726212</v>
      </c>
      <c r="BI29">
        <f t="shared" si="36"/>
        <v>0.69503016260586081</v>
      </c>
      <c r="BJ29">
        <f t="shared" si="37"/>
        <v>0.79433866043585721</v>
      </c>
      <c r="BK29">
        <f t="shared" si="38"/>
        <v>2.0112494744117773</v>
      </c>
      <c r="BL29">
        <f t="shared" si="39"/>
        <v>0.91787624493632536</v>
      </c>
      <c r="BM29">
        <f t="shared" si="40"/>
        <v>0.53977695242006984</v>
      </c>
      <c r="BN29">
        <f t="shared" si="41"/>
        <v>0.46022304757993016</v>
      </c>
      <c r="BO29">
        <v>1977</v>
      </c>
      <c r="BP29">
        <v>290.00000000000011</v>
      </c>
      <c r="BQ29">
        <v>1078</v>
      </c>
      <c r="BR29">
        <v>115</v>
      </c>
      <c r="BS29">
        <v>10397.1</v>
      </c>
      <c r="BT29">
        <v>1072.96</v>
      </c>
      <c r="BU29">
        <v>5.04</v>
      </c>
      <c r="BV29">
        <v>300.00000000000011</v>
      </c>
      <c r="BW29">
        <v>38.4</v>
      </c>
      <c r="BX29">
        <v>1193.836710995181</v>
      </c>
      <c r="BY29">
        <v>1.622299301155619</v>
      </c>
      <c r="BZ29">
        <v>-125.679496677424</v>
      </c>
      <c r="CA29">
        <v>1.3783369301825761</v>
      </c>
      <c r="CB29">
        <v>0.99664355285587869</v>
      </c>
      <c r="CC29">
        <v>-1.129610945494995E-2</v>
      </c>
      <c r="CD29">
        <v>289.99999999999989</v>
      </c>
      <c r="CE29">
        <v>1060.7</v>
      </c>
      <c r="CF29">
        <v>645</v>
      </c>
      <c r="CG29">
        <v>10361.9</v>
      </c>
      <c r="CH29">
        <v>1072.55</v>
      </c>
      <c r="CI29">
        <v>-11.85</v>
      </c>
      <c r="CW29">
        <f t="shared" si="42"/>
        <v>1799.79</v>
      </c>
      <c r="CX29">
        <f t="shared" si="43"/>
        <v>1513.0080064031215</v>
      </c>
      <c r="CY29">
        <f t="shared" si="44"/>
        <v>0.84065808033332867</v>
      </c>
      <c r="CZ29">
        <f t="shared" si="45"/>
        <v>0.19131616066665738</v>
      </c>
      <c r="DA29">
        <v>6</v>
      </c>
      <c r="DB29">
        <v>0.5</v>
      </c>
      <c r="DC29" t="s">
        <v>418</v>
      </c>
      <c r="DD29">
        <v>2</v>
      </c>
      <c r="DE29">
        <v>1693323170.5999999</v>
      </c>
      <c r="DF29">
        <v>1136.78</v>
      </c>
      <c r="DG29">
        <v>1200.08</v>
      </c>
      <c r="DH29">
        <v>28.500699999999998</v>
      </c>
      <c r="DI29">
        <v>22.938300000000002</v>
      </c>
      <c r="DJ29">
        <v>1136.1500000000001</v>
      </c>
      <c r="DK29">
        <v>27.6419</v>
      </c>
      <c r="DL29">
        <v>499.66899999999998</v>
      </c>
      <c r="DM29">
        <v>99.1708</v>
      </c>
      <c r="DN29">
        <v>0.100392</v>
      </c>
      <c r="DO29">
        <v>30.341899999999999</v>
      </c>
      <c r="DP29">
        <v>30.011099999999999</v>
      </c>
      <c r="DQ29">
        <v>999.9</v>
      </c>
      <c r="DR29">
        <v>0</v>
      </c>
      <c r="DS29">
        <v>0</v>
      </c>
      <c r="DT29">
        <v>9987.5</v>
      </c>
      <c r="DU29">
        <v>0</v>
      </c>
      <c r="DV29">
        <v>1692.39</v>
      </c>
      <c r="DW29">
        <v>-63.297199999999997</v>
      </c>
      <c r="DX29">
        <v>1170.1300000000001</v>
      </c>
      <c r="DY29">
        <v>1228.25</v>
      </c>
      <c r="DZ29">
        <v>5.5624099999999999</v>
      </c>
      <c r="EA29">
        <v>1200.08</v>
      </c>
      <c r="EB29">
        <v>22.938300000000002</v>
      </c>
      <c r="EC29">
        <v>2.8264399999999998</v>
      </c>
      <c r="ED29">
        <v>2.27481</v>
      </c>
      <c r="EE29">
        <v>23.039300000000001</v>
      </c>
      <c r="EF29">
        <v>19.499099999999999</v>
      </c>
      <c r="EG29">
        <v>1799.79</v>
      </c>
      <c r="EH29">
        <v>0.97799999999999998</v>
      </c>
      <c r="EI29">
        <v>2.1999700000000001E-2</v>
      </c>
      <c r="EJ29">
        <v>0</v>
      </c>
      <c r="EK29">
        <v>790.95899999999995</v>
      </c>
      <c r="EL29">
        <v>5.0002700000000004</v>
      </c>
      <c r="EM29">
        <v>15060.9</v>
      </c>
      <c r="EN29">
        <v>16246.7</v>
      </c>
      <c r="EO29">
        <v>47</v>
      </c>
      <c r="EP29">
        <v>49.375</v>
      </c>
      <c r="EQ29">
        <v>48.125</v>
      </c>
      <c r="ER29">
        <v>48.436999999999998</v>
      </c>
      <c r="ES29">
        <v>48.875</v>
      </c>
      <c r="ET29">
        <v>1755.3</v>
      </c>
      <c r="EU29">
        <v>39.479999999999997</v>
      </c>
      <c r="EV29">
        <v>0</v>
      </c>
      <c r="EW29">
        <v>99.799999952316284</v>
      </c>
      <c r="EX29">
        <v>0</v>
      </c>
      <c r="EY29">
        <v>791.1037692307691</v>
      </c>
      <c r="EZ29">
        <v>-0.56246153526543308</v>
      </c>
      <c r="FA29">
        <v>-7.2547007410268067</v>
      </c>
      <c r="FB29">
        <v>15062.61538461539</v>
      </c>
      <c r="FC29">
        <v>15</v>
      </c>
      <c r="FD29">
        <v>1693323141.5999999</v>
      </c>
      <c r="FE29" t="s">
        <v>484</v>
      </c>
      <c r="FF29">
        <v>1693323140.5999999</v>
      </c>
      <c r="FG29">
        <v>1693323141.5999999</v>
      </c>
      <c r="FH29">
        <v>15</v>
      </c>
      <c r="FI29">
        <v>0.16</v>
      </c>
      <c r="FJ29">
        <v>7.0000000000000001E-3</v>
      </c>
      <c r="FK29">
        <v>0.59499999999999997</v>
      </c>
      <c r="FL29">
        <v>0.52700000000000002</v>
      </c>
      <c r="FM29">
        <v>1201</v>
      </c>
      <c r="FN29">
        <v>23</v>
      </c>
      <c r="FO29">
        <v>0.14000000000000001</v>
      </c>
      <c r="FP29">
        <v>0.05</v>
      </c>
      <c r="FQ29">
        <v>47.151700211276342</v>
      </c>
      <c r="FR29">
        <v>1.5613391784328631E-2</v>
      </c>
      <c r="FS29">
        <v>0.16367165035625739</v>
      </c>
      <c r="FT29">
        <v>1</v>
      </c>
      <c r="FU29">
        <v>0.34507817952648417</v>
      </c>
      <c r="FV29">
        <v>-1.450787044617864E-2</v>
      </c>
      <c r="FW29">
        <v>2.4013652719235899E-3</v>
      </c>
      <c r="FX29">
        <v>1</v>
      </c>
      <c r="FY29">
        <v>2</v>
      </c>
      <c r="FZ29">
        <v>2</v>
      </c>
      <c r="GA29" t="s">
        <v>429</v>
      </c>
      <c r="GB29">
        <v>3.1336200000000001</v>
      </c>
      <c r="GC29">
        <v>2.8654299999999999</v>
      </c>
      <c r="GD29">
        <v>0.191747</v>
      </c>
      <c r="GE29">
        <v>0.202818</v>
      </c>
      <c r="GF29">
        <v>0.12840599999999999</v>
      </c>
      <c r="GG29">
        <v>0.115413</v>
      </c>
      <c r="GH29">
        <v>24510</v>
      </c>
      <c r="GI29">
        <v>18565.599999999999</v>
      </c>
      <c r="GJ29">
        <v>29237.7</v>
      </c>
      <c r="GK29">
        <v>21707.5</v>
      </c>
      <c r="GL29">
        <v>34152.800000000003</v>
      </c>
      <c r="GM29">
        <v>26426.9</v>
      </c>
      <c r="GN29">
        <v>40584.1</v>
      </c>
      <c r="GO29">
        <v>30841.4</v>
      </c>
      <c r="GP29">
        <v>2.0316000000000001</v>
      </c>
      <c r="GQ29">
        <v>1.8678999999999999</v>
      </c>
      <c r="GR29">
        <v>4.3511399999999999E-2</v>
      </c>
      <c r="GS29">
        <v>0</v>
      </c>
      <c r="GT29">
        <v>29.302600000000002</v>
      </c>
      <c r="GU29">
        <v>999.9</v>
      </c>
      <c r="GV29">
        <v>55.7</v>
      </c>
      <c r="GW29">
        <v>32.200000000000003</v>
      </c>
      <c r="GX29">
        <v>27.125399999999999</v>
      </c>
      <c r="GY29">
        <v>62.034700000000001</v>
      </c>
      <c r="GZ29">
        <v>12.1394</v>
      </c>
      <c r="HA29">
        <v>1</v>
      </c>
      <c r="HB29">
        <v>0.26957300000000001</v>
      </c>
      <c r="HC29">
        <v>2.4858899999999999</v>
      </c>
      <c r="HD29">
        <v>20.268699999999999</v>
      </c>
      <c r="HE29">
        <v>5.2316700000000003</v>
      </c>
      <c r="HF29">
        <v>11.974</v>
      </c>
      <c r="HG29">
        <v>4.9744000000000002</v>
      </c>
      <c r="HH29">
        <v>3.2839999999999998</v>
      </c>
      <c r="HI29">
        <v>9999</v>
      </c>
      <c r="HJ29">
        <v>9999</v>
      </c>
      <c r="HK29">
        <v>9999</v>
      </c>
      <c r="HL29">
        <v>999.9</v>
      </c>
      <c r="HM29">
        <v>1.86127</v>
      </c>
      <c r="HN29">
        <v>1.8629199999999999</v>
      </c>
      <c r="HO29">
        <v>1.86829</v>
      </c>
      <c r="HP29">
        <v>1.85887</v>
      </c>
      <c r="HQ29">
        <v>1.8573</v>
      </c>
      <c r="HR29">
        <v>1.8610199999999999</v>
      </c>
      <c r="HS29">
        <v>1.86493</v>
      </c>
      <c r="HT29">
        <v>1.86696</v>
      </c>
      <c r="HU29">
        <v>5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0.63</v>
      </c>
      <c r="II29">
        <v>0.85880000000000001</v>
      </c>
      <c r="IJ29">
        <v>0.74666605546226195</v>
      </c>
      <c r="IK29">
        <v>1.118558698776514E-3</v>
      </c>
      <c r="IL29">
        <v>-1.6939696309573479E-6</v>
      </c>
      <c r="IM29">
        <v>5.4698917449866148E-10</v>
      </c>
      <c r="IN29">
        <v>-2.5244566139107971E-2</v>
      </c>
      <c r="IO29">
        <v>-7.6058941998734366E-3</v>
      </c>
      <c r="IP29">
        <v>1.6984902717538061E-3</v>
      </c>
      <c r="IQ29">
        <v>-9.6352527008986976E-6</v>
      </c>
      <c r="IR29">
        <v>2</v>
      </c>
      <c r="IS29">
        <v>2021</v>
      </c>
      <c r="IT29">
        <v>2</v>
      </c>
      <c r="IU29">
        <v>40</v>
      </c>
      <c r="IV29">
        <v>0.5</v>
      </c>
      <c r="IW29">
        <v>0.5</v>
      </c>
      <c r="IX29">
        <v>2.5305200000000001</v>
      </c>
      <c r="IY29">
        <v>2.47559</v>
      </c>
      <c r="IZ29">
        <v>1.34399</v>
      </c>
      <c r="JA29">
        <v>2.2485400000000002</v>
      </c>
      <c r="JB29">
        <v>1.5918000000000001</v>
      </c>
      <c r="JC29">
        <v>2.32422</v>
      </c>
      <c r="JD29">
        <v>37.505899999999997</v>
      </c>
      <c r="JE29">
        <v>23.851099999999999</v>
      </c>
      <c r="JF29">
        <v>18</v>
      </c>
      <c r="JG29">
        <v>505.21499999999997</v>
      </c>
      <c r="JH29">
        <v>446.83499999999998</v>
      </c>
      <c r="JI29">
        <v>26.0688</v>
      </c>
      <c r="JJ29">
        <v>31.067900000000002</v>
      </c>
      <c r="JK29">
        <v>30.000399999999999</v>
      </c>
      <c r="JL29">
        <v>30.851600000000001</v>
      </c>
      <c r="JM29">
        <v>30.7928</v>
      </c>
      <c r="JN29">
        <v>50.697099999999999</v>
      </c>
      <c r="JO29">
        <v>25.275300000000001</v>
      </c>
      <c r="JP29">
        <v>65.358900000000006</v>
      </c>
      <c r="JQ29">
        <v>26.0717</v>
      </c>
      <c r="JR29">
        <v>1200</v>
      </c>
      <c r="JS29">
        <v>22.933399999999999</v>
      </c>
      <c r="JT29">
        <v>99.698999999999998</v>
      </c>
      <c r="JU29">
        <v>97.443100000000001</v>
      </c>
    </row>
    <row r="30" spans="1:281" x14ac:dyDescent="0.25">
      <c r="A30">
        <v>14</v>
      </c>
      <c r="B30">
        <v>1693323279.5999999</v>
      </c>
      <c r="C30">
        <v>1518.099999904633</v>
      </c>
      <c r="D30" t="s">
        <v>485</v>
      </c>
      <c r="E30" t="s">
        <v>486</v>
      </c>
      <c r="F30" t="s">
        <v>413</v>
      </c>
      <c r="G30" t="s">
        <v>414</v>
      </c>
      <c r="H30" t="s">
        <v>31</v>
      </c>
      <c r="I30" t="s">
        <v>31</v>
      </c>
      <c r="J30">
        <v>1693323279.5999999</v>
      </c>
      <c r="K30">
        <f t="shared" si="0"/>
        <v>4.2192104537041898E-3</v>
      </c>
      <c r="L30">
        <f t="shared" si="1"/>
        <v>4.2192104537041901</v>
      </c>
      <c r="M30">
        <f t="shared" si="2"/>
        <v>46.693217141163039</v>
      </c>
      <c r="N30">
        <f t="shared" si="3"/>
        <v>1436.7</v>
      </c>
      <c r="O30">
        <f t="shared" si="4"/>
        <v>1138.4352596473059</v>
      </c>
      <c r="P30">
        <f t="shared" si="5"/>
        <v>113.0148054327761</v>
      </c>
      <c r="Q30">
        <f t="shared" si="6"/>
        <v>142.62415854510002</v>
      </c>
      <c r="R30">
        <f t="shared" si="7"/>
        <v>0.29288323579622261</v>
      </c>
      <c r="S30">
        <f t="shared" si="8"/>
        <v>2.9267803398954952</v>
      </c>
      <c r="T30">
        <f t="shared" si="9"/>
        <v>0.27752032782534625</v>
      </c>
      <c r="U30">
        <f t="shared" si="10"/>
        <v>0.17476331893313352</v>
      </c>
      <c r="V30">
        <f t="shared" si="11"/>
        <v>344.39409964461578</v>
      </c>
      <c r="W30">
        <f t="shared" si="12"/>
        <v>31.246858573790824</v>
      </c>
      <c r="X30">
        <f t="shared" si="13"/>
        <v>30.040400000000002</v>
      </c>
      <c r="Y30">
        <f t="shared" si="14"/>
        <v>4.2703463315825925</v>
      </c>
      <c r="Z30">
        <f t="shared" si="15"/>
        <v>64.89014120759289</v>
      </c>
      <c r="AA30">
        <f t="shared" si="16"/>
        <v>2.8149484076626998</v>
      </c>
      <c r="AB30">
        <f t="shared" si="17"/>
        <v>4.3380217014126616</v>
      </c>
      <c r="AC30">
        <f t="shared" si="18"/>
        <v>1.4553979239198926</v>
      </c>
      <c r="AD30">
        <f t="shared" si="19"/>
        <v>-186.06718100835477</v>
      </c>
      <c r="AE30">
        <f t="shared" si="20"/>
        <v>43.249850239706177</v>
      </c>
      <c r="AF30">
        <f t="shared" si="21"/>
        <v>3.2915197318772873</v>
      </c>
      <c r="AG30">
        <f t="shared" si="22"/>
        <v>204.86828860784451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52202.190894870044</v>
      </c>
      <c r="AM30" t="s">
        <v>415</v>
      </c>
      <c r="AN30">
        <v>10366.9</v>
      </c>
      <c r="AO30">
        <v>993.59653846153856</v>
      </c>
      <c r="AP30">
        <v>3431.87</v>
      </c>
      <c r="AQ30">
        <f t="shared" si="26"/>
        <v>0.71047955241266758</v>
      </c>
      <c r="AR30">
        <v>-3.9894345373445681</v>
      </c>
      <c r="AS30" t="s">
        <v>487</v>
      </c>
      <c r="AT30">
        <v>10399.299999999999</v>
      </c>
      <c r="AU30">
        <v>790.16615384615386</v>
      </c>
      <c r="AV30">
        <v>1195.9547813856061</v>
      </c>
      <c r="AW30">
        <f t="shared" si="27"/>
        <v>0.3393009784778942</v>
      </c>
      <c r="AX30">
        <v>0.5</v>
      </c>
      <c r="AY30">
        <f t="shared" si="28"/>
        <v>1513.2938998223078</v>
      </c>
      <c r="AZ30">
        <f t="shared" si="29"/>
        <v>46.693217141163039</v>
      </c>
      <c r="BA30">
        <f t="shared" si="30"/>
        <v>256.7310504671687</v>
      </c>
      <c r="BB30">
        <f t="shared" si="31"/>
        <v>3.3491611698467039E-2</v>
      </c>
      <c r="BC30">
        <f t="shared" si="32"/>
        <v>1.869565014844385</v>
      </c>
      <c r="BD30">
        <f t="shared" si="33"/>
        <v>644.65786820552762</v>
      </c>
      <c r="BE30" t="s">
        <v>488</v>
      </c>
      <c r="BF30">
        <v>615.54</v>
      </c>
      <c r="BG30">
        <f t="shared" si="34"/>
        <v>615.54</v>
      </c>
      <c r="BH30">
        <f t="shared" si="35"/>
        <v>0.48531498884360058</v>
      </c>
      <c r="BI30">
        <f t="shared" si="36"/>
        <v>0.69913558467743653</v>
      </c>
      <c r="BJ30">
        <f t="shared" si="37"/>
        <v>0.79391094744379875</v>
      </c>
      <c r="BK30">
        <f t="shared" si="38"/>
        <v>2.0052982358209124</v>
      </c>
      <c r="BL30">
        <f t="shared" si="39"/>
        <v>0.91700756862752097</v>
      </c>
      <c r="BM30">
        <f t="shared" si="40"/>
        <v>0.54462712139418978</v>
      </c>
      <c r="BN30">
        <f t="shared" si="41"/>
        <v>0.45537287860581022</v>
      </c>
      <c r="BO30">
        <v>1979</v>
      </c>
      <c r="BP30">
        <v>290.00000000000011</v>
      </c>
      <c r="BQ30">
        <v>1080.42</v>
      </c>
      <c r="BR30">
        <v>105</v>
      </c>
      <c r="BS30">
        <v>10399.299999999999</v>
      </c>
      <c r="BT30">
        <v>1075.27</v>
      </c>
      <c r="BU30">
        <v>5.15</v>
      </c>
      <c r="BV30">
        <v>300.00000000000011</v>
      </c>
      <c r="BW30">
        <v>38.4</v>
      </c>
      <c r="BX30">
        <v>1195.9547813856061</v>
      </c>
      <c r="BY30">
        <v>1.0742969279942229</v>
      </c>
      <c r="BZ30">
        <v>-125.5046693981886</v>
      </c>
      <c r="CA30">
        <v>0.91275685560642827</v>
      </c>
      <c r="CB30">
        <v>0.99852121251717574</v>
      </c>
      <c r="CC30">
        <v>-1.129630700778644E-2</v>
      </c>
      <c r="CD30">
        <v>289.99999999999989</v>
      </c>
      <c r="CE30">
        <v>1062.3</v>
      </c>
      <c r="CF30">
        <v>645</v>
      </c>
      <c r="CG30">
        <v>10362</v>
      </c>
      <c r="CH30">
        <v>1074.83</v>
      </c>
      <c r="CI30">
        <v>-12.53</v>
      </c>
      <c r="CW30">
        <f t="shared" si="42"/>
        <v>1800.13</v>
      </c>
      <c r="CX30">
        <f t="shared" si="43"/>
        <v>1513.2938998223078</v>
      </c>
      <c r="CY30">
        <f t="shared" si="44"/>
        <v>0.84065811903712939</v>
      </c>
      <c r="CZ30">
        <f t="shared" si="45"/>
        <v>0.19131623807425893</v>
      </c>
      <c r="DA30">
        <v>6</v>
      </c>
      <c r="DB30">
        <v>0.5</v>
      </c>
      <c r="DC30" t="s">
        <v>418</v>
      </c>
      <c r="DD30">
        <v>2</v>
      </c>
      <c r="DE30">
        <v>1693323279.5999999</v>
      </c>
      <c r="DF30">
        <v>1436.7</v>
      </c>
      <c r="DG30">
        <v>1500.01</v>
      </c>
      <c r="DH30">
        <v>28.355899999999998</v>
      </c>
      <c r="DI30">
        <v>23.4361</v>
      </c>
      <c r="DJ30">
        <v>1436.19</v>
      </c>
      <c r="DK30">
        <v>27.5047</v>
      </c>
      <c r="DL30">
        <v>499.96800000000002</v>
      </c>
      <c r="DM30">
        <v>99.172799999999995</v>
      </c>
      <c r="DN30">
        <v>9.9252999999999994E-2</v>
      </c>
      <c r="DO30">
        <v>30.314499999999999</v>
      </c>
      <c r="DP30">
        <v>30.040400000000002</v>
      </c>
      <c r="DQ30">
        <v>999.9</v>
      </c>
      <c r="DR30">
        <v>0</v>
      </c>
      <c r="DS30">
        <v>0</v>
      </c>
      <c r="DT30">
        <v>10067.5</v>
      </c>
      <c r="DU30">
        <v>0</v>
      </c>
      <c r="DV30">
        <v>1697.7</v>
      </c>
      <c r="DW30">
        <v>-63.310699999999997</v>
      </c>
      <c r="DX30">
        <v>1478.63</v>
      </c>
      <c r="DY30">
        <v>1536.01</v>
      </c>
      <c r="DZ30">
        <v>4.9198599999999999</v>
      </c>
      <c r="EA30">
        <v>1500.01</v>
      </c>
      <c r="EB30">
        <v>23.4361</v>
      </c>
      <c r="EC30">
        <v>2.8121399999999999</v>
      </c>
      <c r="ED30">
        <v>2.32422</v>
      </c>
      <c r="EE30">
        <v>22.955500000000001</v>
      </c>
      <c r="EF30">
        <v>19.845300000000002</v>
      </c>
      <c r="EG30">
        <v>1800.13</v>
      </c>
      <c r="EH30">
        <v>0.97800399999999998</v>
      </c>
      <c r="EI30">
        <v>2.1996000000000002E-2</v>
      </c>
      <c r="EJ30">
        <v>0</v>
      </c>
      <c r="EK30">
        <v>790.03300000000002</v>
      </c>
      <c r="EL30">
        <v>5.0002700000000004</v>
      </c>
      <c r="EM30">
        <v>15046.4</v>
      </c>
      <c r="EN30">
        <v>16249.8</v>
      </c>
      <c r="EO30">
        <v>46.936999999999998</v>
      </c>
      <c r="EP30">
        <v>49.311999999999998</v>
      </c>
      <c r="EQ30">
        <v>48.061999999999998</v>
      </c>
      <c r="ER30">
        <v>48.375</v>
      </c>
      <c r="ES30">
        <v>48.811999999999998</v>
      </c>
      <c r="ET30">
        <v>1755.64</v>
      </c>
      <c r="EU30">
        <v>39.49</v>
      </c>
      <c r="EV30">
        <v>0</v>
      </c>
      <c r="EW30">
        <v>106.7999999523163</v>
      </c>
      <c r="EX30">
        <v>0</v>
      </c>
      <c r="EY30">
        <v>790.16615384615386</v>
      </c>
      <c r="EZ30">
        <v>-0.93463248558863687</v>
      </c>
      <c r="FA30">
        <v>-27.620512937059441</v>
      </c>
      <c r="FB30">
        <v>15048.22692307692</v>
      </c>
      <c r="FC30">
        <v>15</v>
      </c>
      <c r="FD30">
        <v>1693323250.0999999</v>
      </c>
      <c r="FE30" t="s">
        <v>489</v>
      </c>
      <c r="FF30">
        <v>1693323250.0999999</v>
      </c>
      <c r="FG30">
        <v>1693323236.0999999</v>
      </c>
      <c r="FH30">
        <v>16</v>
      </c>
      <c r="FI30">
        <v>3.5000000000000003E-2</v>
      </c>
      <c r="FJ30">
        <v>1E-3</v>
      </c>
      <c r="FK30">
        <v>0.49399999999999999</v>
      </c>
      <c r="FL30">
        <v>0.54500000000000004</v>
      </c>
      <c r="FM30">
        <v>1500</v>
      </c>
      <c r="FN30">
        <v>23</v>
      </c>
      <c r="FO30">
        <v>0.11</v>
      </c>
      <c r="FP30">
        <v>0.04</v>
      </c>
      <c r="FQ30">
        <v>46.758243617705538</v>
      </c>
      <c r="FR30">
        <v>0.18622780131548761</v>
      </c>
      <c r="FS30">
        <v>0.1722512367247738</v>
      </c>
      <c r="FT30">
        <v>1</v>
      </c>
      <c r="FU30">
        <v>0.29921747739974619</v>
      </c>
      <c r="FV30">
        <v>-2.2031689210605641E-2</v>
      </c>
      <c r="FW30">
        <v>2.2065122605901231E-3</v>
      </c>
      <c r="FX30">
        <v>1</v>
      </c>
      <c r="FY30">
        <v>2</v>
      </c>
      <c r="FZ30">
        <v>2</v>
      </c>
      <c r="GA30" t="s">
        <v>429</v>
      </c>
      <c r="GB30">
        <v>3.13408</v>
      </c>
      <c r="GC30">
        <v>2.8649900000000001</v>
      </c>
      <c r="GD30">
        <v>0.22190199999999999</v>
      </c>
      <c r="GE30">
        <v>0.23258400000000001</v>
      </c>
      <c r="GF30">
        <v>0.12794900000000001</v>
      </c>
      <c r="GG30">
        <v>0.117145</v>
      </c>
      <c r="GH30">
        <v>23593.9</v>
      </c>
      <c r="GI30">
        <v>17871.400000000001</v>
      </c>
      <c r="GJ30">
        <v>29236.2</v>
      </c>
      <c r="GK30">
        <v>21706.7</v>
      </c>
      <c r="GL30">
        <v>34172.9</v>
      </c>
      <c r="GM30">
        <v>26377.8</v>
      </c>
      <c r="GN30">
        <v>40582.199999999997</v>
      </c>
      <c r="GO30">
        <v>30841.599999999999</v>
      </c>
      <c r="GP30">
        <v>2.0308999999999999</v>
      </c>
      <c r="GQ30">
        <v>1.8687</v>
      </c>
      <c r="GR30">
        <v>5.3644200000000003E-2</v>
      </c>
      <c r="GS30">
        <v>0</v>
      </c>
      <c r="GT30">
        <v>29.166899999999998</v>
      </c>
      <c r="GU30">
        <v>999.9</v>
      </c>
      <c r="GV30">
        <v>56</v>
      </c>
      <c r="GW30">
        <v>32.200000000000003</v>
      </c>
      <c r="GX30">
        <v>27.2713</v>
      </c>
      <c r="GY30">
        <v>61.904699999999998</v>
      </c>
      <c r="GZ30">
        <v>11.678699999999999</v>
      </c>
      <c r="HA30">
        <v>1</v>
      </c>
      <c r="HB30">
        <v>0.27103699999999997</v>
      </c>
      <c r="HC30">
        <v>2.43329</v>
      </c>
      <c r="HD30">
        <v>20.2684</v>
      </c>
      <c r="HE30">
        <v>5.2346599999999999</v>
      </c>
      <c r="HF30">
        <v>11.974</v>
      </c>
      <c r="HG30">
        <v>4.9748000000000001</v>
      </c>
      <c r="HH30">
        <v>3.2839999999999998</v>
      </c>
      <c r="HI30">
        <v>9999</v>
      </c>
      <c r="HJ30">
        <v>9999</v>
      </c>
      <c r="HK30">
        <v>9999</v>
      </c>
      <c r="HL30">
        <v>999.9</v>
      </c>
      <c r="HM30">
        <v>1.86127</v>
      </c>
      <c r="HN30">
        <v>1.86287</v>
      </c>
      <c r="HO30">
        <v>1.86829</v>
      </c>
      <c r="HP30">
        <v>1.8589199999999999</v>
      </c>
      <c r="HQ30">
        <v>1.8573200000000001</v>
      </c>
      <c r="HR30">
        <v>1.86103</v>
      </c>
      <c r="HS30">
        <v>1.86493</v>
      </c>
      <c r="HT30">
        <v>1.86693</v>
      </c>
      <c r="HU30">
        <v>5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0.51</v>
      </c>
      <c r="II30">
        <v>0.85119999999999996</v>
      </c>
      <c r="IJ30">
        <v>0.78099281758387917</v>
      </c>
      <c r="IK30">
        <v>1.118558698776514E-3</v>
      </c>
      <c r="IL30">
        <v>-1.6939696309573479E-6</v>
      </c>
      <c r="IM30">
        <v>5.4698917449866148E-10</v>
      </c>
      <c r="IN30">
        <v>-2.3957821400714899E-2</v>
      </c>
      <c r="IO30">
        <v>-7.6058941998734366E-3</v>
      </c>
      <c r="IP30">
        <v>1.6984902717538061E-3</v>
      </c>
      <c r="IQ30">
        <v>-9.6352527008986976E-6</v>
      </c>
      <c r="IR30">
        <v>2</v>
      </c>
      <c r="IS30">
        <v>2021</v>
      </c>
      <c r="IT30">
        <v>2</v>
      </c>
      <c r="IU30">
        <v>40</v>
      </c>
      <c r="IV30">
        <v>0.5</v>
      </c>
      <c r="IW30">
        <v>0.7</v>
      </c>
      <c r="IX30">
        <v>3.0395500000000002</v>
      </c>
      <c r="IY30">
        <v>2.4706999999999999</v>
      </c>
      <c r="IZ30">
        <v>1.34399</v>
      </c>
      <c r="JA30">
        <v>2.2485400000000002</v>
      </c>
      <c r="JB30">
        <v>1.5918000000000001</v>
      </c>
      <c r="JC30">
        <v>2.3071299999999999</v>
      </c>
      <c r="JD30">
        <v>37.53</v>
      </c>
      <c r="JE30">
        <v>23.851099999999999</v>
      </c>
      <c r="JF30">
        <v>18</v>
      </c>
      <c r="JG30">
        <v>505.09100000000001</v>
      </c>
      <c r="JH30">
        <v>447.67200000000003</v>
      </c>
      <c r="JI30">
        <v>26.210599999999999</v>
      </c>
      <c r="JJ30">
        <v>31.099599999999999</v>
      </c>
      <c r="JK30">
        <v>30.000299999999999</v>
      </c>
      <c r="JL30">
        <v>30.889099999999999</v>
      </c>
      <c r="JM30">
        <v>30.830200000000001</v>
      </c>
      <c r="JN30">
        <v>60.892499999999998</v>
      </c>
      <c r="JO30">
        <v>24.0153</v>
      </c>
      <c r="JP30">
        <v>66.748199999999997</v>
      </c>
      <c r="JQ30">
        <v>26.189</v>
      </c>
      <c r="JR30">
        <v>1500</v>
      </c>
      <c r="JS30">
        <v>23.411300000000001</v>
      </c>
      <c r="JT30">
        <v>99.694100000000006</v>
      </c>
      <c r="JU30">
        <v>97.441999999999993</v>
      </c>
    </row>
    <row r="31" spans="1:281" x14ac:dyDescent="0.25">
      <c r="A31">
        <v>15</v>
      </c>
      <c r="B31">
        <v>1693325716.5999999</v>
      </c>
      <c r="C31">
        <v>3955.099999904633</v>
      </c>
      <c r="D31" t="s">
        <v>490</v>
      </c>
      <c r="E31" t="s">
        <v>491</v>
      </c>
      <c r="F31" t="s">
        <v>413</v>
      </c>
      <c r="G31" t="s">
        <v>492</v>
      </c>
      <c r="H31" t="s">
        <v>493</v>
      </c>
      <c r="I31" t="s">
        <v>493</v>
      </c>
      <c r="J31">
        <v>1693325716.5999999</v>
      </c>
      <c r="K31">
        <f t="shared" si="0"/>
        <v>4.1760000138232525E-3</v>
      </c>
      <c r="L31">
        <f t="shared" si="1"/>
        <v>4.176000013823252</v>
      </c>
      <c r="M31">
        <f t="shared" si="2"/>
        <v>38.023493389125129</v>
      </c>
      <c r="N31">
        <f t="shared" si="3"/>
        <v>352.65600000000001</v>
      </c>
      <c r="O31">
        <f t="shared" si="4"/>
        <v>125.4141174489216</v>
      </c>
      <c r="P31">
        <f t="shared" si="5"/>
        <v>12.445258233472067</v>
      </c>
      <c r="Q31">
        <f t="shared" si="6"/>
        <v>34.995222841406395</v>
      </c>
      <c r="R31">
        <f t="shared" si="7"/>
        <v>0.28756332022757997</v>
      </c>
      <c r="S31">
        <f t="shared" si="8"/>
        <v>2.9226056516911729</v>
      </c>
      <c r="T31">
        <f t="shared" si="9"/>
        <v>0.27271827324200232</v>
      </c>
      <c r="U31">
        <f t="shared" si="10"/>
        <v>0.1717188018317512</v>
      </c>
      <c r="V31">
        <f t="shared" si="11"/>
        <v>344.37569964450597</v>
      </c>
      <c r="W31">
        <f t="shared" si="12"/>
        <v>31.067950695584813</v>
      </c>
      <c r="X31">
        <f t="shared" si="13"/>
        <v>30.0168</v>
      </c>
      <c r="Y31">
        <f t="shared" si="14"/>
        <v>4.2645627428492663</v>
      </c>
      <c r="Z31">
        <f t="shared" si="15"/>
        <v>65.237719924338549</v>
      </c>
      <c r="AA31">
        <f t="shared" si="16"/>
        <v>2.7991335687504399</v>
      </c>
      <c r="AB31">
        <f t="shared" si="17"/>
        <v>4.2906673807680908</v>
      </c>
      <c r="AC31">
        <f t="shared" si="18"/>
        <v>1.4654291740988263</v>
      </c>
      <c r="AD31">
        <f t="shared" si="19"/>
        <v>-184.16160060960544</v>
      </c>
      <c r="AE31">
        <f t="shared" si="20"/>
        <v>16.749001739529639</v>
      </c>
      <c r="AF31">
        <f t="shared" si="21"/>
        <v>1.275142030727852</v>
      </c>
      <c r="AG31">
        <f t="shared" si="22"/>
        <v>178.23824280515802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52115.260681408428</v>
      </c>
      <c r="AM31" t="s">
        <v>415</v>
      </c>
      <c r="AN31">
        <v>10366.9</v>
      </c>
      <c r="AO31">
        <v>993.59653846153856</v>
      </c>
      <c r="AP31">
        <v>3431.87</v>
      </c>
      <c r="AQ31">
        <f t="shared" si="26"/>
        <v>0.71047955241266758</v>
      </c>
      <c r="AR31">
        <v>-3.9894345373445681</v>
      </c>
      <c r="AS31" t="s">
        <v>494</v>
      </c>
      <c r="AT31">
        <v>10373.299999999999</v>
      </c>
      <c r="AU31">
        <v>716.62165384615389</v>
      </c>
      <c r="AV31">
        <v>1000.973416580229</v>
      </c>
      <c r="AW31">
        <f t="shared" si="27"/>
        <v>0.28407523918621869</v>
      </c>
      <c r="AX31">
        <v>0.5</v>
      </c>
      <c r="AY31">
        <f t="shared" si="28"/>
        <v>1513.2101998222529</v>
      </c>
      <c r="AZ31">
        <f t="shared" si="29"/>
        <v>38.023493389125129</v>
      </c>
      <c r="BA31">
        <f t="shared" si="30"/>
        <v>214.93277472676613</v>
      </c>
      <c r="BB31">
        <f t="shared" si="31"/>
        <v>2.7764105694902591E-2</v>
      </c>
      <c r="BC31">
        <f t="shared" si="32"/>
        <v>2.428532609512045</v>
      </c>
      <c r="BD31">
        <f t="shared" si="33"/>
        <v>583.40132292579881</v>
      </c>
      <c r="BE31" t="s">
        <v>495</v>
      </c>
      <c r="BF31">
        <v>578.12</v>
      </c>
      <c r="BG31">
        <f t="shared" si="34"/>
        <v>578.12</v>
      </c>
      <c r="BH31">
        <f t="shared" si="35"/>
        <v>0.42244220433434143</v>
      </c>
      <c r="BI31">
        <f t="shared" si="36"/>
        <v>0.67245941875965509</v>
      </c>
      <c r="BJ31">
        <f t="shared" si="37"/>
        <v>0.85182534679624022</v>
      </c>
      <c r="BK31">
        <f t="shared" si="38"/>
        <v>38.546354997194022</v>
      </c>
      <c r="BL31">
        <f t="shared" si="39"/>
        <v>0.99697454849299949</v>
      </c>
      <c r="BM31">
        <f t="shared" si="40"/>
        <v>0.54249301160078012</v>
      </c>
      <c r="BN31">
        <f t="shared" si="41"/>
        <v>0.45750698839921988</v>
      </c>
      <c r="BO31">
        <v>1981</v>
      </c>
      <c r="BP31">
        <v>290.00000000000011</v>
      </c>
      <c r="BQ31">
        <v>922.4</v>
      </c>
      <c r="BR31">
        <v>285</v>
      </c>
      <c r="BS31">
        <v>10373.299999999999</v>
      </c>
      <c r="BT31">
        <v>920.85</v>
      </c>
      <c r="BU31">
        <v>1.55</v>
      </c>
      <c r="BV31">
        <v>300.00000000000011</v>
      </c>
      <c r="BW31">
        <v>38.4</v>
      </c>
      <c r="BX31">
        <v>1000.973416580229</v>
      </c>
      <c r="BY31">
        <v>1.127464446641179</v>
      </c>
      <c r="BZ31">
        <v>-83.113256919934955</v>
      </c>
      <c r="CA31">
        <v>0.95817219816509891</v>
      </c>
      <c r="CB31">
        <v>0.99629241272519775</v>
      </c>
      <c r="CC31">
        <v>-1.1298638932146851E-2</v>
      </c>
      <c r="CD31">
        <v>289.99999999999989</v>
      </c>
      <c r="CE31">
        <v>913.65</v>
      </c>
      <c r="CF31">
        <v>655</v>
      </c>
      <c r="CG31">
        <v>10363.700000000001</v>
      </c>
      <c r="CH31">
        <v>920.78</v>
      </c>
      <c r="CI31">
        <v>-7.13</v>
      </c>
      <c r="CW31">
        <f t="shared" si="42"/>
        <v>1800.03</v>
      </c>
      <c r="CX31">
        <f t="shared" si="43"/>
        <v>1513.2101998222529</v>
      </c>
      <c r="CY31">
        <f t="shared" si="44"/>
        <v>0.84065832226254722</v>
      </c>
      <c r="CZ31">
        <f t="shared" si="45"/>
        <v>0.19131664452509456</v>
      </c>
      <c r="DA31">
        <v>6</v>
      </c>
      <c r="DB31">
        <v>0.5</v>
      </c>
      <c r="DC31" t="s">
        <v>418</v>
      </c>
      <c r="DD31">
        <v>2</v>
      </c>
      <c r="DE31">
        <v>1693325716.5999999</v>
      </c>
      <c r="DF31">
        <v>352.65600000000001</v>
      </c>
      <c r="DG31">
        <v>400.05</v>
      </c>
      <c r="DH31">
        <v>28.207599999999999</v>
      </c>
      <c r="DI31">
        <v>23.337900000000001</v>
      </c>
      <c r="DJ31">
        <v>351.73899999999998</v>
      </c>
      <c r="DK31">
        <v>27.374099999999999</v>
      </c>
      <c r="DL31">
        <v>500.01499999999999</v>
      </c>
      <c r="DM31">
        <v>99.133799999999994</v>
      </c>
      <c r="DN31">
        <v>9.95119E-2</v>
      </c>
      <c r="DO31">
        <v>30.123100000000001</v>
      </c>
      <c r="DP31">
        <v>30.0168</v>
      </c>
      <c r="DQ31">
        <v>999.9</v>
      </c>
      <c r="DR31">
        <v>0</v>
      </c>
      <c r="DS31">
        <v>0</v>
      </c>
      <c r="DT31">
        <v>10047.5</v>
      </c>
      <c r="DU31">
        <v>0</v>
      </c>
      <c r="DV31">
        <v>1746.82</v>
      </c>
      <c r="DW31">
        <v>-47.393999999999998</v>
      </c>
      <c r="DX31">
        <v>362.89299999999997</v>
      </c>
      <c r="DY31">
        <v>409.61</v>
      </c>
      <c r="DZ31">
        <v>4.8696900000000003</v>
      </c>
      <c r="EA31">
        <v>400.05</v>
      </c>
      <c r="EB31">
        <v>23.337900000000001</v>
      </c>
      <c r="EC31">
        <v>2.7963200000000001</v>
      </c>
      <c r="ED31">
        <v>2.3135699999999999</v>
      </c>
      <c r="EE31">
        <v>22.862400000000001</v>
      </c>
      <c r="EF31">
        <v>19.7712</v>
      </c>
      <c r="EG31">
        <v>1800.03</v>
      </c>
      <c r="EH31">
        <v>0.97799700000000001</v>
      </c>
      <c r="EI31">
        <v>2.2003399999999999E-2</v>
      </c>
      <c r="EJ31">
        <v>0</v>
      </c>
      <c r="EK31">
        <v>716.86900000000003</v>
      </c>
      <c r="EL31">
        <v>5.0002700000000004</v>
      </c>
      <c r="EM31">
        <v>13637.6</v>
      </c>
      <c r="EN31">
        <v>16248.9</v>
      </c>
      <c r="EO31">
        <v>46.811999999999998</v>
      </c>
      <c r="EP31">
        <v>49.186999999999998</v>
      </c>
      <c r="EQ31">
        <v>48</v>
      </c>
      <c r="ER31">
        <v>48.186999999999998</v>
      </c>
      <c r="ES31">
        <v>48.625</v>
      </c>
      <c r="ET31">
        <v>1755.53</v>
      </c>
      <c r="EU31">
        <v>39.5</v>
      </c>
      <c r="EV31">
        <v>0</v>
      </c>
      <c r="EW31">
        <v>2435.400000095367</v>
      </c>
      <c r="EX31">
        <v>0</v>
      </c>
      <c r="EY31">
        <v>716.62165384615389</v>
      </c>
      <c r="EZ31">
        <v>0.56017094004227519</v>
      </c>
      <c r="FA31">
        <v>2.7316239827567022</v>
      </c>
      <c r="FB31">
        <v>13637.265384615381</v>
      </c>
      <c r="FC31">
        <v>15</v>
      </c>
      <c r="FD31">
        <v>1693325688.0999999</v>
      </c>
      <c r="FE31" t="s">
        <v>496</v>
      </c>
      <c r="FF31">
        <v>1693325675.0999999</v>
      </c>
      <c r="FG31">
        <v>1693325688.0999999</v>
      </c>
      <c r="FH31">
        <v>18</v>
      </c>
      <c r="FI31">
        <v>0.33600000000000002</v>
      </c>
      <c r="FJ31">
        <v>-0.03</v>
      </c>
      <c r="FK31">
        <v>0.92100000000000004</v>
      </c>
      <c r="FL31">
        <v>0.55700000000000005</v>
      </c>
      <c r="FM31">
        <v>400</v>
      </c>
      <c r="FN31">
        <v>23</v>
      </c>
      <c r="FO31">
        <v>0.13</v>
      </c>
      <c r="FP31">
        <v>0.04</v>
      </c>
      <c r="FQ31">
        <v>37.962281995944089</v>
      </c>
      <c r="FR31">
        <v>-0.16799985358654629</v>
      </c>
      <c r="FS31">
        <v>6.56212361676351E-2</v>
      </c>
      <c r="FT31">
        <v>1</v>
      </c>
      <c r="FU31">
        <v>0.29053679615686762</v>
      </c>
      <c r="FV31">
        <v>2.1271301668900799E-2</v>
      </c>
      <c r="FW31">
        <v>2.7862625924707221E-3</v>
      </c>
      <c r="FX31">
        <v>1</v>
      </c>
      <c r="FY31">
        <v>2</v>
      </c>
      <c r="FZ31">
        <v>2</v>
      </c>
      <c r="GA31" t="s">
        <v>429</v>
      </c>
      <c r="GB31">
        <v>3.1341000000000001</v>
      </c>
      <c r="GC31">
        <v>2.8650899999999999</v>
      </c>
      <c r="GD31">
        <v>8.3573400000000006E-2</v>
      </c>
      <c r="GE31">
        <v>9.4848699999999994E-2</v>
      </c>
      <c r="GF31">
        <v>0.12739</v>
      </c>
      <c r="GG31">
        <v>0.116683</v>
      </c>
      <c r="GH31">
        <v>27754</v>
      </c>
      <c r="GI31">
        <v>21094</v>
      </c>
      <c r="GJ31">
        <v>29200.7</v>
      </c>
      <c r="GK31">
        <v>21722.400000000001</v>
      </c>
      <c r="GL31">
        <v>34143.9</v>
      </c>
      <c r="GM31">
        <v>26403.200000000001</v>
      </c>
      <c r="GN31">
        <v>40533.199999999997</v>
      </c>
      <c r="GO31">
        <v>30867.1</v>
      </c>
      <c r="GP31">
        <v>2.0270999999999999</v>
      </c>
      <c r="GQ31">
        <v>1.8526</v>
      </c>
      <c r="GR31">
        <v>4.6640599999999997E-2</v>
      </c>
      <c r="GS31">
        <v>0</v>
      </c>
      <c r="GT31">
        <v>29.257300000000001</v>
      </c>
      <c r="GU31">
        <v>999.9</v>
      </c>
      <c r="GV31">
        <v>57.4</v>
      </c>
      <c r="GW31">
        <v>32.799999999999997</v>
      </c>
      <c r="GX31">
        <v>28.922999999999998</v>
      </c>
      <c r="GY31">
        <v>61.7776</v>
      </c>
      <c r="GZ31">
        <v>11.7989</v>
      </c>
      <c r="HA31">
        <v>1</v>
      </c>
      <c r="HB31">
        <v>0.301535</v>
      </c>
      <c r="HC31">
        <v>2.5938699999999999</v>
      </c>
      <c r="HD31">
        <v>20.259</v>
      </c>
      <c r="HE31">
        <v>5.2352600000000002</v>
      </c>
      <c r="HF31">
        <v>11.974</v>
      </c>
      <c r="HG31">
        <v>4.9756</v>
      </c>
      <c r="HH31">
        <v>3.2839999999999998</v>
      </c>
      <c r="HI31">
        <v>9999</v>
      </c>
      <c r="HJ31">
        <v>9999</v>
      </c>
      <c r="HK31">
        <v>9999</v>
      </c>
      <c r="HL31">
        <v>999.9</v>
      </c>
      <c r="HM31">
        <v>1.8610800000000001</v>
      </c>
      <c r="HN31">
        <v>1.86276</v>
      </c>
      <c r="HO31">
        <v>1.8681300000000001</v>
      </c>
      <c r="HP31">
        <v>1.8588</v>
      </c>
      <c r="HQ31">
        <v>1.8571599999999999</v>
      </c>
      <c r="HR31">
        <v>1.86084</v>
      </c>
      <c r="HS31">
        <v>1.8647800000000001</v>
      </c>
      <c r="HT31">
        <v>1.86677</v>
      </c>
      <c r="HU31">
        <v>5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0.91700000000000004</v>
      </c>
      <c r="II31">
        <v>0.83350000000000002</v>
      </c>
      <c r="IJ31">
        <v>0.70996071697490559</v>
      </c>
      <c r="IK31">
        <v>1.118558698776514E-3</v>
      </c>
      <c r="IL31">
        <v>-1.6939696309573479E-6</v>
      </c>
      <c r="IM31">
        <v>5.4698917449866148E-10</v>
      </c>
      <c r="IN31">
        <v>-3.3462661358721217E-2</v>
      </c>
      <c r="IO31">
        <v>-7.6058941998734366E-3</v>
      </c>
      <c r="IP31">
        <v>1.6984902717538061E-3</v>
      </c>
      <c r="IQ31">
        <v>-9.6352527008986976E-6</v>
      </c>
      <c r="IR31">
        <v>2</v>
      </c>
      <c r="IS31">
        <v>2021</v>
      </c>
      <c r="IT31">
        <v>2</v>
      </c>
      <c r="IU31">
        <v>40</v>
      </c>
      <c r="IV31">
        <v>0.7</v>
      </c>
      <c r="IW31">
        <v>0.5</v>
      </c>
      <c r="IX31">
        <v>1.02905</v>
      </c>
      <c r="IY31">
        <v>2.47925</v>
      </c>
      <c r="IZ31">
        <v>1.34399</v>
      </c>
      <c r="JA31">
        <v>2.2485400000000002</v>
      </c>
      <c r="JB31">
        <v>1.5918000000000001</v>
      </c>
      <c r="JC31">
        <v>2.2888199999999999</v>
      </c>
      <c r="JD31">
        <v>38.256799999999998</v>
      </c>
      <c r="JE31">
        <v>23.991199999999999</v>
      </c>
      <c r="JF31">
        <v>18</v>
      </c>
      <c r="JG31">
        <v>505.137</v>
      </c>
      <c r="JH31">
        <v>439.43200000000002</v>
      </c>
      <c r="JI31">
        <v>25.828900000000001</v>
      </c>
      <c r="JJ31">
        <v>31.4117</v>
      </c>
      <c r="JK31">
        <v>30.000499999999999</v>
      </c>
      <c r="JL31">
        <v>31.1751</v>
      </c>
      <c r="JM31">
        <v>31.1096</v>
      </c>
      <c r="JN31">
        <v>20.6739</v>
      </c>
      <c r="JO31">
        <v>28.123999999999999</v>
      </c>
      <c r="JP31">
        <v>72.349699999999999</v>
      </c>
      <c r="JQ31">
        <v>25.8248</v>
      </c>
      <c r="JR31">
        <v>400</v>
      </c>
      <c r="JS31">
        <v>23.292000000000002</v>
      </c>
      <c r="JT31">
        <v>99.573499999999996</v>
      </c>
      <c r="JU31">
        <v>97.518299999999996</v>
      </c>
    </row>
    <row r="32" spans="1:281" x14ac:dyDescent="0.25">
      <c r="A32">
        <v>16</v>
      </c>
      <c r="B32">
        <v>1693325816.0999999</v>
      </c>
      <c r="C32">
        <v>4054.599999904633</v>
      </c>
      <c r="D32" t="s">
        <v>497</v>
      </c>
      <c r="E32" t="s">
        <v>498</v>
      </c>
      <c r="F32" t="s">
        <v>413</v>
      </c>
      <c r="G32" t="s">
        <v>492</v>
      </c>
      <c r="H32" t="s">
        <v>493</v>
      </c>
      <c r="I32" t="s">
        <v>493</v>
      </c>
      <c r="J32">
        <v>1693325816.0999999</v>
      </c>
      <c r="K32">
        <f t="shared" si="0"/>
        <v>4.1647359821149737E-3</v>
      </c>
      <c r="L32">
        <f t="shared" si="1"/>
        <v>4.1647359821149736</v>
      </c>
      <c r="M32">
        <f t="shared" si="2"/>
        <v>29.436057990396591</v>
      </c>
      <c r="N32">
        <f t="shared" si="3"/>
        <v>263.41800000000001</v>
      </c>
      <c r="O32">
        <f t="shared" si="4"/>
        <v>87.856484697543792</v>
      </c>
      <c r="P32">
        <f t="shared" si="5"/>
        <v>8.7181530943827266</v>
      </c>
      <c r="Q32">
        <f t="shared" si="6"/>
        <v>26.139430227855602</v>
      </c>
      <c r="R32">
        <f t="shared" si="7"/>
        <v>0.28781246586939518</v>
      </c>
      <c r="S32">
        <f t="shared" si="8"/>
        <v>2.9125439894564829</v>
      </c>
      <c r="T32">
        <f t="shared" si="9"/>
        <v>0.27289388832109146</v>
      </c>
      <c r="U32">
        <f t="shared" si="10"/>
        <v>0.17183458847136021</v>
      </c>
      <c r="V32">
        <f t="shared" si="11"/>
        <v>344.40549964462758</v>
      </c>
      <c r="W32">
        <f t="shared" si="12"/>
        <v>31.085790395732801</v>
      </c>
      <c r="X32">
        <f t="shared" si="13"/>
        <v>30.002600000000001</v>
      </c>
      <c r="Y32">
        <f t="shared" si="14"/>
        <v>4.2610860773610062</v>
      </c>
      <c r="Z32">
        <f t="shared" si="15"/>
        <v>65.227116197623985</v>
      </c>
      <c r="AA32">
        <f t="shared" si="16"/>
        <v>2.8005582597340806</v>
      </c>
      <c r="AB32">
        <f t="shared" si="17"/>
        <v>4.2935490988885636</v>
      </c>
      <c r="AC32">
        <f t="shared" si="18"/>
        <v>1.4605278176269256</v>
      </c>
      <c r="AD32">
        <f t="shared" si="19"/>
        <v>-183.66485681127034</v>
      </c>
      <c r="AE32">
        <f t="shared" si="20"/>
        <v>20.758185660175798</v>
      </c>
      <c r="AF32">
        <f t="shared" si="21"/>
        <v>1.5858108511515849</v>
      </c>
      <c r="AG32">
        <f t="shared" si="22"/>
        <v>183.0846393446846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51826.834069587698</v>
      </c>
      <c r="AM32" t="s">
        <v>415</v>
      </c>
      <c r="AN32">
        <v>10366.9</v>
      </c>
      <c r="AO32">
        <v>993.59653846153856</v>
      </c>
      <c r="AP32">
        <v>3431.87</v>
      </c>
      <c r="AQ32">
        <f t="shared" si="26"/>
        <v>0.71047955241266758</v>
      </c>
      <c r="AR32">
        <v>-3.9894345373445681</v>
      </c>
      <c r="AS32" t="s">
        <v>499</v>
      </c>
      <c r="AT32">
        <v>10383.799999999999</v>
      </c>
      <c r="AU32">
        <v>687.29655999999989</v>
      </c>
      <c r="AV32">
        <v>910.11050768216876</v>
      </c>
      <c r="AW32">
        <f t="shared" si="27"/>
        <v>0.24482076165632027</v>
      </c>
      <c r="AX32">
        <v>0.5</v>
      </c>
      <c r="AY32">
        <f t="shared" si="28"/>
        <v>1513.3442998223138</v>
      </c>
      <c r="AZ32">
        <f t="shared" si="29"/>
        <v>29.436057990396591</v>
      </c>
      <c r="BA32">
        <f t="shared" si="30"/>
        <v>185.2490520653748</v>
      </c>
      <c r="BB32">
        <f t="shared" si="31"/>
        <v>2.2087169807733602E-2</v>
      </c>
      <c r="BC32">
        <f t="shared" si="32"/>
        <v>2.7708277962202001</v>
      </c>
      <c r="BD32">
        <f t="shared" si="33"/>
        <v>551.32077819875235</v>
      </c>
      <c r="BE32" t="s">
        <v>500</v>
      </c>
      <c r="BF32">
        <v>562.49</v>
      </c>
      <c r="BG32">
        <f t="shared" si="34"/>
        <v>562.49</v>
      </c>
      <c r="BH32">
        <f t="shared" si="35"/>
        <v>0.38195417451829461</v>
      </c>
      <c r="BI32">
        <f t="shared" si="36"/>
        <v>0.64096893813263989</v>
      </c>
      <c r="BJ32">
        <f t="shared" si="37"/>
        <v>0.87885170047809325</v>
      </c>
      <c r="BK32">
        <f t="shared" si="38"/>
        <v>-2.6688770037589133</v>
      </c>
      <c r="BL32">
        <f t="shared" si="39"/>
        <v>1.0342398143999374</v>
      </c>
      <c r="BM32">
        <f t="shared" si="40"/>
        <v>0.5245750364445716</v>
      </c>
      <c r="BN32">
        <f t="shared" si="41"/>
        <v>0.4754249635554284</v>
      </c>
      <c r="BO32">
        <v>1983</v>
      </c>
      <c r="BP32">
        <v>290.00000000000011</v>
      </c>
      <c r="BQ32">
        <v>847.3</v>
      </c>
      <c r="BR32">
        <v>195</v>
      </c>
      <c r="BS32">
        <v>10383.799999999999</v>
      </c>
      <c r="BT32">
        <v>847.03</v>
      </c>
      <c r="BU32">
        <v>0.27</v>
      </c>
      <c r="BV32">
        <v>300.00000000000011</v>
      </c>
      <c r="BW32">
        <v>38.4</v>
      </c>
      <c r="BX32">
        <v>910.11050768216876</v>
      </c>
      <c r="BY32">
        <v>1.191356509878378</v>
      </c>
      <c r="BZ32">
        <v>-65.505591325389204</v>
      </c>
      <c r="CA32">
        <v>1.0123481069256819</v>
      </c>
      <c r="CB32">
        <v>0.9933569674421272</v>
      </c>
      <c r="CC32">
        <v>-1.129699488320357E-2</v>
      </c>
      <c r="CD32">
        <v>289.99999999999989</v>
      </c>
      <c r="CE32">
        <v>841.34</v>
      </c>
      <c r="CF32">
        <v>665</v>
      </c>
      <c r="CG32">
        <v>10361.5</v>
      </c>
      <c r="CH32">
        <v>846.89</v>
      </c>
      <c r="CI32">
        <v>-5.55</v>
      </c>
      <c r="CW32">
        <f t="shared" si="42"/>
        <v>1800.19</v>
      </c>
      <c r="CX32">
        <f t="shared" si="43"/>
        <v>1513.3442998223138</v>
      </c>
      <c r="CY32">
        <f t="shared" si="44"/>
        <v>0.8406580971021469</v>
      </c>
      <c r="CZ32">
        <f t="shared" si="45"/>
        <v>0.19131619420429374</v>
      </c>
      <c r="DA32">
        <v>6</v>
      </c>
      <c r="DB32">
        <v>0.5</v>
      </c>
      <c r="DC32" t="s">
        <v>418</v>
      </c>
      <c r="DD32">
        <v>2</v>
      </c>
      <c r="DE32">
        <v>1693325816.0999999</v>
      </c>
      <c r="DF32">
        <v>263.41800000000001</v>
      </c>
      <c r="DG32">
        <v>300.06200000000001</v>
      </c>
      <c r="DH32">
        <v>28.2224</v>
      </c>
      <c r="DI32">
        <v>23.365200000000002</v>
      </c>
      <c r="DJ32">
        <v>262.52800000000002</v>
      </c>
      <c r="DK32">
        <v>27.390999999999998</v>
      </c>
      <c r="DL32">
        <v>499.94200000000001</v>
      </c>
      <c r="DM32">
        <v>99.132900000000006</v>
      </c>
      <c r="DN32">
        <v>9.8854200000000003E-2</v>
      </c>
      <c r="DO32">
        <v>30.134799999999998</v>
      </c>
      <c r="DP32">
        <v>30.002600000000001</v>
      </c>
      <c r="DQ32">
        <v>999.9</v>
      </c>
      <c r="DR32">
        <v>0</v>
      </c>
      <c r="DS32">
        <v>0</v>
      </c>
      <c r="DT32">
        <v>9990</v>
      </c>
      <c r="DU32">
        <v>0</v>
      </c>
      <c r="DV32">
        <v>1749.85</v>
      </c>
      <c r="DW32">
        <v>-36.644300000000001</v>
      </c>
      <c r="DX32">
        <v>271.06799999999998</v>
      </c>
      <c r="DY32">
        <v>307.24099999999999</v>
      </c>
      <c r="DZ32">
        <v>4.8571999999999997</v>
      </c>
      <c r="EA32">
        <v>300.06200000000001</v>
      </c>
      <c r="EB32">
        <v>23.365200000000002</v>
      </c>
      <c r="EC32">
        <v>2.7977699999999999</v>
      </c>
      <c r="ED32">
        <v>2.3162699999999998</v>
      </c>
      <c r="EE32">
        <v>22.870999999999999</v>
      </c>
      <c r="EF32">
        <v>19.79</v>
      </c>
      <c r="EG32">
        <v>1800.19</v>
      </c>
      <c r="EH32">
        <v>0.97799999999999998</v>
      </c>
      <c r="EI32">
        <v>2.19998E-2</v>
      </c>
      <c r="EJ32">
        <v>0</v>
      </c>
      <c r="EK32">
        <v>686.74400000000003</v>
      </c>
      <c r="EL32">
        <v>5.0002700000000004</v>
      </c>
      <c r="EM32">
        <v>13091.3</v>
      </c>
      <c r="EN32">
        <v>16250.3</v>
      </c>
      <c r="EO32">
        <v>46.811999999999998</v>
      </c>
      <c r="EP32">
        <v>49.25</v>
      </c>
      <c r="EQ32">
        <v>48.061999999999998</v>
      </c>
      <c r="ER32">
        <v>48.186999999999998</v>
      </c>
      <c r="ES32">
        <v>48.686999999999998</v>
      </c>
      <c r="ET32">
        <v>1755.7</v>
      </c>
      <c r="EU32">
        <v>39.49</v>
      </c>
      <c r="EV32">
        <v>0</v>
      </c>
      <c r="EW32">
        <v>97.799999952316284</v>
      </c>
      <c r="EX32">
        <v>0</v>
      </c>
      <c r="EY32">
        <v>687.29655999999989</v>
      </c>
      <c r="EZ32">
        <v>-6.5689230567369474</v>
      </c>
      <c r="FA32">
        <v>-128.54615383268759</v>
      </c>
      <c r="FB32">
        <v>13106.012000000001</v>
      </c>
      <c r="FC32">
        <v>15</v>
      </c>
      <c r="FD32">
        <v>1693325784.0999999</v>
      </c>
      <c r="FE32" t="s">
        <v>501</v>
      </c>
      <c r="FF32">
        <v>1693325779.0999999</v>
      </c>
      <c r="FG32">
        <v>1693325784.0999999</v>
      </c>
      <c r="FH32">
        <v>19</v>
      </c>
      <c r="FI32">
        <v>-6.0000000000000001E-3</v>
      </c>
      <c r="FJ32">
        <v>-3.0000000000000001E-3</v>
      </c>
      <c r="FK32">
        <v>0.90100000000000002</v>
      </c>
      <c r="FL32">
        <v>0.55100000000000005</v>
      </c>
      <c r="FM32">
        <v>300</v>
      </c>
      <c r="FN32">
        <v>23</v>
      </c>
      <c r="FO32">
        <v>0.18</v>
      </c>
      <c r="FP32">
        <v>0.04</v>
      </c>
      <c r="FQ32">
        <v>29.35975418271202</v>
      </c>
      <c r="FR32">
        <v>-0.24230244847673879</v>
      </c>
      <c r="FS32">
        <v>5.9408517755779197E-2</v>
      </c>
      <c r="FT32">
        <v>1</v>
      </c>
      <c r="FU32">
        <v>0.2921213221292232</v>
      </c>
      <c r="FV32">
        <v>-1.9049859962759812E-2</v>
      </c>
      <c r="FW32">
        <v>2.29825592319669E-3</v>
      </c>
      <c r="FX32">
        <v>1</v>
      </c>
      <c r="FY32">
        <v>2</v>
      </c>
      <c r="FZ32">
        <v>2</v>
      </c>
      <c r="GA32" t="s">
        <v>429</v>
      </c>
      <c r="GB32">
        <v>3.13402</v>
      </c>
      <c r="GC32">
        <v>2.8639199999999998</v>
      </c>
      <c r="GD32">
        <v>6.5757300000000005E-2</v>
      </c>
      <c r="GE32">
        <v>7.5487100000000001E-2</v>
      </c>
      <c r="GF32">
        <v>0.12742600000000001</v>
      </c>
      <c r="GG32">
        <v>0.116761</v>
      </c>
      <c r="GH32">
        <v>28288.799999999999</v>
      </c>
      <c r="GI32">
        <v>21543.5</v>
      </c>
      <c r="GJ32">
        <v>29196.1</v>
      </c>
      <c r="GK32">
        <v>21720.799999999999</v>
      </c>
      <c r="GL32">
        <v>34136.199999999997</v>
      </c>
      <c r="GM32">
        <v>26397.4</v>
      </c>
      <c r="GN32">
        <v>40527.1</v>
      </c>
      <c r="GO32">
        <v>30864.799999999999</v>
      </c>
      <c r="GP32">
        <v>2.0259999999999998</v>
      </c>
      <c r="GQ32">
        <v>1.8512</v>
      </c>
      <c r="GR32">
        <v>4.8935399999999997E-2</v>
      </c>
      <c r="GS32">
        <v>0</v>
      </c>
      <c r="GT32">
        <v>29.2057</v>
      </c>
      <c r="GU32">
        <v>999.9</v>
      </c>
      <c r="GV32">
        <v>57.3</v>
      </c>
      <c r="GW32">
        <v>32.799999999999997</v>
      </c>
      <c r="GX32">
        <v>28.8751</v>
      </c>
      <c r="GY32">
        <v>61.887599999999999</v>
      </c>
      <c r="GZ32">
        <v>12.023199999999999</v>
      </c>
      <c r="HA32">
        <v>1</v>
      </c>
      <c r="HB32">
        <v>0.30707299999999998</v>
      </c>
      <c r="HC32">
        <v>2.7221199999999999</v>
      </c>
      <c r="HD32">
        <v>20.261399999999998</v>
      </c>
      <c r="HE32">
        <v>5.2256799999999997</v>
      </c>
      <c r="HF32">
        <v>11.974</v>
      </c>
      <c r="HG32">
        <v>4.9718</v>
      </c>
      <c r="HH32">
        <v>3.2816000000000001</v>
      </c>
      <c r="HI32">
        <v>9999</v>
      </c>
      <c r="HJ32">
        <v>9999</v>
      </c>
      <c r="HK32">
        <v>9999</v>
      </c>
      <c r="HL32">
        <v>999.9</v>
      </c>
      <c r="HM32">
        <v>1.86111</v>
      </c>
      <c r="HN32">
        <v>1.8627800000000001</v>
      </c>
      <c r="HO32">
        <v>1.8681300000000001</v>
      </c>
      <c r="HP32">
        <v>1.8588100000000001</v>
      </c>
      <c r="HQ32">
        <v>1.8571599999999999</v>
      </c>
      <c r="HR32">
        <v>1.8609100000000001</v>
      </c>
      <c r="HS32">
        <v>1.8647800000000001</v>
      </c>
      <c r="HT32">
        <v>1.86677</v>
      </c>
      <c r="HU32">
        <v>5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0.89</v>
      </c>
      <c r="II32">
        <v>0.83140000000000003</v>
      </c>
      <c r="IJ32">
        <v>0.70344818699062195</v>
      </c>
      <c r="IK32">
        <v>1.118558698776514E-3</v>
      </c>
      <c r="IL32">
        <v>-1.6939696309573479E-6</v>
      </c>
      <c r="IM32">
        <v>5.4698917449866148E-10</v>
      </c>
      <c r="IN32">
        <v>-3.6501760841539888E-2</v>
      </c>
      <c r="IO32">
        <v>-7.6058941998734366E-3</v>
      </c>
      <c r="IP32">
        <v>1.6984902717538061E-3</v>
      </c>
      <c r="IQ32">
        <v>-9.6352527008986976E-6</v>
      </c>
      <c r="IR32">
        <v>2</v>
      </c>
      <c r="IS32">
        <v>2021</v>
      </c>
      <c r="IT32">
        <v>2</v>
      </c>
      <c r="IU32">
        <v>40</v>
      </c>
      <c r="IV32">
        <v>0.6</v>
      </c>
      <c r="IW32">
        <v>0.5</v>
      </c>
      <c r="IX32">
        <v>0.81909200000000004</v>
      </c>
      <c r="IY32">
        <v>2.4841299999999999</v>
      </c>
      <c r="IZ32">
        <v>1.34399</v>
      </c>
      <c r="JA32">
        <v>2.2485400000000002</v>
      </c>
      <c r="JB32">
        <v>1.5918000000000001</v>
      </c>
      <c r="JC32">
        <v>2.2583000000000002</v>
      </c>
      <c r="JD32">
        <v>38.281199999999998</v>
      </c>
      <c r="JE32">
        <v>23.991199999999999</v>
      </c>
      <c r="JF32">
        <v>18</v>
      </c>
      <c r="JG32">
        <v>504.97199999999998</v>
      </c>
      <c r="JH32">
        <v>439.02600000000001</v>
      </c>
      <c r="JI32">
        <v>25.811299999999999</v>
      </c>
      <c r="JJ32">
        <v>31.471699999999998</v>
      </c>
      <c r="JK32">
        <v>30.000299999999999</v>
      </c>
      <c r="JL32">
        <v>31.2376</v>
      </c>
      <c r="JM32">
        <v>31.171900000000001</v>
      </c>
      <c r="JN32">
        <v>16.478100000000001</v>
      </c>
      <c r="JO32">
        <v>28.0563</v>
      </c>
      <c r="JP32">
        <v>72.092699999999994</v>
      </c>
      <c r="JQ32">
        <v>25.800699999999999</v>
      </c>
      <c r="JR32">
        <v>300</v>
      </c>
      <c r="JS32">
        <v>23.308599999999998</v>
      </c>
      <c r="JT32">
        <v>99.558199999999999</v>
      </c>
      <c r="JU32">
        <v>97.510999999999996</v>
      </c>
    </row>
    <row r="33" spans="1:281" x14ac:dyDescent="0.25">
      <c r="A33">
        <v>17</v>
      </c>
      <c r="B33">
        <v>1693325922.0999999</v>
      </c>
      <c r="C33">
        <v>4160.5999999046326</v>
      </c>
      <c r="D33" t="s">
        <v>502</v>
      </c>
      <c r="E33" t="s">
        <v>503</v>
      </c>
      <c r="F33" t="s">
        <v>413</v>
      </c>
      <c r="G33" t="s">
        <v>492</v>
      </c>
      <c r="H33" t="s">
        <v>493</v>
      </c>
      <c r="I33" t="s">
        <v>493</v>
      </c>
      <c r="J33">
        <v>1693325922.0999999</v>
      </c>
      <c r="K33">
        <f t="shared" si="0"/>
        <v>4.4444467999334731E-3</v>
      </c>
      <c r="L33">
        <f t="shared" si="1"/>
        <v>4.4444467999334734</v>
      </c>
      <c r="M33">
        <f t="shared" si="2"/>
        <v>20.26266986011564</v>
      </c>
      <c r="N33">
        <f t="shared" si="3"/>
        <v>174.72</v>
      </c>
      <c r="O33">
        <f t="shared" si="4"/>
        <v>62.636832716706174</v>
      </c>
      <c r="P33">
        <f t="shared" si="5"/>
        <v>6.2156228442059138</v>
      </c>
      <c r="Q33">
        <f t="shared" si="6"/>
        <v>17.33793961536</v>
      </c>
      <c r="R33">
        <f t="shared" si="7"/>
        <v>0.31185201097540588</v>
      </c>
      <c r="S33">
        <f t="shared" si="8"/>
        <v>2.9099099211394659</v>
      </c>
      <c r="T33">
        <f t="shared" si="9"/>
        <v>0.29440342151232479</v>
      </c>
      <c r="U33">
        <f t="shared" si="10"/>
        <v>0.18548842142703709</v>
      </c>
      <c r="V33">
        <f t="shared" si="11"/>
        <v>344.34279964456238</v>
      </c>
      <c r="W33">
        <f t="shared" si="12"/>
        <v>31.009280770101618</v>
      </c>
      <c r="X33">
        <f t="shared" si="13"/>
        <v>29.9878</v>
      </c>
      <c r="Y33">
        <f t="shared" si="14"/>
        <v>4.2574651396517913</v>
      </c>
      <c r="Z33">
        <f t="shared" si="15"/>
        <v>65.526225076802163</v>
      </c>
      <c r="AA33">
        <f t="shared" si="16"/>
        <v>2.8127710965275998</v>
      </c>
      <c r="AB33">
        <f t="shared" si="17"/>
        <v>4.2925883388380743</v>
      </c>
      <c r="AC33">
        <f t="shared" si="18"/>
        <v>1.4446940431241915</v>
      </c>
      <c r="AD33">
        <f t="shared" si="19"/>
        <v>-196.00010387706615</v>
      </c>
      <c r="AE33">
        <f t="shared" si="20"/>
        <v>22.449394010958255</v>
      </c>
      <c r="AF33">
        <f t="shared" si="21"/>
        <v>1.7164034208091825</v>
      </c>
      <c r="AG33">
        <f t="shared" si="22"/>
        <v>172.50849319926365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51752.6185446241</v>
      </c>
      <c r="AM33" t="s">
        <v>415</v>
      </c>
      <c r="AN33">
        <v>10366.9</v>
      </c>
      <c r="AO33">
        <v>993.59653846153856</v>
      </c>
      <c r="AP33">
        <v>3431.87</v>
      </c>
      <c r="AQ33">
        <f t="shared" si="26"/>
        <v>0.71047955241266758</v>
      </c>
      <c r="AR33">
        <v>-3.9894345373445681</v>
      </c>
      <c r="AS33" t="s">
        <v>504</v>
      </c>
      <c r="AT33">
        <v>10377.5</v>
      </c>
      <c r="AU33">
        <v>676.90668000000005</v>
      </c>
      <c r="AV33">
        <v>831.26690051670892</v>
      </c>
      <c r="AW33">
        <f t="shared" si="27"/>
        <v>0.18569273048254387</v>
      </c>
      <c r="AX33">
        <v>0.5</v>
      </c>
      <c r="AY33">
        <f t="shared" si="28"/>
        <v>1513.0670998222813</v>
      </c>
      <c r="AZ33">
        <f t="shared" si="29"/>
        <v>20.26266986011564</v>
      </c>
      <c r="BA33">
        <f t="shared" si="30"/>
        <v>140.48278058465158</v>
      </c>
      <c r="BB33">
        <f t="shared" si="31"/>
        <v>1.6028439452757094E-2</v>
      </c>
      <c r="BC33">
        <f t="shared" si="32"/>
        <v>3.12848147552462</v>
      </c>
      <c r="BD33">
        <f t="shared" si="33"/>
        <v>521.36516332944268</v>
      </c>
      <c r="BE33" t="s">
        <v>505</v>
      </c>
      <c r="BF33">
        <v>553.27</v>
      </c>
      <c r="BG33">
        <f t="shared" si="34"/>
        <v>553.27</v>
      </c>
      <c r="BH33">
        <f t="shared" si="35"/>
        <v>0.33442556216770847</v>
      </c>
      <c r="BI33">
        <f t="shared" si="36"/>
        <v>0.55525878248930727</v>
      </c>
      <c r="BJ33">
        <f t="shared" si="37"/>
        <v>0.90342635290880668</v>
      </c>
      <c r="BK33">
        <f t="shared" si="38"/>
        <v>-0.95090596191171628</v>
      </c>
      <c r="BL33">
        <f t="shared" si="39"/>
        <v>1.0665756489193814</v>
      </c>
      <c r="BM33">
        <f t="shared" si="40"/>
        <v>0.45384103254507552</v>
      </c>
      <c r="BN33">
        <f t="shared" si="41"/>
        <v>0.54615896745492454</v>
      </c>
      <c r="BO33">
        <v>1985</v>
      </c>
      <c r="BP33">
        <v>290.00000000000011</v>
      </c>
      <c r="BQ33">
        <v>790.16</v>
      </c>
      <c r="BR33">
        <v>235</v>
      </c>
      <c r="BS33">
        <v>10377.5</v>
      </c>
      <c r="BT33">
        <v>790.11</v>
      </c>
      <c r="BU33">
        <v>0.05</v>
      </c>
      <c r="BV33">
        <v>300.00000000000011</v>
      </c>
      <c r="BW33">
        <v>38.4</v>
      </c>
      <c r="BX33">
        <v>831.26690051670892</v>
      </c>
      <c r="BY33">
        <v>0.89867841759281464</v>
      </c>
      <c r="BZ33">
        <v>-42.709673649498662</v>
      </c>
      <c r="CA33">
        <v>0.763607855750422</v>
      </c>
      <c r="CB33">
        <v>0.99112892094149019</v>
      </c>
      <c r="CC33">
        <v>-1.1296389321468311E-2</v>
      </c>
      <c r="CD33">
        <v>289.99999999999989</v>
      </c>
      <c r="CE33">
        <v>786.74</v>
      </c>
      <c r="CF33">
        <v>625</v>
      </c>
      <c r="CG33">
        <v>10365</v>
      </c>
      <c r="CH33">
        <v>790.06</v>
      </c>
      <c r="CI33">
        <v>-3.32</v>
      </c>
      <c r="CW33">
        <f t="shared" si="42"/>
        <v>1799.86</v>
      </c>
      <c r="CX33">
        <f t="shared" si="43"/>
        <v>1513.0670998222813</v>
      </c>
      <c r="CY33">
        <f t="shared" si="44"/>
        <v>0.84065821776264893</v>
      </c>
      <c r="CZ33">
        <f t="shared" si="45"/>
        <v>0.19131643552529776</v>
      </c>
      <c r="DA33">
        <v>6</v>
      </c>
      <c r="DB33">
        <v>0.5</v>
      </c>
      <c r="DC33" t="s">
        <v>418</v>
      </c>
      <c r="DD33">
        <v>2</v>
      </c>
      <c r="DE33">
        <v>1693325922.0999999</v>
      </c>
      <c r="DF33">
        <v>174.72</v>
      </c>
      <c r="DG33">
        <v>199.95699999999999</v>
      </c>
      <c r="DH33">
        <v>28.345199999999998</v>
      </c>
      <c r="DI33">
        <v>23.165099999999999</v>
      </c>
      <c r="DJ33">
        <v>174.05199999999999</v>
      </c>
      <c r="DK33">
        <v>27.502400000000002</v>
      </c>
      <c r="DL33">
        <v>500.19900000000001</v>
      </c>
      <c r="DM33">
        <v>99.132499999999993</v>
      </c>
      <c r="DN33">
        <v>0.100213</v>
      </c>
      <c r="DO33">
        <v>30.1309</v>
      </c>
      <c r="DP33">
        <v>29.9878</v>
      </c>
      <c r="DQ33">
        <v>999.9</v>
      </c>
      <c r="DR33">
        <v>0</v>
      </c>
      <c r="DS33">
        <v>0</v>
      </c>
      <c r="DT33">
        <v>9975</v>
      </c>
      <c r="DU33">
        <v>0</v>
      </c>
      <c r="DV33">
        <v>1750.94</v>
      </c>
      <c r="DW33">
        <v>-25.2361</v>
      </c>
      <c r="DX33">
        <v>179.81700000000001</v>
      </c>
      <c r="DY33">
        <v>204.69800000000001</v>
      </c>
      <c r="DZ33">
        <v>5.18004</v>
      </c>
      <c r="EA33">
        <v>199.95699999999999</v>
      </c>
      <c r="EB33">
        <v>23.165099999999999</v>
      </c>
      <c r="EC33">
        <v>2.80993</v>
      </c>
      <c r="ED33">
        <v>2.2964199999999999</v>
      </c>
      <c r="EE33">
        <v>22.942499999999999</v>
      </c>
      <c r="EF33">
        <v>19.651299999999999</v>
      </c>
      <c r="EG33">
        <v>1799.86</v>
      </c>
      <c r="EH33">
        <v>0.97799700000000001</v>
      </c>
      <c r="EI33">
        <v>2.2003399999999999E-2</v>
      </c>
      <c r="EJ33">
        <v>0</v>
      </c>
      <c r="EK33">
        <v>676.14700000000005</v>
      </c>
      <c r="EL33">
        <v>5.0002700000000004</v>
      </c>
      <c r="EM33">
        <v>12911</v>
      </c>
      <c r="EN33">
        <v>16247.3</v>
      </c>
      <c r="EO33">
        <v>46.875</v>
      </c>
      <c r="EP33">
        <v>49.311999999999998</v>
      </c>
      <c r="EQ33">
        <v>48.061999999999998</v>
      </c>
      <c r="ER33">
        <v>48.25</v>
      </c>
      <c r="ES33">
        <v>48.686999999999998</v>
      </c>
      <c r="ET33">
        <v>1755.37</v>
      </c>
      <c r="EU33">
        <v>39.49</v>
      </c>
      <c r="EV33">
        <v>0</v>
      </c>
      <c r="EW33">
        <v>103.7999999523163</v>
      </c>
      <c r="EX33">
        <v>0</v>
      </c>
      <c r="EY33">
        <v>676.90668000000005</v>
      </c>
      <c r="EZ33">
        <v>-4.8879230776809477</v>
      </c>
      <c r="FA33">
        <v>-66.384615418235256</v>
      </c>
      <c r="FB33">
        <v>12920.088</v>
      </c>
      <c r="FC33">
        <v>15</v>
      </c>
      <c r="FD33">
        <v>1693325893.5999999</v>
      </c>
      <c r="FE33" t="s">
        <v>506</v>
      </c>
      <c r="FF33">
        <v>1693325888.5999999</v>
      </c>
      <c r="FG33">
        <v>1693325893.5999999</v>
      </c>
      <c r="FH33">
        <v>20</v>
      </c>
      <c r="FI33">
        <v>-0.182</v>
      </c>
      <c r="FJ33">
        <v>4.0000000000000001E-3</v>
      </c>
      <c r="FK33">
        <v>0.68200000000000005</v>
      </c>
      <c r="FL33">
        <v>0.55500000000000005</v>
      </c>
      <c r="FM33">
        <v>200</v>
      </c>
      <c r="FN33">
        <v>23</v>
      </c>
      <c r="FO33">
        <v>0.19</v>
      </c>
      <c r="FP33">
        <v>0.05</v>
      </c>
      <c r="FQ33">
        <v>20.28314852934491</v>
      </c>
      <c r="FR33">
        <v>0.38055627773227219</v>
      </c>
      <c r="FS33">
        <v>5.7242072397489852E-2</v>
      </c>
      <c r="FT33">
        <v>1</v>
      </c>
      <c r="FU33">
        <v>0.30920796698706049</v>
      </c>
      <c r="FV33">
        <v>3.4090461109947331E-2</v>
      </c>
      <c r="FW33">
        <v>4.431448745998154E-3</v>
      </c>
      <c r="FX33">
        <v>1</v>
      </c>
      <c r="FY33">
        <v>2</v>
      </c>
      <c r="FZ33">
        <v>2</v>
      </c>
      <c r="GA33" t="s">
        <v>429</v>
      </c>
      <c r="GB33">
        <v>3.1342699999999999</v>
      </c>
      <c r="GC33">
        <v>2.8651499999999999</v>
      </c>
      <c r="GD33">
        <v>4.5881100000000001E-2</v>
      </c>
      <c r="GE33">
        <v>5.3428200000000002E-2</v>
      </c>
      <c r="GF33">
        <v>0.127779</v>
      </c>
      <c r="GG33">
        <v>0.116054</v>
      </c>
      <c r="GH33">
        <v>28890.3</v>
      </c>
      <c r="GI33">
        <v>22059.1</v>
      </c>
      <c r="GJ33">
        <v>29195.8</v>
      </c>
      <c r="GK33">
        <v>21722.5</v>
      </c>
      <c r="GL33">
        <v>34119.4</v>
      </c>
      <c r="GM33">
        <v>26419.1</v>
      </c>
      <c r="GN33">
        <v>40526.1</v>
      </c>
      <c r="GO33">
        <v>30867.4</v>
      </c>
      <c r="GP33">
        <v>2.0266999999999999</v>
      </c>
      <c r="GQ33">
        <v>1.8491</v>
      </c>
      <c r="GR33">
        <v>4.4554499999999997E-2</v>
      </c>
      <c r="GS33">
        <v>0</v>
      </c>
      <c r="GT33">
        <v>29.2623</v>
      </c>
      <c r="GU33">
        <v>999.9</v>
      </c>
      <c r="GV33">
        <v>57.2</v>
      </c>
      <c r="GW33">
        <v>32.9</v>
      </c>
      <c r="GX33">
        <v>28.985399999999998</v>
      </c>
      <c r="GY33">
        <v>61.997599999999998</v>
      </c>
      <c r="GZ33">
        <v>11.694699999999999</v>
      </c>
      <c r="HA33">
        <v>1</v>
      </c>
      <c r="HB33">
        <v>0.30823200000000001</v>
      </c>
      <c r="HC33">
        <v>2.7900900000000002</v>
      </c>
      <c r="HD33">
        <v>20.2624</v>
      </c>
      <c r="HE33">
        <v>5.2352600000000002</v>
      </c>
      <c r="HF33">
        <v>11.974600000000001</v>
      </c>
      <c r="HG33">
        <v>4.9752000000000001</v>
      </c>
      <c r="HH33">
        <v>3.2839999999999998</v>
      </c>
      <c r="HI33">
        <v>9999</v>
      </c>
      <c r="HJ33">
        <v>9999</v>
      </c>
      <c r="HK33">
        <v>9999</v>
      </c>
      <c r="HL33">
        <v>999.9</v>
      </c>
      <c r="HM33">
        <v>1.86103</v>
      </c>
      <c r="HN33">
        <v>1.8627899999999999</v>
      </c>
      <c r="HO33">
        <v>1.86816</v>
      </c>
      <c r="HP33">
        <v>1.8588100000000001</v>
      </c>
      <c r="HQ33">
        <v>1.8572299999999999</v>
      </c>
      <c r="HR33">
        <v>1.8609100000000001</v>
      </c>
      <c r="HS33">
        <v>1.8647800000000001</v>
      </c>
      <c r="HT33">
        <v>1.86677</v>
      </c>
      <c r="HU33">
        <v>5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0.66800000000000004</v>
      </c>
      <c r="II33">
        <v>0.84279999999999999</v>
      </c>
      <c r="IJ33">
        <v>0.52195148845109496</v>
      </c>
      <c r="IK33">
        <v>1.118558698776514E-3</v>
      </c>
      <c r="IL33">
        <v>-1.6939696309573479E-6</v>
      </c>
      <c r="IM33">
        <v>5.4698917449866148E-10</v>
      </c>
      <c r="IN33">
        <v>-3.2315033114985181E-2</v>
      </c>
      <c r="IO33">
        <v>-7.6058941998734366E-3</v>
      </c>
      <c r="IP33">
        <v>1.6984902717538061E-3</v>
      </c>
      <c r="IQ33">
        <v>-9.6352527008986976E-6</v>
      </c>
      <c r="IR33">
        <v>2</v>
      </c>
      <c r="IS33">
        <v>2021</v>
      </c>
      <c r="IT33">
        <v>2</v>
      </c>
      <c r="IU33">
        <v>40</v>
      </c>
      <c r="IV33">
        <v>0.6</v>
      </c>
      <c r="IW33">
        <v>0.5</v>
      </c>
      <c r="IX33">
        <v>0.60058599999999995</v>
      </c>
      <c r="IY33">
        <v>2.49878</v>
      </c>
      <c r="IZ33">
        <v>1.34399</v>
      </c>
      <c r="JA33">
        <v>2.2485400000000002</v>
      </c>
      <c r="JB33">
        <v>1.5918000000000001</v>
      </c>
      <c r="JC33">
        <v>2.3168899999999999</v>
      </c>
      <c r="JD33">
        <v>38.305599999999998</v>
      </c>
      <c r="JE33">
        <v>23.982399999999998</v>
      </c>
      <c r="JF33">
        <v>18</v>
      </c>
      <c r="JG33">
        <v>505.71100000000001</v>
      </c>
      <c r="JH33">
        <v>437.92599999999999</v>
      </c>
      <c r="JI33">
        <v>25.6069</v>
      </c>
      <c r="JJ33">
        <v>31.496600000000001</v>
      </c>
      <c r="JK33">
        <v>30.0001</v>
      </c>
      <c r="JL33">
        <v>31.270299999999999</v>
      </c>
      <c r="JM33">
        <v>31.2044</v>
      </c>
      <c r="JN33">
        <v>12.1083</v>
      </c>
      <c r="JO33">
        <v>28.9358</v>
      </c>
      <c r="JP33">
        <v>71.514799999999994</v>
      </c>
      <c r="JQ33">
        <v>25.6126</v>
      </c>
      <c r="JR33">
        <v>200</v>
      </c>
      <c r="JS33">
        <v>23.118300000000001</v>
      </c>
      <c r="JT33">
        <v>99.556299999999993</v>
      </c>
      <c r="JU33">
        <v>97.519099999999995</v>
      </c>
    </row>
    <row r="34" spans="1:281" x14ac:dyDescent="0.25">
      <c r="A34">
        <v>18</v>
      </c>
      <c r="B34">
        <v>1693326030.0999999</v>
      </c>
      <c r="C34">
        <v>4268.5999999046326</v>
      </c>
      <c r="D34" t="s">
        <v>507</v>
      </c>
      <c r="E34" t="s">
        <v>508</v>
      </c>
      <c r="F34" t="s">
        <v>413</v>
      </c>
      <c r="G34" t="s">
        <v>492</v>
      </c>
      <c r="H34" t="s">
        <v>493</v>
      </c>
      <c r="I34" t="s">
        <v>493</v>
      </c>
      <c r="J34">
        <v>1693326030.0999999</v>
      </c>
      <c r="K34">
        <f t="shared" si="0"/>
        <v>4.7235918560882837E-3</v>
      </c>
      <c r="L34">
        <f t="shared" si="1"/>
        <v>4.7235918560882837</v>
      </c>
      <c r="M34">
        <f t="shared" si="2"/>
        <v>12.592190102308658</v>
      </c>
      <c r="N34">
        <f t="shared" si="3"/>
        <v>104.26300000000001</v>
      </c>
      <c r="O34">
        <f t="shared" si="4"/>
        <v>38.899006271719969</v>
      </c>
      <c r="P34">
        <f t="shared" si="5"/>
        <v>3.8598926889657914</v>
      </c>
      <c r="Q34">
        <f t="shared" si="6"/>
        <v>10.345868185384001</v>
      </c>
      <c r="R34">
        <f t="shared" si="7"/>
        <v>0.33367428540354299</v>
      </c>
      <c r="S34">
        <f t="shared" si="8"/>
        <v>2.9150907078402253</v>
      </c>
      <c r="T34">
        <f t="shared" si="9"/>
        <v>0.31381496974081891</v>
      </c>
      <c r="U34">
        <f t="shared" si="10"/>
        <v>0.19782006588403239</v>
      </c>
      <c r="V34">
        <f t="shared" si="11"/>
        <v>344.34279964456238</v>
      </c>
      <c r="W34">
        <f t="shared" si="12"/>
        <v>30.935057916107496</v>
      </c>
      <c r="X34">
        <f t="shared" si="13"/>
        <v>29.960899999999999</v>
      </c>
      <c r="Y34">
        <f t="shared" si="14"/>
        <v>4.2508907066629282</v>
      </c>
      <c r="Z34">
        <f t="shared" si="15"/>
        <v>65.471707601738785</v>
      </c>
      <c r="AA34">
        <f t="shared" si="16"/>
        <v>2.8104308857503999</v>
      </c>
      <c r="AB34">
        <f t="shared" si="17"/>
        <v>4.2925883388380743</v>
      </c>
      <c r="AC34">
        <f t="shared" si="18"/>
        <v>1.4404598209125283</v>
      </c>
      <c r="AD34">
        <f t="shared" si="19"/>
        <v>-208.31040085349332</v>
      </c>
      <c r="AE34">
        <f t="shared" si="20"/>
        <v>26.716922940984251</v>
      </c>
      <c r="AF34">
        <f t="shared" si="21"/>
        <v>2.0387822541411866</v>
      </c>
      <c r="AG34">
        <f t="shared" si="22"/>
        <v>164.78810398619453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51899.837988426829</v>
      </c>
      <c r="AM34" t="s">
        <v>415</v>
      </c>
      <c r="AN34">
        <v>10366.9</v>
      </c>
      <c r="AO34">
        <v>993.59653846153856</v>
      </c>
      <c r="AP34">
        <v>3431.87</v>
      </c>
      <c r="AQ34">
        <f t="shared" si="26"/>
        <v>0.71047955241266758</v>
      </c>
      <c r="AR34">
        <v>-3.9894345373445681</v>
      </c>
      <c r="AS34" t="s">
        <v>509</v>
      </c>
      <c r="AT34">
        <v>10372.200000000001</v>
      </c>
      <c r="AU34">
        <v>679.67634615384623</v>
      </c>
      <c r="AV34">
        <v>777.25694076530374</v>
      </c>
      <c r="AW34">
        <f t="shared" si="27"/>
        <v>0.12554483529652061</v>
      </c>
      <c r="AX34">
        <v>0.5</v>
      </c>
      <c r="AY34">
        <f t="shared" si="28"/>
        <v>1513.0670998222813</v>
      </c>
      <c r="AZ34">
        <f t="shared" si="29"/>
        <v>12.592190102308658</v>
      </c>
      <c r="BA34">
        <f t="shared" si="30"/>
        <v>94.978879919886211</v>
      </c>
      <c r="BB34">
        <f t="shared" si="31"/>
        <v>1.0958948642529361E-2</v>
      </c>
      <c r="BC34">
        <f t="shared" si="32"/>
        <v>3.4153610215701744</v>
      </c>
      <c r="BD34">
        <f t="shared" si="33"/>
        <v>499.59177369376368</v>
      </c>
      <c r="BE34" t="s">
        <v>510</v>
      </c>
      <c r="BF34">
        <v>556.15</v>
      </c>
      <c r="BG34">
        <f t="shared" si="34"/>
        <v>556.15</v>
      </c>
      <c r="BH34">
        <f t="shared" si="35"/>
        <v>0.28447084762935304</v>
      </c>
      <c r="BI34">
        <f t="shared" si="36"/>
        <v>0.44132759593031246</v>
      </c>
      <c r="BJ34">
        <f t="shared" si="37"/>
        <v>0.92311249330070255</v>
      </c>
      <c r="BK34">
        <f t="shared" si="38"/>
        <v>-0.45105286156846641</v>
      </c>
      <c r="BL34">
        <f t="shared" si="39"/>
        <v>1.0887265522546157</v>
      </c>
      <c r="BM34">
        <f t="shared" si="40"/>
        <v>0.36111944143056351</v>
      </c>
      <c r="BN34">
        <f t="shared" si="41"/>
        <v>0.63888055856943649</v>
      </c>
      <c r="BO34">
        <v>1987</v>
      </c>
      <c r="BP34">
        <v>290.00000000000011</v>
      </c>
      <c r="BQ34">
        <v>751.17</v>
      </c>
      <c r="BR34">
        <v>275</v>
      </c>
      <c r="BS34">
        <v>10372.200000000001</v>
      </c>
      <c r="BT34">
        <v>750.98</v>
      </c>
      <c r="BU34">
        <v>0.19</v>
      </c>
      <c r="BV34">
        <v>300.00000000000011</v>
      </c>
      <c r="BW34">
        <v>38.4</v>
      </c>
      <c r="BX34">
        <v>777.25694076530374</v>
      </c>
      <c r="BY34">
        <v>1.238287820246988</v>
      </c>
      <c r="BZ34">
        <v>-27.2500854087621</v>
      </c>
      <c r="CA34">
        <v>1.052140735025443</v>
      </c>
      <c r="CB34">
        <v>0.95993086898921531</v>
      </c>
      <c r="CC34">
        <v>-1.129560088987765E-2</v>
      </c>
      <c r="CD34">
        <v>289.99999999999989</v>
      </c>
      <c r="CE34">
        <v>747.92</v>
      </c>
      <c r="CF34">
        <v>665</v>
      </c>
      <c r="CG34">
        <v>10360.6</v>
      </c>
      <c r="CH34">
        <v>750.96</v>
      </c>
      <c r="CI34">
        <v>-3.04</v>
      </c>
      <c r="CW34">
        <f t="shared" si="42"/>
        <v>1799.86</v>
      </c>
      <c r="CX34">
        <f t="shared" si="43"/>
        <v>1513.0670998222813</v>
      </c>
      <c r="CY34">
        <f t="shared" si="44"/>
        <v>0.84065821776264893</v>
      </c>
      <c r="CZ34">
        <f t="shared" si="45"/>
        <v>0.19131643552529776</v>
      </c>
      <c r="DA34">
        <v>6</v>
      </c>
      <c r="DB34">
        <v>0.5</v>
      </c>
      <c r="DC34" t="s">
        <v>418</v>
      </c>
      <c r="DD34">
        <v>2</v>
      </c>
      <c r="DE34">
        <v>1693326030.0999999</v>
      </c>
      <c r="DF34">
        <v>104.26300000000001</v>
      </c>
      <c r="DG34">
        <v>119.965</v>
      </c>
      <c r="DH34">
        <v>28.322800000000001</v>
      </c>
      <c r="DI34">
        <v>22.814900000000002</v>
      </c>
      <c r="DJ34">
        <v>103.449</v>
      </c>
      <c r="DK34">
        <v>27.484400000000001</v>
      </c>
      <c r="DL34">
        <v>499.988</v>
      </c>
      <c r="DM34">
        <v>99.128500000000003</v>
      </c>
      <c r="DN34">
        <v>0.100068</v>
      </c>
      <c r="DO34">
        <v>30.1309</v>
      </c>
      <c r="DP34">
        <v>29.960899999999999</v>
      </c>
      <c r="DQ34">
        <v>999.9</v>
      </c>
      <c r="DR34">
        <v>0</v>
      </c>
      <c r="DS34">
        <v>0</v>
      </c>
      <c r="DT34">
        <v>10005</v>
      </c>
      <c r="DU34">
        <v>0</v>
      </c>
      <c r="DV34">
        <v>1750.31</v>
      </c>
      <c r="DW34">
        <v>-15.7026</v>
      </c>
      <c r="DX34">
        <v>107.30200000000001</v>
      </c>
      <c r="DY34">
        <v>122.76600000000001</v>
      </c>
      <c r="DZ34">
        <v>5.5078899999999997</v>
      </c>
      <c r="EA34">
        <v>119.965</v>
      </c>
      <c r="EB34">
        <v>22.814900000000002</v>
      </c>
      <c r="EC34">
        <v>2.8075899999999998</v>
      </c>
      <c r="ED34">
        <v>2.2616100000000001</v>
      </c>
      <c r="EE34">
        <v>22.928799999999999</v>
      </c>
      <c r="EF34">
        <v>19.4055</v>
      </c>
      <c r="EG34">
        <v>1799.86</v>
      </c>
      <c r="EH34">
        <v>0.97799700000000001</v>
      </c>
      <c r="EI34">
        <v>2.2003399999999999E-2</v>
      </c>
      <c r="EJ34">
        <v>0</v>
      </c>
      <c r="EK34">
        <v>679.50699999999995</v>
      </c>
      <c r="EL34">
        <v>5.0002700000000004</v>
      </c>
      <c r="EM34">
        <v>12964.2</v>
      </c>
      <c r="EN34">
        <v>16247.3</v>
      </c>
      <c r="EO34">
        <v>46.875</v>
      </c>
      <c r="EP34">
        <v>49.311999999999998</v>
      </c>
      <c r="EQ34">
        <v>48.125</v>
      </c>
      <c r="ER34">
        <v>48.186999999999998</v>
      </c>
      <c r="ES34">
        <v>48.75</v>
      </c>
      <c r="ET34">
        <v>1755.37</v>
      </c>
      <c r="EU34">
        <v>39.49</v>
      </c>
      <c r="EV34">
        <v>0</v>
      </c>
      <c r="EW34">
        <v>106.19999980926509</v>
      </c>
      <c r="EX34">
        <v>0</v>
      </c>
      <c r="EY34">
        <v>679.67634615384623</v>
      </c>
      <c r="EZ34">
        <v>-2.4928205176977731</v>
      </c>
      <c r="FA34">
        <v>-55.090598339414207</v>
      </c>
      <c r="FB34">
        <v>12971.30769230769</v>
      </c>
      <c r="FC34">
        <v>15</v>
      </c>
      <c r="FD34">
        <v>1693326002.0999999</v>
      </c>
      <c r="FE34" t="s">
        <v>511</v>
      </c>
      <c r="FF34">
        <v>1693325987.5999999</v>
      </c>
      <c r="FG34">
        <v>1693326002.0999999</v>
      </c>
      <c r="FH34">
        <v>21</v>
      </c>
      <c r="FI34">
        <v>0.19400000000000001</v>
      </c>
      <c r="FJ34">
        <v>-3.0000000000000001E-3</v>
      </c>
      <c r="FK34">
        <v>0.82599999999999996</v>
      </c>
      <c r="FL34">
        <v>0.53400000000000003</v>
      </c>
      <c r="FM34">
        <v>120</v>
      </c>
      <c r="FN34">
        <v>23</v>
      </c>
      <c r="FO34">
        <v>0.39</v>
      </c>
      <c r="FP34">
        <v>0.04</v>
      </c>
      <c r="FQ34">
        <v>12.608213295475259</v>
      </c>
      <c r="FR34">
        <v>-1.495344295162139E-2</v>
      </c>
      <c r="FS34">
        <v>4.2103124303746513E-2</v>
      </c>
      <c r="FT34">
        <v>1</v>
      </c>
      <c r="FU34">
        <v>0.33458734269682788</v>
      </c>
      <c r="FV34">
        <v>4.4145105878115792E-2</v>
      </c>
      <c r="FW34">
        <v>5.2373622572433618E-3</v>
      </c>
      <c r="FX34">
        <v>1</v>
      </c>
      <c r="FY34">
        <v>2</v>
      </c>
      <c r="FZ34">
        <v>2</v>
      </c>
      <c r="GA34" t="s">
        <v>429</v>
      </c>
      <c r="GB34">
        <v>3.1339399999999999</v>
      </c>
      <c r="GC34">
        <v>2.8652700000000002</v>
      </c>
      <c r="GD34">
        <v>2.8219999999999999E-2</v>
      </c>
      <c r="GE34">
        <v>3.3454499999999998E-2</v>
      </c>
      <c r="GF34">
        <v>0.12770400000000001</v>
      </c>
      <c r="GG34">
        <v>0.114812</v>
      </c>
      <c r="GH34">
        <v>29422.7</v>
      </c>
      <c r="GI34">
        <v>22524.6</v>
      </c>
      <c r="GJ34">
        <v>29193.7</v>
      </c>
      <c r="GK34">
        <v>21722.6</v>
      </c>
      <c r="GL34">
        <v>34118.699999999997</v>
      </c>
      <c r="GM34">
        <v>26455</v>
      </c>
      <c r="GN34">
        <v>40523.4</v>
      </c>
      <c r="GO34">
        <v>30867.7</v>
      </c>
      <c r="GP34">
        <v>2.0268000000000002</v>
      </c>
      <c r="GQ34">
        <v>1.8471</v>
      </c>
      <c r="GR34">
        <v>4.6849300000000003E-2</v>
      </c>
      <c r="GS34">
        <v>0</v>
      </c>
      <c r="GT34">
        <v>29.198</v>
      </c>
      <c r="GU34">
        <v>999.9</v>
      </c>
      <c r="GV34">
        <v>57.1</v>
      </c>
      <c r="GW34">
        <v>32.9</v>
      </c>
      <c r="GX34">
        <v>28.939900000000002</v>
      </c>
      <c r="GY34">
        <v>61.907600000000002</v>
      </c>
      <c r="GZ34">
        <v>12.1995</v>
      </c>
      <c r="HA34">
        <v>1</v>
      </c>
      <c r="HB34">
        <v>0.30925799999999998</v>
      </c>
      <c r="HC34">
        <v>2.1878199999999999</v>
      </c>
      <c r="HD34">
        <v>20.271000000000001</v>
      </c>
      <c r="HE34">
        <v>5.2352600000000002</v>
      </c>
      <c r="HF34">
        <v>11.974</v>
      </c>
      <c r="HG34">
        <v>4.9740000000000002</v>
      </c>
      <c r="HH34">
        <v>3.2839999999999998</v>
      </c>
      <c r="HI34">
        <v>9999</v>
      </c>
      <c r="HJ34">
        <v>9999</v>
      </c>
      <c r="HK34">
        <v>9999</v>
      </c>
      <c r="HL34">
        <v>999.9</v>
      </c>
      <c r="HM34">
        <v>1.8610800000000001</v>
      </c>
      <c r="HN34">
        <v>1.86267</v>
      </c>
      <c r="HO34">
        <v>1.8681300000000001</v>
      </c>
      <c r="HP34">
        <v>1.85877</v>
      </c>
      <c r="HQ34">
        <v>1.8571599999999999</v>
      </c>
      <c r="HR34">
        <v>1.8609</v>
      </c>
      <c r="HS34">
        <v>1.86476</v>
      </c>
      <c r="HT34">
        <v>1.86677</v>
      </c>
      <c r="HU34">
        <v>5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0.81399999999999995</v>
      </c>
      <c r="II34">
        <v>0.83840000000000003</v>
      </c>
      <c r="IJ34">
        <v>0.71575234429556145</v>
      </c>
      <c r="IK34">
        <v>1.118558698776514E-3</v>
      </c>
      <c r="IL34">
        <v>-1.6939696309573479E-6</v>
      </c>
      <c r="IM34">
        <v>5.4698917449866148E-10</v>
      </c>
      <c r="IN34">
        <v>-3.5563131954069897E-2</v>
      </c>
      <c r="IO34">
        <v>-7.6058941998734366E-3</v>
      </c>
      <c r="IP34">
        <v>1.6984902717538061E-3</v>
      </c>
      <c r="IQ34">
        <v>-9.6352527008986976E-6</v>
      </c>
      <c r="IR34">
        <v>2</v>
      </c>
      <c r="IS34">
        <v>2021</v>
      </c>
      <c r="IT34">
        <v>2</v>
      </c>
      <c r="IU34">
        <v>40</v>
      </c>
      <c r="IV34">
        <v>0.7</v>
      </c>
      <c r="IW34">
        <v>0.5</v>
      </c>
      <c r="IX34">
        <v>0.41992200000000002</v>
      </c>
      <c r="IY34">
        <v>2.5122100000000001</v>
      </c>
      <c r="IZ34">
        <v>1.34399</v>
      </c>
      <c r="JA34">
        <v>2.2485400000000002</v>
      </c>
      <c r="JB34">
        <v>1.5918000000000001</v>
      </c>
      <c r="JC34">
        <v>2.2924799999999999</v>
      </c>
      <c r="JD34">
        <v>38.330100000000002</v>
      </c>
      <c r="JE34">
        <v>23.9999</v>
      </c>
      <c r="JF34">
        <v>18</v>
      </c>
      <c r="JG34">
        <v>506.11099999999999</v>
      </c>
      <c r="JH34">
        <v>436.94600000000003</v>
      </c>
      <c r="JI34">
        <v>26.021699999999999</v>
      </c>
      <c r="JJ34">
        <v>31.5242</v>
      </c>
      <c r="JK34">
        <v>30.0001</v>
      </c>
      <c r="JL34">
        <v>31.308499999999999</v>
      </c>
      <c r="JM34">
        <v>31.2441</v>
      </c>
      <c r="JN34">
        <v>8.4882100000000005</v>
      </c>
      <c r="JO34">
        <v>30.143000000000001</v>
      </c>
      <c r="JP34">
        <v>70.881699999999995</v>
      </c>
      <c r="JQ34">
        <v>26.044599999999999</v>
      </c>
      <c r="JR34">
        <v>120</v>
      </c>
      <c r="JS34">
        <v>22.747399999999999</v>
      </c>
      <c r="JT34">
        <v>99.549499999999995</v>
      </c>
      <c r="JU34">
        <v>97.519900000000007</v>
      </c>
    </row>
    <row r="35" spans="1:281" x14ac:dyDescent="0.25">
      <c r="A35">
        <v>19</v>
      </c>
      <c r="B35">
        <v>1693326131.0999999</v>
      </c>
      <c r="C35">
        <v>4369.5999999046326</v>
      </c>
      <c r="D35" t="s">
        <v>512</v>
      </c>
      <c r="E35" t="s">
        <v>513</v>
      </c>
      <c r="F35" t="s">
        <v>413</v>
      </c>
      <c r="G35" t="s">
        <v>492</v>
      </c>
      <c r="H35" t="s">
        <v>493</v>
      </c>
      <c r="I35" t="s">
        <v>493</v>
      </c>
      <c r="J35">
        <v>1693326131.0999999</v>
      </c>
      <c r="K35">
        <f t="shared" si="0"/>
        <v>4.8915330640624298E-3</v>
      </c>
      <c r="L35">
        <f t="shared" si="1"/>
        <v>4.8915330640624299</v>
      </c>
      <c r="M35">
        <f t="shared" si="2"/>
        <v>7.621389047404894</v>
      </c>
      <c r="N35">
        <f t="shared" si="3"/>
        <v>60.552</v>
      </c>
      <c r="O35">
        <f t="shared" si="4"/>
        <v>22.379176143813606</v>
      </c>
      <c r="P35">
        <f t="shared" si="5"/>
        <v>2.2206536711458322</v>
      </c>
      <c r="Q35">
        <f t="shared" si="6"/>
        <v>6.0084884372472001</v>
      </c>
      <c r="R35">
        <f t="shared" si="7"/>
        <v>0.34635803730406389</v>
      </c>
      <c r="S35">
        <f t="shared" si="8"/>
        <v>2.922522586835826</v>
      </c>
      <c r="T35">
        <f t="shared" si="9"/>
        <v>0.32506274750037795</v>
      </c>
      <c r="U35">
        <f t="shared" si="10"/>
        <v>0.20496831389673059</v>
      </c>
      <c r="V35">
        <f t="shared" si="11"/>
        <v>344.39789964461971</v>
      </c>
      <c r="W35">
        <f t="shared" si="12"/>
        <v>30.949272572768606</v>
      </c>
      <c r="X35">
        <f t="shared" si="13"/>
        <v>29.9955</v>
      </c>
      <c r="Y35">
        <f t="shared" si="14"/>
        <v>4.2593486711021713</v>
      </c>
      <c r="Z35">
        <f t="shared" si="15"/>
        <v>65.457317170910883</v>
      </c>
      <c r="AA35">
        <f t="shared" si="16"/>
        <v>2.8194210820927395</v>
      </c>
      <c r="AB35">
        <f t="shared" si="17"/>
        <v>4.3072664813486821</v>
      </c>
      <c r="AC35">
        <f t="shared" si="18"/>
        <v>1.4399275890094319</v>
      </c>
      <c r="AD35">
        <f t="shared" si="19"/>
        <v>-215.71660812515316</v>
      </c>
      <c r="AE35">
        <f t="shared" si="20"/>
        <v>30.708256448021078</v>
      </c>
      <c r="AF35">
        <f t="shared" si="21"/>
        <v>2.3384928120006494</v>
      </c>
      <c r="AG35">
        <f t="shared" si="22"/>
        <v>161.72804077948828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52101.222243821532</v>
      </c>
      <c r="AM35" t="s">
        <v>415</v>
      </c>
      <c r="AN35">
        <v>10366.9</v>
      </c>
      <c r="AO35">
        <v>993.59653846153856</v>
      </c>
      <c r="AP35">
        <v>3431.87</v>
      </c>
      <c r="AQ35">
        <f t="shared" si="26"/>
        <v>0.71047955241266758</v>
      </c>
      <c r="AR35">
        <v>-3.9894345373445681</v>
      </c>
      <c r="AS35" t="s">
        <v>514</v>
      </c>
      <c r="AT35">
        <v>10384.299999999999</v>
      </c>
      <c r="AU35">
        <v>684.53349999999978</v>
      </c>
      <c r="AV35">
        <v>747.67623518103994</v>
      </c>
      <c r="AW35">
        <f t="shared" si="27"/>
        <v>8.4451975614486363E-2</v>
      </c>
      <c r="AX35">
        <v>0.5</v>
      </c>
      <c r="AY35">
        <f t="shared" si="28"/>
        <v>1513.31069982231</v>
      </c>
      <c r="AZ35">
        <f t="shared" si="29"/>
        <v>7.621389047404894</v>
      </c>
      <c r="BA35">
        <f t="shared" si="30"/>
        <v>63.901039159267505</v>
      </c>
      <c r="BB35">
        <f t="shared" si="31"/>
        <v>7.6724651362821807E-3</v>
      </c>
      <c r="BC35">
        <f t="shared" si="32"/>
        <v>3.5900482568755416</v>
      </c>
      <c r="BD35">
        <f t="shared" si="33"/>
        <v>487.20224174958389</v>
      </c>
      <c r="BE35" t="s">
        <v>515</v>
      </c>
      <c r="BF35">
        <v>567.37</v>
      </c>
      <c r="BG35">
        <f t="shared" si="34"/>
        <v>567.37</v>
      </c>
      <c r="BH35">
        <f t="shared" si="35"/>
        <v>0.2411554984590103</v>
      </c>
      <c r="BI35">
        <f t="shared" si="36"/>
        <v>0.3501971804671119</v>
      </c>
      <c r="BJ35">
        <f t="shared" si="37"/>
        <v>0.93705490131574798</v>
      </c>
      <c r="BK35">
        <f t="shared" si="38"/>
        <v>-0.25676096824351696</v>
      </c>
      <c r="BL35">
        <f t="shared" si="39"/>
        <v>1.1008583766996061</v>
      </c>
      <c r="BM35">
        <f t="shared" si="40"/>
        <v>0.29025807251453051</v>
      </c>
      <c r="BN35">
        <f t="shared" si="41"/>
        <v>0.70974192748546949</v>
      </c>
      <c r="BO35">
        <v>1989</v>
      </c>
      <c r="BP35">
        <v>290.00000000000011</v>
      </c>
      <c r="BQ35">
        <v>732.95</v>
      </c>
      <c r="BR35">
        <v>185</v>
      </c>
      <c r="BS35">
        <v>10384.299999999999</v>
      </c>
      <c r="BT35">
        <v>731.28</v>
      </c>
      <c r="BU35">
        <v>1.67</v>
      </c>
      <c r="BV35">
        <v>300.00000000000011</v>
      </c>
      <c r="BW35">
        <v>38.4</v>
      </c>
      <c r="BX35">
        <v>747.67623518103994</v>
      </c>
      <c r="BY35">
        <v>0.91186467140882044</v>
      </c>
      <c r="BZ35">
        <v>-17.023679846772762</v>
      </c>
      <c r="CA35">
        <v>0.77477001615868013</v>
      </c>
      <c r="CB35">
        <v>0.94518331103220421</v>
      </c>
      <c r="CC35">
        <v>-1.1295408008898781E-2</v>
      </c>
      <c r="CD35">
        <v>289.99999999999989</v>
      </c>
      <c r="CE35">
        <v>729.82</v>
      </c>
      <c r="CF35">
        <v>685</v>
      </c>
      <c r="CG35">
        <v>10358.5</v>
      </c>
      <c r="CH35">
        <v>731.24</v>
      </c>
      <c r="CI35">
        <v>-1.42</v>
      </c>
      <c r="CW35">
        <f t="shared" si="42"/>
        <v>1800.15</v>
      </c>
      <c r="CX35">
        <f t="shared" si="43"/>
        <v>1513.31069982231</v>
      </c>
      <c r="CY35">
        <f t="shared" si="44"/>
        <v>0.84065811172530613</v>
      </c>
      <c r="CZ35">
        <f t="shared" si="45"/>
        <v>0.19131622345061228</v>
      </c>
      <c r="DA35">
        <v>6</v>
      </c>
      <c r="DB35">
        <v>0.5</v>
      </c>
      <c r="DC35" t="s">
        <v>418</v>
      </c>
      <c r="DD35">
        <v>2</v>
      </c>
      <c r="DE35">
        <v>1693326131.0999999</v>
      </c>
      <c r="DF35">
        <v>60.552</v>
      </c>
      <c r="DG35">
        <v>70.0565</v>
      </c>
      <c r="DH35">
        <v>28.413399999999999</v>
      </c>
      <c r="DI35">
        <v>22.708300000000001</v>
      </c>
      <c r="DJ35">
        <v>59.728900000000003</v>
      </c>
      <c r="DK35">
        <v>27.576000000000001</v>
      </c>
      <c r="DL35">
        <v>499.82100000000003</v>
      </c>
      <c r="DM35">
        <v>99.129099999999994</v>
      </c>
      <c r="DN35">
        <v>9.9471100000000007E-2</v>
      </c>
      <c r="DO35">
        <v>30.1904</v>
      </c>
      <c r="DP35">
        <v>29.9955</v>
      </c>
      <c r="DQ35">
        <v>999.9</v>
      </c>
      <c r="DR35">
        <v>0</v>
      </c>
      <c r="DS35">
        <v>0</v>
      </c>
      <c r="DT35">
        <v>10047.5</v>
      </c>
      <c r="DU35">
        <v>0</v>
      </c>
      <c r="DV35">
        <v>1743.45</v>
      </c>
      <c r="DW35">
        <v>-9.5044599999999999</v>
      </c>
      <c r="DX35">
        <v>62.322800000000001</v>
      </c>
      <c r="DY35">
        <v>71.684299999999993</v>
      </c>
      <c r="DZ35">
        <v>5.7050599999999996</v>
      </c>
      <c r="EA35">
        <v>70.0565</v>
      </c>
      <c r="EB35">
        <v>22.708300000000001</v>
      </c>
      <c r="EC35">
        <v>2.8165900000000001</v>
      </c>
      <c r="ED35">
        <v>2.2510599999999998</v>
      </c>
      <c r="EE35">
        <v>22.9817</v>
      </c>
      <c r="EF35">
        <v>19.330400000000001</v>
      </c>
      <c r="EG35">
        <v>1800.15</v>
      </c>
      <c r="EH35">
        <v>0.97799999999999998</v>
      </c>
      <c r="EI35">
        <v>2.1999700000000001E-2</v>
      </c>
      <c r="EJ35">
        <v>0</v>
      </c>
      <c r="EK35">
        <v>684.17499999999995</v>
      </c>
      <c r="EL35">
        <v>5.0002700000000004</v>
      </c>
      <c r="EM35">
        <v>13054.8</v>
      </c>
      <c r="EN35">
        <v>16250</v>
      </c>
      <c r="EO35">
        <v>46.936999999999998</v>
      </c>
      <c r="EP35">
        <v>49.311999999999998</v>
      </c>
      <c r="EQ35">
        <v>48.125</v>
      </c>
      <c r="ER35">
        <v>48.25</v>
      </c>
      <c r="ES35">
        <v>48.75</v>
      </c>
      <c r="ET35">
        <v>1755.66</v>
      </c>
      <c r="EU35">
        <v>39.49</v>
      </c>
      <c r="EV35">
        <v>0</v>
      </c>
      <c r="EW35">
        <v>99</v>
      </c>
      <c r="EX35">
        <v>0</v>
      </c>
      <c r="EY35">
        <v>684.53349999999978</v>
      </c>
      <c r="EZ35">
        <v>-1.9560683796806979</v>
      </c>
      <c r="FA35">
        <v>-30.550427415737801</v>
      </c>
      <c r="FB35">
        <v>13057.707692307689</v>
      </c>
      <c r="FC35">
        <v>15</v>
      </c>
      <c r="FD35">
        <v>1693326103.5999999</v>
      </c>
      <c r="FE35" t="s">
        <v>516</v>
      </c>
      <c r="FF35">
        <v>1693326093.5999999</v>
      </c>
      <c r="FG35">
        <v>1693326103.5999999</v>
      </c>
      <c r="FH35">
        <v>22</v>
      </c>
      <c r="FI35">
        <v>4.7E-2</v>
      </c>
      <c r="FJ35">
        <v>-7.0000000000000001E-3</v>
      </c>
      <c r="FK35">
        <v>0.83199999999999996</v>
      </c>
      <c r="FL35">
        <v>0.52200000000000002</v>
      </c>
      <c r="FM35">
        <v>70</v>
      </c>
      <c r="FN35">
        <v>23</v>
      </c>
      <c r="FO35">
        <v>0.4</v>
      </c>
      <c r="FP35">
        <v>7.0000000000000007E-2</v>
      </c>
      <c r="FQ35">
        <v>7.5537474106921358</v>
      </c>
      <c r="FR35">
        <v>-0.34853500108391261</v>
      </c>
      <c r="FS35">
        <v>4.8493545654656238E-2</v>
      </c>
      <c r="FT35">
        <v>1</v>
      </c>
      <c r="FU35">
        <v>0.35118645063297849</v>
      </c>
      <c r="FV35">
        <v>2.0592897509134799E-2</v>
      </c>
      <c r="FW35">
        <v>5.1258394486428738E-3</v>
      </c>
      <c r="FX35">
        <v>1</v>
      </c>
      <c r="FY35">
        <v>2</v>
      </c>
      <c r="FZ35">
        <v>2</v>
      </c>
      <c r="GA35" t="s">
        <v>429</v>
      </c>
      <c r="GB35">
        <v>3.1337299999999999</v>
      </c>
      <c r="GC35">
        <v>2.86503</v>
      </c>
      <c r="GD35">
        <v>1.6536200000000001E-2</v>
      </c>
      <c r="GE35">
        <v>1.9924399999999998E-2</v>
      </c>
      <c r="GF35">
        <v>0.12799099999999999</v>
      </c>
      <c r="GG35">
        <v>0.114427</v>
      </c>
      <c r="GH35">
        <v>29772.7</v>
      </c>
      <c r="GI35">
        <v>22839.1</v>
      </c>
      <c r="GJ35">
        <v>29190.2</v>
      </c>
      <c r="GK35">
        <v>21722</v>
      </c>
      <c r="GL35">
        <v>34102.300000000003</v>
      </c>
      <c r="GM35">
        <v>26465.8</v>
      </c>
      <c r="GN35">
        <v>40518.5</v>
      </c>
      <c r="GO35">
        <v>30868.1</v>
      </c>
      <c r="GP35">
        <v>2.0261</v>
      </c>
      <c r="GQ35">
        <v>1.8461000000000001</v>
      </c>
      <c r="GR35">
        <v>4.7802900000000002E-2</v>
      </c>
      <c r="GS35">
        <v>0</v>
      </c>
      <c r="GT35">
        <v>29.217099999999999</v>
      </c>
      <c r="GU35">
        <v>999.9</v>
      </c>
      <c r="GV35">
        <v>57</v>
      </c>
      <c r="GW35">
        <v>33</v>
      </c>
      <c r="GX35">
        <v>29.049900000000001</v>
      </c>
      <c r="GY35">
        <v>61.6477</v>
      </c>
      <c r="GZ35">
        <v>11.9671</v>
      </c>
      <c r="HA35">
        <v>1</v>
      </c>
      <c r="HB35">
        <v>0.31371900000000003</v>
      </c>
      <c r="HC35">
        <v>2.54474</v>
      </c>
      <c r="HD35">
        <v>20.265699999999999</v>
      </c>
      <c r="HE35">
        <v>5.23346</v>
      </c>
      <c r="HF35">
        <v>11.974600000000001</v>
      </c>
      <c r="HG35">
        <v>4.9752000000000001</v>
      </c>
      <c r="HH35">
        <v>3.2839999999999998</v>
      </c>
      <c r="HI35">
        <v>9999</v>
      </c>
      <c r="HJ35">
        <v>9999</v>
      </c>
      <c r="HK35">
        <v>9999</v>
      </c>
      <c r="HL35">
        <v>999.9</v>
      </c>
      <c r="HM35">
        <v>1.8610599999999999</v>
      </c>
      <c r="HN35">
        <v>1.8626799999999999</v>
      </c>
      <c r="HO35">
        <v>1.8681300000000001</v>
      </c>
      <c r="HP35">
        <v>1.8587499999999999</v>
      </c>
      <c r="HQ35">
        <v>1.8571500000000001</v>
      </c>
      <c r="HR35">
        <v>1.86087</v>
      </c>
      <c r="HS35">
        <v>1.86476</v>
      </c>
      <c r="HT35">
        <v>1.8668199999999999</v>
      </c>
      <c r="HU35">
        <v>5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0.82299999999999995</v>
      </c>
      <c r="II35">
        <v>0.83740000000000003</v>
      </c>
      <c r="IJ35">
        <v>0.76224504000377258</v>
      </c>
      <c r="IK35">
        <v>1.118558698776514E-3</v>
      </c>
      <c r="IL35">
        <v>-1.6939696309573479E-6</v>
      </c>
      <c r="IM35">
        <v>5.4698917449866148E-10</v>
      </c>
      <c r="IN35">
        <v>-4.2348874569808632E-2</v>
      </c>
      <c r="IO35">
        <v>-7.6058941998734366E-3</v>
      </c>
      <c r="IP35">
        <v>1.6984902717538061E-3</v>
      </c>
      <c r="IQ35">
        <v>-9.6352527008986976E-6</v>
      </c>
      <c r="IR35">
        <v>2</v>
      </c>
      <c r="IS35">
        <v>2021</v>
      </c>
      <c r="IT35">
        <v>2</v>
      </c>
      <c r="IU35">
        <v>40</v>
      </c>
      <c r="IV35">
        <v>0.6</v>
      </c>
      <c r="IW35">
        <v>0.5</v>
      </c>
      <c r="IX35">
        <v>0.306396</v>
      </c>
      <c r="IY35">
        <v>2.5293000000000001</v>
      </c>
      <c r="IZ35">
        <v>1.34399</v>
      </c>
      <c r="JA35">
        <v>2.2485400000000002</v>
      </c>
      <c r="JB35">
        <v>1.5918000000000001</v>
      </c>
      <c r="JC35">
        <v>2.32056</v>
      </c>
      <c r="JD35">
        <v>38.354500000000002</v>
      </c>
      <c r="JE35">
        <v>24.008700000000001</v>
      </c>
      <c r="JF35">
        <v>18</v>
      </c>
      <c r="JG35">
        <v>506.01400000000001</v>
      </c>
      <c r="JH35">
        <v>436.637</v>
      </c>
      <c r="JI35">
        <v>25.909400000000002</v>
      </c>
      <c r="JJ35">
        <v>31.560099999999998</v>
      </c>
      <c r="JK35">
        <v>30.000299999999999</v>
      </c>
      <c r="JL35">
        <v>31.349499999999999</v>
      </c>
      <c r="JM35">
        <v>31.286000000000001</v>
      </c>
      <c r="JN35">
        <v>6.2131100000000004</v>
      </c>
      <c r="JO35">
        <v>30.546700000000001</v>
      </c>
      <c r="JP35">
        <v>70.139300000000006</v>
      </c>
      <c r="JQ35">
        <v>25.911999999999999</v>
      </c>
      <c r="JR35">
        <v>70</v>
      </c>
      <c r="JS35">
        <v>22.645299999999999</v>
      </c>
      <c r="JT35">
        <v>99.537599999999998</v>
      </c>
      <c r="JU35">
        <v>97.519400000000005</v>
      </c>
    </row>
    <row r="36" spans="1:281" x14ac:dyDescent="0.25">
      <c r="A36">
        <v>20</v>
      </c>
      <c r="B36">
        <v>1693326232.5999999</v>
      </c>
      <c r="C36">
        <v>4471.0999999046326</v>
      </c>
      <c r="D36" t="s">
        <v>517</v>
      </c>
      <c r="E36" t="s">
        <v>518</v>
      </c>
      <c r="F36" t="s">
        <v>413</v>
      </c>
      <c r="G36" t="s">
        <v>492</v>
      </c>
      <c r="H36" t="s">
        <v>493</v>
      </c>
      <c r="I36" t="s">
        <v>493</v>
      </c>
      <c r="J36">
        <v>1693326232.5999999</v>
      </c>
      <c r="K36">
        <f t="shared" si="0"/>
        <v>4.9506851933539949E-3</v>
      </c>
      <c r="L36">
        <f t="shared" si="1"/>
        <v>4.950685193353995</v>
      </c>
      <c r="M36">
        <f t="shared" si="2"/>
        <v>3.2298347374078791</v>
      </c>
      <c r="N36">
        <f t="shared" si="3"/>
        <v>26.012499999999999</v>
      </c>
      <c r="O36">
        <f t="shared" si="4"/>
        <v>10.003473341009578</v>
      </c>
      <c r="P36">
        <f t="shared" si="5"/>
        <v>0.9926567278186188</v>
      </c>
      <c r="Q36">
        <f t="shared" si="6"/>
        <v>2.5812517564799995</v>
      </c>
      <c r="R36">
        <f t="shared" si="7"/>
        <v>0.35055291338449357</v>
      </c>
      <c r="S36">
        <f t="shared" si="8"/>
        <v>2.9230044277405773</v>
      </c>
      <c r="T36">
        <f t="shared" si="9"/>
        <v>0.32875943629112259</v>
      </c>
      <c r="U36">
        <f t="shared" si="10"/>
        <v>0.20731970038389388</v>
      </c>
      <c r="V36">
        <f t="shared" si="11"/>
        <v>344.37569964450597</v>
      </c>
      <c r="W36">
        <f t="shared" si="12"/>
        <v>30.954033409886033</v>
      </c>
      <c r="X36">
        <f t="shared" si="13"/>
        <v>29.983899999999998</v>
      </c>
      <c r="Y36">
        <f t="shared" si="14"/>
        <v>4.2565114201725756</v>
      </c>
      <c r="Z36">
        <f t="shared" si="15"/>
        <v>65.289086265908907</v>
      </c>
      <c r="AA36">
        <f t="shared" si="16"/>
        <v>2.8154671729459202</v>
      </c>
      <c r="AB36">
        <f t="shared" si="17"/>
        <v>4.3123090457708448</v>
      </c>
      <c r="AC36">
        <f t="shared" si="18"/>
        <v>1.4410442472266554</v>
      </c>
      <c r="AD36">
        <f t="shared" si="19"/>
        <v>-218.32521702691119</v>
      </c>
      <c r="AE36">
        <f t="shared" si="20"/>
        <v>35.7560398373247</v>
      </c>
      <c r="AF36">
        <f t="shared" si="21"/>
        <v>2.7225610425910314</v>
      </c>
      <c r="AG36">
        <f t="shared" si="22"/>
        <v>164.52908349751053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52111.501436897786</v>
      </c>
      <c r="AM36" t="s">
        <v>415</v>
      </c>
      <c r="AN36">
        <v>10366.9</v>
      </c>
      <c r="AO36">
        <v>993.59653846153856</v>
      </c>
      <c r="AP36">
        <v>3431.87</v>
      </c>
      <c r="AQ36">
        <f t="shared" si="26"/>
        <v>0.71047955241266758</v>
      </c>
      <c r="AR36">
        <v>-3.9894345373445681</v>
      </c>
      <c r="AS36" t="s">
        <v>519</v>
      </c>
      <c r="AT36">
        <v>10391.9</v>
      </c>
      <c r="AU36">
        <v>691.44096153846135</v>
      </c>
      <c r="AV36">
        <v>739.0357118888744</v>
      </c>
      <c r="AW36">
        <f t="shared" si="27"/>
        <v>6.4401150830407539E-2</v>
      </c>
      <c r="AX36">
        <v>0.5</v>
      </c>
      <c r="AY36">
        <f t="shared" si="28"/>
        <v>1513.2101998222529</v>
      </c>
      <c r="AZ36">
        <f t="shared" si="29"/>
        <v>3.2298347374078791</v>
      </c>
      <c r="BA36">
        <f t="shared" si="30"/>
        <v>48.726239158432023</v>
      </c>
      <c r="BB36">
        <f t="shared" si="31"/>
        <v>4.7708304342651458E-3</v>
      </c>
      <c r="BC36">
        <f t="shared" si="32"/>
        <v>3.6437133480716497</v>
      </c>
      <c r="BD36">
        <f t="shared" si="33"/>
        <v>483.51854848289582</v>
      </c>
      <c r="BE36" t="s">
        <v>520</v>
      </c>
      <c r="BF36">
        <v>577.6</v>
      </c>
      <c r="BG36">
        <f t="shared" si="34"/>
        <v>577.6</v>
      </c>
      <c r="BH36">
        <f t="shared" si="35"/>
        <v>0.21844101616722522</v>
      </c>
      <c r="BI36">
        <f t="shared" si="36"/>
        <v>0.29482169585361195</v>
      </c>
      <c r="BJ36">
        <f t="shared" si="37"/>
        <v>0.94344063039275394</v>
      </c>
      <c r="BK36">
        <f t="shared" si="38"/>
        <v>-0.18696808535396223</v>
      </c>
      <c r="BL36">
        <f t="shared" si="39"/>
        <v>1.1044020822881966</v>
      </c>
      <c r="BM36">
        <f t="shared" si="40"/>
        <v>0.24628134721170111</v>
      </c>
      <c r="BN36">
        <f t="shared" si="41"/>
        <v>0.75371865278829886</v>
      </c>
      <c r="BO36">
        <v>1991</v>
      </c>
      <c r="BP36">
        <v>290.00000000000011</v>
      </c>
      <c r="BQ36">
        <v>727.72</v>
      </c>
      <c r="BR36">
        <v>145</v>
      </c>
      <c r="BS36">
        <v>10391.9</v>
      </c>
      <c r="BT36">
        <v>725.03</v>
      </c>
      <c r="BU36">
        <v>2.69</v>
      </c>
      <c r="BV36">
        <v>300.00000000000011</v>
      </c>
      <c r="BW36">
        <v>38.4</v>
      </c>
      <c r="BX36">
        <v>739.0357118888744</v>
      </c>
      <c r="BY36">
        <v>0.95244401891483277</v>
      </c>
      <c r="BZ36">
        <v>-14.55529229506106</v>
      </c>
      <c r="CA36">
        <v>0.80931402893653159</v>
      </c>
      <c r="CB36">
        <v>0.92033015735067303</v>
      </c>
      <c r="CC36">
        <v>-1.129623692992214E-2</v>
      </c>
      <c r="CD36">
        <v>289.99999999999989</v>
      </c>
      <c r="CE36">
        <v>723.07</v>
      </c>
      <c r="CF36">
        <v>625</v>
      </c>
      <c r="CG36">
        <v>10365.200000000001</v>
      </c>
      <c r="CH36">
        <v>724.99</v>
      </c>
      <c r="CI36">
        <v>-1.92</v>
      </c>
      <c r="CW36">
        <f t="shared" si="42"/>
        <v>1800.03</v>
      </c>
      <c r="CX36">
        <f t="shared" si="43"/>
        <v>1513.2101998222529</v>
      </c>
      <c r="CY36">
        <f t="shared" si="44"/>
        <v>0.84065832226254722</v>
      </c>
      <c r="CZ36">
        <f t="shared" si="45"/>
        <v>0.19131664452509456</v>
      </c>
      <c r="DA36">
        <v>6</v>
      </c>
      <c r="DB36">
        <v>0.5</v>
      </c>
      <c r="DC36" t="s">
        <v>418</v>
      </c>
      <c r="DD36">
        <v>2</v>
      </c>
      <c r="DE36">
        <v>1693326232.5999999</v>
      </c>
      <c r="DF36">
        <v>26.012499999999999</v>
      </c>
      <c r="DG36">
        <v>30.043700000000001</v>
      </c>
      <c r="DH36">
        <v>28.372800000000002</v>
      </c>
      <c r="DI36">
        <v>22.599299999999999</v>
      </c>
      <c r="DJ36">
        <v>25.181799999999999</v>
      </c>
      <c r="DK36">
        <v>27.5413</v>
      </c>
      <c r="DL36">
        <v>499.89299999999997</v>
      </c>
      <c r="DM36">
        <v>99.131699999999995</v>
      </c>
      <c r="DN36">
        <v>9.9506399999999995E-2</v>
      </c>
      <c r="DO36">
        <v>30.210799999999999</v>
      </c>
      <c r="DP36">
        <v>29.983899999999998</v>
      </c>
      <c r="DQ36">
        <v>999.9</v>
      </c>
      <c r="DR36">
        <v>0</v>
      </c>
      <c r="DS36">
        <v>0</v>
      </c>
      <c r="DT36">
        <v>10050</v>
      </c>
      <c r="DU36">
        <v>0</v>
      </c>
      <c r="DV36">
        <v>1761.74</v>
      </c>
      <c r="DW36">
        <v>-4.0312200000000002</v>
      </c>
      <c r="DX36">
        <v>26.772099999999998</v>
      </c>
      <c r="DY36">
        <v>30.738299999999999</v>
      </c>
      <c r="DZ36">
        <v>5.7735300000000001</v>
      </c>
      <c r="EA36">
        <v>30.043700000000001</v>
      </c>
      <c r="EB36">
        <v>22.599299999999999</v>
      </c>
      <c r="EC36">
        <v>2.81264</v>
      </c>
      <c r="ED36">
        <v>2.2403</v>
      </c>
      <c r="EE36">
        <v>22.958500000000001</v>
      </c>
      <c r="EF36">
        <v>19.253499999999999</v>
      </c>
      <c r="EG36">
        <v>1800.03</v>
      </c>
      <c r="EH36">
        <v>0.97799700000000001</v>
      </c>
      <c r="EI36">
        <v>2.2003399999999999E-2</v>
      </c>
      <c r="EJ36">
        <v>0</v>
      </c>
      <c r="EK36">
        <v>691.58199999999999</v>
      </c>
      <c r="EL36">
        <v>5.0002700000000004</v>
      </c>
      <c r="EM36">
        <v>13164.6</v>
      </c>
      <c r="EN36">
        <v>16248.9</v>
      </c>
      <c r="EO36">
        <v>46.811999999999998</v>
      </c>
      <c r="EP36">
        <v>49.186999999999998</v>
      </c>
      <c r="EQ36">
        <v>48</v>
      </c>
      <c r="ER36">
        <v>48.125</v>
      </c>
      <c r="ES36">
        <v>48.625</v>
      </c>
      <c r="ET36">
        <v>1755.53</v>
      </c>
      <c r="EU36">
        <v>39.5</v>
      </c>
      <c r="EV36">
        <v>0</v>
      </c>
      <c r="EW36">
        <v>99.799999952316284</v>
      </c>
      <c r="EX36">
        <v>0</v>
      </c>
      <c r="EY36">
        <v>691.44096153846135</v>
      </c>
      <c r="EZ36">
        <v>8.6324783803876898E-2</v>
      </c>
      <c r="FA36">
        <v>-38.417094068509243</v>
      </c>
      <c r="FB36">
        <v>13176.457692307689</v>
      </c>
      <c r="FC36">
        <v>15</v>
      </c>
      <c r="FD36">
        <v>1693326206.0999999</v>
      </c>
      <c r="FE36" t="s">
        <v>521</v>
      </c>
      <c r="FF36">
        <v>1693326195.0999999</v>
      </c>
      <c r="FG36">
        <v>1693326206.0999999</v>
      </c>
      <c r="FH36">
        <v>23</v>
      </c>
      <c r="FI36">
        <v>4.1000000000000002E-2</v>
      </c>
      <c r="FJ36">
        <v>-4.0000000000000001E-3</v>
      </c>
      <c r="FK36">
        <v>0.83499999999999996</v>
      </c>
      <c r="FL36">
        <v>0.505</v>
      </c>
      <c r="FM36">
        <v>30</v>
      </c>
      <c r="FN36">
        <v>22</v>
      </c>
      <c r="FO36">
        <v>0.83</v>
      </c>
      <c r="FP36">
        <v>0.05</v>
      </c>
      <c r="FQ36">
        <v>3.209798019509075</v>
      </c>
      <c r="FR36">
        <v>-0.26330953202562479</v>
      </c>
      <c r="FS36">
        <v>3.8599689666735562E-2</v>
      </c>
      <c r="FT36">
        <v>1</v>
      </c>
      <c r="FU36">
        <v>0.35307169712059261</v>
      </c>
      <c r="FV36">
        <v>3.7465719015891297E-2</v>
      </c>
      <c r="FW36">
        <v>5.1361262028742118E-3</v>
      </c>
      <c r="FX36">
        <v>1</v>
      </c>
      <c r="FY36">
        <v>2</v>
      </c>
      <c r="FZ36">
        <v>2</v>
      </c>
      <c r="GA36" t="s">
        <v>429</v>
      </c>
      <c r="GB36">
        <v>3.1337799999999998</v>
      </c>
      <c r="GC36">
        <v>2.8651</v>
      </c>
      <c r="GD36">
        <v>7.0166200000000003E-3</v>
      </c>
      <c r="GE36">
        <v>8.6230899999999999E-3</v>
      </c>
      <c r="GF36">
        <v>0.12787499999999999</v>
      </c>
      <c r="GG36">
        <v>0.11404</v>
      </c>
      <c r="GH36">
        <v>30059.4</v>
      </c>
      <c r="GI36">
        <v>23102.7</v>
      </c>
      <c r="GJ36">
        <v>29188.799999999999</v>
      </c>
      <c r="GK36">
        <v>21722.2</v>
      </c>
      <c r="GL36">
        <v>34104.400000000001</v>
      </c>
      <c r="GM36">
        <v>26476.400000000001</v>
      </c>
      <c r="GN36">
        <v>40516.5</v>
      </c>
      <c r="GO36">
        <v>30868</v>
      </c>
      <c r="GP36">
        <v>2.0257999999999998</v>
      </c>
      <c r="GQ36">
        <v>1.8452999999999999</v>
      </c>
      <c r="GR36">
        <v>5.8472200000000002E-2</v>
      </c>
      <c r="GS36">
        <v>0</v>
      </c>
      <c r="GT36">
        <v>29.031600000000001</v>
      </c>
      <c r="GU36">
        <v>999.9</v>
      </c>
      <c r="GV36">
        <v>56.8</v>
      </c>
      <c r="GW36">
        <v>33.1</v>
      </c>
      <c r="GX36">
        <v>29.111499999999999</v>
      </c>
      <c r="GY36">
        <v>61.6877</v>
      </c>
      <c r="GZ36">
        <v>11.694699999999999</v>
      </c>
      <c r="HA36">
        <v>1</v>
      </c>
      <c r="HB36">
        <v>0.31495899999999999</v>
      </c>
      <c r="HC36">
        <v>2.37853</v>
      </c>
      <c r="HD36">
        <v>20.267600000000002</v>
      </c>
      <c r="HE36">
        <v>5.2340600000000004</v>
      </c>
      <c r="HF36">
        <v>11.9758</v>
      </c>
      <c r="HG36">
        <v>4.9740000000000002</v>
      </c>
      <c r="HH36">
        <v>3.2839999999999998</v>
      </c>
      <c r="HI36">
        <v>9999</v>
      </c>
      <c r="HJ36">
        <v>9999</v>
      </c>
      <c r="HK36">
        <v>9999</v>
      </c>
      <c r="HL36">
        <v>999.9</v>
      </c>
      <c r="HM36">
        <v>1.86111</v>
      </c>
      <c r="HN36">
        <v>1.8627400000000001</v>
      </c>
      <c r="HO36">
        <v>1.8681300000000001</v>
      </c>
      <c r="HP36">
        <v>1.8588</v>
      </c>
      <c r="HQ36">
        <v>1.8571500000000001</v>
      </c>
      <c r="HR36">
        <v>1.86084</v>
      </c>
      <c r="HS36">
        <v>1.8647800000000001</v>
      </c>
      <c r="HT36">
        <v>1.8667899999999999</v>
      </c>
      <c r="HU36">
        <v>5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0.83099999999999996</v>
      </c>
      <c r="II36">
        <v>0.83150000000000002</v>
      </c>
      <c r="IJ36">
        <v>0.80354122873470779</v>
      </c>
      <c r="IK36">
        <v>1.118558698776514E-3</v>
      </c>
      <c r="IL36">
        <v>-1.6939696309573479E-6</v>
      </c>
      <c r="IM36">
        <v>5.4698917449866148E-10</v>
      </c>
      <c r="IN36">
        <v>-4.6103845885842598E-2</v>
      </c>
      <c r="IO36">
        <v>-7.6058941998734366E-3</v>
      </c>
      <c r="IP36">
        <v>1.6984902717538061E-3</v>
      </c>
      <c r="IQ36">
        <v>-9.6352527008986976E-6</v>
      </c>
      <c r="IR36">
        <v>2</v>
      </c>
      <c r="IS36">
        <v>2021</v>
      </c>
      <c r="IT36">
        <v>2</v>
      </c>
      <c r="IU36">
        <v>40</v>
      </c>
      <c r="IV36">
        <v>0.6</v>
      </c>
      <c r="IW36">
        <v>0.4</v>
      </c>
      <c r="IX36">
        <v>0.21606400000000001</v>
      </c>
      <c r="IY36">
        <v>2.5317400000000001</v>
      </c>
      <c r="IZ36">
        <v>1.34399</v>
      </c>
      <c r="JA36">
        <v>2.2485400000000002</v>
      </c>
      <c r="JB36">
        <v>1.5918000000000001</v>
      </c>
      <c r="JC36">
        <v>2.47681</v>
      </c>
      <c r="JD36">
        <v>38.354500000000002</v>
      </c>
      <c r="JE36">
        <v>24.026199999999999</v>
      </c>
      <c r="JF36">
        <v>18</v>
      </c>
      <c r="JG36">
        <v>506.00900000000001</v>
      </c>
      <c r="JH36">
        <v>436.29399999999998</v>
      </c>
      <c r="JI36">
        <v>26.273800000000001</v>
      </c>
      <c r="JJ36">
        <v>31.5656</v>
      </c>
      <c r="JK36">
        <v>29.998899999999999</v>
      </c>
      <c r="JL36">
        <v>31.371300000000002</v>
      </c>
      <c r="JM36">
        <v>31.307500000000001</v>
      </c>
      <c r="JN36">
        <v>4.4222299999999999</v>
      </c>
      <c r="JO36">
        <v>30.7089</v>
      </c>
      <c r="JP36">
        <v>69.055199999999999</v>
      </c>
      <c r="JQ36">
        <v>26.331900000000001</v>
      </c>
      <c r="JR36">
        <v>30</v>
      </c>
      <c r="JS36">
        <v>22.597899999999999</v>
      </c>
      <c r="JT36">
        <v>99.532600000000002</v>
      </c>
      <c r="JU36">
        <v>97.5197</v>
      </c>
    </row>
    <row r="37" spans="1:281" x14ac:dyDescent="0.25">
      <c r="A37">
        <v>21</v>
      </c>
      <c r="B37">
        <v>1693326340.5999999</v>
      </c>
      <c r="C37">
        <v>4579.0999999046326</v>
      </c>
      <c r="D37" t="s">
        <v>522</v>
      </c>
      <c r="E37" t="s">
        <v>523</v>
      </c>
      <c r="F37" t="s">
        <v>413</v>
      </c>
      <c r="G37" t="s">
        <v>492</v>
      </c>
      <c r="H37" t="s">
        <v>493</v>
      </c>
      <c r="I37" t="s">
        <v>493</v>
      </c>
      <c r="J37">
        <v>1693326340.5999999</v>
      </c>
      <c r="K37">
        <f t="shared" si="0"/>
        <v>5.0011082965646094E-3</v>
      </c>
      <c r="L37">
        <f t="shared" si="1"/>
        <v>5.0011082965646096</v>
      </c>
      <c r="M37">
        <f t="shared" si="2"/>
        <v>0.97345168096699808</v>
      </c>
      <c r="N37">
        <f t="shared" si="3"/>
        <v>8.8706999999999994</v>
      </c>
      <c r="O37">
        <f t="shared" si="4"/>
        <v>4.0987842853952925</v>
      </c>
      <c r="P37">
        <f t="shared" si="5"/>
        <v>0.40675316126538158</v>
      </c>
      <c r="Q37">
        <f t="shared" si="6"/>
        <v>0.88030621189152003</v>
      </c>
      <c r="R37">
        <f t="shared" si="7"/>
        <v>0.35678308965077138</v>
      </c>
      <c r="S37">
        <f t="shared" si="8"/>
        <v>2.9200576447773408</v>
      </c>
      <c r="T37">
        <f t="shared" si="9"/>
        <v>0.33421359906105175</v>
      </c>
      <c r="U37">
        <f t="shared" si="10"/>
        <v>0.21079219308492125</v>
      </c>
      <c r="V37">
        <f t="shared" si="11"/>
        <v>344.40039964453166</v>
      </c>
      <c r="W37">
        <f t="shared" si="12"/>
        <v>30.973935848504869</v>
      </c>
      <c r="X37">
        <f t="shared" si="13"/>
        <v>29.998799999999999</v>
      </c>
      <c r="Y37">
        <f t="shared" si="14"/>
        <v>4.260156121150076</v>
      </c>
      <c r="Z37">
        <f t="shared" si="15"/>
        <v>65.463818728615536</v>
      </c>
      <c r="AA37">
        <f t="shared" si="16"/>
        <v>2.8282195188432002</v>
      </c>
      <c r="AB37">
        <f t="shared" si="17"/>
        <v>4.3202788559704501</v>
      </c>
      <c r="AC37">
        <f t="shared" si="18"/>
        <v>1.4319366023068758</v>
      </c>
      <c r="AD37">
        <f t="shared" si="19"/>
        <v>-220.54887587849927</v>
      </c>
      <c r="AE37">
        <f t="shared" si="20"/>
        <v>38.44346527938653</v>
      </c>
      <c r="AF37">
        <f t="shared" si="21"/>
        <v>2.9308259383016368</v>
      </c>
      <c r="AG37">
        <f t="shared" si="22"/>
        <v>165.22581498372051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52022.179813861905</v>
      </c>
      <c r="AM37" t="s">
        <v>415</v>
      </c>
      <c r="AN37">
        <v>10366.9</v>
      </c>
      <c r="AO37">
        <v>993.59653846153856</v>
      </c>
      <c r="AP37">
        <v>3431.87</v>
      </c>
      <c r="AQ37">
        <f t="shared" si="26"/>
        <v>0.71047955241266758</v>
      </c>
      <c r="AR37">
        <v>-3.9894345373445681</v>
      </c>
      <c r="AS37" t="s">
        <v>524</v>
      </c>
      <c r="AT37">
        <v>10403.200000000001</v>
      </c>
      <c r="AU37">
        <v>693.87516000000005</v>
      </c>
      <c r="AV37">
        <v>733.5169410460511</v>
      </c>
      <c r="AW37">
        <f t="shared" si="27"/>
        <v>5.4043443072383401E-2</v>
      </c>
      <c r="AX37">
        <v>0.5</v>
      </c>
      <c r="AY37">
        <f t="shared" si="28"/>
        <v>1513.3193998222657</v>
      </c>
      <c r="AZ37">
        <f t="shared" si="29"/>
        <v>0.97345168096699808</v>
      </c>
      <c r="BA37">
        <f t="shared" si="30"/>
        <v>40.892495417314016</v>
      </c>
      <c r="BB37">
        <f t="shared" si="31"/>
        <v>3.2794704269927689E-3</v>
      </c>
      <c r="BC37">
        <f t="shared" si="32"/>
        <v>3.6786513139095214</v>
      </c>
      <c r="BD37">
        <f t="shared" si="33"/>
        <v>481.15011864555782</v>
      </c>
      <c r="BE37" t="s">
        <v>525</v>
      </c>
      <c r="BF37">
        <v>583.51</v>
      </c>
      <c r="BG37">
        <f t="shared" si="34"/>
        <v>583.51</v>
      </c>
      <c r="BH37">
        <f t="shared" si="35"/>
        <v>0.20450371716313709</v>
      </c>
      <c r="BI37">
        <f t="shared" si="36"/>
        <v>0.26426631174274323</v>
      </c>
      <c r="BJ37">
        <f t="shared" si="37"/>
        <v>0.94733568051578765</v>
      </c>
      <c r="BK37">
        <f t="shared" si="38"/>
        <v>-0.15242172565624876</v>
      </c>
      <c r="BL37">
        <f t="shared" si="39"/>
        <v>1.1066654751889013</v>
      </c>
      <c r="BM37">
        <f t="shared" si="40"/>
        <v>0.22223311116225586</v>
      </c>
      <c r="BN37">
        <f t="shared" si="41"/>
        <v>0.77776688883774414</v>
      </c>
      <c r="BO37">
        <v>1993</v>
      </c>
      <c r="BP37">
        <v>290.00000000000011</v>
      </c>
      <c r="BQ37">
        <v>724.33</v>
      </c>
      <c r="BR37">
        <v>95</v>
      </c>
      <c r="BS37">
        <v>10403.200000000001</v>
      </c>
      <c r="BT37">
        <v>721.42</v>
      </c>
      <c r="BU37">
        <v>2.91</v>
      </c>
      <c r="BV37">
        <v>300.00000000000011</v>
      </c>
      <c r="BW37">
        <v>38.4</v>
      </c>
      <c r="BX37">
        <v>733.5169410460511</v>
      </c>
      <c r="BY37">
        <v>0.99339869993904706</v>
      </c>
      <c r="BZ37">
        <v>-12.58226159716703</v>
      </c>
      <c r="CA37">
        <v>0.8441877855422133</v>
      </c>
      <c r="CB37">
        <v>0.88806555173996049</v>
      </c>
      <c r="CC37">
        <v>-1.129733548387097E-2</v>
      </c>
      <c r="CD37">
        <v>289.99999999999989</v>
      </c>
      <c r="CE37">
        <v>720.08</v>
      </c>
      <c r="CF37">
        <v>645</v>
      </c>
      <c r="CG37">
        <v>10364</v>
      </c>
      <c r="CH37">
        <v>721.38</v>
      </c>
      <c r="CI37">
        <v>-1.3</v>
      </c>
      <c r="CW37">
        <f t="shared" si="42"/>
        <v>1800.16</v>
      </c>
      <c r="CX37">
        <f t="shared" si="43"/>
        <v>1513.3193998222657</v>
      </c>
      <c r="CY37">
        <f t="shared" si="44"/>
        <v>0.84065827472128352</v>
      </c>
      <c r="CZ37">
        <f t="shared" si="45"/>
        <v>0.19131654944256712</v>
      </c>
      <c r="DA37">
        <v>6</v>
      </c>
      <c r="DB37">
        <v>0.5</v>
      </c>
      <c r="DC37" t="s">
        <v>418</v>
      </c>
      <c r="DD37">
        <v>2</v>
      </c>
      <c r="DE37">
        <v>1693326340.5999999</v>
      </c>
      <c r="DF37">
        <v>8.8706999999999994</v>
      </c>
      <c r="DG37">
        <v>10.0921</v>
      </c>
      <c r="DH37">
        <v>28.499500000000001</v>
      </c>
      <c r="DI37">
        <v>22.6691</v>
      </c>
      <c r="DJ37">
        <v>8.0398800000000001</v>
      </c>
      <c r="DK37">
        <v>27.6599</v>
      </c>
      <c r="DL37">
        <v>499.99099999999999</v>
      </c>
      <c r="DM37">
        <v>99.137699999999995</v>
      </c>
      <c r="DN37">
        <v>9.9813600000000002E-2</v>
      </c>
      <c r="DO37">
        <v>30.242999999999999</v>
      </c>
      <c r="DP37">
        <v>29.998799999999999</v>
      </c>
      <c r="DQ37">
        <v>999.9</v>
      </c>
      <c r="DR37">
        <v>0</v>
      </c>
      <c r="DS37">
        <v>0</v>
      </c>
      <c r="DT37">
        <v>10032.5</v>
      </c>
      <c r="DU37">
        <v>0</v>
      </c>
      <c r="DV37">
        <v>1755.59</v>
      </c>
      <c r="DW37">
        <v>-1.2213799999999999</v>
      </c>
      <c r="DX37">
        <v>9.1309199999999997</v>
      </c>
      <c r="DY37">
        <v>10.3262</v>
      </c>
      <c r="DZ37">
        <v>5.8303900000000004</v>
      </c>
      <c r="EA37">
        <v>10.0921</v>
      </c>
      <c r="EB37">
        <v>22.6691</v>
      </c>
      <c r="EC37">
        <v>2.8253699999999999</v>
      </c>
      <c r="ED37">
        <v>2.24736</v>
      </c>
      <c r="EE37">
        <v>23.033100000000001</v>
      </c>
      <c r="EF37">
        <v>19.303999999999998</v>
      </c>
      <c r="EG37">
        <v>1800.16</v>
      </c>
      <c r="EH37">
        <v>0.97799700000000001</v>
      </c>
      <c r="EI37">
        <v>2.2003399999999999E-2</v>
      </c>
      <c r="EJ37">
        <v>0</v>
      </c>
      <c r="EK37">
        <v>693.89300000000003</v>
      </c>
      <c r="EL37">
        <v>5.0002700000000004</v>
      </c>
      <c r="EM37">
        <v>13220.8</v>
      </c>
      <c r="EN37">
        <v>16250</v>
      </c>
      <c r="EO37">
        <v>46.686999999999998</v>
      </c>
      <c r="EP37">
        <v>49.061999999999998</v>
      </c>
      <c r="EQ37">
        <v>47.936999999999998</v>
      </c>
      <c r="ER37">
        <v>48</v>
      </c>
      <c r="ES37">
        <v>48.561999999999998</v>
      </c>
      <c r="ET37">
        <v>1755.66</v>
      </c>
      <c r="EU37">
        <v>39.5</v>
      </c>
      <c r="EV37">
        <v>0</v>
      </c>
      <c r="EW37">
        <v>106.19999980926509</v>
      </c>
      <c r="EX37">
        <v>0</v>
      </c>
      <c r="EY37">
        <v>693.87516000000005</v>
      </c>
      <c r="EZ37">
        <v>-0.66507693024434911</v>
      </c>
      <c r="FA37">
        <v>19.969230810736111</v>
      </c>
      <c r="FB37">
        <v>13218.84</v>
      </c>
      <c r="FC37">
        <v>15</v>
      </c>
      <c r="FD37">
        <v>1693326312.0999999</v>
      </c>
      <c r="FE37" t="s">
        <v>526</v>
      </c>
      <c r="FF37">
        <v>1693326308.5999999</v>
      </c>
      <c r="FG37">
        <v>1693326312.0999999</v>
      </c>
      <c r="FH37">
        <v>24</v>
      </c>
      <c r="FI37">
        <v>1.7999999999999999E-2</v>
      </c>
      <c r="FJ37">
        <v>1E-3</v>
      </c>
      <c r="FK37">
        <v>0.83199999999999996</v>
      </c>
      <c r="FL37">
        <v>0.50600000000000001</v>
      </c>
      <c r="FM37">
        <v>10</v>
      </c>
      <c r="FN37">
        <v>23</v>
      </c>
      <c r="FO37">
        <v>0.91</v>
      </c>
      <c r="FP37">
        <v>0.04</v>
      </c>
      <c r="FQ37">
        <v>0.92996646867082977</v>
      </c>
      <c r="FR37">
        <v>-9.9785648550742928E-2</v>
      </c>
      <c r="FS37">
        <v>5.6118761102173648E-2</v>
      </c>
      <c r="FT37">
        <v>1</v>
      </c>
      <c r="FU37">
        <v>0.3609347279751533</v>
      </c>
      <c r="FV37">
        <v>-1.8385889134016589E-3</v>
      </c>
      <c r="FW37">
        <v>3.874996988964481E-3</v>
      </c>
      <c r="FX37">
        <v>1</v>
      </c>
      <c r="FY37">
        <v>2</v>
      </c>
      <c r="FZ37">
        <v>2</v>
      </c>
      <c r="GA37" t="s">
        <v>429</v>
      </c>
      <c r="GB37">
        <v>3.1339100000000002</v>
      </c>
      <c r="GC37">
        <v>2.8652500000000001</v>
      </c>
      <c r="GD37">
        <v>2.2428999999999999E-3</v>
      </c>
      <c r="GE37">
        <v>2.90187E-3</v>
      </c>
      <c r="GF37">
        <v>0.128272</v>
      </c>
      <c r="GG37">
        <v>0.11429499999999999</v>
      </c>
      <c r="GH37">
        <v>30206.400000000001</v>
      </c>
      <c r="GI37">
        <v>23238.3</v>
      </c>
      <c r="GJ37">
        <v>29191.1</v>
      </c>
      <c r="GK37">
        <v>21724.3</v>
      </c>
      <c r="GL37">
        <v>34090.1</v>
      </c>
      <c r="GM37">
        <v>26470.2</v>
      </c>
      <c r="GN37">
        <v>40519.4</v>
      </c>
      <c r="GO37">
        <v>30870.3</v>
      </c>
      <c r="GP37">
        <v>2.0259</v>
      </c>
      <c r="GQ37">
        <v>1.8454999999999999</v>
      </c>
      <c r="GR37">
        <v>5.19902E-2</v>
      </c>
      <c r="GS37">
        <v>0</v>
      </c>
      <c r="GT37">
        <v>29.152100000000001</v>
      </c>
      <c r="GU37">
        <v>999.9</v>
      </c>
      <c r="GV37">
        <v>56.7</v>
      </c>
      <c r="GW37">
        <v>33.1</v>
      </c>
      <c r="GX37">
        <v>29.060400000000001</v>
      </c>
      <c r="GY37">
        <v>62.137700000000002</v>
      </c>
      <c r="GZ37">
        <v>12.2035</v>
      </c>
      <c r="HA37">
        <v>1</v>
      </c>
      <c r="HB37">
        <v>0.31232700000000002</v>
      </c>
      <c r="HC37">
        <v>2.7083400000000002</v>
      </c>
      <c r="HD37">
        <v>20.262899999999998</v>
      </c>
      <c r="HE37">
        <v>5.2340600000000004</v>
      </c>
      <c r="HF37">
        <v>11.9758</v>
      </c>
      <c r="HG37">
        <v>4.9756</v>
      </c>
      <c r="HH37">
        <v>3.2839999999999998</v>
      </c>
      <c r="HI37">
        <v>9999</v>
      </c>
      <c r="HJ37">
        <v>9999</v>
      </c>
      <c r="HK37">
        <v>9999</v>
      </c>
      <c r="HL37">
        <v>999.9</v>
      </c>
      <c r="HM37">
        <v>1.8610800000000001</v>
      </c>
      <c r="HN37">
        <v>1.8626799999999999</v>
      </c>
      <c r="HO37">
        <v>1.8681300000000001</v>
      </c>
      <c r="HP37">
        <v>1.8587</v>
      </c>
      <c r="HQ37">
        <v>1.8571500000000001</v>
      </c>
      <c r="HR37">
        <v>1.86087</v>
      </c>
      <c r="HS37">
        <v>1.8647800000000001</v>
      </c>
      <c r="HT37">
        <v>1.86677</v>
      </c>
      <c r="HU37">
        <v>5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0.83099999999999996</v>
      </c>
      <c r="II37">
        <v>0.83960000000000001</v>
      </c>
      <c r="IJ37">
        <v>0.82193369746387535</v>
      </c>
      <c r="IK37">
        <v>1.118558698776514E-3</v>
      </c>
      <c r="IL37">
        <v>-1.6939696309573479E-6</v>
      </c>
      <c r="IM37">
        <v>5.4698917449866148E-10</v>
      </c>
      <c r="IN37">
        <v>-4.5585032940577919E-2</v>
      </c>
      <c r="IO37">
        <v>-7.6058941998734366E-3</v>
      </c>
      <c r="IP37">
        <v>1.6984902717538061E-3</v>
      </c>
      <c r="IQ37">
        <v>-9.6352527008986976E-6</v>
      </c>
      <c r="IR37">
        <v>2</v>
      </c>
      <c r="IS37">
        <v>2021</v>
      </c>
      <c r="IT37">
        <v>2</v>
      </c>
      <c r="IU37">
        <v>40</v>
      </c>
      <c r="IV37">
        <v>0.5</v>
      </c>
      <c r="IW37">
        <v>0.5</v>
      </c>
      <c r="IX37">
        <v>0.17333999999999999</v>
      </c>
      <c r="IY37">
        <v>2.5683600000000002</v>
      </c>
      <c r="IZ37">
        <v>1.34399</v>
      </c>
      <c r="JA37">
        <v>2.2485400000000002</v>
      </c>
      <c r="JB37">
        <v>1.5918000000000001</v>
      </c>
      <c r="JC37">
        <v>2.32544</v>
      </c>
      <c r="JD37">
        <v>38.354500000000002</v>
      </c>
      <c r="JE37">
        <v>24.026199999999999</v>
      </c>
      <c r="JF37">
        <v>18</v>
      </c>
      <c r="JG37">
        <v>505.95499999999998</v>
      </c>
      <c r="JH37">
        <v>436.358</v>
      </c>
      <c r="JI37">
        <v>25.945</v>
      </c>
      <c r="JJ37">
        <v>31.5352</v>
      </c>
      <c r="JK37">
        <v>30</v>
      </c>
      <c r="JL37">
        <v>31.357700000000001</v>
      </c>
      <c r="JM37">
        <v>31.299600000000002</v>
      </c>
      <c r="JN37">
        <v>3.5472899999999998</v>
      </c>
      <c r="JO37">
        <v>30.349499999999999</v>
      </c>
      <c r="JP37">
        <v>68.268000000000001</v>
      </c>
      <c r="JQ37">
        <v>25.941600000000001</v>
      </c>
      <c r="JR37">
        <v>10</v>
      </c>
      <c r="JS37">
        <v>22.621700000000001</v>
      </c>
      <c r="JT37">
        <v>99.540099999999995</v>
      </c>
      <c r="JU37">
        <v>97.527699999999996</v>
      </c>
    </row>
    <row r="38" spans="1:281" x14ac:dyDescent="0.25">
      <c r="A38">
        <v>22</v>
      </c>
      <c r="B38">
        <v>1693326530.0999999</v>
      </c>
      <c r="C38">
        <v>4768.5999999046326</v>
      </c>
      <c r="D38" t="s">
        <v>527</v>
      </c>
      <c r="E38" t="s">
        <v>528</v>
      </c>
      <c r="F38" t="s">
        <v>413</v>
      </c>
      <c r="G38" t="s">
        <v>492</v>
      </c>
      <c r="H38" t="s">
        <v>493</v>
      </c>
      <c r="I38" t="s">
        <v>493</v>
      </c>
      <c r="J38">
        <v>1693326530.0999999</v>
      </c>
      <c r="K38">
        <f t="shared" si="0"/>
        <v>4.9231448835307737E-3</v>
      </c>
      <c r="L38">
        <f t="shared" si="1"/>
        <v>4.9231448835307736</v>
      </c>
      <c r="M38">
        <f t="shared" si="2"/>
        <v>37.860719185799624</v>
      </c>
      <c r="N38">
        <f t="shared" si="3"/>
        <v>352.45</v>
      </c>
      <c r="O38">
        <f t="shared" si="4"/>
        <v>162.16546457141678</v>
      </c>
      <c r="P38">
        <f t="shared" si="5"/>
        <v>16.091585804279561</v>
      </c>
      <c r="Q38">
        <f t="shared" si="6"/>
        <v>34.973410841250001</v>
      </c>
      <c r="R38">
        <f t="shared" si="7"/>
        <v>0.34758163152149402</v>
      </c>
      <c r="S38">
        <f t="shared" si="8"/>
        <v>2.9151065921849666</v>
      </c>
      <c r="T38">
        <f t="shared" si="9"/>
        <v>0.32608968385972353</v>
      </c>
      <c r="U38">
        <f t="shared" si="10"/>
        <v>0.20562618156734069</v>
      </c>
      <c r="V38">
        <f t="shared" si="11"/>
        <v>344.40859964444957</v>
      </c>
      <c r="W38">
        <f t="shared" si="12"/>
        <v>31.070421105658664</v>
      </c>
      <c r="X38">
        <f t="shared" si="13"/>
        <v>30.002099999999999</v>
      </c>
      <c r="Y38">
        <f t="shared" si="14"/>
        <v>4.2609637045948414</v>
      </c>
      <c r="Z38">
        <f t="shared" si="15"/>
        <v>64.90758685777773</v>
      </c>
      <c r="AA38">
        <f t="shared" si="16"/>
        <v>2.8162700026950001</v>
      </c>
      <c r="AB38">
        <f t="shared" si="17"/>
        <v>4.3388918600006967</v>
      </c>
      <c r="AC38">
        <f t="shared" si="18"/>
        <v>1.4446937018998414</v>
      </c>
      <c r="AD38">
        <f t="shared" si="19"/>
        <v>-217.11068936370711</v>
      </c>
      <c r="AE38">
        <f t="shared" si="20"/>
        <v>49.646599682269432</v>
      </c>
      <c r="AF38">
        <f t="shared" si="21"/>
        <v>3.7928206343021325</v>
      </c>
      <c r="AG38">
        <f t="shared" si="22"/>
        <v>180.73733059731401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51868.294780099852</v>
      </c>
      <c r="AM38" t="s">
        <v>415</v>
      </c>
      <c r="AN38">
        <v>10366.9</v>
      </c>
      <c r="AO38">
        <v>993.59653846153856</v>
      </c>
      <c r="AP38">
        <v>3431.87</v>
      </c>
      <c r="AQ38">
        <f t="shared" si="26"/>
        <v>0.71047955241266758</v>
      </c>
      <c r="AR38">
        <v>-3.9894345373445681</v>
      </c>
      <c r="AS38" t="s">
        <v>529</v>
      </c>
      <c r="AT38">
        <v>10387.4</v>
      </c>
      <c r="AU38">
        <v>692.68195999999978</v>
      </c>
      <c r="AV38">
        <v>958.95652661550059</v>
      </c>
      <c r="AW38">
        <f t="shared" si="27"/>
        <v>0.27767115528717312</v>
      </c>
      <c r="AX38">
        <v>0.5</v>
      </c>
      <c r="AY38">
        <f t="shared" si="28"/>
        <v>1513.3532998222249</v>
      </c>
      <c r="AZ38">
        <f t="shared" si="29"/>
        <v>37.860719185799624</v>
      </c>
      <c r="BA38">
        <f t="shared" si="30"/>
        <v>210.10727955964643</v>
      </c>
      <c r="BB38">
        <f t="shared" si="31"/>
        <v>2.7653921743230989E-2</v>
      </c>
      <c r="BC38">
        <f t="shared" si="32"/>
        <v>2.5787545157154232</v>
      </c>
      <c r="BD38">
        <f t="shared" si="33"/>
        <v>568.87398876622944</v>
      </c>
      <c r="BE38" t="s">
        <v>530</v>
      </c>
      <c r="BF38">
        <v>564.62</v>
      </c>
      <c r="BG38">
        <f t="shared" si="34"/>
        <v>564.62</v>
      </c>
      <c r="BH38">
        <f t="shared" si="35"/>
        <v>0.41121418507599583</v>
      </c>
      <c r="BI38">
        <f t="shared" si="36"/>
        <v>0.67524702542996451</v>
      </c>
      <c r="BJ38">
        <f t="shared" si="37"/>
        <v>0.86246873254320322</v>
      </c>
      <c r="BK38">
        <f t="shared" si="38"/>
        <v>-7.6869074929590884</v>
      </c>
      <c r="BL38">
        <f t="shared" si="39"/>
        <v>1.0142067788508764</v>
      </c>
      <c r="BM38">
        <f t="shared" si="40"/>
        <v>0.55040840893022058</v>
      </c>
      <c r="BN38">
        <f t="shared" si="41"/>
        <v>0.44959159106977942</v>
      </c>
      <c r="BO38">
        <v>1995</v>
      </c>
      <c r="BP38">
        <v>290.00000000000011</v>
      </c>
      <c r="BQ38">
        <v>876.17</v>
      </c>
      <c r="BR38">
        <v>195</v>
      </c>
      <c r="BS38">
        <v>10387.4</v>
      </c>
      <c r="BT38">
        <v>874.85</v>
      </c>
      <c r="BU38">
        <v>1.32</v>
      </c>
      <c r="BV38">
        <v>300.00000000000011</v>
      </c>
      <c r="BW38">
        <v>38.4</v>
      </c>
      <c r="BX38">
        <v>958.95652661550059</v>
      </c>
      <c r="BY38">
        <v>1.186934691274413</v>
      </c>
      <c r="BZ38">
        <v>-87.360558992831372</v>
      </c>
      <c r="CA38">
        <v>1.008954375351113</v>
      </c>
      <c r="CB38">
        <v>0.99627907183074571</v>
      </c>
      <c r="CC38">
        <v>-1.130102669632926E-2</v>
      </c>
      <c r="CD38">
        <v>289.99999999999989</v>
      </c>
      <c r="CE38">
        <v>860.07</v>
      </c>
      <c r="CF38">
        <v>645</v>
      </c>
      <c r="CG38">
        <v>10367.1</v>
      </c>
      <c r="CH38">
        <v>874.69</v>
      </c>
      <c r="CI38">
        <v>-14.62</v>
      </c>
      <c r="CW38">
        <f t="shared" si="42"/>
        <v>1800.2</v>
      </c>
      <c r="CX38">
        <f t="shared" si="43"/>
        <v>1513.3532998222249</v>
      </c>
      <c r="CY38">
        <f t="shared" si="44"/>
        <v>0.84065842674270908</v>
      </c>
      <c r="CZ38">
        <f t="shared" si="45"/>
        <v>0.19131685348541805</v>
      </c>
      <c r="DA38">
        <v>6</v>
      </c>
      <c r="DB38">
        <v>0.5</v>
      </c>
      <c r="DC38" t="s">
        <v>418</v>
      </c>
      <c r="DD38">
        <v>2</v>
      </c>
      <c r="DE38">
        <v>1693326530.0999999</v>
      </c>
      <c r="DF38">
        <v>352.45</v>
      </c>
      <c r="DG38">
        <v>399.97</v>
      </c>
      <c r="DH38">
        <v>28.381399999999999</v>
      </c>
      <c r="DI38">
        <v>22.640699999999999</v>
      </c>
      <c r="DJ38">
        <v>351.38499999999999</v>
      </c>
      <c r="DK38">
        <v>27.546099999999999</v>
      </c>
      <c r="DL38">
        <v>499.94799999999998</v>
      </c>
      <c r="DM38">
        <v>99.129400000000004</v>
      </c>
      <c r="DN38">
        <v>0.100025</v>
      </c>
      <c r="DO38">
        <v>30.318000000000001</v>
      </c>
      <c r="DP38">
        <v>30.002099999999999</v>
      </c>
      <c r="DQ38">
        <v>999.9</v>
      </c>
      <c r="DR38">
        <v>0</v>
      </c>
      <c r="DS38">
        <v>0</v>
      </c>
      <c r="DT38">
        <v>10005</v>
      </c>
      <c r="DU38">
        <v>0</v>
      </c>
      <c r="DV38">
        <v>1748.95</v>
      </c>
      <c r="DW38">
        <v>-47.52</v>
      </c>
      <c r="DX38">
        <v>362.74599999999998</v>
      </c>
      <c r="DY38">
        <v>409.23599999999999</v>
      </c>
      <c r="DZ38">
        <v>5.7406300000000003</v>
      </c>
      <c r="EA38">
        <v>399.97</v>
      </c>
      <c r="EB38">
        <v>22.640699999999999</v>
      </c>
      <c r="EC38">
        <v>2.8134299999999999</v>
      </c>
      <c r="ED38">
        <v>2.2443599999999999</v>
      </c>
      <c r="EE38">
        <v>22.963100000000001</v>
      </c>
      <c r="EF38">
        <v>19.282499999999999</v>
      </c>
      <c r="EG38">
        <v>1800.2</v>
      </c>
      <c r="EH38">
        <v>0.977993</v>
      </c>
      <c r="EI38">
        <v>2.2006999999999999E-2</v>
      </c>
      <c r="EJ38">
        <v>0</v>
      </c>
      <c r="EK38">
        <v>692.976</v>
      </c>
      <c r="EL38">
        <v>5.0002700000000004</v>
      </c>
      <c r="EM38">
        <v>13204.2</v>
      </c>
      <c r="EN38">
        <v>16250.4</v>
      </c>
      <c r="EO38">
        <v>46.436999999999998</v>
      </c>
      <c r="EP38">
        <v>48.811999999999998</v>
      </c>
      <c r="EQ38">
        <v>47.686999999999998</v>
      </c>
      <c r="ER38">
        <v>47.811999999999998</v>
      </c>
      <c r="ES38">
        <v>48.311999999999998</v>
      </c>
      <c r="ET38">
        <v>1755.69</v>
      </c>
      <c r="EU38">
        <v>39.51</v>
      </c>
      <c r="EV38">
        <v>0</v>
      </c>
      <c r="EW38">
        <v>187.79999995231631</v>
      </c>
      <c r="EX38">
        <v>0</v>
      </c>
      <c r="EY38">
        <v>692.68195999999978</v>
      </c>
      <c r="EZ38">
        <v>0.14307692570542349</v>
      </c>
      <c r="FA38">
        <v>-8.6153846214855481</v>
      </c>
      <c r="FB38">
        <v>13205.42</v>
      </c>
      <c r="FC38">
        <v>15</v>
      </c>
      <c r="FD38">
        <v>1693326412.5999999</v>
      </c>
      <c r="FE38" t="s">
        <v>531</v>
      </c>
      <c r="FF38">
        <v>1693326407.0999999</v>
      </c>
      <c r="FG38">
        <v>1693326412.5999999</v>
      </c>
      <c r="FH38">
        <v>25</v>
      </c>
      <c r="FI38">
        <v>3.5999999999999997E-2</v>
      </c>
      <c r="FJ38">
        <v>3.0000000000000001E-3</v>
      </c>
      <c r="FK38">
        <v>1.07</v>
      </c>
      <c r="FL38">
        <v>0.50600000000000001</v>
      </c>
      <c r="FM38">
        <v>400</v>
      </c>
      <c r="FN38">
        <v>22</v>
      </c>
      <c r="FO38">
        <v>0.32</v>
      </c>
      <c r="FP38">
        <v>0.04</v>
      </c>
      <c r="FQ38">
        <v>37.573405283248199</v>
      </c>
      <c r="FR38">
        <v>2.1119726138062309</v>
      </c>
      <c r="FS38">
        <v>0.17563136342908001</v>
      </c>
      <c r="FT38">
        <v>0</v>
      </c>
      <c r="FU38">
        <v>0.34842340081010148</v>
      </c>
      <c r="FV38">
        <v>-1.142073563590131E-2</v>
      </c>
      <c r="FW38">
        <v>9.7782588053362289E-4</v>
      </c>
      <c r="FX38">
        <v>1</v>
      </c>
      <c r="FY38">
        <v>1</v>
      </c>
      <c r="FZ38">
        <v>2</v>
      </c>
      <c r="GA38" t="s">
        <v>420</v>
      </c>
      <c r="GB38">
        <v>3.1338599999999999</v>
      </c>
      <c r="GC38">
        <v>2.8652199999999999</v>
      </c>
      <c r="GD38">
        <v>8.3461499999999994E-2</v>
      </c>
      <c r="GE38">
        <v>9.4774399999999995E-2</v>
      </c>
      <c r="GF38">
        <v>0.127888</v>
      </c>
      <c r="GG38">
        <v>0.114181</v>
      </c>
      <c r="GH38">
        <v>27745.8</v>
      </c>
      <c r="GI38">
        <v>21099.3</v>
      </c>
      <c r="GJ38">
        <v>29189.200000000001</v>
      </c>
      <c r="GK38">
        <v>21726.400000000001</v>
      </c>
      <c r="GL38">
        <v>34112.1</v>
      </c>
      <c r="GM38">
        <v>26483.4</v>
      </c>
      <c r="GN38">
        <v>40517.5</v>
      </c>
      <c r="GO38">
        <v>30873.3</v>
      </c>
      <c r="GP38">
        <v>2.0270999999999999</v>
      </c>
      <c r="GQ38">
        <v>1.8452999999999999</v>
      </c>
      <c r="GR38">
        <v>6.2555100000000002E-2</v>
      </c>
      <c r="GS38">
        <v>0</v>
      </c>
      <c r="GT38">
        <v>28.9833</v>
      </c>
      <c r="GU38">
        <v>999.9</v>
      </c>
      <c r="GV38">
        <v>56.1</v>
      </c>
      <c r="GW38">
        <v>33.200000000000003</v>
      </c>
      <c r="GX38">
        <v>28.9148</v>
      </c>
      <c r="GY38">
        <v>61.887700000000002</v>
      </c>
      <c r="GZ38">
        <v>11.726800000000001</v>
      </c>
      <c r="HA38">
        <v>1</v>
      </c>
      <c r="HB38">
        <v>0.30941099999999999</v>
      </c>
      <c r="HC38">
        <v>1.4975099999999999</v>
      </c>
      <c r="HD38">
        <v>20.277999999999999</v>
      </c>
      <c r="HE38">
        <v>5.2340600000000004</v>
      </c>
      <c r="HF38">
        <v>11.974</v>
      </c>
      <c r="HG38">
        <v>4.9749999999999996</v>
      </c>
      <c r="HH38">
        <v>3.2839999999999998</v>
      </c>
      <c r="HI38">
        <v>9999</v>
      </c>
      <c r="HJ38">
        <v>9999</v>
      </c>
      <c r="HK38">
        <v>9999</v>
      </c>
      <c r="HL38">
        <v>999.9</v>
      </c>
      <c r="HM38">
        <v>1.8609599999999999</v>
      </c>
      <c r="HN38">
        <v>1.8626400000000001</v>
      </c>
      <c r="HO38">
        <v>1.8680399999999999</v>
      </c>
      <c r="HP38">
        <v>1.85867</v>
      </c>
      <c r="HQ38">
        <v>1.8571500000000001</v>
      </c>
      <c r="HR38">
        <v>1.8608100000000001</v>
      </c>
      <c r="HS38">
        <v>1.8646400000000001</v>
      </c>
      <c r="HT38">
        <v>1.8667400000000001</v>
      </c>
      <c r="HU38">
        <v>5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1.0649999999999999</v>
      </c>
      <c r="II38">
        <v>0.83530000000000004</v>
      </c>
      <c r="IJ38">
        <v>0.85822440799149335</v>
      </c>
      <c r="IK38">
        <v>1.118558698776514E-3</v>
      </c>
      <c r="IL38">
        <v>-1.6939696309573479E-6</v>
      </c>
      <c r="IM38">
        <v>5.4698917449866148E-10</v>
      </c>
      <c r="IN38">
        <v>-4.263641162878784E-2</v>
      </c>
      <c r="IO38">
        <v>-7.6058941998734366E-3</v>
      </c>
      <c r="IP38">
        <v>1.6984902717538061E-3</v>
      </c>
      <c r="IQ38">
        <v>-9.6352527008986976E-6</v>
      </c>
      <c r="IR38">
        <v>2</v>
      </c>
      <c r="IS38">
        <v>2021</v>
      </c>
      <c r="IT38">
        <v>2</v>
      </c>
      <c r="IU38">
        <v>40</v>
      </c>
      <c r="IV38">
        <v>2</v>
      </c>
      <c r="IW38">
        <v>2</v>
      </c>
      <c r="IX38">
        <v>1.02783</v>
      </c>
      <c r="IY38">
        <v>2.4877899999999999</v>
      </c>
      <c r="IZ38">
        <v>1.34399</v>
      </c>
      <c r="JA38">
        <v>2.2473100000000001</v>
      </c>
      <c r="JB38">
        <v>1.5918000000000001</v>
      </c>
      <c r="JC38">
        <v>2.4060100000000002</v>
      </c>
      <c r="JD38">
        <v>38.330100000000002</v>
      </c>
      <c r="JE38">
        <v>24.087499999999999</v>
      </c>
      <c r="JF38">
        <v>18</v>
      </c>
      <c r="JG38">
        <v>506.85599999999999</v>
      </c>
      <c r="JH38">
        <v>436.36</v>
      </c>
      <c r="JI38">
        <v>27.175699999999999</v>
      </c>
      <c r="JJ38">
        <v>31.540700000000001</v>
      </c>
      <c r="JK38">
        <v>30.0002</v>
      </c>
      <c r="JL38">
        <v>31.371300000000002</v>
      </c>
      <c r="JM38">
        <v>31.315899999999999</v>
      </c>
      <c r="JN38">
        <v>20.662500000000001</v>
      </c>
      <c r="JO38">
        <v>29.640499999999999</v>
      </c>
      <c r="JP38">
        <v>66.198099999999997</v>
      </c>
      <c r="JQ38">
        <v>27.165299999999998</v>
      </c>
      <c r="JR38">
        <v>400</v>
      </c>
      <c r="JS38">
        <v>22.6143</v>
      </c>
      <c r="JT38">
        <v>99.534700000000001</v>
      </c>
      <c r="JU38">
        <v>97.537199999999999</v>
      </c>
    </row>
    <row r="39" spans="1:281" x14ac:dyDescent="0.25">
      <c r="A39">
        <v>23</v>
      </c>
      <c r="B39">
        <v>1693326630.5999999</v>
      </c>
      <c r="C39">
        <v>4869.0999999046326</v>
      </c>
      <c r="D39" t="s">
        <v>532</v>
      </c>
      <c r="E39" t="s">
        <v>533</v>
      </c>
      <c r="F39" t="s">
        <v>413</v>
      </c>
      <c r="G39" t="s">
        <v>492</v>
      </c>
      <c r="H39" t="s">
        <v>493</v>
      </c>
      <c r="I39" t="s">
        <v>493</v>
      </c>
      <c r="J39">
        <v>1693326630.5999999</v>
      </c>
      <c r="K39">
        <f t="shared" si="0"/>
        <v>4.8168544242508989E-3</v>
      </c>
      <c r="L39">
        <f t="shared" si="1"/>
        <v>4.8168544242508986</v>
      </c>
      <c r="M39">
        <f t="shared" si="2"/>
        <v>40.36654281891461</v>
      </c>
      <c r="N39">
        <f t="shared" si="3"/>
        <v>349.57</v>
      </c>
      <c r="O39">
        <f t="shared" si="4"/>
        <v>147.06338746268673</v>
      </c>
      <c r="P39">
        <f t="shared" si="5"/>
        <v>14.593171748974504</v>
      </c>
      <c r="Q39">
        <f t="shared" si="6"/>
        <v>34.688001795030999</v>
      </c>
      <c r="R39">
        <f t="shared" si="7"/>
        <v>0.3468995887573762</v>
      </c>
      <c r="S39">
        <f t="shared" si="8"/>
        <v>2.9142550445271302</v>
      </c>
      <c r="T39">
        <f t="shared" si="9"/>
        <v>0.32548327469419502</v>
      </c>
      <c r="U39">
        <f t="shared" si="10"/>
        <v>0.20524094331029102</v>
      </c>
      <c r="V39">
        <f t="shared" si="11"/>
        <v>344.36879964468005</v>
      </c>
      <c r="W39">
        <f t="shared" si="12"/>
        <v>31.064821727493122</v>
      </c>
      <c r="X39">
        <f t="shared" si="13"/>
        <v>29.958600000000001</v>
      </c>
      <c r="Y39">
        <f t="shared" si="14"/>
        <v>4.2503289912453885</v>
      </c>
      <c r="Z39">
        <f t="shared" si="15"/>
        <v>65.446327139488176</v>
      </c>
      <c r="AA39">
        <f t="shared" si="16"/>
        <v>2.8342311298734302</v>
      </c>
      <c r="AB39">
        <f t="shared" si="17"/>
        <v>4.3306190794064401</v>
      </c>
      <c r="AC39">
        <f t="shared" si="18"/>
        <v>1.4160978613719584</v>
      </c>
      <c r="AD39">
        <f t="shared" si="19"/>
        <v>-212.42328010946466</v>
      </c>
      <c r="AE39">
        <f t="shared" si="20"/>
        <v>51.234652986934307</v>
      </c>
      <c r="AF39">
        <f t="shared" si="21"/>
        <v>3.913798338346028</v>
      </c>
      <c r="AG39">
        <f t="shared" si="22"/>
        <v>187.09397086049574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51849.806622858952</v>
      </c>
      <c r="AM39" t="s">
        <v>415</v>
      </c>
      <c r="AN39">
        <v>10366.9</v>
      </c>
      <c r="AO39">
        <v>993.59653846153856</v>
      </c>
      <c r="AP39">
        <v>3431.87</v>
      </c>
      <c r="AQ39">
        <f t="shared" si="26"/>
        <v>0.71047955241266758</v>
      </c>
      <c r="AR39">
        <v>-3.9894345373445681</v>
      </c>
      <c r="AS39" t="s">
        <v>534</v>
      </c>
      <c r="AT39">
        <v>10396.9</v>
      </c>
      <c r="AU39">
        <v>707.88230769230779</v>
      </c>
      <c r="AV39">
        <v>991.08563615984019</v>
      </c>
      <c r="AW39">
        <f t="shared" si="27"/>
        <v>0.28575061340295516</v>
      </c>
      <c r="AX39">
        <v>0.5</v>
      </c>
      <c r="AY39">
        <f t="shared" si="28"/>
        <v>1513.1843998223399</v>
      </c>
      <c r="AZ39">
        <f t="shared" si="29"/>
        <v>40.36654281891461</v>
      </c>
      <c r="BA39">
        <f t="shared" si="30"/>
        <v>216.19668522050807</v>
      </c>
      <c r="BB39">
        <f t="shared" si="31"/>
        <v>2.931300201182812E-2</v>
      </c>
      <c r="BC39">
        <f t="shared" si="32"/>
        <v>2.4627381073723029</v>
      </c>
      <c r="BD39">
        <f t="shared" si="33"/>
        <v>580.02859041996203</v>
      </c>
      <c r="BE39" t="s">
        <v>535</v>
      </c>
      <c r="BF39">
        <v>572.80999999999995</v>
      </c>
      <c r="BG39">
        <f t="shared" si="34"/>
        <v>572.80999999999995</v>
      </c>
      <c r="BH39">
        <f t="shared" si="35"/>
        <v>0.42203783497512182</v>
      </c>
      <c r="BI39">
        <f t="shared" si="36"/>
        <v>0.67707345105634797</v>
      </c>
      <c r="BJ39">
        <f t="shared" si="37"/>
        <v>0.85370169350771219</v>
      </c>
      <c r="BK39">
        <f t="shared" si="38"/>
        <v>-112.78946547461231</v>
      </c>
      <c r="BL39">
        <f t="shared" si="39"/>
        <v>1.0010297869953084</v>
      </c>
      <c r="BM39">
        <f t="shared" si="40"/>
        <v>0.54787983720616595</v>
      </c>
      <c r="BN39">
        <f t="shared" si="41"/>
        <v>0.45212016279383405</v>
      </c>
      <c r="BO39">
        <v>1997</v>
      </c>
      <c r="BP39">
        <v>290.00000000000011</v>
      </c>
      <c r="BQ39">
        <v>907.5</v>
      </c>
      <c r="BR39">
        <v>145</v>
      </c>
      <c r="BS39">
        <v>10396.9</v>
      </c>
      <c r="BT39">
        <v>906.07</v>
      </c>
      <c r="BU39">
        <v>1.43</v>
      </c>
      <c r="BV39">
        <v>300.00000000000011</v>
      </c>
      <c r="BW39">
        <v>38.4</v>
      </c>
      <c r="BX39">
        <v>991.08563615984019</v>
      </c>
      <c r="BY39">
        <v>1.3303381393447491</v>
      </c>
      <c r="BZ39">
        <v>-88.394092590687478</v>
      </c>
      <c r="CA39">
        <v>1.130960687354347</v>
      </c>
      <c r="CB39">
        <v>0.99543731505014421</v>
      </c>
      <c r="CC39">
        <v>-1.130227541713015E-2</v>
      </c>
      <c r="CD39">
        <v>289.99999999999989</v>
      </c>
      <c r="CE39">
        <v>894.59</v>
      </c>
      <c r="CF39">
        <v>635</v>
      </c>
      <c r="CG39">
        <v>10369.1</v>
      </c>
      <c r="CH39">
        <v>905.84</v>
      </c>
      <c r="CI39">
        <v>-11.25</v>
      </c>
      <c r="CW39">
        <f t="shared" si="42"/>
        <v>1800</v>
      </c>
      <c r="CX39">
        <f t="shared" si="43"/>
        <v>1513.1843998223399</v>
      </c>
      <c r="CY39">
        <f t="shared" si="44"/>
        <v>0.84065799990129997</v>
      </c>
      <c r="CZ39">
        <f t="shared" si="45"/>
        <v>0.19131599980260003</v>
      </c>
      <c r="DA39">
        <v>6</v>
      </c>
      <c r="DB39">
        <v>0.5</v>
      </c>
      <c r="DC39" t="s">
        <v>418</v>
      </c>
      <c r="DD39">
        <v>2</v>
      </c>
      <c r="DE39">
        <v>1693326630.5999999</v>
      </c>
      <c r="DF39">
        <v>349.57</v>
      </c>
      <c r="DG39">
        <v>400.01400000000001</v>
      </c>
      <c r="DH39">
        <v>28.562100000000001</v>
      </c>
      <c r="DI39">
        <v>22.948799999999999</v>
      </c>
      <c r="DJ39">
        <v>348.50700000000001</v>
      </c>
      <c r="DK39">
        <v>27.711099999999998</v>
      </c>
      <c r="DL39">
        <v>500.16300000000001</v>
      </c>
      <c r="DM39">
        <v>99.130700000000004</v>
      </c>
      <c r="DN39">
        <v>9.9788299999999996E-2</v>
      </c>
      <c r="DO39">
        <v>30.284700000000001</v>
      </c>
      <c r="DP39">
        <v>29.958600000000001</v>
      </c>
      <c r="DQ39">
        <v>999.9</v>
      </c>
      <c r="DR39">
        <v>0</v>
      </c>
      <c r="DS39">
        <v>0</v>
      </c>
      <c r="DT39">
        <v>10000</v>
      </c>
      <c r="DU39">
        <v>0</v>
      </c>
      <c r="DV39">
        <v>1730.89</v>
      </c>
      <c r="DW39">
        <v>-50.443899999999999</v>
      </c>
      <c r="DX39">
        <v>359.84800000000001</v>
      </c>
      <c r="DY39">
        <v>409.40899999999999</v>
      </c>
      <c r="DZ39">
        <v>5.6132900000000001</v>
      </c>
      <c r="EA39">
        <v>400.01400000000001</v>
      </c>
      <c r="EB39">
        <v>22.948799999999999</v>
      </c>
      <c r="EC39">
        <v>2.8313799999999998</v>
      </c>
      <c r="ED39">
        <v>2.2749299999999999</v>
      </c>
      <c r="EE39">
        <v>23.068200000000001</v>
      </c>
      <c r="EF39">
        <v>19.5</v>
      </c>
      <c r="EG39">
        <v>1800</v>
      </c>
      <c r="EH39">
        <v>0.97800600000000004</v>
      </c>
      <c r="EI39">
        <v>2.1993800000000001E-2</v>
      </c>
      <c r="EJ39">
        <v>0</v>
      </c>
      <c r="EK39">
        <v>709.94600000000003</v>
      </c>
      <c r="EL39">
        <v>5.0002700000000004</v>
      </c>
      <c r="EM39">
        <v>13505.6</v>
      </c>
      <c r="EN39">
        <v>16248.6</v>
      </c>
      <c r="EO39">
        <v>46.375</v>
      </c>
      <c r="EP39">
        <v>48.686999999999998</v>
      </c>
      <c r="EQ39">
        <v>47.561999999999998</v>
      </c>
      <c r="ER39">
        <v>47.625</v>
      </c>
      <c r="ES39">
        <v>48.25</v>
      </c>
      <c r="ET39">
        <v>1755.52</v>
      </c>
      <c r="EU39">
        <v>39.479999999999997</v>
      </c>
      <c r="EV39">
        <v>0</v>
      </c>
      <c r="EW39">
        <v>98.399999856948853</v>
      </c>
      <c r="EX39">
        <v>0</v>
      </c>
      <c r="EY39">
        <v>707.88230769230779</v>
      </c>
      <c r="EZ39">
        <v>13.318564114293981</v>
      </c>
      <c r="FA39">
        <v>222.84444459100669</v>
      </c>
      <c r="FB39">
        <v>13479.66153846154</v>
      </c>
      <c r="FC39">
        <v>15</v>
      </c>
      <c r="FD39">
        <v>1693326603.5999999</v>
      </c>
      <c r="FE39" t="s">
        <v>536</v>
      </c>
      <c r="FF39">
        <v>1693326589.5999999</v>
      </c>
      <c r="FG39">
        <v>1693326603.5999999</v>
      </c>
      <c r="FH39">
        <v>26</v>
      </c>
      <c r="FI39">
        <v>-3.0000000000000001E-3</v>
      </c>
      <c r="FJ39">
        <v>5.0000000000000001E-3</v>
      </c>
      <c r="FK39">
        <v>1.0660000000000001</v>
      </c>
      <c r="FL39">
        <v>0.52600000000000002</v>
      </c>
      <c r="FM39">
        <v>400</v>
      </c>
      <c r="FN39">
        <v>23</v>
      </c>
      <c r="FO39">
        <v>0.13</v>
      </c>
      <c r="FP39">
        <v>0.04</v>
      </c>
      <c r="FQ39">
        <v>40.196961516237756</v>
      </c>
      <c r="FR39">
        <v>0.36909667472725222</v>
      </c>
      <c r="FS39">
        <v>9.9152112172290488E-2</v>
      </c>
      <c r="FT39">
        <v>1</v>
      </c>
      <c r="FU39">
        <v>0.34789535733525251</v>
      </c>
      <c r="FV39">
        <v>4.0255200920304421E-2</v>
      </c>
      <c r="FW39">
        <v>5.2252819305944028E-3</v>
      </c>
      <c r="FX39">
        <v>1</v>
      </c>
      <c r="FY39">
        <v>2</v>
      </c>
      <c r="FZ39">
        <v>2</v>
      </c>
      <c r="GA39" t="s">
        <v>429</v>
      </c>
      <c r="GB39">
        <v>3.1341800000000002</v>
      </c>
      <c r="GC39">
        <v>2.8649399999999998</v>
      </c>
      <c r="GD39">
        <v>8.2925100000000002E-2</v>
      </c>
      <c r="GE39">
        <v>9.4792100000000004E-2</v>
      </c>
      <c r="GF39">
        <v>0.12843299999999999</v>
      </c>
      <c r="GG39">
        <v>0.115272</v>
      </c>
      <c r="GH39">
        <v>27763.8</v>
      </c>
      <c r="GI39">
        <v>21102.5</v>
      </c>
      <c r="GJ39">
        <v>29190.799999999999</v>
      </c>
      <c r="GK39">
        <v>21730</v>
      </c>
      <c r="GL39">
        <v>34090.800000000003</v>
      </c>
      <c r="GM39">
        <v>26455.8</v>
      </c>
      <c r="GN39">
        <v>40519</v>
      </c>
      <c r="GO39">
        <v>30879.200000000001</v>
      </c>
      <c r="GP39">
        <v>2.0270000000000001</v>
      </c>
      <c r="GQ39">
        <v>1.8463000000000001</v>
      </c>
      <c r="GR39">
        <v>5.6594600000000002E-2</v>
      </c>
      <c r="GS39">
        <v>0</v>
      </c>
      <c r="GT39">
        <v>29.036799999999999</v>
      </c>
      <c r="GU39">
        <v>999.9</v>
      </c>
      <c r="GV39">
        <v>55.9</v>
      </c>
      <c r="GW39">
        <v>33.299999999999997</v>
      </c>
      <c r="GX39">
        <v>28.970099999999999</v>
      </c>
      <c r="GY39">
        <v>62.057699999999997</v>
      </c>
      <c r="GZ39">
        <v>12.071300000000001</v>
      </c>
      <c r="HA39">
        <v>1</v>
      </c>
      <c r="HB39">
        <v>0.30387199999999998</v>
      </c>
      <c r="HC39">
        <v>0.28448800000000002</v>
      </c>
      <c r="HD39">
        <v>20.284199999999998</v>
      </c>
      <c r="HE39">
        <v>5.23346</v>
      </c>
      <c r="HF39">
        <v>11.974</v>
      </c>
      <c r="HG39">
        <v>4.9749999999999996</v>
      </c>
      <c r="HH39">
        <v>3.2839999999999998</v>
      </c>
      <c r="HI39">
        <v>9999</v>
      </c>
      <c r="HJ39">
        <v>9999</v>
      </c>
      <c r="HK39">
        <v>9999</v>
      </c>
      <c r="HL39">
        <v>999.9</v>
      </c>
      <c r="HM39">
        <v>1.8609599999999999</v>
      </c>
      <c r="HN39">
        <v>1.86263</v>
      </c>
      <c r="HO39">
        <v>1.8680000000000001</v>
      </c>
      <c r="HP39">
        <v>1.8586499999999999</v>
      </c>
      <c r="HQ39">
        <v>1.85701</v>
      </c>
      <c r="HR39">
        <v>1.8608</v>
      </c>
      <c r="HS39">
        <v>1.8646199999999999</v>
      </c>
      <c r="HT39">
        <v>1.8666700000000001</v>
      </c>
      <c r="HU39">
        <v>5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1.0629999999999999</v>
      </c>
      <c r="II39">
        <v>0.85099999999999998</v>
      </c>
      <c r="IJ39">
        <v>0.85506197369553671</v>
      </c>
      <c r="IK39">
        <v>1.118558698776514E-3</v>
      </c>
      <c r="IL39">
        <v>-1.6939696309573479E-6</v>
      </c>
      <c r="IM39">
        <v>5.4698917449866148E-10</v>
      </c>
      <c r="IN39">
        <v>-3.7513436127913143E-2</v>
      </c>
      <c r="IO39">
        <v>-7.6058941998734366E-3</v>
      </c>
      <c r="IP39">
        <v>1.6984902717538061E-3</v>
      </c>
      <c r="IQ39">
        <v>-9.6352527008986976E-6</v>
      </c>
      <c r="IR39">
        <v>2</v>
      </c>
      <c r="IS39">
        <v>2021</v>
      </c>
      <c r="IT39">
        <v>2</v>
      </c>
      <c r="IU39">
        <v>40</v>
      </c>
      <c r="IV39">
        <v>0.7</v>
      </c>
      <c r="IW39">
        <v>0.5</v>
      </c>
      <c r="IX39">
        <v>1.02905</v>
      </c>
      <c r="IY39">
        <v>2.49878</v>
      </c>
      <c r="IZ39">
        <v>1.34399</v>
      </c>
      <c r="JA39">
        <v>2.2473100000000001</v>
      </c>
      <c r="JB39">
        <v>1.5918000000000001</v>
      </c>
      <c r="JC39">
        <v>2.4243199999999998</v>
      </c>
      <c r="JD39">
        <v>38.232399999999998</v>
      </c>
      <c r="JE39">
        <v>24.087499999999999</v>
      </c>
      <c r="JF39">
        <v>18</v>
      </c>
      <c r="JG39">
        <v>506.57499999999999</v>
      </c>
      <c r="JH39">
        <v>436.81099999999998</v>
      </c>
      <c r="JI39">
        <v>26.664100000000001</v>
      </c>
      <c r="JJ39">
        <v>31.496600000000001</v>
      </c>
      <c r="JK39">
        <v>29.9969</v>
      </c>
      <c r="JL39">
        <v>31.346699999999998</v>
      </c>
      <c r="JM39">
        <v>31.291399999999999</v>
      </c>
      <c r="JN39">
        <v>20.669699999999999</v>
      </c>
      <c r="JO39">
        <v>28.810600000000001</v>
      </c>
      <c r="JP39">
        <v>65.605199999999996</v>
      </c>
      <c r="JQ39">
        <v>26.848199999999999</v>
      </c>
      <c r="JR39">
        <v>400</v>
      </c>
      <c r="JS39">
        <v>22.944299999999998</v>
      </c>
      <c r="JT39">
        <v>99.539000000000001</v>
      </c>
      <c r="JU39">
        <v>97.555000000000007</v>
      </c>
    </row>
    <row r="40" spans="1:281" x14ac:dyDescent="0.25">
      <c r="A40">
        <v>24</v>
      </c>
      <c r="B40">
        <v>1693326745.0999999</v>
      </c>
      <c r="C40">
        <v>4983.5999999046326</v>
      </c>
      <c r="D40" t="s">
        <v>537</v>
      </c>
      <c r="E40" t="s">
        <v>538</v>
      </c>
      <c r="F40" t="s">
        <v>413</v>
      </c>
      <c r="G40" t="s">
        <v>492</v>
      </c>
      <c r="H40" t="s">
        <v>493</v>
      </c>
      <c r="I40" t="s">
        <v>493</v>
      </c>
      <c r="J40">
        <v>1693326745.0999999</v>
      </c>
      <c r="K40">
        <f t="shared" si="0"/>
        <v>4.8404134160203805E-3</v>
      </c>
      <c r="L40">
        <f t="shared" si="1"/>
        <v>4.8404134160203807</v>
      </c>
      <c r="M40">
        <f t="shared" si="2"/>
        <v>45.832823915506694</v>
      </c>
      <c r="N40">
        <f t="shared" si="3"/>
        <v>442.63200000000001</v>
      </c>
      <c r="O40">
        <f t="shared" si="4"/>
        <v>209.5794382917824</v>
      </c>
      <c r="P40">
        <f t="shared" si="5"/>
        <v>20.796650026412816</v>
      </c>
      <c r="Q40">
        <f t="shared" si="6"/>
        <v>43.922547314375997</v>
      </c>
      <c r="R40">
        <f t="shared" si="7"/>
        <v>0.34374300684104864</v>
      </c>
      <c r="S40">
        <f t="shared" si="8"/>
        <v>2.9045951305459612</v>
      </c>
      <c r="T40">
        <f t="shared" si="9"/>
        <v>0.32263662240597984</v>
      </c>
      <c r="U40">
        <f t="shared" si="10"/>
        <v>0.20343612645142478</v>
      </c>
      <c r="V40">
        <f t="shared" si="11"/>
        <v>344.37829964468995</v>
      </c>
      <c r="W40">
        <f t="shared" si="12"/>
        <v>31.089410353780213</v>
      </c>
      <c r="X40">
        <f t="shared" si="13"/>
        <v>30.0183</v>
      </c>
      <c r="Y40">
        <f t="shared" si="14"/>
        <v>4.2649301405672517</v>
      </c>
      <c r="Z40">
        <f t="shared" si="15"/>
        <v>65.22947736054978</v>
      </c>
      <c r="AA40">
        <f t="shared" si="16"/>
        <v>2.8294256568840996</v>
      </c>
      <c r="AB40">
        <f t="shared" si="17"/>
        <v>4.3376488228546064</v>
      </c>
      <c r="AC40">
        <f t="shared" si="18"/>
        <v>1.4355044836831521</v>
      </c>
      <c r="AD40">
        <f t="shared" si="19"/>
        <v>-213.46223164649879</v>
      </c>
      <c r="AE40">
        <f t="shared" si="20"/>
        <v>46.147819380204609</v>
      </c>
      <c r="AF40">
        <f t="shared" si="21"/>
        <v>3.5384809874099319</v>
      </c>
      <c r="AG40">
        <f t="shared" si="22"/>
        <v>180.60236836580566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51570.632293358161</v>
      </c>
      <c r="AM40" t="s">
        <v>415</v>
      </c>
      <c r="AN40">
        <v>10366.9</v>
      </c>
      <c r="AO40">
        <v>993.59653846153856</v>
      </c>
      <c r="AP40">
        <v>3431.87</v>
      </c>
      <c r="AQ40">
        <f t="shared" si="26"/>
        <v>0.71047955241266758</v>
      </c>
      <c r="AR40">
        <v>-3.9894345373445681</v>
      </c>
      <c r="AS40" t="s">
        <v>539</v>
      </c>
      <c r="AT40">
        <v>10397.799999999999</v>
      </c>
      <c r="AU40">
        <v>749.67580769230767</v>
      </c>
      <c r="AV40">
        <v>1092.5217253207029</v>
      </c>
      <c r="AW40">
        <f t="shared" si="27"/>
        <v>0.31381153315532917</v>
      </c>
      <c r="AX40">
        <v>0.5</v>
      </c>
      <c r="AY40">
        <f t="shared" si="28"/>
        <v>1513.2263998223448</v>
      </c>
      <c r="AZ40">
        <f t="shared" si="29"/>
        <v>45.832823915506694</v>
      </c>
      <c r="BA40">
        <f t="shared" si="30"/>
        <v>237.43394826968458</v>
      </c>
      <c r="BB40">
        <f t="shared" si="31"/>
        <v>3.2924523692357252E-2</v>
      </c>
      <c r="BC40">
        <f t="shared" si="32"/>
        <v>2.1412373049081435</v>
      </c>
      <c r="BD40">
        <f t="shared" si="33"/>
        <v>613.35694889984279</v>
      </c>
      <c r="BE40" t="s">
        <v>540</v>
      </c>
      <c r="BF40">
        <v>591.57000000000005</v>
      </c>
      <c r="BG40">
        <f t="shared" si="34"/>
        <v>591.57000000000005</v>
      </c>
      <c r="BH40">
        <f t="shared" si="35"/>
        <v>0.4585279301184163</v>
      </c>
      <c r="BI40">
        <f t="shared" si="36"/>
        <v>0.68438913432009774</v>
      </c>
      <c r="BJ40">
        <f t="shared" si="37"/>
        <v>0.82362717835415178</v>
      </c>
      <c r="BK40">
        <f t="shared" si="38"/>
        <v>3.4657090728217743</v>
      </c>
      <c r="BL40">
        <f t="shared" si="39"/>
        <v>0.95942818210523995</v>
      </c>
      <c r="BM40">
        <f t="shared" si="40"/>
        <v>0.54005221461796216</v>
      </c>
      <c r="BN40">
        <f t="shared" si="41"/>
        <v>0.45994778538203784</v>
      </c>
      <c r="BO40">
        <v>1999</v>
      </c>
      <c r="BP40">
        <v>290.00000000000011</v>
      </c>
      <c r="BQ40">
        <v>994.76</v>
      </c>
      <c r="BR40">
        <v>145</v>
      </c>
      <c r="BS40">
        <v>10397.799999999999</v>
      </c>
      <c r="BT40">
        <v>993.4</v>
      </c>
      <c r="BU40">
        <v>1.36</v>
      </c>
      <c r="BV40">
        <v>300.00000000000011</v>
      </c>
      <c r="BW40">
        <v>38.4</v>
      </c>
      <c r="BX40">
        <v>1092.5217253207029</v>
      </c>
      <c r="BY40">
        <v>1.2954328120610119</v>
      </c>
      <c r="BZ40">
        <v>-103.0689376284688</v>
      </c>
      <c r="CA40">
        <v>1.10137573946992</v>
      </c>
      <c r="CB40">
        <v>0.9968129628872171</v>
      </c>
      <c r="CC40">
        <v>-1.130373548387097E-2</v>
      </c>
      <c r="CD40">
        <v>289.99999999999989</v>
      </c>
      <c r="CE40">
        <v>981.24</v>
      </c>
      <c r="CF40">
        <v>635</v>
      </c>
      <c r="CG40">
        <v>10370</v>
      </c>
      <c r="CH40">
        <v>993.13</v>
      </c>
      <c r="CI40">
        <v>-11.89</v>
      </c>
      <c r="CW40">
        <f t="shared" si="42"/>
        <v>1800.05</v>
      </c>
      <c r="CX40">
        <f t="shared" si="43"/>
        <v>1513.2263998223448</v>
      </c>
      <c r="CY40">
        <f t="shared" si="44"/>
        <v>0.84065798162403538</v>
      </c>
      <c r="CZ40">
        <f t="shared" si="45"/>
        <v>0.19131596324807085</v>
      </c>
      <c r="DA40">
        <v>6</v>
      </c>
      <c r="DB40">
        <v>0.5</v>
      </c>
      <c r="DC40" t="s">
        <v>418</v>
      </c>
      <c r="DD40">
        <v>2</v>
      </c>
      <c r="DE40">
        <v>1693326745.0999999</v>
      </c>
      <c r="DF40">
        <v>442.63200000000001</v>
      </c>
      <c r="DG40">
        <v>500.21899999999999</v>
      </c>
      <c r="DH40">
        <v>28.5137</v>
      </c>
      <c r="DI40">
        <v>22.869199999999999</v>
      </c>
      <c r="DJ40">
        <v>441.49799999999999</v>
      </c>
      <c r="DK40">
        <v>27.6617</v>
      </c>
      <c r="DL40">
        <v>499.85599999999999</v>
      </c>
      <c r="DM40">
        <v>99.129499999999993</v>
      </c>
      <c r="DN40">
        <v>0.100893</v>
      </c>
      <c r="DO40">
        <v>30.312999999999999</v>
      </c>
      <c r="DP40">
        <v>30.0183</v>
      </c>
      <c r="DQ40">
        <v>999.9</v>
      </c>
      <c r="DR40">
        <v>0</v>
      </c>
      <c r="DS40">
        <v>0</v>
      </c>
      <c r="DT40">
        <v>9945</v>
      </c>
      <c r="DU40">
        <v>0</v>
      </c>
      <c r="DV40">
        <v>1738.48</v>
      </c>
      <c r="DW40">
        <v>-57.5869</v>
      </c>
      <c r="DX40">
        <v>455.62299999999999</v>
      </c>
      <c r="DY40">
        <v>511.92599999999999</v>
      </c>
      <c r="DZ40">
        <v>5.6444999999999999</v>
      </c>
      <c r="EA40">
        <v>500.21899999999999</v>
      </c>
      <c r="EB40">
        <v>22.869199999999999</v>
      </c>
      <c r="EC40">
        <v>2.8265500000000001</v>
      </c>
      <c r="ED40">
        <v>2.26702</v>
      </c>
      <c r="EE40">
        <v>23.04</v>
      </c>
      <c r="EF40">
        <v>19.443899999999999</v>
      </c>
      <c r="EG40">
        <v>1800.05</v>
      </c>
      <c r="EH40">
        <v>0.97800600000000004</v>
      </c>
      <c r="EI40">
        <v>2.1993800000000001E-2</v>
      </c>
      <c r="EJ40">
        <v>0</v>
      </c>
      <c r="EK40">
        <v>750.43799999999999</v>
      </c>
      <c r="EL40">
        <v>5.0002700000000004</v>
      </c>
      <c r="EM40">
        <v>14248.2</v>
      </c>
      <c r="EN40">
        <v>16249.1</v>
      </c>
      <c r="EO40">
        <v>46.311999999999998</v>
      </c>
      <c r="EP40">
        <v>48.686999999999998</v>
      </c>
      <c r="EQ40">
        <v>47.5</v>
      </c>
      <c r="ER40">
        <v>47.625</v>
      </c>
      <c r="ES40">
        <v>48.186999999999998</v>
      </c>
      <c r="ET40">
        <v>1755.57</v>
      </c>
      <c r="EU40">
        <v>39.479999999999997</v>
      </c>
      <c r="EV40">
        <v>0</v>
      </c>
      <c r="EW40">
        <v>112.3999998569489</v>
      </c>
      <c r="EX40">
        <v>0</v>
      </c>
      <c r="EY40">
        <v>749.67580769230767</v>
      </c>
      <c r="EZ40">
        <v>5.5772649698917984</v>
      </c>
      <c r="FA40">
        <v>98.588034299394579</v>
      </c>
      <c r="FB40">
        <v>14239.55769230769</v>
      </c>
      <c r="FC40">
        <v>15</v>
      </c>
      <c r="FD40">
        <v>1693326718.5999999</v>
      </c>
      <c r="FE40" t="s">
        <v>541</v>
      </c>
      <c r="FF40">
        <v>1693326718.5999999</v>
      </c>
      <c r="FG40">
        <v>1693326708.0999999</v>
      </c>
      <c r="FH40">
        <v>27</v>
      </c>
      <c r="FI40">
        <v>6.8000000000000005E-2</v>
      </c>
      <c r="FJ40">
        <v>4.0000000000000001E-3</v>
      </c>
      <c r="FK40">
        <v>1.1279999999999999</v>
      </c>
      <c r="FL40">
        <v>0.54300000000000004</v>
      </c>
      <c r="FM40">
        <v>500</v>
      </c>
      <c r="FN40">
        <v>23</v>
      </c>
      <c r="FO40">
        <v>0.11</v>
      </c>
      <c r="FP40">
        <v>0.04</v>
      </c>
      <c r="FQ40">
        <v>45.591546503229182</v>
      </c>
      <c r="FR40">
        <v>-0.54324631921156241</v>
      </c>
      <c r="FS40">
        <v>0.12482362796012821</v>
      </c>
      <c r="FT40">
        <v>1</v>
      </c>
      <c r="FU40">
        <v>0.35032197032537932</v>
      </c>
      <c r="FV40">
        <v>7.9351116109382305E-3</v>
      </c>
      <c r="FW40">
        <v>6.4152549719861153E-3</v>
      </c>
      <c r="FX40">
        <v>1</v>
      </c>
      <c r="FY40">
        <v>2</v>
      </c>
      <c r="FZ40">
        <v>2</v>
      </c>
      <c r="GA40" t="s">
        <v>429</v>
      </c>
      <c r="GB40">
        <v>3.13381</v>
      </c>
      <c r="GC40">
        <v>2.86557</v>
      </c>
      <c r="GD40">
        <v>9.9636699999999995E-2</v>
      </c>
      <c r="GE40">
        <v>0.112122</v>
      </c>
      <c r="GF40">
        <v>0.128278</v>
      </c>
      <c r="GG40">
        <v>0.114997</v>
      </c>
      <c r="GH40">
        <v>27258.2</v>
      </c>
      <c r="GI40">
        <v>20699.2</v>
      </c>
      <c r="GJ40">
        <v>29191</v>
      </c>
      <c r="GK40">
        <v>21730.799999999999</v>
      </c>
      <c r="GL40">
        <v>34098.800000000003</v>
      </c>
      <c r="GM40">
        <v>26465.599999999999</v>
      </c>
      <c r="GN40">
        <v>40519.300000000003</v>
      </c>
      <c r="GO40">
        <v>30879.5</v>
      </c>
      <c r="GP40">
        <v>2.0272999999999999</v>
      </c>
      <c r="GQ40">
        <v>1.8463000000000001</v>
      </c>
      <c r="GR40">
        <v>5.3748499999999998E-2</v>
      </c>
      <c r="GS40">
        <v>0</v>
      </c>
      <c r="GT40">
        <v>29.1431</v>
      </c>
      <c r="GU40">
        <v>999.9</v>
      </c>
      <c r="GV40">
        <v>55.6</v>
      </c>
      <c r="GW40">
        <v>33.299999999999997</v>
      </c>
      <c r="GX40">
        <v>28.816800000000001</v>
      </c>
      <c r="GY40">
        <v>62.047699999999999</v>
      </c>
      <c r="GZ40">
        <v>12.2316</v>
      </c>
      <c r="HA40">
        <v>1</v>
      </c>
      <c r="HB40">
        <v>0.30571100000000001</v>
      </c>
      <c r="HC40">
        <v>2.3897300000000001</v>
      </c>
      <c r="HD40">
        <v>20.2682</v>
      </c>
      <c r="HE40">
        <v>5.23346</v>
      </c>
      <c r="HF40">
        <v>11.974</v>
      </c>
      <c r="HG40">
        <v>4.9740000000000002</v>
      </c>
      <c r="HH40">
        <v>3.2839999999999998</v>
      </c>
      <c r="HI40">
        <v>9999</v>
      </c>
      <c r="HJ40">
        <v>9999</v>
      </c>
      <c r="HK40">
        <v>9999</v>
      </c>
      <c r="HL40">
        <v>999.9</v>
      </c>
      <c r="HM40">
        <v>1.8609599999999999</v>
      </c>
      <c r="HN40">
        <v>1.86259</v>
      </c>
      <c r="HO40">
        <v>1.8680000000000001</v>
      </c>
      <c r="HP40">
        <v>1.85863</v>
      </c>
      <c r="HQ40">
        <v>1.85704</v>
      </c>
      <c r="HR40">
        <v>1.8608100000000001</v>
      </c>
      <c r="HS40">
        <v>1.8646199999999999</v>
      </c>
      <c r="HT40">
        <v>1.86663</v>
      </c>
      <c r="HU40">
        <v>5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1.1339999999999999</v>
      </c>
      <c r="II40">
        <v>0.85199999999999998</v>
      </c>
      <c r="IJ40">
        <v>0.92338937888885886</v>
      </c>
      <c r="IK40">
        <v>1.118558698776514E-3</v>
      </c>
      <c r="IL40">
        <v>-1.6939696309573479E-6</v>
      </c>
      <c r="IM40">
        <v>5.4698917449866148E-10</v>
      </c>
      <c r="IN40">
        <v>-3.325256322965342E-2</v>
      </c>
      <c r="IO40">
        <v>-7.6058941998734366E-3</v>
      </c>
      <c r="IP40">
        <v>1.6984902717538061E-3</v>
      </c>
      <c r="IQ40">
        <v>-9.6352527008986976E-6</v>
      </c>
      <c r="IR40">
        <v>2</v>
      </c>
      <c r="IS40">
        <v>2021</v>
      </c>
      <c r="IT40">
        <v>2</v>
      </c>
      <c r="IU40">
        <v>40</v>
      </c>
      <c r="IV40">
        <v>0.4</v>
      </c>
      <c r="IW40">
        <v>0.6</v>
      </c>
      <c r="IX40">
        <v>1.23047</v>
      </c>
      <c r="IY40">
        <v>2.5</v>
      </c>
      <c r="IZ40">
        <v>1.34399</v>
      </c>
      <c r="JA40">
        <v>2.2460900000000001</v>
      </c>
      <c r="JB40">
        <v>1.5918000000000001</v>
      </c>
      <c r="JC40">
        <v>2.2936999999999999</v>
      </c>
      <c r="JD40">
        <v>38.134999999999998</v>
      </c>
      <c r="JE40">
        <v>24.078700000000001</v>
      </c>
      <c r="JF40">
        <v>18</v>
      </c>
      <c r="JG40">
        <v>506.57900000000001</v>
      </c>
      <c r="JH40">
        <v>436.65800000000002</v>
      </c>
      <c r="JI40">
        <v>26.5167</v>
      </c>
      <c r="JJ40">
        <v>31.474499999999999</v>
      </c>
      <c r="JK40">
        <v>30.000900000000001</v>
      </c>
      <c r="JL40">
        <v>31.3249</v>
      </c>
      <c r="JM40">
        <v>31.272400000000001</v>
      </c>
      <c r="JN40">
        <v>24.7012</v>
      </c>
      <c r="JO40">
        <v>28.887899999999998</v>
      </c>
      <c r="JP40">
        <v>64.962699999999998</v>
      </c>
      <c r="JQ40">
        <v>26.4651</v>
      </c>
      <c r="JR40">
        <v>500</v>
      </c>
      <c r="JS40">
        <v>22.8188</v>
      </c>
      <c r="JT40">
        <v>99.5398</v>
      </c>
      <c r="JU40">
        <v>97.557000000000002</v>
      </c>
    </row>
    <row r="41" spans="1:281" x14ac:dyDescent="0.25">
      <c r="A41">
        <v>25</v>
      </c>
      <c r="B41">
        <v>1693326846.5999999</v>
      </c>
      <c r="C41">
        <v>5085.0999999046326</v>
      </c>
      <c r="D41" t="s">
        <v>542</v>
      </c>
      <c r="E41" t="s">
        <v>543</v>
      </c>
      <c r="F41" t="s">
        <v>413</v>
      </c>
      <c r="G41" t="s">
        <v>492</v>
      </c>
      <c r="H41" t="s">
        <v>493</v>
      </c>
      <c r="I41" t="s">
        <v>493</v>
      </c>
      <c r="J41">
        <v>1693326846.5999999</v>
      </c>
      <c r="K41">
        <f t="shared" si="0"/>
        <v>4.7261052817644481E-3</v>
      </c>
      <c r="L41">
        <f t="shared" si="1"/>
        <v>4.7261052817644478</v>
      </c>
      <c r="M41">
        <f t="shared" si="2"/>
        <v>48.214994918048198</v>
      </c>
      <c r="N41">
        <f t="shared" si="3"/>
        <v>638.57799999999997</v>
      </c>
      <c r="O41">
        <f t="shared" si="4"/>
        <v>384.04371454316356</v>
      </c>
      <c r="P41">
        <f t="shared" si="5"/>
        <v>38.108664322861266</v>
      </c>
      <c r="Q41">
        <f t="shared" si="6"/>
        <v>63.366105795826002</v>
      </c>
      <c r="R41">
        <f t="shared" si="7"/>
        <v>0.33565443444322057</v>
      </c>
      <c r="S41">
        <f t="shared" si="8"/>
        <v>2.910738272366951</v>
      </c>
      <c r="T41">
        <f t="shared" si="9"/>
        <v>0.31553822197788134</v>
      </c>
      <c r="U41">
        <f t="shared" si="10"/>
        <v>0.19891820769979895</v>
      </c>
      <c r="V41">
        <f t="shared" si="11"/>
        <v>344.40489964471755</v>
      </c>
      <c r="W41">
        <f t="shared" si="12"/>
        <v>31.051320995788014</v>
      </c>
      <c r="X41">
        <f t="shared" si="13"/>
        <v>29.9833</v>
      </c>
      <c r="Y41">
        <f t="shared" si="14"/>
        <v>4.2563647106260349</v>
      </c>
      <c r="Z41">
        <f t="shared" si="15"/>
        <v>65.333131446088146</v>
      </c>
      <c r="AA41">
        <f t="shared" si="16"/>
        <v>2.8231237526550998</v>
      </c>
      <c r="AB41">
        <f t="shared" si="17"/>
        <v>4.3211211374196816</v>
      </c>
      <c r="AC41">
        <f t="shared" si="18"/>
        <v>1.4332409579709351</v>
      </c>
      <c r="AD41">
        <f t="shared" si="19"/>
        <v>-208.42124292581215</v>
      </c>
      <c r="AE41">
        <f t="shared" si="20"/>
        <v>41.286631189753997</v>
      </c>
      <c r="AF41">
        <f t="shared" si="21"/>
        <v>3.1574699187577004</v>
      </c>
      <c r="AG41">
        <f t="shared" si="22"/>
        <v>180.42775782741711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51756.382617344701</v>
      </c>
      <c r="AM41" t="s">
        <v>415</v>
      </c>
      <c r="AN41">
        <v>10366.9</v>
      </c>
      <c r="AO41">
        <v>993.59653846153856</v>
      </c>
      <c r="AP41">
        <v>3431.87</v>
      </c>
      <c r="AQ41">
        <f t="shared" si="26"/>
        <v>0.71047955241266758</v>
      </c>
      <c r="AR41">
        <v>-3.9894345373445681</v>
      </c>
      <c r="AS41" t="s">
        <v>544</v>
      </c>
      <c r="AT41">
        <v>10398.5</v>
      </c>
      <c r="AU41">
        <v>771.54023076923067</v>
      </c>
      <c r="AV41">
        <v>1147.302183004128</v>
      </c>
      <c r="AW41">
        <f t="shared" si="27"/>
        <v>0.32751785693546909</v>
      </c>
      <c r="AX41">
        <v>0.5</v>
      </c>
      <c r="AY41">
        <f t="shared" si="28"/>
        <v>1513.3439998223587</v>
      </c>
      <c r="AZ41">
        <f t="shared" si="29"/>
        <v>48.214994918048198</v>
      </c>
      <c r="BA41">
        <f t="shared" si="30"/>
        <v>247.8235918139849</v>
      </c>
      <c r="BB41">
        <f t="shared" si="31"/>
        <v>3.4496075883289387E-2</v>
      </c>
      <c r="BC41">
        <f t="shared" si="32"/>
        <v>1.9912520440028241</v>
      </c>
      <c r="BD41">
        <f t="shared" si="33"/>
        <v>630.25143107489305</v>
      </c>
      <c r="BE41" t="s">
        <v>545</v>
      </c>
      <c r="BF41">
        <v>599.85</v>
      </c>
      <c r="BG41">
        <f t="shared" si="34"/>
        <v>599.85</v>
      </c>
      <c r="BH41">
        <f t="shared" si="35"/>
        <v>0.47716477063668084</v>
      </c>
      <c r="BI41">
        <f t="shared" si="36"/>
        <v>0.68638314705937331</v>
      </c>
      <c r="BJ41">
        <f t="shared" si="37"/>
        <v>0.80669197851564323</v>
      </c>
      <c r="BK41">
        <f t="shared" si="38"/>
        <v>2.4446854463485859</v>
      </c>
      <c r="BL41">
        <f t="shared" si="39"/>
        <v>0.93696127732711043</v>
      </c>
      <c r="BM41">
        <f t="shared" si="40"/>
        <v>0.53364285405191469</v>
      </c>
      <c r="BN41">
        <f t="shared" si="41"/>
        <v>0.46635714594808531</v>
      </c>
      <c r="BO41">
        <v>2001</v>
      </c>
      <c r="BP41">
        <v>290.00000000000011</v>
      </c>
      <c r="BQ41">
        <v>1043.08</v>
      </c>
      <c r="BR41">
        <v>145</v>
      </c>
      <c r="BS41">
        <v>10398.5</v>
      </c>
      <c r="BT41">
        <v>1040.82</v>
      </c>
      <c r="BU41">
        <v>2.2599999999999998</v>
      </c>
      <c r="BV41">
        <v>300.00000000000011</v>
      </c>
      <c r="BW41">
        <v>38.4</v>
      </c>
      <c r="BX41">
        <v>1147.302183004128</v>
      </c>
      <c r="BY41">
        <v>1.156375057689736</v>
      </c>
      <c r="BZ41">
        <v>-110.7222220128306</v>
      </c>
      <c r="CA41">
        <v>0.98321953457541489</v>
      </c>
      <c r="CB41">
        <v>0.99779691324803099</v>
      </c>
      <c r="CC41">
        <v>-1.1304231145717471E-2</v>
      </c>
      <c r="CD41">
        <v>289.99999999999989</v>
      </c>
      <c r="CE41">
        <v>1029.47</v>
      </c>
      <c r="CF41">
        <v>655</v>
      </c>
      <c r="CG41">
        <v>10368.799999999999</v>
      </c>
      <c r="CH41">
        <v>1040.52</v>
      </c>
      <c r="CI41">
        <v>-11.05</v>
      </c>
      <c r="CW41">
        <f t="shared" si="42"/>
        <v>1800.19</v>
      </c>
      <c r="CX41">
        <f t="shared" si="43"/>
        <v>1513.3439998223587</v>
      </c>
      <c r="CY41">
        <f t="shared" si="44"/>
        <v>0.84065793045309589</v>
      </c>
      <c r="CZ41">
        <f t="shared" si="45"/>
        <v>0.19131586090619188</v>
      </c>
      <c r="DA41">
        <v>6</v>
      </c>
      <c r="DB41">
        <v>0.5</v>
      </c>
      <c r="DC41" t="s">
        <v>418</v>
      </c>
      <c r="DD41">
        <v>2</v>
      </c>
      <c r="DE41">
        <v>1693326846.5999999</v>
      </c>
      <c r="DF41">
        <v>638.57799999999997</v>
      </c>
      <c r="DG41">
        <v>700.04</v>
      </c>
      <c r="DH41">
        <v>28.450299999999999</v>
      </c>
      <c r="DI41">
        <v>22.9419</v>
      </c>
      <c r="DJ41">
        <v>637.38699999999994</v>
      </c>
      <c r="DK41">
        <v>27.602799999999998</v>
      </c>
      <c r="DL41">
        <v>500.14299999999997</v>
      </c>
      <c r="DM41">
        <v>99.129800000000003</v>
      </c>
      <c r="DN41">
        <v>0.100217</v>
      </c>
      <c r="DO41">
        <v>30.246400000000001</v>
      </c>
      <c r="DP41">
        <v>29.9833</v>
      </c>
      <c r="DQ41">
        <v>999.9</v>
      </c>
      <c r="DR41">
        <v>0</v>
      </c>
      <c r="DS41">
        <v>0</v>
      </c>
      <c r="DT41">
        <v>9980</v>
      </c>
      <c r="DU41">
        <v>0</v>
      </c>
      <c r="DV41">
        <v>1744.16</v>
      </c>
      <c r="DW41">
        <v>-61.462499999999999</v>
      </c>
      <c r="DX41">
        <v>657.27800000000002</v>
      </c>
      <c r="DY41">
        <v>716.47799999999995</v>
      </c>
      <c r="DZ41">
        <v>5.5084099999999996</v>
      </c>
      <c r="EA41">
        <v>700.04</v>
      </c>
      <c r="EB41">
        <v>22.9419</v>
      </c>
      <c r="EC41">
        <v>2.8202799999999999</v>
      </c>
      <c r="ED41">
        <v>2.2742300000000002</v>
      </c>
      <c r="EE41">
        <v>23.0032</v>
      </c>
      <c r="EF41">
        <v>19.495000000000001</v>
      </c>
      <c r="EG41">
        <v>1800.19</v>
      </c>
      <c r="EH41">
        <v>0.97800600000000004</v>
      </c>
      <c r="EI41">
        <v>2.1993800000000001E-2</v>
      </c>
      <c r="EJ41">
        <v>0</v>
      </c>
      <c r="EK41">
        <v>771.57</v>
      </c>
      <c r="EL41">
        <v>5.0002700000000004</v>
      </c>
      <c r="EM41">
        <v>14649.6</v>
      </c>
      <c r="EN41">
        <v>16250.4</v>
      </c>
      <c r="EO41">
        <v>46.25</v>
      </c>
      <c r="EP41">
        <v>48.625</v>
      </c>
      <c r="EQ41">
        <v>47.436999999999998</v>
      </c>
      <c r="ER41">
        <v>47.5</v>
      </c>
      <c r="ES41">
        <v>48.125</v>
      </c>
      <c r="ET41">
        <v>1755.71</v>
      </c>
      <c r="EU41">
        <v>39.479999999999997</v>
      </c>
      <c r="EV41">
        <v>0</v>
      </c>
      <c r="EW41">
        <v>99.799999952316284</v>
      </c>
      <c r="EX41">
        <v>0</v>
      </c>
      <c r="EY41">
        <v>771.54023076923067</v>
      </c>
      <c r="EZ41">
        <v>1.331145294458256</v>
      </c>
      <c r="FA41">
        <v>38.283760748346417</v>
      </c>
      <c r="FB41">
        <v>14643.684615384611</v>
      </c>
      <c r="FC41">
        <v>15</v>
      </c>
      <c r="FD41">
        <v>1693326816.0999999</v>
      </c>
      <c r="FE41" t="s">
        <v>546</v>
      </c>
      <c r="FF41">
        <v>1693326816.0999999</v>
      </c>
      <c r="FG41">
        <v>1693326814.5999999</v>
      </c>
      <c r="FH41">
        <v>28</v>
      </c>
      <c r="FI41">
        <v>0.10100000000000001</v>
      </c>
      <c r="FJ41">
        <v>-1E-3</v>
      </c>
      <c r="FK41">
        <v>1.1659999999999999</v>
      </c>
      <c r="FL41">
        <v>0.53500000000000003</v>
      </c>
      <c r="FM41">
        <v>700</v>
      </c>
      <c r="FN41">
        <v>23</v>
      </c>
      <c r="FO41">
        <v>0.16</v>
      </c>
      <c r="FP41">
        <v>0.04</v>
      </c>
      <c r="FQ41">
        <v>48.112347748664853</v>
      </c>
      <c r="FR41">
        <v>0.35303011856542099</v>
      </c>
      <c r="FS41">
        <v>0.14499016938096321</v>
      </c>
      <c r="FT41">
        <v>1</v>
      </c>
      <c r="FU41">
        <v>0.34067120778502641</v>
      </c>
      <c r="FV41">
        <v>-2.9125394079181011E-2</v>
      </c>
      <c r="FW41">
        <v>2.4045528579280978E-3</v>
      </c>
      <c r="FX41">
        <v>1</v>
      </c>
      <c r="FY41">
        <v>2</v>
      </c>
      <c r="FZ41">
        <v>2</v>
      </c>
      <c r="GA41" t="s">
        <v>429</v>
      </c>
      <c r="GB41">
        <v>3.1341600000000001</v>
      </c>
      <c r="GC41">
        <v>2.8652000000000002</v>
      </c>
      <c r="GD41">
        <v>0.13020200000000001</v>
      </c>
      <c r="GE41">
        <v>0.14230000000000001</v>
      </c>
      <c r="GF41">
        <v>0.12809400000000001</v>
      </c>
      <c r="GG41">
        <v>0.115259</v>
      </c>
      <c r="GH41">
        <v>26335.200000000001</v>
      </c>
      <c r="GI41">
        <v>19997.7</v>
      </c>
      <c r="GJ41">
        <v>29193.8</v>
      </c>
      <c r="GK41">
        <v>21733</v>
      </c>
      <c r="GL41">
        <v>34111.9</v>
      </c>
      <c r="GM41">
        <v>26463.1</v>
      </c>
      <c r="GN41">
        <v>40522.800000000003</v>
      </c>
      <c r="GO41">
        <v>30883.1</v>
      </c>
      <c r="GP41">
        <v>2.0276999999999998</v>
      </c>
      <c r="GQ41">
        <v>1.8472999999999999</v>
      </c>
      <c r="GR41">
        <v>5.7041599999999998E-2</v>
      </c>
      <c r="GS41">
        <v>0</v>
      </c>
      <c r="GT41">
        <v>29.054300000000001</v>
      </c>
      <c r="GU41">
        <v>999.9</v>
      </c>
      <c r="GV41">
        <v>55.4</v>
      </c>
      <c r="GW41">
        <v>33.299999999999997</v>
      </c>
      <c r="GX41">
        <v>28.7148</v>
      </c>
      <c r="GY41">
        <v>61.907699999999998</v>
      </c>
      <c r="GZ41">
        <v>12.035299999999999</v>
      </c>
      <c r="HA41">
        <v>1</v>
      </c>
      <c r="HB41">
        <v>0.30130099999999999</v>
      </c>
      <c r="HC41">
        <v>1.6964999999999999</v>
      </c>
      <c r="HD41">
        <v>20.276900000000001</v>
      </c>
      <c r="HE41">
        <v>5.23346</v>
      </c>
      <c r="HF41">
        <v>11.974</v>
      </c>
      <c r="HG41">
        <v>4.9749999999999996</v>
      </c>
      <c r="HH41">
        <v>3.2839999999999998</v>
      </c>
      <c r="HI41">
        <v>9999</v>
      </c>
      <c r="HJ41">
        <v>9999</v>
      </c>
      <c r="HK41">
        <v>9999</v>
      </c>
      <c r="HL41">
        <v>999.9</v>
      </c>
      <c r="HM41">
        <v>1.8609599999999999</v>
      </c>
      <c r="HN41">
        <v>1.8625799999999999</v>
      </c>
      <c r="HO41">
        <v>1.8680000000000001</v>
      </c>
      <c r="HP41">
        <v>1.85863</v>
      </c>
      <c r="HQ41">
        <v>1.8569899999999999</v>
      </c>
      <c r="HR41">
        <v>1.8608100000000001</v>
      </c>
      <c r="HS41">
        <v>1.8646199999999999</v>
      </c>
      <c r="HT41">
        <v>1.8666100000000001</v>
      </c>
      <c r="HU41">
        <v>5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1.1910000000000001</v>
      </c>
      <c r="II41">
        <v>0.84750000000000003</v>
      </c>
      <c r="IJ41">
        <v>1.024864093975417</v>
      </c>
      <c r="IK41">
        <v>1.118558698776514E-3</v>
      </c>
      <c r="IL41">
        <v>-1.6939696309573479E-6</v>
      </c>
      <c r="IM41">
        <v>5.4698917449866148E-10</v>
      </c>
      <c r="IN41">
        <v>-3.4008895058572519E-2</v>
      </c>
      <c r="IO41">
        <v>-7.6058941998734366E-3</v>
      </c>
      <c r="IP41">
        <v>1.6984902717538061E-3</v>
      </c>
      <c r="IQ41">
        <v>-9.6352527008986976E-6</v>
      </c>
      <c r="IR41">
        <v>2</v>
      </c>
      <c r="IS41">
        <v>2021</v>
      </c>
      <c r="IT41">
        <v>2</v>
      </c>
      <c r="IU41">
        <v>40</v>
      </c>
      <c r="IV41">
        <v>0.5</v>
      </c>
      <c r="IW41">
        <v>0.5</v>
      </c>
      <c r="IX41">
        <v>1.6186499999999999</v>
      </c>
      <c r="IY41">
        <v>2.4865699999999999</v>
      </c>
      <c r="IZ41">
        <v>1.34399</v>
      </c>
      <c r="JA41">
        <v>2.2460900000000001</v>
      </c>
      <c r="JB41">
        <v>1.5918000000000001</v>
      </c>
      <c r="JC41">
        <v>2.4230999999999998</v>
      </c>
      <c r="JD41">
        <v>38.086300000000001</v>
      </c>
      <c r="JE41">
        <v>24.087499999999999</v>
      </c>
      <c r="JF41">
        <v>18</v>
      </c>
      <c r="JG41">
        <v>506.62400000000002</v>
      </c>
      <c r="JH41">
        <v>437.08600000000001</v>
      </c>
      <c r="JI41">
        <v>26.633700000000001</v>
      </c>
      <c r="JJ41">
        <v>31.449100000000001</v>
      </c>
      <c r="JK41">
        <v>29.999099999999999</v>
      </c>
      <c r="JL41">
        <v>31.3003</v>
      </c>
      <c r="JM41">
        <v>31.245100000000001</v>
      </c>
      <c r="JN41">
        <v>32.469099999999997</v>
      </c>
      <c r="JO41">
        <v>28.596699999999998</v>
      </c>
      <c r="JP41">
        <v>64.631900000000002</v>
      </c>
      <c r="JQ41">
        <v>26.655100000000001</v>
      </c>
      <c r="JR41">
        <v>700</v>
      </c>
      <c r="JS41">
        <v>22.956399999999999</v>
      </c>
      <c r="JT41">
        <v>99.548699999999997</v>
      </c>
      <c r="JU41">
        <v>97.567599999999999</v>
      </c>
    </row>
    <row r="42" spans="1:281" x14ac:dyDescent="0.25">
      <c r="A42">
        <v>26</v>
      </c>
      <c r="B42">
        <v>1693326946.0999999</v>
      </c>
      <c r="C42">
        <v>5184.5999999046326</v>
      </c>
      <c r="D42" t="s">
        <v>547</v>
      </c>
      <c r="E42" t="s">
        <v>548</v>
      </c>
      <c r="F42" t="s">
        <v>413</v>
      </c>
      <c r="G42" t="s">
        <v>492</v>
      </c>
      <c r="H42" t="s">
        <v>493</v>
      </c>
      <c r="I42" t="s">
        <v>493</v>
      </c>
      <c r="J42">
        <v>1693326946.0999999</v>
      </c>
      <c r="K42">
        <f t="shared" si="0"/>
        <v>4.5391153501532907E-3</v>
      </c>
      <c r="L42">
        <f t="shared" si="1"/>
        <v>4.539115350153291</v>
      </c>
      <c r="M42">
        <f t="shared" si="2"/>
        <v>48.260410928733457</v>
      </c>
      <c r="N42">
        <f t="shared" si="3"/>
        <v>837.49</v>
      </c>
      <c r="O42">
        <f t="shared" si="4"/>
        <v>565.81160873295596</v>
      </c>
      <c r="P42">
        <f t="shared" si="5"/>
        <v>56.146600583440424</v>
      </c>
      <c r="Q42">
        <f t="shared" si="6"/>
        <v>83.105782555299996</v>
      </c>
      <c r="R42">
        <f t="shared" si="7"/>
        <v>0.31864013123909002</v>
      </c>
      <c r="S42">
        <f t="shared" si="8"/>
        <v>2.9203915215467626</v>
      </c>
      <c r="T42">
        <f t="shared" si="9"/>
        <v>0.30050875587953074</v>
      </c>
      <c r="U42">
        <f t="shared" si="10"/>
        <v>0.18936097429520257</v>
      </c>
      <c r="V42">
        <f t="shared" si="11"/>
        <v>344.39539964470771</v>
      </c>
      <c r="W42">
        <f t="shared" si="12"/>
        <v>31.092757503778437</v>
      </c>
      <c r="X42">
        <f t="shared" si="13"/>
        <v>30.042899999999999</v>
      </c>
      <c r="Y42">
        <f t="shared" si="14"/>
        <v>4.2709594001023587</v>
      </c>
      <c r="Z42">
        <f t="shared" si="15"/>
        <v>65.409911791397349</v>
      </c>
      <c r="AA42">
        <f t="shared" si="16"/>
        <v>2.8256799617350001</v>
      </c>
      <c r="AB42">
        <f t="shared" si="17"/>
        <v>4.3199568449909318</v>
      </c>
      <c r="AC42">
        <f t="shared" si="18"/>
        <v>1.4452794383673586</v>
      </c>
      <c r="AD42">
        <f t="shared" si="19"/>
        <v>-200.17498694176012</v>
      </c>
      <c r="AE42">
        <f t="shared" si="20"/>
        <v>31.29989656467459</v>
      </c>
      <c r="AF42">
        <f t="shared" si="21"/>
        <v>2.3864519914012625</v>
      </c>
      <c r="AG42">
        <f t="shared" si="22"/>
        <v>177.90676125902343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52031.781602571238</v>
      </c>
      <c r="AM42" t="s">
        <v>415</v>
      </c>
      <c r="AN42">
        <v>10366.9</v>
      </c>
      <c r="AO42">
        <v>993.59653846153856</v>
      </c>
      <c r="AP42">
        <v>3431.87</v>
      </c>
      <c r="AQ42">
        <f t="shared" si="26"/>
        <v>0.71047955241266758</v>
      </c>
      <c r="AR42">
        <v>-3.9894345373445681</v>
      </c>
      <c r="AS42" t="s">
        <v>549</v>
      </c>
      <c r="AT42">
        <v>10387.1</v>
      </c>
      <c r="AU42">
        <v>772.87671999999986</v>
      </c>
      <c r="AV42">
        <v>1160.8894470702651</v>
      </c>
      <c r="AW42">
        <f t="shared" si="27"/>
        <v>0.33423744875060446</v>
      </c>
      <c r="AX42">
        <v>0.5</v>
      </c>
      <c r="AY42">
        <f t="shared" si="28"/>
        <v>1513.3019998223538</v>
      </c>
      <c r="AZ42">
        <f t="shared" si="29"/>
        <v>48.260410928733457</v>
      </c>
      <c r="BA42">
        <f t="shared" si="30"/>
        <v>252.90109980490561</v>
      </c>
      <c r="BB42">
        <f t="shared" si="31"/>
        <v>3.4527044484320792E-2</v>
      </c>
      <c r="BC42">
        <f t="shared" si="32"/>
        <v>1.956241878725838</v>
      </c>
      <c r="BD42">
        <f t="shared" si="33"/>
        <v>634.3298546169359</v>
      </c>
      <c r="BE42" t="s">
        <v>550</v>
      </c>
      <c r="BF42">
        <v>597.29</v>
      </c>
      <c r="BG42">
        <f t="shared" si="34"/>
        <v>597.29</v>
      </c>
      <c r="BH42">
        <f t="shared" si="35"/>
        <v>0.48548933620907675</v>
      </c>
      <c r="BI42">
        <f t="shared" si="36"/>
        <v>0.68845476887398516</v>
      </c>
      <c r="BJ42">
        <f t="shared" si="37"/>
        <v>0.80117003327820513</v>
      </c>
      <c r="BK42">
        <f t="shared" si="38"/>
        <v>2.3193614738193706</v>
      </c>
      <c r="BL42">
        <f t="shared" si="39"/>
        <v>0.93138878339627618</v>
      </c>
      <c r="BM42">
        <f t="shared" si="40"/>
        <v>0.53204752874526051</v>
      </c>
      <c r="BN42">
        <f t="shared" si="41"/>
        <v>0.46795247125473949</v>
      </c>
      <c r="BO42">
        <v>2003</v>
      </c>
      <c r="BP42">
        <v>290.00000000000011</v>
      </c>
      <c r="BQ42">
        <v>1051.26</v>
      </c>
      <c r="BR42">
        <v>215</v>
      </c>
      <c r="BS42">
        <v>10387.1</v>
      </c>
      <c r="BT42">
        <v>1049.6099999999999</v>
      </c>
      <c r="BU42">
        <v>1.65</v>
      </c>
      <c r="BV42">
        <v>300.00000000000011</v>
      </c>
      <c r="BW42">
        <v>38.4</v>
      </c>
      <c r="BX42">
        <v>1160.8894470702651</v>
      </c>
      <c r="BY42">
        <v>1.300066003972226</v>
      </c>
      <c r="BZ42">
        <v>-115.5828780757403</v>
      </c>
      <c r="CA42">
        <v>1.105393357196873</v>
      </c>
      <c r="CB42">
        <v>0.9974455704516284</v>
      </c>
      <c r="CC42">
        <v>-1.130424493882091E-2</v>
      </c>
      <c r="CD42">
        <v>289.99999999999989</v>
      </c>
      <c r="CE42">
        <v>1037.8599999999999</v>
      </c>
      <c r="CF42">
        <v>655</v>
      </c>
      <c r="CG42">
        <v>10368.799999999999</v>
      </c>
      <c r="CH42">
        <v>1049.42</v>
      </c>
      <c r="CI42">
        <v>-11.56</v>
      </c>
      <c r="CW42">
        <f t="shared" si="42"/>
        <v>1800.14</v>
      </c>
      <c r="CX42">
        <f t="shared" si="43"/>
        <v>1513.3019998223538</v>
      </c>
      <c r="CY42">
        <f t="shared" si="44"/>
        <v>0.84065794872751765</v>
      </c>
      <c r="CZ42">
        <f t="shared" si="45"/>
        <v>0.19131589745503555</v>
      </c>
      <c r="DA42">
        <v>6</v>
      </c>
      <c r="DB42">
        <v>0.5</v>
      </c>
      <c r="DC42" t="s">
        <v>418</v>
      </c>
      <c r="DD42">
        <v>2</v>
      </c>
      <c r="DE42">
        <v>1693326946.0999999</v>
      </c>
      <c r="DF42">
        <v>837.49</v>
      </c>
      <c r="DG42">
        <v>899.99099999999999</v>
      </c>
      <c r="DH42">
        <v>28.4755</v>
      </c>
      <c r="DI42">
        <v>23.1814</v>
      </c>
      <c r="DJ42">
        <v>836.24699999999996</v>
      </c>
      <c r="DK42">
        <v>27.6205</v>
      </c>
      <c r="DL42">
        <v>499.786</v>
      </c>
      <c r="DM42">
        <v>99.131900000000002</v>
      </c>
      <c r="DN42">
        <v>0.10007000000000001</v>
      </c>
      <c r="DO42">
        <v>30.241700000000002</v>
      </c>
      <c r="DP42">
        <v>30.042899999999999</v>
      </c>
      <c r="DQ42">
        <v>999.9</v>
      </c>
      <c r="DR42">
        <v>0</v>
      </c>
      <c r="DS42">
        <v>0</v>
      </c>
      <c r="DT42">
        <v>10035</v>
      </c>
      <c r="DU42">
        <v>0</v>
      </c>
      <c r="DV42">
        <v>1735.5</v>
      </c>
      <c r="DW42">
        <v>-62.5017</v>
      </c>
      <c r="DX42">
        <v>862.03700000000003</v>
      </c>
      <c r="DY42">
        <v>921.35</v>
      </c>
      <c r="DZ42">
        <v>5.2941000000000003</v>
      </c>
      <c r="EA42">
        <v>899.99099999999999</v>
      </c>
      <c r="EB42">
        <v>23.1814</v>
      </c>
      <c r="EC42">
        <v>2.8228300000000002</v>
      </c>
      <c r="ED42">
        <v>2.2980200000000002</v>
      </c>
      <c r="EE42">
        <v>23.0182</v>
      </c>
      <c r="EF42">
        <v>19.662500000000001</v>
      </c>
      <c r="EG42">
        <v>1800.14</v>
      </c>
      <c r="EH42">
        <v>0.97800600000000004</v>
      </c>
      <c r="EI42">
        <v>2.1993800000000001E-2</v>
      </c>
      <c r="EJ42">
        <v>0</v>
      </c>
      <c r="EK42">
        <v>772.678</v>
      </c>
      <c r="EL42">
        <v>5.0002700000000004</v>
      </c>
      <c r="EM42">
        <v>14664.7</v>
      </c>
      <c r="EN42">
        <v>16249.9</v>
      </c>
      <c r="EO42">
        <v>46.25</v>
      </c>
      <c r="EP42">
        <v>48.561999999999998</v>
      </c>
      <c r="EQ42">
        <v>47.436999999999998</v>
      </c>
      <c r="ER42">
        <v>47.5</v>
      </c>
      <c r="ES42">
        <v>48.125</v>
      </c>
      <c r="ET42">
        <v>1755.66</v>
      </c>
      <c r="EU42">
        <v>39.479999999999997</v>
      </c>
      <c r="EV42">
        <v>0</v>
      </c>
      <c r="EW42">
        <v>97.799999952316284</v>
      </c>
      <c r="EX42">
        <v>0</v>
      </c>
      <c r="EY42">
        <v>772.87671999999986</v>
      </c>
      <c r="EZ42">
        <v>-2.3133846132253808</v>
      </c>
      <c r="FA42">
        <v>-36.061538497587648</v>
      </c>
      <c r="FB42">
        <v>14666.78</v>
      </c>
      <c r="FC42">
        <v>15</v>
      </c>
      <c r="FD42">
        <v>1693326915.0999999</v>
      </c>
      <c r="FE42" t="s">
        <v>551</v>
      </c>
      <c r="FF42">
        <v>1693326910.0999999</v>
      </c>
      <c r="FG42">
        <v>1693326915.0999999</v>
      </c>
      <c r="FH42">
        <v>29</v>
      </c>
      <c r="FI42">
        <v>0.14699999999999999</v>
      </c>
      <c r="FJ42">
        <v>6.0000000000000001E-3</v>
      </c>
      <c r="FK42">
        <v>1.206</v>
      </c>
      <c r="FL42">
        <v>0.54400000000000004</v>
      </c>
      <c r="FM42">
        <v>900</v>
      </c>
      <c r="FN42">
        <v>23</v>
      </c>
      <c r="FO42">
        <v>0.11</v>
      </c>
      <c r="FP42">
        <v>0.05</v>
      </c>
      <c r="FQ42">
        <v>48.191719144010598</v>
      </c>
      <c r="FR42">
        <v>-0.27126280479933512</v>
      </c>
      <c r="FS42">
        <v>0.15184886723906801</v>
      </c>
      <c r="FT42">
        <v>1</v>
      </c>
      <c r="FU42">
        <v>0.32379417055132731</v>
      </c>
      <c r="FV42">
        <v>-3.9014228860629198E-2</v>
      </c>
      <c r="FW42">
        <v>3.045183666560865E-3</v>
      </c>
      <c r="FX42">
        <v>1</v>
      </c>
      <c r="FY42">
        <v>2</v>
      </c>
      <c r="FZ42">
        <v>2</v>
      </c>
      <c r="GA42" t="s">
        <v>429</v>
      </c>
      <c r="GB42">
        <v>3.1337999999999999</v>
      </c>
      <c r="GC42">
        <v>2.8655300000000001</v>
      </c>
      <c r="GD42">
        <v>0.15681999999999999</v>
      </c>
      <c r="GE42">
        <v>0.16844000000000001</v>
      </c>
      <c r="GF42">
        <v>0.12815799999999999</v>
      </c>
      <c r="GG42">
        <v>0.116102</v>
      </c>
      <c r="GH42">
        <v>25529.4</v>
      </c>
      <c r="GI42">
        <v>19388.8</v>
      </c>
      <c r="GJ42">
        <v>29194</v>
      </c>
      <c r="GK42">
        <v>21733.8</v>
      </c>
      <c r="GL42">
        <v>34111.4</v>
      </c>
      <c r="GM42">
        <v>26440.9</v>
      </c>
      <c r="GN42">
        <v>40522.400000000001</v>
      </c>
      <c r="GO42">
        <v>30884.1</v>
      </c>
      <c r="GP42">
        <v>2.0272999999999999</v>
      </c>
      <c r="GQ42">
        <v>1.8486</v>
      </c>
      <c r="GR42">
        <v>5.4106099999999997E-2</v>
      </c>
      <c r="GS42">
        <v>0</v>
      </c>
      <c r="GT42">
        <v>29.161899999999999</v>
      </c>
      <c r="GU42">
        <v>999.9</v>
      </c>
      <c r="GV42">
        <v>55.3</v>
      </c>
      <c r="GW42">
        <v>33.299999999999997</v>
      </c>
      <c r="GX42">
        <v>28.661799999999999</v>
      </c>
      <c r="GY42">
        <v>61.687800000000003</v>
      </c>
      <c r="GZ42">
        <v>11.943099999999999</v>
      </c>
      <c r="HA42">
        <v>1</v>
      </c>
      <c r="HB42">
        <v>0.30514200000000002</v>
      </c>
      <c r="HC42">
        <v>3.0725500000000001</v>
      </c>
      <c r="HD42">
        <v>20.256799999999998</v>
      </c>
      <c r="HE42">
        <v>5.2346599999999999</v>
      </c>
      <c r="HF42">
        <v>11.974</v>
      </c>
      <c r="HG42">
        <v>4.9752000000000001</v>
      </c>
      <c r="HH42">
        <v>3.2839999999999998</v>
      </c>
      <c r="HI42">
        <v>9999</v>
      </c>
      <c r="HJ42">
        <v>9999</v>
      </c>
      <c r="HK42">
        <v>9999</v>
      </c>
      <c r="HL42">
        <v>999.9</v>
      </c>
      <c r="HM42">
        <v>1.8609599999999999</v>
      </c>
      <c r="HN42">
        <v>1.86263</v>
      </c>
      <c r="HO42">
        <v>1.86798</v>
      </c>
      <c r="HP42">
        <v>1.8585799999999999</v>
      </c>
      <c r="HQ42">
        <v>1.85701</v>
      </c>
      <c r="HR42">
        <v>1.86073</v>
      </c>
      <c r="HS42">
        <v>1.8646199999999999</v>
      </c>
      <c r="HT42">
        <v>1.86663</v>
      </c>
      <c r="HU42">
        <v>5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1.2430000000000001</v>
      </c>
      <c r="II42">
        <v>0.85499999999999998</v>
      </c>
      <c r="IJ42">
        <v>1.171620494501783</v>
      </c>
      <c r="IK42">
        <v>1.118558698776514E-3</v>
      </c>
      <c r="IL42">
        <v>-1.6939696309573479E-6</v>
      </c>
      <c r="IM42">
        <v>5.4698917449866148E-10</v>
      </c>
      <c r="IN42">
        <v>-2.7604078536342169E-2</v>
      </c>
      <c r="IO42">
        <v>-7.6058941998734366E-3</v>
      </c>
      <c r="IP42">
        <v>1.6984902717538061E-3</v>
      </c>
      <c r="IQ42">
        <v>-9.6352527008986976E-6</v>
      </c>
      <c r="IR42">
        <v>2</v>
      </c>
      <c r="IS42">
        <v>2021</v>
      </c>
      <c r="IT42">
        <v>2</v>
      </c>
      <c r="IU42">
        <v>40</v>
      </c>
      <c r="IV42">
        <v>0.6</v>
      </c>
      <c r="IW42">
        <v>0.5</v>
      </c>
      <c r="IX42">
        <v>1.9897499999999999</v>
      </c>
      <c r="IY42">
        <v>2.4902299999999999</v>
      </c>
      <c r="IZ42">
        <v>1.34399</v>
      </c>
      <c r="JA42">
        <v>2.2460900000000001</v>
      </c>
      <c r="JB42">
        <v>1.5918000000000001</v>
      </c>
      <c r="JC42">
        <v>2.2619600000000002</v>
      </c>
      <c r="JD42">
        <v>38.013399999999997</v>
      </c>
      <c r="JE42">
        <v>24.07</v>
      </c>
      <c r="JF42">
        <v>18</v>
      </c>
      <c r="JG42">
        <v>506.221</v>
      </c>
      <c r="JH42">
        <v>437.84199999999998</v>
      </c>
      <c r="JI42">
        <v>25.788499999999999</v>
      </c>
      <c r="JJ42">
        <v>31.430399999999999</v>
      </c>
      <c r="JK42">
        <v>30.0002</v>
      </c>
      <c r="JL42">
        <v>31.283899999999999</v>
      </c>
      <c r="JM42">
        <v>31.234300000000001</v>
      </c>
      <c r="JN42">
        <v>39.904800000000002</v>
      </c>
      <c r="JO42">
        <v>28.0213</v>
      </c>
      <c r="JP42">
        <v>64.316100000000006</v>
      </c>
      <c r="JQ42">
        <v>25.7714</v>
      </c>
      <c r="JR42">
        <v>900</v>
      </c>
      <c r="JS42">
        <v>23.124199999999998</v>
      </c>
      <c r="JT42">
        <v>99.548400000000001</v>
      </c>
      <c r="JU42">
        <v>97.570999999999998</v>
      </c>
    </row>
    <row r="43" spans="1:281" x14ac:dyDescent="0.25">
      <c r="A43">
        <v>27</v>
      </c>
      <c r="B43">
        <v>1693327050.5</v>
      </c>
      <c r="C43">
        <v>5289</v>
      </c>
      <c r="D43" t="s">
        <v>552</v>
      </c>
      <c r="E43" t="s">
        <v>553</v>
      </c>
      <c r="F43" t="s">
        <v>413</v>
      </c>
      <c r="G43" t="s">
        <v>492</v>
      </c>
      <c r="H43" t="s">
        <v>493</v>
      </c>
      <c r="I43" t="s">
        <v>493</v>
      </c>
      <c r="J43">
        <v>1693327050.5</v>
      </c>
      <c r="K43">
        <f t="shared" si="0"/>
        <v>4.4659645048714816E-3</v>
      </c>
      <c r="L43">
        <f t="shared" si="1"/>
        <v>4.465964504871482</v>
      </c>
      <c r="M43">
        <f t="shared" si="2"/>
        <v>46.864340343378984</v>
      </c>
      <c r="N43">
        <f t="shared" si="3"/>
        <v>1137.81</v>
      </c>
      <c r="O43">
        <f t="shared" si="4"/>
        <v>861.41046791250392</v>
      </c>
      <c r="P43">
        <f t="shared" si="5"/>
        <v>85.480455912029782</v>
      </c>
      <c r="Q43">
        <f t="shared" si="6"/>
        <v>112.908446279928</v>
      </c>
      <c r="R43">
        <f t="shared" si="7"/>
        <v>0.31221885831486418</v>
      </c>
      <c r="S43">
        <f t="shared" si="8"/>
        <v>2.9125563374874841</v>
      </c>
      <c r="T43">
        <f t="shared" si="9"/>
        <v>0.29474536478089014</v>
      </c>
      <c r="U43">
        <f t="shared" si="10"/>
        <v>0.18570423683165091</v>
      </c>
      <c r="V43">
        <f t="shared" si="11"/>
        <v>344.37829964468995</v>
      </c>
      <c r="W43">
        <f t="shared" si="12"/>
        <v>30.952166461383282</v>
      </c>
      <c r="X43">
        <f t="shared" si="13"/>
        <v>29.950600000000001</v>
      </c>
      <c r="Y43">
        <f t="shared" si="14"/>
        <v>4.2483757022728197</v>
      </c>
      <c r="Z43">
        <f t="shared" si="15"/>
        <v>65.377532014883073</v>
      </c>
      <c r="AA43">
        <f t="shared" si="16"/>
        <v>2.7981856892152801</v>
      </c>
      <c r="AB43">
        <f t="shared" si="17"/>
        <v>4.2800417864936824</v>
      </c>
      <c r="AC43">
        <f t="shared" si="18"/>
        <v>1.4501900130575396</v>
      </c>
      <c r="AD43">
        <f t="shared" si="19"/>
        <v>-196.94903466483234</v>
      </c>
      <c r="AE43">
        <f t="shared" si="20"/>
        <v>20.302910628574185</v>
      </c>
      <c r="AF43">
        <f t="shared" si="21"/>
        <v>1.5502032885329078</v>
      </c>
      <c r="AG43">
        <f t="shared" si="22"/>
        <v>169.28237889696467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51836.588027970807</v>
      </c>
      <c r="AM43" t="s">
        <v>415</v>
      </c>
      <c r="AN43">
        <v>10366.9</v>
      </c>
      <c r="AO43">
        <v>993.59653846153856</v>
      </c>
      <c r="AP43">
        <v>3431.87</v>
      </c>
      <c r="AQ43">
        <f t="shared" si="26"/>
        <v>0.71047955241266758</v>
      </c>
      <c r="AR43">
        <v>-3.9894345373445681</v>
      </c>
      <c r="AS43" t="s">
        <v>554</v>
      </c>
      <c r="AT43">
        <v>10401.799999999999</v>
      </c>
      <c r="AU43">
        <v>769.21827999999994</v>
      </c>
      <c r="AV43">
        <v>1156.8572489992739</v>
      </c>
      <c r="AW43">
        <f t="shared" si="27"/>
        <v>0.33507934478052204</v>
      </c>
      <c r="AX43">
        <v>0.5</v>
      </c>
      <c r="AY43">
        <f t="shared" si="28"/>
        <v>1513.2263998223448</v>
      </c>
      <c r="AZ43">
        <f t="shared" si="29"/>
        <v>46.864340343378984</v>
      </c>
      <c r="BA43">
        <f t="shared" si="30"/>
        <v>253.52545527852979</v>
      </c>
      <c r="BB43">
        <f t="shared" si="31"/>
        <v>3.3606190644502279E-2</v>
      </c>
      <c r="BC43">
        <f t="shared" si="32"/>
        <v>1.9665457885739142</v>
      </c>
      <c r="BD43">
        <f t="shared" si="33"/>
        <v>633.12405487050046</v>
      </c>
      <c r="BE43" t="s">
        <v>555</v>
      </c>
      <c r="BF43">
        <v>598.11</v>
      </c>
      <c r="BG43">
        <f t="shared" si="34"/>
        <v>598.11</v>
      </c>
      <c r="BH43">
        <f t="shared" si="35"/>
        <v>0.48298720475893786</v>
      </c>
      <c r="BI43">
        <f t="shared" si="36"/>
        <v>0.69376443408632826</v>
      </c>
      <c r="BJ43">
        <f t="shared" si="37"/>
        <v>0.8028247808567861</v>
      </c>
      <c r="BK43">
        <f t="shared" si="38"/>
        <v>2.3743555183760936</v>
      </c>
      <c r="BL43">
        <f t="shared" si="39"/>
        <v>0.93304249375099868</v>
      </c>
      <c r="BM43">
        <f t="shared" si="40"/>
        <v>0.53944043772773298</v>
      </c>
      <c r="BN43">
        <f t="shared" si="41"/>
        <v>0.46055956227226702</v>
      </c>
      <c r="BO43">
        <v>2005</v>
      </c>
      <c r="BP43">
        <v>290.00000000000011</v>
      </c>
      <c r="BQ43">
        <v>1048.49</v>
      </c>
      <c r="BR43">
        <v>125</v>
      </c>
      <c r="BS43">
        <v>10401.799999999999</v>
      </c>
      <c r="BT43">
        <v>1046.5899999999999</v>
      </c>
      <c r="BU43">
        <v>1.9</v>
      </c>
      <c r="BV43">
        <v>300.00000000000011</v>
      </c>
      <c r="BW43">
        <v>38.4</v>
      </c>
      <c r="BX43">
        <v>1156.8572489992739</v>
      </c>
      <c r="BY43">
        <v>1.5664620922027559</v>
      </c>
      <c r="BZ43">
        <v>-114.70161731859309</v>
      </c>
      <c r="CA43">
        <v>1.331824672440169</v>
      </c>
      <c r="CB43">
        <v>0.99623923063915487</v>
      </c>
      <c r="CC43">
        <v>-1.130377686318132E-2</v>
      </c>
      <c r="CD43">
        <v>289.99999999999989</v>
      </c>
      <c r="CE43">
        <v>1034.95</v>
      </c>
      <c r="CF43">
        <v>635</v>
      </c>
      <c r="CG43">
        <v>10370.1</v>
      </c>
      <c r="CH43">
        <v>1046.25</v>
      </c>
      <c r="CI43">
        <v>-11.3</v>
      </c>
      <c r="CW43">
        <f t="shared" si="42"/>
        <v>1800.05</v>
      </c>
      <c r="CX43">
        <f t="shared" si="43"/>
        <v>1513.2263998223448</v>
      </c>
      <c r="CY43">
        <f t="shared" si="44"/>
        <v>0.84065798162403538</v>
      </c>
      <c r="CZ43">
        <f t="shared" si="45"/>
        <v>0.19131596324807085</v>
      </c>
      <c r="DA43">
        <v>6</v>
      </c>
      <c r="DB43">
        <v>0.5</v>
      </c>
      <c r="DC43" t="s">
        <v>418</v>
      </c>
      <c r="DD43">
        <v>2</v>
      </c>
      <c r="DE43">
        <v>1693327050.5</v>
      </c>
      <c r="DF43">
        <v>1137.81</v>
      </c>
      <c r="DG43">
        <v>1200.1600000000001</v>
      </c>
      <c r="DH43">
        <v>28.1981</v>
      </c>
      <c r="DI43">
        <v>22.988800000000001</v>
      </c>
      <c r="DJ43">
        <v>1136.58</v>
      </c>
      <c r="DK43">
        <v>27.358000000000001</v>
      </c>
      <c r="DL43">
        <v>499.87900000000002</v>
      </c>
      <c r="DM43">
        <v>99.133600000000001</v>
      </c>
      <c r="DN43">
        <v>9.9528800000000001E-2</v>
      </c>
      <c r="DO43">
        <v>30.079899999999999</v>
      </c>
      <c r="DP43">
        <v>29.950600000000001</v>
      </c>
      <c r="DQ43">
        <v>999.9</v>
      </c>
      <c r="DR43">
        <v>0</v>
      </c>
      <c r="DS43">
        <v>0</v>
      </c>
      <c r="DT43">
        <v>9990</v>
      </c>
      <c r="DU43">
        <v>0</v>
      </c>
      <c r="DV43">
        <v>1745.32</v>
      </c>
      <c r="DW43">
        <v>-62.3538</v>
      </c>
      <c r="DX43">
        <v>1170.82</v>
      </c>
      <c r="DY43">
        <v>1228.4000000000001</v>
      </c>
      <c r="DZ43">
        <v>5.2093299999999996</v>
      </c>
      <c r="EA43">
        <v>1200.1600000000001</v>
      </c>
      <c r="EB43">
        <v>22.988800000000001</v>
      </c>
      <c r="EC43">
        <v>2.7953800000000002</v>
      </c>
      <c r="ED43">
        <v>2.2789600000000001</v>
      </c>
      <c r="EE43">
        <v>22.8568</v>
      </c>
      <c r="EF43">
        <v>19.528400000000001</v>
      </c>
      <c r="EG43">
        <v>1800.05</v>
      </c>
      <c r="EH43">
        <v>0.97800600000000004</v>
      </c>
      <c r="EI43">
        <v>2.1993800000000001E-2</v>
      </c>
      <c r="EJ43">
        <v>0</v>
      </c>
      <c r="EK43">
        <v>768.81200000000001</v>
      </c>
      <c r="EL43">
        <v>5.0002700000000004</v>
      </c>
      <c r="EM43">
        <v>14598.4</v>
      </c>
      <c r="EN43">
        <v>16249.1</v>
      </c>
      <c r="EO43">
        <v>46.311999999999998</v>
      </c>
      <c r="EP43">
        <v>48.686999999999998</v>
      </c>
      <c r="EQ43">
        <v>47.5</v>
      </c>
      <c r="ER43">
        <v>47.561999999999998</v>
      </c>
      <c r="ES43">
        <v>48.186999999999998</v>
      </c>
      <c r="ET43">
        <v>1755.57</v>
      </c>
      <c r="EU43">
        <v>39.479999999999997</v>
      </c>
      <c r="EV43">
        <v>0</v>
      </c>
      <c r="EW43">
        <v>102.5999999046326</v>
      </c>
      <c r="EX43">
        <v>0</v>
      </c>
      <c r="EY43">
        <v>769.21827999999994</v>
      </c>
      <c r="EZ43">
        <v>-2.9000769425499602</v>
      </c>
      <c r="FA43">
        <v>-56.300000158070972</v>
      </c>
      <c r="FB43">
        <v>14608.451999999999</v>
      </c>
      <c r="FC43">
        <v>15</v>
      </c>
      <c r="FD43">
        <v>1693327020</v>
      </c>
      <c r="FE43" t="s">
        <v>556</v>
      </c>
      <c r="FF43">
        <v>1693327009.5</v>
      </c>
      <c r="FG43">
        <v>1693327020</v>
      </c>
      <c r="FH43">
        <v>30</v>
      </c>
      <c r="FI43">
        <v>0.16500000000000001</v>
      </c>
      <c r="FJ43">
        <v>2E-3</v>
      </c>
      <c r="FK43">
        <v>1.1839999999999999</v>
      </c>
      <c r="FL43">
        <v>0.54900000000000004</v>
      </c>
      <c r="FM43">
        <v>1200</v>
      </c>
      <c r="FN43">
        <v>23</v>
      </c>
      <c r="FO43">
        <v>0.14000000000000001</v>
      </c>
      <c r="FP43">
        <v>0.06</v>
      </c>
      <c r="FQ43">
        <v>46.829827626373309</v>
      </c>
      <c r="FR43">
        <v>-0.56200290994164492</v>
      </c>
      <c r="FS43">
        <v>0.1536769946443747</v>
      </c>
      <c r="FT43">
        <v>1</v>
      </c>
      <c r="FU43">
        <v>0.31889001017015289</v>
      </c>
      <c r="FV43">
        <v>-3.057679273554258E-2</v>
      </c>
      <c r="FW43">
        <v>3.2739688414952211E-3</v>
      </c>
      <c r="FX43">
        <v>1</v>
      </c>
      <c r="FY43">
        <v>2</v>
      </c>
      <c r="FZ43">
        <v>2</v>
      </c>
      <c r="GA43" t="s">
        <v>429</v>
      </c>
      <c r="GB43">
        <v>3.1338599999999999</v>
      </c>
      <c r="GC43">
        <v>2.8645900000000002</v>
      </c>
      <c r="GD43">
        <v>0.191523</v>
      </c>
      <c r="GE43">
        <v>0.20255000000000001</v>
      </c>
      <c r="GF43">
        <v>0.12729099999999999</v>
      </c>
      <c r="GG43">
        <v>0.11541899999999999</v>
      </c>
      <c r="GH43">
        <v>24473.599999999999</v>
      </c>
      <c r="GI43">
        <v>18591.2</v>
      </c>
      <c r="GJ43">
        <v>29188.9</v>
      </c>
      <c r="GK43">
        <v>21731.8</v>
      </c>
      <c r="GL43">
        <v>34144.6</v>
      </c>
      <c r="GM43">
        <v>26461.9</v>
      </c>
      <c r="GN43">
        <v>40515.4</v>
      </c>
      <c r="GO43">
        <v>30881.5</v>
      </c>
      <c r="GP43">
        <v>2.0265</v>
      </c>
      <c r="GQ43">
        <v>1.8480000000000001</v>
      </c>
      <c r="GR43">
        <v>5.0127499999999998E-2</v>
      </c>
      <c r="GS43">
        <v>0</v>
      </c>
      <c r="GT43">
        <v>29.1343</v>
      </c>
      <c r="GU43">
        <v>999.9</v>
      </c>
      <c r="GV43">
        <v>55.2</v>
      </c>
      <c r="GW43">
        <v>33.4</v>
      </c>
      <c r="GX43">
        <v>28.770199999999999</v>
      </c>
      <c r="GY43">
        <v>61.727800000000002</v>
      </c>
      <c r="GZ43">
        <v>12.163500000000001</v>
      </c>
      <c r="HA43">
        <v>1</v>
      </c>
      <c r="HB43">
        <v>0.30965500000000001</v>
      </c>
      <c r="HC43">
        <v>2.3469899999999999</v>
      </c>
      <c r="HD43">
        <v>20.268899999999999</v>
      </c>
      <c r="HE43">
        <v>5.23346</v>
      </c>
      <c r="HF43">
        <v>11.974600000000001</v>
      </c>
      <c r="HG43">
        <v>4.9749999999999996</v>
      </c>
      <c r="HH43">
        <v>3.2839999999999998</v>
      </c>
      <c r="HI43">
        <v>9999</v>
      </c>
      <c r="HJ43">
        <v>9999</v>
      </c>
      <c r="HK43">
        <v>9999</v>
      </c>
      <c r="HL43">
        <v>999.9</v>
      </c>
      <c r="HM43">
        <v>1.86094</v>
      </c>
      <c r="HN43">
        <v>1.8625700000000001</v>
      </c>
      <c r="HO43">
        <v>1.86798</v>
      </c>
      <c r="HP43">
        <v>1.85856</v>
      </c>
      <c r="HQ43">
        <v>1.8569899999999999</v>
      </c>
      <c r="HR43">
        <v>1.8607199999999999</v>
      </c>
      <c r="HS43">
        <v>1.8646</v>
      </c>
      <c r="HT43">
        <v>1.86663</v>
      </c>
      <c r="HU43">
        <v>5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1.23</v>
      </c>
      <c r="II43">
        <v>0.84009999999999996</v>
      </c>
      <c r="IJ43">
        <v>1.3353309188583611</v>
      </c>
      <c r="IK43">
        <v>1.118558698776514E-3</v>
      </c>
      <c r="IL43">
        <v>-1.6939696309573479E-6</v>
      </c>
      <c r="IM43">
        <v>5.4698917449866148E-10</v>
      </c>
      <c r="IN43">
        <v>-2.577263228355298E-2</v>
      </c>
      <c r="IO43">
        <v>-7.6058941998734366E-3</v>
      </c>
      <c r="IP43">
        <v>1.6984902717538061E-3</v>
      </c>
      <c r="IQ43">
        <v>-9.6352527008986976E-6</v>
      </c>
      <c r="IR43">
        <v>2</v>
      </c>
      <c r="IS43">
        <v>2021</v>
      </c>
      <c r="IT43">
        <v>2</v>
      </c>
      <c r="IU43">
        <v>40</v>
      </c>
      <c r="IV43">
        <v>0.7</v>
      </c>
      <c r="IW43">
        <v>0.5</v>
      </c>
      <c r="IX43">
        <v>2.52319</v>
      </c>
      <c r="IY43">
        <v>2.48169</v>
      </c>
      <c r="IZ43">
        <v>1.34399</v>
      </c>
      <c r="JA43">
        <v>2.2460900000000001</v>
      </c>
      <c r="JB43">
        <v>1.5918000000000001</v>
      </c>
      <c r="JC43">
        <v>2.4023400000000001</v>
      </c>
      <c r="JD43">
        <v>38.013399999999997</v>
      </c>
      <c r="JE43">
        <v>24.078700000000001</v>
      </c>
      <c r="JF43">
        <v>18</v>
      </c>
      <c r="JG43">
        <v>506.11500000000001</v>
      </c>
      <c r="JH43">
        <v>437.80500000000001</v>
      </c>
      <c r="JI43">
        <v>26.024899999999999</v>
      </c>
      <c r="JJ43">
        <v>31.505299999999998</v>
      </c>
      <c r="JK43">
        <v>30.000499999999999</v>
      </c>
      <c r="JL43">
        <v>31.331399999999999</v>
      </c>
      <c r="JM43">
        <v>31.278400000000001</v>
      </c>
      <c r="JN43">
        <v>50.563299999999998</v>
      </c>
      <c r="JO43">
        <v>28.4833</v>
      </c>
      <c r="JP43">
        <v>63.719799999999999</v>
      </c>
      <c r="JQ43">
        <v>26.033300000000001</v>
      </c>
      <c r="JR43">
        <v>1200</v>
      </c>
      <c r="JS43">
        <v>22.995799999999999</v>
      </c>
      <c r="JT43">
        <v>99.531099999999995</v>
      </c>
      <c r="JU43">
        <v>97.562399999999997</v>
      </c>
    </row>
    <row r="44" spans="1:281" x14ac:dyDescent="0.25">
      <c r="A44">
        <v>28</v>
      </c>
      <c r="B44">
        <v>1693327182.5</v>
      </c>
      <c r="C44">
        <v>5421</v>
      </c>
      <c r="D44" t="s">
        <v>557</v>
      </c>
      <c r="E44" t="s">
        <v>558</v>
      </c>
      <c r="F44" t="s">
        <v>413</v>
      </c>
      <c r="G44" t="s">
        <v>492</v>
      </c>
      <c r="H44" t="s">
        <v>493</v>
      </c>
      <c r="I44" t="s">
        <v>493</v>
      </c>
      <c r="J44">
        <v>1693327182.5</v>
      </c>
      <c r="K44">
        <f t="shared" si="0"/>
        <v>4.2018687605891621E-3</v>
      </c>
      <c r="L44">
        <f t="shared" si="1"/>
        <v>4.2018687605891625</v>
      </c>
      <c r="M44">
        <f t="shared" si="2"/>
        <v>46.180029360694789</v>
      </c>
      <c r="N44">
        <f t="shared" si="3"/>
        <v>1437.48</v>
      </c>
      <c r="O44">
        <f t="shared" si="4"/>
        <v>1137.1870364182107</v>
      </c>
      <c r="P44">
        <f t="shared" si="5"/>
        <v>112.84996711802974</v>
      </c>
      <c r="Q44">
        <f t="shared" si="6"/>
        <v>142.649859291192</v>
      </c>
      <c r="R44">
        <f t="shared" si="7"/>
        <v>0.28773502907088683</v>
      </c>
      <c r="S44">
        <f t="shared" si="8"/>
        <v>2.9148035045795462</v>
      </c>
      <c r="T44">
        <f t="shared" si="9"/>
        <v>0.27283517064231971</v>
      </c>
      <c r="U44">
        <f t="shared" si="10"/>
        <v>0.1717963526017347</v>
      </c>
      <c r="V44">
        <f t="shared" si="11"/>
        <v>344.37449964468595</v>
      </c>
      <c r="W44">
        <f t="shared" si="12"/>
        <v>31.052555936625456</v>
      </c>
      <c r="X44">
        <f t="shared" si="13"/>
        <v>30.021899999999999</v>
      </c>
      <c r="Y44">
        <f t="shared" si="14"/>
        <v>4.2658120076364003</v>
      </c>
      <c r="Z44">
        <f t="shared" si="15"/>
        <v>65.109006984888779</v>
      </c>
      <c r="AA44">
        <f t="shared" si="16"/>
        <v>2.7918479223243602</v>
      </c>
      <c r="AB44">
        <f t="shared" si="17"/>
        <v>4.2879596105225861</v>
      </c>
      <c r="AC44">
        <f t="shared" si="18"/>
        <v>1.4739640853120402</v>
      </c>
      <c r="AD44">
        <f t="shared" si="19"/>
        <v>-185.30241234198203</v>
      </c>
      <c r="AE44">
        <f t="shared" si="20"/>
        <v>14.174288365808566</v>
      </c>
      <c r="AF44">
        <f t="shared" si="21"/>
        <v>1.0819797888829197</v>
      </c>
      <c r="AG44">
        <f t="shared" si="22"/>
        <v>174.32835545739539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51895.068382472782</v>
      </c>
      <c r="AM44" t="s">
        <v>415</v>
      </c>
      <c r="AN44">
        <v>10366.9</v>
      </c>
      <c r="AO44">
        <v>993.59653846153856</v>
      </c>
      <c r="AP44">
        <v>3431.87</v>
      </c>
      <c r="AQ44">
        <f t="shared" si="26"/>
        <v>0.71047955241266758</v>
      </c>
      <c r="AR44">
        <v>-3.9894345373445681</v>
      </c>
      <c r="AS44" t="s">
        <v>559</v>
      </c>
      <c r="AT44">
        <v>10394.200000000001</v>
      </c>
      <c r="AU44">
        <v>764.24749999999995</v>
      </c>
      <c r="AV44">
        <v>1154.799099710212</v>
      </c>
      <c r="AW44">
        <f t="shared" si="27"/>
        <v>0.33819873933761979</v>
      </c>
      <c r="AX44">
        <v>0.5</v>
      </c>
      <c r="AY44">
        <f t="shared" si="28"/>
        <v>1513.2095998223431</v>
      </c>
      <c r="AZ44">
        <f t="shared" si="29"/>
        <v>46.180029360694789</v>
      </c>
      <c r="BA44">
        <f t="shared" si="30"/>
        <v>255.88278950675027</v>
      </c>
      <c r="BB44">
        <f t="shared" si="31"/>
        <v>3.3154338899204348E-2</v>
      </c>
      <c r="BC44">
        <f t="shared" si="32"/>
        <v>1.9718329368815766</v>
      </c>
      <c r="BD44">
        <f t="shared" si="33"/>
        <v>632.50711208202767</v>
      </c>
      <c r="BE44" t="s">
        <v>560</v>
      </c>
      <c r="BF44">
        <v>595.65</v>
      </c>
      <c r="BG44">
        <f t="shared" si="34"/>
        <v>595.65</v>
      </c>
      <c r="BH44">
        <f t="shared" si="35"/>
        <v>0.48419599552036907</v>
      </c>
      <c r="BI44">
        <f t="shared" si="36"/>
        <v>0.69847487890550419</v>
      </c>
      <c r="BJ44">
        <f t="shared" si="37"/>
        <v>0.80285411579136601</v>
      </c>
      <c r="BK44">
        <f t="shared" si="38"/>
        <v>2.4227381791269522</v>
      </c>
      <c r="BL44">
        <f t="shared" si="39"/>
        <v>0.93388659484200731</v>
      </c>
      <c r="BM44">
        <f t="shared" si="40"/>
        <v>0.54438720652676476</v>
      </c>
      <c r="BN44">
        <f t="shared" si="41"/>
        <v>0.45561279347323524</v>
      </c>
      <c r="BO44">
        <v>2007</v>
      </c>
      <c r="BP44">
        <v>290.00000000000011</v>
      </c>
      <c r="BQ44">
        <v>1043.2</v>
      </c>
      <c r="BR44">
        <v>165</v>
      </c>
      <c r="BS44">
        <v>10394.200000000001</v>
      </c>
      <c r="BT44">
        <v>1042.67</v>
      </c>
      <c r="BU44">
        <v>0.53</v>
      </c>
      <c r="BV44">
        <v>300.00000000000011</v>
      </c>
      <c r="BW44">
        <v>38.4</v>
      </c>
      <c r="BX44">
        <v>1154.799099710212</v>
      </c>
      <c r="BY44">
        <v>1.204092078832194</v>
      </c>
      <c r="BZ44">
        <v>-116.54692764766369</v>
      </c>
      <c r="CA44">
        <v>1.0237248428321231</v>
      </c>
      <c r="CB44">
        <v>0.99784431329019618</v>
      </c>
      <c r="CC44">
        <v>-1.13034805339266E-2</v>
      </c>
      <c r="CD44">
        <v>289.99999999999989</v>
      </c>
      <c r="CE44">
        <v>1030.1199999999999</v>
      </c>
      <c r="CF44">
        <v>655</v>
      </c>
      <c r="CG44">
        <v>10368.200000000001</v>
      </c>
      <c r="CH44">
        <v>1042.3900000000001</v>
      </c>
      <c r="CI44">
        <v>-12.27</v>
      </c>
      <c r="CW44">
        <f t="shared" si="42"/>
        <v>1800.03</v>
      </c>
      <c r="CX44">
        <f t="shared" si="43"/>
        <v>1513.2095998223431</v>
      </c>
      <c r="CY44">
        <f t="shared" si="44"/>
        <v>0.84065798893481947</v>
      </c>
      <c r="CZ44">
        <f t="shared" si="45"/>
        <v>0.19131597786963883</v>
      </c>
      <c r="DA44">
        <v>6</v>
      </c>
      <c r="DB44">
        <v>0.5</v>
      </c>
      <c r="DC44" t="s">
        <v>418</v>
      </c>
      <c r="DD44">
        <v>2</v>
      </c>
      <c r="DE44">
        <v>1693327182.5</v>
      </c>
      <c r="DF44">
        <v>1437.48</v>
      </c>
      <c r="DG44">
        <v>1500.23</v>
      </c>
      <c r="DH44">
        <v>28.133400000000002</v>
      </c>
      <c r="DI44">
        <v>23.226299999999998</v>
      </c>
      <c r="DJ44">
        <v>1436.49</v>
      </c>
      <c r="DK44">
        <v>27.298400000000001</v>
      </c>
      <c r="DL44">
        <v>499.31599999999997</v>
      </c>
      <c r="DM44">
        <v>99.137</v>
      </c>
      <c r="DN44">
        <v>9.9065399999999998E-2</v>
      </c>
      <c r="DO44">
        <v>30.112100000000002</v>
      </c>
      <c r="DP44">
        <v>30.021899999999999</v>
      </c>
      <c r="DQ44">
        <v>999.9</v>
      </c>
      <c r="DR44">
        <v>0</v>
      </c>
      <c r="DS44">
        <v>0</v>
      </c>
      <c r="DT44">
        <v>10002.5</v>
      </c>
      <c r="DU44">
        <v>0</v>
      </c>
      <c r="DV44">
        <v>1752.41</v>
      </c>
      <c r="DW44">
        <v>-62.752400000000002</v>
      </c>
      <c r="DX44">
        <v>1479.09</v>
      </c>
      <c r="DY44">
        <v>1535.9</v>
      </c>
      <c r="DZ44">
        <v>4.9071600000000002</v>
      </c>
      <c r="EA44">
        <v>1500.23</v>
      </c>
      <c r="EB44">
        <v>23.226299999999998</v>
      </c>
      <c r="EC44">
        <v>2.7890600000000001</v>
      </c>
      <c r="ED44">
        <v>2.3025799999999998</v>
      </c>
      <c r="EE44">
        <v>22.819500000000001</v>
      </c>
      <c r="EF44">
        <v>19.694500000000001</v>
      </c>
      <c r="EG44">
        <v>1800.03</v>
      </c>
      <c r="EH44">
        <v>0.97800600000000004</v>
      </c>
      <c r="EI44">
        <v>2.1993800000000001E-2</v>
      </c>
      <c r="EJ44">
        <v>0</v>
      </c>
      <c r="EK44">
        <v>764.12099999999998</v>
      </c>
      <c r="EL44">
        <v>5.0002700000000004</v>
      </c>
      <c r="EM44">
        <v>14514.5</v>
      </c>
      <c r="EN44">
        <v>16248.9</v>
      </c>
      <c r="EO44">
        <v>46.25</v>
      </c>
      <c r="EP44">
        <v>48.625</v>
      </c>
      <c r="EQ44">
        <v>47.5</v>
      </c>
      <c r="ER44">
        <v>47.561999999999998</v>
      </c>
      <c r="ES44">
        <v>48.125</v>
      </c>
      <c r="ET44">
        <v>1755.55</v>
      </c>
      <c r="EU44">
        <v>39.479999999999997</v>
      </c>
      <c r="EV44">
        <v>0</v>
      </c>
      <c r="EW44">
        <v>129.79999995231631</v>
      </c>
      <c r="EX44">
        <v>0</v>
      </c>
      <c r="EY44">
        <v>764.24749999999995</v>
      </c>
      <c r="EZ44">
        <v>-1.267316237905018</v>
      </c>
      <c r="FA44">
        <v>-52.687179569595187</v>
      </c>
      <c r="FB44">
        <v>14520.49615384615</v>
      </c>
      <c r="FC44">
        <v>15</v>
      </c>
      <c r="FD44">
        <v>1693327150.5</v>
      </c>
      <c r="FE44" t="s">
        <v>561</v>
      </c>
      <c r="FF44">
        <v>1693327150.5</v>
      </c>
      <c r="FG44">
        <v>1693327147.5</v>
      </c>
      <c r="FH44">
        <v>31</v>
      </c>
      <c r="FI44">
        <v>-8.3000000000000004E-2</v>
      </c>
      <c r="FJ44">
        <v>-1E-3</v>
      </c>
      <c r="FK44">
        <v>0.96599999999999997</v>
      </c>
      <c r="FL44">
        <v>0.54900000000000004</v>
      </c>
      <c r="FM44">
        <v>1500</v>
      </c>
      <c r="FN44">
        <v>23</v>
      </c>
      <c r="FO44">
        <v>0.12</v>
      </c>
      <c r="FP44">
        <v>0.04</v>
      </c>
      <c r="FQ44">
        <v>45.988456454141392</v>
      </c>
      <c r="FR44">
        <v>-2.629962634013025E-2</v>
      </c>
      <c r="FS44">
        <v>0.194081869974122</v>
      </c>
      <c r="FT44">
        <v>1</v>
      </c>
      <c r="FU44">
        <v>0.29409806771580599</v>
      </c>
      <c r="FV44">
        <v>-4.1824646640486969E-2</v>
      </c>
      <c r="FW44">
        <v>3.3546290197204341E-3</v>
      </c>
      <c r="FX44">
        <v>1</v>
      </c>
      <c r="FY44">
        <v>2</v>
      </c>
      <c r="FZ44">
        <v>2</v>
      </c>
      <c r="GA44" t="s">
        <v>429</v>
      </c>
      <c r="GB44">
        <v>3.13327</v>
      </c>
      <c r="GC44">
        <v>2.8642300000000001</v>
      </c>
      <c r="GD44">
        <v>0.22161800000000001</v>
      </c>
      <c r="GE44">
        <v>0.23227800000000001</v>
      </c>
      <c r="GF44">
        <v>0.127081</v>
      </c>
      <c r="GG44">
        <v>0.11623600000000001</v>
      </c>
      <c r="GH44">
        <v>23557</v>
      </c>
      <c r="GI44">
        <v>17895</v>
      </c>
      <c r="GJ44">
        <v>29183</v>
      </c>
      <c r="GK44">
        <v>21728.7</v>
      </c>
      <c r="GL44">
        <v>34150.199999999997</v>
      </c>
      <c r="GM44">
        <v>26436.5</v>
      </c>
      <c r="GN44">
        <v>40507.5</v>
      </c>
      <c r="GO44">
        <v>30877.5</v>
      </c>
      <c r="GP44">
        <v>2.0259</v>
      </c>
      <c r="GQ44">
        <v>1.8459000000000001</v>
      </c>
      <c r="GR44">
        <v>6.2167600000000003E-2</v>
      </c>
      <c r="GS44">
        <v>0</v>
      </c>
      <c r="GT44">
        <v>29.009399999999999</v>
      </c>
      <c r="GU44">
        <v>999.9</v>
      </c>
      <c r="GV44">
        <v>55</v>
      </c>
      <c r="GW44">
        <v>33.4</v>
      </c>
      <c r="GX44">
        <v>28.665099999999999</v>
      </c>
      <c r="GY44">
        <v>61.517800000000001</v>
      </c>
      <c r="GZ44">
        <v>11.979200000000001</v>
      </c>
      <c r="HA44">
        <v>1</v>
      </c>
      <c r="HB44">
        <v>0.31678899999999999</v>
      </c>
      <c r="HC44">
        <v>2.3869699999999998</v>
      </c>
      <c r="HD44">
        <v>20.2959</v>
      </c>
      <c r="HE44">
        <v>5.2232799999999999</v>
      </c>
      <c r="HF44">
        <v>11.974</v>
      </c>
      <c r="HG44">
        <v>4.9720000000000004</v>
      </c>
      <c r="HH44">
        <v>3.2814000000000001</v>
      </c>
      <c r="HI44">
        <v>9999</v>
      </c>
      <c r="HJ44">
        <v>9999</v>
      </c>
      <c r="HK44">
        <v>9999</v>
      </c>
      <c r="HL44">
        <v>999.9</v>
      </c>
      <c r="HM44">
        <v>1.86087</v>
      </c>
      <c r="HN44">
        <v>1.86252</v>
      </c>
      <c r="HO44">
        <v>1.86798</v>
      </c>
      <c r="HP44">
        <v>1.8586</v>
      </c>
      <c r="HQ44">
        <v>1.8569899999999999</v>
      </c>
      <c r="HR44">
        <v>1.8607100000000001</v>
      </c>
      <c r="HS44">
        <v>1.8645499999999999</v>
      </c>
      <c r="HT44">
        <v>1.86663</v>
      </c>
      <c r="HU44">
        <v>5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0.99</v>
      </c>
      <c r="II44">
        <v>0.83499999999999996</v>
      </c>
      <c r="IJ44">
        <v>1.253003700006889</v>
      </c>
      <c r="IK44">
        <v>1.118558698776514E-3</v>
      </c>
      <c r="IL44">
        <v>-1.6939696309573479E-6</v>
      </c>
      <c r="IM44">
        <v>5.4698917449866148E-10</v>
      </c>
      <c r="IN44">
        <v>-2.7028459717383879E-2</v>
      </c>
      <c r="IO44">
        <v>-7.6058941998734366E-3</v>
      </c>
      <c r="IP44">
        <v>1.6984902717538061E-3</v>
      </c>
      <c r="IQ44">
        <v>-9.6352527008986976E-6</v>
      </c>
      <c r="IR44">
        <v>2</v>
      </c>
      <c r="IS44">
        <v>2021</v>
      </c>
      <c r="IT44">
        <v>2</v>
      </c>
      <c r="IU44">
        <v>40</v>
      </c>
      <c r="IV44">
        <v>0.5</v>
      </c>
      <c r="IW44">
        <v>0.6</v>
      </c>
      <c r="IX44">
        <v>3.0310100000000002</v>
      </c>
      <c r="IY44">
        <v>2.4865699999999999</v>
      </c>
      <c r="IZ44">
        <v>1.34399</v>
      </c>
      <c r="JA44">
        <v>2.2460900000000001</v>
      </c>
      <c r="JB44">
        <v>1.5918000000000001</v>
      </c>
      <c r="JC44">
        <v>2.2509800000000002</v>
      </c>
      <c r="JD44">
        <v>38.013399999999997</v>
      </c>
      <c r="JE44">
        <v>16.4086</v>
      </c>
      <c r="JF44">
        <v>18</v>
      </c>
      <c r="JG44">
        <v>506.31400000000002</v>
      </c>
      <c r="JH44">
        <v>436.96800000000002</v>
      </c>
      <c r="JI44">
        <v>26.1557</v>
      </c>
      <c r="JJ44">
        <v>31.579499999999999</v>
      </c>
      <c r="JK44">
        <v>30.000299999999999</v>
      </c>
      <c r="JL44">
        <v>31.398700000000002</v>
      </c>
      <c r="JM44">
        <v>31.343299999999999</v>
      </c>
      <c r="JN44">
        <v>60.734400000000001</v>
      </c>
      <c r="JO44">
        <v>27.8017</v>
      </c>
      <c r="JP44">
        <v>63.363900000000001</v>
      </c>
      <c r="JQ44">
        <v>26.1631</v>
      </c>
      <c r="JR44">
        <v>1500</v>
      </c>
      <c r="JS44">
        <v>23.204699999999999</v>
      </c>
      <c r="JT44">
        <v>99.511600000000001</v>
      </c>
      <c r="JU44">
        <v>97.549300000000002</v>
      </c>
    </row>
    <row r="45" spans="1:281" x14ac:dyDescent="0.25">
      <c r="A45">
        <v>29</v>
      </c>
      <c r="B45">
        <v>1693329999.5999999</v>
      </c>
      <c r="C45">
        <v>8238.0999999046326</v>
      </c>
      <c r="D45" t="s">
        <v>562</v>
      </c>
      <c r="E45" t="s">
        <v>563</v>
      </c>
      <c r="F45" t="s">
        <v>413</v>
      </c>
      <c r="G45" t="s">
        <v>564</v>
      </c>
      <c r="H45" t="s">
        <v>565</v>
      </c>
      <c r="I45" t="s">
        <v>31</v>
      </c>
      <c r="J45">
        <v>1693329999.5999999</v>
      </c>
      <c r="K45">
        <f t="shared" si="0"/>
        <v>3.80744620577989E-3</v>
      </c>
      <c r="L45">
        <f t="shared" si="1"/>
        <v>3.8074462057798901</v>
      </c>
      <c r="M45">
        <f t="shared" si="2"/>
        <v>34.758023156914646</v>
      </c>
      <c r="N45">
        <f t="shared" si="3"/>
        <v>356.53300000000002</v>
      </c>
      <c r="O45">
        <f t="shared" si="4"/>
        <v>128.52374521052883</v>
      </c>
      <c r="P45">
        <f t="shared" si="5"/>
        <v>12.74655675745171</v>
      </c>
      <c r="Q45">
        <f t="shared" si="6"/>
        <v>35.359754829430798</v>
      </c>
      <c r="R45">
        <f t="shared" si="7"/>
        <v>0.2609843116973366</v>
      </c>
      <c r="S45">
        <f t="shared" si="8"/>
        <v>2.9233550449600409</v>
      </c>
      <c r="T45">
        <f t="shared" si="9"/>
        <v>0.2486966387030837</v>
      </c>
      <c r="U45">
        <f t="shared" si="10"/>
        <v>0.15649117805297172</v>
      </c>
      <c r="V45">
        <f t="shared" si="11"/>
        <v>344.33779964473842</v>
      </c>
      <c r="W45">
        <f t="shared" si="12"/>
        <v>31.120862462412141</v>
      </c>
      <c r="X45">
        <f t="shared" si="13"/>
        <v>30.002500000000001</v>
      </c>
      <c r="Y45">
        <f t="shared" si="14"/>
        <v>4.2610616025627452</v>
      </c>
      <c r="Z45">
        <f t="shared" si="15"/>
        <v>65.340952189578999</v>
      </c>
      <c r="AA45">
        <f t="shared" si="16"/>
        <v>2.7967324379862002</v>
      </c>
      <c r="AB45">
        <f t="shared" si="17"/>
        <v>4.2802137775277806</v>
      </c>
      <c r="AC45">
        <f t="shared" si="18"/>
        <v>1.4643291645765451</v>
      </c>
      <c r="AD45">
        <f t="shared" si="19"/>
        <v>-167.90837767489316</v>
      </c>
      <c r="AE45">
        <f t="shared" si="20"/>
        <v>12.308865932061344</v>
      </c>
      <c r="AF45">
        <f t="shared" si="21"/>
        <v>0.93660016132351531</v>
      </c>
      <c r="AG45">
        <f t="shared" si="22"/>
        <v>189.6748880632301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52142.681058541843</v>
      </c>
      <c r="AM45" t="s">
        <v>415</v>
      </c>
      <c r="AN45">
        <v>10366.9</v>
      </c>
      <c r="AO45">
        <v>993.59653846153856</v>
      </c>
      <c r="AP45">
        <v>3431.87</v>
      </c>
      <c r="AQ45">
        <f t="shared" si="26"/>
        <v>0.71047955241266758</v>
      </c>
      <c r="AR45">
        <v>-3.9894345373445681</v>
      </c>
      <c r="AS45" t="s">
        <v>566</v>
      </c>
      <c r="AT45">
        <v>10372.299999999999</v>
      </c>
      <c r="AU45">
        <v>725.20087999999998</v>
      </c>
      <c r="AV45">
        <v>981.92446080868694</v>
      </c>
      <c r="AW45">
        <f t="shared" si="27"/>
        <v>0.26144942004729799</v>
      </c>
      <c r="AX45">
        <v>0.5</v>
      </c>
      <c r="AY45">
        <f t="shared" si="28"/>
        <v>1513.0496998223689</v>
      </c>
      <c r="AZ45">
        <f t="shared" si="29"/>
        <v>34.758023156914646</v>
      </c>
      <c r="BA45">
        <f t="shared" si="30"/>
        <v>197.79298326064833</v>
      </c>
      <c r="BB45">
        <f t="shared" si="31"/>
        <v>2.5608846622029759E-2</v>
      </c>
      <c r="BC45">
        <f t="shared" si="32"/>
        <v>2.4950448196122976</v>
      </c>
      <c r="BD45">
        <f t="shared" si="33"/>
        <v>576.87869715486329</v>
      </c>
      <c r="BE45" t="s">
        <v>567</v>
      </c>
      <c r="BF45">
        <v>581.35</v>
      </c>
      <c r="BG45">
        <f t="shared" si="34"/>
        <v>581.35</v>
      </c>
      <c r="BH45">
        <f t="shared" si="35"/>
        <v>0.40794834714554762</v>
      </c>
      <c r="BI45">
        <f t="shared" si="36"/>
        <v>0.64088853865123796</v>
      </c>
      <c r="BJ45">
        <f t="shared" si="37"/>
        <v>0.85947319758897078</v>
      </c>
      <c r="BK45">
        <f t="shared" si="38"/>
        <v>-21.994677249766809</v>
      </c>
      <c r="BL45">
        <f t="shared" si="39"/>
        <v>1.0047870256708149</v>
      </c>
      <c r="BM45">
        <f t="shared" si="40"/>
        <v>0.51376185856930734</v>
      </c>
      <c r="BN45">
        <f t="shared" si="41"/>
        <v>0.48623814143069266</v>
      </c>
      <c r="BO45">
        <v>2009</v>
      </c>
      <c r="BP45">
        <v>290.00000000000011</v>
      </c>
      <c r="BQ45">
        <v>908.19</v>
      </c>
      <c r="BR45">
        <v>235</v>
      </c>
      <c r="BS45">
        <v>10372.299999999999</v>
      </c>
      <c r="BT45">
        <v>907.44</v>
      </c>
      <c r="BU45">
        <v>0.75</v>
      </c>
      <c r="BV45">
        <v>300.00000000000011</v>
      </c>
      <c r="BW45">
        <v>38.4</v>
      </c>
      <c r="BX45">
        <v>981.92446080868694</v>
      </c>
      <c r="BY45">
        <v>1.2562766654621</v>
      </c>
      <c r="BZ45">
        <v>-77.25887436047887</v>
      </c>
      <c r="CA45">
        <v>1.0669062233323141</v>
      </c>
      <c r="CB45">
        <v>0.9946886984520219</v>
      </c>
      <c r="CC45">
        <v>-1.1290775305895451E-2</v>
      </c>
      <c r="CD45">
        <v>289.99999999999989</v>
      </c>
      <c r="CE45">
        <v>901.47</v>
      </c>
      <c r="CF45">
        <v>685</v>
      </c>
      <c r="CG45">
        <v>10353.799999999999</v>
      </c>
      <c r="CH45">
        <v>907.31</v>
      </c>
      <c r="CI45">
        <v>-5.84</v>
      </c>
      <c r="CW45">
        <f t="shared" si="42"/>
        <v>1799.84</v>
      </c>
      <c r="CX45">
        <f t="shared" si="43"/>
        <v>1513.0496998223689</v>
      </c>
      <c r="CY45">
        <f t="shared" si="44"/>
        <v>0.84065789171391292</v>
      </c>
      <c r="CZ45">
        <f t="shared" si="45"/>
        <v>0.19131578342782604</v>
      </c>
      <c r="DA45">
        <v>6</v>
      </c>
      <c r="DB45">
        <v>0.5</v>
      </c>
      <c r="DC45" t="s">
        <v>418</v>
      </c>
      <c r="DD45">
        <v>2</v>
      </c>
      <c r="DE45">
        <v>1693329999.5999999</v>
      </c>
      <c r="DF45">
        <v>356.53300000000002</v>
      </c>
      <c r="DG45">
        <v>399.858</v>
      </c>
      <c r="DH45">
        <v>28.1995</v>
      </c>
      <c r="DI45">
        <v>23.7608</v>
      </c>
      <c r="DJ45">
        <v>355.23700000000002</v>
      </c>
      <c r="DK45">
        <v>27.410399999999999</v>
      </c>
      <c r="DL45">
        <v>500.15699999999998</v>
      </c>
      <c r="DM45">
        <v>99.077600000000004</v>
      </c>
      <c r="DN45">
        <v>9.9067600000000006E-2</v>
      </c>
      <c r="DO45">
        <v>30.0806</v>
      </c>
      <c r="DP45">
        <v>30.002500000000001</v>
      </c>
      <c r="DQ45">
        <v>999.9</v>
      </c>
      <c r="DR45">
        <v>0</v>
      </c>
      <c r="DS45">
        <v>0</v>
      </c>
      <c r="DT45">
        <v>10057.5</v>
      </c>
      <c r="DU45">
        <v>0</v>
      </c>
      <c r="DV45">
        <v>586.64499999999998</v>
      </c>
      <c r="DW45">
        <v>-43.324199999999998</v>
      </c>
      <c r="DX45">
        <v>366.87900000000002</v>
      </c>
      <c r="DY45">
        <v>409.59</v>
      </c>
      <c r="DZ45">
        <v>4.4386599999999996</v>
      </c>
      <c r="EA45">
        <v>399.858</v>
      </c>
      <c r="EB45">
        <v>23.7608</v>
      </c>
      <c r="EC45">
        <v>2.7939400000000001</v>
      </c>
      <c r="ED45">
        <v>2.3541699999999999</v>
      </c>
      <c r="EE45">
        <v>22.848299999999998</v>
      </c>
      <c r="EF45">
        <v>20.0519</v>
      </c>
      <c r="EG45">
        <v>1799.84</v>
      </c>
      <c r="EH45">
        <v>0.97800699999999996</v>
      </c>
      <c r="EI45">
        <v>2.1992600000000001E-2</v>
      </c>
      <c r="EJ45">
        <v>0</v>
      </c>
      <c r="EK45">
        <v>725.28200000000004</v>
      </c>
      <c r="EL45">
        <v>5.0002700000000004</v>
      </c>
      <c r="EM45">
        <v>13649.4</v>
      </c>
      <c r="EN45">
        <v>16247.2</v>
      </c>
      <c r="EO45">
        <v>47.125</v>
      </c>
      <c r="EP45">
        <v>48.625</v>
      </c>
      <c r="EQ45">
        <v>48.311999999999998</v>
      </c>
      <c r="ER45">
        <v>47.75</v>
      </c>
      <c r="ES45">
        <v>48.875</v>
      </c>
      <c r="ET45">
        <v>1755.37</v>
      </c>
      <c r="EU45">
        <v>39.47</v>
      </c>
      <c r="EV45">
        <v>0</v>
      </c>
      <c r="EW45">
        <v>2815.1999998092651</v>
      </c>
      <c r="EX45">
        <v>0</v>
      </c>
      <c r="EY45">
        <v>725.20087999999998</v>
      </c>
      <c r="EZ45">
        <v>0.28230768983162902</v>
      </c>
      <c r="FA45">
        <v>-10.253846234107391</v>
      </c>
      <c r="FB45">
        <v>13654.108</v>
      </c>
      <c r="FC45">
        <v>15</v>
      </c>
      <c r="FD45">
        <v>1693329971.5999999</v>
      </c>
      <c r="FE45" t="s">
        <v>568</v>
      </c>
      <c r="FF45">
        <v>1693329968.5999999</v>
      </c>
      <c r="FG45">
        <v>1693329971.5999999</v>
      </c>
      <c r="FH45">
        <v>34</v>
      </c>
      <c r="FI45">
        <v>0.13200000000000001</v>
      </c>
      <c r="FJ45">
        <v>-1.4E-2</v>
      </c>
      <c r="FK45">
        <v>1.3</v>
      </c>
      <c r="FL45">
        <v>0.53800000000000003</v>
      </c>
      <c r="FM45">
        <v>400</v>
      </c>
      <c r="FN45">
        <v>24</v>
      </c>
      <c r="FO45">
        <v>0.17</v>
      </c>
      <c r="FP45">
        <v>0.09</v>
      </c>
      <c r="FQ45">
        <v>34.930379999392578</v>
      </c>
      <c r="FR45">
        <v>-0.47443244258642597</v>
      </c>
      <c r="FS45">
        <v>0.1039423905222958</v>
      </c>
      <c r="FT45">
        <v>1</v>
      </c>
      <c r="FU45">
        <v>0.26289642936854618</v>
      </c>
      <c r="FV45">
        <v>-2.31434354404071E-2</v>
      </c>
      <c r="FW45">
        <v>2.4728916958443471E-3</v>
      </c>
      <c r="FX45">
        <v>1</v>
      </c>
      <c r="FY45">
        <v>2</v>
      </c>
      <c r="FZ45">
        <v>2</v>
      </c>
      <c r="GA45" t="s">
        <v>429</v>
      </c>
      <c r="GB45">
        <v>3.13435</v>
      </c>
      <c r="GC45">
        <v>2.8647300000000002</v>
      </c>
      <c r="GD45">
        <v>8.3848199999999998E-2</v>
      </c>
      <c r="GE45">
        <v>9.4392000000000004E-2</v>
      </c>
      <c r="GF45">
        <v>0.12698499999999999</v>
      </c>
      <c r="GG45">
        <v>0.11766500000000001</v>
      </c>
      <c r="GH45">
        <v>27646.2</v>
      </c>
      <c r="GI45">
        <v>21072.3</v>
      </c>
      <c r="GJ45">
        <v>29103.3</v>
      </c>
      <c r="GK45">
        <v>21693.200000000001</v>
      </c>
      <c r="GL45">
        <v>34061.599999999999</v>
      </c>
      <c r="GM45">
        <v>26352.7</v>
      </c>
      <c r="GN45">
        <v>40397.9</v>
      </c>
      <c r="GO45">
        <v>30839.4</v>
      </c>
      <c r="GP45">
        <v>2.0105</v>
      </c>
      <c r="GQ45">
        <v>1.7721</v>
      </c>
      <c r="GR45">
        <v>3.2260999999999998E-2</v>
      </c>
      <c r="GS45">
        <v>0</v>
      </c>
      <c r="GT45">
        <v>29.4773</v>
      </c>
      <c r="GU45">
        <v>999.9</v>
      </c>
      <c r="GV45">
        <v>37.799999999999997</v>
      </c>
      <c r="GW45">
        <v>41.6</v>
      </c>
      <c r="GX45">
        <v>30.7957</v>
      </c>
      <c r="GY45">
        <v>60.497900000000001</v>
      </c>
      <c r="GZ45">
        <v>13.2372</v>
      </c>
      <c r="HA45">
        <v>1</v>
      </c>
      <c r="HB45">
        <v>0.42997000000000002</v>
      </c>
      <c r="HC45">
        <v>2.8221599999999998</v>
      </c>
      <c r="HD45">
        <v>20.252099999999999</v>
      </c>
      <c r="HE45">
        <v>5.23346</v>
      </c>
      <c r="HF45">
        <v>11.98</v>
      </c>
      <c r="HG45">
        <v>4.9749999999999996</v>
      </c>
      <c r="HH45">
        <v>3.2839999999999998</v>
      </c>
      <c r="HI45">
        <v>9999</v>
      </c>
      <c r="HJ45">
        <v>9999</v>
      </c>
      <c r="HK45">
        <v>9999</v>
      </c>
      <c r="HL45">
        <v>999.9</v>
      </c>
      <c r="HM45">
        <v>1.8614200000000001</v>
      </c>
      <c r="HN45">
        <v>1.8631</v>
      </c>
      <c r="HO45">
        <v>1.8684400000000001</v>
      </c>
      <c r="HP45">
        <v>1.8592599999999999</v>
      </c>
      <c r="HQ45">
        <v>1.8575999999999999</v>
      </c>
      <c r="HR45">
        <v>1.86127</v>
      </c>
      <c r="HS45">
        <v>1.8650800000000001</v>
      </c>
      <c r="HT45">
        <v>1.8670800000000001</v>
      </c>
      <c r="HU45">
        <v>5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1.296</v>
      </c>
      <c r="II45">
        <v>0.78910000000000002</v>
      </c>
      <c r="IJ45">
        <v>1.088393367812825</v>
      </c>
      <c r="IK45">
        <v>1.118558698776514E-3</v>
      </c>
      <c r="IL45">
        <v>-1.6939696309573479E-6</v>
      </c>
      <c r="IM45">
        <v>5.4698917449866148E-10</v>
      </c>
      <c r="IN45">
        <v>-8.0140487045336273E-2</v>
      </c>
      <c r="IO45">
        <v>-7.6058941998734366E-3</v>
      </c>
      <c r="IP45">
        <v>1.6984902717538061E-3</v>
      </c>
      <c r="IQ45">
        <v>-9.6352527008986976E-6</v>
      </c>
      <c r="IR45">
        <v>2</v>
      </c>
      <c r="IS45">
        <v>2021</v>
      </c>
      <c r="IT45">
        <v>2</v>
      </c>
      <c r="IU45">
        <v>40</v>
      </c>
      <c r="IV45">
        <v>0.5</v>
      </c>
      <c r="IW45">
        <v>0.5</v>
      </c>
      <c r="IX45">
        <v>1.02783</v>
      </c>
      <c r="IY45">
        <v>2.52319</v>
      </c>
      <c r="IZ45">
        <v>1.34399</v>
      </c>
      <c r="JA45">
        <v>2.2412100000000001</v>
      </c>
      <c r="JB45">
        <v>1.5918000000000001</v>
      </c>
      <c r="JC45">
        <v>2.2851599999999999</v>
      </c>
      <c r="JD45">
        <v>47.122900000000001</v>
      </c>
      <c r="JE45">
        <v>24.043700000000001</v>
      </c>
      <c r="JF45">
        <v>18</v>
      </c>
      <c r="JG45">
        <v>507.69</v>
      </c>
      <c r="JH45">
        <v>400.58</v>
      </c>
      <c r="JI45">
        <v>25.640499999999999</v>
      </c>
      <c r="JJ45">
        <v>32.851199999999999</v>
      </c>
      <c r="JK45">
        <v>30</v>
      </c>
      <c r="JL45">
        <v>32.7226</v>
      </c>
      <c r="JM45">
        <v>32.673499999999997</v>
      </c>
      <c r="JN45">
        <v>20.657499999999999</v>
      </c>
      <c r="JO45">
        <v>23.2135</v>
      </c>
      <c r="JP45">
        <v>26.499300000000002</v>
      </c>
      <c r="JQ45">
        <v>25.644600000000001</v>
      </c>
      <c r="JR45">
        <v>400</v>
      </c>
      <c r="JS45">
        <v>23.698599999999999</v>
      </c>
      <c r="JT45">
        <v>99.241299999999995</v>
      </c>
      <c r="JU45">
        <v>97.412899999999993</v>
      </c>
    </row>
    <row r="46" spans="1:281" x14ac:dyDescent="0.25">
      <c r="A46">
        <v>30</v>
      </c>
      <c r="B46">
        <v>1693330099.0999999</v>
      </c>
      <c r="C46">
        <v>8337.5999999046326</v>
      </c>
      <c r="D46" t="s">
        <v>569</v>
      </c>
      <c r="E46" t="s">
        <v>570</v>
      </c>
      <c r="F46" t="s">
        <v>413</v>
      </c>
      <c r="G46" t="s">
        <v>564</v>
      </c>
      <c r="H46" t="s">
        <v>565</v>
      </c>
      <c r="I46" t="s">
        <v>31</v>
      </c>
      <c r="J46">
        <v>1693330099.0999999</v>
      </c>
      <c r="K46">
        <f t="shared" si="0"/>
        <v>3.7881424408860317E-3</v>
      </c>
      <c r="L46">
        <f t="shared" si="1"/>
        <v>3.7881424408860318</v>
      </c>
      <c r="M46">
        <f t="shared" si="2"/>
        <v>27.392945822765103</v>
      </c>
      <c r="N46">
        <f t="shared" si="3"/>
        <v>266.09800000000001</v>
      </c>
      <c r="O46">
        <f t="shared" si="4"/>
        <v>86.437678159890211</v>
      </c>
      <c r="P46">
        <f t="shared" si="5"/>
        <v>8.5726360205391519</v>
      </c>
      <c r="Q46">
        <f t="shared" si="6"/>
        <v>26.390821090471604</v>
      </c>
      <c r="R46">
        <f t="shared" si="7"/>
        <v>0.26049248216975923</v>
      </c>
      <c r="S46">
        <f t="shared" si="8"/>
        <v>2.9137462431815337</v>
      </c>
      <c r="T46">
        <f t="shared" si="9"/>
        <v>0.24821158336034355</v>
      </c>
      <c r="U46">
        <f t="shared" si="10"/>
        <v>0.15618737191131132</v>
      </c>
      <c r="V46">
        <f t="shared" si="11"/>
        <v>344.31869964444672</v>
      </c>
      <c r="W46">
        <f t="shared" si="12"/>
        <v>31.140662789151079</v>
      </c>
      <c r="X46">
        <f t="shared" si="13"/>
        <v>30.006399999999999</v>
      </c>
      <c r="Y46">
        <f t="shared" si="14"/>
        <v>4.2620162104827797</v>
      </c>
      <c r="Z46">
        <f t="shared" si="15"/>
        <v>65.427253353142262</v>
      </c>
      <c r="AA46">
        <f t="shared" si="16"/>
        <v>2.8023077377655206</v>
      </c>
      <c r="AB46">
        <f t="shared" si="17"/>
        <v>4.2830893765937601</v>
      </c>
      <c r="AC46">
        <f t="shared" si="18"/>
        <v>1.4597084727172591</v>
      </c>
      <c r="AD46">
        <f t="shared" si="19"/>
        <v>-167.05708164307399</v>
      </c>
      <c r="AE46">
        <f t="shared" si="20"/>
        <v>13.493677733020769</v>
      </c>
      <c r="AF46">
        <f t="shared" si="21"/>
        <v>1.0302198043721045</v>
      </c>
      <c r="AG46">
        <f t="shared" si="22"/>
        <v>191.78551553876562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51867.100718239271</v>
      </c>
      <c r="AM46" t="s">
        <v>415</v>
      </c>
      <c r="AN46">
        <v>10366.9</v>
      </c>
      <c r="AO46">
        <v>993.59653846153856</v>
      </c>
      <c r="AP46">
        <v>3431.87</v>
      </c>
      <c r="AQ46">
        <f t="shared" si="26"/>
        <v>0.71047955241266758</v>
      </c>
      <c r="AR46">
        <v>-3.9894345373445681</v>
      </c>
      <c r="AS46" t="s">
        <v>571</v>
      </c>
      <c r="AT46">
        <v>10378.700000000001</v>
      </c>
      <c r="AU46">
        <v>706.75844000000006</v>
      </c>
      <c r="AV46">
        <v>909.76108046779643</v>
      </c>
      <c r="AW46">
        <f t="shared" si="27"/>
        <v>0.22313840944197461</v>
      </c>
      <c r="AX46">
        <v>0.5</v>
      </c>
      <c r="AY46">
        <f t="shared" si="28"/>
        <v>1512.9581998222234</v>
      </c>
      <c r="AZ46">
        <f t="shared" si="29"/>
        <v>27.392945822765103</v>
      </c>
      <c r="BA46">
        <f t="shared" si="30"/>
        <v>168.79954313026207</v>
      </c>
      <c r="BB46">
        <f t="shared" si="31"/>
        <v>2.0742397485797814E-2</v>
      </c>
      <c r="BC46">
        <f t="shared" si="32"/>
        <v>2.7722761213695164</v>
      </c>
      <c r="BD46">
        <f t="shared" si="33"/>
        <v>551.19253246422386</v>
      </c>
      <c r="BE46" t="s">
        <v>572</v>
      </c>
      <c r="BF46">
        <v>568.51</v>
      </c>
      <c r="BG46">
        <f t="shared" si="34"/>
        <v>568.51</v>
      </c>
      <c r="BH46">
        <f t="shared" si="35"/>
        <v>0.37509966934651251</v>
      </c>
      <c r="BI46">
        <f t="shared" si="36"/>
        <v>0.59487764900118334</v>
      </c>
      <c r="BJ46">
        <f t="shared" si="37"/>
        <v>0.8808214543516022</v>
      </c>
      <c r="BK46">
        <f t="shared" si="38"/>
        <v>-2.4214413009224502</v>
      </c>
      <c r="BL46">
        <f t="shared" si="39"/>
        <v>1.0343831236800012</v>
      </c>
      <c r="BM46">
        <f t="shared" si="40"/>
        <v>0.47851411895931895</v>
      </c>
      <c r="BN46">
        <f t="shared" si="41"/>
        <v>0.52148588104068105</v>
      </c>
      <c r="BO46">
        <v>2011</v>
      </c>
      <c r="BP46">
        <v>290.00000000000011</v>
      </c>
      <c r="BQ46">
        <v>851.43</v>
      </c>
      <c r="BR46">
        <v>185</v>
      </c>
      <c r="BS46">
        <v>10378.700000000001</v>
      </c>
      <c r="BT46">
        <v>851.71</v>
      </c>
      <c r="BU46">
        <v>-0.28000000000000003</v>
      </c>
      <c r="BV46">
        <v>300.00000000000011</v>
      </c>
      <c r="BW46">
        <v>38.4</v>
      </c>
      <c r="BX46">
        <v>909.76108046779643</v>
      </c>
      <c r="BY46">
        <v>1.0377909830860821</v>
      </c>
      <c r="BZ46">
        <v>-60.252815915385924</v>
      </c>
      <c r="CA46">
        <v>0.88127434103977764</v>
      </c>
      <c r="CB46">
        <v>0.99404568331659682</v>
      </c>
      <c r="CC46">
        <v>-1.1289554616240269E-2</v>
      </c>
      <c r="CD46">
        <v>289.99999999999989</v>
      </c>
      <c r="CE46">
        <v>847.43</v>
      </c>
      <c r="CF46">
        <v>705</v>
      </c>
      <c r="CG46">
        <v>10351.1</v>
      </c>
      <c r="CH46">
        <v>851.55</v>
      </c>
      <c r="CI46">
        <v>-4.12</v>
      </c>
      <c r="CW46">
        <f t="shared" si="42"/>
        <v>1799.73</v>
      </c>
      <c r="CX46">
        <f t="shared" si="43"/>
        <v>1512.9581998222234</v>
      </c>
      <c r="CY46">
        <f t="shared" si="44"/>
        <v>0.84065843199936841</v>
      </c>
      <c r="CZ46">
        <f t="shared" si="45"/>
        <v>0.19131686399873687</v>
      </c>
      <c r="DA46">
        <v>6</v>
      </c>
      <c r="DB46">
        <v>0.5</v>
      </c>
      <c r="DC46" t="s">
        <v>418</v>
      </c>
      <c r="DD46">
        <v>2</v>
      </c>
      <c r="DE46">
        <v>1693330099.0999999</v>
      </c>
      <c r="DF46">
        <v>266.09800000000001</v>
      </c>
      <c r="DG46">
        <v>300.17200000000003</v>
      </c>
      <c r="DH46">
        <v>28.255600000000001</v>
      </c>
      <c r="DI46">
        <v>23.839200000000002</v>
      </c>
      <c r="DJ46">
        <v>264.92599999999999</v>
      </c>
      <c r="DK46">
        <v>27.461500000000001</v>
      </c>
      <c r="DL46">
        <v>500.10500000000002</v>
      </c>
      <c r="DM46">
        <v>99.077100000000002</v>
      </c>
      <c r="DN46">
        <v>9.9974199999999999E-2</v>
      </c>
      <c r="DO46">
        <v>30.092300000000002</v>
      </c>
      <c r="DP46">
        <v>30.006399999999999</v>
      </c>
      <c r="DQ46">
        <v>999.9</v>
      </c>
      <c r="DR46">
        <v>0</v>
      </c>
      <c r="DS46">
        <v>0</v>
      </c>
      <c r="DT46">
        <v>10002.5</v>
      </c>
      <c r="DU46">
        <v>0</v>
      </c>
      <c r="DV46">
        <v>653.91499999999996</v>
      </c>
      <c r="DW46">
        <v>-34.074300000000001</v>
      </c>
      <c r="DX46">
        <v>273.83499999999998</v>
      </c>
      <c r="DY46">
        <v>307.50299999999999</v>
      </c>
      <c r="DZ46">
        <v>4.4164399999999997</v>
      </c>
      <c r="EA46">
        <v>300.17200000000003</v>
      </c>
      <c r="EB46">
        <v>23.839200000000002</v>
      </c>
      <c r="EC46">
        <v>2.79948</v>
      </c>
      <c r="ED46">
        <v>2.36191</v>
      </c>
      <c r="EE46">
        <v>22.881</v>
      </c>
      <c r="EF46">
        <v>20.105</v>
      </c>
      <c r="EG46">
        <v>1799.73</v>
      </c>
      <c r="EH46">
        <v>0.97799100000000005</v>
      </c>
      <c r="EI46">
        <v>2.20092E-2</v>
      </c>
      <c r="EJ46">
        <v>0</v>
      </c>
      <c r="EK46">
        <v>706.09799999999996</v>
      </c>
      <c r="EL46">
        <v>5.0002700000000004</v>
      </c>
      <c r="EM46">
        <v>13306.8</v>
      </c>
      <c r="EN46">
        <v>16246.1</v>
      </c>
      <c r="EO46">
        <v>47.186999999999998</v>
      </c>
      <c r="EP46">
        <v>48.686999999999998</v>
      </c>
      <c r="EQ46">
        <v>48.375</v>
      </c>
      <c r="ER46">
        <v>47.75</v>
      </c>
      <c r="ES46">
        <v>48.875</v>
      </c>
      <c r="ET46">
        <v>1755.23</v>
      </c>
      <c r="EU46">
        <v>39.5</v>
      </c>
      <c r="EV46">
        <v>0</v>
      </c>
      <c r="EW46">
        <v>97.400000095367432</v>
      </c>
      <c r="EX46">
        <v>0</v>
      </c>
      <c r="EY46">
        <v>706.75844000000006</v>
      </c>
      <c r="EZ46">
        <v>-7.2607692116858296</v>
      </c>
      <c r="FA46">
        <v>-107.4615383035829</v>
      </c>
      <c r="FB46">
        <v>13321.504000000001</v>
      </c>
      <c r="FC46">
        <v>15</v>
      </c>
      <c r="FD46">
        <v>1693330070.0999999</v>
      </c>
      <c r="FE46" t="s">
        <v>573</v>
      </c>
      <c r="FF46">
        <v>1693330067.0999999</v>
      </c>
      <c r="FG46">
        <v>1693330070.0999999</v>
      </c>
      <c r="FH46">
        <v>35</v>
      </c>
      <c r="FI46">
        <v>-0.10299999999999999</v>
      </c>
      <c r="FJ46">
        <v>2E-3</v>
      </c>
      <c r="FK46">
        <v>1.1819999999999999</v>
      </c>
      <c r="FL46">
        <v>0.53300000000000003</v>
      </c>
      <c r="FM46">
        <v>300</v>
      </c>
      <c r="FN46">
        <v>24</v>
      </c>
      <c r="FO46">
        <v>0.17</v>
      </c>
      <c r="FP46">
        <v>0.06</v>
      </c>
      <c r="FQ46">
        <v>27.1627209038171</v>
      </c>
      <c r="FR46">
        <v>0.41799755533539051</v>
      </c>
      <c r="FS46">
        <v>9.4328170284012233E-2</v>
      </c>
      <c r="FT46">
        <v>1</v>
      </c>
      <c r="FU46">
        <v>0.26018082452203128</v>
      </c>
      <c r="FV46">
        <v>1.023158172296843E-2</v>
      </c>
      <c r="FW46">
        <v>2.8408791984973658E-3</v>
      </c>
      <c r="FX46">
        <v>1</v>
      </c>
      <c r="FY46">
        <v>2</v>
      </c>
      <c r="FZ46">
        <v>2</v>
      </c>
      <c r="GA46" t="s">
        <v>429</v>
      </c>
      <c r="GB46">
        <v>3.1343100000000002</v>
      </c>
      <c r="GC46">
        <v>2.8651499999999999</v>
      </c>
      <c r="GD46">
        <v>6.5949900000000006E-2</v>
      </c>
      <c r="GE46">
        <v>7.5160699999999997E-2</v>
      </c>
      <c r="GF46">
        <v>0.12714</v>
      </c>
      <c r="GG46">
        <v>0.117925</v>
      </c>
      <c r="GH46">
        <v>28183.9</v>
      </c>
      <c r="GI46">
        <v>21519.4</v>
      </c>
      <c r="GJ46">
        <v>29101</v>
      </c>
      <c r="GK46">
        <v>21692.9</v>
      </c>
      <c r="GL46">
        <v>34050.800000000003</v>
      </c>
      <c r="GM46">
        <v>26342.5</v>
      </c>
      <c r="GN46">
        <v>40394.1</v>
      </c>
      <c r="GO46">
        <v>30838.1</v>
      </c>
      <c r="GP46">
        <v>2.0093000000000001</v>
      </c>
      <c r="GQ46">
        <v>1.7699</v>
      </c>
      <c r="GR46">
        <v>3.0159999999999999E-2</v>
      </c>
      <c r="GS46">
        <v>0</v>
      </c>
      <c r="GT46">
        <v>29.5154</v>
      </c>
      <c r="GU46">
        <v>999.9</v>
      </c>
      <c r="GV46">
        <v>37.4</v>
      </c>
      <c r="GW46">
        <v>41.8</v>
      </c>
      <c r="GX46">
        <v>30.791399999999999</v>
      </c>
      <c r="GY46">
        <v>62.017899999999997</v>
      </c>
      <c r="GZ46">
        <v>12.848599999999999</v>
      </c>
      <c r="HA46">
        <v>1</v>
      </c>
      <c r="HB46">
        <v>0.43445099999999998</v>
      </c>
      <c r="HC46">
        <v>3.0803400000000001</v>
      </c>
      <c r="HD46">
        <v>20.247199999999999</v>
      </c>
      <c r="HE46">
        <v>5.2352600000000002</v>
      </c>
      <c r="HF46">
        <v>11.98</v>
      </c>
      <c r="HG46">
        <v>4.9756</v>
      </c>
      <c r="HH46">
        <v>3.2839999999999998</v>
      </c>
      <c r="HI46">
        <v>9999</v>
      </c>
      <c r="HJ46">
        <v>9999</v>
      </c>
      <c r="HK46">
        <v>9999</v>
      </c>
      <c r="HL46">
        <v>999.9</v>
      </c>
      <c r="HM46">
        <v>1.8614200000000001</v>
      </c>
      <c r="HN46">
        <v>1.8631</v>
      </c>
      <c r="HO46">
        <v>1.8684400000000001</v>
      </c>
      <c r="HP46">
        <v>1.85928</v>
      </c>
      <c r="HQ46">
        <v>1.85758</v>
      </c>
      <c r="HR46">
        <v>1.86127</v>
      </c>
      <c r="HS46">
        <v>1.8650800000000001</v>
      </c>
      <c r="HT46">
        <v>1.8671599999999999</v>
      </c>
      <c r="HU46">
        <v>5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1.1719999999999999</v>
      </c>
      <c r="II46">
        <v>0.79410000000000003</v>
      </c>
      <c r="IJ46">
        <v>0.98473340073705284</v>
      </c>
      <c r="IK46">
        <v>1.118558698776514E-3</v>
      </c>
      <c r="IL46">
        <v>-1.6939696309573479E-6</v>
      </c>
      <c r="IM46">
        <v>5.4698917449866148E-10</v>
      </c>
      <c r="IN46">
        <v>-7.8371171234077774E-2</v>
      </c>
      <c r="IO46">
        <v>-7.6058941998734366E-3</v>
      </c>
      <c r="IP46">
        <v>1.6984902717538061E-3</v>
      </c>
      <c r="IQ46">
        <v>-9.6352527008986976E-6</v>
      </c>
      <c r="IR46">
        <v>2</v>
      </c>
      <c r="IS46">
        <v>2021</v>
      </c>
      <c r="IT46">
        <v>2</v>
      </c>
      <c r="IU46">
        <v>40</v>
      </c>
      <c r="IV46">
        <v>0.5</v>
      </c>
      <c r="IW46">
        <v>0.5</v>
      </c>
      <c r="IX46">
        <v>0.81787100000000001</v>
      </c>
      <c r="IY46">
        <v>2.5305200000000001</v>
      </c>
      <c r="IZ46">
        <v>1.34399</v>
      </c>
      <c r="JA46">
        <v>2.2399900000000001</v>
      </c>
      <c r="JB46">
        <v>1.5918000000000001</v>
      </c>
      <c r="JC46">
        <v>2.4304199999999998</v>
      </c>
      <c r="JD46">
        <v>47.242100000000001</v>
      </c>
      <c r="JE46">
        <v>24.052499999999998</v>
      </c>
      <c r="JF46">
        <v>18</v>
      </c>
      <c r="JG46">
        <v>507.2</v>
      </c>
      <c r="JH46">
        <v>399.48399999999998</v>
      </c>
      <c r="JI46">
        <v>25.349799999999998</v>
      </c>
      <c r="JJ46">
        <v>32.880400000000002</v>
      </c>
      <c r="JK46">
        <v>30.0001</v>
      </c>
      <c r="JL46">
        <v>32.757399999999997</v>
      </c>
      <c r="JM46">
        <v>32.708199999999998</v>
      </c>
      <c r="JN46">
        <v>16.450299999999999</v>
      </c>
      <c r="JO46">
        <v>22.7012</v>
      </c>
      <c r="JP46">
        <v>25.346399999999999</v>
      </c>
      <c r="JQ46">
        <v>25.360199999999999</v>
      </c>
      <c r="JR46">
        <v>300</v>
      </c>
      <c r="JS46">
        <v>23.7684</v>
      </c>
      <c r="JT46">
        <v>99.232500000000002</v>
      </c>
      <c r="JU46">
        <v>97.409899999999993</v>
      </c>
    </row>
    <row r="47" spans="1:281" x14ac:dyDescent="0.25">
      <c r="A47">
        <v>31</v>
      </c>
      <c r="B47">
        <v>1693330206</v>
      </c>
      <c r="C47">
        <v>8444.5</v>
      </c>
      <c r="D47" t="s">
        <v>574</v>
      </c>
      <c r="E47" t="s">
        <v>575</v>
      </c>
      <c r="F47" t="s">
        <v>413</v>
      </c>
      <c r="G47" t="s">
        <v>564</v>
      </c>
      <c r="H47" t="s">
        <v>565</v>
      </c>
      <c r="I47" t="s">
        <v>31</v>
      </c>
      <c r="J47">
        <v>1693330206</v>
      </c>
      <c r="K47">
        <f t="shared" si="0"/>
        <v>4.2451717657619754E-3</v>
      </c>
      <c r="L47">
        <f t="shared" si="1"/>
        <v>4.2451717657619756</v>
      </c>
      <c r="M47">
        <f t="shared" si="2"/>
        <v>19.334583636898973</v>
      </c>
      <c r="N47">
        <f t="shared" si="3"/>
        <v>175.86799999999999</v>
      </c>
      <c r="O47">
        <f t="shared" si="4"/>
        <v>63.892578270606812</v>
      </c>
      <c r="P47">
        <f t="shared" si="5"/>
        <v>6.3366627344798827</v>
      </c>
      <c r="Q47">
        <f t="shared" si="6"/>
        <v>17.442028979759996</v>
      </c>
      <c r="R47">
        <f t="shared" si="7"/>
        <v>0.29725777606601389</v>
      </c>
      <c r="S47">
        <f t="shared" si="8"/>
        <v>2.9119863959180625</v>
      </c>
      <c r="T47">
        <f t="shared" si="9"/>
        <v>0.28137010008400071</v>
      </c>
      <c r="U47">
        <f t="shared" si="10"/>
        <v>0.17721296110464835</v>
      </c>
      <c r="V47">
        <f t="shared" si="11"/>
        <v>344.36619964449613</v>
      </c>
      <c r="W47">
        <f t="shared" si="12"/>
        <v>31.019266595571747</v>
      </c>
      <c r="X47">
        <f t="shared" si="13"/>
        <v>29.989699999999999</v>
      </c>
      <c r="Y47">
        <f t="shared" si="14"/>
        <v>4.2579298396800676</v>
      </c>
      <c r="Z47">
        <f t="shared" si="15"/>
        <v>65.733867610650151</v>
      </c>
      <c r="AA47">
        <f t="shared" si="16"/>
        <v>2.8149555174239995</v>
      </c>
      <c r="AB47">
        <f t="shared" si="17"/>
        <v>4.2823518830465446</v>
      </c>
      <c r="AC47">
        <f t="shared" si="18"/>
        <v>1.442974322256068</v>
      </c>
      <c r="AD47">
        <f t="shared" si="19"/>
        <v>-187.21207487010312</v>
      </c>
      <c r="AE47">
        <f t="shared" si="20"/>
        <v>15.636304653443135</v>
      </c>
      <c r="AF47">
        <f t="shared" si="21"/>
        <v>1.1944108053063693</v>
      </c>
      <c r="AG47">
        <f t="shared" si="22"/>
        <v>173.98484023314251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51817.560950744613</v>
      </c>
      <c r="AM47" t="s">
        <v>415</v>
      </c>
      <c r="AN47">
        <v>10366.9</v>
      </c>
      <c r="AO47">
        <v>993.59653846153856</v>
      </c>
      <c r="AP47">
        <v>3431.87</v>
      </c>
      <c r="AQ47">
        <f t="shared" si="26"/>
        <v>0.71047955241266758</v>
      </c>
      <c r="AR47">
        <v>-3.9894345373445681</v>
      </c>
      <c r="AS47" t="s">
        <v>576</v>
      </c>
      <c r="AT47">
        <v>10368</v>
      </c>
      <c r="AU47">
        <v>701.62961538461536</v>
      </c>
      <c r="AV47">
        <v>852.33606285703036</v>
      </c>
      <c r="AW47">
        <f t="shared" si="27"/>
        <v>0.17681575852516085</v>
      </c>
      <c r="AX47">
        <v>0.5</v>
      </c>
      <c r="AY47">
        <f t="shared" si="28"/>
        <v>1513.168199822248</v>
      </c>
      <c r="AZ47">
        <f t="shared" si="29"/>
        <v>19.334583636898973</v>
      </c>
      <c r="BA47">
        <f t="shared" si="30"/>
        <v>133.77599151386147</v>
      </c>
      <c r="BB47">
        <f t="shared" si="31"/>
        <v>1.5414028775507849E-2</v>
      </c>
      <c r="BC47">
        <f t="shared" si="32"/>
        <v>3.0264282476754207</v>
      </c>
      <c r="BD47">
        <f t="shared" si="33"/>
        <v>529.5755930418245</v>
      </c>
      <c r="BE47" t="s">
        <v>577</v>
      </c>
      <c r="BF47">
        <v>560.46</v>
      </c>
      <c r="BG47">
        <f t="shared" si="34"/>
        <v>560.46</v>
      </c>
      <c r="BH47">
        <f t="shared" si="35"/>
        <v>0.34244246556770319</v>
      </c>
      <c r="BI47">
        <f t="shared" si="36"/>
        <v>0.51633712609805738</v>
      </c>
      <c r="BJ47">
        <f t="shared" si="37"/>
        <v>0.89835096246895063</v>
      </c>
      <c r="BK47">
        <f t="shared" si="38"/>
        <v>-1.0668691778608548</v>
      </c>
      <c r="BL47">
        <f t="shared" si="39"/>
        <v>1.0579346319569003</v>
      </c>
      <c r="BM47">
        <f t="shared" si="40"/>
        <v>0.41244881821911561</v>
      </c>
      <c r="BN47">
        <f t="shared" si="41"/>
        <v>0.58755118178088439</v>
      </c>
      <c r="BO47">
        <v>2013</v>
      </c>
      <c r="BP47">
        <v>290.00000000000011</v>
      </c>
      <c r="BQ47">
        <v>810.8</v>
      </c>
      <c r="BR47">
        <v>255</v>
      </c>
      <c r="BS47">
        <v>10368</v>
      </c>
      <c r="BT47">
        <v>810.68</v>
      </c>
      <c r="BU47">
        <v>0.12</v>
      </c>
      <c r="BV47">
        <v>300.00000000000011</v>
      </c>
      <c r="BW47">
        <v>38.4</v>
      </c>
      <c r="BX47">
        <v>852.33606285703036</v>
      </c>
      <c r="BY47">
        <v>0.94075120900419074</v>
      </c>
      <c r="BZ47">
        <v>-43.185639683197607</v>
      </c>
      <c r="CA47">
        <v>0.79881375342676997</v>
      </c>
      <c r="CB47">
        <v>0.99051080000389224</v>
      </c>
      <c r="CC47">
        <v>-1.128859332591769E-2</v>
      </c>
      <c r="CD47">
        <v>289.99999999999989</v>
      </c>
      <c r="CE47">
        <v>808.54</v>
      </c>
      <c r="CF47">
        <v>735</v>
      </c>
      <c r="CG47">
        <v>10348</v>
      </c>
      <c r="CH47">
        <v>810.6</v>
      </c>
      <c r="CI47">
        <v>-2.06</v>
      </c>
      <c r="CW47">
        <f t="shared" si="42"/>
        <v>1799.98</v>
      </c>
      <c r="CX47">
        <f t="shared" si="43"/>
        <v>1513.168199822248</v>
      </c>
      <c r="CY47">
        <f t="shared" si="44"/>
        <v>0.84065834054947719</v>
      </c>
      <c r="CZ47">
        <f t="shared" si="45"/>
        <v>0.1913166810989545</v>
      </c>
      <c r="DA47">
        <v>6</v>
      </c>
      <c r="DB47">
        <v>0.5</v>
      </c>
      <c r="DC47" t="s">
        <v>418</v>
      </c>
      <c r="DD47">
        <v>2</v>
      </c>
      <c r="DE47">
        <v>1693330206</v>
      </c>
      <c r="DF47">
        <v>175.86799999999999</v>
      </c>
      <c r="DG47">
        <v>199.959</v>
      </c>
      <c r="DH47">
        <v>28.383199999999999</v>
      </c>
      <c r="DI47">
        <v>23.434899999999999</v>
      </c>
      <c r="DJ47">
        <v>174.85599999999999</v>
      </c>
      <c r="DK47">
        <v>27.582799999999999</v>
      </c>
      <c r="DL47">
        <v>500.13299999999998</v>
      </c>
      <c r="DM47">
        <v>99.076499999999996</v>
      </c>
      <c r="DN47">
        <v>0.10032000000000001</v>
      </c>
      <c r="DO47">
        <v>30.089300000000001</v>
      </c>
      <c r="DP47">
        <v>29.989699999999999</v>
      </c>
      <c r="DQ47">
        <v>999.9</v>
      </c>
      <c r="DR47">
        <v>0</v>
      </c>
      <c r="DS47">
        <v>0</v>
      </c>
      <c r="DT47">
        <v>9992.5</v>
      </c>
      <c r="DU47">
        <v>0</v>
      </c>
      <c r="DV47">
        <v>585.31200000000001</v>
      </c>
      <c r="DW47">
        <v>-24.090199999999999</v>
      </c>
      <c r="DX47">
        <v>181.006</v>
      </c>
      <c r="DY47">
        <v>204.75700000000001</v>
      </c>
      <c r="DZ47">
        <v>4.9482400000000002</v>
      </c>
      <c r="EA47">
        <v>199.959</v>
      </c>
      <c r="EB47">
        <v>23.434899999999999</v>
      </c>
      <c r="EC47">
        <v>2.8121</v>
      </c>
      <c r="ED47">
        <v>2.32185</v>
      </c>
      <c r="EE47">
        <v>22.955300000000001</v>
      </c>
      <c r="EF47">
        <v>19.828800000000001</v>
      </c>
      <c r="EG47">
        <v>1799.98</v>
      </c>
      <c r="EH47">
        <v>0.97799400000000003</v>
      </c>
      <c r="EI47">
        <v>2.2005500000000001E-2</v>
      </c>
      <c r="EJ47">
        <v>0</v>
      </c>
      <c r="EK47">
        <v>701.29499999999996</v>
      </c>
      <c r="EL47">
        <v>5.0002700000000004</v>
      </c>
      <c r="EM47">
        <v>13228.9</v>
      </c>
      <c r="EN47">
        <v>16248.4</v>
      </c>
      <c r="EO47">
        <v>47.25</v>
      </c>
      <c r="EP47">
        <v>48.811999999999998</v>
      </c>
      <c r="EQ47">
        <v>48.436999999999998</v>
      </c>
      <c r="ER47">
        <v>47.811999999999998</v>
      </c>
      <c r="ES47">
        <v>48.936999999999998</v>
      </c>
      <c r="ET47">
        <v>1755.48</v>
      </c>
      <c r="EU47">
        <v>39.5</v>
      </c>
      <c r="EV47">
        <v>0</v>
      </c>
      <c r="EW47">
        <v>105.2000000476837</v>
      </c>
      <c r="EX47">
        <v>0</v>
      </c>
      <c r="EY47">
        <v>701.62961538461536</v>
      </c>
      <c r="EZ47">
        <v>-4.8865641057385538</v>
      </c>
      <c r="FA47">
        <v>-86.854701014633704</v>
      </c>
      <c r="FB47">
        <v>13238.811538461539</v>
      </c>
      <c r="FC47">
        <v>15</v>
      </c>
      <c r="FD47">
        <v>1693330179.0999999</v>
      </c>
      <c r="FE47" t="s">
        <v>578</v>
      </c>
      <c r="FF47">
        <v>1693330175.0999999</v>
      </c>
      <c r="FG47">
        <v>1693330179.0999999</v>
      </c>
      <c r="FH47">
        <v>36</v>
      </c>
      <c r="FI47">
        <v>-0.11899999999999999</v>
      </c>
      <c r="FJ47">
        <v>-1E-3</v>
      </c>
      <c r="FK47">
        <v>1.0249999999999999</v>
      </c>
      <c r="FL47">
        <v>0.52500000000000002</v>
      </c>
      <c r="FM47">
        <v>200</v>
      </c>
      <c r="FN47">
        <v>24</v>
      </c>
      <c r="FO47">
        <v>0.13</v>
      </c>
      <c r="FP47">
        <v>0.03</v>
      </c>
      <c r="FQ47">
        <v>19.23358494512204</v>
      </c>
      <c r="FR47">
        <v>0.53479356415156543</v>
      </c>
      <c r="FS47">
        <v>7.5364881023413141E-2</v>
      </c>
      <c r="FT47">
        <v>1</v>
      </c>
      <c r="FU47">
        <v>0.28859723668120352</v>
      </c>
      <c r="FV47">
        <v>4.1831811173521673E-2</v>
      </c>
      <c r="FW47">
        <v>3.4419524905776782E-3</v>
      </c>
      <c r="FX47">
        <v>1</v>
      </c>
      <c r="FY47">
        <v>2</v>
      </c>
      <c r="FZ47">
        <v>2</v>
      </c>
      <c r="GA47" t="s">
        <v>429</v>
      </c>
      <c r="GB47">
        <v>3.1342400000000001</v>
      </c>
      <c r="GC47">
        <v>2.8654099999999998</v>
      </c>
      <c r="GD47">
        <v>4.5838400000000001E-2</v>
      </c>
      <c r="GE47">
        <v>5.3160699999999998E-2</v>
      </c>
      <c r="GF47">
        <v>0.12751899999999999</v>
      </c>
      <c r="GG47">
        <v>0.11651599999999999</v>
      </c>
      <c r="GH47">
        <v>28788.799999999999</v>
      </c>
      <c r="GI47">
        <v>22030.400000000001</v>
      </c>
      <c r="GJ47">
        <v>29099.3</v>
      </c>
      <c r="GK47">
        <v>21692.2</v>
      </c>
      <c r="GL47">
        <v>34032.6</v>
      </c>
      <c r="GM47">
        <v>26382.799999999999</v>
      </c>
      <c r="GN47">
        <v>40392</v>
      </c>
      <c r="GO47">
        <v>30838</v>
      </c>
      <c r="GP47">
        <v>2.0097</v>
      </c>
      <c r="GQ47">
        <v>1.7663</v>
      </c>
      <c r="GR47">
        <v>2.6166399999999999E-2</v>
      </c>
      <c r="GS47">
        <v>0</v>
      </c>
      <c r="GT47">
        <v>29.563800000000001</v>
      </c>
      <c r="GU47">
        <v>999.9</v>
      </c>
      <c r="GV47">
        <v>36.9</v>
      </c>
      <c r="GW47">
        <v>42</v>
      </c>
      <c r="GX47">
        <v>30.7029</v>
      </c>
      <c r="GY47">
        <v>62.177900000000001</v>
      </c>
      <c r="GZ47">
        <v>13.2933</v>
      </c>
      <c r="HA47">
        <v>1</v>
      </c>
      <c r="HB47">
        <v>0.43724600000000002</v>
      </c>
      <c r="HC47">
        <v>2.79054</v>
      </c>
      <c r="HD47">
        <v>20.252500000000001</v>
      </c>
      <c r="HE47">
        <v>5.2352600000000002</v>
      </c>
      <c r="HF47">
        <v>11.98</v>
      </c>
      <c r="HG47">
        <v>4.9752000000000001</v>
      </c>
      <c r="HH47">
        <v>3.2839999999999998</v>
      </c>
      <c r="HI47">
        <v>9999</v>
      </c>
      <c r="HJ47">
        <v>9999</v>
      </c>
      <c r="HK47">
        <v>9999</v>
      </c>
      <c r="HL47">
        <v>999.9</v>
      </c>
      <c r="HM47">
        <v>1.8614200000000001</v>
      </c>
      <c r="HN47">
        <v>1.8631</v>
      </c>
      <c r="HO47">
        <v>1.8684400000000001</v>
      </c>
      <c r="HP47">
        <v>1.85928</v>
      </c>
      <c r="HQ47">
        <v>1.8575999999999999</v>
      </c>
      <c r="HR47">
        <v>1.86127</v>
      </c>
      <c r="HS47">
        <v>1.8650800000000001</v>
      </c>
      <c r="HT47">
        <v>1.86707</v>
      </c>
      <c r="HU47">
        <v>5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1.012</v>
      </c>
      <c r="II47">
        <v>0.8004</v>
      </c>
      <c r="IJ47">
        <v>0.86551764756161964</v>
      </c>
      <c r="IK47">
        <v>1.118558698776514E-3</v>
      </c>
      <c r="IL47">
        <v>-1.6939696309573479E-6</v>
      </c>
      <c r="IM47">
        <v>5.4698917449866148E-10</v>
      </c>
      <c r="IN47">
        <v>-7.9859182688803876E-2</v>
      </c>
      <c r="IO47">
        <v>-7.6058941998734366E-3</v>
      </c>
      <c r="IP47">
        <v>1.6984902717538061E-3</v>
      </c>
      <c r="IQ47">
        <v>-9.6352527008986976E-6</v>
      </c>
      <c r="IR47">
        <v>2</v>
      </c>
      <c r="IS47">
        <v>2021</v>
      </c>
      <c r="IT47">
        <v>2</v>
      </c>
      <c r="IU47">
        <v>40</v>
      </c>
      <c r="IV47">
        <v>0.5</v>
      </c>
      <c r="IW47">
        <v>0.4</v>
      </c>
      <c r="IX47">
        <v>0.59936500000000004</v>
      </c>
      <c r="IY47">
        <v>2.5463900000000002</v>
      </c>
      <c r="IZ47">
        <v>1.34399</v>
      </c>
      <c r="JA47">
        <v>2.2399900000000001</v>
      </c>
      <c r="JB47">
        <v>1.5918000000000001</v>
      </c>
      <c r="JC47">
        <v>2.3046899999999999</v>
      </c>
      <c r="JD47">
        <v>47.421599999999998</v>
      </c>
      <c r="JE47">
        <v>24.043700000000001</v>
      </c>
      <c r="JF47">
        <v>18</v>
      </c>
      <c r="JG47">
        <v>507.88400000000001</v>
      </c>
      <c r="JH47">
        <v>397.63</v>
      </c>
      <c r="JI47">
        <v>25.522200000000002</v>
      </c>
      <c r="JJ47">
        <v>32.936100000000003</v>
      </c>
      <c r="JK47">
        <v>30</v>
      </c>
      <c r="JL47">
        <v>32.806699999999999</v>
      </c>
      <c r="JM47">
        <v>32.7562</v>
      </c>
      <c r="JN47">
        <v>12.065899999999999</v>
      </c>
      <c r="JO47">
        <v>23.777799999999999</v>
      </c>
      <c r="JP47">
        <v>23.933199999999999</v>
      </c>
      <c r="JQ47">
        <v>25.5182</v>
      </c>
      <c r="JR47">
        <v>200</v>
      </c>
      <c r="JS47">
        <v>23.326899999999998</v>
      </c>
      <c r="JT47">
        <v>99.227099999999993</v>
      </c>
      <c r="JU47">
        <v>97.4084</v>
      </c>
    </row>
    <row r="48" spans="1:281" x14ac:dyDescent="0.25">
      <c r="A48">
        <v>32</v>
      </c>
      <c r="B48">
        <v>1693330309.5</v>
      </c>
      <c r="C48">
        <v>8548</v>
      </c>
      <c r="D48" t="s">
        <v>579</v>
      </c>
      <c r="E48" t="s">
        <v>580</v>
      </c>
      <c r="F48" t="s">
        <v>413</v>
      </c>
      <c r="G48" t="s">
        <v>564</v>
      </c>
      <c r="H48" t="s">
        <v>565</v>
      </c>
      <c r="I48" t="s">
        <v>31</v>
      </c>
      <c r="J48">
        <v>1693330309.5</v>
      </c>
      <c r="K48">
        <f t="shared" si="0"/>
        <v>4.5512039111426563E-3</v>
      </c>
      <c r="L48">
        <f t="shared" si="1"/>
        <v>4.5512039111426565</v>
      </c>
      <c r="M48">
        <f t="shared" si="2"/>
        <v>12.342537903580709</v>
      </c>
      <c r="N48">
        <f t="shared" si="3"/>
        <v>104.595</v>
      </c>
      <c r="O48">
        <f t="shared" si="4"/>
        <v>37.984084176201144</v>
      </c>
      <c r="P48">
        <f t="shared" si="5"/>
        <v>3.7668563303538063</v>
      </c>
      <c r="Q48">
        <f t="shared" si="6"/>
        <v>10.372616489730001</v>
      </c>
      <c r="R48">
        <f t="shared" si="7"/>
        <v>0.32014214383916917</v>
      </c>
      <c r="S48">
        <f t="shared" si="8"/>
        <v>2.9061627597459307</v>
      </c>
      <c r="T48">
        <f t="shared" si="9"/>
        <v>0.30176063355465255</v>
      </c>
      <c r="U48">
        <f t="shared" si="10"/>
        <v>0.19016389415606799</v>
      </c>
      <c r="V48">
        <f t="shared" si="11"/>
        <v>344.41559964454746</v>
      </c>
      <c r="W48">
        <f t="shared" si="12"/>
        <v>30.991448402504126</v>
      </c>
      <c r="X48">
        <f t="shared" si="13"/>
        <v>29.995699999999999</v>
      </c>
      <c r="Y48">
        <f t="shared" si="14"/>
        <v>4.2593976036717143</v>
      </c>
      <c r="Z48">
        <f t="shared" si="15"/>
        <v>65.594076558322868</v>
      </c>
      <c r="AA48">
        <f t="shared" si="16"/>
        <v>2.8170735201378001</v>
      </c>
      <c r="AB48">
        <f t="shared" si="17"/>
        <v>4.2947071869103972</v>
      </c>
      <c r="AC48">
        <f t="shared" si="18"/>
        <v>1.4423240835339142</v>
      </c>
      <c r="AD48">
        <f t="shared" si="19"/>
        <v>-200.70809248139113</v>
      </c>
      <c r="AE48">
        <f t="shared" si="20"/>
        <v>22.530159315952545</v>
      </c>
      <c r="AF48">
        <f t="shared" si="21"/>
        <v>1.7249403884666044</v>
      </c>
      <c r="AG48">
        <f t="shared" si="22"/>
        <v>167.96260686757549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51643.396973844232</v>
      </c>
      <c r="AM48" t="s">
        <v>415</v>
      </c>
      <c r="AN48">
        <v>10366.9</v>
      </c>
      <c r="AO48">
        <v>993.59653846153856</v>
      </c>
      <c r="AP48">
        <v>3431.87</v>
      </c>
      <c r="AQ48">
        <f t="shared" si="26"/>
        <v>0.71047955241266758</v>
      </c>
      <c r="AR48">
        <v>-3.9894345373445681</v>
      </c>
      <c r="AS48" t="s">
        <v>581</v>
      </c>
      <c r="AT48">
        <v>10363.9</v>
      </c>
      <c r="AU48">
        <v>704.45675999999992</v>
      </c>
      <c r="AV48">
        <v>808.18889191820722</v>
      </c>
      <c r="AW48">
        <f t="shared" si="27"/>
        <v>0.12835134577512297</v>
      </c>
      <c r="AX48">
        <v>0.5</v>
      </c>
      <c r="AY48">
        <f t="shared" si="28"/>
        <v>1513.3865998222736</v>
      </c>
      <c r="AZ48">
        <f t="shared" si="29"/>
        <v>12.342537903580709</v>
      </c>
      <c r="BA48">
        <f t="shared" si="30"/>
        <v>97.12260338261315</v>
      </c>
      <c r="BB48">
        <f t="shared" si="31"/>
        <v>1.0791672427153275E-2</v>
      </c>
      <c r="BC48">
        <f t="shared" si="32"/>
        <v>3.2463711569390417</v>
      </c>
      <c r="BD48">
        <f t="shared" si="33"/>
        <v>512.1919867320396</v>
      </c>
      <c r="BE48" t="s">
        <v>582</v>
      </c>
      <c r="BF48">
        <v>565.4</v>
      </c>
      <c r="BG48">
        <f t="shared" si="34"/>
        <v>565.4</v>
      </c>
      <c r="BH48">
        <f t="shared" si="35"/>
        <v>0.30041107264164024</v>
      </c>
      <c r="BI48">
        <f t="shared" si="36"/>
        <v>0.42725238003538257</v>
      </c>
      <c r="BJ48">
        <f t="shared" si="37"/>
        <v>0.91530038970643079</v>
      </c>
      <c r="BK48">
        <f t="shared" si="38"/>
        <v>-0.55948141218633196</v>
      </c>
      <c r="BL48">
        <f t="shared" si="39"/>
        <v>1.0760405465047163</v>
      </c>
      <c r="BM48">
        <f t="shared" si="40"/>
        <v>0.34291458239680361</v>
      </c>
      <c r="BN48">
        <f t="shared" si="41"/>
        <v>0.65708541760319639</v>
      </c>
      <c r="BO48">
        <v>2015</v>
      </c>
      <c r="BP48">
        <v>290.00000000000011</v>
      </c>
      <c r="BQ48">
        <v>780.01</v>
      </c>
      <c r="BR48">
        <v>285</v>
      </c>
      <c r="BS48">
        <v>10363.9</v>
      </c>
      <c r="BT48">
        <v>780.11</v>
      </c>
      <c r="BU48">
        <v>-0.1</v>
      </c>
      <c r="BV48">
        <v>300.00000000000011</v>
      </c>
      <c r="BW48">
        <v>38.4</v>
      </c>
      <c r="BX48">
        <v>808.18889191820722</v>
      </c>
      <c r="BY48">
        <v>1.221421099029212</v>
      </c>
      <c r="BZ48">
        <v>-29.097136970251491</v>
      </c>
      <c r="CA48">
        <v>1.037083375699166</v>
      </c>
      <c r="CB48">
        <v>0.96565169070057522</v>
      </c>
      <c r="CC48">
        <v>-1.128820734149056E-2</v>
      </c>
      <c r="CD48">
        <v>289.99999999999989</v>
      </c>
      <c r="CE48">
        <v>777.56</v>
      </c>
      <c r="CF48">
        <v>655</v>
      </c>
      <c r="CG48">
        <v>10354.200000000001</v>
      </c>
      <c r="CH48">
        <v>780.09</v>
      </c>
      <c r="CI48">
        <v>-2.5299999999999998</v>
      </c>
      <c r="CW48">
        <f t="shared" si="42"/>
        <v>1800.24</v>
      </c>
      <c r="CX48">
        <f t="shared" si="43"/>
        <v>1513.3865998222736</v>
      </c>
      <c r="CY48">
        <f t="shared" si="44"/>
        <v>0.84065824546853396</v>
      </c>
      <c r="CZ48">
        <f t="shared" si="45"/>
        <v>0.1913164909370681</v>
      </c>
      <c r="DA48">
        <v>6</v>
      </c>
      <c r="DB48">
        <v>0.5</v>
      </c>
      <c r="DC48" t="s">
        <v>418</v>
      </c>
      <c r="DD48">
        <v>2</v>
      </c>
      <c r="DE48">
        <v>1693330309.5</v>
      </c>
      <c r="DF48">
        <v>104.595</v>
      </c>
      <c r="DG48">
        <v>119.968</v>
      </c>
      <c r="DH48">
        <v>28.406700000000001</v>
      </c>
      <c r="DI48">
        <v>23.1036</v>
      </c>
      <c r="DJ48">
        <v>103.524</v>
      </c>
      <c r="DK48">
        <v>27.608699999999999</v>
      </c>
      <c r="DL48">
        <v>500.30200000000002</v>
      </c>
      <c r="DM48">
        <v>99.069100000000006</v>
      </c>
      <c r="DN48">
        <v>0.100234</v>
      </c>
      <c r="DO48">
        <v>30.139500000000002</v>
      </c>
      <c r="DP48">
        <v>29.995699999999999</v>
      </c>
      <c r="DQ48">
        <v>999.9</v>
      </c>
      <c r="DR48">
        <v>0</v>
      </c>
      <c r="DS48">
        <v>0</v>
      </c>
      <c r="DT48">
        <v>9960</v>
      </c>
      <c r="DU48">
        <v>0</v>
      </c>
      <c r="DV48">
        <v>642.48099999999999</v>
      </c>
      <c r="DW48">
        <v>-15.373900000000001</v>
      </c>
      <c r="DX48">
        <v>107.65300000000001</v>
      </c>
      <c r="DY48">
        <v>122.806</v>
      </c>
      <c r="DZ48">
        <v>5.30314</v>
      </c>
      <c r="EA48">
        <v>119.968</v>
      </c>
      <c r="EB48">
        <v>23.1036</v>
      </c>
      <c r="EC48">
        <v>2.8142299999999998</v>
      </c>
      <c r="ED48">
        <v>2.2888500000000001</v>
      </c>
      <c r="EE48">
        <v>22.9678</v>
      </c>
      <c r="EF48">
        <v>19.598199999999999</v>
      </c>
      <c r="EG48">
        <v>1800.24</v>
      </c>
      <c r="EH48">
        <v>0.97799800000000003</v>
      </c>
      <c r="EI48">
        <v>2.2001900000000001E-2</v>
      </c>
      <c r="EJ48">
        <v>0</v>
      </c>
      <c r="EK48">
        <v>704.21199999999999</v>
      </c>
      <c r="EL48">
        <v>5.0002700000000004</v>
      </c>
      <c r="EM48">
        <v>13302.8</v>
      </c>
      <c r="EN48">
        <v>16250.7</v>
      </c>
      <c r="EO48">
        <v>47.311999999999998</v>
      </c>
      <c r="EP48">
        <v>48.936999999999998</v>
      </c>
      <c r="EQ48">
        <v>48.5</v>
      </c>
      <c r="ER48">
        <v>47.936999999999998</v>
      </c>
      <c r="ES48">
        <v>49</v>
      </c>
      <c r="ET48">
        <v>1755.74</v>
      </c>
      <c r="EU48">
        <v>39.5</v>
      </c>
      <c r="EV48">
        <v>0</v>
      </c>
      <c r="EW48">
        <v>101.5999999046326</v>
      </c>
      <c r="EX48">
        <v>0</v>
      </c>
      <c r="EY48">
        <v>704.45675999999992</v>
      </c>
      <c r="EZ48">
        <v>-3.6818461593179101</v>
      </c>
      <c r="FA48">
        <v>-54.653846406470009</v>
      </c>
      <c r="FB48">
        <v>13297.72</v>
      </c>
      <c r="FC48">
        <v>15</v>
      </c>
      <c r="FD48">
        <v>1693330278.5</v>
      </c>
      <c r="FE48" t="s">
        <v>583</v>
      </c>
      <c r="FF48">
        <v>1693330269.5</v>
      </c>
      <c r="FG48">
        <v>1693330278.5</v>
      </c>
      <c r="FH48">
        <v>37</v>
      </c>
      <c r="FI48">
        <v>0.107</v>
      </c>
      <c r="FJ48">
        <v>-4.0000000000000001E-3</v>
      </c>
      <c r="FK48">
        <v>1.083</v>
      </c>
      <c r="FL48">
        <v>0.499</v>
      </c>
      <c r="FM48">
        <v>120</v>
      </c>
      <c r="FN48">
        <v>23</v>
      </c>
      <c r="FO48">
        <v>0.32</v>
      </c>
      <c r="FP48">
        <v>0.03</v>
      </c>
      <c r="FQ48">
        <v>12.27733046959098</v>
      </c>
      <c r="FR48">
        <v>0.60884730379454544</v>
      </c>
      <c r="FS48">
        <v>6.1130987358184938E-2</v>
      </c>
      <c r="FT48">
        <v>1</v>
      </c>
      <c r="FU48">
        <v>0.31774267989899291</v>
      </c>
      <c r="FV48">
        <v>3.125582052378887E-2</v>
      </c>
      <c r="FW48">
        <v>2.928830989906372E-3</v>
      </c>
      <c r="FX48">
        <v>1</v>
      </c>
      <c r="FY48">
        <v>2</v>
      </c>
      <c r="FZ48">
        <v>2</v>
      </c>
      <c r="GA48" t="s">
        <v>429</v>
      </c>
      <c r="GB48">
        <v>3.13435</v>
      </c>
      <c r="GC48">
        <v>2.86504</v>
      </c>
      <c r="GD48">
        <v>2.8087000000000001E-2</v>
      </c>
      <c r="GE48">
        <v>3.3275399999999997E-2</v>
      </c>
      <c r="GF48">
        <v>0.127581</v>
      </c>
      <c r="GG48">
        <v>0.115345</v>
      </c>
      <c r="GH48">
        <v>29321.1</v>
      </c>
      <c r="GI48">
        <v>22493.4</v>
      </c>
      <c r="GJ48">
        <v>29096.400000000001</v>
      </c>
      <c r="GK48">
        <v>21692.7</v>
      </c>
      <c r="GL48">
        <v>34025.699999999997</v>
      </c>
      <c r="GM48">
        <v>26417</v>
      </c>
      <c r="GN48">
        <v>40388.199999999997</v>
      </c>
      <c r="GO48">
        <v>30838.9</v>
      </c>
      <c r="GP48">
        <v>2.0099</v>
      </c>
      <c r="GQ48">
        <v>1.7630999999999999</v>
      </c>
      <c r="GR48">
        <v>2.3871699999999999E-2</v>
      </c>
      <c r="GS48">
        <v>0</v>
      </c>
      <c r="GT48">
        <v>29.607099999999999</v>
      </c>
      <c r="GU48">
        <v>999.9</v>
      </c>
      <c r="GV48">
        <v>36.299999999999997</v>
      </c>
      <c r="GW48">
        <v>42.3</v>
      </c>
      <c r="GX48">
        <v>30.685199999999998</v>
      </c>
      <c r="GY48">
        <v>62.257899999999999</v>
      </c>
      <c r="GZ48">
        <v>13.1731</v>
      </c>
      <c r="HA48">
        <v>1</v>
      </c>
      <c r="HB48">
        <v>0.44289600000000001</v>
      </c>
      <c r="HC48">
        <v>3.1737899999999999</v>
      </c>
      <c r="HD48">
        <v>20.244700000000002</v>
      </c>
      <c r="HE48">
        <v>5.2352600000000002</v>
      </c>
      <c r="HF48">
        <v>11.98</v>
      </c>
      <c r="HG48">
        <v>4.9749999999999996</v>
      </c>
      <c r="HH48">
        <v>3.2839999999999998</v>
      </c>
      <c r="HI48">
        <v>9999</v>
      </c>
      <c r="HJ48">
        <v>9999</v>
      </c>
      <c r="HK48">
        <v>9999</v>
      </c>
      <c r="HL48">
        <v>999.9</v>
      </c>
      <c r="HM48">
        <v>1.8614200000000001</v>
      </c>
      <c r="HN48">
        <v>1.8631</v>
      </c>
      <c r="HO48">
        <v>1.8684400000000001</v>
      </c>
      <c r="HP48">
        <v>1.85928</v>
      </c>
      <c r="HQ48">
        <v>1.8575999999999999</v>
      </c>
      <c r="HR48">
        <v>1.86127</v>
      </c>
      <c r="HS48">
        <v>1.8650800000000001</v>
      </c>
      <c r="HT48">
        <v>1.8671199999999999</v>
      </c>
      <c r="HU48">
        <v>5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1.071</v>
      </c>
      <c r="II48">
        <v>0.79800000000000004</v>
      </c>
      <c r="IJ48">
        <v>0.97257432237888963</v>
      </c>
      <c r="IK48">
        <v>1.118558698776514E-3</v>
      </c>
      <c r="IL48">
        <v>-1.6939696309573479E-6</v>
      </c>
      <c r="IM48">
        <v>5.4698917449866148E-10</v>
      </c>
      <c r="IN48">
        <v>-8.3882593972803066E-2</v>
      </c>
      <c r="IO48">
        <v>-7.6058941998734366E-3</v>
      </c>
      <c r="IP48">
        <v>1.6984902717538061E-3</v>
      </c>
      <c r="IQ48">
        <v>-9.6352527008986976E-6</v>
      </c>
      <c r="IR48">
        <v>2</v>
      </c>
      <c r="IS48">
        <v>2021</v>
      </c>
      <c r="IT48">
        <v>2</v>
      </c>
      <c r="IU48">
        <v>40</v>
      </c>
      <c r="IV48">
        <v>0.7</v>
      </c>
      <c r="IW48">
        <v>0.5</v>
      </c>
      <c r="IX48">
        <v>0.41748000000000002</v>
      </c>
      <c r="IY48">
        <v>2.5610400000000002</v>
      </c>
      <c r="IZ48">
        <v>1.34399</v>
      </c>
      <c r="JA48">
        <v>2.2399900000000001</v>
      </c>
      <c r="JB48">
        <v>1.5918000000000001</v>
      </c>
      <c r="JC48">
        <v>2.3559600000000001</v>
      </c>
      <c r="JD48">
        <v>47.632100000000001</v>
      </c>
      <c r="JE48">
        <v>24.043700000000001</v>
      </c>
      <c r="JF48">
        <v>18</v>
      </c>
      <c r="JG48">
        <v>508.38799999999998</v>
      </c>
      <c r="JH48">
        <v>396.00400000000002</v>
      </c>
      <c r="JI48">
        <v>25.4331</v>
      </c>
      <c r="JJ48">
        <v>32.988900000000001</v>
      </c>
      <c r="JK48">
        <v>30.0001</v>
      </c>
      <c r="JL48">
        <v>32.8504</v>
      </c>
      <c r="JM48">
        <v>32.800800000000002</v>
      </c>
      <c r="JN48">
        <v>8.4336699999999993</v>
      </c>
      <c r="JO48">
        <v>24.593499999999999</v>
      </c>
      <c r="JP48">
        <v>22.4831</v>
      </c>
      <c r="JQ48">
        <v>25.433599999999998</v>
      </c>
      <c r="JR48">
        <v>120</v>
      </c>
      <c r="JS48">
        <v>22.9985</v>
      </c>
      <c r="JT48">
        <v>99.217500000000001</v>
      </c>
      <c r="JU48">
        <v>97.411000000000001</v>
      </c>
    </row>
    <row r="49" spans="1:281" x14ac:dyDescent="0.25">
      <c r="A49">
        <v>33</v>
      </c>
      <c r="B49">
        <v>1693330442.5</v>
      </c>
      <c r="C49">
        <v>8681</v>
      </c>
      <c r="D49" t="s">
        <v>584</v>
      </c>
      <c r="E49" t="s">
        <v>585</v>
      </c>
      <c r="F49" t="s">
        <v>413</v>
      </c>
      <c r="G49" t="s">
        <v>564</v>
      </c>
      <c r="H49" t="s">
        <v>565</v>
      </c>
      <c r="I49" t="s">
        <v>31</v>
      </c>
      <c r="J49">
        <v>1693330442.5</v>
      </c>
      <c r="K49">
        <f t="shared" ref="K49:K80" si="46">(L49)/1000</f>
        <v>4.9894788993413083E-3</v>
      </c>
      <c r="L49">
        <f t="shared" ref="L49:L80" si="47">1000*DL49*AJ49*(DH49-DI49)/(100*DA49*(1000-AJ49*DH49))</f>
        <v>4.9894788993413082</v>
      </c>
      <c r="M49">
        <f t="shared" ref="M49:M80" si="48">DL49*AJ49*(DG49-DF49*(1000-AJ49*DI49)/(1000-AJ49*DH49))/(100*DA49)</f>
        <v>7.7042753677109639</v>
      </c>
      <c r="N49">
        <f t="shared" ref="N49:N80" si="49">DF49 - IF(AJ49&gt;1, M49*DA49*100/(AL49*DT49), 0)</f>
        <v>60.4465</v>
      </c>
      <c r="O49">
        <f t="shared" ref="O49:O80" si="50">((U49-K49/2)*N49-M49)/(U49+K49/2)</f>
        <v>22.451398156950656</v>
      </c>
      <c r="P49">
        <f t="shared" ref="P49:P80" si="51">O49*(DM49+DN49)/1000</f>
        <v>2.2264709460294254</v>
      </c>
      <c r="Q49">
        <f t="shared" ref="Q49:Q80" si="52">(DF49 - IF(AJ49&gt;1, M49*DA49*100/(AL49*DT49), 0))*(DM49+DN49)/1000</f>
        <v>5.9943873026679499</v>
      </c>
      <c r="R49">
        <f t="shared" ref="R49:R80" si="53">2/((1/T49-1/S49)+SIGN(T49)*SQRT((1/T49-1/S49)*(1/T49-1/S49) + 4*DB49/((DB49+1)*(DB49+1))*(2*1/T49*1/S49-1/S49*1/S49)))</f>
        <v>0.35217520217616333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2.9192747782635942</v>
      </c>
      <c r="T49">
        <f t="shared" ref="T49:T80" si="55">K49*(1000-(1000*0.61365*EXP(17.502*X49/(240.97+X49))/(DM49+DN49)+DH49)/2)/(1000*0.61365*EXP(17.502*X49/(240.97+X49))/(DM49+DN49)-DH49)</f>
        <v>0.33016012481142354</v>
      </c>
      <c r="U49">
        <f t="shared" ref="U49:U80" si="56">1/((DB49+1)/(R49/1.6)+1/(S49/1.37)) + DB49/((DB49+1)/(R49/1.6) + DB49/(S49/1.37))</f>
        <v>0.20821326015171893</v>
      </c>
      <c r="V49">
        <f t="shared" ref="V49:V80" si="57">(CW49*CZ49)</f>
        <v>344.33959964446842</v>
      </c>
      <c r="W49">
        <f t="shared" ref="W49:W80" si="58">(DO49+(V49+2*0.95*0.0000000567*(((DO49+$B$7)+273)^4-(DO49+273)^4)-44100*K49)/(1.84*29.3*S49+8*0.95*0.0000000567*(DO49+273)^3))</f>
        <v>30.950799918832072</v>
      </c>
      <c r="X49">
        <f t="shared" ref="X49:X80" si="59">($C$7*DP49+$D$7*DQ49+$E$7*W49)</f>
        <v>30.026299999999999</v>
      </c>
      <c r="Y49">
        <f t="shared" ref="Y49:Y80" si="60">0.61365*EXP(17.502*X49/(240.97+X49))</f>
        <v>4.2668900609685831</v>
      </c>
      <c r="Z49">
        <f t="shared" ref="Z49:Z80" si="61">(AA49/AB49*100)</f>
        <v>65.412433061872434</v>
      </c>
      <c r="AA49">
        <f t="shared" ref="AA49:AA80" si="62">DH49*(DM49+DN49)/1000</f>
        <v>2.8217894088783502</v>
      </c>
      <c r="AB49">
        <f t="shared" ref="AB49:AB80" si="63">0.61365*EXP(17.502*DO49/(240.97+DO49))</f>
        <v>4.3138426088038502</v>
      </c>
      <c r="AC49">
        <f t="shared" ref="AC49:AC80" si="64">(Y49-DH49*(DM49+DN49)/1000)</f>
        <v>1.445100652090233</v>
      </c>
      <c r="AD49">
        <f t="shared" ref="AD49:AD80" si="65">(-K49*44100)</f>
        <v>-220.03601946095171</v>
      </c>
      <c r="AE49">
        <f t="shared" ref="AE49:AE80" si="66">2*29.3*S49*0.92*(DO49-X49)</f>
        <v>30.013117709983874</v>
      </c>
      <c r="AF49">
        <f t="shared" ref="AF49:AF80" si="67">2*0.95*0.0000000567*(((DO49+$B$7)+273)^4-(X49+273)^4)</f>
        <v>2.2887494664881363</v>
      </c>
      <c r="AG49">
        <f t="shared" ref="AG49:AG80" si="68">V49+AF49+AD49+AE49</f>
        <v>156.60544735998872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52002.845347000031</v>
      </c>
      <c r="AM49" t="s">
        <v>415</v>
      </c>
      <c r="AN49">
        <v>10366.9</v>
      </c>
      <c r="AO49">
        <v>993.59653846153856</v>
      </c>
      <c r="AP49">
        <v>3431.87</v>
      </c>
      <c r="AQ49">
        <f t="shared" ref="AQ49:AQ80" si="72">1-AO49/AP49</f>
        <v>0.71047955241266758</v>
      </c>
      <c r="AR49">
        <v>-3.9894345373445681</v>
      </c>
      <c r="AS49" t="s">
        <v>586</v>
      </c>
      <c r="AT49">
        <v>10368.299999999999</v>
      </c>
      <c r="AU49">
        <v>704.96153846153857</v>
      </c>
      <c r="AV49">
        <v>772.39617443735381</v>
      </c>
      <c r="AW49">
        <f t="shared" ref="AW49:AW80" si="73">1-AU49/AV49</f>
        <v>8.7305761224073297E-2</v>
      </c>
      <c r="AX49">
        <v>0.5</v>
      </c>
      <c r="AY49">
        <f t="shared" ref="AY49:AY80" si="74">CX49</f>
        <v>1513.0505998222341</v>
      </c>
      <c r="AZ49">
        <f t="shared" ref="AZ49:AZ80" si="75">M49</f>
        <v>7.7042753677109639</v>
      </c>
      <c r="BA49">
        <f t="shared" ref="BA49:BA80" si="76">AW49*AX49*AY49</f>
        <v>66.049017194010418</v>
      </c>
      <c r="BB49">
        <f t="shared" ref="BB49:BB80" si="77">(AZ49-AR49)/AY49</f>
        <v>7.7285649973830401E-3</v>
      </c>
      <c r="BC49">
        <f t="shared" ref="BC49:BC80" si="78">(AP49-AV49)/AV49</f>
        <v>3.4431473298012123</v>
      </c>
      <c r="BD49">
        <f t="shared" ref="BD49:BD80" si="79">AO49/(AQ49+AO49/AV49)</f>
        <v>497.57908126357415</v>
      </c>
      <c r="BE49" t="s">
        <v>587</v>
      </c>
      <c r="BF49">
        <v>573.25</v>
      </c>
      <c r="BG49">
        <f t="shared" ref="BG49:BG80" si="80">IF(BF49&lt;&gt;0, BF49, BD49)</f>
        <v>573.25</v>
      </c>
      <c r="BH49">
        <f t="shared" ref="BH49:BH80" si="81">1-BG49/AV49</f>
        <v>0.25782905331246664</v>
      </c>
      <c r="BI49">
        <f t="shared" ref="BI49:BI80" si="82">(AV49-AU49)/(AV49-BG49)</f>
        <v>0.33861878675971463</v>
      </c>
      <c r="BJ49">
        <f t="shared" ref="BJ49:BJ80" si="83">(AP49-AV49)/(AP49-BG49)</f>
        <v>0.93033485582646391</v>
      </c>
      <c r="BK49">
        <f t="shared" ref="BK49:BK80" si="84">(AV49-AU49)/(AV49-AO49)</f>
        <v>-0.30485770795767014</v>
      </c>
      <c r="BL49">
        <f t="shared" ref="BL49:BL80" si="85">(AP49-AV49)/(AP49-AO49)</f>
        <v>1.0907200802179979</v>
      </c>
      <c r="BM49">
        <f t="shared" ref="BM49:BM80" si="86">(BI49*BG49/AU49)</f>
        <v>0.27535292199575351</v>
      </c>
      <c r="BN49">
        <f t="shared" ref="BN49:BN80" si="87">(1-BM49)</f>
        <v>0.72464707800424644</v>
      </c>
      <c r="BO49">
        <v>2017</v>
      </c>
      <c r="BP49">
        <v>290.00000000000011</v>
      </c>
      <c r="BQ49">
        <v>753.77</v>
      </c>
      <c r="BR49">
        <v>245</v>
      </c>
      <c r="BS49">
        <v>10368.299999999999</v>
      </c>
      <c r="BT49">
        <v>752.7</v>
      </c>
      <c r="BU49">
        <v>1.07</v>
      </c>
      <c r="BV49">
        <v>300.00000000000011</v>
      </c>
      <c r="BW49">
        <v>38.4</v>
      </c>
      <c r="BX49">
        <v>772.39617443735381</v>
      </c>
      <c r="BY49">
        <v>0.87505918503294156</v>
      </c>
      <c r="BZ49">
        <v>-20.4262985196779</v>
      </c>
      <c r="CA49">
        <v>0.74296315601306995</v>
      </c>
      <c r="CB49">
        <v>0.96427960773883337</v>
      </c>
      <c r="CC49">
        <v>-1.1287407563959949E-2</v>
      </c>
      <c r="CD49">
        <v>289.99999999999989</v>
      </c>
      <c r="CE49">
        <v>749.64</v>
      </c>
      <c r="CF49">
        <v>765</v>
      </c>
      <c r="CG49">
        <v>10344.799999999999</v>
      </c>
      <c r="CH49">
        <v>752.65</v>
      </c>
      <c r="CI49">
        <v>-3.01</v>
      </c>
      <c r="CW49">
        <f t="shared" ref="CW49:CW80" si="88">$B$11*DU49+$C$11*DV49+$F$11*EG49*(1-EJ49)</f>
        <v>1799.84</v>
      </c>
      <c r="CX49">
        <f t="shared" ref="CX49:CX80" si="89">CW49*CY49</f>
        <v>1513.0505998222341</v>
      </c>
      <c r="CY49">
        <f t="shared" ref="CY49:CY80" si="90">($B$11*$D$9+$C$11*$D$9+$F$11*((ET49+EL49)/MAX(ET49+EL49+EU49, 0.1)*$I$9+EU49/MAX(ET49+EL49+EU49, 0.1)*$J$9))/($B$11+$C$11+$F$11)</f>
        <v>0.84065839175828638</v>
      </c>
      <c r="CZ49">
        <f t="shared" ref="CZ49:CZ80" si="91">($B$11*$K$9+$C$11*$K$9+$F$11*((ET49+EL49)/MAX(ET49+EL49+EU49, 0.1)*$P$9+EU49/MAX(ET49+EL49+EU49, 0.1)*$Q$9))/($B$11+$C$11+$F$11)</f>
        <v>0.19131678351657283</v>
      </c>
      <c r="DA49">
        <v>6</v>
      </c>
      <c r="DB49">
        <v>0.5</v>
      </c>
      <c r="DC49" t="s">
        <v>418</v>
      </c>
      <c r="DD49">
        <v>2</v>
      </c>
      <c r="DE49">
        <v>1693330442.5</v>
      </c>
      <c r="DF49">
        <v>60.4465</v>
      </c>
      <c r="DG49">
        <v>70.053700000000006</v>
      </c>
      <c r="DH49">
        <v>28.454499999999999</v>
      </c>
      <c r="DI49">
        <v>22.6374</v>
      </c>
      <c r="DJ49">
        <v>59.337899999999998</v>
      </c>
      <c r="DK49">
        <v>27.656300000000002</v>
      </c>
      <c r="DL49">
        <v>499.99200000000002</v>
      </c>
      <c r="DM49">
        <v>99.068700000000007</v>
      </c>
      <c r="DN49">
        <v>9.9776299999999998E-2</v>
      </c>
      <c r="DO49">
        <v>30.216999999999999</v>
      </c>
      <c r="DP49">
        <v>30.026299999999999</v>
      </c>
      <c r="DQ49">
        <v>999.9</v>
      </c>
      <c r="DR49">
        <v>0</v>
      </c>
      <c r="DS49">
        <v>0</v>
      </c>
      <c r="DT49">
        <v>10035</v>
      </c>
      <c r="DU49">
        <v>0</v>
      </c>
      <c r="DV49">
        <v>974.00900000000001</v>
      </c>
      <c r="DW49">
        <v>-9.6072699999999998</v>
      </c>
      <c r="DX49">
        <v>62.216799999999999</v>
      </c>
      <c r="DY49">
        <v>71.676299999999998</v>
      </c>
      <c r="DZ49">
        <v>5.8170400000000004</v>
      </c>
      <c r="EA49">
        <v>70.053700000000006</v>
      </c>
      <c r="EB49">
        <v>22.6374</v>
      </c>
      <c r="EC49">
        <v>2.8189500000000001</v>
      </c>
      <c r="ED49">
        <v>2.2426599999999999</v>
      </c>
      <c r="EE49">
        <v>22.9955</v>
      </c>
      <c r="EF49">
        <v>19.270399999999999</v>
      </c>
      <c r="EG49">
        <v>1799.84</v>
      </c>
      <c r="EH49">
        <v>0.97799400000000003</v>
      </c>
      <c r="EI49">
        <v>2.2005500000000001E-2</v>
      </c>
      <c r="EJ49">
        <v>0</v>
      </c>
      <c r="EK49">
        <v>704.85299999999995</v>
      </c>
      <c r="EL49">
        <v>5.0002700000000004</v>
      </c>
      <c r="EM49">
        <v>13304.8</v>
      </c>
      <c r="EN49">
        <v>16247.1</v>
      </c>
      <c r="EO49">
        <v>47.375</v>
      </c>
      <c r="EP49">
        <v>48.936999999999998</v>
      </c>
      <c r="EQ49">
        <v>48.561999999999998</v>
      </c>
      <c r="ER49">
        <v>48</v>
      </c>
      <c r="ES49">
        <v>49.125</v>
      </c>
      <c r="ET49">
        <v>1755.34</v>
      </c>
      <c r="EU49">
        <v>39.5</v>
      </c>
      <c r="EV49">
        <v>0</v>
      </c>
      <c r="EW49">
        <v>131</v>
      </c>
      <c r="EX49">
        <v>0</v>
      </c>
      <c r="EY49">
        <v>704.96153846153857</v>
      </c>
      <c r="EZ49">
        <v>-1.900717929445235</v>
      </c>
      <c r="FA49">
        <v>-36.376068277185823</v>
      </c>
      <c r="FB49">
        <v>13310.084615384611</v>
      </c>
      <c r="FC49">
        <v>15</v>
      </c>
      <c r="FD49">
        <v>1693330415</v>
      </c>
      <c r="FE49" t="s">
        <v>588</v>
      </c>
      <c r="FF49">
        <v>1693330403</v>
      </c>
      <c r="FG49">
        <v>1693330415</v>
      </c>
      <c r="FH49">
        <v>38</v>
      </c>
      <c r="FI49">
        <v>7.4999999999999997E-2</v>
      </c>
      <c r="FJ49">
        <v>-3.0000000000000001E-3</v>
      </c>
      <c r="FK49">
        <v>1.117</v>
      </c>
      <c r="FL49">
        <v>0.46800000000000003</v>
      </c>
      <c r="FM49">
        <v>70</v>
      </c>
      <c r="FN49">
        <v>23</v>
      </c>
      <c r="FO49">
        <v>0.5</v>
      </c>
      <c r="FP49">
        <v>0.04</v>
      </c>
      <c r="FQ49">
        <v>7.6825377906510317</v>
      </c>
      <c r="FR49">
        <v>0.1200981569511735</v>
      </c>
      <c r="FS49">
        <v>3.4889046843738239E-2</v>
      </c>
      <c r="FT49">
        <v>1</v>
      </c>
      <c r="FU49">
        <v>0.35148677270436318</v>
      </c>
      <c r="FV49">
        <v>4.9655537577971698E-2</v>
      </c>
      <c r="FW49">
        <v>4.1182189194084581E-3</v>
      </c>
      <c r="FX49">
        <v>1</v>
      </c>
      <c r="FY49">
        <v>2</v>
      </c>
      <c r="FZ49">
        <v>2</v>
      </c>
      <c r="GA49" t="s">
        <v>429</v>
      </c>
      <c r="GB49">
        <v>3.13388</v>
      </c>
      <c r="GC49">
        <v>2.8652299999999999</v>
      </c>
      <c r="GD49">
        <v>1.6339300000000001E-2</v>
      </c>
      <c r="GE49">
        <v>1.9813999999999998E-2</v>
      </c>
      <c r="GF49">
        <v>0.12772700000000001</v>
      </c>
      <c r="GG49">
        <v>0.113708</v>
      </c>
      <c r="GH49">
        <v>29674.1</v>
      </c>
      <c r="GI49">
        <v>22806.5</v>
      </c>
      <c r="GJ49">
        <v>29095.200000000001</v>
      </c>
      <c r="GK49">
        <v>21692.799999999999</v>
      </c>
      <c r="GL49">
        <v>34017.300000000003</v>
      </c>
      <c r="GM49">
        <v>26465</v>
      </c>
      <c r="GN49">
        <v>40386.300000000003</v>
      </c>
      <c r="GO49">
        <v>30839.1</v>
      </c>
      <c r="GP49">
        <v>2.0097</v>
      </c>
      <c r="GQ49">
        <v>1.7599</v>
      </c>
      <c r="GR49">
        <v>2.76268E-2</v>
      </c>
      <c r="GS49">
        <v>0</v>
      </c>
      <c r="GT49">
        <v>29.576499999999999</v>
      </c>
      <c r="GU49">
        <v>999.9</v>
      </c>
      <c r="GV49">
        <v>35.5</v>
      </c>
      <c r="GW49">
        <v>42.6</v>
      </c>
      <c r="GX49">
        <v>30.484999999999999</v>
      </c>
      <c r="GY49">
        <v>62.127899999999997</v>
      </c>
      <c r="GZ49">
        <v>12.972799999999999</v>
      </c>
      <c r="HA49">
        <v>1</v>
      </c>
      <c r="HB49">
        <v>0.44222600000000001</v>
      </c>
      <c r="HC49">
        <v>2.9055800000000001</v>
      </c>
      <c r="HD49">
        <v>20.2499</v>
      </c>
      <c r="HE49">
        <v>5.2340600000000004</v>
      </c>
      <c r="HF49">
        <v>11.98</v>
      </c>
      <c r="HG49">
        <v>4.9740000000000002</v>
      </c>
      <c r="HH49">
        <v>3.2839999999999998</v>
      </c>
      <c r="HI49">
        <v>9999</v>
      </c>
      <c r="HJ49">
        <v>9999</v>
      </c>
      <c r="HK49">
        <v>9999</v>
      </c>
      <c r="HL49">
        <v>999.9</v>
      </c>
      <c r="HM49">
        <v>1.8614200000000001</v>
      </c>
      <c r="HN49">
        <v>1.8631200000000001</v>
      </c>
      <c r="HO49">
        <v>1.8684400000000001</v>
      </c>
      <c r="HP49">
        <v>1.85928</v>
      </c>
      <c r="HQ49">
        <v>1.8575999999999999</v>
      </c>
      <c r="HR49">
        <v>1.86128</v>
      </c>
      <c r="HS49">
        <v>1.8650800000000001</v>
      </c>
      <c r="HT49">
        <v>1.86714</v>
      </c>
      <c r="HU49">
        <v>5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1.109</v>
      </c>
      <c r="II49">
        <v>0.79820000000000002</v>
      </c>
      <c r="IJ49">
        <v>1.0480260424988579</v>
      </c>
      <c r="IK49">
        <v>1.118558698776514E-3</v>
      </c>
      <c r="IL49">
        <v>-1.6939696309573479E-6</v>
      </c>
      <c r="IM49">
        <v>5.4698917449866148E-10</v>
      </c>
      <c r="IN49">
        <v>-8.6749100947586921E-2</v>
      </c>
      <c r="IO49">
        <v>-7.6058941998734366E-3</v>
      </c>
      <c r="IP49">
        <v>1.6984902717538061E-3</v>
      </c>
      <c r="IQ49">
        <v>-9.6352527008986976E-6</v>
      </c>
      <c r="IR49">
        <v>2</v>
      </c>
      <c r="IS49">
        <v>2021</v>
      </c>
      <c r="IT49">
        <v>2</v>
      </c>
      <c r="IU49">
        <v>40</v>
      </c>
      <c r="IV49">
        <v>0.7</v>
      </c>
      <c r="IW49">
        <v>0.5</v>
      </c>
      <c r="IX49">
        <v>0.302734</v>
      </c>
      <c r="IY49">
        <v>2.5683600000000002</v>
      </c>
      <c r="IZ49">
        <v>1.34399</v>
      </c>
      <c r="JA49">
        <v>2.2387700000000001</v>
      </c>
      <c r="JB49">
        <v>1.5918000000000001</v>
      </c>
      <c r="JC49">
        <v>2.50366</v>
      </c>
      <c r="JD49">
        <v>47.783099999999997</v>
      </c>
      <c r="JE49">
        <v>24.052499999999998</v>
      </c>
      <c r="JF49">
        <v>18</v>
      </c>
      <c r="JG49">
        <v>508.48</v>
      </c>
      <c r="JH49">
        <v>394.22899999999998</v>
      </c>
      <c r="JI49">
        <v>25.7652</v>
      </c>
      <c r="JJ49">
        <v>33.000599999999999</v>
      </c>
      <c r="JK49">
        <v>30.0001</v>
      </c>
      <c r="JL49">
        <v>32.876600000000003</v>
      </c>
      <c r="JM49">
        <v>32.824100000000001</v>
      </c>
      <c r="JN49">
        <v>6.14811</v>
      </c>
      <c r="JO49">
        <v>24.659199999999998</v>
      </c>
      <c r="JP49">
        <v>19.9343</v>
      </c>
      <c r="JQ49">
        <v>25.7563</v>
      </c>
      <c r="JR49">
        <v>70</v>
      </c>
      <c r="JS49">
        <v>22.531500000000001</v>
      </c>
      <c r="JT49">
        <v>99.213099999999997</v>
      </c>
      <c r="JU49">
        <v>97.4114</v>
      </c>
    </row>
    <row r="50" spans="1:281" x14ac:dyDescent="0.25">
      <c r="A50">
        <v>34</v>
      </c>
      <c r="B50">
        <v>1693330542</v>
      </c>
      <c r="C50">
        <v>8780.5</v>
      </c>
      <c r="D50" t="s">
        <v>589</v>
      </c>
      <c r="E50" t="s">
        <v>590</v>
      </c>
      <c r="F50" t="s">
        <v>413</v>
      </c>
      <c r="G50" t="s">
        <v>564</v>
      </c>
      <c r="H50" t="s">
        <v>565</v>
      </c>
      <c r="I50" t="s">
        <v>31</v>
      </c>
      <c r="J50">
        <v>1693330542</v>
      </c>
      <c r="K50">
        <f t="shared" si="46"/>
        <v>5.0868370766437776E-3</v>
      </c>
      <c r="L50">
        <f t="shared" si="47"/>
        <v>5.0868370766437776</v>
      </c>
      <c r="M50">
        <f t="shared" si="48"/>
        <v>3.2928106564244435</v>
      </c>
      <c r="N50">
        <f t="shared" si="49"/>
        <v>25.8841</v>
      </c>
      <c r="O50">
        <f t="shared" si="50"/>
        <v>10.073026292587086</v>
      </c>
      <c r="P50">
        <f t="shared" si="51"/>
        <v>0.99891348357428233</v>
      </c>
      <c r="Q50">
        <f t="shared" si="52"/>
        <v>2.5668528751099302</v>
      </c>
      <c r="R50">
        <f t="shared" si="53"/>
        <v>0.36262130438275553</v>
      </c>
      <c r="S50">
        <f t="shared" si="54"/>
        <v>2.9183863215396775</v>
      </c>
      <c r="T50">
        <f t="shared" si="55"/>
        <v>0.33932057971860297</v>
      </c>
      <c r="U50">
        <f t="shared" si="56"/>
        <v>0.21404395050255826</v>
      </c>
      <c r="V50">
        <f t="shared" si="57"/>
        <v>344.36369964458419</v>
      </c>
      <c r="W50">
        <f t="shared" si="58"/>
        <v>30.945786912498772</v>
      </c>
      <c r="X50">
        <f t="shared" si="59"/>
        <v>30.0214</v>
      </c>
      <c r="Y50">
        <f t="shared" si="60"/>
        <v>4.2656895165969715</v>
      </c>
      <c r="Z50">
        <f t="shared" si="61"/>
        <v>65.579759879835038</v>
      </c>
      <c r="AA50">
        <f t="shared" si="62"/>
        <v>2.8322539649549201</v>
      </c>
      <c r="AB50">
        <f t="shared" si="63"/>
        <v>4.3187928259337873</v>
      </c>
      <c r="AC50">
        <f t="shared" si="64"/>
        <v>1.4334355516420514</v>
      </c>
      <c r="AD50">
        <f t="shared" si="65"/>
        <v>-224.32951507999059</v>
      </c>
      <c r="AE50">
        <f t="shared" si="66"/>
        <v>33.921650949891998</v>
      </c>
      <c r="AF50">
        <f t="shared" si="67"/>
        <v>2.5877885244231162</v>
      </c>
      <c r="AG50">
        <f t="shared" si="68"/>
        <v>156.54362403890872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51974.113253045747</v>
      </c>
      <c r="AM50" t="s">
        <v>415</v>
      </c>
      <c r="AN50">
        <v>10366.9</v>
      </c>
      <c r="AO50">
        <v>993.59653846153856</v>
      </c>
      <c r="AP50">
        <v>3431.87</v>
      </c>
      <c r="AQ50">
        <f t="shared" si="72"/>
        <v>0.71047955241266758</v>
      </c>
      <c r="AR50">
        <v>-3.9894345373445681</v>
      </c>
      <c r="AS50" t="s">
        <v>591</v>
      </c>
      <c r="AT50">
        <v>10371.299999999999</v>
      </c>
      <c r="AU50">
        <v>709.45844</v>
      </c>
      <c r="AV50">
        <v>755.70663429181946</v>
      </c>
      <c r="AW50">
        <f t="shared" si="73"/>
        <v>6.1198608286877287E-2</v>
      </c>
      <c r="AX50">
        <v>0.5</v>
      </c>
      <c r="AY50">
        <f t="shared" si="74"/>
        <v>1513.159499822292</v>
      </c>
      <c r="AZ50">
        <f t="shared" si="75"/>
        <v>3.2928106564244435</v>
      </c>
      <c r="BA50">
        <f t="shared" si="76"/>
        <v>46.301627752595806</v>
      </c>
      <c r="BB50">
        <f t="shared" si="77"/>
        <v>4.8126091100272311E-3</v>
      </c>
      <c r="BC50">
        <f t="shared" si="78"/>
        <v>3.5412728223777483</v>
      </c>
      <c r="BD50">
        <f t="shared" si="79"/>
        <v>490.59932777871899</v>
      </c>
      <c r="BE50" t="s">
        <v>592</v>
      </c>
      <c r="BF50">
        <v>584.62</v>
      </c>
      <c r="BG50">
        <f t="shared" si="80"/>
        <v>584.62</v>
      </c>
      <c r="BH50">
        <f t="shared" si="81"/>
        <v>0.22639292356106744</v>
      </c>
      <c r="BI50">
        <f t="shared" si="82"/>
        <v>0.27032032328682515</v>
      </c>
      <c r="BJ50">
        <f t="shared" si="83"/>
        <v>0.93991162198900002</v>
      </c>
      <c r="BK50">
        <f t="shared" si="84"/>
        <v>-0.19441007575850866</v>
      </c>
      <c r="BL50">
        <f t="shared" si="85"/>
        <v>1.0975648990657589</v>
      </c>
      <c r="BM50">
        <f t="shared" si="86"/>
        <v>0.22275394651721067</v>
      </c>
      <c r="BN50">
        <f t="shared" si="87"/>
        <v>0.7772460534827893</v>
      </c>
      <c r="BO50">
        <v>2019</v>
      </c>
      <c r="BP50">
        <v>290.00000000000011</v>
      </c>
      <c r="BQ50">
        <v>743.47</v>
      </c>
      <c r="BR50">
        <v>215</v>
      </c>
      <c r="BS50">
        <v>10371.299999999999</v>
      </c>
      <c r="BT50">
        <v>741.78</v>
      </c>
      <c r="BU50">
        <v>1.69</v>
      </c>
      <c r="BV50">
        <v>300.00000000000011</v>
      </c>
      <c r="BW50">
        <v>38.4</v>
      </c>
      <c r="BX50">
        <v>755.70663429181946</v>
      </c>
      <c r="BY50">
        <v>0.94755928191301064</v>
      </c>
      <c r="BZ50">
        <v>-14.446925750665351</v>
      </c>
      <c r="CA50">
        <v>0.80442506681480297</v>
      </c>
      <c r="CB50">
        <v>0.92012258000774416</v>
      </c>
      <c r="CC50">
        <v>-1.128633548387096E-2</v>
      </c>
      <c r="CD50">
        <v>289.99999999999989</v>
      </c>
      <c r="CE50">
        <v>740.19</v>
      </c>
      <c r="CF50">
        <v>655</v>
      </c>
      <c r="CG50">
        <v>10352.5</v>
      </c>
      <c r="CH50">
        <v>741.75</v>
      </c>
      <c r="CI50">
        <v>-1.56</v>
      </c>
      <c r="CW50">
        <f t="shared" si="88"/>
        <v>1799.97</v>
      </c>
      <c r="CX50">
        <f t="shared" si="89"/>
        <v>1513.159499822292</v>
      </c>
      <c r="CY50">
        <f t="shared" si="90"/>
        <v>0.84065817753756555</v>
      </c>
      <c r="CZ50">
        <f t="shared" si="91"/>
        <v>0.19131635507513134</v>
      </c>
      <c r="DA50">
        <v>6</v>
      </c>
      <c r="DB50">
        <v>0.5</v>
      </c>
      <c r="DC50" t="s">
        <v>418</v>
      </c>
      <c r="DD50">
        <v>2</v>
      </c>
      <c r="DE50">
        <v>1693330542</v>
      </c>
      <c r="DF50">
        <v>25.8841</v>
      </c>
      <c r="DG50">
        <v>29.9953</v>
      </c>
      <c r="DH50">
        <v>28.560400000000001</v>
      </c>
      <c r="DI50">
        <v>22.6279</v>
      </c>
      <c r="DJ50">
        <v>24.750499999999999</v>
      </c>
      <c r="DK50">
        <v>27.759</v>
      </c>
      <c r="DL50">
        <v>499.77800000000002</v>
      </c>
      <c r="DM50">
        <v>99.067800000000005</v>
      </c>
      <c r="DN50">
        <v>9.9367300000000006E-2</v>
      </c>
      <c r="DO50">
        <v>30.236999999999998</v>
      </c>
      <c r="DP50">
        <v>30.0214</v>
      </c>
      <c r="DQ50">
        <v>999.9</v>
      </c>
      <c r="DR50">
        <v>0</v>
      </c>
      <c r="DS50">
        <v>0</v>
      </c>
      <c r="DT50">
        <v>10030</v>
      </c>
      <c r="DU50">
        <v>0</v>
      </c>
      <c r="DV50">
        <v>487.90800000000002</v>
      </c>
      <c r="DW50">
        <v>-4.1112299999999999</v>
      </c>
      <c r="DX50">
        <v>26.645099999999999</v>
      </c>
      <c r="DY50">
        <v>30.689800000000002</v>
      </c>
      <c r="DZ50">
        <v>5.9324700000000004</v>
      </c>
      <c r="EA50">
        <v>29.9953</v>
      </c>
      <c r="EB50">
        <v>22.6279</v>
      </c>
      <c r="EC50">
        <v>2.8294199999999998</v>
      </c>
      <c r="ED50">
        <v>2.2416999999999998</v>
      </c>
      <c r="EE50">
        <v>23.056699999999999</v>
      </c>
      <c r="EF50">
        <v>19.263500000000001</v>
      </c>
      <c r="EG50">
        <v>1799.97</v>
      </c>
      <c r="EH50">
        <v>0.97799800000000003</v>
      </c>
      <c r="EI50">
        <v>2.2001900000000001E-2</v>
      </c>
      <c r="EJ50">
        <v>0</v>
      </c>
      <c r="EK50">
        <v>709.39400000000001</v>
      </c>
      <c r="EL50">
        <v>5.0002700000000004</v>
      </c>
      <c r="EM50">
        <v>13392.1</v>
      </c>
      <c r="EN50">
        <v>16248.3</v>
      </c>
      <c r="EO50">
        <v>47.561999999999998</v>
      </c>
      <c r="EP50">
        <v>49.125</v>
      </c>
      <c r="EQ50">
        <v>48.686999999999998</v>
      </c>
      <c r="ER50">
        <v>48.186999999999998</v>
      </c>
      <c r="ES50">
        <v>49.25</v>
      </c>
      <c r="ET50">
        <v>1755.48</v>
      </c>
      <c r="EU50">
        <v>39.49</v>
      </c>
      <c r="EV50">
        <v>0</v>
      </c>
      <c r="EW50">
        <v>97.400000095367432</v>
      </c>
      <c r="EX50">
        <v>0</v>
      </c>
      <c r="EY50">
        <v>709.45844</v>
      </c>
      <c r="EZ50">
        <v>-1.2015384689539499</v>
      </c>
      <c r="FA50">
        <v>-31.16923076012403</v>
      </c>
      <c r="FB50">
        <v>13396.7</v>
      </c>
      <c r="FC50">
        <v>15</v>
      </c>
      <c r="FD50">
        <v>1693330514.5</v>
      </c>
      <c r="FE50" t="s">
        <v>593</v>
      </c>
      <c r="FF50">
        <v>1693330509</v>
      </c>
      <c r="FG50">
        <v>1693330514.5</v>
      </c>
      <c r="FH50">
        <v>39</v>
      </c>
      <c r="FI50">
        <v>5.8999999999999997E-2</v>
      </c>
      <c r="FJ50">
        <v>-3.0000000000000001E-3</v>
      </c>
      <c r="FK50">
        <v>1.1379999999999999</v>
      </c>
      <c r="FL50">
        <v>0.46500000000000002</v>
      </c>
      <c r="FM50">
        <v>30</v>
      </c>
      <c r="FN50">
        <v>23</v>
      </c>
      <c r="FO50">
        <v>0.71</v>
      </c>
      <c r="FP50">
        <v>0.04</v>
      </c>
      <c r="FQ50">
        <v>3.2985564302146591</v>
      </c>
      <c r="FR50">
        <v>-3.3311734048737822E-2</v>
      </c>
      <c r="FS50">
        <v>3.8423149135656538E-2</v>
      </c>
      <c r="FT50">
        <v>1</v>
      </c>
      <c r="FU50">
        <v>0.36300551370572121</v>
      </c>
      <c r="FV50">
        <v>4.0003804384643321E-2</v>
      </c>
      <c r="FW50">
        <v>3.691585738938399E-3</v>
      </c>
      <c r="FX50">
        <v>1</v>
      </c>
      <c r="FY50">
        <v>2</v>
      </c>
      <c r="FZ50">
        <v>2</v>
      </c>
      <c r="GA50" t="s">
        <v>429</v>
      </c>
      <c r="GB50">
        <v>3.1336300000000001</v>
      </c>
      <c r="GC50">
        <v>2.8647800000000001</v>
      </c>
      <c r="GD50">
        <v>6.8570799999999998E-3</v>
      </c>
      <c r="GE50">
        <v>8.5594E-3</v>
      </c>
      <c r="GF50">
        <v>0.12803800000000001</v>
      </c>
      <c r="GG50">
        <v>0.11365400000000001</v>
      </c>
      <c r="GH50">
        <v>29953.8</v>
      </c>
      <c r="GI50">
        <v>23064.6</v>
      </c>
      <c r="GJ50">
        <v>29089.599999999999</v>
      </c>
      <c r="GK50">
        <v>21689.599999999999</v>
      </c>
      <c r="GL50">
        <v>33998.1</v>
      </c>
      <c r="GM50">
        <v>26462.5</v>
      </c>
      <c r="GN50">
        <v>40378.300000000003</v>
      </c>
      <c r="GO50">
        <v>30835.200000000001</v>
      </c>
      <c r="GP50">
        <v>2.0085000000000002</v>
      </c>
      <c r="GQ50">
        <v>1.7574000000000001</v>
      </c>
      <c r="GR50">
        <v>1.8149599999999998E-2</v>
      </c>
      <c r="GS50">
        <v>0</v>
      </c>
      <c r="GT50">
        <v>29.725999999999999</v>
      </c>
      <c r="GU50">
        <v>999.9</v>
      </c>
      <c r="GV50">
        <v>34.9</v>
      </c>
      <c r="GW50">
        <v>42.7</v>
      </c>
      <c r="GX50">
        <v>30.1296</v>
      </c>
      <c r="GY50">
        <v>61.9679</v>
      </c>
      <c r="GZ50">
        <v>13.0168</v>
      </c>
      <c r="HA50">
        <v>1</v>
      </c>
      <c r="HB50">
        <v>0.452988</v>
      </c>
      <c r="HC50">
        <v>3.59382</v>
      </c>
      <c r="HD50">
        <v>20.2361</v>
      </c>
      <c r="HE50">
        <v>5.2346599999999999</v>
      </c>
      <c r="HF50">
        <v>11.98</v>
      </c>
      <c r="HG50">
        <v>4.9749999999999996</v>
      </c>
      <c r="HH50">
        <v>3.2839999999999998</v>
      </c>
      <c r="HI50">
        <v>9999</v>
      </c>
      <c r="HJ50">
        <v>9999</v>
      </c>
      <c r="HK50">
        <v>9999</v>
      </c>
      <c r="HL50">
        <v>999.9</v>
      </c>
      <c r="HM50">
        <v>1.8614200000000001</v>
      </c>
      <c r="HN50">
        <v>1.86313</v>
      </c>
      <c r="HO50">
        <v>1.8684400000000001</v>
      </c>
      <c r="HP50">
        <v>1.85928</v>
      </c>
      <c r="HQ50">
        <v>1.8575999999999999</v>
      </c>
      <c r="HR50">
        <v>1.86128</v>
      </c>
      <c r="HS50">
        <v>1.8650800000000001</v>
      </c>
      <c r="HT50">
        <v>1.8671899999999999</v>
      </c>
      <c r="HU50">
        <v>5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1.1339999999999999</v>
      </c>
      <c r="II50">
        <v>0.8014</v>
      </c>
      <c r="IJ50">
        <v>1.10693963955962</v>
      </c>
      <c r="IK50">
        <v>1.118558698776514E-3</v>
      </c>
      <c r="IL50">
        <v>-1.6939696309573479E-6</v>
      </c>
      <c r="IM50">
        <v>5.4698917449866148E-10</v>
      </c>
      <c r="IN50">
        <v>-9.0157988639452458E-2</v>
      </c>
      <c r="IO50">
        <v>-7.6058941998734366E-3</v>
      </c>
      <c r="IP50">
        <v>1.6984902717538061E-3</v>
      </c>
      <c r="IQ50">
        <v>-9.6352527008986976E-6</v>
      </c>
      <c r="IR50">
        <v>2</v>
      </c>
      <c r="IS50">
        <v>2021</v>
      </c>
      <c r="IT50">
        <v>2</v>
      </c>
      <c r="IU50">
        <v>40</v>
      </c>
      <c r="IV50">
        <v>0.6</v>
      </c>
      <c r="IW50">
        <v>0.5</v>
      </c>
      <c r="IX50">
        <v>0.21362300000000001</v>
      </c>
      <c r="IY50">
        <v>2.5854499999999998</v>
      </c>
      <c r="IZ50">
        <v>1.34399</v>
      </c>
      <c r="JA50">
        <v>2.2387700000000001</v>
      </c>
      <c r="JB50">
        <v>1.5918000000000001</v>
      </c>
      <c r="JC50">
        <v>2.49268</v>
      </c>
      <c r="JD50">
        <v>47.843699999999998</v>
      </c>
      <c r="JE50">
        <v>24.017499999999998</v>
      </c>
      <c r="JF50">
        <v>18</v>
      </c>
      <c r="JG50">
        <v>508.28899999999999</v>
      </c>
      <c r="JH50">
        <v>393.22699999999998</v>
      </c>
      <c r="JI50">
        <v>25.211200000000002</v>
      </c>
      <c r="JJ50">
        <v>33.080199999999998</v>
      </c>
      <c r="JK50">
        <v>30.000299999999999</v>
      </c>
      <c r="JL50">
        <v>32.9467</v>
      </c>
      <c r="JM50">
        <v>32.896799999999999</v>
      </c>
      <c r="JN50">
        <v>4.3525999999999998</v>
      </c>
      <c r="JO50">
        <v>24.1081</v>
      </c>
      <c r="JP50">
        <v>18.308700000000002</v>
      </c>
      <c r="JQ50">
        <v>25.2089</v>
      </c>
      <c r="JR50">
        <v>30</v>
      </c>
      <c r="JS50">
        <v>22.516300000000001</v>
      </c>
      <c r="JT50">
        <v>99.193700000000007</v>
      </c>
      <c r="JU50">
        <v>97.398200000000003</v>
      </c>
    </row>
    <row r="51" spans="1:281" x14ac:dyDescent="0.25">
      <c r="A51">
        <v>35</v>
      </c>
      <c r="B51">
        <v>1693330641.5</v>
      </c>
      <c r="C51">
        <v>8880</v>
      </c>
      <c r="D51" t="s">
        <v>594</v>
      </c>
      <c r="E51" t="s">
        <v>595</v>
      </c>
      <c r="F51" t="s">
        <v>413</v>
      </c>
      <c r="G51" t="s">
        <v>564</v>
      </c>
      <c r="H51" t="s">
        <v>565</v>
      </c>
      <c r="I51" t="s">
        <v>31</v>
      </c>
      <c r="J51">
        <v>1693330641.5</v>
      </c>
      <c r="K51">
        <f t="shared" si="46"/>
        <v>5.317772374319853E-3</v>
      </c>
      <c r="L51">
        <f t="shared" si="47"/>
        <v>5.3177723743198531</v>
      </c>
      <c r="M51">
        <f t="shared" si="48"/>
        <v>0.99500783122565051</v>
      </c>
      <c r="N51">
        <f t="shared" si="49"/>
        <v>8.7810199999999998</v>
      </c>
      <c r="O51">
        <f t="shared" si="50"/>
        <v>4.2056793273391895</v>
      </c>
      <c r="P51">
        <f t="shared" si="51"/>
        <v>0.41707875859142923</v>
      </c>
      <c r="Q51">
        <f t="shared" si="52"/>
        <v>0.87081696813142206</v>
      </c>
      <c r="R51">
        <f t="shared" si="53"/>
        <v>0.38239741821384915</v>
      </c>
      <c r="S51">
        <f t="shared" si="54"/>
        <v>2.9140650801812624</v>
      </c>
      <c r="T51">
        <f t="shared" si="55"/>
        <v>0.35654741734521017</v>
      </c>
      <c r="U51">
        <f t="shared" si="56"/>
        <v>0.2250188697064123</v>
      </c>
      <c r="V51">
        <f t="shared" si="57"/>
        <v>344.34849964456839</v>
      </c>
      <c r="W51">
        <f t="shared" si="58"/>
        <v>30.863664272343858</v>
      </c>
      <c r="X51">
        <f t="shared" si="59"/>
        <v>29.960999999999999</v>
      </c>
      <c r="Y51">
        <f t="shared" si="60"/>
        <v>4.2509151305399326</v>
      </c>
      <c r="Z51">
        <f t="shared" si="61"/>
        <v>65.487873571327796</v>
      </c>
      <c r="AA51">
        <f t="shared" si="62"/>
        <v>2.8245902013334203</v>
      </c>
      <c r="AB51">
        <f t="shared" si="63"/>
        <v>4.3131499731121146</v>
      </c>
      <c r="AC51">
        <f t="shared" si="64"/>
        <v>1.4263249292065123</v>
      </c>
      <c r="AD51">
        <f t="shared" si="65"/>
        <v>-234.51376170750552</v>
      </c>
      <c r="AE51">
        <f t="shared" si="66"/>
        <v>39.778498995812299</v>
      </c>
      <c r="AF51">
        <f t="shared" si="67"/>
        <v>3.0378402679122956</v>
      </c>
      <c r="AG51">
        <f t="shared" si="68"/>
        <v>152.65107720078748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51855.169344768168</v>
      </c>
      <c r="AM51" t="s">
        <v>415</v>
      </c>
      <c r="AN51">
        <v>10366.9</v>
      </c>
      <c r="AO51">
        <v>993.59653846153856</v>
      </c>
      <c r="AP51">
        <v>3431.87</v>
      </c>
      <c r="AQ51">
        <f t="shared" si="72"/>
        <v>0.71047955241266758</v>
      </c>
      <c r="AR51">
        <v>-3.9894345373445681</v>
      </c>
      <c r="AS51" t="s">
        <v>596</v>
      </c>
      <c r="AT51">
        <v>10380.299999999999</v>
      </c>
      <c r="AU51">
        <v>711.40444000000002</v>
      </c>
      <c r="AV51">
        <v>752.48736449348132</v>
      </c>
      <c r="AW51">
        <f t="shared" si="73"/>
        <v>5.459616524077493E-2</v>
      </c>
      <c r="AX51">
        <v>0.5</v>
      </c>
      <c r="AY51">
        <f t="shared" si="74"/>
        <v>1513.0922998222843</v>
      </c>
      <c r="AZ51">
        <f t="shared" si="75"/>
        <v>0.99500783122565051</v>
      </c>
      <c r="BA51">
        <f t="shared" si="76"/>
        <v>41.3045186128208</v>
      </c>
      <c r="BB51">
        <f t="shared" si="77"/>
        <v>3.2942090638856934E-3</v>
      </c>
      <c r="BC51">
        <f t="shared" si="78"/>
        <v>3.5607011651419289</v>
      </c>
      <c r="BD51">
        <f t="shared" si="79"/>
        <v>489.24053163142923</v>
      </c>
      <c r="BE51" t="s">
        <v>597</v>
      </c>
      <c r="BF51">
        <v>586.79999999999995</v>
      </c>
      <c r="BG51">
        <f t="shared" si="80"/>
        <v>586.79999999999995</v>
      </c>
      <c r="BH51">
        <f t="shared" si="81"/>
        <v>0.22018624140620591</v>
      </c>
      <c r="BI51">
        <f t="shared" si="82"/>
        <v>0.24795448113424259</v>
      </c>
      <c r="BJ51">
        <f t="shared" si="83"/>
        <v>0.94176334343496604</v>
      </c>
      <c r="BK51">
        <f t="shared" si="84"/>
        <v>-0.17039137838415089</v>
      </c>
      <c r="BL51">
        <f t="shared" si="85"/>
        <v>1.0988852061802477</v>
      </c>
      <c r="BM51">
        <f t="shared" si="86"/>
        <v>0.20452457329275811</v>
      </c>
      <c r="BN51">
        <f t="shared" si="87"/>
        <v>0.79547542670724192</v>
      </c>
      <c r="BO51">
        <v>2021</v>
      </c>
      <c r="BP51">
        <v>290.00000000000011</v>
      </c>
      <c r="BQ51">
        <v>739.99</v>
      </c>
      <c r="BR51">
        <v>155</v>
      </c>
      <c r="BS51">
        <v>10380.299999999999</v>
      </c>
      <c r="BT51">
        <v>737.91</v>
      </c>
      <c r="BU51">
        <v>2.08</v>
      </c>
      <c r="BV51">
        <v>300.00000000000011</v>
      </c>
      <c r="BW51">
        <v>38.4</v>
      </c>
      <c r="BX51">
        <v>752.48736449348132</v>
      </c>
      <c r="BY51">
        <v>0.97039201292699895</v>
      </c>
      <c r="BZ51">
        <v>-15.12977004402391</v>
      </c>
      <c r="CA51">
        <v>0.82374117825032911</v>
      </c>
      <c r="CB51">
        <v>0.92336154944726512</v>
      </c>
      <c r="CC51">
        <v>-1.128545406006674E-2</v>
      </c>
      <c r="CD51">
        <v>289.99999999999989</v>
      </c>
      <c r="CE51">
        <v>735.61</v>
      </c>
      <c r="CF51">
        <v>695</v>
      </c>
      <c r="CG51">
        <v>10348</v>
      </c>
      <c r="CH51">
        <v>737.87</v>
      </c>
      <c r="CI51">
        <v>-2.2599999999999998</v>
      </c>
      <c r="CW51">
        <f t="shared" si="88"/>
        <v>1799.89</v>
      </c>
      <c r="CX51">
        <f t="shared" si="89"/>
        <v>1513.0922998222843</v>
      </c>
      <c r="CY51">
        <f t="shared" si="90"/>
        <v>0.84065820679168402</v>
      </c>
      <c r="CZ51">
        <f t="shared" si="91"/>
        <v>0.19131641358336807</v>
      </c>
      <c r="DA51">
        <v>6</v>
      </c>
      <c r="DB51">
        <v>0.5</v>
      </c>
      <c r="DC51" t="s">
        <v>418</v>
      </c>
      <c r="DD51">
        <v>2</v>
      </c>
      <c r="DE51">
        <v>1693330641.5</v>
      </c>
      <c r="DF51">
        <v>8.7810199999999998</v>
      </c>
      <c r="DG51">
        <v>10.0299</v>
      </c>
      <c r="DH51">
        <v>28.482199999999999</v>
      </c>
      <c r="DI51">
        <v>22.288399999999999</v>
      </c>
      <c r="DJ51">
        <v>7.6308499999999997</v>
      </c>
      <c r="DK51">
        <v>27.6922</v>
      </c>
      <c r="DL51">
        <v>500.46600000000001</v>
      </c>
      <c r="DM51">
        <v>99.070400000000006</v>
      </c>
      <c r="DN51">
        <v>9.9966100000000002E-2</v>
      </c>
      <c r="DO51">
        <v>30.214200000000002</v>
      </c>
      <c r="DP51">
        <v>29.960999999999999</v>
      </c>
      <c r="DQ51">
        <v>999.9</v>
      </c>
      <c r="DR51">
        <v>0</v>
      </c>
      <c r="DS51">
        <v>0</v>
      </c>
      <c r="DT51">
        <v>10005</v>
      </c>
      <c r="DU51">
        <v>0</v>
      </c>
      <c r="DV51">
        <v>289.73500000000001</v>
      </c>
      <c r="DW51">
        <v>-1.24888</v>
      </c>
      <c r="DX51">
        <v>9.0384600000000006</v>
      </c>
      <c r="DY51">
        <v>10.258599999999999</v>
      </c>
      <c r="DZ51">
        <v>6.1938300000000002</v>
      </c>
      <c r="EA51">
        <v>10.0299</v>
      </c>
      <c r="EB51">
        <v>22.288399999999999</v>
      </c>
      <c r="EC51">
        <v>2.8217500000000002</v>
      </c>
      <c r="ED51">
        <v>2.2081200000000001</v>
      </c>
      <c r="EE51">
        <v>23.011900000000001</v>
      </c>
      <c r="EF51">
        <v>19.0214</v>
      </c>
      <c r="EG51">
        <v>1799.89</v>
      </c>
      <c r="EH51">
        <v>0.97799800000000003</v>
      </c>
      <c r="EI51">
        <v>2.2001900000000001E-2</v>
      </c>
      <c r="EJ51">
        <v>0</v>
      </c>
      <c r="EK51">
        <v>711.45100000000002</v>
      </c>
      <c r="EL51">
        <v>5.0002700000000004</v>
      </c>
      <c r="EM51">
        <v>13436.9</v>
      </c>
      <c r="EN51">
        <v>16247.6</v>
      </c>
      <c r="EO51">
        <v>47.75</v>
      </c>
      <c r="EP51">
        <v>49.25</v>
      </c>
      <c r="EQ51">
        <v>48.875</v>
      </c>
      <c r="ER51">
        <v>48.375</v>
      </c>
      <c r="ES51">
        <v>49.436999999999998</v>
      </c>
      <c r="ET51">
        <v>1755.4</v>
      </c>
      <c r="EU51">
        <v>39.49</v>
      </c>
      <c r="EV51">
        <v>0</v>
      </c>
      <c r="EW51">
        <v>97.400000095367432</v>
      </c>
      <c r="EX51">
        <v>0</v>
      </c>
      <c r="EY51">
        <v>711.40444000000002</v>
      </c>
      <c r="EZ51">
        <v>-1.5559999972472069</v>
      </c>
      <c r="FA51">
        <v>-31.999999932135012</v>
      </c>
      <c r="FB51">
        <v>13440.263999999999</v>
      </c>
      <c r="FC51">
        <v>15</v>
      </c>
      <c r="FD51">
        <v>1693330612.5</v>
      </c>
      <c r="FE51" t="s">
        <v>598</v>
      </c>
      <c r="FF51">
        <v>1693330608.5</v>
      </c>
      <c r="FG51">
        <v>1693330612.5</v>
      </c>
      <c r="FH51">
        <v>40</v>
      </c>
      <c r="FI51">
        <v>3.5000000000000003E-2</v>
      </c>
      <c r="FJ51">
        <v>-7.0000000000000001E-3</v>
      </c>
      <c r="FK51">
        <v>1.151</v>
      </c>
      <c r="FL51">
        <v>0.44600000000000001</v>
      </c>
      <c r="FM51">
        <v>10</v>
      </c>
      <c r="FN51">
        <v>22</v>
      </c>
      <c r="FO51">
        <v>0.83</v>
      </c>
      <c r="FP51">
        <v>0.04</v>
      </c>
      <c r="FQ51">
        <v>0.97870028900430306</v>
      </c>
      <c r="FR51">
        <v>-0.34012695955893962</v>
      </c>
      <c r="FS51">
        <v>4.9441417977235912E-2</v>
      </c>
      <c r="FT51">
        <v>1</v>
      </c>
      <c r="FU51">
        <v>0.38171987311726863</v>
      </c>
      <c r="FV51">
        <v>3.0464489240120012E-2</v>
      </c>
      <c r="FW51">
        <v>3.277807195909858E-3</v>
      </c>
      <c r="FX51">
        <v>1</v>
      </c>
      <c r="FY51">
        <v>2</v>
      </c>
      <c r="FZ51">
        <v>2</v>
      </c>
      <c r="GA51" t="s">
        <v>429</v>
      </c>
      <c r="GB51">
        <v>3.1343399999999999</v>
      </c>
      <c r="GC51">
        <v>2.86517</v>
      </c>
      <c r="GD51">
        <v>2.1156899999999999E-3</v>
      </c>
      <c r="GE51">
        <v>2.8661699999999999E-3</v>
      </c>
      <c r="GF51">
        <v>0.12779499999999999</v>
      </c>
      <c r="GG51">
        <v>0.11243599999999999</v>
      </c>
      <c r="GH51">
        <v>30089</v>
      </c>
      <c r="GI51">
        <v>23193</v>
      </c>
      <c r="GJ51">
        <v>29082.7</v>
      </c>
      <c r="GK51">
        <v>21686.2</v>
      </c>
      <c r="GL51">
        <v>34001.1</v>
      </c>
      <c r="GM51">
        <v>26494.7</v>
      </c>
      <c r="GN51">
        <v>40369.4</v>
      </c>
      <c r="GO51">
        <v>30830.5</v>
      </c>
      <c r="GP51">
        <v>2.0083000000000002</v>
      </c>
      <c r="GQ51">
        <v>1.7534000000000001</v>
      </c>
      <c r="GR51">
        <v>1.19805E-2</v>
      </c>
      <c r="GS51">
        <v>0</v>
      </c>
      <c r="GT51">
        <v>29.765999999999998</v>
      </c>
      <c r="GU51">
        <v>999.9</v>
      </c>
      <c r="GV51">
        <v>34.5</v>
      </c>
      <c r="GW51">
        <v>42.9</v>
      </c>
      <c r="GX51">
        <v>30.096699999999998</v>
      </c>
      <c r="GY51">
        <v>62.207900000000002</v>
      </c>
      <c r="GZ51">
        <v>13.036899999999999</v>
      </c>
      <c r="HA51">
        <v>1</v>
      </c>
      <c r="HB51">
        <v>0.46176800000000001</v>
      </c>
      <c r="HC51">
        <v>3.2254200000000002</v>
      </c>
      <c r="HD51">
        <v>20.244299999999999</v>
      </c>
      <c r="HE51">
        <v>5.2340600000000004</v>
      </c>
      <c r="HF51">
        <v>11.98</v>
      </c>
      <c r="HG51">
        <v>4.9756</v>
      </c>
      <c r="HH51">
        <v>3.2839999999999998</v>
      </c>
      <c r="HI51">
        <v>9999</v>
      </c>
      <c r="HJ51">
        <v>9999</v>
      </c>
      <c r="HK51">
        <v>9999</v>
      </c>
      <c r="HL51">
        <v>999.9</v>
      </c>
      <c r="HM51">
        <v>1.8614299999999999</v>
      </c>
      <c r="HN51">
        <v>1.8631599999999999</v>
      </c>
      <c r="HO51">
        <v>1.8684400000000001</v>
      </c>
      <c r="HP51">
        <v>1.85928</v>
      </c>
      <c r="HQ51">
        <v>1.8575999999999999</v>
      </c>
      <c r="HR51">
        <v>1.86128</v>
      </c>
      <c r="HS51">
        <v>1.8650800000000001</v>
      </c>
      <c r="HT51">
        <v>1.8671800000000001</v>
      </c>
      <c r="HU51">
        <v>5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1.1499999999999999</v>
      </c>
      <c r="II51">
        <v>0.79</v>
      </c>
      <c r="IJ51">
        <v>1.141730822009285</v>
      </c>
      <c r="IK51">
        <v>1.118558698776514E-3</v>
      </c>
      <c r="IL51">
        <v>-1.6939696309573479E-6</v>
      </c>
      <c r="IM51">
        <v>5.4698917449866148E-10</v>
      </c>
      <c r="IN51">
        <v>-9.7178635667981239E-2</v>
      </c>
      <c r="IO51">
        <v>-7.6058941998734366E-3</v>
      </c>
      <c r="IP51">
        <v>1.6984902717538061E-3</v>
      </c>
      <c r="IQ51">
        <v>-9.6352527008986976E-6</v>
      </c>
      <c r="IR51">
        <v>2</v>
      </c>
      <c r="IS51">
        <v>2021</v>
      </c>
      <c r="IT51">
        <v>2</v>
      </c>
      <c r="IU51">
        <v>40</v>
      </c>
      <c r="IV51">
        <v>0.6</v>
      </c>
      <c r="IW51">
        <v>0.5</v>
      </c>
      <c r="IX51">
        <v>0.169678</v>
      </c>
      <c r="IY51">
        <v>2.6049799999999999</v>
      </c>
      <c r="IZ51">
        <v>1.34399</v>
      </c>
      <c r="JA51">
        <v>2.2387700000000001</v>
      </c>
      <c r="JB51">
        <v>1.5918000000000001</v>
      </c>
      <c r="JC51">
        <v>2.4645999999999999</v>
      </c>
      <c r="JD51">
        <v>47.9955</v>
      </c>
      <c r="JE51">
        <v>24.052499999999998</v>
      </c>
      <c r="JF51">
        <v>18</v>
      </c>
      <c r="JG51">
        <v>509.00700000000001</v>
      </c>
      <c r="JH51">
        <v>391.48599999999999</v>
      </c>
      <c r="JI51">
        <v>25.4373</v>
      </c>
      <c r="JJ51">
        <v>33.207700000000003</v>
      </c>
      <c r="JK51">
        <v>30.000499999999999</v>
      </c>
      <c r="JL51">
        <v>33.046300000000002</v>
      </c>
      <c r="JM51">
        <v>32.993099999999998</v>
      </c>
      <c r="JN51">
        <v>3.4704700000000002</v>
      </c>
      <c r="JO51">
        <v>24.664400000000001</v>
      </c>
      <c r="JP51">
        <v>16.1568</v>
      </c>
      <c r="JQ51">
        <v>25.439599999999999</v>
      </c>
      <c r="JR51">
        <v>10</v>
      </c>
      <c r="JS51">
        <v>22.1996</v>
      </c>
      <c r="JT51">
        <v>99.171199999999999</v>
      </c>
      <c r="JU51">
        <v>97.383399999999995</v>
      </c>
    </row>
    <row r="52" spans="1:281" x14ac:dyDescent="0.25">
      <c r="A52">
        <v>36</v>
      </c>
      <c r="B52">
        <v>1693330831</v>
      </c>
      <c r="C52">
        <v>9069.5</v>
      </c>
      <c r="D52" t="s">
        <v>599</v>
      </c>
      <c r="E52" t="s">
        <v>600</v>
      </c>
      <c r="F52" t="s">
        <v>413</v>
      </c>
      <c r="G52" t="s">
        <v>564</v>
      </c>
      <c r="H52" t="s">
        <v>565</v>
      </c>
      <c r="I52" t="s">
        <v>31</v>
      </c>
      <c r="J52">
        <v>1693330831</v>
      </c>
      <c r="K52">
        <f t="shared" si="46"/>
        <v>5.1192165012768276E-3</v>
      </c>
      <c r="L52">
        <f t="shared" si="47"/>
        <v>5.1192165012768278</v>
      </c>
      <c r="M52">
        <f t="shared" si="48"/>
        <v>34.206279676904167</v>
      </c>
      <c r="N52">
        <f t="shared" si="49"/>
        <v>356.85899999999998</v>
      </c>
      <c r="O52">
        <f t="shared" si="50"/>
        <v>188.88012757032979</v>
      </c>
      <c r="P52">
        <f t="shared" si="51"/>
        <v>18.729579123850321</v>
      </c>
      <c r="Q52">
        <f t="shared" si="52"/>
        <v>35.386564815133191</v>
      </c>
      <c r="R52">
        <f t="shared" si="53"/>
        <v>0.35881981507295402</v>
      </c>
      <c r="S52">
        <f t="shared" si="54"/>
        <v>2.9252470428524786</v>
      </c>
      <c r="T52">
        <f t="shared" si="55"/>
        <v>0.33603847295889006</v>
      </c>
      <c r="U52">
        <f t="shared" si="56"/>
        <v>0.21195021454520013</v>
      </c>
      <c r="V52">
        <f t="shared" si="57"/>
        <v>344.3864996446078</v>
      </c>
      <c r="W52">
        <f t="shared" si="58"/>
        <v>30.997732937594094</v>
      </c>
      <c r="X52">
        <f t="shared" si="59"/>
        <v>30.008900000000001</v>
      </c>
      <c r="Y52">
        <f t="shared" si="60"/>
        <v>4.2626282366619623</v>
      </c>
      <c r="Z52">
        <f t="shared" si="61"/>
        <v>64.738520128408013</v>
      </c>
      <c r="AA52">
        <f t="shared" si="62"/>
        <v>2.8058453358218398</v>
      </c>
      <c r="AB52">
        <f t="shared" si="63"/>
        <v>4.3341202892134119</v>
      </c>
      <c r="AC52">
        <f t="shared" si="64"/>
        <v>1.4567829008401225</v>
      </c>
      <c r="AD52">
        <f t="shared" si="65"/>
        <v>-225.75744770630808</v>
      </c>
      <c r="AE52">
        <f t="shared" si="66"/>
        <v>45.718945794678703</v>
      </c>
      <c r="AF52">
        <f t="shared" si="67"/>
        <v>3.4804406311061031</v>
      </c>
      <c r="AG52">
        <f t="shared" si="68"/>
        <v>167.82843836408449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52158.702894093316</v>
      </c>
      <c r="AM52" t="s">
        <v>415</v>
      </c>
      <c r="AN52">
        <v>10366.9</v>
      </c>
      <c r="AO52">
        <v>993.59653846153856</v>
      </c>
      <c r="AP52">
        <v>3431.87</v>
      </c>
      <c r="AQ52">
        <f t="shared" si="72"/>
        <v>0.71047955241266758</v>
      </c>
      <c r="AR52">
        <v>-3.9894345373445681</v>
      </c>
      <c r="AS52" t="s">
        <v>601</v>
      </c>
      <c r="AT52">
        <v>10386.6</v>
      </c>
      <c r="AU52">
        <v>710.85887999999989</v>
      </c>
      <c r="AV52">
        <v>956.44940472638245</v>
      </c>
      <c r="AW52">
        <f t="shared" si="73"/>
        <v>0.25677314817989794</v>
      </c>
      <c r="AX52">
        <v>0.5</v>
      </c>
      <c r="AY52">
        <f t="shared" si="74"/>
        <v>1513.2602998223038</v>
      </c>
      <c r="AZ52">
        <f t="shared" si="75"/>
        <v>34.206279676904167</v>
      </c>
      <c r="BA52">
        <f t="shared" si="76"/>
        <v>194.28230560051458</v>
      </c>
      <c r="BB52">
        <f t="shared" si="77"/>
        <v>2.5240676847687018E-2</v>
      </c>
      <c r="BC52">
        <f t="shared" si="78"/>
        <v>2.5881354340763867</v>
      </c>
      <c r="BD52">
        <f t="shared" si="79"/>
        <v>567.99076270053149</v>
      </c>
      <c r="BE52" t="s">
        <v>602</v>
      </c>
      <c r="BF52">
        <v>566.89</v>
      </c>
      <c r="BG52">
        <f t="shared" si="80"/>
        <v>566.89</v>
      </c>
      <c r="BH52">
        <f t="shared" si="81"/>
        <v>0.40729745117863936</v>
      </c>
      <c r="BI52">
        <f t="shared" si="82"/>
        <v>0.63043151249006468</v>
      </c>
      <c r="BJ52">
        <f t="shared" si="83"/>
        <v>0.8640271817861267</v>
      </c>
      <c r="BK52">
        <f t="shared" si="84"/>
        <v>-6.6112913711551133</v>
      </c>
      <c r="BL52">
        <f t="shared" si="85"/>
        <v>1.0152350153996743</v>
      </c>
      <c r="BM52">
        <f t="shared" si="86"/>
        <v>0.50275143234546471</v>
      </c>
      <c r="BN52">
        <f t="shared" si="87"/>
        <v>0.49724856765453529</v>
      </c>
      <c r="BO52">
        <v>2023</v>
      </c>
      <c r="BP52">
        <v>290.00000000000011</v>
      </c>
      <c r="BQ52">
        <v>877.01</v>
      </c>
      <c r="BR52">
        <v>125</v>
      </c>
      <c r="BS52">
        <v>10386.6</v>
      </c>
      <c r="BT52">
        <v>875.59</v>
      </c>
      <c r="BU52">
        <v>1.42</v>
      </c>
      <c r="BV52">
        <v>300.00000000000011</v>
      </c>
      <c r="BW52">
        <v>38.4</v>
      </c>
      <c r="BX52">
        <v>956.44940472638245</v>
      </c>
      <c r="BY52">
        <v>1.1537652543233381</v>
      </c>
      <c r="BZ52">
        <v>-83.986767517206559</v>
      </c>
      <c r="CA52">
        <v>0.97942251010009806</v>
      </c>
      <c r="CB52">
        <v>0.99620662405402904</v>
      </c>
      <c r="CC52">
        <v>-1.128623804226919E-2</v>
      </c>
      <c r="CD52">
        <v>289.99999999999989</v>
      </c>
      <c r="CE52">
        <v>859.45</v>
      </c>
      <c r="CF52">
        <v>665</v>
      </c>
      <c r="CG52">
        <v>10350.9</v>
      </c>
      <c r="CH52">
        <v>875.31</v>
      </c>
      <c r="CI52">
        <v>-15.86</v>
      </c>
      <c r="CW52">
        <f t="shared" si="88"/>
        <v>1800.09</v>
      </c>
      <c r="CX52">
        <f t="shared" si="89"/>
        <v>1513.2602998223038</v>
      </c>
      <c r="CY52">
        <f t="shared" si="90"/>
        <v>0.84065813366126352</v>
      </c>
      <c r="CZ52">
        <f t="shared" si="91"/>
        <v>0.1913162673225271</v>
      </c>
      <c r="DA52">
        <v>6</v>
      </c>
      <c r="DB52">
        <v>0.5</v>
      </c>
      <c r="DC52" t="s">
        <v>418</v>
      </c>
      <c r="DD52">
        <v>2</v>
      </c>
      <c r="DE52">
        <v>1693330831</v>
      </c>
      <c r="DF52">
        <v>356.85899999999998</v>
      </c>
      <c r="DG52">
        <v>400.12599999999998</v>
      </c>
      <c r="DH52">
        <v>28.2958</v>
      </c>
      <c r="DI52">
        <v>22.322800000000001</v>
      </c>
      <c r="DJ52">
        <v>355.31700000000001</v>
      </c>
      <c r="DK52">
        <v>27.5138</v>
      </c>
      <c r="DL52">
        <v>499.685</v>
      </c>
      <c r="DM52">
        <v>99.061499999999995</v>
      </c>
      <c r="DN52">
        <v>9.96948E-2</v>
      </c>
      <c r="DO52">
        <v>30.2988</v>
      </c>
      <c r="DP52">
        <v>30.008900000000001</v>
      </c>
      <c r="DQ52">
        <v>999.9</v>
      </c>
      <c r="DR52">
        <v>0</v>
      </c>
      <c r="DS52">
        <v>0</v>
      </c>
      <c r="DT52">
        <v>10070</v>
      </c>
      <c r="DU52">
        <v>0</v>
      </c>
      <c r="DV52">
        <v>297.66000000000003</v>
      </c>
      <c r="DW52">
        <v>-43.2669</v>
      </c>
      <c r="DX52">
        <v>367.25099999999998</v>
      </c>
      <c r="DY52">
        <v>409.262</v>
      </c>
      <c r="DZ52">
        <v>5.9729599999999996</v>
      </c>
      <c r="EA52">
        <v>400.12599999999998</v>
      </c>
      <c r="EB52">
        <v>22.322800000000001</v>
      </c>
      <c r="EC52">
        <v>2.8030200000000001</v>
      </c>
      <c r="ED52">
        <v>2.2113299999999998</v>
      </c>
      <c r="EE52">
        <v>22.901900000000001</v>
      </c>
      <c r="EF52">
        <v>19.044599999999999</v>
      </c>
      <c r="EG52">
        <v>1800.09</v>
      </c>
      <c r="EH52">
        <v>0.97800200000000004</v>
      </c>
      <c r="EI52">
        <v>2.1998199999999999E-2</v>
      </c>
      <c r="EJ52">
        <v>0</v>
      </c>
      <c r="EK52">
        <v>709.96299999999997</v>
      </c>
      <c r="EL52">
        <v>5.0002700000000004</v>
      </c>
      <c r="EM52">
        <v>13426.5</v>
      </c>
      <c r="EN52">
        <v>16249.4</v>
      </c>
      <c r="EO52">
        <v>47.875</v>
      </c>
      <c r="EP52">
        <v>49.436999999999998</v>
      </c>
      <c r="EQ52">
        <v>49</v>
      </c>
      <c r="ER52">
        <v>48.5</v>
      </c>
      <c r="ES52">
        <v>49.561999999999998</v>
      </c>
      <c r="ET52">
        <v>1755.6</v>
      </c>
      <c r="EU52">
        <v>39.49</v>
      </c>
      <c r="EV52">
        <v>0</v>
      </c>
      <c r="EW52">
        <v>187.4000000953674</v>
      </c>
      <c r="EX52">
        <v>0</v>
      </c>
      <c r="EY52">
        <v>710.85887999999989</v>
      </c>
      <c r="EZ52">
        <v>-6.0662307628566756</v>
      </c>
      <c r="FA52">
        <v>-114.9230767233832</v>
      </c>
      <c r="FB52">
        <v>13440.868</v>
      </c>
      <c r="FC52">
        <v>15</v>
      </c>
      <c r="FD52">
        <v>1693330742</v>
      </c>
      <c r="FE52" t="s">
        <v>603</v>
      </c>
      <c r="FF52">
        <v>1693330729</v>
      </c>
      <c r="FG52">
        <v>1693330742</v>
      </c>
      <c r="FH52">
        <v>41</v>
      </c>
      <c r="FI52">
        <v>0.192</v>
      </c>
      <c r="FJ52">
        <v>3.0000000000000001E-3</v>
      </c>
      <c r="FK52">
        <v>1.546</v>
      </c>
      <c r="FL52">
        <v>0.437</v>
      </c>
      <c r="FM52">
        <v>400</v>
      </c>
      <c r="FN52">
        <v>22</v>
      </c>
      <c r="FO52">
        <v>0.26</v>
      </c>
      <c r="FP52">
        <v>0.05</v>
      </c>
      <c r="FQ52">
        <v>33.819807332935127</v>
      </c>
      <c r="FR52">
        <v>2.1211058229160331</v>
      </c>
      <c r="FS52">
        <v>0.17757013487478029</v>
      </c>
      <c r="FT52">
        <v>0</v>
      </c>
      <c r="FU52">
        <v>0.36298594550894681</v>
      </c>
      <c r="FV52">
        <v>-2.1142333618930829E-2</v>
      </c>
      <c r="FW52">
        <v>1.644304280092463E-3</v>
      </c>
      <c r="FX52">
        <v>1</v>
      </c>
      <c r="FY52">
        <v>1</v>
      </c>
      <c r="FZ52">
        <v>2</v>
      </c>
      <c r="GA52" t="s">
        <v>420</v>
      </c>
      <c r="GB52">
        <v>3.1334499999999998</v>
      </c>
      <c r="GC52">
        <v>2.8654600000000001</v>
      </c>
      <c r="GD52">
        <v>8.3748400000000001E-2</v>
      </c>
      <c r="GE52">
        <v>9.4301700000000002E-2</v>
      </c>
      <c r="GF52">
        <v>0.127163</v>
      </c>
      <c r="GG52">
        <v>0.112509</v>
      </c>
      <c r="GH52">
        <v>27622.1</v>
      </c>
      <c r="GI52">
        <v>21061.8</v>
      </c>
      <c r="GJ52">
        <v>29077.4</v>
      </c>
      <c r="GK52">
        <v>21681.7</v>
      </c>
      <c r="GL52">
        <v>34029.699999999997</v>
      </c>
      <c r="GM52">
        <v>26494.799999999999</v>
      </c>
      <c r="GN52">
        <v>40362.1</v>
      </c>
      <c r="GO52">
        <v>30824.5</v>
      </c>
      <c r="GP52">
        <v>2.0068000000000001</v>
      </c>
      <c r="GQ52">
        <v>1.75</v>
      </c>
      <c r="GR52">
        <v>1.35005E-2</v>
      </c>
      <c r="GS52">
        <v>0</v>
      </c>
      <c r="GT52">
        <v>29.789200000000001</v>
      </c>
      <c r="GU52">
        <v>999.9</v>
      </c>
      <c r="GV52">
        <v>33.6</v>
      </c>
      <c r="GW52">
        <v>43.2</v>
      </c>
      <c r="GX52">
        <v>29.774100000000001</v>
      </c>
      <c r="GY52">
        <v>61.898000000000003</v>
      </c>
      <c r="GZ52">
        <v>13.2171</v>
      </c>
      <c r="HA52">
        <v>1</v>
      </c>
      <c r="HB52">
        <v>0.47329300000000002</v>
      </c>
      <c r="HC52">
        <v>3.2726600000000001</v>
      </c>
      <c r="HD52">
        <v>20.298999999999999</v>
      </c>
      <c r="HE52">
        <v>5.2340600000000004</v>
      </c>
      <c r="HF52">
        <v>11.98</v>
      </c>
      <c r="HG52">
        <v>4.9753999999999996</v>
      </c>
      <c r="HH52">
        <v>3.2839999999999998</v>
      </c>
      <c r="HI52">
        <v>9999</v>
      </c>
      <c r="HJ52">
        <v>9999</v>
      </c>
      <c r="HK52">
        <v>9999</v>
      </c>
      <c r="HL52">
        <v>999.9</v>
      </c>
      <c r="HM52">
        <v>1.86134</v>
      </c>
      <c r="HN52">
        <v>1.8631</v>
      </c>
      <c r="HO52">
        <v>1.8683399999999999</v>
      </c>
      <c r="HP52">
        <v>1.8591299999999999</v>
      </c>
      <c r="HQ52">
        <v>1.8574900000000001</v>
      </c>
      <c r="HR52">
        <v>1.86124</v>
      </c>
      <c r="HS52">
        <v>1.8649899999999999</v>
      </c>
      <c r="HT52">
        <v>1.86707</v>
      </c>
      <c r="HU52">
        <v>5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1.542</v>
      </c>
      <c r="II52">
        <v>0.78200000000000003</v>
      </c>
      <c r="IJ52">
        <v>1.334142823526989</v>
      </c>
      <c r="IK52">
        <v>1.118558698776514E-3</v>
      </c>
      <c r="IL52">
        <v>-1.6939696309573479E-6</v>
      </c>
      <c r="IM52">
        <v>5.4698917449866148E-10</v>
      </c>
      <c r="IN52">
        <v>-9.3888157448172471E-2</v>
      </c>
      <c r="IO52">
        <v>-7.6058941998734366E-3</v>
      </c>
      <c r="IP52">
        <v>1.6984902717538061E-3</v>
      </c>
      <c r="IQ52">
        <v>-9.6352527008986976E-6</v>
      </c>
      <c r="IR52">
        <v>2</v>
      </c>
      <c r="IS52">
        <v>2021</v>
      </c>
      <c r="IT52">
        <v>2</v>
      </c>
      <c r="IU52">
        <v>40</v>
      </c>
      <c r="IV52">
        <v>1.7</v>
      </c>
      <c r="IW52">
        <v>1.5</v>
      </c>
      <c r="IX52">
        <v>1.03027</v>
      </c>
      <c r="IY52">
        <v>2.5463900000000002</v>
      </c>
      <c r="IZ52">
        <v>1.34399</v>
      </c>
      <c r="JA52">
        <v>2.2387700000000001</v>
      </c>
      <c r="JB52">
        <v>1.5918000000000001</v>
      </c>
      <c r="JC52">
        <v>2.5061</v>
      </c>
      <c r="JD52">
        <v>48.117400000000004</v>
      </c>
      <c r="JE52">
        <v>16.189699999999998</v>
      </c>
      <c r="JF52">
        <v>18</v>
      </c>
      <c r="JG52">
        <v>509.27199999999999</v>
      </c>
      <c r="JH52">
        <v>390.47300000000001</v>
      </c>
      <c r="JI52">
        <v>25.570799999999998</v>
      </c>
      <c r="JJ52">
        <v>33.362200000000001</v>
      </c>
      <c r="JK52">
        <v>30</v>
      </c>
      <c r="JL52">
        <v>33.193600000000004</v>
      </c>
      <c r="JM52">
        <v>33.142800000000001</v>
      </c>
      <c r="JN52">
        <v>20.699100000000001</v>
      </c>
      <c r="JO52">
        <v>22.441700000000001</v>
      </c>
      <c r="JP52">
        <v>12.5868</v>
      </c>
      <c r="JQ52">
        <v>25.559699999999999</v>
      </c>
      <c r="JR52">
        <v>400</v>
      </c>
      <c r="JS52">
        <v>22.448499999999999</v>
      </c>
      <c r="JT52">
        <v>99.153099999999995</v>
      </c>
      <c r="JU52">
        <v>97.364000000000004</v>
      </c>
    </row>
    <row r="53" spans="1:281" x14ac:dyDescent="0.25">
      <c r="A53">
        <v>37</v>
      </c>
      <c r="B53">
        <v>1693330934</v>
      </c>
      <c r="C53">
        <v>9172.5</v>
      </c>
      <c r="D53" t="s">
        <v>604</v>
      </c>
      <c r="E53" t="s">
        <v>605</v>
      </c>
      <c r="F53" t="s">
        <v>413</v>
      </c>
      <c r="G53" t="s">
        <v>564</v>
      </c>
      <c r="H53" t="s">
        <v>565</v>
      </c>
      <c r="I53" t="s">
        <v>31</v>
      </c>
      <c r="J53">
        <v>1693330934</v>
      </c>
      <c r="K53">
        <f t="shared" si="46"/>
        <v>4.6890438889380668E-3</v>
      </c>
      <c r="L53">
        <f t="shared" si="47"/>
        <v>4.689043888938067</v>
      </c>
      <c r="M53">
        <f t="shared" si="48"/>
        <v>36.895118773525375</v>
      </c>
      <c r="N53">
        <f t="shared" si="49"/>
        <v>353.73700000000002</v>
      </c>
      <c r="O53">
        <f t="shared" si="50"/>
        <v>158.55272397320587</v>
      </c>
      <c r="P53">
        <f t="shared" si="51"/>
        <v>15.72278888051251</v>
      </c>
      <c r="Q53">
        <f t="shared" si="52"/>
        <v>35.078124366792601</v>
      </c>
      <c r="R53">
        <f t="shared" si="53"/>
        <v>0.32899198166847071</v>
      </c>
      <c r="S53">
        <f t="shared" si="54"/>
        <v>2.9139644374795211</v>
      </c>
      <c r="T53">
        <f t="shared" si="55"/>
        <v>0.30966179234774804</v>
      </c>
      <c r="U53">
        <f t="shared" si="56"/>
        <v>0.19518064697013221</v>
      </c>
      <c r="V53">
        <f t="shared" si="57"/>
        <v>344.35169964466229</v>
      </c>
      <c r="W53">
        <f t="shared" si="58"/>
        <v>31.078132626801512</v>
      </c>
      <c r="X53">
        <f t="shared" si="59"/>
        <v>30.0291</v>
      </c>
      <c r="Y53">
        <f t="shared" si="60"/>
        <v>4.2675762185223851</v>
      </c>
      <c r="Z53">
        <f t="shared" si="61"/>
        <v>65.184111429322058</v>
      </c>
      <c r="AA53">
        <f t="shared" si="62"/>
        <v>2.8196411125932004</v>
      </c>
      <c r="AB53">
        <f t="shared" si="63"/>
        <v>4.325657051642847</v>
      </c>
      <c r="AC53">
        <f t="shared" si="64"/>
        <v>1.4479351059291847</v>
      </c>
      <c r="AD53">
        <f t="shared" si="65"/>
        <v>-206.78683550216874</v>
      </c>
      <c r="AE53">
        <f t="shared" si="66"/>
        <v>37.012206517500339</v>
      </c>
      <c r="AF53">
        <f t="shared" si="67"/>
        <v>2.8283385781249084</v>
      </c>
      <c r="AG53">
        <f t="shared" si="68"/>
        <v>177.40540923811878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51843.551377782263</v>
      </c>
      <c r="AM53" t="s">
        <v>415</v>
      </c>
      <c r="AN53">
        <v>10366.9</v>
      </c>
      <c r="AO53">
        <v>993.59653846153856</v>
      </c>
      <c r="AP53">
        <v>3431.87</v>
      </c>
      <c r="AQ53">
        <f t="shared" si="72"/>
        <v>0.71047955241266758</v>
      </c>
      <c r="AR53">
        <v>-3.9894345373445681</v>
      </c>
      <c r="AS53" t="s">
        <v>606</v>
      </c>
      <c r="AT53">
        <v>10378.200000000001</v>
      </c>
      <c r="AU53">
        <v>712.0986153846153</v>
      </c>
      <c r="AV53">
        <v>964.8769241818685</v>
      </c>
      <c r="AW53">
        <f t="shared" si="73"/>
        <v>0.26197984681993214</v>
      </c>
      <c r="AX53">
        <v>0.5</v>
      </c>
      <c r="AY53">
        <f t="shared" si="74"/>
        <v>1513.1087998223313</v>
      </c>
      <c r="AZ53">
        <f t="shared" si="75"/>
        <v>36.895118773525375</v>
      </c>
      <c r="BA53">
        <f t="shared" si="76"/>
        <v>198.20200579967286</v>
      </c>
      <c r="BB53">
        <f t="shared" si="77"/>
        <v>2.7020233651189256E-2</v>
      </c>
      <c r="BC53">
        <f t="shared" si="78"/>
        <v>2.5567956015840325</v>
      </c>
      <c r="BD53">
        <f t="shared" si="79"/>
        <v>570.95222963929882</v>
      </c>
      <c r="BE53" t="s">
        <v>607</v>
      </c>
      <c r="BF53">
        <v>574.46</v>
      </c>
      <c r="BG53">
        <f t="shared" si="80"/>
        <v>574.46</v>
      </c>
      <c r="BH53">
        <f t="shared" si="81"/>
        <v>0.40462872973452857</v>
      </c>
      <c r="BI53">
        <f t="shared" si="82"/>
        <v>0.64745735428083317</v>
      </c>
      <c r="BJ53">
        <f t="shared" si="83"/>
        <v>0.86336685173570871</v>
      </c>
      <c r="BK53">
        <f t="shared" si="84"/>
        <v>-8.8015913561969068</v>
      </c>
      <c r="BL53">
        <f t="shared" si="85"/>
        <v>1.0117786682801151</v>
      </c>
      <c r="BM53">
        <f t="shared" si="86"/>
        <v>0.52231298264676151</v>
      </c>
      <c r="BN53">
        <f t="shared" si="87"/>
        <v>0.47768701735323849</v>
      </c>
      <c r="BO53">
        <v>2025</v>
      </c>
      <c r="BP53">
        <v>290.00000000000011</v>
      </c>
      <c r="BQ53">
        <v>891.32</v>
      </c>
      <c r="BR53">
        <v>165</v>
      </c>
      <c r="BS53">
        <v>10378.200000000001</v>
      </c>
      <c r="BT53">
        <v>888.41</v>
      </c>
      <c r="BU53">
        <v>2.91</v>
      </c>
      <c r="BV53">
        <v>300.00000000000011</v>
      </c>
      <c r="BW53">
        <v>38.4</v>
      </c>
      <c r="BX53">
        <v>964.8769241818685</v>
      </c>
      <c r="BY53">
        <v>1.0566182032361731</v>
      </c>
      <c r="BZ53">
        <v>-79.359358818254165</v>
      </c>
      <c r="CA53">
        <v>0.89688162304130759</v>
      </c>
      <c r="CB53">
        <v>0.99643646037724853</v>
      </c>
      <c r="CC53">
        <v>-1.1285360177975519E-2</v>
      </c>
      <c r="CD53">
        <v>289.99999999999989</v>
      </c>
      <c r="CE53">
        <v>878.65</v>
      </c>
      <c r="CF53">
        <v>675</v>
      </c>
      <c r="CG53">
        <v>10349.200000000001</v>
      </c>
      <c r="CH53">
        <v>888.2</v>
      </c>
      <c r="CI53">
        <v>-9.5500000000000007</v>
      </c>
      <c r="CW53">
        <f t="shared" si="88"/>
        <v>1799.91</v>
      </c>
      <c r="CX53">
        <f t="shared" si="89"/>
        <v>1513.1087998223313</v>
      </c>
      <c r="CY53">
        <f t="shared" si="90"/>
        <v>0.84065803280293527</v>
      </c>
      <c r="CZ53">
        <f t="shared" si="91"/>
        <v>0.19131606560587044</v>
      </c>
      <c r="DA53">
        <v>6</v>
      </c>
      <c r="DB53">
        <v>0.5</v>
      </c>
      <c r="DC53" t="s">
        <v>418</v>
      </c>
      <c r="DD53">
        <v>2</v>
      </c>
      <c r="DE53">
        <v>1693330934</v>
      </c>
      <c r="DF53">
        <v>353.73700000000002</v>
      </c>
      <c r="DG53">
        <v>400.04</v>
      </c>
      <c r="DH53">
        <v>28.434000000000001</v>
      </c>
      <c r="DI53">
        <v>22.962599999999998</v>
      </c>
      <c r="DJ53">
        <v>352.24200000000002</v>
      </c>
      <c r="DK53">
        <v>27.645399999999999</v>
      </c>
      <c r="DL53">
        <v>499.58499999999998</v>
      </c>
      <c r="DM53">
        <v>99.064700000000002</v>
      </c>
      <c r="DN53">
        <v>9.9719799999999997E-2</v>
      </c>
      <c r="DO53">
        <v>30.264700000000001</v>
      </c>
      <c r="DP53">
        <v>30.0291</v>
      </c>
      <c r="DQ53">
        <v>999.9</v>
      </c>
      <c r="DR53">
        <v>0</v>
      </c>
      <c r="DS53">
        <v>0</v>
      </c>
      <c r="DT53">
        <v>10005</v>
      </c>
      <c r="DU53">
        <v>0</v>
      </c>
      <c r="DV53">
        <v>793.74099999999999</v>
      </c>
      <c r="DW53">
        <v>-46.303100000000001</v>
      </c>
      <c r="DX53">
        <v>364.089</v>
      </c>
      <c r="DY53">
        <v>409.44200000000001</v>
      </c>
      <c r="DZ53">
        <v>5.4714200000000002</v>
      </c>
      <c r="EA53">
        <v>400.04</v>
      </c>
      <c r="EB53">
        <v>22.962599999999998</v>
      </c>
      <c r="EC53">
        <v>2.8168000000000002</v>
      </c>
      <c r="ED53">
        <v>2.2747799999999998</v>
      </c>
      <c r="EE53">
        <v>22.982900000000001</v>
      </c>
      <c r="EF53">
        <v>19.498899999999999</v>
      </c>
      <c r="EG53">
        <v>1799.91</v>
      </c>
      <c r="EH53">
        <v>0.97800200000000004</v>
      </c>
      <c r="EI53">
        <v>2.1998199999999999E-2</v>
      </c>
      <c r="EJ53">
        <v>0</v>
      </c>
      <c r="EK53">
        <v>713.27200000000005</v>
      </c>
      <c r="EL53">
        <v>5.0002700000000004</v>
      </c>
      <c r="EM53">
        <v>13501.8</v>
      </c>
      <c r="EN53">
        <v>16247.8</v>
      </c>
      <c r="EO53">
        <v>47.936999999999998</v>
      </c>
      <c r="EP53">
        <v>49.5</v>
      </c>
      <c r="EQ53">
        <v>49.125</v>
      </c>
      <c r="ER53">
        <v>48.625</v>
      </c>
      <c r="ES53">
        <v>49.686999999999998</v>
      </c>
      <c r="ET53">
        <v>1755.43</v>
      </c>
      <c r="EU53">
        <v>39.479999999999997</v>
      </c>
      <c r="EV53">
        <v>0</v>
      </c>
      <c r="EW53">
        <v>101</v>
      </c>
      <c r="EX53">
        <v>0</v>
      </c>
      <c r="EY53">
        <v>712.0986153846153</v>
      </c>
      <c r="EZ53">
        <v>9.861470074828711</v>
      </c>
      <c r="FA53">
        <v>175.01538445942629</v>
      </c>
      <c r="FB53">
        <v>13479.7</v>
      </c>
      <c r="FC53">
        <v>15</v>
      </c>
      <c r="FD53">
        <v>1693330906.5</v>
      </c>
      <c r="FE53" t="s">
        <v>608</v>
      </c>
      <c r="FF53">
        <v>1693330900.5</v>
      </c>
      <c r="FG53">
        <v>1693330906.5</v>
      </c>
      <c r="FH53">
        <v>42</v>
      </c>
      <c r="FI53">
        <v>-4.7E-2</v>
      </c>
      <c r="FJ53">
        <v>-2E-3</v>
      </c>
      <c r="FK53">
        <v>1.4990000000000001</v>
      </c>
      <c r="FL53">
        <v>0.46</v>
      </c>
      <c r="FM53">
        <v>400</v>
      </c>
      <c r="FN53">
        <v>23</v>
      </c>
      <c r="FO53">
        <v>0.18</v>
      </c>
      <c r="FP53">
        <v>0.04</v>
      </c>
      <c r="FQ53">
        <v>36.694362916211553</v>
      </c>
      <c r="FR53">
        <v>0.37551912339238952</v>
      </c>
      <c r="FS53">
        <v>0.1081003940227432</v>
      </c>
      <c r="FT53">
        <v>1</v>
      </c>
      <c r="FU53">
        <v>0.32531012973446138</v>
      </c>
      <c r="FV53">
        <v>3.6141446693208533E-2</v>
      </c>
      <c r="FW53">
        <v>3.1864330589388098E-3</v>
      </c>
      <c r="FX53">
        <v>1</v>
      </c>
      <c r="FY53">
        <v>2</v>
      </c>
      <c r="FZ53">
        <v>2</v>
      </c>
      <c r="GA53" t="s">
        <v>429</v>
      </c>
      <c r="GB53">
        <v>3.1334900000000001</v>
      </c>
      <c r="GC53">
        <v>2.8649100000000001</v>
      </c>
      <c r="GD53">
        <v>8.3161600000000002E-2</v>
      </c>
      <c r="GE53">
        <v>9.4279299999999996E-2</v>
      </c>
      <c r="GF53">
        <v>0.12757499999999999</v>
      </c>
      <c r="GG53">
        <v>0.114741</v>
      </c>
      <c r="GH53">
        <v>27636.3</v>
      </c>
      <c r="GI53">
        <v>21059.8</v>
      </c>
      <c r="GJ53">
        <v>29074</v>
      </c>
      <c r="GK53">
        <v>21679.3</v>
      </c>
      <c r="GL53">
        <v>34009.9</v>
      </c>
      <c r="GM53">
        <v>26425.8</v>
      </c>
      <c r="GN53">
        <v>40357.300000000003</v>
      </c>
      <c r="GO53">
        <v>30821.599999999999</v>
      </c>
      <c r="GP53">
        <v>2.0047999999999999</v>
      </c>
      <c r="GQ53">
        <v>1.7492000000000001</v>
      </c>
      <c r="GR53">
        <v>1.4424299999999999E-2</v>
      </c>
      <c r="GS53">
        <v>0</v>
      </c>
      <c r="GT53">
        <v>29.7943</v>
      </c>
      <c r="GU53">
        <v>999.9</v>
      </c>
      <c r="GV53">
        <v>33.4</v>
      </c>
      <c r="GW53">
        <v>43.3</v>
      </c>
      <c r="GX53">
        <v>29.752099999999999</v>
      </c>
      <c r="GY53">
        <v>62.488</v>
      </c>
      <c r="GZ53">
        <v>13.5016</v>
      </c>
      <c r="HA53">
        <v>1</v>
      </c>
      <c r="HB53">
        <v>0.48100599999999999</v>
      </c>
      <c r="HC53">
        <v>3.8894799999999998</v>
      </c>
      <c r="HD53">
        <v>20.287099999999999</v>
      </c>
      <c r="HE53">
        <v>5.2340600000000004</v>
      </c>
      <c r="HF53">
        <v>11.98</v>
      </c>
      <c r="HG53">
        <v>4.9753999999999996</v>
      </c>
      <c r="HH53">
        <v>3.2839999999999998</v>
      </c>
      <c r="HI53">
        <v>9999</v>
      </c>
      <c r="HJ53">
        <v>9999</v>
      </c>
      <c r="HK53">
        <v>9999</v>
      </c>
      <c r="HL53">
        <v>999.9</v>
      </c>
      <c r="HM53">
        <v>1.86127</v>
      </c>
      <c r="HN53">
        <v>1.8629500000000001</v>
      </c>
      <c r="HO53">
        <v>1.86829</v>
      </c>
      <c r="HP53">
        <v>1.8591299999999999</v>
      </c>
      <c r="HQ53">
        <v>1.8574200000000001</v>
      </c>
      <c r="HR53">
        <v>1.86111</v>
      </c>
      <c r="HS53">
        <v>1.86493</v>
      </c>
      <c r="HT53">
        <v>1.86693</v>
      </c>
      <c r="HU53">
        <v>5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1.4950000000000001</v>
      </c>
      <c r="II53">
        <v>0.78859999999999997</v>
      </c>
      <c r="IJ53">
        <v>1.287244852821368</v>
      </c>
      <c r="IK53">
        <v>1.118558698776514E-3</v>
      </c>
      <c r="IL53">
        <v>-1.6939696309573479E-6</v>
      </c>
      <c r="IM53">
        <v>5.4698917449866148E-10</v>
      </c>
      <c r="IN53">
        <v>-9.5696142363029368E-2</v>
      </c>
      <c r="IO53">
        <v>-7.6058941998734366E-3</v>
      </c>
      <c r="IP53">
        <v>1.6984902717538061E-3</v>
      </c>
      <c r="IQ53">
        <v>-9.6352527008986976E-6</v>
      </c>
      <c r="IR53">
        <v>2</v>
      </c>
      <c r="IS53">
        <v>2021</v>
      </c>
      <c r="IT53">
        <v>2</v>
      </c>
      <c r="IU53">
        <v>40</v>
      </c>
      <c r="IV53">
        <v>0.6</v>
      </c>
      <c r="IW53">
        <v>0.5</v>
      </c>
      <c r="IX53">
        <v>1.03027</v>
      </c>
      <c r="IY53">
        <v>2.5524900000000001</v>
      </c>
      <c r="IZ53">
        <v>1.34399</v>
      </c>
      <c r="JA53">
        <v>2.2387700000000001</v>
      </c>
      <c r="JB53">
        <v>1.5918000000000001</v>
      </c>
      <c r="JC53">
        <v>2.35107</v>
      </c>
      <c r="JD53">
        <v>47.9955</v>
      </c>
      <c r="JE53">
        <v>16.110900000000001</v>
      </c>
      <c r="JF53">
        <v>18</v>
      </c>
      <c r="JG53">
        <v>508.50599999999997</v>
      </c>
      <c r="JH53">
        <v>390.43900000000002</v>
      </c>
      <c r="JI53">
        <v>24.989899999999999</v>
      </c>
      <c r="JJ53">
        <v>33.418999999999997</v>
      </c>
      <c r="JK53">
        <v>30.000299999999999</v>
      </c>
      <c r="JL53">
        <v>33.258699999999997</v>
      </c>
      <c r="JM53">
        <v>33.207700000000003</v>
      </c>
      <c r="JN53">
        <v>20.717600000000001</v>
      </c>
      <c r="JO53">
        <v>20.478400000000001</v>
      </c>
      <c r="JP53">
        <v>11.2935</v>
      </c>
      <c r="JQ53">
        <v>24.974399999999999</v>
      </c>
      <c r="JR53">
        <v>400</v>
      </c>
      <c r="JS53">
        <v>22.955400000000001</v>
      </c>
      <c r="JT53">
        <v>99.141400000000004</v>
      </c>
      <c r="JU53">
        <v>97.354100000000003</v>
      </c>
    </row>
    <row r="54" spans="1:281" x14ac:dyDescent="0.25">
      <c r="A54">
        <v>38</v>
      </c>
      <c r="B54">
        <v>1693331033.5</v>
      </c>
      <c r="C54">
        <v>9272</v>
      </c>
      <c r="D54" t="s">
        <v>609</v>
      </c>
      <c r="E54" t="s">
        <v>610</v>
      </c>
      <c r="F54" t="s">
        <v>413</v>
      </c>
      <c r="G54" t="s">
        <v>564</v>
      </c>
      <c r="H54" t="s">
        <v>565</v>
      </c>
      <c r="I54" t="s">
        <v>31</v>
      </c>
      <c r="J54">
        <v>1693331033.5</v>
      </c>
      <c r="K54">
        <f t="shared" si="46"/>
        <v>4.3906389069132924E-3</v>
      </c>
      <c r="L54">
        <f t="shared" si="47"/>
        <v>4.3906389069132921</v>
      </c>
      <c r="M54">
        <f t="shared" si="48"/>
        <v>41.127610102389752</v>
      </c>
      <c r="N54">
        <f t="shared" si="49"/>
        <v>448.42099999999999</v>
      </c>
      <c r="O54">
        <f t="shared" si="50"/>
        <v>213.97064886527161</v>
      </c>
      <c r="P54">
        <f t="shared" si="51"/>
        <v>21.218518148434779</v>
      </c>
      <c r="Q54">
        <f t="shared" si="52"/>
        <v>44.467917338654999</v>
      </c>
      <c r="R54">
        <f t="shared" si="53"/>
        <v>0.30500989111776461</v>
      </c>
      <c r="S54">
        <f t="shared" si="54"/>
        <v>2.9144138384002281</v>
      </c>
      <c r="T54">
        <f t="shared" si="55"/>
        <v>0.28832083970431988</v>
      </c>
      <c r="U54">
        <f t="shared" si="56"/>
        <v>0.18162383280237021</v>
      </c>
      <c r="V54">
        <f t="shared" si="57"/>
        <v>344.3801996446918</v>
      </c>
      <c r="W54">
        <f t="shared" si="58"/>
        <v>31.094825974049872</v>
      </c>
      <c r="X54">
        <f t="shared" si="59"/>
        <v>30.0185</v>
      </c>
      <c r="Y54">
        <f t="shared" si="60"/>
        <v>4.2649791290137351</v>
      </c>
      <c r="Z54">
        <f t="shared" si="61"/>
        <v>65.159795509999071</v>
      </c>
      <c r="AA54">
        <f t="shared" si="62"/>
        <v>2.8087155970424997</v>
      </c>
      <c r="AB54">
        <f t="shared" si="63"/>
        <v>4.3105040079683636</v>
      </c>
      <c r="AC54">
        <f t="shared" si="64"/>
        <v>1.4562635319712354</v>
      </c>
      <c r="AD54">
        <f t="shared" si="65"/>
        <v>-193.62717579487619</v>
      </c>
      <c r="AE54">
        <f t="shared" si="66"/>
        <v>29.067547588328924</v>
      </c>
      <c r="AF54">
        <f t="shared" si="67"/>
        <v>2.2201049853811594</v>
      </c>
      <c r="AG54">
        <f t="shared" si="68"/>
        <v>182.0406764235257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51866.807637210644</v>
      </c>
      <c r="AM54" t="s">
        <v>415</v>
      </c>
      <c r="AN54">
        <v>10366.9</v>
      </c>
      <c r="AO54">
        <v>993.59653846153856</v>
      </c>
      <c r="AP54">
        <v>3431.87</v>
      </c>
      <c r="AQ54">
        <f t="shared" si="72"/>
        <v>0.71047955241266758</v>
      </c>
      <c r="AR54">
        <v>-3.9894345373445681</v>
      </c>
      <c r="AS54" t="s">
        <v>611</v>
      </c>
      <c r="AT54">
        <v>10383.200000000001</v>
      </c>
      <c r="AU54">
        <v>741.01820000000009</v>
      </c>
      <c r="AV54">
        <v>1038.3021890148821</v>
      </c>
      <c r="AW54">
        <f t="shared" si="73"/>
        <v>0.28631740562633157</v>
      </c>
      <c r="AX54">
        <v>0.5</v>
      </c>
      <c r="AY54">
        <f t="shared" si="74"/>
        <v>1513.2347998223456</v>
      </c>
      <c r="AZ54">
        <f t="shared" si="75"/>
        <v>41.127610102389752</v>
      </c>
      <c r="BA54">
        <f t="shared" si="76"/>
        <v>216.63273099430759</v>
      </c>
      <c r="BB54">
        <f t="shared" si="77"/>
        <v>2.981496635223501E-2</v>
      </c>
      <c r="BC54">
        <f t="shared" si="78"/>
        <v>2.305270889639635</v>
      </c>
      <c r="BD54">
        <f t="shared" si="79"/>
        <v>595.88748796212428</v>
      </c>
      <c r="BE54" t="s">
        <v>612</v>
      </c>
      <c r="BF54">
        <v>583.23</v>
      </c>
      <c r="BG54">
        <f t="shared" si="80"/>
        <v>583.23</v>
      </c>
      <c r="BH54">
        <f t="shared" si="81"/>
        <v>0.43828491727118901</v>
      </c>
      <c r="BI54">
        <f t="shared" si="82"/>
        <v>0.65326775881081145</v>
      </c>
      <c r="BJ54">
        <f t="shared" si="83"/>
        <v>0.84024931580863782</v>
      </c>
      <c r="BK54">
        <f t="shared" si="84"/>
        <v>6.6498079176849894</v>
      </c>
      <c r="BL54">
        <f t="shared" si="85"/>
        <v>0.98166503829101426</v>
      </c>
      <c r="BM54">
        <f t="shared" si="86"/>
        <v>0.5141646385624935</v>
      </c>
      <c r="BN54">
        <f t="shared" si="87"/>
        <v>0.4858353614375065</v>
      </c>
      <c r="BO54">
        <v>2027</v>
      </c>
      <c r="BP54">
        <v>290.00000000000011</v>
      </c>
      <c r="BQ54">
        <v>953.72</v>
      </c>
      <c r="BR54">
        <v>135</v>
      </c>
      <c r="BS54">
        <v>10383.200000000001</v>
      </c>
      <c r="BT54">
        <v>950.47</v>
      </c>
      <c r="BU54">
        <v>3.25</v>
      </c>
      <c r="BV54">
        <v>300.00000000000011</v>
      </c>
      <c r="BW54">
        <v>38.4</v>
      </c>
      <c r="BX54">
        <v>1038.3021890148821</v>
      </c>
      <c r="BY54">
        <v>1.2074837571619841</v>
      </c>
      <c r="BZ54">
        <v>-91.196471193160576</v>
      </c>
      <c r="CA54">
        <v>1.024864594216093</v>
      </c>
      <c r="CB54">
        <v>0.99647627581716158</v>
      </c>
      <c r="CC54">
        <v>-1.1284523470522801E-2</v>
      </c>
      <c r="CD54">
        <v>289.99999999999989</v>
      </c>
      <c r="CE54">
        <v>940.37</v>
      </c>
      <c r="CF54">
        <v>665</v>
      </c>
      <c r="CG54">
        <v>10349.4</v>
      </c>
      <c r="CH54">
        <v>950.18</v>
      </c>
      <c r="CI54">
        <v>-9.81</v>
      </c>
      <c r="CW54">
        <f t="shared" si="88"/>
        <v>1800.06</v>
      </c>
      <c r="CX54">
        <f t="shared" si="89"/>
        <v>1513.2347998223456</v>
      </c>
      <c r="CY54">
        <f t="shared" si="90"/>
        <v>0.84065797796870423</v>
      </c>
      <c r="CZ54">
        <f t="shared" si="91"/>
        <v>0.19131595593740866</v>
      </c>
      <c r="DA54">
        <v>6</v>
      </c>
      <c r="DB54">
        <v>0.5</v>
      </c>
      <c r="DC54" t="s">
        <v>418</v>
      </c>
      <c r="DD54">
        <v>2</v>
      </c>
      <c r="DE54">
        <v>1693331033.5</v>
      </c>
      <c r="DF54">
        <v>448.42099999999999</v>
      </c>
      <c r="DG54">
        <v>500.09800000000001</v>
      </c>
      <c r="DH54">
        <v>28.323499999999999</v>
      </c>
      <c r="DI54">
        <v>23.207799999999999</v>
      </c>
      <c r="DJ54">
        <v>446.79500000000002</v>
      </c>
      <c r="DK54">
        <v>27.545500000000001</v>
      </c>
      <c r="DL54">
        <v>500.375</v>
      </c>
      <c r="DM54">
        <v>99.065399999999997</v>
      </c>
      <c r="DN54">
        <v>0.10015499999999999</v>
      </c>
      <c r="DO54">
        <v>30.203499999999998</v>
      </c>
      <c r="DP54">
        <v>30.0185</v>
      </c>
      <c r="DQ54">
        <v>999.9</v>
      </c>
      <c r="DR54">
        <v>0</v>
      </c>
      <c r="DS54">
        <v>0</v>
      </c>
      <c r="DT54">
        <v>10007.5</v>
      </c>
      <c r="DU54">
        <v>0</v>
      </c>
      <c r="DV54">
        <v>1242.6500000000001</v>
      </c>
      <c r="DW54">
        <v>-51.677300000000002</v>
      </c>
      <c r="DX54">
        <v>461.49200000000002</v>
      </c>
      <c r="DY54">
        <v>511.98</v>
      </c>
      <c r="DZ54">
        <v>5.1157300000000001</v>
      </c>
      <c r="EA54">
        <v>500.09800000000001</v>
      </c>
      <c r="EB54">
        <v>23.207799999999999</v>
      </c>
      <c r="EC54">
        <v>2.8058800000000002</v>
      </c>
      <c r="ED54">
        <v>2.2990900000000001</v>
      </c>
      <c r="EE54">
        <v>22.918700000000001</v>
      </c>
      <c r="EF54">
        <v>19.670000000000002</v>
      </c>
      <c r="EG54">
        <v>1800.06</v>
      </c>
      <c r="EH54">
        <v>0.97800500000000001</v>
      </c>
      <c r="EI54">
        <v>2.19945E-2</v>
      </c>
      <c r="EJ54">
        <v>0</v>
      </c>
      <c r="EK54">
        <v>742.02700000000004</v>
      </c>
      <c r="EL54">
        <v>5.0002700000000004</v>
      </c>
      <c r="EM54">
        <v>14025.6</v>
      </c>
      <c r="EN54">
        <v>16249.2</v>
      </c>
      <c r="EO54">
        <v>48.061999999999998</v>
      </c>
      <c r="EP54">
        <v>49.75</v>
      </c>
      <c r="EQ54">
        <v>49.25</v>
      </c>
      <c r="ER54">
        <v>48.75</v>
      </c>
      <c r="ES54">
        <v>49.75</v>
      </c>
      <c r="ET54">
        <v>1755.58</v>
      </c>
      <c r="EU54">
        <v>39.479999999999997</v>
      </c>
      <c r="EV54">
        <v>0</v>
      </c>
      <c r="EW54">
        <v>97.400000095367432</v>
      </c>
      <c r="EX54">
        <v>0</v>
      </c>
      <c r="EY54">
        <v>741.01820000000009</v>
      </c>
      <c r="EZ54">
        <v>5.9377692367557016</v>
      </c>
      <c r="FA54">
        <v>104.5615382758437</v>
      </c>
      <c r="FB54">
        <v>14009.2</v>
      </c>
      <c r="FC54">
        <v>15</v>
      </c>
      <c r="FD54">
        <v>1693331002</v>
      </c>
      <c r="FE54" t="s">
        <v>613</v>
      </c>
      <c r="FF54">
        <v>1693331002</v>
      </c>
      <c r="FG54">
        <v>1693331001.5</v>
      </c>
      <c r="FH54">
        <v>43</v>
      </c>
      <c r="FI54">
        <v>0.128</v>
      </c>
      <c r="FJ54">
        <v>-4.0000000000000001E-3</v>
      </c>
      <c r="FK54">
        <v>1.619</v>
      </c>
      <c r="FL54">
        <v>0.47</v>
      </c>
      <c r="FM54">
        <v>500</v>
      </c>
      <c r="FN54">
        <v>23</v>
      </c>
      <c r="FO54">
        <v>0.16</v>
      </c>
      <c r="FP54">
        <v>0.04</v>
      </c>
      <c r="FQ54">
        <v>40.989653553004167</v>
      </c>
      <c r="FR54">
        <v>0.24407660714307611</v>
      </c>
      <c r="FS54">
        <v>0.11126624470909351</v>
      </c>
      <c r="FT54">
        <v>1</v>
      </c>
      <c r="FU54">
        <v>0.30617017591032419</v>
      </c>
      <c r="FV54">
        <v>-3.9807402979883891E-3</v>
      </c>
      <c r="FW54">
        <v>1.118467916876981E-3</v>
      </c>
      <c r="FX54">
        <v>1</v>
      </c>
      <c r="FY54">
        <v>2</v>
      </c>
      <c r="FZ54">
        <v>2</v>
      </c>
      <c r="GA54" t="s">
        <v>429</v>
      </c>
      <c r="GB54">
        <v>3.1344500000000002</v>
      </c>
      <c r="GC54">
        <v>2.86538</v>
      </c>
      <c r="GD54">
        <v>9.99747E-2</v>
      </c>
      <c r="GE54">
        <v>0.111494</v>
      </c>
      <c r="GF54">
        <v>0.12722800000000001</v>
      </c>
      <c r="GG54">
        <v>0.115574</v>
      </c>
      <c r="GH54">
        <v>27124</v>
      </c>
      <c r="GI54">
        <v>20655.900000000001</v>
      </c>
      <c r="GJ54">
        <v>29068.799999999999</v>
      </c>
      <c r="GK54">
        <v>21675.9</v>
      </c>
      <c r="GL54">
        <v>34020.400000000001</v>
      </c>
      <c r="GM54">
        <v>26399.8</v>
      </c>
      <c r="GN54">
        <v>40350.300000000003</v>
      </c>
      <c r="GO54">
        <v>30818.5</v>
      </c>
      <c r="GP54">
        <v>2.0036999999999998</v>
      </c>
      <c r="GQ54">
        <v>1.7471000000000001</v>
      </c>
      <c r="GR54">
        <v>1.51992E-2</v>
      </c>
      <c r="GS54">
        <v>0</v>
      </c>
      <c r="GT54">
        <v>29.771100000000001</v>
      </c>
      <c r="GU54">
        <v>999.9</v>
      </c>
      <c r="GV54">
        <v>33.200000000000003</v>
      </c>
      <c r="GW54">
        <v>43.3</v>
      </c>
      <c r="GX54">
        <v>29.575299999999999</v>
      </c>
      <c r="GY54">
        <v>62.128</v>
      </c>
      <c r="GZ54">
        <v>13.2332</v>
      </c>
      <c r="HA54">
        <v>1</v>
      </c>
      <c r="HB54">
        <v>0.48825200000000002</v>
      </c>
      <c r="HC54">
        <v>3.57321</v>
      </c>
      <c r="HD54">
        <v>20.294499999999999</v>
      </c>
      <c r="HE54">
        <v>5.2310699999999999</v>
      </c>
      <c r="HF54">
        <v>11.98</v>
      </c>
      <c r="HG54">
        <v>4.9745999999999997</v>
      </c>
      <c r="HH54">
        <v>3.2837000000000001</v>
      </c>
      <c r="HI54">
        <v>9999</v>
      </c>
      <c r="HJ54">
        <v>9999</v>
      </c>
      <c r="HK54">
        <v>9999</v>
      </c>
      <c r="HL54">
        <v>999.9</v>
      </c>
      <c r="HM54">
        <v>1.8612200000000001</v>
      </c>
      <c r="HN54">
        <v>1.8629500000000001</v>
      </c>
      <c r="HO54">
        <v>1.8682300000000001</v>
      </c>
      <c r="HP54">
        <v>1.85907</v>
      </c>
      <c r="HQ54">
        <v>1.85741</v>
      </c>
      <c r="HR54">
        <v>1.8611</v>
      </c>
      <c r="HS54">
        <v>1.86493</v>
      </c>
      <c r="HT54">
        <v>1.8669100000000001</v>
      </c>
      <c r="HU54">
        <v>5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1.6259999999999999</v>
      </c>
      <c r="II54">
        <v>0.77800000000000002</v>
      </c>
      <c r="IJ54">
        <v>1.4148247325780601</v>
      </c>
      <c r="IK54">
        <v>1.118558698776514E-3</v>
      </c>
      <c r="IL54">
        <v>-1.6939696309573479E-6</v>
      </c>
      <c r="IM54">
        <v>5.4698917449866148E-10</v>
      </c>
      <c r="IN54">
        <v>-9.9828982540320244E-2</v>
      </c>
      <c r="IO54">
        <v>-7.6058941998734366E-3</v>
      </c>
      <c r="IP54">
        <v>1.6984902717538061E-3</v>
      </c>
      <c r="IQ54">
        <v>-9.6352527008986976E-6</v>
      </c>
      <c r="IR54">
        <v>2</v>
      </c>
      <c r="IS54">
        <v>2021</v>
      </c>
      <c r="IT54">
        <v>2</v>
      </c>
      <c r="IU54">
        <v>40</v>
      </c>
      <c r="IV54">
        <v>0.5</v>
      </c>
      <c r="IW54">
        <v>0.5</v>
      </c>
      <c r="IX54">
        <v>1.2353499999999999</v>
      </c>
      <c r="IY54">
        <v>2.5524900000000001</v>
      </c>
      <c r="IZ54">
        <v>1.34399</v>
      </c>
      <c r="JA54">
        <v>2.2387700000000001</v>
      </c>
      <c r="JB54">
        <v>1.5918000000000001</v>
      </c>
      <c r="JC54">
        <v>2.3877000000000002</v>
      </c>
      <c r="JD54">
        <v>47.843699999999998</v>
      </c>
      <c r="JE54">
        <v>16.1021</v>
      </c>
      <c r="JF54">
        <v>18</v>
      </c>
      <c r="JG54">
        <v>508.483</v>
      </c>
      <c r="JH54">
        <v>389.745</v>
      </c>
      <c r="JI54">
        <v>25.061399999999999</v>
      </c>
      <c r="JJ54">
        <v>33.508899999999997</v>
      </c>
      <c r="JK54">
        <v>30.000399999999999</v>
      </c>
      <c r="JL54">
        <v>33.341799999999999</v>
      </c>
      <c r="JM54">
        <v>33.290500000000002</v>
      </c>
      <c r="JN54">
        <v>24.8017</v>
      </c>
      <c r="JO54">
        <v>19.3126</v>
      </c>
      <c r="JP54">
        <v>10.638299999999999</v>
      </c>
      <c r="JQ54">
        <v>25.058800000000002</v>
      </c>
      <c r="JR54">
        <v>500</v>
      </c>
      <c r="JS54">
        <v>23.225000000000001</v>
      </c>
      <c r="JT54">
        <v>99.123999999999995</v>
      </c>
      <c r="JU54">
        <v>97.342100000000002</v>
      </c>
    </row>
    <row r="55" spans="1:281" x14ac:dyDescent="0.25">
      <c r="A55">
        <v>39</v>
      </c>
      <c r="B55">
        <v>1693331133</v>
      </c>
      <c r="C55">
        <v>9371.5</v>
      </c>
      <c r="D55" t="s">
        <v>614</v>
      </c>
      <c r="E55" t="s">
        <v>615</v>
      </c>
      <c r="F55" t="s">
        <v>413</v>
      </c>
      <c r="G55" t="s">
        <v>564</v>
      </c>
      <c r="H55" t="s">
        <v>565</v>
      </c>
      <c r="I55" t="s">
        <v>31</v>
      </c>
      <c r="J55">
        <v>1693331133</v>
      </c>
      <c r="K55">
        <f t="shared" si="46"/>
        <v>3.5784186399790341E-3</v>
      </c>
      <c r="L55">
        <f t="shared" si="47"/>
        <v>3.5784186399790339</v>
      </c>
      <c r="M55">
        <f t="shared" si="48"/>
        <v>43.928349628023071</v>
      </c>
      <c r="N55">
        <f t="shared" si="49"/>
        <v>644.46300000000008</v>
      </c>
      <c r="O55">
        <f t="shared" si="50"/>
        <v>325.78784883363443</v>
      </c>
      <c r="P55">
        <f t="shared" si="51"/>
        <v>32.30634837844265</v>
      </c>
      <c r="Q55">
        <f t="shared" si="52"/>
        <v>63.907374905343005</v>
      </c>
      <c r="R55">
        <f t="shared" si="53"/>
        <v>0.23815773271868687</v>
      </c>
      <c r="S55">
        <f t="shared" si="54"/>
        <v>2.9139450147565054</v>
      </c>
      <c r="T55">
        <f t="shared" si="55"/>
        <v>0.22784837000260766</v>
      </c>
      <c r="U55">
        <f t="shared" si="56"/>
        <v>0.14329429615817366</v>
      </c>
      <c r="V55">
        <f t="shared" si="57"/>
        <v>344.35359964466431</v>
      </c>
      <c r="W55">
        <f t="shared" si="58"/>
        <v>31.249656756765365</v>
      </c>
      <c r="X55">
        <f t="shared" si="59"/>
        <v>30.012</v>
      </c>
      <c r="Y55">
        <f t="shared" si="60"/>
        <v>4.2633872554958057</v>
      </c>
      <c r="Z55">
        <f t="shared" si="61"/>
        <v>64.266235407112305</v>
      </c>
      <c r="AA55">
        <f t="shared" si="62"/>
        <v>2.7611554267883998</v>
      </c>
      <c r="AB55">
        <f t="shared" si="63"/>
        <v>4.2964325034710598</v>
      </c>
      <c r="AC55">
        <f t="shared" si="64"/>
        <v>1.5022318287074059</v>
      </c>
      <c r="AD55">
        <f t="shared" si="65"/>
        <v>-157.8082620230754</v>
      </c>
      <c r="AE55">
        <f t="shared" si="66"/>
        <v>21.129493188981712</v>
      </c>
      <c r="AF55">
        <f t="shared" si="67"/>
        <v>1.613569100039947</v>
      </c>
      <c r="AG55">
        <f t="shared" si="68"/>
        <v>209.28839991061059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51863.189834541692</v>
      </c>
      <c r="AM55" t="s">
        <v>415</v>
      </c>
      <c r="AN55">
        <v>10366.9</v>
      </c>
      <c r="AO55">
        <v>993.59653846153856</v>
      </c>
      <c r="AP55">
        <v>3431.87</v>
      </c>
      <c r="AQ55">
        <f t="shared" si="72"/>
        <v>0.71047955241266758</v>
      </c>
      <c r="AR55">
        <v>-3.9894345373445681</v>
      </c>
      <c r="AS55" t="s">
        <v>616</v>
      </c>
      <c r="AT55">
        <v>10388.799999999999</v>
      </c>
      <c r="AU55">
        <v>760.03007692307688</v>
      </c>
      <c r="AV55">
        <v>1086.6813020062441</v>
      </c>
      <c r="AW55">
        <f t="shared" si="73"/>
        <v>0.30059523843844538</v>
      </c>
      <c r="AX55">
        <v>0.5</v>
      </c>
      <c r="AY55">
        <f t="shared" si="74"/>
        <v>1513.1171998223322</v>
      </c>
      <c r="AZ55">
        <f t="shared" si="75"/>
        <v>43.928349628023071</v>
      </c>
      <c r="BA55">
        <f t="shared" si="76"/>
        <v>227.41791273295337</v>
      </c>
      <c r="BB55">
        <f t="shared" si="77"/>
        <v>3.166825687461227E-2</v>
      </c>
      <c r="BC55">
        <f t="shared" si="78"/>
        <v>2.1581200427982337</v>
      </c>
      <c r="BD55">
        <f t="shared" si="79"/>
        <v>611.51180524093456</v>
      </c>
      <c r="BE55" t="s">
        <v>617</v>
      </c>
      <c r="BF55">
        <v>593.41</v>
      </c>
      <c r="BG55">
        <f t="shared" si="80"/>
        <v>593.41</v>
      </c>
      <c r="BH55">
        <f t="shared" si="81"/>
        <v>0.45392453251524689</v>
      </c>
      <c r="BI55">
        <f t="shared" si="82"/>
        <v>0.66221412791420065</v>
      </c>
      <c r="BJ55">
        <f t="shared" si="83"/>
        <v>0.82621868830061218</v>
      </c>
      <c r="BK55">
        <f t="shared" si="84"/>
        <v>3.5091803711386924</v>
      </c>
      <c r="BL55">
        <f t="shared" si="85"/>
        <v>0.96182349313437032</v>
      </c>
      <c r="BM55">
        <f t="shared" si="86"/>
        <v>0.51703807201479735</v>
      </c>
      <c r="BN55">
        <f t="shared" si="87"/>
        <v>0.48296192798520265</v>
      </c>
      <c r="BO55">
        <v>2029</v>
      </c>
      <c r="BP55">
        <v>290.00000000000011</v>
      </c>
      <c r="BQ55">
        <v>995.24</v>
      </c>
      <c r="BR55">
        <v>105</v>
      </c>
      <c r="BS55">
        <v>10388.799999999999</v>
      </c>
      <c r="BT55">
        <v>991.81</v>
      </c>
      <c r="BU55">
        <v>3.43</v>
      </c>
      <c r="BV55">
        <v>300.00000000000011</v>
      </c>
      <c r="BW55">
        <v>38.4</v>
      </c>
      <c r="BX55">
        <v>1086.6813020062441</v>
      </c>
      <c r="BY55">
        <v>1.2742504729933459</v>
      </c>
      <c r="BZ55">
        <v>-98.557650221449734</v>
      </c>
      <c r="CA55">
        <v>1.081446420136837</v>
      </c>
      <c r="CB55">
        <v>0.9966401048568273</v>
      </c>
      <c r="CC55">
        <v>-1.1284255394883201E-2</v>
      </c>
      <c r="CD55">
        <v>289.99999999999989</v>
      </c>
      <c r="CE55">
        <v>980.28</v>
      </c>
      <c r="CF55">
        <v>645</v>
      </c>
      <c r="CG55">
        <v>10350.4</v>
      </c>
      <c r="CH55">
        <v>991.46</v>
      </c>
      <c r="CI55">
        <v>-11.18</v>
      </c>
      <c r="CW55">
        <f t="shared" si="88"/>
        <v>1799.92</v>
      </c>
      <c r="CX55">
        <f t="shared" si="89"/>
        <v>1513.1171998223322</v>
      </c>
      <c r="CY55">
        <f t="shared" si="90"/>
        <v>0.84065802914703547</v>
      </c>
      <c r="CZ55">
        <f t="shared" si="91"/>
        <v>0.191316058294071</v>
      </c>
      <c r="DA55">
        <v>6</v>
      </c>
      <c r="DB55">
        <v>0.5</v>
      </c>
      <c r="DC55" t="s">
        <v>418</v>
      </c>
      <c r="DD55">
        <v>2</v>
      </c>
      <c r="DE55">
        <v>1693331133</v>
      </c>
      <c r="DF55">
        <v>644.46300000000008</v>
      </c>
      <c r="DG55">
        <v>699.92399999999998</v>
      </c>
      <c r="DH55">
        <v>27.8444</v>
      </c>
      <c r="DI55">
        <v>23.671399999999998</v>
      </c>
      <c r="DJ55">
        <v>642.76300000000003</v>
      </c>
      <c r="DK55">
        <v>27.328399999999998</v>
      </c>
      <c r="DL55">
        <v>500.18400000000003</v>
      </c>
      <c r="DM55">
        <v>99.063599999999994</v>
      </c>
      <c r="DN55">
        <v>0.100161</v>
      </c>
      <c r="DO55">
        <v>30.1465</v>
      </c>
      <c r="DP55">
        <v>30.012</v>
      </c>
      <c r="DQ55">
        <v>999.9</v>
      </c>
      <c r="DR55">
        <v>0</v>
      </c>
      <c r="DS55">
        <v>0</v>
      </c>
      <c r="DT55">
        <v>10005</v>
      </c>
      <c r="DU55">
        <v>0</v>
      </c>
      <c r="DV55">
        <v>687.76</v>
      </c>
      <c r="DW55">
        <v>-55.581600000000002</v>
      </c>
      <c r="DX55">
        <v>662.96699999999998</v>
      </c>
      <c r="DY55">
        <v>716.89400000000001</v>
      </c>
      <c r="DZ55">
        <v>4.4212199999999999</v>
      </c>
      <c r="EA55">
        <v>699.92399999999998</v>
      </c>
      <c r="EB55">
        <v>23.671399999999998</v>
      </c>
      <c r="EC55">
        <v>2.78295</v>
      </c>
      <c r="ED55">
        <v>2.34497</v>
      </c>
      <c r="EE55">
        <v>22.783300000000001</v>
      </c>
      <c r="EF55">
        <v>19.988700000000001</v>
      </c>
      <c r="EG55">
        <v>1799.92</v>
      </c>
      <c r="EH55">
        <v>0.97800500000000001</v>
      </c>
      <c r="EI55">
        <v>2.19945E-2</v>
      </c>
      <c r="EJ55">
        <v>0</v>
      </c>
      <c r="EK55">
        <v>759.95399999999995</v>
      </c>
      <c r="EL55">
        <v>5.0002700000000004</v>
      </c>
      <c r="EM55">
        <v>14369.9</v>
      </c>
      <c r="EN55">
        <v>16247.9</v>
      </c>
      <c r="EO55">
        <v>48.186999999999998</v>
      </c>
      <c r="EP55">
        <v>49.936999999999998</v>
      </c>
      <c r="EQ55">
        <v>49.436999999999998</v>
      </c>
      <c r="ER55">
        <v>48.936999999999998</v>
      </c>
      <c r="ES55">
        <v>49.875</v>
      </c>
      <c r="ET55">
        <v>1755.44</v>
      </c>
      <c r="EU55">
        <v>39.479999999999997</v>
      </c>
      <c r="EV55">
        <v>0</v>
      </c>
      <c r="EW55">
        <v>97.400000095367432</v>
      </c>
      <c r="EX55">
        <v>0</v>
      </c>
      <c r="EY55">
        <v>760.03007692307688</v>
      </c>
      <c r="EZ55">
        <v>-0.2942222218970677</v>
      </c>
      <c r="FA55">
        <v>2.8854701067121802</v>
      </c>
      <c r="FB55">
        <v>14367.74615384615</v>
      </c>
      <c r="FC55">
        <v>15</v>
      </c>
      <c r="FD55">
        <v>1693331159.5</v>
      </c>
      <c r="FE55" t="s">
        <v>618</v>
      </c>
      <c r="FF55">
        <v>1693331155</v>
      </c>
      <c r="FG55">
        <v>1693331159.5</v>
      </c>
      <c r="FH55">
        <v>44</v>
      </c>
      <c r="FI55">
        <v>0.14399999999999999</v>
      </c>
      <c r="FJ55">
        <v>1E-3</v>
      </c>
      <c r="FK55">
        <v>1.7</v>
      </c>
      <c r="FL55">
        <v>0.51600000000000001</v>
      </c>
      <c r="FM55">
        <v>700</v>
      </c>
      <c r="FN55">
        <v>24</v>
      </c>
      <c r="FO55">
        <v>0.11</v>
      </c>
      <c r="FP55">
        <v>0.04</v>
      </c>
      <c r="FQ55">
        <v>43.869542381308328</v>
      </c>
      <c r="FR55">
        <v>0.27552342174502431</v>
      </c>
      <c r="FS55">
        <v>0.11214464308710551</v>
      </c>
      <c r="FT55">
        <v>1</v>
      </c>
      <c r="FU55">
        <v>0.26042376851744459</v>
      </c>
      <c r="FV55">
        <v>-3.0355015807888339E-2</v>
      </c>
      <c r="FW55">
        <v>2.3774332050539009E-3</v>
      </c>
      <c r="FX55">
        <v>1</v>
      </c>
      <c r="FY55">
        <v>2</v>
      </c>
      <c r="FZ55">
        <v>2</v>
      </c>
      <c r="GA55" t="s">
        <v>429</v>
      </c>
      <c r="GB55">
        <v>3.1343399999999999</v>
      </c>
      <c r="GC55">
        <v>2.8653599999999999</v>
      </c>
      <c r="GD55">
        <v>0.130249</v>
      </c>
      <c r="GE55">
        <v>0.14152999999999999</v>
      </c>
      <c r="GF55">
        <v>0.126501</v>
      </c>
      <c r="GG55">
        <v>0.117158</v>
      </c>
      <c r="GH55">
        <v>26209.599999999999</v>
      </c>
      <c r="GI55">
        <v>19955</v>
      </c>
      <c r="GJ55">
        <v>29067.5</v>
      </c>
      <c r="GK55">
        <v>21673.7</v>
      </c>
      <c r="GL55">
        <v>34050.9</v>
      </c>
      <c r="GM55">
        <v>26352.2</v>
      </c>
      <c r="GN55">
        <v>40347.9</v>
      </c>
      <c r="GO55">
        <v>30815.200000000001</v>
      </c>
      <c r="GP55">
        <v>2.0032999999999999</v>
      </c>
      <c r="GQ55">
        <v>1.7472000000000001</v>
      </c>
      <c r="GR55">
        <v>1.51098E-2</v>
      </c>
      <c r="GS55">
        <v>0</v>
      </c>
      <c r="GT55">
        <v>29.765999999999998</v>
      </c>
      <c r="GU55">
        <v>999.9</v>
      </c>
      <c r="GV55">
        <v>33.1</v>
      </c>
      <c r="GW55">
        <v>43.3</v>
      </c>
      <c r="GX55">
        <v>29.487400000000001</v>
      </c>
      <c r="GY55">
        <v>62.118000000000002</v>
      </c>
      <c r="GZ55">
        <v>13.3293</v>
      </c>
      <c r="HA55">
        <v>1</v>
      </c>
      <c r="HB55">
        <v>0.495894</v>
      </c>
      <c r="HC55">
        <v>3.9212500000000001</v>
      </c>
      <c r="HD55">
        <v>20.2866</v>
      </c>
      <c r="HE55">
        <v>5.23346</v>
      </c>
      <c r="HF55">
        <v>11.98</v>
      </c>
      <c r="HG55">
        <v>4.9744000000000002</v>
      </c>
      <c r="HH55">
        <v>3.2839999999999998</v>
      </c>
      <c r="HI55">
        <v>9999</v>
      </c>
      <c r="HJ55">
        <v>9999</v>
      </c>
      <c r="HK55">
        <v>9999</v>
      </c>
      <c r="HL55">
        <v>999.9</v>
      </c>
      <c r="HM55">
        <v>1.8612200000000001</v>
      </c>
      <c r="HN55">
        <v>1.86293</v>
      </c>
      <c r="HO55">
        <v>1.86819</v>
      </c>
      <c r="HP55">
        <v>1.85907</v>
      </c>
      <c r="HQ55">
        <v>1.8573200000000001</v>
      </c>
      <c r="HR55">
        <v>1.86111</v>
      </c>
      <c r="HS55">
        <v>1.86487</v>
      </c>
      <c r="HT55">
        <v>1.8669100000000001</v>
      </c>
      <c r="HU55">
        <v>5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1.7</v>
      </c>
      <c r="II55">
        <v>0.51600000000000001</v>
      </c>
      <c r="IJ55">
        <v>1.4148247325780601</v>
      </c>
      <c r="IK55">
        <v>1.118558698776514E-3</v>
      </c>
      <c r="IL55">
        <v>-1.6939696309573479E-6</v>
      </c>
      <c r="IM55">
        <v>5.4698917449866148E-10</v>
      </c>
      <c r="IN55">
        <v>-9.9828982540320244E-2</v>
      </c>
      <c r="IO55">
        <v>-7.6058941998734366E-3</v>
      </c>
      <c r="IP55">
        <v>1.6984902717538061E-3</v>
      </c>
      <c r="IQ55">
        <v>-9.6352527008986976E-6</v>
      </c>
      <c r="IR55">
        <v>2</v>
      </c>
      <c r="IS55">
        <v>2021</v>
      </c>
      <c r="IT55">
        <v>2</v>
      </c>
      <c r="IU55">
        <v>40</v>
      </c>
      <c r="IV55">
        <v>2.2000000000000002</v>
      </c>
      <c r="IW55">
        <v>2.2000000000000002</v>
      </c>
      <c r="IX55">
        <v>1.62842</v>
      </c>
      <c r="IY55">
        <v>2.5500500000000001</v>
      </c>
      <c r="IZ55">
        <v>1.34399</v>
      </c>
      <c r="JA55">
        <v>2.2387700000000001</v>
      </c>
      <c r="JB55">
        <v>1.5918000000000001</v>
      </c>
      <c r="JC55">
        <v>2.34375</v>
      </c>
      <c r="JD55">
        <v>47.843699999999998</v>
      </c>
      <c r="JE55">
        <v>16.0671</v>
      </c>
      <c r="JF55">
        <v>18</v>
      </c>
      <c r="JG55">
        <v>508.79399999999998</v>
      </c>
      <c r="JH55">
        <v>390.27199999999999</v>
      </c>
      <c r="JI55">
        <v>24.7242</v>
      </c>
      <c r="JJ55">
        <v>33.581099999999999</v>
      </c>
      <c r="JK55">
        <v>30.0001</v>
      </c>
      <c r="JL55">
        <v>33.409999999999997</v>
      </c>
      <c r="JM55">
        <v>33.358699999999999</v>
      </c>
      <c r="JN55">
        <v>32.661000000000001</v>
      </c>
      <c r="JO55">
        <v>17.070599999999999</v>
      </c>
      <c r="JP55">
        <v>9.5157900000000009</v>
      </c>
      <c r="JQ55">
        <v>24.728200000000001</v>
      </c>
      <c r="JR55">
        <v>700</v>
      </c>
      <c r="JS55">
        <v>23.7819</v>
      </c>
      <c r="JT55">
        <v>99.118799999999993</v>
      </c>
      <c r="JU55">
        <v>97.331900000000005</v>
      </c>
    </row>
    <row r="56" spans="1:281" x14ac:dyDescent="0.25">
      <c r="A56">
        <v>40</v>
      </c>
      <c r="B56">
        <v>1693331252</v>
      </c>
      <c r="C56">
        <v>9490.5</v>
      </c>
      <c r="D56" t="s">
        <v>619</v>
      </c>
      <c r="E56" t="s">
        <v>620</v>
      </c>
      <c r="F56" t="s">
        <v>413</v>
      </c>
      <c r="G56" t="s">
        <v>564</v>
      </c>
      <c r="H56" t="s">
        <v>565</v>
      </c>
      <c r="I56" t="s">
        <v>31</v>
      </c>
      <c r="J56">
        <v>1693331252</v>
      </c>
      <c r="K56">
        <f t="shared" si="46"/>
        <v>3.1531828380304701E-3</v>
      </c>
      <c r="L56">
        <f t="shared" si="47"/>
        <v>3.1531828380304701</v>
      </c>
      <c r="M56">
        <f t="shared" si="48"/>
        <v>44.018680349172321</v>
      </c>
      <c r="N56">
        <f t="shared" si="49"/>
        <v>844.07399999999996</v>
      </c>
      <c r="O56">
        <f t="shared" si="50"/>
        <v>482.6708616412991</v>
      </c>
      <c r="P56">
        <f t="shared" si="51"/>
        <v>47.862435185906037</v>
      </c>
      <c r="Q56">
        <f t="shared" si="52"/>
        <v>83.699763809507985</v>
      </c>
      <c r="R56">
        <f t="shared" si="53"/>
        <v>0.21116414228370831</v>
      </c>
      <c r="S56">
        <f t="shared" si="54"/>
        <v>2.9112824185526538</v>
      </c>
      <c r="T56">
        <f t="shared" si="55"/>
        <v>0.20300920491042229</v>
      </c>
      <c r="U56">
        <f t="shared" si="56"/>
        <v>0.12758720115898081</v>
      </c>
      <c r="V56">
        <f t="shared" si="57"/>
        <v>344.3680996444981</v>
      </c>
      <c r="W56">
        <f t="shared" si="58"/>
        <v>31.226287137189189</v>
      </c>
      <c r="X56">
        <f t="shared" si="59"/>
        <v>29.996700000000001</v>
      </c>
      <c r="Y56">
        <f t="shared" si="60"/>
        <v>4.2596422738682334</v>
      </c>
      <c r="Z56">
        <f t="shared" si="61"/>
        <v>65.070938486183806</v>
      </c>
      <c r="AA56">
        <f t="shared" si="62"/>
        <v>2.7740667672784003</v>
      </c>
      <c r="AB56">
        <f t="shared" si="63"/>
        <v>4.2631423978423246</v>
      </c>
      <c r="AC56">
        <f t="shared" si="64"/>
        <v>1.4855755065898331</v>
      </c>
      <c r="AD56">
        <f t="shared" si="65"/>
        <v>-139.05536315714374</v>
      </c>
      <c r="AE56">
        <f t="shared" si="66"/>
        <v>2.2444287258106401</v>
      </c>
      <c r="AF56">
        <f t="shared" si="67"/>
        <v>0.17142617269396412</v>
      </c>
      <c r="AG56">
        <f t="shared" si="68"/>
        <v>207.72859138585895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51810.613169843942</v>
      </c>
      <c r="AM56" t="s">
        <v>415</v>
      </c>
      <c r="AN56">
        <v>10366.9</v>
      </c>
      <c r="AO56">
        <v>993.59653846153856</v>
      </c>
      <c r="AP56">
        <v>3431.87</v>
      </c>
      <c r="AQ56">
        <f t="shared" si="72"/>
        <v>0.71047955241266758</v>
      </c>
      <c r="AR56">
        <v>-3.9894345373445681</v>
      </c>
      <c r="AS56" t="s">
        <v>621</v>
      </c>
      <c r="AT56">
        <v>10389.700000000001</v>
      </c>
      <c r="AU56">
        <v>763.7790399999999</v>
      </c>
      <c r="AV56">
        <v>1103.6655377729619</v>
      </c>
      <c r="AW56">
        <f t="shared" si="73"/>
        <v>0.30796150295569069</v>
      </c>
      <c r="AX56">
        <v>0.5</v>
      </c>
      <c r="AY56">
        <f t="shared" si="74"/>
        <v>1513.176599822249</v>
      </c>
      <c r="AZ56">
        <f t="shared" si="75"/>
        <v>44.018680349172321</v>
      </c>
      <c r="BA56">
        <f t="shared" si="76"/>
        <v>233.00006995932077</v>
      </c>
      <c r="BB56">
        <f t="shared" si="77"/>
        <v>3.1726709818375692E-2</v>
      </c>
      <c r="BC56">
        <f t="shared" si="78"/>
        <v>2.1095199429031908</v>
      </c>
      <c r="BD56">
        <f t="shared" si="79"/>
        <v>616.8536755008646</v>
      </c>
      <c r="BE56" t="s">
        <v>622</v>
      </c>
      <c r="BF56">
        <v>597.71</v>
      </c>
      <c r="BG56">
        <f t="shared" si="80"/>
        <v>597.71</v>
      </c>
      <c r="BH56">
        <f t="shared" si="81"/>
        <v>0.45843194378788643</v>
      </c>
      <c r="BI56">
        <f t="shared" si="82"/>
        <v>0.67177147476045562</v>
      </c>
      <c r="BJ56">
        <f t="shared" si="83"/>
        <v>0.82147954322516648</v>
      </c>
      <c r="BK56">
        <f t="shared" si="84"/>
        <v>3.0879402910832807</v>
      </c>
      <c r="BL56">
        <f t="shared" si="85"/>
        <v>0.95485781187071028</v>
      </c>
      <c r="BM56">
        <f t="shared" si="86"/>
        <v>0.52570770753158147</v>
      </c>
      <c r="BN56">
        <f t="shared" si="87"/>
        <v>0.47429229246841853</v>
      </c>
      <c r="BO56">
        <v>2031</v>
      </c>
      <c r="BP56">
        <v>290.00000000000011</v>
      </c>
      <c r="BQ56">
        <v>1006.14</v>
      </c>
      <c r="BR56">
        <v>95</v>
      </c>
      <c r="BS56">
        <v>10389.700000000001</v>
      </c>
      <c r="BT56">
        <v>1004.28</v>
      </c>
      <c r="BU56">
        <v>1.86</v>
      </c>
      <c r="BV56">
        <v>300.00000000000011</v>
      </c>
      <c r="BW56">
        <v>38.4</v>
      </c>
      <c r="BX56">
        <v>1103.6655377729619</v>
      </c>
      <c r="BY56">
        <v>1.450694655966728</v>
      </c>
      <c r="BZ56">
        <v>-103.2565015925346</v>
      </c>
      <c r="CA56">
        <v>1.2310272995800211</v>
      </c>
      <c r="CB56">
        <v>0.99603600022081162</v>
      </c>
      <c r="CC56">
        <v>-1.128242269187988E-2</v>
      </c>
      <c r="CD56">
        <v>289.99999999999989</v>
      </c>
      <c r="CE56">
        <v>991.81</v>
      </c>
      <c r="CF56">
        <v>625</v>
      </c>
      <c r="CG56">
        <v>10351.299999999999</v>
      </c>
      <c r="CH56">
        <v>1003.91</v>
      </c>
      <c r="CI56">
        <v>-12.1</v>
      </c>
      <c r="CW56">
        <f t="shared" si="88"/>
        <v>1799.99</v>
      </c>
      <c r="CX56">
        <f t="shared" si="89"/>
        <v>1513.176599822249</v>
      </c>
      <c r="CY56">
        <f t="shared" si="90"/>
        <v>0.84065833689200997</v>
      </c>
      <c r="CZ56">
        <f t="shared" si="91"/>
        <v>0.19131667378401995</v>
      </c>
      <c r="DA56">
        <v>6</v>
      </c>
      <c r="DB56">
        <v>0.5</v>
      </c>
      <c r="DC56" t="s">
        <v>418</v>
      </c>
      <c r="DD56">
        <v>2</v>
      </c>
      <c r="DE56">
        <v>1693331252</v>
      </c>
      <c r="DF56">
        <v>844.07399999999996</v>
      </c>
      <c r="DG56">
        <v>900.07399999999996</v>
      </c>
      <c r="DH56">
        <v>27.975200000000001</v>
      </c>
      <c r="DI56">
        <v>24.298300000000001</v>
      </c>
      <c r="DJ56">
        <v>842.29200000000003</v>
      </c>
      <c r="DK56">
        <v>27.220500000000001</v>
      </c>
      <c r="DL56">
        <v>500.14499999999998</v>
      </c>
      <c r="DM56">
        <v>99.061400000000006</v>
      </c>
      <c r="DN56">
        <v>0.100242</v>
      </c>
      <c r="DO56">
        <v>30.010999999999999</v>
      </c>
      <c r="DP56">
        <v>29.996700000000001</v>
      </c>
      <c r="DQ56">
        <v>999.9</v>
      </c>
      <c r="DR56">
        <v>0</v>
      </c>
      <c r="DS56">
        <v>0</v>
      </c>
      <c r="DT56">
        <v>9990</v>
      </c>
      <c r="DU56">
        <v>0</v>
      </c>
      <c r="DV56">
        <v>426.84899999999999</v>
      </c>
      <c r="DW56">
        <v>-56.000100000000003</v>
      </c>
      <c r="DX56">
        <v>868.36699999999996</v>
      </c>
      <c r="DY56">
        <v>922.48900000000003</v>
      </c>
      <c r="DZ56">
        <v>3.6768299999999998</v>
      </c>
      <c r="EA56">
        <v>900.07399999999996</v>
      </c>
      <c r="EB56">
        <v>24.298300000000001</v>
      </c>
      <c r="EC56">
        <v>2.7712599999999998</v>
      </c>
      <c r="ED56">
        <v>2.4070299999999998</v>
      </c>
      <c r="EE56">
        <v>22.713899999999999</v>
      </c>
      <c r="EF56">
        <v>20.411100000000001</v>
      </c>
      <c r="EG56">
        <v>1799.99</v>
      </c>
      <c r="EH56">
        <v>0.97799199999999997</v>
      </c>
      <c r="EI56">
        <v>2.2007700000000002E-2</v>
      </c>
      <c r="EJ56">
        <v>0</v>
      </c>
      <c r="EK56">
        <v>763.56700000000001</v>
      </c>
      <c r="EL56">
        <v>5.0002700000000004</v>
      </c>
      <c r="EM56">
        <v>14439.6</v>
      </c>
      <c r="EN56">
        <v>16248.5</v>
      </c>
      <c r="EO56">
        <v>48.375</v>
      </c>
      <c r="EP56">
        <v>50.186999999999998</v>
      </c>
      <c r="EQ56">
        <v>49.561999999999998</v>
      </c>
      <c r="ER56">
        <v>49.125</v>
      </c>
      <c r="ES56">
        <v>50.061999999999998</v>
      </c>
      <c r="ET56">
        <v>1755.49</v>
      </c>
      <c r="EU56">
        <v>39.5</v>
      </c>
      <c r="EV56">
        <v>0</v>
      </c>
      <c r="EW56">
        <v>117.2000000476837</v>
      </c>
      <c r="EX56">
        <v>0</v>
      </c>
      <c r="EY56">
        <v>763.7790399999999</v>
      </c>
      <c r="EZ56">
        <v>-2.9794615390953139</v>
      </c>
      <c r="FA56">
        <v>-87.046153872417847</v>
      </c>
      <c r="FB56">
        <v>14449.675999999999</v>
      </c>
      <c r="FC56">
        <v>15</v>
      </c>
      <c r="FD56">
        <v>1693331218</v>
      </c>
      <c r="FE56" t="s">
        <v>623</v>
      </c>
      <c r="FF56">
        <v>1693331218</v>
      </c>
      <c r="FG56">
        <v>1693331215</v>
      </c>
      <c r="FH56">
        <v>45</v>
      </c>
      <c r="FI56">
        <v>0.157</v>
      </c>
      <c r="FJ56">
        <v>-3.0000000000000001E-3</v>
      </c>
      <c r="FK56">
        <v>1.75</v>
      </c>
      <c r="FL56">
        <v>0.54</v>
      </c>
      <c r="FM56">
        <v>900</v>
      </c>
      <c r="FN56">
        <v>24</v>
      </c>
      <c r="FO56">
        <v>0.17</v>
      </c>
      <c r="FP56">
        <v>0.08</v>
      </c>
      <c r="FQ56">
        <v>44.057085644540621</v>
      </c>
      <c r="FR56">
        <v>-7.4590402030837055E-2</v>
      </c>
      <c r="FS56">
        <v>0.1128201486394497</v>
      </c>
      <c r="FT56">
        <v>1</v>
      </c>
      <c r="FU56">
        <v>0.21536208832851619</v>
      </c>
      <c r="FV56">
        <v>-2.150107287956568E-2</v>
      </c>
      <c r="FW56">
        <v>1.7527044390977791E-3</v>
      </c>
      <c r="FX56">
        <v>1</v>
      </c>
      <c r="FY56">
        <v>2</v>
      </c>
      <c r="FZ56">
        <v>2</v>
      </c>
      <c r="GA56" t="s">
        <v>429</v>
      </c>
      <c r="GB56">
        <v>3.1344500000000002</v>
      </c>
      <c r="GC56">
        <v>2.86531</v>
      </c>
      <c r="GD56">
        <v>0.156693</v>
      </c>
      <c r="GE56">
        <v>0.16755600000000001</v>
      </c>
      <c r="GF56">
        <v>0.12611800000000001</v>
      </c>
      <c r="GG56">
        <v>0.11927699999999999</v>
      </c>
      <c r="GH56">
        <v>25406.5</v>
      </c>
      <c r="GI56">
        <v>19346.099999999999</v>
      </c>
      <c r="GJ56">
        <v>29061.8</v>
      </c>
      <c r="GK56">
        <v>21670.3</v>
      </c>
      <c r="GL56">
        <v>34063.1</v>
      </c>
      <c r="GM56">
        <v>26288.2</v>
      </c>
      <c r="GN56">
        <v>40340</v>
      </c>
      <c r="GO56">
        <v>30811.599999999999</v>
      </c>
      <c r="GP56">
        <v>2.0021</v>
      </c>
      <c r="GQ56">
        <v>1.7464999999999999</v>
      </c>
      <c r="GR56">
        <v>1.6227399999999999E-2</v>
      </c>
      <c r="GS56">
        <v>0</v>
      </c>
      <c r="GT56">
        <v>29.732600000000001</v>
      </c>
      <c r="GU56">
        <v>999.9</v>
      </c>
      <c r="GV56">
        <v>33.1</v>
      </c>
      <c r="GW56">
        <v>43.3</v>
      </c>
      <c r="GX56">
        <v>29.486899999999999</v>
      </c>
      <c r="GY56">
        <v>61.707999999999998</v>
      </c>
      <c r="GZ56">
        <v>13.3574</v>
      </c>
      <c r="HA56">
        <v>1</v>
      </c>
      <c r="HB56">
        <v>0.50492899999999996</v>
      </c>
      <c r="HC56">
        <v>3.92991</v>
      </c>
      <c r="HD56">
        <v>20.2867</v>
      </c>
      <c r="HE56">
        <v>5.2346599999999999</v>
      </c>
      <c r="HF56">
        <v>11.98</v>
      </c>
      <c r="HG56">
        <v>4.9745999999999997</v>
      </c>
      <c r="HH56">
        <v>3.2839999999999998</v>
      </c>
      <c r="HI56">
        <v>9999</v>
      </c>
      <c r="HJ56">
        <v>9999</v>
      </c>
      <c r="HK56">
        <v>9999</v>
      </c>
      <c r="HL56">
        <v>999.9</v>
      </c>
      <c r="HM56">
        <v>1.8611599999999999</v>
      </c>
      <c r="HN56">
        <v>1.8629</v>
      </c>
      <c r="HO56">
        <v>1.86819</v>
      </c>
      <c r="HP56">
        <v>1.85904</v>
      </c>
      <c r="HQ56">
        <v>1.8573200000000001</v>
      </c>
      <c r="HR56">
        <v>1.8610500000000001</v>
      </c>
      <c r="HS56">
        <v>1.86486</v>
      </c>
      <c r="HT56">
        <v>1.8669100000000001</v>
      </c>
      <c r="HU56">
        <v>5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1.782</v>
      </c>
      <c r="II56">
        <v>0.75470000000000004</v>
      </c>
      <c r="IJ56">
        <v>1.715299832034235</v>
      </c>
      <c r="IK56">
        <v>1.118558698776514E-3</v>
      </c>
      <c r="IL56">
        <v>-1.6939696309573479E-6</v>
      </c>
      <c r="IM56">
        <v>5.4698917449866148E-10</v>
      </c>
      <c r="IN56">
        <v>-0.10243310704713141</v>
      </c>
      <c r="IO56">
        <v>-7.6058941998734366E-3</v>
      </c>
      <c r="IP56">
        <v>1.6984902717538061E-3</v>
      </c>
      <c r="IQ56">
        <v>-9.6352527008986976E-6</v>
      </c>
      <c r="IR56">
        <v>2</v>
      </c>
      <c r="IS56">
        <v>2021</v>
      </c>
      <c r="IT56">
        <v>2</v>
      </c>
      <c r="IU56">
        <v>40</v>
      </c>
      <c r="IV56">
        <v>0.6</v>
      </c>
      <c r="IW56">
        <v>0.6</v>
      </c>
      <c r="IX56">
        <v>2.0043899999999999</v>
      </c>
      <c r="IY56">
        <v>2.5476100000000002</v>
      </c>
      <c r="IZ56">
        <v>1.34399</v>
      </c>
      <c r="JA56">
        <v>2.2387700000000001</v>
      </c>
      <c r="JB56">
        <v>1.5918000000000001</v>
      </c>
      <c r="JC56">
        <v>2.33887</v>
      </c>
      <c r="JD56">
        <v>47.904299999999999</v>
      </c>
      <c r="JE56">
        <v>16.058299999999999</v>
      </c>
      <c r="JF56">
        <v>18</v>
      </c>
      <c r="JG56">
        <v>508.84100000000001</v>
      </c>
      <c r="JH56">
        <v>390.52300000000002</v>
      </c>
      <c r="JI56">
        <v>24.626799999999999</v>
      </c>
      <c r="JJ56">
        <v>33.689799999999998</v>
      </c>
      <c r="JK56">
        <v>30.0014</v>
      </c>
      <c r="JL56">
        <v>33.508899999999997</v>
      </c>
      <c r="JM56">
        <v>33.457000000000001</v>
      </c>
      <c r="JN56">
        <v>40.182000000000002</v>
      </c>
      <c r="JO56">
        <v>14.606199999999999</v>
      </c>
      <c r="JP56">
        <v>9.8041499999999999</v>
      </c>
      <c r="JQ56">
        <v>24.6066</v>
      </c>
      <c r="JR56">
        <v>900</v>
      </c>
      <c r="JS56">
        <v>24.283100000000001</v>
      </c>
      <c r="JT56">
        <v>99.099299999999999</v>
      </c>
      <c r="JU56">
        <v>97.318899999999999</v>
      </c>
    </row>
    <row r="57" spans="1:281" x14ac:dyDescent="0.25">
      <c r="A57">
        <v>41</v>
      </c>
      <c r="B57">
        <v>1693331362.5</v>
      </c>
      <c r="C57">
        <v>9601</v>
      </c>
      <c r="D57" t="s">
        <v>624</v>
      </c>
      <c r="E57" t="s">
        <v>625</v>
      </c>
      <c r="F57" t="s">
        <v>413</v>
      </c>
      <c r="G57" t="s">
        <v>564</v>
      </c>
      <c r="H57" t="s">
        <v>565</v>
      </c>
      <c r="I57" t="s">
        <v>31</v>
      </c>
      <c r="J57">
        <v>1693331362.5</v>
      </c>
      <c r="K57">
        <f t="shared" si="46"/>
        <v>2.52108905168252E-3</v>
      </c>
      <c r="L57">
        <f t="shared" si="47"/>
        <v>2.52108905168252</v>
      </c>
      <c r="M57">
        <f t="shared" si="48"/>
        <v>43.764005019940846</v>
      </c>
      <c r="N57">
        <f t="shared" si="49"/>
        <v>1144.28</v>
      </c>
      <c r="O57">
        <f t="shared" si="50"/>
        <v>687.62826553243372</v>
      </c>
      <c r="P57">
        <f t="shared" si="51"/>
        <v>68.189065058899388</v>
      </c>
      <c r="Q57">
        <f t="shared" si="52"/>
        <v>113.47320533018001</v>
      </c>
      <c r="R57">
        <f t="shared" si="53"/>
        <v>0.16578136700064938</v>
      </c>
      <c r="S57">
        <f t="shared" si="54"/>
        <v>2.9192217563516945</v>
      </c>
      <c r="T57">
        <f t="shared" si="55"/>
        <v>0.16072307525943808</v>
      </c>
      <c r="U57">
        <f t="shared" si="56"/>
        <v>0.1008935332515932</v>
      </c>
      <c r="V57">
        <f t="shared" si="57"/>
        <v>344.36239964449214</v>
      </c>
      <c r="W57">
        <f t="shared" si="58"/>
        <v>31.257290922044554</v>
      </c>
      <c r="X57">
        <f t="shared" si="59"/>
        <v>29.990300000000001</v>
      </c>
      <c r="Y57">
        <f t="shared" si="60"/>
        <v>4.2580765962408389</v>
      </c>
      <c r="Z57">
        <f t="shared" si="61"/>
        <v>65.171860924926719</v>
      </c>
      <c r="AA57">
        <f t="shared" si="62"/>
        <v>2.757596824048</v>
      </c>
      <c r="AB57">
        <f t="shared" si="63"/>
        <v>4.2312691166277308</v>
      </c>
      <c r="AC57">
        <f t="shared" si="64"/>
        <v>1.5004797721928389</v>
      </c>
      <c r="AD57">
        <f t="shared" si="65"/>
        <v>-111.18002717919913</v>
      </c>
      <c r="AE57">
        <f t="shared" si="66"/>
        <v>-17.296181057794687</v>
      </c>
      <c r="AF57">
        <f t="shared" si="67"/>
        <v>-1.3165708107471461</v>
      </c>
      <c r="AG57">
        <f t="shared" si="68"/>
        <v>214.56962059675121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52059.061155169817</v>
      </c>
      <c r="AM57" t="s">
        <v>415</v>
      </c>
      <c r="AN57">
        <v>10366.9</v>
      </c>
      <c r="AO57">
        <v>993.59653846153856</v>
      </c>
      <c r="AP57">
        <v>3431.87</v>
      </c>
      <c r="AQ57">
        <f t="shared" si="72"/>
        <v>0.71047955241266758</v>
      </c>
      <c r="AR57">
        <v>-3.9894345373445681</v>
      </c>
      <c r="AS57" t="s">
        <v>626</v>
      </c>
      <c r="AT57">
        <v>10378.700000000001</v>
      </c>
      <c r="AU57">
        <v>764.1547599999999</v>
      </c>
      <c r="AV57">
        <v>1111.022001281206</v>
      </c>
      <c r="AW57">
        <f t="shared" si="73"/>
        <v>0.31220555567865127</v>
      </c>
      <c r="AX57">
        <v>0.5</v>
      </c>
      <c r="AY57">
        <f t="shared" si="74"/>
        <v>1513.151399822246</v>
      </c>
      <c r="AZ57">
        <f t="shared" si="75"/>
        <v>43.764005019940846</v>
      </c>
      <c r="BA57">
        <f t="shared" si="76"/>
        <v>236.20713680371668</v>
      </c>
      <c r="BB57">
        <f t="shared" si="77"/>
        <v>3.1558930297982832E-2</v>
      </c>
      <c r="BC57">
        <f t="shared" si="78"/>
        <v>2.0889307286826391</v>
      </c>
      <c r="BD57">
        <f t="shared" si="79"/>
        <v>619.1449834362752</v>
      </c>
      <c r="BE57" t="s">
        <v>627</v>
      </c>
      <c r="BF57">
        <v>596.17999999999995</v>
      </c>
      <c r="BG57">
        <f t="shared" si="80"/>
        <v>596.17999999999995</v>
      </c>
      <c r="BH57">
        <f t="shared" si="81"/>
        <v>0.46339496489493603</v>
      </c>
      <c r="BI57">
        <f t="shared" si="82"/>
        <v>0.67373532155110183</v>
      </c>
      <c r="BJ57">
        <f t="shared" si="83"/>
        <v>0.81844207184804896</v>
      </c>
      <c r="BK57">
        <f t="shared" si="84"/>
        <v>2.9539354834300018</v>
      </c>
      <c r="BL57">
        <f t="shared" si="85"/>
        <v>0.95184073293174565</v>
      </c>
      <c r="BM57">
        <f t="shared" si="86"/>
        <v>0.5256363567012734</v>
      </c>
      <c r="BN57">
        <f t="shared" si="87"/>
        <v>0.4743636432987266</v>
      </c>
      <c r="BO57">
        <v>2033</v>
      </c>
      <c r="BP57">
        <v>290.00000000000011</v>
      </c>
      <c r="BQ57">
        <v>1010.63</v>
      </c>
      <c r="BR57">
        <v>145</v>
      </c>
      <c r="BS57">
        <v>10378.700000000001</v>
      </c>
      <c r="BT57">
        <v>1009.25</v>
      </c>
      <c r="BU57">
        <v>1.38</v>
      </c>
      <c r="BV57">
        <v>300.00000000000011</v>
      </c>
      <c r="BW57">
        <v>38.4</v>
      </c>
      <c r="BX57">
        <v>1111.022001281206</v>
      </c>
      <c r="BY57">
        <v>1.344000422118625</v>
      </c>
      <c r="BZ57">
        <v>-105.62407906034279</v>
      </c>
      <c r="CA57">
        <v>1.140433892131</v>
      </c>
      <c r="CB57">
        <v>0.99674645295810216</v>
      </c>
      <c r="CC57">
        <v>-1.12817107897664E-2</v>
      </c>
      <c r="CD57">
        <v>289.99999999999989</v>
      </c>
      <c r="CE57">
        <v>998.09</v>
      </c>
      <c r="CF57">
        <v>665</v>
      </c>
      <c r="CG57">
        <v>10346.5</v>
      </c>
      <c r="CH57">
        <v>1008.94</v>
      </c>
      <c r="CI57">
        <v>-10.85</v>
      </c>
      <c r="CW57">
        <f t="shared" si="88"/>
        <v>1799.96</v>
      </c>
      <c r="CX57">
        <f t="shared" si="89"/>
        <v>1513.151399822246</v>
      </c>
      <c r="CY57">
        <f t="shared" si="90"/>
        <v>0.84065834786453364</v>
      </c>
      <c r="CZ57">
        <f t="shared" si="91"/>
        <v>0.1913166957290674</v>
      </c>
      <c r="DA57">
        <v>6</v>
      </c>
      <c r="DB57">
        <v>0.5</v>
      </c>
      <c r="DC57" t="s">
        <v>418</v>
      </c>
      <c r="DD57">
        <v>2</v>
      </c>
      <c r="DE57">
        <v>1693331362.5</v>
      </c>
      <c r="DF57">
        <v>1144.28</v>
      </c>
      <c r="DG57">
        <v>1200.2</v>
      </c>
      <c r="DH57">
        <v>27.808</v>
      </c>
      <c r="DI57">
        <v>24.869900000000001</v>
      </c>
      <c r="DJ57">
        <v>1142.44</v>
      </c>
      <c r="DK57">
        <v>27.063199999999998</v>
      </c>
      <c r="DL57">
        <v>500.524</v>
      </c>
      <c r="DM57">
        <v>99.065700000000007</v>
      </c>
      <c r="DN57">
        <v>9.9893499999999996E-2</v>
      </c>
      <c r="DO57">
        <v>29.880400000000002</v>
      </c>
      <c r="DP57">
        <v>29.990300000000001</v>
      </c>
      <c r="DQ57">
        <v>999.9</v>
      </c>
      <c r="DR57">
        <v>0</v>
      </c>
      <c r="DS57">
        <v>0</v>
      </c>
      <c r="DT57">
        <v>10035</v>
      </c>
      <c r="DU57">
        <v>0</v>
      </c>
      <c r="DV57">
        <v>329.68200000000002</v>
      </c>
      <c r="DW57">
        <v>-55.9146</v>
      </c>
      <c r="DX57">
        <v>1177.01</v>
      </c>
      <c r="DY57">
        <v>1230.81</v>
      </c>
      <c r="DZ57">
        <v>2.9381300000000001</v>
      </c>
      <c r="EA57">
        <v>1200.2</v>
      </c>
      <c r="EB57">
        <v>24.869900000000001</v>
      </c>
      <c r="EC57">
        <v>2.75482</v>
      </c>
      <c r="ED57">
        <v>2.4637500000000001</v>
      </c>
      <c r="EE57">
        <v>22.6158</v>
      </c>
      <c r="EF57">
        <v>20.789000000000001</v>
      </c>
      <c r="EG57">
        <v>1799.96</v>
      </c>
      <c r="EH57">
        <v>0.97799199999999997</v>
      </c>
      <c r="EI57">
        <v>2.2007700000000002E-2</v>
      </c>
      <c r="EJ57">
        <v>0</v>
      </c>
      <c r="EK57">
        <v>763.60799999999995</v>
      </c>
      <c r="EL57">
        <v>5.0002700000000004</v>
      </c>
      <c r="EM57">
        <v>14459.9</v>
      </c>
      <c r="EN57">
        <v>16248.2</v>
      </c>
      <c r="EO57">
        <v>48.375</v>
      </c>
      <c r="EP57">
        <v>50.186999999999998</v>
      </c>
      <c r="EQ57">
        <v>49.625</v>
      </c>
      <c r="ER57">
        <v>49.125</v>
      </c>
      <c r="ES57">
        <v>50.061999999999998</v>
      </c>
      <c r="ET57">
        <v>1755.46</v>
      </c>
      <c r="EU57">
        <v>39.5</v>
      </c>
      <c r="EV57">
        <v>0</v>
      </c>
      <c r="EW57">
        <v>108.5999999046326</v>
      </c>
      <c r="EX57">
        <v>0</v>
      </c>
      <c r="EY57">
        <v>764.1547599999999</v>
      </c>
      <c r="EZ57">
        <v>-6.0812308042665846</v>
      </c>
      <c r="FA57">
        <v>-92.338461763855705</v>
      </c>
      <c r="FB57">
        <v>14470.66</v>
      </c>
      <c r="FC57">
        <v>15</v>
      </c>
      <c r="FD57">
        <v>1693331316.5</v>
      </c>
      <c r="FE57" t="s">
        <v>628</v>
      </c>
      <c r="FF57">
        <v>1693331314</v>
      </c>
      <c r="FG57">
        <v>1693331316.5</v>
      </c>
      <c r="FH57">
        <v>46</v>
      </c>
      <c r="FI57">
        <v>0.23799999999999999</v>
      </c>
      <c r="FJ57">
        <v>0</v>
      </c>
      <c r="FK57">
        <v>1.8029999999999999</v>
      </c>
      <c r="FL57">
        <v>0.54800000000000004</v>
      </c>
      <c r="FM57">
        <v>1200</v>
      </c>
      <c r="FN57">
        <v>24</v>
      </c>
      <c r="FO57">
        <v>0.14000000000000001</v>
      </c>
      <c r="FP57">
        <v>0.06</v>
      </c>
      <c r="FQ57">
        <v>43.691116815872739</v>
      </c>
      <c r="FR57">
        <v>-0.16620168786842279</v>
      </c>
      <c r="FS57">
        <v>0.11149118855255941</v>
      </c>
      <c r="FT57">
        <v>1</v>
      </c>
      <c r="FU57">
        <v>0.16025211249194779</v>
      </c>
      <c r="FV57">
        <v>2.3077632787614499E-2</v>
      </c>
      <c r="FW57">
        <v>1.900413057982026E-3</v>
      </c>
      <c r="FX57">
        <v>1</v>
      </c>
      <c r="FY57">
        <v>2</v>
      </c>
      <c r="FZ57">
        <v>2</v>
      </c>
      <c r="GA57" t="s">
        <v>429</v>
      </c>
      <c r="GB57">
        <v>3.1350199999999999</v>
      </c>
      <c r="GC57">
        <v>2.86537</v>
      </c>
      <c r="GD57">
        <v>0.19112199999999999</v>
      </c>
      <c r="GE57">
        <v>0.20155200000000001</v>
      </c>
      <c r="GF57">
        <v>0.12559400000000001</v>
      </c>
      <c r="GG57">
        <v>0.12120599999999999</v>
      </c>
      <c r="GH57">
        <v>24365.8</v>
      </c>
      <c r="GI57">
        <v>18554.099999999999</v>
      </c>
      <c r="GJ57">
        <v>29059.5</v>
      </c>
      <c r="GK57">
        <v>21669.5</v>
      </c>
      <c r="GL57">
        <v>34085.199999999997</v>
      </c>
      <c r="GM57">
        <v>26232</v>
      </c>
      <c r="GN57">
        <v>40336.9</v>
      </c>
      <c r="GO57">
        <v>30810</v>
      </c>
      <c r="GP57">
        <v>2.0004</v>
      </c>
      <c r="GQ57">
        <v>1.7462</v>
      </c>
      <c r="GR57">
        <v>2.0712600000000001E-2</v>
      </c>
      <c r="GS57">
        <v>0</v>
      </c>
      <c r="GT57">
        <v>29.653199999999998</v>
      </c>
      <c r="GU57">
        <v>999.9</v>
      </c>
      <c r="GV57">
        <v>33</v>
      </c>
      <c r="GW57">
        <v>43.4</v>
      </c>
      <c r="GX57">
        <v>29.552</v>
      </c>
      <c r="GY57">
        <v>61.328000000000003</v>
      </c>
      <c r="GZ57">
        <v>12.8405</v>
      </c>
      <c r="HA57">
        <v>1</v>
      </c>
      <c r="HB57">
        <v>0.50613799999999998</v>
      </c>
      <c r="HC57">
        <v>3.5898300000000001</v>
      </c>
      <c r="HD57">
        <v>20.295400000000001</v>
      </c>
      <c r="HE57">
        <v>5.2346599999999999</v>
      </c>
      <c r="HF57">
        <v>11.98</v>
      </c>
      <c r="HG57">
        <v>4.9741999999999997</v>
      </c>
      <c r="HH57">
        <v>3.2839999999999998</v>
      </c>
      <c r="HI57">
        <v>9999</v>
      </c>
      <c r="HJ57">
        <v>9999</v>
      </c>
      <c r="HK57">
        <v>9999</v>
      </c>
      <c r="HL57">
        <v>999.9</v>
      </c>
      <c r="HM57">
        <v>1.8612200000000001</v>
      </c>
      <c r="HN57">
        <v>1.8629500000000001</v>
      </c>
      <c r="HO57">
        <v>1.86816</v>
      </c>
      <c r="HP57">
        <v>1.8590100000000001</v>
      </c>
      <c r="HQ57">
        <v>1.8573200000000001</v>
      </c>
      <c r="HR57">
        <v>1.8611</v>
      </c>
      <c r="HS57">
        <v>1.86483</v>
      </c>
      <c r="HT57">
        <v>1.8669100000000001</v>
      </c>
      <c r="HU57">
        <v>5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1.84</v>
      </c>
      <c r="II57">
        <v>0.74480000000000002</v>
      </c>
      <c r="IJ57">
        <v>1.9543710063450319</v>
      </c>
      <c r="IK57">
        <v>1.118558698776514E-3</v>
      </c>
      <c r="IL57">
        <v>-1.6939696309573479E-6</v>
      </c>
      <c r="IM57">
        <v>5.4698917449866148E-10</v>
      </c>
      <c r="IN57">
        <v>-0.10229897051673301</v>
      </c>
      <c r="IO57">
        <v>-7.6058941998734366E-3</v>
      </c>
      <c r="IP57">
        <v>1.6984902717538061E-3</v>
      </c>
      <c r="IQ57">
        <v>-9.6352527008986976E-6</v>
      </c>
      <c r="IR57">
        <v>2</v>
      </c>
      <c r="IS57">
        <v>2021</v>
      </c>
      <c r="IT57">
        <v>2</v>
      </c>
      <c r="IU57">
        <v>40</v>
      </c>
      <c r="IV57">
        <v>0.8</v>
      </c>
      <c r="IW57">
        <v>0.8</v>
      </c>
      <c r="IX57">
        <v>2.5439500000000002</v>
      </c>
      <c r="IY57">
        <v>2.5354000000000001</v>
      </c>
      <c r="IZ57">
        <v>1.34399</v>
      </c>
      <c r="JA57">
        <v>2.2387700000000001</v>
      </c>
      <c r="JB57">
        <v>1.5918000000000001</v>
      </c>
      <c r="JC57">
        <v>2.50366</v>
      </c>
      <c r="JD57">
        <v>47.904299999999999</v>
      </c>
      <c r="JE57">
        <v>16.058299999999999</v>
      </c>
      <c r="JF57">
        <v>18</v>
      </c>
      <c r="JG57">
        <v>508.22300000000001</v>
      </c>
      <c r="JH57">
        <v>390.73</v>
      </c>
      <c r="JI57">
        <v>24.581600000000002</v>
      </c>
      <c r="JJ57">
        <v>33.744399999999999</v>
      </c>
      <c r="JK57">
        <v>30</v>
      </c>
      <c r="JL57">
        <v>33.568800000000003</v>
      </c>
      <c r="JM57">
        <v>33.5137</v>
      </c>
      <c r="JN57">
        <v>50.978900000000003</v>
      </c>
      <c r="JO57">
        <v>12.146000000000001</v>
      </c>
      <c r="JP57">
        <v>10.0139</v>
      </c>
      <c r="JQ57">
        <v>24.544899999999998</v>
      </c>
      <c r="JR57">
        <v>1200</v>
      </c>
      <c r="JS57">
        <v>24.822399999999998</v>
      </c>
      <c r="JT57">
        <v>99.0916</v>
      </c>
      <c r="JU57">
        <v>97.314300000000003</v>
      </c>
    </row>
    <row r="58" spans="1:281" x14ac:dyDescent="0.25">
      <c r="A58">
        <v>42</v>
      </c>
      <c r="B58">
        <v>1693331509.5</v>
      </c>
      <c r="C58">
        <v>9748</v>
      </c>
      <c r="D58" t="s">
        <v>629</v>
      </c>
      <c r="E58" t="s">
        <v>630</v>
      </c>
      <c r="F58" t="s">
        <v>413</v>
      </c>
      <c r="G58" t="s">
        <v>564</v>
      </c>
      <c r="H58" t="s">
        <v>565</v>
      </c>
      <c r="I58" t="s">
        <v>31</v>
      </c>
      <c r="J58">
        <v>1693331509.5</v>
      </c>
      <c r="K58">
        <f t="shared" si="46"/>
        <v>1.7210684681651591E-3</v>
      </c>
      <c r="L58">
        <f t="shared" si="47"/>
        <v>1.7210684681651591</v>
      </c>
      <c r="M58">
        <f t="shared" si="48"/>
        <v>42.054026817231446</v>
      </c>
      <c r="N58">
        <f t="shared" si="49"/>
        <v>1446.26</v>
      </c>
      <c r="O58">
        <f t="shared" si="50"/>
        <v>792.22626154471914</v>
      </c>
      <c r="P58">
        <f t="shared" si="51"/>
        <v>78.556559548399406</v>
      </c>
      <c r="Q58">
        <f t="shared" si="52"/>
        <v>143.41005256622003</v>
      </c>
      <c r="R58">
        <f t="shared" si="53"/>
        <v>0.10951946037295386</v>
      </c>
      <c r="S58">
        <f t="shared" si="54"/>
        <v>2.9033477612842522</v>
      </c>
      <c r="T58">
        <f t="shared" si="55"/>
        <v>0.107275052532972</v>
      </c>
      <c r="U58">
        <f t="shared" si="56"/>
        <v>6.7244728049792091E-2</v>
      </c>
      <c r="V58">
        <f t="shared" si="57"/>
        <v>344.35859964448821</v>
      </c>
      <c r="W58">
        <f t="shared" si="58"/>
        <v>31.412414414547001</v>
      </c>
      <c r="X58">
        <f t="shared" si="59"/>
        <v>30.023599999999998</v>
      </c>
      <c r="Y58">
        <f t="shared" si="60"/>
        <v>4.26622850009967</v>
      </c>
      <c r="Z58">
        <f t="shared" si="61"/>
        <v>64.783056183979312</v>
      </c>
      <c r="AA58">
        <f t="shared" si="62"/>
        <v>2.7315001134102004</v>
      </c>
      <c r="AB58">
        <f t="shared" si="63"/>
        <v>4.2163804462279959</v>
      </c>
      <c r="AC58">
        <f t="shared" si="64"/>
        <v>1.5347283866894696</v>
      </c>
      <c r="AD58">
        <f t="shared" si="65"/>
        <v>-75.899119446083517</v>
      </c>
      <c r="AE58">
        <f t="shared" si="66"/>
        <v>-32.009420681549848</v>
      </c>
      <c r="AF58">
        <f t="shared" si="67"/>
        <v>-2.4495125218640599</v>
      </c>
      <c r="AG58">
        <f t="shared" si="68"/>
        <v>234.00054699499083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51617.851633353668</v>
      </c>
      <c r="AM58" t="s">
        <v>415</v>
      </c>
      <c r="AN58">
        <v>10366.9</v>
      </c>
      <c r="AO58">
        <v>993.59653846153856</v>
      </c>
      <c r="AP58">
        <v>3431.87</v>
      </c>
      <c r="AQ58">
        <f t="shared" si="72"/>
        <v>0.71047955241266758</v>
      </c>
      <c r="AR58">
        <v>-3.9894345373445681</v>
      </c>
      <c r="AS58" t="s">
        <v>631</v>
      </c>
      <c r="AT58">
        <v>10386.799999999999</v>
      </c>
      <c r="AU58">
        <v>757.03434615384606</v>
      </c>
      <c r="AV58">
        <v>1092.024294449312</v>
      </c>
      <c r="AW58">
        <f t="shared" si="73"/>
        <v>0.30676052721372404</v>
      </c>
      <c r="AX58">
        <v>0.5</v>
      </c>
      <c r="AY58">
        <f t="shared" si="74"/>
        <v>1513.1345998222441</v>
      </c>
      <c r="AZ58">
        <f t="shared" si="75"/>
        <v>42.054026817231446</v>
      </c>
      <c r="BA58">
        <f t="shared" si="76"/>
        <v>232.08498379339949</v>
      </c>
      <c r="BB58">
        <f t="shared" si="77"/>
        <v>3.0429190740853443E-2</v>
      </c>
      <c r="BC58">
        <f t="shared" si="78"/>
        <v>2.1426681782117578</v>
      </c>
      <c r="BD58">
        <f t="shared" si="79"/>
        <v>613.20013452032788</v>
      </c>
      <c r="BE58" t="s">
        <v>632</v>
      </c>
      <c r="BF58">
        <v>591.66999999999996</v>
      </c>
      <c r="BG58">
        <f t="shared" si="80"/>
        <v>591.66999999999996</v>
      </c>
      <c r="BH58">
        <f t="shared" si="81"/>
        <v>0.45818970969105743</v>
      </c>
      <c r="BI58">
        <f t="shared" si="82"/>
        <v>0.6695054924314271</v>
      </c>
      <c r="BJ58">
        <f t="shared" si="83"/>
        <v>0.82383131665047815</v>
      </c>
      <c r="BK58">
        <f t="shared" si="84"/>
        <v>3.4034093831934746</v>
      </c>
      <c r="BL58">
        <f t="shared" si="85"/>
        <v>0.9596321915731022</v>
      </c>
      <c r="BM58">
        <f t="shared" si="86"/>
        <v>0.52326069050822277</v>
      </c>
      <c r="BN58">
        <f t="shared" si="87"/>
        <v>0.47673930949177723</v>
      </c>
      <c r="BO58">
        <v>2035</v>
      </c>
      <c r="BP58">
        <v>290.00000000000011</v>
      </c>
      <c r="BQ58">
        <v>997.31</v>
      </c>
      <c r="BR58">
        <v>105</v>
      </c>
      <c r="BS58">
        <v>10386.799999999999</v>
      </c>
      <c r="BT58">
        <v>995.97</v>
      </c>
      <c r="BU58">
        <v>1.34</v>
      </c>
      <c r="BV58">
        <v>300.00000000000011</v>
      </c>
      <c r="BW58">
        <v>38.4</v>
      </c>
      <c r="BX58">
        <v>1092.024294449312</v>
      </c>
      <c r="BY58">
        <v>1.175947012775721</v>
      </c>
      <c r="BZ58">
        <v>-99.76980225911997</v>
      </c>
      <c r="CA58">
        <v>0.99782212390355973</v>
      </c>
      <c r="CB58">
        <v>0.99720712538031764</v>
      </c>
      <c r="CC58">
        <v>-1.12816084538376E-2</v>
      </c>
      <c r="CD58">
        <v>289.99999999999989</v>
      </c>
      <c r="CE58">
        <v>986</v>
      </c>
      <c r="CF58">
        <v>645</v>
      </c>
      <c r="CG58">
        <v>10348.4</v>
      </c>
      <c r="CH58">
        <v>995.61</v>
      </c>
      <c r="CI58">
        <v>-9.61</v>
      </c>
      <c r="CW58">
        <f t="shared" si="88"/>
        <v>1799.94</v>
      </c>
      <c r="CX58">
        <f t="shared" si="89"/>
        <v>1513.1345998222441</v>
      </c>
      <c r="CY58">
        <f t="shared" si="90"/>
        <v>0.84065835517975274</v>
      </c>
      <c r="CZ58">
        <f t="shared" si="91"/>
        <v>0.19131671035950543</v>
      </c>
      <c r="DA58">
        <v>6</v>
      </c>
      <c r="DB58">
        <v>0.5</v>
      </c>
      <c r="DC58" t="s">
        <v>418</v>
      </c>
      <c r="DD58">
        <v>2</v>
      </c>
      <c r="DE58">
        <v>1693331509.5</v>
      </c>
      <c r="DF58">
        <v>1446.26</v>
      </c>
      <c r="DG58">
        <v>1499.72</v>
      </c>
      <c r="DH58">
        <v>27.546600000000002</v>
      </c>
      <c r="DI58">
        <v>25.5379</v>
      </c>
      <c r="DJ58">
        <v>1444.78</v>
      </c>
      <c r="DK58">
        <v>26.818300000000001</v>
      </c>
      <c r="DL58">
        <v>499.923</v>
      </c>
      <c r="DM58">
        <v>99.058700000000002</v>
      </c>
      <c r="DN58">
        <v>0.100547</v>
      </c>
      <c r="DO58">
        <v>29.819099999999999</v>
      </c>
      <c r="DP58">
        <v>30.023599999999998</v>
      </c>
      <c r="DQ58">
        <v>999.9</v>
      </c>
      <c r="DR58">
        <v>0</v>
      </c>
      <c r="DS58">
        <v>0</v>
      </c>
      <c r="DT58">
        <v>9945</v>
      </c>
      <c r="DU58">
        <v>0</v>
      </c>
      <c r="DV58">
        <v>322.29399999999998</v>
      </c>
      <c r="DW58">
        <v>-53.453499999999998</v>
      </c>
      <c r="DX58">
        <v>1487.23</v>
      </c>
      <c r="DY58">
        <v>1539.02</v>
      </c>
      <c r="DZ58">
        <v>2.0086900000000001</v>
      </c>
      <c r="EA58">
        <v>1499.72</v>
      </c>
      <c r="EB58">
        <v>25.5379</v>
      </c>
      <c r="EC58">
        <v>2.7287300000000001</v>
      </c>
      <c r="ED58">
        <v>2.5297499999999999</v>
      </c>
      <c r="EE58">
        <v>22.459199999999999</v>
      </c>
      <c r="EF58">
        <v>21.219200000000001</v>
      </c>
      <c r="EG58">
        <v>1799.94</v>
      </c>
      <c r="EH58">
        <v>0.97799199999999997</v>
      </c>
      <c r="EI58">
        <v>2.2007700000000002E-2</v>
      </c>
      <c r="EJ58">
        <v>0</v>
      </c>
      <c r="EK58">
        <v>756.17600000000004</v>
      </c>
      <c r="EL58">
        <v>5.0002700000000004</v>
      </c>
      <c r="EM58">
        <v>14321.3</v>
      </c>
      <c r="EN58">
        <v>16248</v>
      </c>
      <c r="EO58">
        <v>48.375</v>
      </c>
      <c r="EP58">
        <v>50</v>
      </c>
      <c r="EQ58">
        <v>49.561999999999998</v>
      </c>
      <c r="ER58">
        <v>49</v>
      </c>
      <c r="ES58">
        <v>50</v>
      </c>
      <c r="ET58">
        <v>1755.44</v>
      </c>
      <c r="EU58">
        <v>39.5</v>
      </c>
      <c r="EV58">
        <v>0</v>
      </c>
      <c r="EW58">
        <v>144.80000019073489</v>
      </c>
      <c r="EX58">
        <v>0</v>
      </c>
      <c r="EY58">
        <v>757.03434615384606</v>
      </c>
      <c r="EZ58">
        <v>-7.2692991543773839</v>
      </c>
      <c r="FA58">
        <v>-145.0905982418187</v>
      </c>
      <c r="FB58">
        <v>14341.41153846154</v>
      </c>
      <c r="FC58">
        <v>15</v>
      </c>
      <c r="FD58">
        <v>1693331466</v>
      </c>
      <c r="FE58" t="s">
        <v>633</v>
      </c>
      <c r="FF58">
        <v>1693331466</v>
      </c>
      <c r="FG58">
        <v>1693331452</v>
      </c>
      <c r="FH58">
        <v>47</v>
      </c>
      <c r="FI58">
        <v>-0.20100000000000001</v>
      </c>
      <c r="FJ58">
        <v>-1E-3</v>
      </c>
      <c r="FK58">
        <v>1.4670000000000001</v>
      </c>
      <c r="FL58">
        <v>0.59799999999999998</v>
      </c>
      <c r="FM58">
        <v>1500</v>
      </c>
      <c r="FN58">
        <v>25</v>
      </c>
      <c r="FO58">
        <v>0.16</v>
      </c>
      <c r="FP58">
        <v>0.12</v>
      </c>
      <c r="FQ58">
        <v>42.47970303285674</v>
      </c>
      <c r="FR58">
        <v>-0.60471136675407311</v>
      </c>
      <c r="FS58">
        <v>0.1332598768625366</v>
      </c>
      <c r="FT58">
        <v>1</v>
      </c>
      <c r="FU58">
        <v>0.1138365402019335</v>
      </c>
      <c r="FV58">
        <v>-2.8536661494732E-2</v>
      </c>
      <c r="FW58">
        <v>2.1236813541283838E-3</v>
      </c>
      <c r="FX58">
        <v>1</v>
      </c>
      <c r="FY58">
        <v>2</v>
      </c>
      <c r="FZ58">
        <v>2</v>
      </c>
      <c r="GA58" t="s">
        <v>429</v>
      </c>
      <c r="GB58">
        <v>3.13449</v>
      </c>
      <c r="GC58">
        <v>2.8652199999999999</v>
      </c>
      <c r="GD58">
        <v>0.22124099999999999</v>
      </c>
      <c r="GE58">
        <v>0.23114100000000001</v>
      </c>
      <c r="GF58">
        <v>0.124781</v>
      </c>
      <c r="GG58">
        <v>0.123435</v>
      </c>
      <c r="GH58">
        <v>23456.2</v>
      </c>
      <c r="GI58">
        <v>17866.400000000001</v>
      </c>
      <c r="GJ58">
        <v>29058.5</v>
      </c>
      <c r="GK58">
        <v>21670.799999999999</v>
      </c>
      <c r="GL58">
        <v>34118.800000000003</v>
      </c>
      <c r="GM58">
        <v>26171.200000000001</v>
      </c>
      <c r="GN58">
        <v>40335.300000000003</v>
      </c>
      <c r="GO58">
        <v>30813.9</v>
      </c>
      <c r="GP58">
        <v>1.9997</v>
      </c>
      <c r="GQ58">
        <v>1.7476</v>
      </c>
      <c r="GR58">
        <v>2.7149900000000001E-2</v>
      </c>
      <c r="GS58">
        <v>0</v>
      </c>
      <c r="GT58">
        <v>29.581600000000002</v>
      </c>
      <c r="GU58">
        <v>999.9</v>
      </c>
      <c r="GV58">
        <v>33.200000000000003</v>
      </c>
      <c r="GW58">
        <v>43.4</v>
      </c>
      <c r="GX58">
        <v>29.731400000000001</v>
      </c>
      <c r="GY58">
        <v>62.018099999999997</v>
      </c>
      <c r="GZ58">
        <v>13.3133</v>
      </c>
      <c r="HA58">
        <v>1</v>
      </c>
      <c r="HB58">
        <v>0.50807899999999995</v>
      </c>
      <c r="HC58">
        <v>3.9815399999999999</v>
      </c>
      <c r="HD58">
        <v>20.285799999999998</v>
      </c>
      <c r="HE58">
        <v>5.2346599999999999</v>
      </c>
      <c r="HF58">
        <v>11.98</v>
      </c>
      <c r="HG58">
        <v>4.9757999999999996</v>
      </c>
      <c r="HH58">
        <v>3.2839999999999998</v>
      </c>
      <c r="HI58">
        <v>9999</v>
      </c>
      <c r="HJ58">
        <v>9999</v>
      </c>
      <c r="HK58">
        <v>9999</v>
      </c>
      <c r="HL58">
        <v>999.9</v>
      </c>
      <c r="HM58">
        <v>1.86124</v>
      </c>
      <c r="HN58">
        <v>1.86293</v>
      </c>
      <c r="HO58">
        <v>1.86815</v>
      </c>
      <c r="HP58">
        <v>1.8589800000000001</v>
      </c>
      <c r="HQ58">
        <v>1.8573200000000001</v>
      </c>
      <c r="HR58">
        <v>1.8609899999999999</v>
      </c>
      <c r="HS58">
        <v>1.86483</v>
      </c>
      <c r="HT58">
        <v>1.8668899999999999</v>
      </c>
      <c r="HU58">
        <v>5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1.48</v>
      </c>
      <c r="II58">
        <v>0.72829999999999995</v>
      </c>
      <c r="IJ58">
        <v>1.754118955557199</v>
      </c>
      <c r="IK58">
        <v>1.118558698776514E-3</v>
      </c>
      <c r="IL58">
        <v>-1.6939696309573479E-6</v>
      </c>
      <c r="IM58">
        <v>5.4698917449866148E-10</v>
      </c>
      <c r="IN58">
        <v>-0.1035026729989131</v>
      </c>
      <c r="IO58">
        <v>-7.6058941998734366E-3</v>
      </c>
      <c r="IP58">
        <v>1.6984902717538061E-3</v>
      </c>
      <c r="IQ58">
        <v>-9.6352527008986976E-6</v>
      </c>
      <c r="IR58">
        <v>2</v>
      </c>
      <c r="IS58">
        <v>2021</v>
      </c>
      <c r="IT58">
        <v>2</v>
      </c>
      <c r="IU58">
        <v>40</v>
      </c>
      <c r="IV58">
        <v>0.7</v>
      </c>
      <c r="IW58">
        <v>1</v>
      </c>
      <c r="IX58">
        <v>3.0590799999999998</v>
      </c>
      <c r="IY58">
        <v>2.5463900000000002</v>
      </c>
      <c r="IZ58">
        <v>1.34399</v>
      </c>
      <c r="JA58">
        <v>2.2387700000000001</v>
      </c>
      <c r="JB58">
        <v>1.5918000000000001</v>
      </c>
      <c r="JC58">
        <v>2.3010299999999999</v>
      </c>
      <c r="JD58">
        <v>47.752800000000001</v>
      </c>
      <c r="JE58">
        <v>16.023299999999999</v>
      </c>
      <c r="JF58">
        <v>18</v>
      </c>
      <c r="JG58">
        <v>507.863</v>
      </c>
      <c r="JH58">
        <v>391.67700000000002</v>
      </c>
      <c r="JI58">
        <v>24.357600000000001</v>
      </c>
      <c r="JJ58">
        <v>33.735300000000002</v>
      </c>
      <c r="JK58">
        <v>30</v>
      </c>
      <c r="JL58">
        <v>33.580800000000004</v>
      </c>
      <c r="JM58">
        <v>33.528700000000001</v>
      </c>
      <c r="JN58">
        <v>61.292900000000003</v>
      </c>
      <c r="JO58">
        <v>10.8927</v>
      </c>
      <c r="JP58">
        <v>12.7491</v>
      </c>
      <c r="JQ58">
        <v>24.364100000000001</v>
      </c>
      <c r="JR58">
        <v>1500</v>
      </c>
      <c r="JS58">
        <v>25.524699999999999</v>
      </c>
      <c r="JT58">
        <v>99.087800000000001</v>
      </c>
      <c r="JU58">
        <v>97.323899999999995</v>
      </c>
    </row>
    <row r="59" spans="1:281" x14ac:dyDescent="0.25">
      <c r="A59">
        <v>43</v>
      </c>
      <c r="B59">
        <v>1693333551.5999999</v>
      </c>
      <c r="C59">
        <v>11790.099999904631</v>
      </c>
      <c r="D59" t="s">
        <v>634</v>
      </c>
      <c r="E59" t="s">
        <v>635</v>
      </c>
      <c r="F59" t="s">
        <v>413</v>
      </c>
      <c r="G59" t="s">
        <v>636</v>
      </c>
      <c r="H59" t="s">
        <v>637</v>
      </c>
      <c r="I59" t="s">
        <v>493</v>
      </c>
      <c r="J59">
        <v>1693333551.5999999</v>
      </c>
      <c r="K59">
        <f t="shared" si="46"/>
        <v>3.7262828268951245E-3</v>
      </c>
      <c r="L59">
        <f t="shared" si="47"/>
        <v>3.7262828268951242</v>
      </c>
      <c r="M59">
        <f t="shared" si="48"/>
        <v>34.44872537271786</v>
      </c>
      <c r="N59">
        <f t="shared" si="49"/>
        <v>357.17</v>
      </c>
      <c r="O59">
        <f t="shared" si="50"/>
        <v>139.50599077239914</v>
      </c>
      <c r="P59">
        <f t="shared" si="51"/>
        <v>13.82900114963919</v>
      </c>
      <c r="Q59">
        <f t="shared" si="52"/>
        <v>35.405679091408999</v>
      </c>
      <c r="R59">
        <f t="shared" si="53"/>
        <v>0.27152825280093168</v>
      </c>
      <c r="S59">
        <f t="shared" si="54"/>
        <v>2.910267744908233</v>
      </c>
      <c r="T59">
        <f t="shared" si="55"/>
        <v>0.25819824991135604</v>
      </c>
      <c r="U59">
        <f t="shared" si="56"/>
        <v>0.16251700547885251</v>
      </c>
      <c r="V59">
        <f t="shared" si="57"/>
        <v>344.33389964446252</v>
      </c>
      <c r="W59">
        <f t="shared" si="58"/>
        <v>31.590044435971045</v>
      </c>
      <c r="X59">
        <f t="shared" si="59"/>
        <v>29.969100000000001</v>
      </c>
      <c r="Y59">
        <f t="shared" si="60"/>
        <v>4.2528938707807962</v>
      </c>
      <c r="Z59">
        <f t="shared" si="61"/>
        <v>65.452553081151834</v>
      </c>
      <c r="AA59">
        <f t="shared" si="62"/>
        <v>2.8737115539494598</v>
      </c>
      <c r="AB59">
        <f t="shared" si="63"/>
        <v>4.390526295263788</v>
      </c>
      <c r="AC59">
        <f t="shared" si="64"/>
        <v>1.3791823168313364</v>
      </c>
      <c r="AD59">
        <f t="shared" si="65"/>
        <v>-164.32907266607498</v>
      </c>
      <c r="AE59">
        <f t="shared" si="66"/>
        <v>87.157036015569957</v>
      </c>
      <c r="AF59">
        <f t="shared" si="67"/>
        <v>6.6752874764407437</v>
      </c>
      <c r="AG59">
        <f t="shared" si="68"/>
        <v>273.83715047039823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51693.45563855175</v>
      </c>
      <c r="AM59" t="s">
        <v>415</v>
      </c>
      <c r="AN59">
        <v>10366.9</v>
      </c>
      <c r="AO59">
        <v>993.59653846153856</v>
      </c>
      <c r="AP59">
        <v>3431.87</v>
      </c>
      <c r="AQ59">
        <f t="shared" si="72"/>
        <v>0.71047955241266758</v>
      </c>
      <c r="AR59">
        <v>-3.9894345373445681</v>
      </c>
      <c r="AS59" t="s">
        <v>638</v>
      </c>
      <c r="AT59">
        <v>10360.4</v>
      </c>
      <c r="AU59">
        <v>778.57469230769232</v>
      </c>
      <c r="AV59">
        <v>1022.284395011369</v>
      </c>
      <c r="AW59">
        <f t="shared" si="73"/>
        <v>0.23839716608504657</v>
      </c>
      <c r="AX59">
        <v>0.5</v>
      </c>
      <c r="AY59">
        <f t="shared" si="74"/>
        <v>1513.0253998222313</v>
      </c>
      <c r="AZ59">
        <f t="shared" si="75"/>
        <v>34.44872537271786</v>
      </c>
      <c r="BA59">
        <f t="shared" si="76"/>
        <v>180.35048376615723</v>
      </c>
      <c r="BB59">
        <f t="shared" si="77"/>
        <v>2.540483452199719E-2</v>
      </c>
      <c r="BC59">
        <f t="shared" si="78"/>
        <v>2.3570599499974105</v>
      </c>
      <c r="BD59">
        <f t="shared" si="79"/>
        <v>590.57683554124048</v>
      </c>
      <c r="BE59" t="s">
        <v>639</v>
      </c>
      <c r="BF59">
        <v>581.27</v>
      </c>
      <c r="BG59">
        <f t="shared" si="80"/>
        <v>581.27</v>
      </c>
      <c r="BH59">
        <f t="shared" si="81"/>
        <v>0.43140088723203529</v>
      </c>
      <c r="BI59">
        <f t="shared" si="82"/>
        <v>0.55261167313460158</v>
      </c>
      <c r="BJ59">
        <f t="shared" si="83"/>
        <v>0.84529067739726049</v>
      </c>
      <c r="BK59">
        <f t="shared" si="84"/>
        <v>8.4952217423548433</v>
      </c>
      <c r="BL59">
        <f t="shared" si="85"/>
        <v>0.98823435639916701</v>
      </c>
      <c r="BM59">
        <f t="shared" si="86"/>
        <v>0.41257003395636349</v>
      </c>
      <c r="BN59">
        <f t="shared" si="87"/>
        <v>0.58742996604363651</v>
      </c>
      <c r="BO59">
        <v>2037</v>
      </c>
      <c r="BP59">
        <v>290.00000000000011</v>
      </c>
      <c r="BQ59">
        <v>960.1</v>
      </c>
      <c r="BR59">
        <v>255</v>
      </c>
      <c r="BS59">
        <v>10360.4</v>
      </c>
      <c r="BT59">
        <v>958.72</v>
      </c>
      <c r="BU59">
        <v>1.38</v>
      </c>
      <c r="BV59">
        <v>300.00000000000011</v>
      </c>
      <c r="BW59">
        <v>38.4</v>
      </c>
      <c r="BX59">
        <v>1022.284395011369</v>
      </c>
      <c r="BY59">
        <v>0.90190938980097624</v>
      </c>
      <c r="BZ59">
        <v>-65.852426995699133</v>
      </c>
      <c r="CA59">
        <v>0.7652441224547617</v>
      </c>
      <c r="CB59">
        <v>0.99623317481656504</v>
      </c>
      <c r="CC59">
        <v>-1.128080667408232E-2</v>
      </c>
      <c r="CD59">
        <v>289.99999999999989</v>
      </c>
      <c r="CE59">
        <v>956.04</v>
      </c>
      <c r="CF59">
        <v>665</v>
      </c>
      <c r="CG59">
        <v>10345.799999999999</v>
      </c>
      <c r="CH59">
        <v>958.63</v>
      </c>
      <c r="CI59">
        <v>-2.59</v>
      </c>
      <c r="CW59">
        <f t="shared" si="88"/>
        <v>1799.81</v>
      </c>
      <c r="CX59">
        <f t="shared" si="89"/>
        <v>1513.0253998222313</v>
      </c>
      <c r="CY59">
        <f t="shared" si="90"/>
        <v>0.84065840273263914</v>
      </c>
      <c r="CZ59">
        <f t="shared" si="91"/>
        <v>0.19131680546527829</v>
      </c>
      <c r="DA59">
        <v>6</v>
      </c>
      <c r="DB59">
        <v>0.5</v>
      </c>
      <c r="DC59" t="s">
        <v>418</v>
      </c>
      <c r="DD59">
        <v>2</v>
      </c>
      <c r="DE59">
        <v>1693333551.5999999</v>
      </c>
      <c r="DF59">
        <v>357.17</v>
      </c>
      <c r="DG59">
        <v>400.14699999999999</v>
      </c>
      <c r="DH59">
        <v>28.989799999999999</v>
      </c>
      <c r="DI59">
        <v>24.643699999999999</v>
      </c>
      <c r="DJ59">
        <v>355.50799999999998</v>
      </c>
      <c r="DK59">
        <v>28.2027</v>
      </c>
      <c r="DL59">
        <v>499.51799999999997</v>
      </c>
      <c r="DM59">
        <v>99.028700000000001</v>
      </c>
      <c r="DN59">
        <v>9.9667699999999998E-2</v>
      </c>
      <c r="DO59">
        <v>30.5246</v>
      </c>
      <c r="DP59">
        <v>29.969100000000001</v>
      </c>
      <c r="DQ59">
        <v>999.9</v>
      </c>
      <c r="DR59">
        <v>0</v>
      </c>
      <c r="DS59">
        <v>0</v>
      </c>
      <c r="DT59">
        <v>9987.5</v>
      </c>
      <c r="DU59">
        <v>0</v>
      </c>
      <c r="DV59">
        <v>1586.7</v>
      </c>
      <c r="DW59">
        <v>-42.976799999999997</v>
      </c>
      <c r="DX59">
        <v>367.834</v>
      </c>
      <c r="DY59">
        <v>410.25700000000001</v>
      </c>
      <c r="DZ59">
        <v>4.3460900000000002</v>
      </c>
      <c r="EA59">
        <v>400.14699999999999</v>
      </c>
      <c r="EB59">
        <v>24.643699999999999</v>
      </c>
      <c r="EC59">
        <v>2.8708300000000002</v>
      </c>
      <c r="ED59">
        <v>2.4404400000000002</v>
      </c>
      <c r="EE59">
        <v>23.2971</v>
      </c>
      <c r="EF59">
        <v>20.634599999999999</v>
      </c>
      <c r="EG59">
        <v>1799.81</v>
      </c>
      <c r="EH59">
        <v>0.97799199999999997</v>
      </c>
      <c r="EI59">
        <v>2.2007700000000002E-2</v>
      </c>
      <c r="EJ59">
        <v>0</v>
      </c>
      <c r="EK59">
        <v>778.48199999999997</v>
      </c>
      <c r="EL59">
        <v>5.0002700000000004</v>
      </c>
      <c r="EM59">
        <v>14951</v>
      </c>
      <c r="EN59">
        <v>16246.9</v>
      </c>
      <c r="EO59">
        <v>48.625</v>
      </c>
      <c r="EP59">
        <v>50.811999999999998</v>
      </c>
      <c r="EQ59">
        <v>49.75</v>
      </c>
      <c r="ER59">
        <v>49.936999999999998</v>
      </c>
      <c r="ES59">
        <v>50.436999999999998</v>
      </c>
      <c r="ET59">
        <v>1755.31</v>
      </c>
      <c r="EU59">
        <v>39.5</v>
      </c>
      <c r="EV59">
        <v>0</v>
      </c>
      <c r="EW59">
        <v>2040.2000000476839</v>
      </c>
      <c r="EX59">
        <v>0</v>
      </c>
      <c r="EY59">
        <v>778.57469230769232</v>
      </c>
      <c r="EZ59">
        <v>-0.60335042390386506</v>
      </c>
      <c r="FA59">
        <v>-15.31965804974794</v>
      </c>
      <c r="FB59">
        <v>14951.803846153851</v>
      </c>
      <c r="FC59">
        <v>15</v>
      </c>
      <c r="FD59">
        <v>1693333519.0999999</v>
      </c>
      <c r="FE59" t="s">
        <v>640</v>
      </c>
      <c r="FF59">
        <v>1693333516.0999999</v>
      </c>
      <c r="FG59">
        <v>1693333519.0999999</v>
      </c>
      <c r="FH59">
        <v>51</v>
      </c>
      <c r="FI59">
        <v>0.04</v>
      </c>
      <c r="FJ59">
        <v>-8.0000000000000002E-3</v>
      </c>
      <c r="FK59">
        <v>1.665</v>
      </c>
      <c r="FL59">
        <v>0.53</v>
      </c>
      <c r="FM59">
        <v>400</v>
      </c>
      <c r="FN59">
        <v>25</v>
      </c>
      <c r="FO59">
        <v>0.13</v>
      </c>
      <c r="FP59">
        <v>0.06</v>
      </c>
      <c r="FQ59">
        <v>34.248994823452243</v>
      </c>
      <c r="FR59">
        <v>-0.103910796544168</v>
      </c>
      <c r="FS59">
        <v>6.085035452230083E-2</v>
      </c>
      <c r="FT59">
        <v>1</v>
      </c>
      <c r="FU59">
        <v>0.27144931956026169</v>
      </c>
      <c r="FV59">
        <v>1.7723489083314579E-2</v>
      </c>
      <c r="FW59">
        <v>1.747321827788882E-3</v>
      </c>
      <c r="FX59">
        <v>1</v>
      </c>
      <c r="FY59">
        <v>2</v>
      </c>
      <c r="FZ59">
        <v>2</v>
      </c>
      <c r="GA59" t="s">
        <v>429</v>
      </c>
      <c r="GB59">
        <v>3.13381</v>
      </c>
      <c r="GC59">
        <v>2.8647100000000001</v>
      </c>
      <c r="GD59">
        <v>8.3571199999999998E-2</v>
      </c>
      <c r="GE59">
        <v>9.4089300000000001E-2</v>
      </c>
      <c r="GF59">
        <v>0.12908500000000001</v>
      </c>
      <c r="GG59">
        <v>0.12026100000000001</v>
      </c>
      <c r="GH59">
        <v>27580</v>
      </c>
      <c r="GI59">
        <v>21048.400000000001</v>
      </c>
      <c r="GJ59">
        <v>29032.3</v>
      </c>
      <c r="GK59">
        <v>21665.599999999999</v>
      </c>
      <c r="GL59">
        <v>33912.6</v>
      </c>
      <c r="GM59">
        <v>26252</v>
      </c>
      <c r="GN59">
        <v>40301.199999999997</v>
      </c>
      <c r="GO59">
        <v>30809</v>
      </c>
      <c r="GP59">
        <v>1.9921</v>
      </c>
      <c r="GQ59">
        <v>1.7322</v>
      </c>
      <c r="GR59">
        <v>-3.71039E-3</v>
      </c>
      <c r="GS59">
        <v>0</v>
      </c>
      <c r="GT59">
        <v>30.029499999999999</v>
      </c>
      <c r="GU59">
        <v>999.9</v>
      </c>
      <c r="GV59">
        <v>32.700000000000003</v>
      </c>
      <c r="GW59">
        <v>43.6</v>
      </c>
      <c r="GX59">
        <v>29.599299999999999</v>
      </c>
      <c r="GY59">
        <v>62.200200000000002</v>
      </c>
      <c r="GZ59">
        <v>13.141</v>
      </c>
      <c r="HA59">
        <v>1</v>
      </c>
      <c r="HB59">
        <v>0.54860799999999998</v>
      </c>
      <c r="HC59">
        <v>3.7453799999999999</v>
      </c>
      <c r="HD59">
        <v>20.291</v>
      </c>
      <c r="HE59">
        <v>5.2220800000000001</v>
      </c>
      <c r="HF59">
        <v>11.98</v>
      </c>
      <c r="HG59">
        <v>4.9718</v>
      </c>
      <c r="HH59">
        <v>3.2818999999999998</v>
      </c>
      <c r="HI59">
        <v>9999</v>
      </c>
      <c r="HJ59">
        <v>9999</v>
      </c>
      <c r="HK59">
        <v>9999</v>
      </c>
      <c r="HL59">
        <v>999.9</v>
      </c>
      <c r="HM59">
        <v>1.8610500000000001</v>
      </c>
      <c r="HN59">
        <v>1.8627</v>
      </c>
      <c r="HO59">
        <v>1.8680399999999999</v>
      </c>
      <c r="HP59">
        <v>1.85883</v>
      </c>
      <c r="HQ59">
        <v>1.8571500000000001</v>
      </c>
      <c r="HR59">
        <v>1.86084</v>
      </c>
      <c r="HS59">
        <v>1.8647</v>
      </c>
      <c r="HT59">
        <v>1.86676</v>
      </c>
      <c r="HU59">
        <v>5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1.6619999999999999</v>
      </c>
      <c r="II59">
        <v>0.78710000000000002</v>
      </c>
      <c r="IJ59">
        <v>1.45379433504274</v>
      </c>
      <c r="IK59">
        <v>1.118558698776514E-3</v>
      </c>
      <c r="IL59">
        <v>-1.6939696309573479E-6</v>
      </c>
      <c r="IM59">
        <v>5.4698917449866148E-10</v>
      </c>
      <c r="IN59">
        <v>-0.13319884642818799</v>
      </c>
      <c r="IO59">
        <v>-7.6058941998734366E-3</v>
      </c>
      <c r="IP59">
        <v>1.6984902717538061E-3</v>
      </c>
      <c r="IQ59">
        <v>-9.6352527008986976E-6</v>
      </c>
      <c r="IR59">
        <v>2</v>
      </c>
      <c r="IS59">
        <v>2021</v>
      </c>
      <c r="IT59">
        <v>2</v>
      </c>
      <c r="IU59">
        <v>40</v>
      </c>
      <c r="IV59">
        <v>0.6</v>
      </c>
      <c r="IW59">
        <v>0.5</v>
      </c>
      <c r="IX59">
        <v>1.0388200000000001</v>
      </c>
      <c r="IY59">
        <v>2.5439500000000002</v>
      </c>
      <c r="IZ59">
        <v>1.34399</v>
      </c>
      <c r="JA59">
        <v>2.2363300000000002</v>
      </c>
      <c r="JB59">
        <v>1.5918000000000001</v>
      </c>
      <c r="JC59">
        <v>2.4133300000000002</v>
      </c>
      <c r="JD59">
        <v>45.4328</v>
      </c>
      <c r="JE59">
        <v>16.0321</v>
      </c>
      <c r="JF59">
        <v>18</v>
      </c>
      <c r="JG59">
        <v>506.98500000000001</v>
      </c>
      <c r="JH59">
        <v>385.71199999999999</v>
      </c>
      <c r="JI59">
        <v>25.332599999999999</v>
      </c>
      <c r="JJ59">
        <v>34.299999999999997</v>
      </c>
      <c r="JK59">
        <v>30</v>
      </c>
      <c r="JL59">
        <v>34.075400000000002</v>
      </c>
      <c r="JM59">
        <v>34.015599999999999</v>
      </c>
      <c r="JN59">
        <v>20.8657</v>
      </c>
      <c r="JO59">
        <v>14.7753</v>
      </c>
      <c r="JP59">
        <v>5.22288</v>
      </c>
      <c r="JQ59">
        <v>25.3491</v>
      </c>
      <c r="JR59">
        <v>400</v>
      </c>
      <c r="JS59">
        <v>24.575099999999999</v>
      </c>
      <c r="JT59">
        <v>99.0017</v>
      </c>
      <c r="JU59">
        <v>97.305300000000003</v>
      </c>
    </row>
    <row r="60" spans="1:281" x14ac:dyDescent="0.25">
      <c r="A60">
        <v>44</v>
      </c>
      <c r="B60">
        <v>1693333655.0999999</v>
      </c>
      <c r="C60">
        <v>11893.599999904631</v>
      </c>
      <c r="D60" t="s">
        <v>641</v>
      </c>
      <c r="E60" t="s">
        <v>642</v>
      </c>
      <c r="F60" t="s">
        <v>413</v>
      </c>
      <c r="G60" t="s">
        <v>636</v>
      </c>
      <c r="H60" t="s">
        <v>637</v>
      </c>
      <c r="I60" t="s">
        <v>493</v>
      </c>
      <c r="J60">
        <v>1693333655.0999999</v>
      </c>
      <c r="K60">
        <f t="shared" si="46"/>
        <v>3.7779885185437708E-3</v>
      </c>
      <c r="L60">
        <f t="shared" si="47"/>
        <v>3.7779885185437707</v>
      </c>
      <c r="M60">
        <f t="shared" si="48"/>
        <v>26.491207986179536</v>
      </c>
      <c r="N60">
        <f t="shared" si="49"/>
        <v>267.113</v>
      </c>
      <c r="O60">
        <f t="shared" si="50"/>
        <v>101.19440751759721</v>
      </c>
      <c r="P60">
        <f t="shared" si="51"/>
        <v>10.030856219840656</v>
      </c>
      <c r="Q60">
        <f t="shared" si="52"/>
        <v>26.477472057775202</v>
      </c>
      <c r="R60">
        <f t="shared" si="53"/>
        <v>0.27386520891574967</v>
      </c>
      <c r="S60">
        <f t="shared" si="54"/>
        <v>2.9106399301429553</v>
      </c>
      <c r="T60">
        <f t="shared" si="55"/>
        <v>0.26031255824717875</v>
      </c>
      <c r="U60">
        <f t="shared" si="56"/>
        <v>0.16385709496367032</v>
      </c>
      <c r="V60">
        <f t="shared" si="57"/>
        <v>344.33009964445853</v>
      </c>
      <c r="W60">
        <f t="shared" si="58"/>
        <v>31.629361152329313</v>
      </c>
      <c r="X60">
        <f t="shared" si="59"/>
        <v>30.012</v>
      </c>
      <c r="Y60">
        <f t="shared" si="60"/>
        <v>4.2633872554958057</v>
      </c>
      <c r="Z60">
        <f t="shared" si="61"/>
        <v>65.319458357512005</v>
      </c>
      <c r="AA60">
        <f t="shared" si="62"/>
        <v>2.8765763688859201</v>
      </c>
      <c r="AB60">
        <f t="shared" si="63"/>
        <v>4.4038582701368982</v>
      </c>
      <c r="AC60">
        <f t="shared" si="64"/>
        <v>1.3868108866098856</v>
      </c>
      <c r="AD60">
        <f t="shared" si="65"/>
        <v>-166.60929366778029</v>
      </c>
      <c r="AE60">
        <f t="shared" si="66"/>
        <v>88.753058303283169</v>
      </c>
      <c r="AF60">
        <f t="shared" si="67"/>
        <v>6.7998811597167137</v>
      </c>
      <c r="AG60">
        <f t="shared" si="68"/>
        <v>273.27374543967812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51694.911149830637</v>
      </c>
      <c r="AM60" t="s">
        <v>415</v>
      </c>
      <c r="AN60">
        <v>10366.9</v>
      </c>
      <c r="AO60">
        <v>993.59653846153856</v>
      </c>
      <c r="AP60">
        <v>3431.87</v>
      </c>
      <c r="AQ60">
        <f t="shared" si="72"/>
        <v>0.71047955241266758</v>
      </c>
      <c r="AR60">
        <v>-3.9894345373445681</v>
      </c>
      <c r="AS60" t="s">
        <v>643</v>
      </c>
      <c r="AT60">
        <v>10368.5</v>
      </c>
      <c r="AU60">
        <v>774.08679999999993</v>
      </c>
      <c r="AV60">
        <v>969.1317469395035</v>
      </c>
      <c r="AW60">
        <f t="shared" si="73"/>
        <v>0.20125741165269961</v>
      </c>
      <c r="AX60">
        <v>0.5</v>
      </c>
      <c r="AY60">
        <f t="shared" si="74"/>
        <v>1513.0085998222294</v>
      </c>
      <c r="AZ60">
        <f t="shared" si="75"/>
        <v>26.491207986179536</v>
      </c>
      <c r="BA60">
        <f t="shared" si="76"/>
        <v>152.25209730424854</v>
      </c>
      <c r="BB60">
        <f t="shared" si="77"/>
        <v>2.0145716638428506E-2</v>
      </c>
      <c r="BC60">
        <f t="shared" si="78"/>
        <v>2.5411800416587003</v>
      </c>
      <c r="BD60">
        <f t="shared" si="79"/>
        <v>572.43938387314438</v>
      </c>
      <c r="BE60" t="s">
        <v>644</v>
      </c>
      <c r="BF60">
        <v>573.76</v>
      </c>
      <c r="BG60">
        <f t="shared" si="80"/>
        <v>573.76</v>
      </c>
      <c r="BH60">
        <f t="shared" si="81"/>
        <v>0.40796491105371246</v>
      </c>
      <c r="BI60">
        <f t="shared" si="82"/>
        <v>0.4933203964352762</v>
      </c>
      <c r="BJ60">
        <f t="shared" si="83"/>
        <v>0.86166671438835341</v>
      </c>
      <c r="BK60">
        <f t="shared" si="84"/>
        <v>-7.9724753331263676</v>
      </c>
      <c r="BL60">
        <f t="shared" si="85"/>
        <v>1.0100336536930514</v>
      </c>
      <c r="BM60">
        <f t="shared" si="86"/>
        <v>0.36565345211764899</v>
      </c>
      <c r="BN60">
        <f t="shared" si="87"/>
        <v>0.63434654788235101</v>
      </c>
      <c r="BO60">
        <v>2039</v>
      </c>
      <c r="BP60">
        <v>290.00000000000011</v>
      </c>
      <c r="BQ60">
        <v>917.17</v>
      </c>
      <c r="BR60">
        <v>195</v>
      </c>
      <c r="BS60">
        <v>10368.5</v>
      </c>
      <c r="BT60">
        <v>917.19</v>
      </c>
      <c r="BU60">
        <v>-0.02</v>
      </c>
      <c r="BV60">
        <v>300.00000000000011</v>
      </c>
      <c r="BW60">
        <v>38.4</v>
      </c>
      <c r="BX60">
        <v>969.1317469395035</v>
      </c>
      <c r="BY60">
        <v>1.3555993728017619</v>
      </c>
      <c r="BZ60">
        <v>-53.855548687750449</v>
      </c>
      <c r="CA60">
        <v>1.1501223953117321</v>
      </c>
      <c r="CB60">
        <v>0.98739117883980976</v>
      </c>
      <c r="CC60">
        <v>-1.1280216240266981E-2</v>
      </c>
      <c r="CD60">
        <v>289.99999999999989</v>
      </c>
      <c r="CE60">
        <v>915.06</v>
      </c>
      <c r="CF60">
        <v>745</v>
      </c>
      <c r="CG60">
        <v>10338.5</v>
      </c>
      <c r="CH60">
        <v>917.04</v>
      </c>
      <c r="CI60">
        <v>-1.98</v>
      </c>
      <c r="CW60">
        <f t="shared" si="88"/>
        <v>1799.79</v>
      </c>
      <c r="CX60">
        <f t="shared" si="89"/>
        <v>1513.0085998222294</v>
      </c>
      <c r="CY60">
        <f t="shared" si="90"/>
        <v>0.8406584100490776</v>
      </c>
      <c r="CZ60">
        <f t="shared" si="91"/>
        <v>0.19131682009815509</v>
      </c>
      <c r="DA60">
        <v>6</v>
      </c>
      <c r="DB60">
        <v>0.5</v>
      </c>
      <c r="DC60" t="s">
        <v>418</v>
      </c>
      <c r="DD60">
        <v>2</v>
      </c>
      <c r="DE60">
        <v>1693333655.0999999</v>
      </c>
      <c r="DF60">
        <v>267.113</v>
      </c>
      <c r="DG60">
        <v>300.13799999999998</v>
      </c>
      <c r="DH60">
        <v>29.0198</v>
      </c>
      <c r="DI60">
        <v>24.6145</v>
      </c>
      <c r="DJ60">
        <v>265.56099999999998</v>
      </c>
      <c r="DK60">
        <v>28.2317</v>
      </c>
      <c r="DL60">
        <v>499.62799999999999</v>
      </c>
      <c r="DM60">
        <v>99.025000000000006</v>
      </c>
      <c r="DN60">
        <v>9.9610400000000002E-2</v>
      </c>
      <c r="DO60">
        <v>30.5776</v>
      </c>
      <c r="DP60">
        <v>30.012</v>
      </c>
      <c r="DQ60">
        <v>999.9</v>
      </c>
      <c r="DR60">
        <v>0</v>
      </c>
      <c r="DS60">
        <v>0</v>
      </c>
      <c r="DT60">
        <v>9990</v>
      </c>
      <c r="DU60">
        <v>0</v>
      </c>
      <c r="DV60">
        <v>1581.25</v>
      </c>
      <c r="DW60">
        <v>-33.025700000000001</v>
      </c>
      <c r="DX60">
        <v>275.096</v>
      </c>
      <c r="DY60">
        <v>307.71199999999999</v>
      </c>
      <c r="DZ60">
        <v>4.4053699999999996</v>
      </c>
      <c r="EA60">
        <v>300.13799999999998</v>
      </c>
      <c r="EB60">
        <v>24.6145</v>
      </c>
      <c r="EC60">
        <v>2.8736899999999999</v>
      </c>
      <c r="ED60">
        <v>2.4374500000000001</v>
      </c>
      <c r="EE60">
        <v>23.313600000000001</v>
      </c>
      <c r="EF60">
        <v>20.614699999999999</v>
      </c>
      <c r="EG60">
        <v>1799.79</v>
      </c>
      <c r="EH60">
        <v>0.97799199999999997</v>
      </c>
      <c r="EI60">
        <v>2.2007700000000002E-2</v>
      </c>
      <c r="EJ60">
        <v>0</v>
      </c>
      <c r="EK60">
        <v>773.51</v>
      </c>
      <c r="EL60">
        <v>5.0002700000000004</v>
      </c>
      <c r="EM60">
        <v>14861.2</v>
      </c>
      <c r="EN60">
        <v>16246.7</v>
      </c>
      <c r="EO60">
        <v>48.686999999999998</v>
      </c>
      <c r="EP60">
        <v>50.686999999999998</v>
      </c>
      <c r="EQ60">
        <v>49.75</v>
      </c>
      <c r="ER60">
        <v>49.875</v>
      </c>
      <c r="ES60">
        <v>50.375</v>
      </c>
      <c r="ET60">
        <v>1755.29</v>
      </c>
      <c r="EU60">
        <v>39.5</v>
      </c>
      <c r="EV60">
        <v>0</v>
      </c>
      <c r="EW60">
        <v>101.6000001430511</v>
      </c>
      <c r="EX60">
        <v>0</v>
      </c>
      <c r="EY60">
        <v>774.08679999999993</v>
      </c>
      <c r="EZ60">
        <v>-3.542384621179961</v>
      </c>
      <c r="FA60">
        <v>-58.56923081021219</v>
      </c>
      <c r="FB60">
        <v>14869.808000000001</v>
      </c>
      <c r="FC60">
        <v>15</v>
      </c>
      <c r="FD60">
        <v>1693333623.5999999</v>
      </c>
      <c r="FE60" t="s">
        <v>645</v>
      </c>
      <c r="FF60">
        <v>1693333615.5999999</v>
      </c>
      <c r="FG60">
        <v>1693333623.5999999</v>
      </c>
      <c r="FH60">
        <v>52</v>
      </c>
      <c r="FI60">
        <v>-0.09</v>
      </c>
      <c r="FJ60">
        <v>-1E-3</v>
      </c>
      <c r="FK60">
        <v>1.5609999999999999</v>
      </c>
      <c r="FL60">
        <v>0.52200000000000002</v>
      </c>
      <c r="FM60">
        <v>300</v>
      </c>
      <c r="FN60">
        <v>24</v>
      </c>
      <c r="FO60">
        <v>0.21</v>
      </c>
      <c r="FP60">
        <v>7.0000000000000007E-2</v>
      </c>
      <c r="FQ60">
        <v>26.438608683727839</v>
      </c>
      <c r="FR60">
        <v>-0.44571660791905698</v>
      </c>
      <c r="FS60">
        <v>6.5110652964818369E-2</v>
      </c>
      <c r="FT60">
        <v>1</v>
      </c>
      <c r="FU60">
        <v>0.2734083184180881</v>
      </c>
      <c r="FV60">
        <v>4.4216454154158313E-2</v>
      </c>
      <c r="FW60">
        <v>3.6551406390405712E-3</v>
      </c>
      <c r="FX60">
        <v>1</v>
      </c>
      <c r="FY60">
        <v>2</v>
      </c>
      <c r="FZ60">
        <v>2</v>
      </c>
      <c r="GA60" t="s">
        <v>429</v>
      </c>
      <c r="GB60">
        <v>3.1339299999999999</v>
      </c>
      <c r="GC60">
        <v>2.8646699999999998</v>
      </c>
      <c r="GD60">
        <v>6.5813300000000005E-2</v>
      </c>
      <c r="GE60">
        <v>7.4856599999999995E-2</v>
      </c>
      <c r="GF60">
        <v>0.12917200000000001</v>
      </c>
      <c r="GG60">
        <v>0.120156</v>
      </c>
      <c r="GH60">
        <v>28116.2</v>
      </c>
      <c r="GI60">
        <v>21496.9</v>
      </c>
      <c r="GJ60">
        <v>29034</v>
      </c>
      <c r="GK60">
        <v>21667.200000000001</v>
      </c>
      <c r="GL60">
        <v>33908.1</v>
      </c>
      <c r="GM60">
        <v>26255.9</v>
      </c>
      <c r="GN60">
        <v>40302.300000000003</v>
      </c>
      <c r="GO60">
        <v>30811.7</v>
      </c>
      <c r="GP60">
        <v>1.9934000000000001</v>
      </c>
      <c r="GQ60">
        <v>1.7326999999999999</v>
      </c>
      <c r="GR60">
        <v>6.5565099999999998E-3</v>
      </c>
      <c r="GS60">
        <v>0</v>
      </c>
      <c r="GT60">
        <v>29.9053</v>
      </c>
      <c r="GU60">
        <v>999.9</v>
      </c>
      <c r="GV60">
        <v>32.700000000000003</v>
      </c>
      <c r="GW60">
        <v>43.4</v>
      </c>
      <c r="GX60">
        <v>29.293700000000001</v>
      </c>
      <c r="GY60">
        <v>62.0002</v>
      </c>
      <c r="GZ60">
        <v>13.289300000000001</v>
      </c>
      <c r="HA60">
        <v>1</v>
      </c>
      <c r="HB60">
        <v>0.54514200000000002</v>
      </c>
      <c r="HC60">
        <v>3.4364400000000002</v>
      </c>
      <c r="HD60">
        <v>20.298500000000001</v>
      </c>
      <c r="HE60">
        <v>5.2304700000000004</v>
      </c>
      <c r="HF60">
        <v>11.98</v>
      </c>
      <c r="HG60">
        <v>4.9736000000000002</v>
      </c>
      <c r="HH60">
        <v>3.2831000000000001</v>
      </c>
      <c r="HI60">
        <v>9999</v>
      </c>
      <c r="HJ60">
        <v>9999</v>
      </c>
      <c r="HK60">
        <v>9999</v>
      </c>
      <c r="HL60">
        <v>999.9</v>
      </c>
      <c r="HM60">
        <v>1.8609899999999999</v>
      </c>
      <c r="HN60">
        <v>1.8626400000000001</v>
      </c>
      <c r="HO60">
        <v>1.8680000000000001</v>
      </c>
      <c r="HP60">
        <v>1.85883</v>
      </c>
      <c r="HQ60">
        <v>1.8571500000000001</v>
      </c>
      <c r="HR60">
        <v>1.8608100000000001</v>
      </c>
      <c r="HS60">
        <v>1.8646199999999999</v>
      </c>
      <c r="HT60">
        <v>1.86676</v>
      </c>
      <c r="HU60">
        <v>5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1.552</v>
      </c>
      <c r="II60">
        <v>0.78810000000000002</v>
      </c>
      <c r="IJ60">
        <v>1.3635226264067071</v>
      </c>
      <c r="IK60">
        <v>1.118558698776514E-3</v>
      </c>
      <c r="IL60">
        <v>-1.6939696309573479E-6</v>
      </c>
      <c r="IM60">
        <v>5.4698917449866148E-10</v>
      </c>
      <c r="IN60">
        <v>-0.13403094936415039</v>
      </c>
      <c r="IO60">
        <v>-7.6058941998734366E-3</v>
      </c>
      <c r="IP60">
        <v>1.6984902717538061E-3</v>
      </c>
      <c r="IQ60">
        <v>-9.6352527008986976E-6</v>
      </c>
      <c r="IR60">
        <v>2</v>
      </c>
      <c r="IS60">
        <v>2021</v>
      </c>
      <c r="IT60">
        <v>2</v>
      </c>
      <c r="IU60">
        <v>40</v>
      </c>
      <c r="IV60">
        <v>0.7</v>
      </c>
      <c r="IW60">
        <v>0.5</v>
      </c>
      <c r="IX60">
        <v>0.82641600000000004</v>
      </c>
      <c r="IY60">
        <v>2.5378400000000001</v>
      </c>
      <c r="IZ60">
        <v>1.34399</v>
      </c>
      <c r="JA60">
        <v>2.2375500000000001</v>
      </c>
      <c r="JB60">
        <v>1.5918000000000001</v>
      </c>
      <c r="JC60">
        <v>2.47559</v>
      </c>
      <c r="JD60">
        <v>45.035200000000003</v>
      </c>
      <c r="JE60">
        <v>16.0321</v>
      </c>
      <c r="JF60">
        <v>18</v>
      </c>
      <c r="JG60">
        <v>507.87099999999998</v>
      </c>
      <c r="JH60">
        <v>386.053</v>
      </c>
      <c r="JI60">
        <v>25.653600000000001</v>
      </c>
      <c r="JJ60">
        <v>34.287599999999998</v>
      </c>
      <c r="JK60">
        <v>29.9999</v>
      </c>
      <c r="JL60">
        <v>34.078499999999998</v>
      </c>
      <c r="JM60">
        <v>34.021500000000003</v>
      </c>
      <c r="JN60">
        <v>16.615600000000001</v>
      </c>
      <c r="JO60">
        <v>13.6404</v>
      </c>
      <c r="JP60">
        <v>5.2941599999999998</v>
      </c>
      <c r="JQ60">
        <v>25.652899999999999</v>
      </c>
      <c r="JR60">
        <v>300</v>
      </c>
      <c r="JS60">
        <v>24.542100000000001</v>
      </c>
      <c r="JT60">
        <v>99.005700000000004</v>
      </c>
      <c r="JU60">
        <v>97.313100000000006</v>
      </c>
    </row>
    <row r="61" spans="1:281" x14ac:dyDescent="0.25">
      <c r="A61">
        <v>45</v>
      </c>
      <c r="B61">
        <v>1693333777</v>
      </c>
      <c r="C61">
        <v>12015.5</v>
      </c>
      <c r="D61" t="s">
        <v>646</v>
      </c>
      <c r="E61" t="s">
        <v>647</v>
      </c>
      <c r="F61" t="s">
        <v>413</v>
      </c>
      <c r="G61" t="s">
        <v>636</v>
      </c>
      <c r="H61" t="s">
        <v>637</v>
      </c>
      <c r="I61" t="s">
        <v>493</v>
      </c>
      <c r="J61">
        <v>1693333777</v>
      </c>
      <c r="K61">
        <f t="shared" si="46"/>
        <v>4.1809248817039962E-3</v>
      </c>
      <c r="L61">
        <f t="shared" si="47"/>
        <v>4.1809248817039961</v>
      </c>
      <c r="M61">
        <f t="shared" si="48"/>
        <v>18.78016681098017</v>
      </c>
      <c r="N61">
        <f t="shared" si="49"/>
        <v>176.50800000000001</v>
      </c>
      <c r="O61">
        <f t="shared" si="50"/>
        <v>71.327844775677718</v>
      </c>
      <c r="P61">
        <f t="shared" si="51"/>
        <v>7.0700325935530079</v>
      </c>
      <c r="Q61">
        <f t="shared" si="52"/>
        <v>17.495514086364</v>
      </c>
      <c r="R61">
        <f t="shared" si="53"/>
        <v>0.30824900993662119</v>
      </c>
      <c r="S61">
        <f t="shared" si="54"/>
        <v>2.9201773231691104</v>
      </c>
      <c r="T61">
        <f t="shared" si="55"/>
        <v>0.29124586799065122</v>
      </c>
      <c r="U61">
        <f t="shared" si="56"/>
        <v>0.18347813135303248</v>
      </c>
      <c r="V61">
        <f t="shared" si="57"/>
        <v>344.37759964450794</v>
      </c>
      <c r="W61">
        <f t="shared" si="58"/>
        <v>31.565779554673774</v>
      </c>
      <c r="X61">
        <f t="shared" si="59"/>
        <v>30.010999999999999</v>
      </c>
      <c r="Y61">
        <f t="shared" si="60"/>
        <v>4.2631423978423246</v>
      </c>
      <c r="Z61">
        <f t="shared" si="61"/>
        <v>65.494735143903171</v>
      </c>
      <c r="AA61">
        <f t="shared" si="62"/>
        <v>2.8915949092158</v>
      </c>
      <c r="AB61">
        <f t="shared" si="63"/>
        <v>4.4150035920634991</v>
      </c>
      <c r="AC61">
        <f t="shared" si="64"/>
        <v>1.3715474886265246</v>
      </c>
      <c r="AD61">
        <f t="shared" si="65"/>
        <v>-184.37878728314624</v>
      </c>
      <c r="AE61">
        <f t="shared" si="66"/>
        <v>96.159831986360331</v>
      </c>
      <c r="AF61">
        <f t="shared" si="67"/>
        <v>7.3448646690906871</v>
      </c>
      <c r="AG61">
        <f t="shared" si="68"/>
        <v>263.5035090168127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51958.123001326087</v>
      </c>
      <c r="AM61" t="s">
        <v>415</v>
      </c>
      <c r="AN61">
        <v>10366.9</v>
      </c>
      <c r="AO61">
        <v>993.59653846153856</v>
      </c>
      <c r="AP61">
        <v>3431.87</v>
      </c>
      <c r="AQ61">
        <f t="shared" si="72"/>
        <v>0.71047955241266758</v>
      </c>
      <c r="AR61">
        <v>-3.9894345373445681</v>
      </c>
      <c r="AS61" t="s">
        <v>648</v>
      </c>
      <c r="AT61">
        <v>10357</v>
      </c>
      <c r="AU61">
        <v>778.40319230769251</v>
      </c>
      <c r="AV61">
        <v>924.99835798453353</v>
      </c>
      <c r="AW61">
        <f t="shared" si="73"/>
        <v>0.15848154151998195</v>
      </c>
      <c r="AX61">
        <v>0.5</v>
      </c>
      <c r="AY61">
        <f t="shared" si="74"/>
        <v>1513.218599822254</v>
      </c>
      <c r="AZ61">
        <f t="shared" si="75"/>
        <v>18.78016681098017</v>
      </c>
      <c r="BA61">
        <f t="shared" si="76"/>
        <v>119.90860817826974</v>
      </c>
      <c r="BB61">
        <f t="shared" si="77"/>
        <v>1.504713288020601E-2</v>
      </c>
      <c r="BC61">
        <f t="shared" si="78"/>
        <v>2.7101363157850953</v>
      </c>
      <c r="BD61">
        <f t="shared" si="79"/>
        <v>556.74903943327593</v>
      </c>
      <c r="BE61" t="s">
        <v>649</v>
      </c>
      <c r="BF61">
        <v>576.66999999999996</v>
      </c>
      <c r="BG61">
        <f t="shared" si="80"/>
        <v>576.66999999999996</v>
      </c>
      <c r="BH61">
        <f t="shared" si="81"/>
        <v>0.37657186629336459</v>
      </c>
      <c r="BI61">
        <f t="shared" si="82"/>
        <v>0.4208533767536381</v>
      </c>
      <c r="BJ61">
        <f t="shared" si="83"/>
        <v>0.8780021161443915</v>
      </c>
      <c r="BK61">
        <f t="shared" si="84"/>
        <v>-2.137012449273076</v>
      </c>
      <c r="BL61">
        <f t="shared" si="85"/>
        <v>1.0281339158872369</v>
      </c>
      <c r="BM61">
        <f t="shared" si="86"/>
        <v>0.31178381482868706</v>
      </c>
      <c r="BN61">
        <f t="shared" si="87"/>
        <v>0.68821618517131289</v>
      </c>
      <c r="BO61">
        <v>2041</v>
      </c>
      <c r="BP61">
        <v>290.00000000000011</v>
      </c>
      <c r="BQ61">
        <v>883.93</v>
      </c>
      <c r="BR61">
        <v>275</v>
      </c>
      <c r="BS61">
        <v>10357</v>
      </c>
      <c r="BT61">
        <v>883.91</v>
      </c>
      <c r="BU61">
        <v>0.02</v>
      </c>
      <c r="BV61">
        <v>300.00000000000011</v>
      </c>
      <c r="BW61">
        <v>38.4</v>
      </c>
      <c r="BX61">
        <v>924.99835798453353</v>
      </c>
      <c r="BY61">
        <v>0.92338820215005679</v>
      </c>
      <c r="BZ61">
        <v>-42.550505233884707</v>
      </c>
      <c r="CA61">
        <v>0.78339725367839042</v>
      </c>
      <c r="CB61">
        <v>0.99059821705775697</v>
      </c>
      <c r="CC61">
        <v>-1.1279648053392649E-2</v>
      </c>
      <c r="CD61">
        <v>289.99999999999989</v>
      </c>
      <c r="CE61">
        <v>881.57</v>
      </c>
      <c r="CF61">
        <v>675</v>
      </c>
      <c r="CG61">
        <v>10343.9</v>
      </c>
      <c r="CH61">
        <v>883.86</v>
      </c>
      <c r="CI61">
        <v>-2.29</v>
      </c>
      <c r="CW61">
        <f t="shared" si="88"/>
        <v>1800.04</v>
      </c>
      <c r="CX61">
        <f t="shared" si="89"/>
        <v>1513.218599822254</v>
      </c>
      <c r="CY61">
        <f t="shared" si="90"/>
        <v>0.84065831860528317</v>
      </c>
      <c r="CZ61">
        <f t="shared" si="91"/>
        <v>0.19131663721056641</v>
      </c>
      <c r="DA61">
        <v>6</v>
      </c>
      <c r="DB61">
        <v>0.5</v>
      </c>
      <c r="DC61" t="s">
        <v>418</v>
      </c>
      <c r="DD61">
        <v>2</v>
      </c>
      <c r="DE61">
        <v>1693333777</v>
      </c>
      <c r="DF61">
        <v>176.50800000000001</v>
      </c>
      <c r="DG61">
        <v>199.96799999999999</v>
      </c>
      <c r="DH61">
        <v>29.172599999999999</v>
      </c>
      <c r="DI61">
        <v>24.293900000000001</v>
      </c>
      <c r="DJ61">
        <v>175.18299999999999</v>
      </c>
      <c r="DK61">
        <v>28.372699999999998</v>
      </c>
      <c r="DL61">
        <v>499.185</v>
      </c>
      <c r="DM61">
        <v>99.021100000000004</v>
      </c>
      <c r="DN61">
        <v>9.9132999999999999E-2</v>
      </c>
      <c r="DO61">
        <v>30.6218</v>
      </c>
      <c r="DP61">
        <v>30.010999999999999</v>
      </c>
      <c r="DQ61">
        <v>999.9</v>
      </c>
      <c r="DR61">
        <v>0</v>
      </c>
      <c r="DS61">
        <v>0</v>
      </c>
      <c r="DT61">
        <v>10045</v>
      </c>
      <c r="DU61">
        <v>0</v>
      </c>
      <c r="DV61">
        <v>1581.04</v>
      </c>
      <c r="DW61">
        <v>-23.459700000000002</v>
      </c>
      <c r="DX61">
        <v>181.81200000000001</v>
      </c>
      <c r="DY61">
        <v>204.947</v>
      </c>
      <c r="DZ61">
        <v>4.8786800000000001</v>
      </c>
      <c r="EA61">
        <v>199.96799999999999</v>
      </c>
      <c r="EB61">
        <v>24.293900000000001</v>
      </c>
      <c r="EC61">
        <v>2.8887100000000001</v>
      </c>
      <c r="ED61">
        <v>2.4056099999999998</v>
      </c>
      <c r="EE61">
        <v>23.399899999999999</v>
      </c>
      <c r="EF61">
        <v>20.401599999999998</v>
      </c>
      <c r="EG61">
        <v>1800.04</v>
      </c>
      <c r="EH61">
        <v>0.97799599999999998</v>
      </c>
      <c r="EI61">
        <v>2.2003999999999999E-2</v>
      </c>
      <c r="EJ61">
        <v>0</v>
      </c>
      <c r="EK61">
        <v>778.43200000000002</v>
      </c>
      <c r="EL61">
        <v>5.0002700000000004</v>
      </c>
      <c r="EM61">
        <v>14939.5</v>
      </c>
      <c r="EN61">
        <v>16249</v>
      </c>
      <c r="EO61">
        <v>48.686999999999998</v>
      </c>
      <c r="EP61">
        <v>50.686999999999998</v>
      </c>
      <c r="EQ61">
        <v>49.75</v>
      </c>
      <c r="ER61">
        <v>49.875</v>
      </c>
      <c r="ES61">
        <v>50.436999999999998</v>
      </c>
      <c r="ET61">
        <v>1755.54</v>
      </c>
      <c r="EU61">
        <v>39.5</v>
      </c>
      <c r="EV61">
        <v>0</v>
      </c>
      <c r="EW61">
        <v>120.2000000476837</v>
      </c>
      <c r="EX61">
        <v>0</v>
      </c>
      <c r="EY61">
        <v>778.40319230769251</v>
      </c>
      <c r="EZ61">
        <v>-1.335829062525778</v>
      </c>
      <c r="FA61">
        <v>-35.340170946700262</v>
      </c>
      <c r="FB61">
        <v>14942.44230769231</v>
      </c>
      <c r="FC61">
        <v>15</v>
      </c>
      <c r="FD61">
        <v>1693333744.5</v>
      </c>
      <c r="FE61" t="s">
        <v>650</v>
      </c>
      <c r="FF61">
        <v>1693333733.5</v>
      </c>
      <c r="FG61">
        <v>1693333744.5</v>
      </c>
      <c r="FH61">
        <v>53</v>
      </c>
      <c r="FI61">
        <v>-0.185</v>
      </c>
      <c r="FJ61">
        <v>3.0000000000000001E-3</v>
      </c>
      <c r="FK61">
        <v>1.3380000000000001</v>
      </c>
      <c r="FL61">
        <v>0.52500000000000002</v>
      </c>
      <c r="FM61">
        <v>200</v>
      </c>
      <c r="FN61">
        <v>24</v>
      </c>
      <c r="FO61">
        <v>0.18</v>
      </c>
      <c r="FP61">
        <v>0.04</v>
      </c>
      <c r="FQ61">
        <v>18.745261337919949</v>
      </c>
      <c r="FR61">
        <v>0.58740178150672928</v>
      </c>
      <c r="FS61">
        <v>7.4219080208142649E-2</v>
      </c>
      <c r="FT61">
        <v>1</v>
      </c>
      <c r="FU61">
        <v>0.30762330223970907</v>
      </c>
      <c r="FV61">
        <v>4.1863535348782378E-2</v>
      </c>
      <c r="FW61">
        <v>3.3251174818582281E-3</v>
      </c>
      <c r="FX61">
        <v>1</v>
      </c>
      <c r="FY61">
        <v>2</v>
      </c>
      <c r="FZ61">
        <v>2</v>
      </c>
      <c r="GA61" t="s">
        <v>429</v>
      </c>
      <c r="GB61">
        <v>3.13334</v>
      </c>
      <c r="GC61">
        <v>2.8646699999999998</v>
      </c>
      <c r="GD61">
        <v>4.5722100000000002E-2</v>
      </c>
      <c r="GE61">
        <v>5.2944100000000001E-2</v>
      </c>
      <c r="GF61">
        <v>0.12962199999999999</v>
      </c>
      <c r="GG61">
        <v>0.11906600000000001</v>
      </c>
      <c r="GH61">
        <v>28720.9</v>
      </c>
      <c r="GI61">
        <v>22008</v>
      </c>
      <c r="GJ61">
        <v>29033.9</v>
      </c>
      <c r="GK61">
        <v>21669</v>
      </c>
      <c r="GL61">
        <v>33887.9</v>
      </c>
      <c r="GM61">
        <v>26289.200000000001</v>
      </c>
      <c r="GN61">
        <v>40302</v>
      </c>
      <c r="GO61">
        <v>30814.7</v>
      </c>
      <c r="GP61">
        <v>1.9935</v>
      </c>
      <c r="GQ61">
        <v>1.7358</v>
      </c>
      <c r="GR61">
        <v>4.5895600000000003E-3</v>
      </c>
      <c r="GS61">
        <v>0</v>
      </c>
      <c r="GT61">
        <v>29.936299999999999</v>
      </c>
      <c r="GU61">
        <v>999.9</v>
      </c>
      <c r="GV61">
        <v>32.700000000000003</v>
      </c>
      <c r="GW61">
        <v>43.2</v>
      </c>
      <c r="GX61">
        <v>28.993099999999998</v>
      </c>
      <c r="GY61">
        <v>61.800199999999997</v>
      </c>
      <c r="GZ61">
        <v>13.3614</v>
      </c>
      <c r="HA61">
        <v>1</v>
      </c>
      <c r="HB61">
        <v>0.543659</v>
      </c>
      <c r="HC61">
        <v>3.6152099999999998</v>
      </c>
      <c r="HD61">
        <v>20.2943</v>
      </c>
      <c r="HE61">
        <v>5.2238800000000003</v>
      </c>
      <c r="HF61">
        <v>11.98</v>
      </c>
      <c r="HG61">
        <v>4.9729999999999999</v>
      </c>
      <c r="HH61">
        <v>3.2818999999999998</v>
      </c>
      <c r="HI61">
        <v>9999</v>
      </c>
      <c r="HJ61">
        <v>9999</v>
      </c>
      <c r="HK61">
        <v>9999</v>
      </c>
      <c r="HL61">
        <v>999.9</v>
      </c>
      <c r="HM61">
        <v>1.8609899999999999</v>
      </c>
      <c r="HN61">
        <v>1.8626400000000001</v>
      </c>
      <c r="HO61">
        <v>1.86798</v>
      </c>
      <c r="HP61">
        <v>1.85883</v>
      </c>
      <c r="HQ61">
        <v>1.8571500000000001</v>
      </c>
      <c r="HR61">
        <v>1.8608199999999999</v>
      </c>
      <c r="HS61">
        <v>1.8646199999999999</v>
      </c>
      <c r="HT61">
        <v>1.8667400000000001</v>
      </c>
      <c r="HU61">
        <v>5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1.325</v>
      </c>
      <c r="II61">
        <v>0.79990000000000006</v>
      </c>
      <c r="IJ61">
        <v>1.178208974299821</v>
      </c>
      <c r="IK61">
        <v>1.118558698776514E-3</v>
      </c>
      <c r="IL61">
        <v>-1.6939696309573479E-6</v>
      </c>
      <c r="IM61">
        <v>5.4698917449866148E-10</v>
      </c>
      <c r="IN61">
        <v>-0.131479428369078</v>
      </c>
      <c r="IO61">
        <v>-7.6058941998734366E-3</v>
      </c>
      <c r="IP61">
        <v>1.6984902717538061E-3</v>
      </c>
      <c r="IQ61">
        <v>-9.6352527008986976E-6</v>
      </c>
      <c r="IR61">
        <v>2</v>
      </c>
      <c r="IS61">
        <v>2021</v>
      </c>
      <c r="IT61">
        <v>2</v>
      </c>
      <c r="IU61">
        <v>40</v>
      </c>
      <c r="IV61">
        <v>0.7</v>
      </c>
      <c r="IW61">
        <v>0.5</v>
      </c>
      <c r="IX61">
        <v>0.60546900000000003</v>
      </c>
      <c r="IY61">
        <v>2.5476100000000002</v>
      </c>
      <c r="IZ61">
        <v>1.34399</v>
      </c>
      <c r="JA61">
        <v>2.2363300000000002</v>
      </c>
      <c r="JB61">
        <v>1.5918000000000001</v>
      </c>
      <c r="JC61">
        <v>2.47803</v>
      </c>
      <c r="JD61">
        <v>44.641199999999998</v>
      </c>
      <c r="JE61">
        <v>16.014600000000002</v>
      </c>
      <c r="JF61">
        <v>18</v>
      </c>
      <c r="JG61">
        <v>507.83600000000001</v>
      </c>
      <c r="JH61">
        <v>387.851</v>
      </c>
      <c r="JI61">
        <v>25.616499999999998</v>
      </c>
      <c r="JJ61">
        <v>34.259700000000002</v>
      </c>
      <c r="JK61">
        <v>30.000699999999998</v>
      </c>
      <c r="JL61">
        <v>34.066299999999998</v>
      </c>
      <c r="JM61">
        <v>34.012300000000003</v>
      </c>
      <c r="JN61">
        <v>12.189</v>
      </c>
      <c r="JO61">
        <v>13.617100000000001</v>
      </c>
      <c r="JP61">
        <v>6.2742199999999997</v>
      </c>
      <c r="JQ61">
        <v>25.597200000000001</v>
      </c>
      <c r="JR61">
        <v>200</v>
      </c>
      <c r="JS61">
        <v>24.2212</v>
      </c>
      <c r="JT61">
        <v>99.005200000000002</v>
      </c>
      <c r="JU61">
        <v>97.322100000000006</v>
      </c>
    </row>
    <row r="62" spans="1:281" x14ac:dyDescent="0.25">
      <c r="A62">
        <v>46</v>
      </c>
      <c r="B62">
        <v>1693333884.5</v>
      </c>
      <c r="C62">
        <v>12123</v>
      </c>
      <c r="D62" t="s">
        <v>651</v>
      </c>
      <c r="E62" t="s">
        <v>652</v>
      </c>
      <c r="F62" t="s">
        <v>413</v>
      </c>
      <c r="G62" t="s">
        <v>636</v>
      </c>
      <c r="H62" t="s">
        <v>637</v>
      </c>
      <c r="I62" t="s">
        <v>493</v>
      </c>
      <c r="J62">
        <v>1693333884.5</v>
      </c>
      <c r="K62">
        <f t="shared" si="46"/>
        <v>4.4126817068165835E-3</v>
      </c>
      <c r="L62">
        <f t="shared" si="47"/>
        <v>4.4126817068165831</v>
      </c>
      <c r="M62">
        <f t="shared" si="48"/>
        <v>11.966546591159918</v>
      </c>
      <c r="N62">
        <f t="shared" si="49"/>
        <v>105.108</v>
      </c>
      <c r="O62">
        <f t="shared" si="50"/>
        <v>41.993103897219775</v>
      </c>
      <c r="P62">
        <f t="shared" si="51"/>
        <v>4.1623699380787746</v>
      </c>
      <c r="Q62">
        <f t="shared" si="52"/>
        <v>10.418338699668</v>
      </c>
      <c r="R62">
        <f t="shared" si="53"/>
        <v>0.32820700270171282</v>
      </c>
      <c r="S62">
        <f t="shared" si="54"/>
        <v>2.9149295806541735</v>
      </c>
      <c r="T62">
        <f t="shared" si="55"/>
        <v>0.30897202250970612</v>
      </c>
      <c r="U62">
        <f t="shared" si="56"/>
        <v>0.1947416937240016</v>
      </c>
      <c r="V62">
        <f t="shared" si="57"/>
        <v>344.35669964448624</v>
      </c>
      <c r="W62">
        <f t="shared" si="58"/>
        <v>31.524122794955112</v>
      </c>
      <c r="X62">
        <f t="shared" si="59"/>
        <v>30.008800000000001</v>
      </c>
      <c r="Y62">
        <f t="shared" si="60"/>
        <v>4.2626037541442869</v>
      </c>
      <c r="Z62">
        <f t="shared" si="61"/>
        <v>65.577625234662023</v>
      </c>
      <c r="AA62">
        <f t="shared" si="62"/>
        <v>2.8981195935263995</v>
      </c>
      <c r="AB62">
        <f t="shared" si="63"/>
        <v>4.4193725880676684</v>
      </c>
      <c r="AC62">
        <f t="shared" si="64"/>
        <v>1.3644841606178875</v>
      </c>
      <c r="AD62">
        <f t="shared" si="65"/>
        <v>-194.59926327061132</v>
      </c>
      <c r="AE62">
        <f t="shared" si="66"/>
        <v>99.051445542968921</v>
      </c>
      <c r="AF62">
        <f t="shared" si="67"/>
        <v>7.5799184953754413</v>
      </c>
      <c r="AG62">
        <f t="shared" si="68"/>
        <v>256.38880041221933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51806.073888640996</v>
      </c>
      <c r="AM62" t="s">
        <v>415</v>
      </c>
      <c r="AN62">
        <v>10366.9</v>
      </c>
      <c r="AO62">
        <v>993.59653846153856</v>
      </c>
      <c r="AP62">
        <v>3431.87</v>
      </c>
      <c r="AQ62">
        <f t="shared" si="72"/>
        <v>0.71047955241266758</v>
      </c>
      <c r="AR62">
        <v>-3.9894345373445681</v>
      </c>
      <c r="AS62" t="s">
        <v>653</v>
      </c>
      <c r="AT62">
        <v>10355.200000000001</v>
      </c>
      <c r="AU62">
        <v>786.28311538461537</v>
      </c>
      <c r="AV62">
        <v>891.89084785510067</v>
      </c>
      <c r="AW62">
        <f t="shared" si="73"/>
        <v>0.11840880834741185</v>
      </c>
      <c r="AX62">
        <v>0.5</v>
      </c>
      <c r="AY62">
        <f t="shared" si="74"/>
        <v>1513.1261998222431</v>
      </c>
      <c r="AZ62">
        <f t="shared" si="75"/>
        <v>11.966546591159918</v>
      </c>
      <c r="BA62">
        <f t="shared" si="76"/>
        <v>89.583735100099801</v>
      </c>
      <c r="BB62">
        <f t="shared" si="77"/>
        <v>1.0545043189642042E-2</v>
      </c>
      <c r="BC62">
        <f t="shared" si="78"/>
        <v>2.8478587466765353</v>
      </c>
      <c r="BD62">
        <f t="shared" si="79"/>
        <v>544.5816795202652</v>
      </c>
      <c r="BE62" t="s">
        <v>654</v>
      </c>
      <c r="BF62">
        <v>582.91</v>
      </c>
      <c r="BG62">
        <f t="shared" si="80"/>
        <v>582.91</v>
      </c>
      <c r="BH62">
        <f t="shared" si="81"/>
        <v>0.34643347736796004</v>
      </c>
      <c r="BI62">
        <f t="shared" si="82"/>
        <v>0.34179378172983388</v>
      </c>
      <c r="BJ62">
        <f t="shared" si="83"/>
        <v>0.89154609125607209</v>
      </c>
      <c r="BK62">
        <f t="shared" si="84"/>
        <v>-1.0383660131579739</v>
      </c>
      <c r="BL62">
        <f t="shared" si="85"/>
        <v>1.0417121755253265</v>
      </c>
      <c r="BM62">
        <f t="shared" si="86"/>
        <v>0.25338839078425385</v>
      </c>
      <c r="BN62">
        <f t="shared" si="87"/>
        <v>0.74661160921574621</v>
      </c>
      <c r="BO62">
        <v>2043</v>
      </c>
      <c r="BP62">
        <v>290.00000000000011</v>
      </c>
      <c r="BQ62">
        <v>863.03</v>
      </c>
      <c r="BR62">
        <v>285</v>
      </c>
      <c r="BS62">
        <v>10355.200000000001</v>
      </c>
      <c r="BT62">
        <v>862.6</v>
      </c>
      <c r="BU62">
        <v>0.43</v>
      </c>
      <c r="BV62">
        <v>300.00000000000011</v>
      </c>
      <c r="BW62">
        <v>38.4</v>
      </c>
      <c r="BX62">
        <v>891.89084785510067</v>
      </c>
      <c r="BY62">
        <v>1.037212590670715</v>
      </c>
      <c r="BZ62">
        <v>-30.335830098531499</v>
      </c>
      <c r="CA62">
        <v>0.87991125451395857</v>
      </c>
      <c r="CB62">
        <v>0.97698495202926594</v>
      </c>
      <c r="CC62">
        <v>-1.1278971968854291E-2</v>
      </c>
      <c r="CD62">
        <v>289.99999999999989</v>
      </c>
      <c r="CE62">
        <v>861.02</v>
      </c>
      <c r="CF62">
        <v>655</v>
      </c>
      <c r="CG62">
        <v>10345.1</v>
      </c>
      <c r="CH62">
        <v>862.57</v>
      </c>
      <c r="CI62">
        <v>-1.55</v>
      </c>
      <c r="CW62">
        <f t="shared" si="88"/>
        <v>1799.93</v>
      </c>
      <c r="CX62">
        <f t="shared" si="89"/>
        <v>1513.1261998222431</v>
      </c>
      <c r="CY62">
        <f t="shared" si="90"/>
        <v>0.84065835883742313</v>
      </c>
      <c r="CZ62">
        <f t="shared" si="91"/>
        <v>0.19131671767484637</v>
      </c>
      <c r="DA62">
        <v>6</v>
      </c>
      <c r="DB62">
        <v>0.5</v>
      </c>
      <c r="DC62" t="s">
        <v>418</v>
      </c>
      <c r="DD62">
        <v>2</v>
      </c>
      <c r="DE62">
        <v>1693333884.5</v>
      </c>
      <c r="DF62">
        <v>105.108</v>
      </c>
      <c r="DG62">
        <v>120.005</v>
      </c>
      <c r="DH62">
        <v>29.238399999999999</v>
      </c>
      <c r="DI62">
        <v>24.104700000000001</v>
      </c>
      <c r="DJ62">
        <v>103.745</v>
      </c>
      <c r="DK62">
        <v>28.432099999999998</v>
      </c>
      <c r="DL62">
        <v>500.65199999999999</v>
      </c>
      <c r="DM62">
        <v>99.020399999999995</v>
      </c>
      <c r="DN62">
        <v>9.9920999999999996E-2</v>
      </c>
      <c r="DO62">
        <v>30.639099999999999</v>
      </c>
      <c r="DP62">
        <v>30.008800000000001</v>
      </c>
      <c r="DQ62">
        <v>999.9</v>
      </c>
      <c r="DR62">
        <v>0</v>
      </c>
      <c r="DS62">
        <v>0</v>
      </c>
      <c r="DT62">
        <v>10015</v>
      </c>
      <c r="DU62">
        <v>0</v>
      </c>
      <c r="DV62">
        <v>1584.27</v>
      </c>
      <c r="DW62">
        <v>-14.896800000000001</v>
      </c>
      <c r="DX62">
        <v>108.274</v>
      </c>
      <c r="DY62">
        <v>122.96899999999999</v>
      </c>
      <c r="DZ62">
        <v>5.1337000000000002</v>
      </c>
      <c r="EA62">
        <v>120.005</v>
      </c>
      <c r="EB62">
        <v>24.104700000000001</v>
      </c>
      <c r="EC62">
        <v>2.8951899999999999</v>
      </c>
      <c r="ED62">
        <v>2.3868499999999999</v>
      </c>
      <c r="EE62">
        <v>23.437100000000001</v>
      </c>
      <c r="EF62">
        <v>20.274799999999999</v>
      </c>
      <c r="EG62">
        <v>1799.93</v>
      </c>
      <c r="EH62">
        <v>0.97799599999999998</v>
      </c>
      <c r="EI62">
        <v>2.2003999999999999E-2</v>
      </c>
      <c r="EJ62">
        <v>0</v>
      </c>
      <c r="EK62">
        <v>785.80600000000004</v>
      </c>
      <c r="EL62">
        <v>5.0002700000000004</v>
      </c>
      <c r="EM62">
        <v>15075.8</v>
      </c>
      <c r="EN62">
        <v>16247.9</v>
      </c>
      <c r="EO62">
        <v>48.75</v>
      </c>
      <c r="EP62">
        <v>50.811999999999998</v>
      </c>
      <c r="EQ62">
        <v>49.811999999999998</v>
      </c>
      <c r="ER62">
        <v>49.936999999999998</v>
      </c>
      <c r="ES62">
        <v>50.436999999999998</v>
      </c>
      <c r="ET62">
        <v>1755.43</v>
      </c>
      <c r="EU62">
        <v>39.5</v>
      </c>
      <c r="EV62">
        <v>0</v>
      </c>
      <c r="EW62">
        <v>105.6000001430511</v>
      </c>
      <c r="EX62">
        <v>0</v>
      </c>
      <c r="EY62">
        <v>786.28311538461537</v>
      </c>
      <c r="EZ62">
        <v>-3.0909743620374641</v>
      </c>
      <c r="FA62">
        <v>-46.632478643778327</v>
      </c>
      <c r="FB62">
        <v>15081.52307692308</v>
      </c>
      <c r="FC62">
        <v>15</v>
      </c>
      <c r="FD62">
        <v>1693333853.5</v>
      </c>
      <c r="FE62" t="s">
        <v>655</v>
      </c>
      <c r="FF62">
        <v>1693333844</v>
      </c>
      <c r="FG62">
        <v>1693333853.5</v>
      </c>
      <c r="FH62">
        <v>54</v>
      </c>
      <c r="FI62">
        <v>8.5999999999999993E-2</v>
      </c>
      <c r="FJ62">
        <v>2E-3</v>
      </c>
      <c r="FK62">
        <v>1.3740000000000001</v>
      </c>
      <c r="FL62">
        <v>0.50900000000000001</v>
      </c>
      <c r="FM62">
        <v>120</v>
      </c>
      <c r="FN62">
        <v>24</v>
      </c>
      <c r="FO62">
        <v>0.35</v>
      </c>
      <c r="FP62">
        <v>0.06</v>
      </c>
      <c r="FQ62">
        <v>11.88495875196099</v>
      </c>
      <c r="FR62">
        <v>5.4479807609782528E-2</v>
      </c>
      <c r="FS62">
        <v>5.1512410484675968E-2</v>
      </c>
      <c r="FT62">
        <v>1</v>
      </c>
      <c r="FU62">
        <v>0.32390604534470657</v>
      </c>
      <c r="FV62">
        <v>4.4605523472470897E-2</v>
      </c>
      <c r="FW62">
        <v>3.8407859762515681E-3</v>
      </c>
      <c r="FX62">
        <v>1</v>
      </c>
      <c r="FY62">
        <v>2</v>
      </c>
      <c r="FZ62">
        <v>2</v>
      </c>
      <c r="GA62" t="s">
        <v>429</v>
      </c>
      <c r="GB62">
        <v>3.1349800000000001</v>
      </c>
      <c r="GC62">
        <v>2.8652099999999998</v>
      </c>
      <c r="GD62">
        <v>2.8025100000000001E-2</v>
      </c>
      <c r="GE62">
        <v>3.3145899999999999E-2</v>
      </c>
      <c r="GF62">
        <v>0.12981200000000001</v>
      </c>
      <c r="GG62">
        <v>0.118419</v>
      </c>
      <c r="GH62">
        <v>29254.6</v>
      </c>
      <c r="GI62">
        <v>22470.3</v>
      </c>
      <c r="GJ62">
        <v>29035.1</v>
      </c>
      <c r="GK62">
        <v>21671.200000000001</v>
      </c>
      <c r="GL62">
        <v>33879.599999999999</v>
      </c>
      <c r="GM62">
        <v>26309.7</v>
      </c>
      <c r="GN62">
        <v>40303.1</v>
      </c>
      <c r="GO62">
        <v>30818</v>
      </c>
      <c r="GP62">
        <v>1.9943</v>
      </c>
      <c r="GQ62">
        <v>1.7358</v>
      </c>
      <c r="GR62">
        <v>-2.1010600000000001E-3</v>
      </c>
      <c r="GS62">
        <v>0</v>
      </c>
      <c r="GT62">
        <v>30.042999999999999</v>
      </c>
      <c r="GU62">
        <v>999.9</v>
      </c>
      <c r="GV62">
        <v>32.700000000000003</v>
      </c>
      <c r="GW62">
        <v>42.9</v>
      </c>
      <c r="GX62">
        <v>28.5381</v>
      </c>
      <c r="GY62">
        <v>62.230200000000004</v>
      </c>
      <c r="GZ62">
        <v>12.8165</v>
      </c>
      <c r="HA62">
        <v>1</v>
      </c>
      <c r="HB62">
        <v>0.54629099999999997</v>
      </c>
      <c r="HC62">
        <v>4.1177999999999999</v>
      </c>
      <c r="HD62">
        <v>20.284400000000002</v>
      </c>
      <c r="HE62">
        <v>5.23346</v>
      </c>
      <c r="HF62">
        <v>11.980600000000001</v>
      </c>
      <c r="HG62">
        <v>4.9749999999999996</v>
      </c>
      <c r="HH62">
        <v>3.2839999999999998</v>
      </c>
      <c r="HI62">
        <v>9999</v>
      </c>
      <c r="HJ62">
        <v>9999</v>
      </c>
      <c r="HK62">
        <v>9999</v>
      </c>
      <c r="HL62">
        <v>999.9</v>
      </c>
      <c r="HM62">
        <v>1.8609800000000001</v>
      </c>
      <c r="HN62">
        <v>1.8626400000000001</v>
      </c>
      <c r="HO62">
        <v>1.86798</v>
      </c>
      <c r="HP62">
        <v>1.8588100000000001</v>
      </c>
      <c r="HQ62">
        <v>1.8571500000000001</v>
      </c>
      <c r="HR62">
        <v>1.8608100000000001</v>
      </c>
      <c r="HS62">
        <v>1.8646199999999999</v>
      </c>
      <c r="HT62">
        <v>1.86673</v>
      </c>
      <c r="HU62">
        <v>5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1.363</v>
      </c>
      <c r="II62">
        <v>0.80630000000000002</v>
      </c>
      <c r="IJ62">
        <v>1.2643070739561451</v>
      </c>
      <c r="IK62">
        <v>1.118558698776514E-3</v>
      </c>
      <c r="IL62">
        <v>-1.6939696309573479E-6</v>
      </c>
      <c r="IM62">
        <v>5.4698917449866148E-10</v>
      </c>
      <c r="IN62">
        <v>-0.12908825310051031</v>
      </c>
      <c r="IO62">
        <v>-7.6058941998734366E-3</v>
      </c>
      <c r="IP62">
        <v>1.6984902717538061E-3</v>
      </c>
      <c r="IQ62">
        <v>-9.6352527008986976E-6</v>
      </c>
      <c r="IR62">
        <v>2</v>
      </c>
      <c r="IS62">
        <v>2021</v>
      </c>
      <c r="IT62">
        <v>2</v>
      </c>
      <c r="IU62">
        <v>40</v>
      </c>
      <c r="IV62">
        <v>0.7</v>
      </c>
      <c r="IW62">
        <v>0.5</v>
      </c>
      <c r="IX62">
        <v>0.42114299999999999</v>
      </c>
      <c r="IY62">
        <v>2.5647000000000002</v>
      </c>
      <c r="IZ62">
        <v>1.34399</v>
      </c>
      <c r="JA62">
        <v>2.2363300000000002</v>
      </c>
      <c r="JB62">
        <v>1.5918000000000001</v>
      </c>
      <c r="JC62">
        <v>2.2839399999999999</v>
      </c>
      <c r="JD62">
        <v>44.334200000000003</v>
      </c>
      <c r="JE62">
        <v>15.988300000000001</v>
      </c>
      <c r="JF62">
        <v>18</v>
      </c>
      <c r="JG62">
        <v>508.339</v>
      </c>
      <c r="JH62">
        <v>387.851</v>
      </c>
      <c r="JI62">
        <v>25.143000000000001</v>
      </c>
      <c r="JJ62">
        <v>34.253500000000003</v>
      </c>
      <c r="JK62">
        <v>29.9999</v>
      </c>
      <c r="JL62">
        <v>34.063200000000002</v>
      </c>
      <c r="JM62">
        <v>34.012300000000003</v>
      </c>
      <c r="JN62">
        <v>8.5196900000000007</v>
      </c>
      <c r="JO62">
        <v>13.55</v>
      </c>
      <c r="JP62">
        <v>6.7892999999999999</v>
      </c>
      <c r="JQ62">
        <v>25.130099999999999</v>
      </c>
      <c r="JR62">
        <v>120</v>
      </c>
      <c r="JS62">
        <v>23.997499999999999</v>
      </c>
      <c r="JT62">
        <v>99.008499999999998</v>
      </c>
      <c r="JU62">
        <v>97.332300000000004</v>
      </c>
    </row>
    <row r="63" spans="1:281" x14ac:dyDescent="0.25">
      <c r="A63">
        <v>47</v>
      </c>
      <c r="B63">
        <v>1693333984</v>
      </c>
      <c r="C63">
        <v>12222.5</v>
      </c>
      <c r="D63" t="s">
        <v>656</v>
      </c>
      <c r="E63" t="s">
        <v>657</v>
      </c>
      <c r="F63" t="s">
        <v>413</v>
      </c>
      <c r="G63" t="s">
        <v>636</v>
      </c>
      <c r="H63" t="s">
        <v>637</v>
      </c>
      <c r="I63" t="s">
        <v>493</v>
      </c>
      <c r="J63">
        <v>1693333984</v>
      </c>
      <c r="K63">
        <f t="shared" si="46"/>
        <v>4.423978816812512E-3</v>
      </c>
      <c r="L63">
        <f t="shared" si="47"/>
        <v>4.4239788168125118</v>
      </c>
      <c r="M63">
        <f t="shared" si="48"/>
        <v>7.3896607788902324</v>
      </c>
      <c r="N63">
        <f t="shared" si="49"/>
        <v>60.747399999999999</v>
      </c>
      <c r="O63">
        <f t="shared" si="50"/>
        <v>20.548295251107941</v>
      </c>
      <c r="P63">
        <f t="shared" si="51"/>
        <v>2.0368663307468768</v>
      </c>
      <c r="Q63">
        <f t="shared" si="52"/>
        <v>6.0216349934791404</v>
      </c>
      <c r="R63">
        <f t="shared" si="53"/>
        <v>0.31678813394964067</v>
      </c>
      <c r="S63">
        <f t="shared" si="54"/>
        <v>2.9159071297506318</v>
      </c>
      <c r="T63">
        <f t="shared" si="55"/>
        <v>0.29883465378571655</v>
      </c>
      <c r="U63">
        <f t="shared" si="56"/>
        <v>0.18829986496013523</v>
      </c>
      <c r="V63">
        <f t="shared" si="57"/>
        <v>344.34659964456642</v>
      </c>
      <c r="W63">
        <f t="shared" si="58"/>
        <v>31.500856671627762</v>
      </c>
      <c r="X63">
        <f t="shared" si="59"/>
        <v>29.972100000000001</v>
      </c>
      <c r="Y63">
        <f t="shared" si="60"/>
        <v>4.2536269412208627</v>
      </c>
      <c r="Z63">
        <f t="shared" si="61"/>
        <v>64.30558882586601</v>
      </c>
      <c r="AA63">
        <f t="shared" si="62"/>
        <v>2.8386557967050905</v>
      </c>
      <c r="AB63">
        <f t="shared" si="63"/>
        <v>4.4143220652125983</v>
      </c>
      <c r="AC63">
        <f t="shared" si="64"/>
        <v>1.4149711445157722</v>
      </c>
      <c r="AD63">
        <f t="shared" si="65"/>
        <v>-195.09746582143177</v>
      </c>
      <c r="AE63">
        <f t="shared" si="66"/>
        <v>101.70994321088786</v>
      </c>
      <c r="AF63">
        <f t="shared" si="67"/>
        <v>7.7785698452121039</v>
      </c>
      <c r="AG63">
        <f t="shared" si="68"/>
        <v>258.7376468792346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51837.372526399835</v>
      </c>
      <c r="AM63" t="s">
        <v>415</v>
      </c>
      <c r="AN63">
        <v>10366.9</v>
      </c>
      <c r="AO63">
        <v>993.59653846153856</v>
      </c>
      <c r="AP63">
        <v>3431.87</v>
      </c>
      <c r="AQ63">
        <f t="shared" si="72"/>
        <v>0.71047955241266758</v>
      </c>
      <c r="AR63">
        <v>-3.9894345373445681</v>
      </c>
      <c r="AS63" t="s">
        <v>658</v>
      </c>
      <c r="AT63">
        <v>10363.700000000001</v>
      </c>
      <c r="AU63">
        <v>791.3693461538461</v>
      </c>
      <c r="AV63">
        <v>870.441804152994</v>
      </c>
      <c r="AW63">
        <f t="shared" si="73"/>
        <v>9.0841751420810302E-2</v>
      </c>
      <c r="AX63">
        <v>0.5</v>
      </c>
      <c r="AY63">
        <f t="shared" si="74"/>
        <v>1513.0838998222832</v>
      </c>
      <c r="AZ63">
        <f t="shared" si="75"/>
        <v>7.3896607788902324</v>
      </c>
      <c r="BA63">
        <f t="shared" si="76"/>
        <v>68.725595753243041</v>
      </c>
      <c r="BB63">
        <f t="shared" si="77"/>
        <v>7.5204655323946757E-3</v>
      </c>
      <c r="BC63">
        <f t="shared" si="78"/>
        <v>2.9426759877869952</v>
      </c>
      <c r="BD63">
        <f t="shared" si="79"/>
        <v>536.50938797263495</v>
      </c>
      <c r="BE63" t="s">
        <v>659</v>
      </c>
      <c r="BF63">
        <v>596.03</v>
      </c>
      <c r="BG63">
        <f t="shared" si="80"/>
        <v>596.03</v>
      </c>
      <c r="BH63">
        <f t="shared" si="81"/>
        <v>0.31525577338282551</v>
      </c>
      <c r="BI63">
        <f t="shared" si="82"/>
        <v>0.2881525386388345</v>
      </c>
      <c r="BJ63">
        <f t="shared" si="83"/>
        <v>0.90323438411440904</v>
      </c>
      <c r="BK63">
        <f t="shared" si="84"/>
        <v>-0.64205780186285377</v>
      </c>
      <c r="BL63">
        <f t="shared" si="85"/>
        <v>1.050508991813756</v>
      </c>
      <c r="BM63">
        <f t="shared" si="86"/>
        <v>0.2170257900936132</v>
      </c>
      <c r="BN63">
        <f t="shared" si="87"/>
        <v>0.78297420990638678</v>
      </c>
      <c r="BO63">
        <v>2045</v>
      </c>
      <c r="BP63">
        <v>290.00000000000011</v>
      </c>
      <c r="BQ63">
        <v>847.73</v>
      </c>
      <c r="BR63">
        <v>215</v>
      </c>
      <c r="BS63">
        <v>10363.700000000001</v>
      </c>
      <c r="BT63">
        <v>848.02</v>
      </c>
      <c r="BU63">
        <v>-0.28999999999999998</v>
      </c>
      <c r="BV63">
        <v>300.00000000000011</v>
      </c>
      <c r="BW63">
        <v>38.4</v>
      </c>
      <c r="BX63">
        <v>870.441804152994</v>
      </c>
      <c r="BY63">
        <v>0.88033592561046703</v>
      </c>
      <c r="BZ63">
        <v>-23.2343358745545</v>
      </c>
      <c r="CA63">
        <v>0.74677563362860722</v>
      </c>
      <c r="CB63">
        <v>0.97188785790484067</v>
      </c>
      <c r="CC63">
        <v>-1.127817641824249E-2</v>
      </c>
      <c r="CD63">
        <v>289.99999999999989</v>
      </c>
      <c r="CE63">
        <v>845.28</v>
      </c>
      <c r="CF63">
        <v>635</v>
      </c>
      <c r="CG63">
        <v>10346.5</v>
      </c>
      <c r="CH63">
        <v>847.99</v>
      </c>
      <c r="CI63">
        <v>-2.71</v>
      </c>
      <c r="CW63">
        <f t="shared" si="88"/>
        <v>1799.88</v>
      </c>
      <c r="CX63">
        <f t="shared" si="89"/>
        <v>1513.0838998222832</v>
      </c>
      <c r="CY63">
        <f t="shared" si="90"/>
        <v>0.84065821044863165</v>
      </c>
      <c r="CZ63">
        <f t="shared" si="91"/>
        <v>0.19131642089726336</v>
      </c>
      <c r="DA63">
        <v>6</v>
      </c>
      <c r="DB63">
        <v>0.5</v>
      </c>
      <c r="DC63" t="s">
        <v>418</v>
      </c>
      <c r="DD63">
        <v>2</v>
      </c>
      <c r="DE63">
        <v>1693333984</v>
      </c>
      <c r="DF63">
        <v>60.747399999999999</v>
      </c>
      <c r="DG63">
        <v>69.945599999999999</v>
      </c>
      <c r="DH63">
        <v>28.636900000000001</v>
      </c>
      <c r="DI63">
        <v>23.4756</v>
      </c>
      <c r="DJ63">
        <v>59.354399999999998</v>
      </c>
      <c r="DK63">
        <v>28.165900000000001</v>
      </c>
      <c r="DL63">
        <v>499.55900000000003</v>
      </c>
      <c r="DM63">
        <v>99.026300000000006</v>
      </c>
      <c r="DN63">
        <v>9.95061E-2</v>
      </c>
      <c r="DO63">
        <v>30.6191</v>
      </c>
      <c r="DP63">
        <v>29.972100000000001</v>
      </c>
      <c r="DQ63">
        <v>999.9</v>
      </c>
      <c r="DR63">
        <v>0</v>
      </c>
      <c r="DS63">
        <v>0</v>
      </c>
      <c r="DT63">
        <v>10020</v>
      </c>
      <c r="DU63">
        <v>0</v>
      </c>
      <c r="DV63">
        <v>1590.6</v>
      </c>
      <c r="DW63">
        <v>-9.2663700000000002</v>
      </c>
      <c r="DX63">
        <v>62.488599999999998</v>
      </c>
      <c r="DY63">
        <v>71.627099999999999</v>
      </c>
      <c r="DZ63">
        <v>5.47905</v>
      </c>
      <c r="EA63">
        <v>69.945599999999999</v>
      </c>
      <c r="EB63">
        <v>23.4756</v>
      </c>
      <c r="EC63">
        <v>2.8672800000000001</v>
      </c>
      <c r="ED63">
        <v>2.3247100000000001</v>
      </c>
      <c r="EE63">
        <v>23.276599999999998</v>
      </c>
      <c r="EF63">
        <v>19.848600000000001</v>
      </c>
      <c r="EG63">
        <v>1799.88</v>
      </c>
      <c r="EH63">
        <v>0.97799599999999998</v>
      </c>
      <c r="EI63">
        <v>2.2003999999999999E-2</v>
      </c>
      <c r="EJ63">
        <v>0</v>
      </c>
      <c r="EK63">
        <v>790.80100000000004</v>
      </c>
      <c r="EL63">
        <v>5.0002700000000004</v>
      </c>
      <c r="EM63">
        <v>15165.3</v>
      </c>
      <c r="EN63">
        <v>16247.5</v>
      </c>
      <c r="EO63">
        <v>48.811999999999998</v>
      </c>
      <c r="EP63">
        <v>50.875</v>
      </c>
      <c r="EQ63">
        <v>49.936999999999998</v>
      </c>
      <c r="ER63">
        <v>50.061999999999998</v>
      </c>
      <c r="ES63">
        <v>50.561999999999998</v>
      </c>
      <c r="ET63">
        <v>1755.39</v>
      </c>
      <c r="EU63">
        <v>39.49</v>
      </c>
      <c r="EV63">
        <v>0</v>
      </c>
      <c r="EW63">
        <v>97.400000095367432</v>
      </c>
      <c r="EX63">
        <v>0</v>
      </c>
      <c r="EY63">
        <v>791.3693461538461</v>
      </c>
      <c r="EZ63">
        <v>-2.5847863190633369</v>
      </c>
      <c r="FA63">
        <v>-44.211965598330707</v>
      </c>
      <c r="FB63">
        <v>15174.176923076921</v>
      </c>
      <c r="FC63">
        <v>15</v>
      </c>
      <c r="FD63">
        <v>1693334010.5</v>
      </c>
      <c r="FE63" t="s">
        <v>660</v>
      </c>
      <c r="FF63">
        <v>1693334002.5</v>
      </c>
      <c r="FG63">
        <v>1693334010.5</v>
      </c>
      <c r="FH63">
        <v>55</v>
      </c>
      <c r="FI63">
        <v>0.06</v>
      </c>
      <c r="FJ63">
        <v>-4.0000000000000001E-3</v>
      </c>
      <c r="FK63">
        <v>1.393</v>
      </c>
      <c r="FL63">
        <v>0.47099999999999997</v>
      </c>
      <c r="FM63">
        <v>70</v>
      </c>
      <c r="FN63">
        <v>23</v>
      </c>
      <c r="FO63">
        <v>0.42</v>
      </c>
      <c r="FP63">
        <v>0.04</v>
      </c>
      <c r="FQ63">
        <v>7.384512041831969</v>
      </c>
      <c r="FR63">
        <v>0.34722472989799369</v>
      </c>
      <c r="FS63">
        <v>5.6228494143649853E-2</v>
      </c>
      <c r="FT63">
        <v>1</v>
      </c>
      <c r="FU63">
        <v>0.34296031086412532</v>
      </c>
      <c r="FV63">
        <v>6.5838644005040692E-3</v>
      </c>
      <c r="FW63">
        <v>1.0604114624614229E-3</v>
      </c>
      <c r="FX63">
        <v>1</v>
      </c>
      <c r="FY63">
        <v>2</v>
      </c>
      <c r="FZ63">
        <v>2</v>
      </c>
      <c r="GA63" t="s">
        <v>429</v>
      </c>
      <c r="GB63">
        <v>3.1335700000000002</v>
      </c>
      <c r="GC63">
        <v>2.86483</v>
      </c>
      <c r="GD63">
        <v>1.6272999999999999E-2</v>
      </c>
      <c r="GE63">
        <v>1.9698899999999998E-2</v>
      </c>
      <c r="GF63">
        <v>0.12895699999999999</v>
      </c>
      <c r="GG63">
        <v>0.116257</v>
      </c>
      <c r="GH63">
        <v>29602.6</v>
      </c>
      <c r="GI63">
        <v>22779.599999999999</v>
      </c>
      <c r="GJ63">
        <v>29030</v>
      </c>
      <c r="GK63">
        <v>21668.5</v>
      </c>
      <c r="GL63">
        <v>33906.9</v>
      </c>
      <c r="GM63">
        <v>26370.2</v>
      </c>
      <c r="GN63">
        <v>40296.199999999997</v>
      </c>
      <c r="GO63">
        <v>30814.5</v>
      </c>
      <c r="GP63">
        <v>1.9945999999999999</v>
      </c>
      <c r="GQ63">
        <v>1.7358</v>
      </c>
      <c r="GR63">
        <v>-6.2584900000000002E-3</v>
      </c>
      <c r="GS63">
        <v>0</v>
      </c>
      <c r="GT63">
        <v>30.074000000000002</v>
      </c>
      <c r="GU63">
        <v>999.9</v>
      </c>
      <c r="GV63">
        <v>32.700000000000003</v>
      </c>
      <c r="GW63">
        <v>42.7</v>
      </c>
      <c r="GX63">
        <v>28.241700000000002</v>
      </c>
      <c r="GY63">
        <v>62.130299999999998</v>
      </c>
      <c r="GZ63">
        <v>13.2171</v>
      </c>
      <c r="HA63">
        <v>1</v>
      </c>
      <c r="HB63">
        <v>0.55191100000000004</v>
      </c>
      <c r="HC63">
        <v>3.9819800000000001</v>
      </c>
      <c r="HD63">
        <v>20.287700000000001</v>
      </c>
      <c r="HE63">
        <v>5.2346599999999999</v>
      </c>
      <c r="HF63">
        <v>11.98</v>
      </c>
      <c r="HG63">
        <v>4.9752000000000001</v>
      </c>
      <c r="HH63">
        <v>3.2839999999999998</v>
      </c>
      <c r="HI63">
        <v>9999</v>
      </c>
      <c r="HJ63">
        <v>9999</v>
      </c>
      <c r="HK63">
        <v>9999</v>
      </c>
      <c r="HL63">
        <v>999.9</v>
      </c>
      <c r="HM63">
        <v>1.8609599999999999</v>
      </c>
      <c r="HN63">
        <v>1.8626400000000001</v>
      </c>
      <c r="HO63">
        <v>1.86798</v>
      </c>
      <c r="HP63">
        <v>1.8587499999999999</v>
      </c>
      <c r="HQ63">
        <v>1.8571</v>
      </c>
      <c r="HR63">
        <v>1.8608</v>
      </c>
      <c r="HS63">
        <v>1.8646199999999999</v>
      </c>
      <c r="HT63">
        <v>1.8666700000000001</v>
      </c>
      <c r="HU63">
        <v>5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1.393</v>
      </c>
      <c r="II63">
        <v>0.47099999999999997</v>
      </c>
      <c r="IJ63">
        <v>1.2643070739561451</v>
      </c>
      <c r="IK63">
        <v>1.118558698776514E-3</v>
      </c>
      <c r="IL63">
        <v>-1.6939696309573479E-6</v>
      </c>
      <c r="IM63">
        <v>5.4698917449866148E-10</v>
      </c>
      <c r="IN63">
        <v>-0.12908825310051031</v>
      </c>
      <c r="IO63">
        <v>-7.6058941998734366E-3</v>
      </c>
      <c r="IP63">
        <v>1.6984902717538061E-3</v>
      </c>
      <c r="IQ63">
        <v>-9.6352527008986976E-6</v>
      </c>
      <c r="IR63">
        <v>2</v>
      </c>
      <c r="IS63">
        <v>2021</v>
      </c>
      <c r="IT63">
        <v>2</v>
      </c>
      <c r="IU63">
        <v>40</v>
      </c>
      <c r="IV63">
        <v>2.2999999999999998</v>
      </c>
      <c r="IW63">
        <v>2.2000000000000002</v>
      </c>
      <c r="IX63">
        <v>0.306396</v>
      </c>
      <c r="IY63">
        <v>2.5732400000000002</v>
      </c>
      <c r="IZ63">
        <v>1.34399</v>
      </c>
      <c r="JA63">
        <v>2.2363300000000002</v>
      </c>
      <c r="JB63">
        <v>1.5918000000000001</v>
      </c>
      <c r="JC63">
        <v>2.49146</v>
      </c>
      <c r="JD63">
        <v>44.057099999999998</v>
      </c>
      <c r="JE63">
        <v>15.997</v>
      </c>
      <c r="JF63">
        <v>18</v>
      </c>
      <c r="JG63">
        <v>508.846</v>
      </c>
      <c r="JH63">
        <v>388.09699999999998</v>
      </c>
      <c r="JI63">
        <v>25.274000000000001</v>
      </c>
      <c r="JJ63">
        <v>34.309399999999997</v>
      </c>
      <c r="JK63">
        <v>30</v>
      </c>
      <c r="JL63">
        <v>34.1</v>
      </c>
      <c r="JM63">
        <v>34.048999999999999</v>
      </c>
      <c r="JN63">
        <v>6.20824</v>
      </c>
      <c r="JO63">
        <v>15.162100000000001</v>
      </c>
      <c r="JP63">
        <v>6.7892999999999999</v>
      </c>
      <c r="JQ63">
        <v>25.283799999999999</v>
      </c>
      <c r="JR63">
        <v>70</v>
      </c>
      <c r="JS63">
        <v>23.523399999999999</v>
      </c>
      <c r="JT63">
        <v>98.991299999999995</v>
      </c>
      <c r="JU63">
        <v>97.320700000000002</v>
      </c>
    </row>
    <row r="64" spans="1:281" x14ac:dyDescent="0.25">
      <c r="A64">
        <v>48</v>
      </c>
      <c r="B64">
        <v>1693334142</v>
      </c>
      <c r="C64">
        <v>12380.5</v>
      </c>
      <c r="D64" t="s">
        <v>661</v>
      </c>
      <c r="E64" t="s">
        <v>662</v>
      </c>
      <c r="F64" t="s">
        <v>413</v>
      </c>
      <c r="G64" t="s">
        <v>636</v>
      </c>
      <c r="H64" t="s">
        <v>637</v>
      </c>
      <c r="I64" t="s">
        <v>493</v>
      </c>
      <c r="J64">
        <v>1693334142</v>
      </c>
      <c r="K64">
        <f t="shared" si="46"/>
        <v>5.149665193114634E-3</v>
      </c>
      <c r="L64">
        <f t="shared" si="47"/>
        <v>5.1496651931146342</v>
      </c>
      <c r="M64">
        <f t="shared" si="48"/>
        <v>3.2620411741494415</v>
      </c>
      <c r="N64">
        <f t="shared" si="49"/>
        <v>25.844200000000001</v>
      </c>
      <c r="O64">
        <f t="shared" si="50"/>
        <v>11.016710762719683</v>
      </c>
      <c r="P64">
        <f t="shared" si="51"/>
        <v>1.0920054549171885</v>
      </c>
      <c r="Q64">
        <f t="shared" si="52"/>
        <v>2.561745332688</v>
      </c>
      <c r="R64">
        <f t="shared" si="53"/>
        <v>0.38496350285711983</v>
      </c>
      <c r="S64">
        <f t="shared" si="54"/>
        <v>2.9053410702771143</v>
      </c>
      <c r="T64">
        <f t="shared" si="55"/>
        <v>0.35870526232552502</v>
      </c>
      <c r="U64">
        <f t="shared" si="56"/>
        <v>0.22640055878643284</v>
      </c>
      <c r="V64">
        <f t="shared" si="57"/>
        <v>344.36619964449613</v>
      </c>
      <c r="W64">
        <f t="shared" si="58"/>
        <v>31.395201288664218</v>
      </c>
      <c r="X64">
        <f t="shared" si="59"/>
        <v>30.029299999999999</v>
      </c>
      <c r="Y64">
        <f t="shared" si="60"/>
        <v>4.2676252334556306</v>
      </c>
      <c r="Z64">
        <f t="shared" si="61"/>
        <v>65.301964592893697</v>
      </c>
      <c r="AA64">
        <f t="shared" si="62"/>
        <v>2.8960166115599995</v>
      </c>
      <c r="AB64">
        <f t="shared" si="63"/>
        <v>4.4348077881184462</v>
      </c>
      <c r="AC64">
        <f t="shared" si="64"/>
        <v>1.3716086218956312</v>
      </c>
      <c r="AD64">
        <f t="shared" si="65"/>
        <v>-227.10023501635536</v>
      </c>
      <c r="AE64">
        <f t="shared" si="66"/>
        <v>105.06924721134706</v>
      </c>
      <c r="AF64">
        <f t="shared" si="67"/>
        <v>8.0702198974670942</v>
      </c>
      <c r="AG64">
        <f t="shared" si="68"/>
        <v>230.40543173695494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51523.82131355731</v>
      </c>
      <c r="AM64" t="s">
        <v>415</v>
      </c>
      <c r="AN64">
        <v>10366.9</v>
      </c>
      <c r="AO64">
        <v>993.59653846153856</v>
      </c>
      <c r="AP64">
        <v>3431.87</v>
      </c>
      <c r="AQ64">
        <f t="shared" si="72"/>
        <v>0.71047955241266758</v>
      </c>
      <c r="AR64">
        <v>-3.9894345373445681</v>
      </c>
      <c r="AS64" t="s">
        <v>663</v>
      </c>
      <c r="AT64">
        <v>10364.1</v>
      </c>
      <c r="AU64">
        <v>792.46484000000009</v>
      </c>
      <c r="AV64">
        <v>844.88532531734859</v>
      </c>
      <c r="AW64">
        <f t="shared" si="73"/>
        <v>6.2044497337740756E-2</v>
      </c>
      <c r="AX64">
        <v>0.5</v>
      </c>
      <c r="AY64">
        <f t="shared" si="74"/>
        <v>1513.168199822248</v>
      </c>
      <c r="AZ64">
        <f t="shared" si="75"/>
        <v>3.2620411741494415</v>
      </c>
      <c r="BA64">
        <f t="shared" si="76"/>
        <v>46.941880172712722</v>
      </c>
      <c r="BB64">
        <f t="shared" si="77"/>
        <v>4.792246963917059E-3</v>
      </c>
      <c r="BC64">
        <f t="shared" si="78"/>
        <v>3.0619358594149455</v>
      </c>
      <c r="BD64">
        <f t="shared" si="79"/>
        <v>526.68974500822651</v>
      </c>
      <c r="BE64" t="s">
        <v>664</v>
      </c>
      <c r="BF64">
        <v>609.16</v>
      </c>
      <c r="BG64">
        <f t="shared" si="80"/>
        <v>609.16</v>
      </c>
      <c r="BH64">
        <f t="shared" si="81"/>
        <v>0.27900274540667103</v>
      </c>
      <c r="BI64">
        <f t="shared" si="82"/>
        <v>0.22237952263625752</v>
      </c>
      <c r="BJ64">
        <f t="shared" si="83"/>
        <v>0.91648971190191397</v>
      </c>
      <c r="BK64">
        <f t="shared" si="84"/>
        <v>-0.35249853867120123</v>
      </c>
      <c r="BL64">
        <f t="shared" si="85"/>
        <v>1.0609903751527356</v>
      </c>
      <c r="BM64">
        <f t="shared" si="86"/>
        <v>0.17094097197940367</v>
      </c>
      <c r="BN64">
        <f t="shared" si="87"/>
        <v>0.82905902802059628</v>
      </c>
      <c r="BO64">
        <v>2047</v>
      </c>
      <c r="BP64">
        <v>290.00000000000011</v>
      </c>
      <c r="BQ64">
        <v>830.91</v>
      </c>
      <c r="BR64">
        <v>215</v>
      </c>
      <c r="BS64">
        <v>10364.1</v>
      </c>
      <c r="BT64">
        <v>829.46</v>
      </c>
      <c r="BU64">
        <v>1.45</v>
      </c>
      <c r="BV64">
        <v>300.00000000000011</v>
      </c>
      <c r="BW64">
        <v>38.4</v>
      </c>
      <c r="BX64">
        <v>844.88532531734859</v>
      </c>
      <c r="BY64">
        <v>0.93746792201042117</v>
      </c>
      <c r="BZ64">
        <v>-15.98524471681648</v>
      </c>
      <c r="CA64">
        <v>0.79526951807190205</v>
      </c>
      <c r="CB64">
        <v>0.93518916836358124</v>
      </c>
      <c r="CC64">
        <v>-1.1278387096774201E-2</v>
      </c>
      <c r="CD64">
        <v>289.99999999999989</v>
      </c>
      <c r="CE64">
        <v>826.98</v>
      </c>
      <c r="CF64">
        <v>725</v>
      </c>
      <c r="CG64">
        <v>10338.6</v>
      </c>
      <c r="CH64">
        <v>829.42</v>
      </c>
      <c r="CI64">
        <v>-2.44</v>
      </c>
      <c r="CW64">
        <f t="shared" si="88"/>
        <v>1799.98</v>
      </c>
      <c r="CX64">
        <f t="shared" si="89"/>
        <v>1513.168199822248</v>
      </c>
      <c r="CY64">
        <f t="shared" si="90"/>
        <v>0.84065834054947719</v>
      </c>
      <c r="CZ64">
        <f t="shared" si="91"/>
        <v>0.1913166810989545</v>
      </c>
      <c r="DA64">
        <v>6</v>
      </c>
      <c r="DB64">
        <v>0.5</v>
      </c>
      <c r="DC64" t="s">
        <v>418</v>
      </c>
      <c r="DD64">
        <v>2</v>
      </c>
      <c r="DE64">
        <v>1693334142</v>
      </c>
      <c r="DF64">
        <v>25.844200000000001</v>
      </c>
      <c r="DG64">
        <v>29.919</v>
      </c>
      <c r="DH64">
        <v>29.2165</v>
      </c>
      <c r="DI64">
        <v>23.2165</v>
      </c>
      <c r="DJ64">
        <v>24.492100000000001</v>
      </c>
      <c r="DK64">
        <v>28.413599999999999</v>
      </c>
      <c r="DL64">
        <v>499.92099999999999</v>
      </c>
      <c r="DM64">
        <v>99.022499999999994</v>
      </c>
      <c r="DN64">
        <v>0.10014000000000001</v>
      </c>
      <c r="DO64">
        <v>30.700099999999999</v>
      </c>
      <c r="DP64">
        <v>30.029299999999999</v>
      </c>
      <c r="DQ64">
        <v>999.9</v>
      </c>
      <c r="DR64">
        <v>0</v>
      </c>
      <c r="DS64">
        <v>0</v>
      </c>
      <c r="DT64">
        <v>9960</v>
      </c>
      <c r="DU64">
        <v>0</v>
      </c>
      <c r="DV64">
        <v>1589.44</v>
      </c>
      <c r="DW64">
        <v>-4.0747900000000001</v>
      </c>
      <c r="DX64">
        <v>26.622</v>
      </c>
      <c r="DY64">
        <v>30.630099999999999</v>
      </c>
      <c r="DZ64">
        <v>6.0000299999999998</v>
      </c>
      <c r="EA64">
        <v>29.919</v>
      </c>
      <c r="EB64">
        <v>23.2165</v>
      </c>
      <c r="EC64">
        <v>2.8930899999999999</v>
      </c>
      <c r="ED64">
        <v>2.29895</v>
      </c>
      <c r="EE64">
        <v>23.4251</v>
      </c>
      <c r="EF64">
        <v>19.6691</v>
      </c>
      <c r="EG64">
        <v>1799.98</v>
      </c>
      <c r="EH64">
        <v>0.97799599999999998</v>
      </c>
      <c r="EI64">
        <v>2.2003999999999999E-2</v>
      </c>
      <c r="EJ64">
        <v>0</v>
      </c>
      <c r="EK64">
        <v>792.399</v>
      </c>
      <c r="EL64">
        <v>5.0002700000000004</v>
      </c>
      <c r="EM64">
        <v>15185</v>
      </c>
      <c r="EN64">
        <v>16248.4</v>
      </c>
      <c r="EO64">
        <v>48.75</v>
      </c>
      <c r="EP64">
        <v>50.811999999999998</v>
      </c>
      <c r="EQ64">
        <v>49.875</v>
      </c>
      <c r="ER64">
        <v>49.875</v>
      </c>
      <c r="ES64">
        <v>50.5</v>
      </c>
      <c r="ET64">
        <v>1755.48</v>
      </c>
      <c r="EU64">
        <v>39.5</v>
      </c>
      <c r="EV64">
        <v>0</v>
      </c>
      <c r="EW64">
        <v>156.20000004768369</v>
      </c>
      <c r="EX64">
        <v>0</v>
      </c>
      <c r="EY64">
        <v>792.46484000000009</v>
      </c>
      <c r="EZ64">
        <v>-2.4644615425160792</v>
      </c>
      <c r="FA64">
        <v>-49.961538611765668</v>
      </c>
      <c r="FB64">
        <v>15187.552</v>
      </c>
      <c r="FC64">
        <v>15</v>
      </c>
      <c r="FD64">
        <v>1693334112.5</v>
      </c>
      <c r="FE64" t="s">
        <v>665</v>
      </c>
      <c r="FF64">
        <v>1693334100.5</v>
      </c>
      <c r="FG64">
        <v>1693334112.5</v>
      </c>
      <c r="FH64">
        <v>56</v>
      </c>
      <c r="FI64">
        <v>2E-3</v>
      </c>
      <c r="FJ64">
        <v>2E-3</v>
      </c>
      <c r="FK64">
        <v>1.3560000000000001</v>
      </c>
      <c r="FL64">
        <v>0.46100000000000002</v>
      </c>
      <c r="FM64">
        <v>30</v>
      </c>
      <c r="FN64">
        <v>23</v>
      </c>
      <c r="FO64">
        <v>0.83</v>
      </c>
      <c r="FP64">
        <v>0.06</v>
      </c>
      <c r="FQ64">
        <v>3.3174155635596012</v>
      </c>
      <c r="FR64">
        <v>0.16177418121900791</v>
      </c>
      <c r="FS64">
        <v>4.9822216049350998E-2</v>
      </c>
      <c r="FT64">
        <v>1</v>
      </c>
      <c r="FU64">
        <v>0.38472597393621832</v>
      </c>
      <c r="FV64">
        <v>3.1769483831654732E-2</v>
      </c>
      <c r="FW64">
        <v>3.25408182902087E-3</v>
      </c>
      <c r="FX64">
        <v>1</v>
      </c>
      <c r="FY64">
        <v>2</v>
      </c>
      <c r="FZ64">
        <v>2</v>
      </c>
      <c r="GA64" t="s">
        <v>429</v>
      </c>
      <c r="GB64">
        <v>3.1339199999999998</v>
      </c>
      <c r="GC64">
        <v>2.8649499999999999</v>
      </c>
      <c r="GD64">
        <v>6.7568000000000003E-3</v>
      </c>
      <c r="GE64">
        <v>8.5016399999999995E-3</v>
      </c>
      <c r="GF64">
        <v>0.12973799999999999</v>
      </c>
      <c r="GG64">
        <v>0.115352</v>
      </c>
      <c r="GH64">
        <v>29889.8</v>
      </c>
      <c r="GI64">
        <v>23041.200000000001</v>
      </c>
      <c r="GJ64">
        <v>29031</v>
      </c>
      <c r="GK64">
        <v>21670</v>
      </c>
      <c r="GL64">
        <v>33877</v>
      </c>
      <c r="GM64">
        <v>26398.5</v>
      </c>
      <c r="GN64">
        <v>40298.199999999997</v>
      </c>
      <c r="GO64">
        <v>30816.9</v>
      </c>
      <c r="GP64">
        <v>1.9933000000000001</v>
      </c>
      <c r="GQ64">
        <v>1.7383</v>
      </c>
      <c r="GR64">
        <v>3.5464799999999999E-3</v>
      </c>
      <c r="GS64">
        <v>0</v>
      </c>
      <c r="GT64">
        <v>29.971499999999999</v>
      </c>
      <c r="GU64">
        <v>999.9</v>
      </c>
      <c r="GV64">
        <v>32.799999999999997</v>
      </c>
      <c r="GW64">
        <v>42.4</v>
      </c>
      <c r="GX64">
        <v>27.887</v>
      </c>
      <c r="GY64">
        <v>62.170299999999997</v>
      </c>
      <c r="GZ64">
        <v>12.7925</v>
      </c>
      <c r="HA64">
        <v>1</v>
      </c>
      <c r="HB64">
        <v>0.55494900000000003</v>
      </c>
      <c r="HC64">
        <v>4.20214</v>
      </c>
      <c r="HD64">
        <v>20.225100000000001</v>
      </c>
      <c r="HE64">
        <v>5.2340600000000004</v>
      </c>
      <c r="HF64">
        <v>11.98</v>
      </c>
      <c r="HG64">
        <v>4.9749999999999996</v>
      </c>
      <c r="HH64">
        <v>3.2839999999999998</v>
      </c>
      <c r="HI64">
        <v>9999</v>
      </c>
      <c r="HJ64">
        <v>9999</v>
      </c>
      <c r="HK64">
        <v>9999</v>
      </c>
      <c r="HL64">
        <v>999.9</v>
      </c>
      <c r="HM64">
        <v>1.8614200000000001</v>
      </c>
      <c r="HN64">
        <v>1.8631</v>
      </c>
      <c r="HO64">
        <v>1.8684400000000001</v>
      </c>
      <c r="HP64">
        <v>1.8591899999999999</v>
      </c>
      <c r="HQ64">
        <v>1.8575999999999999</v>
      </c>
      <c r="HR64">
        <v>1.86127</v>
      </c>
      <c r="HS64">
        <v>1.8650800000000001</v>
      </c>
      <c r="HT64">
        <v>1.8671899999999999</v>
      </c>
      <c r="HU64">
        <v>5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1.3520000000000001</v>
      </c>
      <c r="II64">
        <v>0.80289999999999995</v>
      </c>
      <c r="IJ64">
        <v>1.3257149113611251</v>
      </c>
      <c r="IK64">
        <v>1.118558698776514E-3</v>
      </c>
      <c r="IL64">
        <v>-1.6939696309573479E-6</v>
      </c>
      <c r="IM64">
        <v>5.4698917449866148E-10</v>
      </c>
      <c r="IN64">
        <v>-0.1311720071910473</v>
      </c>
      <c r="IO64">
        <v>-7.6058941998734366E-3</v>
      </c>
      <c r="IP64">
        <v>1.6984902717538061E-3</v>
      </c>
      <c r="IQ64">
        <v>-9.6352527008986976E-6</v>
      </c>
      <c r="IR64">
        <v>2</v>
      </c>
      <c r="IS64">
        <v>2021</v>
      </c>
      <c r="IT64">
        <v>2</v>
      </c>
      <c r="IU64">
        <v>40</v>
      </c>
      <c r="IV64">
        <v>0.7</v>
      </c>
      <c r="IW64">
        <v>0.5</v>
      </c>
      <c r="IX64">
        <v>0.21606400000000001</v>
      </c>
      <c r="IY64">
        <v>2.5976599999999999</v>
      </c>
      <c r="IZ64">
        <v>1.34399</v>
      </c>
      <c r="JA64">
        <v>2.2363300000000002</v>
      </c>
      <c r="JB64">
        <v>1.5918000000000001</v>
      </c>
      <c r="JC64">
        <v>2.3815900000000001</v>
      </c>
      <c r="JD64">
        <v>44.057099999999998</v>
      </c>
      <c r="JE64">
        <v>23.807300000000001</v>
      </c>
      <c r="JF64">
        <v>18</v>
      </c>
      <c r="JG64">
        <v>508.16300000000001</v>
      </c>
      <c r="JH64">
        <v>389.70600000000002</v>
      </c>
      <c r="JI64">
        <v>25.738099999999999</v>
      </c>
      <c r="JJ64">
        <v>34.3249</v>
      </c>
      <c r="JK64">
        <v>30.002800000000001</v>
      </c>
      <c r="JL64">
        <v>34.121499999999997</v>
      </c>
      <c r="JM64">
        <v>34.0642</v>
      </c>
      <c r="JN64">
        <v>4.3918699999999999</v>
      </c>
      <c r="JO64">
        <v>15.3047</v>
      </c>
      <c r="JP64">
        <v>7.5064900000000003</v>
      </c>
      <c r="JQ64">
        <v>25.689900000000002</v>
      </c>
      <c r="JR64">
        <v>30</v>
      </c>
      <c r="JS64">
        <v>23.110800000000001</v>
      </c>
      <c r="JT64">
        <v>98.995500000000007</v>
      </c>
      <c r="JU64">
        <v>97.328199999999995</v>
      </c>
    </row>
    <row r="65" spans="1:281" x14ac:dyDescent="0.25">
      <c r="A65">
        <v>49</v>
      </c>
      <c r="B65">
        <v>1693334261</v>
      </c>
      <c r="C65">
        <v>12499.5</v>
      </c>
      <c r="D65" t="s">
        <v>666</v>
      </c>
      <c r="E65" t="s">
        <v>667</v>
      </c>
      <c r="F65" t="s">
        <v>413</v>
      </c>
      <c r="G65" t="s">
        <v>636</v>
      </c>
      <c r="H65" t="s">
        <v>637</v>
      </c>
      <c r="I65" t="s">
        <v>493</v>
      </c>
      <c r="J65">
        <v>1693334261</v>
      </c>
      <c r="K65">
        <f t="shared" si="46"/>
        <v>5.2526792048029278E-3</v>
      </c>
      <c r="L65">
        <f t="shared" si="47"/>
        <v>5.252679204802928</v>
      </c>
      <c r="M65">
        <f t="shared" si="48"/>
        <v>1.000300494617911</v>
      </c>
      <c r="N65">
        <f t="shared" si="49"/>
        <v>8.7888199999999994</v>
      </c>
      <c r="O65">
        <f t="shared" si="50"/>
        <v>4.3693638018664425</v>
      </c>
      <c r="P65">
        <f t="shared" si="51"/>
        <v>0.43308033536133039</v>
      </c>
      <c r="Q65">
        <f t="shared" si="52"/>
        <v>0.87112570287794799</v>
      </c>
      <c r="R65">
        <f t="shared" si="53"/>
        <v>0.39883001438391347</v>
      </c>
      <c r="S65">
        <f t="shared" si="54"/>
        <v>2.9257839709344342</v>
      </c>
      <c r="T65">
        <f t="shared" si="55"/>
        <v>0.3709017478084437</v>
      </c>
      <c r="U65">
        <f t="shared" si="56"/>
        <v>0.23415965843704395</v>
      </c>
      <c r="V65">
        <f t="shared" si="57"/>
        <v>344.373799644504</v>
      </c>
      <c r="W65">
        <f t="shared" si="58"/>
        <v>31.36028258689981</v>
      </c>
      <c r="X65">
        <f t="shared" si="59"/>
        <v>29.9833</v>
      </c>
      <c r="Y65">
        <f t="shared" si="60"/>
        <v>4.2563647106260349</v>
      </c>
      <c r="Z65">
        <f t="shared" si="61"/>
        <v>65.481598367852627</v>
      </c>
      <c r="AA65">
        <f t="shared" si="62"/>
        <v>2.9033690886650803</v>
      </c>
      <c r="AB65">
        <f t="shared" si="63"/>
        <v>4.4338702185535732</v>
      </c>
      <c r="AC65">
        <f t="shared" si="64"/>
        <v>1.3529956219609547</v>
      </c>
      <c r="AD65">
        <f t="shared" si="65"/>
        <v>-231.64315293180911</v>
      </c>
      <c r="AE65">
        <f t="shared" si="66"/>
        <v>112.48073254598948</v>
      </c>
      <c r="AF65">
        <f t="shared" si="67"/>
        <v>8.5770134410851568</v>
      </c>
      <c r="AG65">
        <f t="shared" si="68"/>
        <v>233.78839269976953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52104.720269637059</v>
      </c>
      <c r="AM65" t="s">
        <v>415</v>
      </c>
      <c r="AN65">
        <v>10366.9</v>
      </c>
      <c r="AO65">
        <v>993.59653846153856</v>
      </c>
      <c r="AP65">
        <v>3431.87</v>
      </c>
      <c r="AQ65">
        <f t="shared" si="72"/>
        <v>0.71047955241266758</v>
      </c>
      <c r="AR65">
        <v>-3.9894345373445681</v>
      </c>
      <c r="AS65" t="s">
        <v>668</v>
      </c>
      <c r="AT65">
        <v>10374.200000000001</v>
      </c>
      <c r="AU65">
        <v>791.36831999999993</v>
      </c>
      <c r="AV65">
        <v>831.13297157202703</v>
      </c>
      <c r="AW65">
        <f t="shared" si="73"/>
        <v>4.7843910580054549E-2</v>
      </c>
      <c r="AX65">
        <v>0.5</v>
      </c>
      <c r="AY65">
        <f t="shared" si="74"/>
        <v>1513.2017998222518</v>
      </c>
      <c r="AZ65">
        <f t="shared" si="75"/>
        <v>1.000300494617911</v>
      </c>
      <c r="BA65">
        <f t="shared" si="76"/>
        <v>36.198745800136713</v>
      </c>
      <c r="BB65">
        <f t="shared" si="77"/>
        <v>3.297468343315874E-3</v>
      </c>
      <c r="BC65">
        <f t="shared" si="78"/>
        <v>3.1291467399119894</v>
      </c>
      <c r="BD65">
        <f t="shared" si="79"/>
        <v>521.31247631675171</v>
      </c>
      <c r="BE65" t="s">
        <v>669</v>
      </c>
      <c r="BF65">
        <v>619.78</v>
      </c>
      <c r="BG65">
        <f t="shared" si="80"/>
        <v>619.78</v>
      </c>
      <c r="BH65">
        <f t="shared" si="81"/>
        <v>0.25429501511926356</v>
      </c>
      <c r="BI65">
        <f t="shared" si="82"/>
        <v>0.18814332855725047</v>
      </c>
      <c r="BJ65">
        <f t="shared" si="83"/>
        <v>0.92484132030908417</v>
      </c>
      <c r="BK65">
        <f t="shared" si="84"/>
        <v>-0.24476042434221768</v>
      </c>
      <c r="BL65">
        <f t="shared" si="85"/>
        <v>1.0666305766979076</v>
      </c>
      <c r="BM65">
        <f t="shared" si="86"/>
        <v>0.14734917891736266</v>
      </c>
      <c r="BN65">
        <f t="shared" si="87"/>
        <v>0.85265082108263734</v>
      </c>
      <c r="BO65">
        <v>2049</v>
      </c>
      <c r="BP65">
        <v>290.00000000000011</v>
      </c>
      <c r="BQ65">
        <v>820.83</v>
      </c>
      <c r="BR65">
        <v>155</v>
      </c>
      <c r="BS65">
        <v>10374.200000000001</v>
      </c>
      <c r="BT65">
        <v>819.62</v>
      </c>
      <c r="BU65">
        <v>1.21</v>
      </c>
      <c r="BV65">
        <v>300.00000000000011</v>
      </c>
      <c r="BW65">
        <v>38.4</v>
      </c>
      <c r="BX65">
        <v>831.13297157202703</v>
      </c>
      <c r="BY65">
        <v>1.051389328319613</v>
      </c>
      <c r="BZ65">
        <v>-11.947695004920821</v>
      </c>
      <c r="CA65">
        <v>0.89191847455803974</v>
      </c>
      <c r="CB65">
        <v>0.86502085481638002</v>
      </c>
      <c r="CC65">
        <v>-1.127838687430479E-2</v>
      </c>
      <c r="CD65">
        <v>289.99999999999989</v>
      </c>
      <c r="CE65">
        <v>818.43</v>
      </c>
      <c r="CF65">
        <v>635</v>
      </c>
      <c r="CG65">
        <v>10346.9</v>
      </c>
      <c r="CH65">
        <v>819.59</v>
      </c>
      <c r="CI65">
        <v>-1.1599999999999999</v>
      </c>
      <c r="CW65">
        <f t="shared" si="88"/>
        <v>1800.02</v>
      </c>
      <c r="CX65">
        <f t="shared" si="89"/>
        <v>1513.2017998222518</v>
      </c>
      <c r="CY65">
        <f t="shared" si="90"/>
        <v>0.8406583259198519</v>
      </c>
      <c r="CZ65">
        <f t="shared" si="91"/>
        <v>0.19131665183970401</v>
      </c>
      <c r="DA65">
        <v>6</v>
      </c>
      <c r="DB65">
        <v>0.5</v>
      </c>
      <c r="DC65" t="s">
        <v>418</v>
      </c>
      <c r="DD65">
        <v>2</v>
      </c>
      <c r="DE65">
        <v>1693334261</v>
      </c>
      <c r="DF65">
        <v>8.7888199999999994</v>
      </c>
      <c r="DG65">
        <v>10.043699999999999</v>
      </c>
      <c r="DH65">
        <v>29.292200000000001</v>
      </c>
      <c r="DI65">
        <v>23.177900000000001</v>
      </c>
      <c r="DJ65">
        <v>7.4165200000000002</v>
      </c>
      <c r="DK65">
        <v>28.484300000000001</v>
      </c>
      <c r="DL65">
        <v>500.35</v>
      </c>
      <c r="DM65">
        <v>99.018100000000004</v>
      </c>
      <c r="DN65">
        <v>9.9381399999999995E-2</v>
      </c>
      <c r="DO65">
        <v>30.696400000000001</v>
      </c>
      <c r="DP65">
        <v>29.9833</v>
      </c>
      <c r="DQ65">
        <v>999.9</v>
      </c>
      <c r="DR65">
        <v>0</v>
      </c>
      <c r="DS65">
        <v>0</v>
      </c>
      <c r="DT65">
        <v>10077.5</v>
      </c>
      <c r="DU65">
        <v>0</v>
      </c>
      <c r="DV65">
        <v>1586.79</v>
      </c>
      <c r="DW65">
        <v>-1.2548600000000001</v>
      </c>
      <c r="DX65">
        <v>9.0540299999999991</v>
      </c>
      <c r="DY65">
        <v>10.282</v>
      </c>
      <c r="DZ65">
        <v>6.1142700000000003</v>
      </c>
      <c r="EA65">
        <v>10.043699999999999</v>
      </c>
      <c r="EB65">
        <v>23.177900000000001</v>
      </c>
      <c r="EC65">
        <v>2.9004500000000002</v>
      </c>
      <c r="ED65">
        <v>2.2950300000000001</v>
      </c>
      <c r="EE65">
        <v>23.467199999999998</v>
      </c>
      <c r="EF65">
        <v>19.6416</v>
      </c>
      <c r="EG65">
        <v>1800.02</v>
      </c>
      <c r="EH65">
        <v>0.97799599999999998</v>
      </c>
      <c r="EI65">
        <v>2.2003999999999999E-2</v>
      </c>
      <c r="EJ65">
        <v>0</v>
      </c>
      <c r="EK65">
        <v>790.87300000000005</v>
      </c>
      <c r="EL65">
        <v>5.0002700000000004</v>
      </c>
      <c r="EM65">
        <v>15157.1</v>
      </c>
      <c r="EN65">
        <v>16248.7</v>
      </c>
      <c r="EO65">
        <v>48.75</v>
      </c>
      <c r="EP65">
        <v>50.686999999999998</v>
      </c>
      <c r="EQ65">
        <v>49.875</v>
      </c>
      <c r="ER65">
        <v>49.811999999999998</v>
      </c>
      <c r="ES65">
        <v>50.5</v>
      </c>
      <c r="ET65">
        <v>1755.52</v>
      </c>
      <c r="EU65">
        <v>39.5</v>
      </c>
      <c r="EV65">
        <v>0</v>
      </c>
      <c r="EW65">
        <v>117</v>
      </c>
      <c r="EX65">
        <v>0</v>
      </c>
      <c r="EY65">
        <v>791.36831999999993</v>
      </c>
      <c r="EZ65">
        <v>-2.3746153668945502</v>
      </c>
      <c r="FA65">
        <v>-30.25384628970065</v>
      </c>
      <c r="FB65">
        <v>15161.755999999999</v>
      </c>
      <c r="FC65">
        <v>15</v>
      </c>
      <c r="FD65">
        <v>1693334232.5</v>
      </c>
      <c r="FE65" t="s">
        <v>670</v>
      </c>
      <c r="FF65">
        <v>1693334221</v>
      </c>
      <c r="FG65">
        <v>1693334232.5</v>
      </c>
      <c r="FH65">
        <v>57</v>
      </c>
      <c r="FI65">
        <v>3.7999999999999999E-2</v>
      </c>
      <c r="FJ65">
        <v>0</v>
      </c>
      <c r="FK65">
        <v>1.3740000000000001</v>
      </c>
      <c r="FL65">
        <v>0.45500000000000002</v>
      </c>
      <c r="FM65">
        <v>10</v>
      </c>
      <c r="FN65">
        <v>23</v>
      </c>
      <c r="FO65">
        <v>0.77</v>
      </c>
      <c r="FP65">
        <v>0.05</v>
      </c>
      <c r="FQ65">
        <v>0.97493991219341902</v>
      </c>
      <c r="FR65">
        <v>-0.32697142294970338</v>
      </c>
      <c r="FS65">
        <v>4.6786237552879417E-2</v>
      </c>
      <c r="FT65">
        <v>1</v>
      </c>
      <c r="FU65">
        <v>0.39805732781474362</v>
      </c>
      <c r="FV65">
        <v>3.6590775135277052E-2</v>
      </c>
      <c r="FW65">
        <v>4.0018166726794894E-3</v>
      </c>
      <c r="FX65">
        <v>1</v>
      </c>
      <c r="FY65">
        <v>2</v>
      </c>
      <c r="FZ65">
        <v>2</v>
      </c>
      <c r="GA65" t="s">
        <v>429</v>
      </c>
      <c r="GB65">
        <v>3.1344099999999999</v>
      </c>
      <c r="GC65">
        <v>2.8652199999999999</v>
      </c>
      <c r="GD65">
        <v>2.0480899999999998E-3</v>
      </c>
      <c r="GE65">
        <v>2.8587199999999999E-3</v>
      </c>
      <c r="GF65">
        <v>0.12996099999999999</v>
      </c>
      <c r="GG65">
        <v>0.115216</v>
      </c>
      <c r="GH65">
        <v>30031.7</v>
      </c>
      <c r="GI65">
        <v>23174.799999999999</v>
      </c>
      <c r="GJ65">
        <v>29031.1</v>
      </c>
      <c r="GK65">
        <v>21672.3</v>
      </c>
      <c r="GL65">
        <v>33867.300000000003</v>
      </c>
      <c r="GM65">
        <v>26404.6</v>
      </c>
      <c r="GN65">
        <v>40298.1</v>
      </c>
      <c r="GO65">
        <v>30819.9</v>
      </c>
      <c r="GP65">
        <v>1.9944</v>
      </c>
      <c r="GQ65">
        <v>1.7398</v>
      </c>
      <c r="GR65">
        <v>3.8444999999999998E-3</v>
      </c>
      <c r="GS65">
        <v>0</v>
      </c>
      <c r="GT65">
        <v>29.9208</v>
      </c>
      <c r="GU65">
        <v>999.9</v>
      </c>
      <c r="GV65">
        <v>32.9</v>
      </c>
      <c r="GW65">
        <v>42.2</v>
      </c>
      <c r="GX65">
        <v>27.6829</v>
      </c>
      <c r="GY65">
        <v>61.580300000000001</v>
      </c>
      <c r="GZ65">
        <v>12.8566</v>
      </c>
      <c r="HA65">
        <v>1</v>
      </c>
      <c r="HB65">
        <v>0.54763200000000001</v>
      </c>
      <c r="HC65">
        <v>3.3249499999999999</v>
      </c>
      <c r="HD65">
        <v>20.245799999999999</v>
      </c>
      <c r="HE65">
        <v>5.2346599999999999</v>
      </c>
      <c r="HF65">
        <v>11.98</v>
      </c>
      <c r="HG65">
        <v>4.9749999999999996</v>
      </c>
      <c r="HH65">
        <v>3.2839999999999998</v>
      </c>
      <c r="HI65">
        <v>9999</v>
      </c>
      <c r="HJ65">
        <v>9999</v>
      </c>
      <c r="HK65">
        <v>9999</v>
      </c>
      <c r="HL65">
        <v>999.9</v>
      </c>
      <c r="HM65">
        <v>1.8615600000000001</v>
      </c>
      <c r="HN65">
        <v>1.8632200000000001</v>
      </c>
      <c r="HO65">
        <v>1.8685400000000001</v>
      </c>
      <c r="HP65">
        <v>1.85928</v>
      </c>
      <c r="HQ65">
        <v>1.8575999999999999</v>
      </c>
      <c r="HR65">
        <v>1.86128</v>
      </c>
      <c r="HS65">
        <v>1.86517</v>
      </c>
      <c r="HT65">
        <v>1.8672200000000001</v>
      </c>
      <c r="HU65">
        <v>5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1.3720000000000001</v>
      </c>
      <c r="II65">
        <v>0.80789999999999995</v>
      </c>
      <c r="IJ65">
        <v>1.36409221165707</v>
      </c>
      <c r="IK65">
        <v>1.118558698776514E-3</v>
      </c>
      <c r="IL65">
        <v>-1.6939696309573479E-6</v>
      </c>
      <c r="IM65">
        <v>5.4698917449866148E-10</v>
      </c>
      <c r="IN65">
        <v>-0.13089942118017489</v>
      </c>
      <c r="IO65">
        <v>-7.6058941998734366E-3</v>
      </c>
      <c r="IP65">
        <v>1.6984902717538061E-3</v>
      </c>
      <c r="IQ65">
        <v>-9.6352527008986976E-6</v>
      </c>
      <c r="IR65">
        <v>2</v>
      </c>
      <c r="IS65">
        <v>2021</v>
      </c>
      <c r="IT65">
        <v>2</v>
      </c>
      <c r="IU65">
        <v>40</v>
      </c>
      <c r="IV65">
        <v>0.7</v>
      </c>
      <c r="IW65">
        <v>0.5</v>
      </c>
      <c r="IX65">
        <v>0.17089799999999999</v>
      </c>
      <c r="IY65">
        <v>2.6122999999999998</v>
      </c>
      <c r="IZ65">
        <v>1.34399</v>
      </c>
      <c r="JA65">
        <v>2.2363300000000002</v>
      </c>
      <c r="JB65">
        <v>1.5918000000000001</v>
      </c>
      <c r="JC65">
        <v>2.34497</v>
      </c>
      <c r="JD65">
        <v>44.223199999999999</v>
      </c>
      <c r="JE65">
        <v>23.816099999999999</v>
      </c>
      <c r="JF65">
        <v>18</v>
      </c>
      <c r="JG65">
        <v>508.81599999999997</v>
      </c>
      <c r="JH65">
        <v>390.54899999999998</v>
      </c>
      <c r="JI65">
        <v>25.903700000000001</v>
      </c>
      <c r="JJ65">
        <v>34.296900000000001</v>
      </c>
      <c r="JK65">
        <v>30</v>
      </c>
      <c r="JL65">
        <v>34.112299999999998</v>
      </c>
      <c r="JM65">
        <v>34.055100000000003</v>
      </c>
      <c r="JN65">
        <v>3.5063200000000001</v>
      </c>
      <c r="JO65">
        <v>14.393800000000001</v>
      </c>
      <c r="JP65">
        <v>7.6408399999999999</v>
      </c>
      <c r="JQ65">
        <v>25.906700000000001</v>
      </c>
      <c r="JR65">
        <v>10</v>
      </c>
      <c r="JS65">
        <v>23.0671</v>
      </c>
      <c r="JT65">
        <v>98.995599999999996</v>
      </c>
      <c r="JU65">
        <v>97.337800000000001</v>
      </c>
    </row>
    <row r="66" spans="1:281" x14ac:dyDescent="0.25">
      <c r="A66">
        <v>50</v>
      </c>
      <c r="B66">
        <v>1693334450.5</v>
      </c>
      <c r="C66">
        <v>12689</v>
      </c>
      <c r="D66" t="s">
        <v>671</v>
      </c>
      <c r="E66" t="s">
        <v>672</v>
      </c>
      <c r="F66" t="s">
        <v>413</v>
      </c>
      <c r="G66" t="s">
        <v>636</v>
      </c>
      <c r="H66" t="s">
        <v>637</v>
      </c>
      <c r="I66" t="s">
        <v>493</v>
      </c>
      <c r="J66">
        <v>1693334450.5</v>
      </c>
      <c r="K66">
        <f t="shared" si="46"/>
        <v>5.1945580202908074E-3</v>
      </c>
      <c r="L66">
        <f t="shared" si="47"/>
        <v>5.194558020290807</v>
      </c>
      <c r="M66">
        <f t="shared" si="48"/>
        <v>37.273632239608723</v>
      </c>
      <c r="N66">
        <f t="shared" si="49"/>
        <v>353.22800000000001</v>
      </c>
      <c r="O66">
        <f t="shared" si="50"/>
        <v>183.40550301326471</v>
      </c>
      <c r="P66">
        <f t="shared" si="51"/>
        <v>18.179457893469248</v>
      </c>
      <c r="Q66">
        <f t="shared" si="52"/>
        <v>35.0125456831572</v>
      </c>
      <c r="R66">
        <f t="shared" si="53"/>
        <v>0.3871902209515905</v>
      </c>
      <c r="S66">
        <f t="shared" si="54"/>
        <v>2.9184457451960517</v>
      </c>
      <c r="T66">
        <f t="shared" si="55"/>
        <v>0.36074906133926316</v>
      </c>
      <c r="U66">
        <f t="shared" si="56"/>
        <v>0.22769314937199489</v>
      </c>
      <c r="V66">
        <f t="shared" si="57"/>
        <v>344.37949964450996</v>
      </c>
      <c r="W66">
        <f t="shared" si="58"/>
        <v>31.396187261881494</v>
      </c>
      <c r="X66">
        <f t="shared" si="59"/>
        <v>29.990400000000001</v>
      </c>
      <c r="Y66">
        <f t="shared" si="60"/>
        <v>4.2581010560962103</v>
      </c>
      <c r="Z66">
        <f t="shared" si="61"/>
        <v>64.933330559342096</v>
      </c>
      <c r="AA66">
        <f t="shared" si="62"/>
        <v>2.8822199779082398</v>
      </c>
      <c r="AB66">
        <f t="shared" si="63"/>
        <v>4.4387373219277579</v>
      </c>
      <c r="AC66">
        <f t="shared" si="64"/>
        <v>1.3758810781879705</v>
      </c>
      <c r="AD66">
        <f t="shared" si="65"/>
        <v>-229.08000869482461</v>
      </c>
      <c r="AE66">
        <f t="shared" si="66"/>
        <v>114.10242193528451</v>
      </c>
      <c r="AF66">
        <f t="shared" si="67"/>
        <v>8.7236844857967739</v>
      </c>
      <c r="AG66">
        <f t="shared" si="68"/>
        <v>238.12559737076663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51892.895778987979</v>
      </c>
      <c r="AM66" t="s">
        <v>415</v>
      </c>
      <c r="AN66">
        <v>10366.9</v>
      </c>
      <c r="AO66">
        <v>993.59653846153856</v>
      </c>
      <c r="AP66">
        <v>3431.87</v>
      </c>
      <c r="AQ66">
        <f t="shared" si="72"/>
        <v>0.71047955241266758</v>
      </c>
      <c r="AR66">
        <v>-3.9894345373445681</v>
      </c>
      <c r="AS66" t="s">
        <v>673</v>
      </c>
      <c r="AT66">
        <v>10362.700000000001</v>
      </c>
      <c r="AU66">
        <v>762.1397199999999</v>
      </c>
      <c r="AV66">
        <v>1031.844624647533</v>
      </c>
      <c r="AW66">
        <f t="shared" si="73"/>
        <v>0.26138131478822346</v>
      </c>
      <c r="AX66">
        <v>0.5</v>
      </c>
      <c r="AY66">
        <f t="shared" si="74"/>
        <v>1513.226999822255</v>
      </c>
      <c r="AZ66">
        <f t="shared" si="75"/>
        <v>37.273632239608723</v>
      </c>
      <c r="BA66">
        <f t="shared" si="76"/>
        <v>197.7646313932899</v>
      </c>
      <c r="BB66">
        <f t="shared" si="77"/>
        <v>2.7268259674060859E-2</v>
      </c>
      <c r="BC66">
        <f t="shared" si="78"/>
        <v>2.3259561740434411</v>
      </c>
      <c r="BD66">
        <f t="shared" si="79"/>
        <v>593.75492354496669</v>
      </c>
      <c r="BE66" t="s">
        <v>674</v>
      </c>
      <c r="BF66">
        <v>587.59</v>
      </c>
      <c r="BG66">
        <f t="shared" si="80"/>
        <v>587.59</v>
      </c>
      <c r="BH66">
        <f t="shared" si="81"/>
        <v>0.43054410909906671</v>
      </c>
      <c r="BI66">
        <f t="shared" si="82"/>
        <v>0.60709532255632492</v>
      </c>
      <c r="BJ66">
        <f t="shared" si="83"/>
        <v>0.84380770365521918</v>
      </c>
      <c r="BK66">
        <f t="shared" si="84"/>
        <v>7.0514614335473</v>
      </c>
      <c r="BL66">
        <f t="shared" si="85"/>
        <v>0.98431345507822499</v>
      </c>
      <c r="BM66">
        <f t="shared" si="86"/>
        <v>0.46805478210854962</v>
      </c>
      <c r="BN66">
        <f t="shared" si="87"/>
        <v>0.53194521789145033</v>
      </c>
      <c r="BO66">
        <v>2051</v>
      </c>
      <c r="BP66">
        <v>290.00000000000011</v>
      </c>
      <c r="BQ66">
        <v>947.74</v>
      </c>
      <c r="BR66">
        <v>235</v>
      </c>
      <c r="BS66">
        <v>10362.700000000001</v>
      </c>
      <c r="BT66">
        <v>946.51</v>
      </c>
      <c r="BU66">
        <v>1.23</v>
      </c>
      <c r="BV66">
        <v>300.00000000000011</v>
      </c>
      <c r="BW66">
        <v>38.4</v>
      </c>
      <c r="BX66">
        <v>1031.844624647533</v>
      </c>
      <c r="BY66">
        <v>1.0228034530166801</v>
      </c>
      <c r="BZ66">
        <v>-88.430486273850917</v>
      </c>
      <c r="CA66">
        <v>0.86778028690692</v>
      </c>
      <c r="CB66">
        <v>0.99731091742480582</v>
      </c>
      <c r="CC66">
        <v>-1.1280617797552831E-2</v>
      </c>
      <c r="CD66">
        <v>289.99999999999989</v>
      </c>
      <c r="CE66">
        <v>929.46</v>
      </c>
      <c r="CF66">
        <v>625</v>
      </c>
      <c r="CG66">
        <v>10349.4</v>
      </c>
      <c r="CH66">
        <v>946.4</v>
      </c>
      <c r="CI66">
        <v>-16.940000000000001</v>
      </c>
      <c r="CW66">
        <f t="shared" si="88"/>
        <v>1800.05</v>
      </c>
      <c r="CX66">
        <f t="shared" si="89"/>
        <v>1513.226999822255</v>
      </c>
      <c r="CY66">
        <f t="shared" si="90"/>
        <v>0.84065831494805976</v>
      </c>
      <c r="CZ66">
        <f t="shared" si="91"/>
        <v>0.19131662989611953</v>
      </c>
      <c r="DA66">
        <v>6</v>
      </c>
      <c r="DB66">
        <v>0.5</v>
      </c>
      <c r="DC66" t="s">
        <v>418</v>
      </c>
      <c r="DD66">
        <v>2</v>
      </c>
      <c r="DE66">
        <v>1693334450.5</v>
      </c>
      <c r="DF66">
        <v>353.22800000000001</v>
      </c>
      <c r="DG66">
        <v>400.11</v>
      </c>
      <c r="DH66">
        <v>29.0776</v>
      </c>
      <c r="DI66">
        <v>23.031600000000001</v>
      </c>
      <c r="DJ66">
        <v>351.39100000000002</v>
      </c>
      <c r="DK66">
        <v>28.2791</v>
      </c>
      <c r="DL66">
        <v>500.51400000000001</v>
      </c>
      <c r="DM66">
        <v>99.021799999999999</v>
      </c>
      <c r="DN66">
        <v>9.9859900000000001E-2</v>
      </c>
      <c r="DO66">
        <v>30.715599999999998</v>
      </c>
      <c r="DP66">
        <v>29.990400000000001</v>
      </c>
      <c r="DQ66">
        <v>999.9</v>
      </c>
      <c r="DR66">
        <v>0</v>
      </c>
      <c r="DS66">
        <v>0</v>
      </c>
      <c r="DT66">
        <v>10035</v>
      </c>
      <c r="DU66">
        <v>0</v>
      </c>
      <c r="DV66">
        <v>1590.19</v>
      </c>
      <c r="DW66">
        <v>-46.882100000000001</v>
      </c>
      <c r="DX66">
        <v>363.80599999999998</v>
      </c>
      <c r="DY66">
        <v>409.54199999999997</v>
      </c>
      <c r="DZ66">
        <v>6.0459699999999996</v>
      </c>
      <c r="EA66">
        <v>400.11</v>
      </c>
      <c r="EB66">
        <v>23.031600000000001</v>
      </c>
      <c r="EC66">
        <v>2.8793199999999999</v>
      </c>
      <c r="ED66">
        <v>2.2806299999999999</v>
      </c>
      <c r="EE66">
        <v>23.346</v>
      </c>
      <c r="EF66">
        <v>19.540299999999998</v>
      </c>
      <c r="EG66">
        <v>1800.05</v>
      </c>
      <c r="EH66">
        <v>0.97799599999999998</v>
      </c>
      <c r="EI66">
        <v>2.2003999999999999E-2</v>
      </c>
      <c r="EJ66">
        <v>0</v>
      </c>
      <c r="EK66">
        <v>760.85699999999997</v>
      </c>
      <c r="EL66">
        <v>5.0002700000000004</v>
      </c>
      <c r="EM66">
        <v>14620</v>
      </c>
      <c r="EN66">
        <v>16249.1</v>
      </c>
      <c r="EO66">
        <v>48.75</v>
      </c>
      <c r="EP66">
        <v>50.75</v>
      </c>
      <c r="EQ66">
        <v>49.875</v>
      </c>
      <c r="ER66">
        <v>49.936999999999998</v>
      </c>
      <c r="ES66">
        <v>50.5</v>
      </c>
      <c r="ET66">
        <v>1755.55</v>
      </c>
      <c r="EU66">
        <v>39.5</v>
      </c>
      <c r="EV66">
        <v>0</v>
      </c>
      <c r="EW66">
        <v>187.39999985694891</v>
      </c>
      <c r="EX66">
        <v>0</v>
      </c>
      <c r="EY66">
        <v>762.1397199999999</v>
      </c>
      <c r="EZ66">
        <v>-7.6053846123996687</v>
      </c>
      <c r="FA66">
        <v>-114.47692327031911</v>
      </c>
      <c r="FB66">
        <v>14634.164000000001</v>
      </c>
      <c r="FC66">
        <v>15</v>
      </c>
      <c r="FD66">
        <v>1693334343.5</v>
      </c>
      <c r="FE66" t="s">
        <v>675</v>
      </c>
      <c r="FF66">
        <v>1693334339.5</v>
      </c>
      <c r="FG66">
        <v>1693334343.5</v>
      </c>
      <c r="FH66">
        <v>58</v>
      </c>
      <c r="FI66">
        <v>0.26500000000000001</v>
      </c>
      <c r="FJ66">
        <v>4.0000000000000001E-3</v>
      </c>
      <c r="FK66">
        <v>1.84</v>
      </c>
      <c r="FL66">
        <v>0.45300000000000001</v>
      </c>
      <c r="FM66">
        <v>400</v>
      </c>
      <c r="FN66">
        <v>23</v>
      </c>
      <c r="FO66">
        <v>0.21</v>
      </c>
      <c r="FP66">
        <v>0.05</v>
      </c>
      <c r="FQ66">
        <v>36.907119504331519</v>
      </c>
      <c r="FR66">
        <v>2.4718710267076549</v>
      </c>
      <c r="FS66">
        <v>0.19519748388489211</v>
      </c>
      <c r="FT66">
        <v>0</v>
      </c>
      <c r="FU66">
        <v>0.38932811896546587</v>
      </c>
      <c r="FV66">
        <v>-9.1878788916917031E-3</v>
      </c>
      <c r="FW66">
        <v>1.002125544227659E-3</v>
      </c>
      <c r="FX66">
        <v>1</v>
      </c>
      <c r="FY66">
        <v>1</v>
      </c>
      <c r="FZ66">
        <v>2</v>
      </c>
      <c r="GA66" t="s">
        <v>420</v>
      </c>
      <c r="GB66">
        <v>3.13456</v>
      </c>
      <c r="GC66">
        <v>2.8653300000000002</v>
      </c>
      <c r="GD66">
        <v>8.2788399999999998E-2</v>
      </c>
      <c r="GE66">
        <v>9.4051800000000005E-2</v>
      </c>
      <c r="GF66">
        <v>0.12931100000000001</v>
      </c>
      <c r="GG66">
        <v>0.11471099999999999</v>
      </c>
      <c r="GH66">
        <v>27601.3</v>
      </c>
      <c r="GI66">
        <v>21056.3</v>
      </c>
      <c r="GJ66">
        <v>29030</v>
      </c>
      <c r="GK66">
        <v>21672.799999999999</v>
      </c>
      <c r="GL66">
        <v>33899.4</v>
      </c>
      <c r="GM66">
        <v>26427.3</v>
      </c>
      <c r="GN66">
        <v>40296.199999999997</v>
      </c>
      <c r="GO66">
        <v>30820.400000000001</v>
      </c>
      <c r="GP66">
        <v>1.9946999999999999</v>
      </c>
      <c r="GQ66">
        <v>1.7417</v>
      </c>
      <c r="GR66">
        <v>-8.0019199999999992E-3</v>
      </c>
      <c r="GS66">
        <v>0</v>
      </c>
      <c r="GT66">
        <v>30.1206</v>
      </c>
      <c r="GU66">
        <v>999.9</v>
      </c>
      <c r="GV66">
        <v>33.1</v>
      </c>
      <c r="GW66">
        <v>41.9</v>
      </c>
      <c r="GX66">
        <v>27.411799999999999</v>
      </c>
      <c r="GY66">
        <v>62.000399999999999</v>
      </c>
      <c r="GZ66">
        <v>12.652200000000001</v>
      </c>
      <c r="HA66">
        <v>1</v>
      </c>
      <c r="HB66">
        <v>0.55064000000000002</v>
      </c>
      <c r="HC66">
        <v>3.6808000000000001</v>
      </c>
      <c r="HD66">
        <v>20.238299999999999</v>
      </c>
      <c r="HE66">
        <v>5.2346599999999999</v>
      </c>
      <c r="HF66">
        <v>11.98</v>
      </c>
      <c r="HG66">
        <v>4.9752000000000001</v>
      </c>
      <c r="HH66">
        <v>3.2839999999999998</v>
      </c>
      <c r="HI66">
        <v>9999</v>
      </c>
      <c r="HJ66">
        <v>9999</v>
      </c>
      <c r="HK66">
        <v>9999</v>
      </c>
      <c r="HL66">
        <v>999.9</v>
      </c>
      <c r="HM66">
        <v>1.8615699999999999</v>
      </c>
      <c r="HN66">
        <v>1.8632500000000001</v>
      </c>
      <c r="HO66">
        <v>1.86859</v>
      </c>
      <c r="HP66">
        <v>1.85928</v>
      </c>
      <c r="HQ66">
        <v>1.8576999999999999</v>
      </c>
      <c r="HR66">
        <v>1.86138</v>
      </c>
      <c r="HS66">
        <v>1.86521</v>
      </c>
      <c r="HT66">
        <v>1.8672299999999999</v>
      </c>
      <c r="HU66">
        <v>5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1.837</v>
      </c>
      <c r="II66">
        <v>0.79849999999999999</v>
      </c>
      <c r="IJ66">
        <v>1.6286483771559539</v>
      </c>
      <c r="IK66">
        <v>1.118558698776514E-3</v>
      </c>
      <c r="IL66">
        <v>-1.6939696309573479E-6</v>
      </c>
      <c r="IM66">
        <v>5.4698917449866148E-10</v>
      </c>
      <c r="IN66">
        <v>-0.12679811451620471</v>
      </c>
      <c r="IO66">
        <v>-7.6058941998734366E-3</v>
      </c>
      <c r="IP66">
        <v>1.6984902717538061E-3</v>
      </c>
      <c r="IQ66">
        <v>-9.6352527008986976E-6</v>
      </c>
      <c r="IR66">
        <v>2</v>
      </c>
      <c r="IS66">
        <v>2021</v>
      </c>
      <c r="IT66">
        <v>2</v>
      </c>
      <c r="IU66">
        <v>40</v>
      </c>
      <c r="IV66">
        <v>1.9</v>
      </c>
      <c r="IW66">
        <v>1.8</v>
      </c>
      <c r="IX66">
        <v>1.0376000000000001</v>
      </c>
      <c r="IY66">
        <v>2.5549300000000001</v>
      </c>
      <c r="IZ66">
        <v>1.34399</v>
      </c>
      <c r="JA66">
        <v>2.2363300000000002</v>
      </c>
      <c r="JB66">
        <v>1.5918000000000001</v>
      </c>
      <c r="JC66">
        <v>2.2973599999999998</v>
      </c>
      <c r="JD66">
        <v>44.306399999999996</v>
      </c>
      <c r="JE66">
        <v>23.807300000000001</v>
      </c>
      <c r="JF66">
        <v>18</v>
      </c>
      <c r="JG66">
        <v>508.98899999999998</v>
      </c>
      <c r="JH66">
        <v>391.71899999999999</v>
      </c>
      <c r="JI66">
        <v>25.619399999999999</v>
      </c>
      <c r="JJ66">
        <v>34.309399999999997</v>
      </c>
      <c r="JK66">
        <v>29.9999</v>
      </c>
      <c r="JL66">
        <v>34.109200000000001</v>
      </c>
      <c r="JM66">
        <v>34.058100000000003</v>
      </c>
      <c r="JN66">
        <v>20.859100000000002</v>
      </c>
      <c r="JO66">
        <v>14.691000000000001</v>
      </c>
      <c r="JP66">
        <v>9.2243399999999998</v>
      </c>
      <c r="JQ66">
        <v>25.630600000000001</v>
      </c>
      <c r="JR66">
        <v>400</v>
      </c>
      <c r="JS66">
        <v>23.061199999999999</v>
      </c>
      <c r="JT66">
        <v>98.991299999999995</v>
      </c>
      <c r="JU66">
        <v>97.339799999999997</v>
      </c>
    </row>
    <row r="67" spans="1:281" x14ac:dyDescent="0.25">
      <c r="A67">
        <v>51</v>
      </c>
      <c r="B67">
        <v>1693334597.5</v>
      </c>
      <c r="C67">
        <v>12836</v>
      </c>
      <c r="D67" t="s">
        <v>676</v>
      </c>
      <c r="E67" t="s">
        <v>677</v>
      </c>
      <c r="F67" t="s">
        <v>413</v>
      </c>
      <c r="G67" t="s">
        <v>636</v>
      </c>
      <c r="H67" t="s">
        <v>637</v>
      </c>
      <c r="I67" t="s">
        <v>493</v>
      </c>
      <c r="J67">
        <v>1693334597.5</v>
      </c>
      <c r="K67">
        <f t="shared" si="46"/>
        <v>5.1100956113851997E-3</v>
      </c>
      <c r="L67">
        <f t="shared" si="47"/>
        <v>5.1100956113851996</v>
      </c>
      <c r="M67">
        <f t="shared" si="48"/>
        <v>41.13633974394326</v>
      </c>
      <c r="N67">
        <f t="shared" si="49"/>
        <v>348.66199999999998</v>
      </c>
      <c r="O67">
        <f t="shared" si="50"/>
        <v>157.85586862625058</v>
      </c>
      <c r="P67">
        <f t="shared" si="51"/>
        <v>15.646617975112333</v>
      </c>
      <c r="Q67">
        <f t="shared" si="52"/>
        <v>34.559254362314</v>
      </c>
      <c r="R67">
        <f t="shared" si="53"/>
        <v>0.37769638833086988</v>
      </c>
      <c r="S67">
        <f t="shared" si="54"/>
        <v>2.9057158726764163</v>
      </c>
      <c r="T67">
        <f t="shared" si="55"/>
        <v>0.35238825109166511</v>
      </c>
      <c r="U67">
        <f t="shared" si="56"/>
        <v>0.22237501912141558</v>
      </c>
      <c r="V67">
        <f t="shared" si="57"/>
        <v>344.3680996444981</v>
      </c>
      <c r="W67">
        <f t="shared" si="58"/>
        <v>31.463742705517298</v>
      </c>
      <c r="X67">
        <f t="shared" si="59"/>
        <v>30.0472</v>
      </c>
      <c r="Y67">
        <f t="shared" si="60"/>
        <v>4.2720140573813321</v>
      </c>
      <c r="Z67">
        <f t="shared" si="61"/>
        <v>64.872124971448287</v>
      </c>
      <c r="AA67">
        <f t="shared" si="62"/>
        <v>2.8865524479692999</v>
      </c>
      <c r="AB67">
        <f t="shared" si="63"/>
        <v>4.4496036614181174</v>
      </c>
      <c r="AC67">
        <f t="shared" si="64"/>
        <v>1.3854616094120322</v>
      </c>
      <c r="AD67">
        <f t="shared" si="65"/>
        <v>-225.3552164620873</v>
      </c>
      <c r="AE67">
        <f t="shared" si="66"/>
        <v>111.41158097564251</v>
      </c>
      <c r="AF67">
        <f t="shared" si="67"/>
        <v>8.5594872427421418</v>
      </c>
      <c r="AG67">
        <f t="shared" si="68"/>
        <v>238.98395140079543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51524.472888088872</v>
      </c>
      <c r="AM67" t="s">
        <v>415</v>
      </c>
      <c r="AN67">
        <v>10366.9</v>
      </c>
      <c r="AO67">
        <v>993.59653846153856</v>
      </c>
      <c r="AP67">
        <v>3431.87</v>
      </c>
      <c r="AQ67">
        <f t="shared" si="72"/>
        <v>0.71047955241266758</v>
      </c>
      <c r="AR67">
        <v>-3.9894345373445681</v>
      </c>
      <c r="AS67" t="s">
        <v>678</v>
      </c>
      <c r="AT67">
        <v>10370.200000000001</v>
      </c>
      <c r="AU67">
        <v>767.95296000000008</v>
      </c>
      <c r="AV67">
        <v>1051.763591103542</v>
      </c>
      <c r="AW67">
        <f t="shared" si="73"/>
        <v>0.26984260864721443</v>
      </c>
      <c r="AX67">
        <v>0.5</v>
      </c>
      <c r="AY67">
        <f t="shared" si="74"/>
        <v>1513.176599822249</v>
      </c>
      <c r="AZ67">
        <f t="shared" si="75"/>
        <v>41.13633974394326</v>
      </c>
      <c r="BA67">
        <f t="shared" si="76"/>
        <v>204.15976051997887</v>
      </c>
      <c r="BB67">
        <f t="shared" si="77"/>
        <v>2.9821882182548092E-2</v>
      </c>
      <c r="BC67">
        <f t="shared" si="78"/>
        <v>2.2629671049928421</v>
      </c>
      <c r="BD67">
        <f t="shared" si="79"/>
        <v>600.29688034184858</v>
      </c>
      <c r="BE67" t="s">
        <v>679</v>
      </c>
      <c r="BF67">
        <v>595.69000000000005</v>
      </c>
      <c r="BG67">
        <f t="shared" si="80"/>
        <v>595.69000000000005</v>
      </c>
      <c r="BH67">
        <f t="shared" si="81"/>
        <v>0.43362747575718585</v>
      </c>
      <c r="BI67">
        <f t="shared" si="82"/>
        <v>0.62229130701652202</v>
      </c>
      <c r="BJ67">
        <f t="shared" si="83"/>
        <v>0.83919441251840776</v>
      </c>
      <c r="BK67">
        <f t="shared" si="84"/>
        <v>4.8792334872163918</v>
      </c>
      <c r="BL67">
        <f t="shared" si="85"/>
        <v>0.97614416366353651</v>
      </c>
      <c r="BM67">
        <f t="shared" si="86"/>
        <v>0.48270236327583399</v>
      </c>
      <c r="BN67">
        <f t="shared" si="87"/>
        <v>0.51729763672416595</v>
      </c>
      <c r="BO67">
        <v>2053</v>
      </c>
      <c r="BP67">
        <v>290.00000000000011</v>
      </c>
      <c r="BQ67">
        <v>973.86</v>
      </c>
      <c r="BR67">
        <v>185</v>
      </c>
      <c r="BS67">
        <v>10370.200000000001</v>
      </c>
      <c r="BT67">
        <v>972.55</v>
      </c>
      <c r="BU67">
        <v>1.31</v>
      </c>
      <c r="BV67">
        <v>300.00000000000011</v>
      </c>
      <c r="BW67">
        <v>38.4</v>
      </c>
      <c r="BX67">
        <v>1051.763591103542</v>
      </c>
      <c r="BY67">
        <v>1.0727891300981729</v>
      </c>
      <c r="BZ67">
        <v>-82.143353933275733</v>
      </c>
      <c r="CA67">
        <v>0.91018005679600089</v>
      </c>
      <c r="CB67">
        <v>0.99657407866711456</v>
      </c>
      <c r="CC67">
        <v>-1.128052169076752E-2</v>
      </c>
      <c r="CD67">
        <v>289.99999999999989</v>
      </c>
      <c r="CE67">
        <v>964.63</v>
      </c>
      <c r="CF67">
        <v>665</v>
      </c>
      <c r="CG67">
        <v>10345.200000000001</v>
      </c>
      <c r="CH67">
        <v>972.36</v>
      </c>
      <c r="CI67">
        <v>-7.73</v>
      </c>
      <c r="CW67">
        <f t="shared" si="88"/>
        <v>1799.99</v>
      </c>
      <c r="CX67">
        <f t="shared" si="89"/>
        <v>1513.176599822249</v>
      </c>
      <c r="CY67">
        <f t="shared" si="90"/>
        <v>0.84065833689200997</v>
      </c>
      <c r="CZ67">
        <f t="shared" si="91"/>
        <v>0.19131667378401995</v>
      </c>
      <c r="DA67">
        <v>6</v>
      </c>
      <c r="DB67">
        <v>0.5</v>
      </c>
      <c r="DC67" t="s">
        <v>418</v>
      </c>
      <c r="DD67">
        <v>2</v>
      </c>
      <c r="DE67">
        <v>1693334597.5</v>
      </c>
      <c r="DF67">
        <v>348.66199999999998</v>
      </c>
      <c r="DG67">
        <v>400.12700000000001</v>
      </c>
      <c r="DH67">
        <v>29.1219</v>
      </c>
      <c r="DI67">
        <v>23.172599999999999</v>
      </c>
      <c r="DJ67">
        <v>346.86</v>
      </c>
      <c r="DK67">
        <v>28.320699999999999</v>
      </c>
      <c r="DL67">
        <v>500.35599999999999</v>
      </c>
      <c r="DM67">
        <v>99.018900000000002</v>
      </c>
      <c r="DN67">
        <v>0.100747</v>
      </c>
      <c r="DO67">
        <v>30.758400000000002</v>
      </c>
      <c r="DP67">
        <v>30.0472</v>
      </c>
      <c r="DQ67">
        <v>999.9</v>
      </c>
      <c r="DR67">
        <v>0</v>
      </c>
      <c r="DS67">
        <v>0</v>
      </c>
      <c r="DT67">
        <v>9962.5</v>
      </c>
      <c r="DU67">
        <v>0</v>
      </c>
      <c r="DV67">
        <v>1577.94</v>
      </c>
      <c r="DW67">
        <v>-51.464500000000001</v>
      </c>
      <c r="DX67">
        <v>359.12099999999998</v>
      </c>
      <c r="DY67">
        <v>409.61900000000003</v>
      </c>
      <c r="DZ67">
        <v>5.9492700000000003</v>
      </c>
      <c r="EA67">
        <v>400.12700000000001</v>
      </c>
      <c r="EB67">
        <v>23.172599999999999</v>
      </c>
      <c r="EC67">
        <v>2.8836200000000001</v>
      </c>
      <c r="ED67">
        <v>2.29453</v>
      </c>
      <c r="EE67">
        <v>23.370699999999999</v>
      </c>
      <c r="EF67">
        <v>19.638000000000002</v>
      </c>
      <c r="EG67">
        <v>1799.99</v>
      </c>
      <c r="EH67">
        <v>0.97799599999999998</v>
      </c>
      <c r="EI67">
        <v>2.2003999999999999E-2</v>
      </c>
      <c r="EJ67">
        <v>0</v>
      </c>
      <c r="EK67">
        <v>768.83500000000004</v>
      </c>
      <c r="EL67">
        <v>5.0002700000000004</v>
      </c>
      <c r="EM67">
        <v>14747.6</v>
      </c>
      <c r="EN67">
        <v>16248.5</v>
      </c>
      <c r="EO67">
        <v>48.75</v>
      </c>
      <c r="EP67">
        <v>50.75</v>
      </c>
      <c r="EQ67">
        <v>49.811999999999998</v>
      </c>
      <c r="ER67">
        <v>49.936999999999998</v>
      </c>
      <c r="ES67">
        <v>50.5</v>
      </c>
      <c r="ET67">
        <v>1755.49</v>
      </c>
      <c r="EU67">
        <v>39.5</v>
      </c>
      <c r="EV67">
        <v>0</v>
      </c>
      <c r="EW67">
        <v>144.80000019073489</v>
      </c>
      <c r="EX67">
        <v>0</v>
      </c>
      <c r="EY67">
        <v>767.95296000000008</v>
      </c>
      <c r="EZ67">
        <v>5.8125384490791143</v>
      </c>
      <c r="FA67">
        <v>66.330769113654426</v>
      </c>
      <c r="FB67">
        <v>14739.744000000001</v>
      </c>
      <c r="FC67">
        <v>15</v>
      </c>
      <c r="FD67">
        <v>1693334518.5</v>
      </c>
      <c r="FE67" t="s">
        <v>680</v>
      </c>
      <c r="FF67">
        <v>1693334512</v>
      </c>
      <c r="FG67">
        <v>1693334518.5</v>
      </c>
      <c r="FH67">
        <v>59</v>
      </c>
      <c r="FI67">
        <v>-3.3000000000000002E-2</v>
      </c>
      <c r="FJ67">
        <v>0</v>
      </c>
      <c r="FK67">
        <v>1.8069999999999999</v>
      </c>
      <c r="FL67">
        <v>0.45500000000000002</v>
      </c>
      <c r="FM67">
        <v>400</v>
      </c>
      <c r="FN67">
        <v>23</v>
      </c>
      <c r="FO67">
        <v>0.11</v>
      </c>
      <c r="FP67">
        <v>0.04</v>
      </c>
      <c r="FQ67">
        <v>40.918450230499353</v>
      </c>
      <c r="FR67">
        <v>0.3692981312856603</v>
      </c>
      <c r="FS67">
        <v>8.3725226298860839E-2</v>
      </c>
      <c r="FT67">
        <v>1</v>
      </c>
      <c r="FU67">
        <v>0.37838506017140522</v>
      </c>
      <c r="FV67">
        <v>-7.5027288587330952E-3</v>
      </c>
      <c r="FW67">
        <v>1.3356009127235269E-3</v>
      </c>
      <c r="FX67">
        <v>1</v>
      </c>
      <c r="FY67">
        <v>2</v>
      </c>
      <c r="FZ67">
        <v>2</v>
      </c>
      <c r="GA67" t="s">
        <v>429</v>
      </c>
      <c r="GB67">
        <v>3.1344099999999999</v>
      </c>
      <c r="GC67">
        <v>2.86558</v>
      </c>
      <c r="GD67">
        <v>8.1932199999999997E-2</v>
      </c>
      <c r="GE67">
        <v>9.4051200000000001E-2</v>
      </c>
      <c r="GF67">
        <v>0.129437</v>
      </c>
      <c r="GG67">
        <v>0.11519500000000001</v>
      </c>
      <c r="GH67">
        <v>27626.5</v>
      </c>
      <c r="GI67">
        <v>21057.5</v>
      </c>
      <c r="GJ67">
        <v>29029.4</v>
      </c>
      <c r="GK67">
        <v>21674.1</v>
      </c>
      <c r="GL67">
        <v>33894.199999999997</v>
      </c>
      <c r="GM67">
        <v>26413.9</v>
      </c>
      <c r="GN67">
        <v>40295.9</v>
      </c>
      <c r="GO67">
        <v>30821.599999999999</v>
      </c>
      <c r="GP67">
        <v>1.9942</v>
      </c>
      <c r="GQ67">
        <v>1.7441</v>
      </c>
      <c r="GR67">
        <v>-1.9818499999999998E-3</v>
      </c>
      <c r="GS67">
        <v>0</v>
      </c>
      <c r="GT67">
        <v>30.0794</v>
      </c>
      <c r="GU67">
        <v>999.9</v>
      </c>
      <c r="GV67">
        <v>33.4</v>
      </c>
      <c r="GW67">
        <v>41.6</v>
      </c>
      <c r="GX67">
        <v>27.225999999999999</v>
      </c>
      <c r="GY67">
        <v>62.150399999999998</v>
      </c>
      <c r="GZ67">
        <v>12.636200000000001</v>
      </c>
      <c r="HA67">
        <v>1</v>
      </c>
      <c r="HB67">
        <v>0.55254099999999995</v>
      </c>
      <c r="HC67">
        <v>3.9069099999999999</v>
      </c>
      <c r="HD67">
        <v>20.232900000000001</v>
      </c>
      <c r="HE67">
        <v>5.2340600000000004</v>
      </c>
      <c r="HF67">
        <v>11.98</v>
      </c>
      <c r="HG67">
        <v>4.9749999999999996</v>
      </c>
      <c r="HH67">
        <v>3.2839999999999998</v>
      </c>
      <c r="HI67">
        <v>9999</v>
      </c>
      <c r="HJ67">
        <v>9999</v>
      </c>
      <c r="HK67">
        <v>9999</v>
      </c>
      <c r="HL67">
        <v>999.9</v>
      </c>
      <c r="HM67">
        <v>1.8615699999999999</v>
      </c>
      <c r="HN67">
        <v>1.8632500000000001</v>
      </c>
      <c r="HO67">
        <v>1.86859</v>
      </c>
      <c r="HP67">
        <v>1.85934</v>
      </c>
      <c r="HQ67">
        <v>1.8576600000000001</v>
      </c>
      <c r="HR67">
        <v>1.8614200000000001</v>
      </c>
      <c r="HS67">
        <v>1.86521</v>
      </c>
      <c r="HT67">
        <v>1.8672200000000001</v>
      </c>
      <c r="HU67">
        <v>5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1.802</v>
      </c>
      <c r="II67">
        <v>0.80120000000000002</v>
      </c>
      <c r="IJ67">
        <v>1.59575232011186</v>
      </c>
      <c r="IK67">
        <v>1.118558698776514E-3</v>
      </c>
      <c r="IL67">
        <v>-1.6939696309573479E-6</v>
      </c>
      <c r="IM67">
        <v>5.4698917449866148E-10</v>
      </c>
      <c r="IN67">
        <v>-0.12681162181382999</v>
      </c>
      <c r="IO67">
        <v>-7.6058941998734366E-3</v>
      </c>
      <c r="IP67">
        <v>1.6984902717538061E-3</v>
      </c>
      <c r="IQ67">
        <v>-9.6352527008986976E-6</v>
      </c>
      <c r="IR67">
        <v>2</v>
      </c>
      <c r="IS67">
        <v>2021</v>
      </c>
      <c r="IT67">
        <v>2</v>
      </c>
      <c r="IU67">
        <v>40</v>
      </c>
      <c r="IV67">
        <v>1.4</v>
      </c>
      <c r="IW67">
        <v>1.3</v>
      </c>
      <c r="IX67">
        <v>1.0376000000000001</v>
      </c>
      <c r="IY67">
        <v>2.5524900000000001</v>
      </c>
      <c r="IZ67">
        <v>1.34399</v>
      </c>
      <c r="JA67">
        <v>2.2363300000000002</v>
      </c>
      <c r="JB67">
        <v>1.5918000000000001</v>
      </c>
      <c r="JC67">
        <v>2.3889200000000002</v>
      </c>
      <c r="JD67">
        <v>44.250900000000001</v>
      </c>
      <c r="JE67">
        <v>23.7986</v>
      </c>
      <c r="JF67">
        <v>18</v>
      </c>
      <c r="JG67">
        <v>508.709</v>
      </c>
      <c r="JH67">
        <v>393.21600000000001</v>
      </c>
      <c r="JI67">
        <v>25.598600000000001</v>
      </c>
      <c r="JJ67">
        <v>34.3187</v>
      </c>
      <c r="JK67">
        <v>30.000800000000002</v>
      </c>
      <c r="JL67">
        <v>34.115299999999998</v>
      </c>
      <c r="JM67">
        <v>34.0642</v>
      </c>
      <c r="JN67">
        <v>20.85</v>
      </c>
      <c r="JO67">
        <v>14.0038</v>
      </c>
      <c r="JP67">
        <v>11.39</v>
      </c>
      <c r="JQ67">
        <v>25.595800000000001</v>
      </c>
      <c r="JR67">
        <v>400</v>
      </c>
      <c r="JS67">
        <v>23.192399999999999</v>
      </c>
      <c r="JT67">
        <v>98.99</v>
      </c>
      <c r="JU67">
        <v>97.344399999999993</v>
      </c>
    </row>
    <row r="68" spans="1:281" x14ac:dyDescent="0.25">
      <c r="A68">
        <v>52</v>
      </c>
      <c r="B68">
        <v>1693334707</v>
      </c>
      <c r="C68">
        <v>12945.5</v>
      </c>
      <c r="D68" t="s">
        <v>681</v>
      </c>
      <c r="E68" t="s">
        <v>682</v>
      </c>
      <c r="F68" t="s">
        <v>413</v>
      </c>
      <c r="G68" t="s">
        <v>636</v>
      </c>
      <c r="H68" t="s">
        <v>637</v>
      </c>
      <c r="I68" t="s">
        <v>493</v>
      </c>
      <c r="J68">
        <v>1693334707</v>
      </c>
      <c r="K68">
        <f t="shared" si="46"/>
        <v>5.1056372969637128E-3</v>
      </c>
      <c r="L68">
        <f t="shared" si="47"/>
        <v>5.1056372969637129</v>
      </c>
      <c r="M68">
        <f t="shared" si="48"/>
        <v>44.300953762836983</v>
      </c>
      <c r="N68">
        <f t="shared" si="49"/>
        <v>444.17099999999999</v>
      </c>
      <c r="O68">
        <f t="shared" si="50"/>
        <v>239.15368647853319</v>
      </c>
      <c r="P68">
        <f t="shared" si="51"/>
        <v>23.705086287952167</v>
      </c>
      <c r="Q68">
        <f t="shared" si="52"/>
        <v>44.026550611215896</v>
      </c>
      <c r="R68">
        <f t="shared" si="53"/>
        <v>0.38161760198049194</v>
      </c>
      <c r="S68">
        <f t="shared" si="54"/>
        <v>2.9153768652210132</v>
      </c>
      <c r="T68">
        <f t="shared" si="55"/>
        <v>0.3558798663746201</v>
      </c>
      <c r="U68">
        <f t="shared" si="56"/>
        <v>0.22459253306246313</v>
      </c>
      <c r="V68">
        <f t="shared" si="57"/>
        <v>344.39979964462162</v>
      </c>
      <c r="W68">
        <f t="shared" si="58"/>
        <v>31.462421327311684</v>
      </c>
      <c r="X68">
        <f t="shared" si="59"/>
        <v>30.0671</v>
      </c>
      <c r="Y68">
        <f t="shared" si="60"/>
        <v>4.2768978693807798</v>
      </c>
      <c r="Z68">
        <f t="shared" si="61"/>
        <v>65.31977515631894</v>
      </c>
      <c r="AA68">
        <f t="shared" si="62"/>
        <v>2.9063881006569301</v>
      </c>
      <c r="AB68">
        <f t="shared" si="63"/>
        <v>4.4494765845435866</v>
      </c>
      <c r="AC68">
        <f t="shared" si="64"/>
        <v>1.3705097687238497</v>
      </c>
      <c r="AD68">
        <f t="shared" si="65"/>
        <v>-225.15860479609972</v>
      </c>
      <c r="AE68">
        <f t="shared" si="66"/>
        <v>108.57565935292487</v>
      </c>
      <c r="AF68">
        <f t="shared" si="67"/>
        <v>8.3147644314799987</v>
      </c>
      <c r="AG68">
        <f t="shared" si="68"/>
        <v>236.13161863292677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51798.519929949034</v>
      </c>
      <c r="AM68" t="s">
        <v>415</v>
      </c>
      <c r="AN68">
        <v>10366.9</v>
      </c>
      <c r="AO68">
        <v>993.59653846153856</v>
      </c>
      <c r="AP68">
        <v>3431.87</v>
      </c>
      <c r="AQ68">
        <f t="shared" si="72"/>
        <v>0.71047955241266758</v>
      </c>
      <c r="AR68">
        <v>-3.9894345373445681</v>
      </c>
      <c r="AS68" t="s">
        <v>683</v>
      </c>
      <c r="AT68">
        <v>10377</v>
      </c>
      <c r="AU68">
        <v>787.31288461538452</v>
      </c>
      <c r="AV68">
        <v>1112.4424179435091</v>
      </c>
      <c r="AW68">
        <f t="shared" si="73"/>
        <v>0.29226639337357141</v>
      </c>
      <c r="AX68">
        <v>0.5</v>
      </c>
      <c r="AY68">
        <f t="shared" si="74"/>
        <v>1513.3190998223108</v>
      </c>
      <c r="AZ68">
        <f t="shared" si="75"/>
        <v>44.300953762836983</v>
      </c>
      <c r="BA68">
        <f t="shared" si="76"/>
        <v>221.14615766420323</v>
      </c>
      <c r="BB68">
        <f t="shared" si="77"/>
        <v>3.1910248344748739E-2</v>
      </c>
      <c r="BC68">
        <f t="shared" si="78"/>
        <v>2.0849866425843837</v>
      </c>
      <c r="BD68">
        <f t="shared" si="79"/>
        <v>619.58585228124798</v>
      </c>
      <c r="BE68" t="s">
        <v>684</v>
      </c>
      <c r="BF68">
        <v>603.83000000000004</v>
      </c>
      <c r="BG68">
        <f t="shared" si="80"/>
        <v>603.83000000000004</v>
      </c>
      <c r="BH68">
        <f t="shared" si="81"/>
        <v>0.4572033659807252</v>
      </c>
      <c r="BI68">
        <f t="shared" si="82"/>
        <v>0.63924812265247588</v>
      </c>
      <c r="BJ68">
        <f t="shared" si="83"/>
        <v>0.82015373971248318</v>
      </c>
      <c r="BK68">
        <f t="shared" si="84"/>
        <v>2.7357240717584004</v>
      </c>
      <c r="BL68">
        <f t="shared" si="85"/>
        <v>0.9512581827442016</v>
      </c>
      <c r="BM68">
        <f t="shared" si="86"/>
        <v>0.4902716587571288</v>
      </c>
      <c r="BN68">
        <f t="shared" si="87"/>
        <v>0.50972834124287125</v>
      </c>
      <c r="BO68">
        <v>2055</v>
      </c>
      <c r="BP68">
        <v>290.00000000000011</v>
      </c>
      <c r="BQ68">
        <v>1024.6300000000001</v>
      </c>
      <c r="BR68">
        <v>145</v>
      </c>
      <c r="BS68">
        <v>10377</v>
      </c>
      <c r="BT68">
        <v>1022.93</v>
      </c>
      <c r="BU68">
        <v>1.7</v>
      </c>
      <c r="BV68">
        <v>300.00000000000011</v>
      </c>
      <c r="BW68">
        <v>38.4</v>
      </c>
      <c r="BX68">
        <v>1112.4424179435091</v>
      </c>
      <c r="BY68">
        <v>1.477172631517047</v>
      </c>
      <c r="BZ68">
        <v>-92.886104955983896</v>
      </c>
      <c r="CA68">
        <v>1.253203136386233</v>
      </c>
      <c r="CB68">
        <v>0.99492902377676662</v>
      </c>
      <c r="CC68">
        <v>-1.128000556173527E-2</v>
      </c>
      <c r="CD68">
        <v>289.99999999999989</v>
      </c>
      <c r="CE68">
        <v>1014.23</v>
      </c>
      <c r="CF68">
        <v>645</v>
      </c>
      <c r="CG68">
        <v>10346.700000000001</v>
      </c>
      <c r="CH68">
        <v>1022.67</v>
      </c>
      <c r="CI68">
        <v>-8.44</v>
      </c>
      <c r="CW68">
        <f t="shared" si="88"/>
        <v>1800.16</v>
      </c>
      <c r="CX68">
        <f t="shared" si="89"/>
        <v>1513.3190998223108</v>
      </c>
      <c r="CY68">
        <f t="shared" si="90"/>
        <v>0.8406581080694554</v>
      </c>
      <c r="CZ68">
        <f t="shared" si="91"/>
        <v>0.19131621613891078</v>
      </c>
      <c r="DA68">
        <v>6</v>
      </c>
      <c r="DB68">
        <v>0.5</v>
      </c>
      <c r="DC68" t="s">
        <v>418</v>
      </c>
      <c r="DD68">
        <v>2</v>
      </c>
      <c r="DE68">
        <v>1693334707</v>
      </c>
      <c r="DF68">
        <v>444.17099999999999</v>
      </c>
      <c r="DG68">
        <v>500.02699999999999</v>
      </c>
      <c r="DH68">
        <v>29.3217</v>
      </c>
      <c r="DI68">
        <v>23.377400000000002</v>
      </c>
      <c r="DJ68">
        <v>442.12299999999999</v>
      </c>
      <c r="DK68">
        <v>28.506599999999999</v>
      </c>
      <c r="DL68">
        <v>500.23700000000002</v>
      </c>
      <c r="DM68">
        <v>99.021000000000001</v>
      </c>
      <c r="DN68">
        <v>9.9722900000000003E-2</v>
      </c>
      <c r="DO68">
        <v>30.757899999999999</v>
      </c>
      <c r="DP68">
        <v>30.0671</v>
      </c>
      <c r="DQ68">
        <v>999.9</v>
      </c>
      <c r="DR68">
        <v>0</v>
      </c>
      <c r="DS68">
        <v>0</v>
      </c>
      <c r="DT68">
        <v>10017.5</v>
      </c>
      <c r="DU68">
        <v>0</v>
      </c>
      <c r="DV68">
        <v>1574.59</v>
      </c>
      <c r="DW68">
        <v>-55.856000000000002</v>
      </c>
      <c r="DX68">
        <v>457.589</v>
      </c>
      <c r="DY68">
        <v>511.99700000000001</v>
      </c>
      <c r="DZ68">
        <v>5.9442500000000003</v>
      </c>
      <c r="EA68">
        <v>500.02699999999999</v>
      </c>
      <c r="EB68">
        <v>23.377400000000002</v>
      </c>
      <c r="EC68">
        <v>2.9034599999999999</v>
      </c>
      <c r="ED68">
        <v>2.3148499999999999</v>
      </c>
      <c r="EE68">
        <v>23.484400000000001</v>
      </c>
      <c r="EF68">
        <v>19.780100000000001</v>
      </c>
      <c r="EG68">
        <v>1800.16</v>
      </c>
      <c r="EH68">
        <v>0.97799999999999998</v>
      </c>
      <c r="EI68">
        <v>2.20004E-2</v>
      </c>
      <c r="EJ68">
        <v>0</v>
      </c>
      <c r="EK68">
        <v>787.899</v>
      </c>
      <c r="EL68">
        <v>5.0002700000000004</v>
      </c>
      <c r="EM68">
        <v>15099.1</v>
      </c>
      <c r="EN68">
        <v>16250.1</v>
      </c>
      <c r="EO68">
        <v>48.875</v>
      </c>
      <c r="EP68">
        <v>50.875</v>
      </c>
      <c r="EQ68">
        <v>49.936999999999998</v>
      </c>
      <c r="ER68">
        <v>50.061999999999998</v>
      </c>
      <c r="ES68">
        <v>50.561999999999998</v>
      </c>
      <c r="ET68">
        <v>1755.67</v>
      </c>
      <c r="EU68">
        <v>39.49</v>
      </c>
      <c r="EV68">
        <v>0</v>
      </c>
      <c r="EW68">
        <v>107.4000000953674</v>
      </c>
      <c r="EX68">
        <v>0</v>
      </c>
      <c r="EY68">
        <v>787.31288461538452</v>
      </c>
      <c r="EZ68">
        <v>2.377538462343991</v>
      </c>
      <c r="FA68">
        <v>36.464957135497762</v>
      </c>
      <c r="FB68">
        <v>15092.676923076921</v>
      </c>
      <c r="FC68">
        <v>15</v>
      </c>
      <c r="FD68">
        <v>1693334679.5</v>
      </c>
      <c r="FE68" t="s">
        <v>685</v>
      </c>
      <c r="FF68">
        <v>1693334666.5</v>
      </c>
      <c r="FG68">
        <v>1693334679.5</v>
      </c>
      <c r="FH68">
        <v>60</v>
      </c>
      <c r="FI68">
        <v>0.24199999999999999</v>
      </c>
      <c r="FJ68">
        <v>2E-3</v>
      </c>
      <c r="FK68">
        <v>2.0419999999999998</v>
      </c>
      <c r="FL68">
        <v>0.46300000000000002</v>
      </c>
      <c r="FM68">
        <v>500</v>
      </c>
      <c r="FN68">
        <v>23</v>
      </c>
      <c r="FO68">
        <v>0.08</v>
      </c>
      <c r="FP68">
        <v>0.06</v>
      </c>
      <c r="FQ68">
        <v>44.376999016819809</v>
      </c>
      <c r="FR68">
        <v>-0.67497815203763623</v>
      </c>
      <c r="FS68">
        <v>0.1043512394370678</v>
      </c>
      <c r="FT68">
        <v>1</v>
      </c>
      <c r="FU68">
        <v>0.38422706512496763</v>
      </c>
      <c r="FV68">
        <v>3.7960231156718607E-2</v>
      </c>
      <c r="FW68">
        <v>4.5235552377582934E-3</v>
      </c>
      <c r="FX68">
        <v>1</v>
      </c>
      <c r="FY68">
        <v>2</v>
      </c>
      <c r="FZ68">
        <v>2</v>
      </c>
      <c r="GA68" t="s">
        <v>429</v>
      </c>
      <c r="GB68">
        <v>3.1343200000000002</v>
      </c>
      <c r="GC68">
        <v>2.86503</v>
      </c>
      <c r="GD68">
        <v>9.8949999999999996E-2</v>
      </c>
      <c r="GE68">
        <v>0.11122</v>
      </c>
      <c r="GF68">
        <v>0.130024</v>
      </c>
      <c r="GG68">
        <v>0.115898</v>
      </c>
      <c r="GH68">
        <v>27110.799999999999</v>
      </c>
      <c r="GI68">
        <v>20655.5</v>
      </c>
      <c r="GJ68">
        <v>29026</v>
      </c>
      <c r="GK68">
        <v>21671.4</v>
      </c>
      <c r="GL68">
        <v>33868.400000000001</v>
      </c>
      <c r="GM68">
        <v>26392</v>
      </c>
      <c r="GN68">
        <v>40289.9</v>
      </c>
      <c r="GO68">
        <v>30818.9</v>
      </c>
      <c r="GP68">
        <v>1.9931000000000001</v>
      </c>
      <c r="GQ68">
        <v>1.7447999999999999</v>
      </c>
      <c r="GR68">
        <v>-7.4356800000000001E-3</v>
      </c>
      <c r="GS68">
        <v>0</v>
      </c>
      <c r="GT68">
        <v>30.188099999999999</v>
      </c>
      <c r="GU68">
        <v>999.9</v>
      </c>
      <c r="GV68">
        <v>33.700000000000003</v>
      </c>
      <c r="GW68">
        <v>41.5</v>
      </c>
      <c r="GX68">
        <v>27.325600000000001</v>
      </c>
      <c r="GY68">
        <v>62.010399999999997</v>
      </c>
      <c r="GZ68">
        <v>12.568099999999999</v>
      </c>
      <c r="HA68">
        <v>1</v>
      </c>
      <c r="HB68">
        <v>0.56134099999999998</v>
      </c>
      <c r="HC68">
        <v>4.5666200000000003</v>
      </c>
      <c r="HD68">
        <v>20.216000000000001</v>
      </c>
      <c r="HE68">
        <v>5.2322600000000001</v>
      </c>
      <c r="HF68">
        <v>11.98</v>
      </c>
      <c r="HG68">
        <v>4.9748000000000001</v>
      </c>
      <c r="HH68">
        <v>3.2839999999999998</v>
      </c>
      <c r="HI68">
        <v>9999</v>
      </c>
      <c r="HJ68">
        <v>9999</v>
      </c>
      <c r="HK68">
        <v>9999</v>
      </c>
      <c r="HL68">
        <v>999.9</v>
      </c>
      <c r="HM68">
        <v>1.8615699999999999</v>
      </c>
      <c r="HN68">
        <v>1.8632500000000001</v>
      </c>
      <c r="HO68">
        <v>1.86859</v>
      </c>
      <c r="HP68">
        <v>1.85934</v>
      </c>
      <c r="HQ68">
        <v>1.85771</v>
      </c>
      <c r="HR68">
        <v>1.8614200000000001</v>
      </c>
      <c r="HS68">
        <v>1.8652299999999999</v>
      </c>
      <c r="HT68">
        <v>1.8672299999999999</v>
      </c>
      <c r="HU68">
        <v>5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2.048</v>
      </c>
      <c r="II68">
        <v>0.81510000000000005</v>
      </c>
      <c r="IJ68">
        <v>1.8376337223963291</v>
      </c>
      <c r="IK68">
        <v>1.118558698776514E-3</v>
      </c>
      <c r="IL68">
        <v>-1.6939696309573479E-6</v>
      </c>
      <c r="IM68">
        <v>5.4698917449866148E-10</v>
      </c>
      <c r="IN68">
        <v>-0.12518059131291909</v>
      </c>
      <c r="IO68">
        <v>-7.6058941998734366E-3</v>
      </c>
      <c r="IP68">
        <v>1.6984902717538061E-3</v>
      </c>
      <c r="IQ68">
        <v>-9.6352527008986976E-6</v>
      </c>
      <c r="IR68">
        <v>2</v>
      </c>
      <c r="IS68">
        <v>2021</v>
      </c>
      <c r="IT68">
        <v>2</v>
      </c>
      <c r="IU68">
        <v>40</v>
      </c>
      <c r="IV68">
        <v>0.7</v>
      </c>
      <c r="IW68">
        <v>0.5</v>
      </c>
      <c r="IX68">
        <v>1.24268</v>
      </c>
      <c r="IY68">
        <v>2.5427200000000001</v>
      </c>
      <c r="IZ68">
        <v>1.34399</v>
      </c>
      <c r="JA68">
        <v>2.2363300000000002</v>
      </c>
      <c r="JB68">
        <v>1.5918000000000001</v>
      </c>
      <c r="JC68">
        <v>2.3913600000000002</v>
      </c>
      <c r="JD68">
        <v>44.223199999999999</v>
      </c>
      <c r="JE68">
        <v>23.780999999999999</v>
      </c>
      <c r="JF68">
        <v>18</v>
      </c>
      <c r="JG68">
        <v>508.33800000000002</v>
      </c>
      <c r="JH68">
        <v>393.91399999999999</v>
      </c>
      <c r="JI68">
        <v>25.298300000000001</v>
      </c>
      <c r="JJ68">
        <v>34.371600000000001</v>
      </c>
      <c r="JK68">
        <v>30.001200000000001</v>
      </c>
      <c r="JL68">
        <v>34.1584</v>
      </c>
      <c r="JM68">
        <v>34.104100000000003</v>
      </c>
      <c r="JN68">
        <v>24.94</v>
      </c>
      <c r="JO68">
        <v>14.4041</v>
      </c>
      <c r="JP68">
        <v>12.9643</v>
      </c>
      <c r="JQ68">
        <v>25.266200000000001</v>
      </c>
      <c r="JR68">
        <v>500</v>
      </c>
      <c r="JS68">
        <v>23.282599999999999</v>
      </c>
      <c r="JT68">
        <v>98.976600000000005</v>
      </c>
      <c r="JU68">
        <v>97.334400000000002</v>
      </c>
    </row>
    <row r="69" spans="1:281" x14ac:dyDescent="0.25">
      <c r="A69">
        <v>53</v>
      </c>
      <c r="B69">
        <v>1693334817.5</v>
      </c>
      <c r="C69">
        <v>13056</v>
      </c>
      <c r="D69" t="s">
        <v>686</v>
      </c>
      <c r="E69" t="s">
        <v>687</v>
      </c>
      <c r="F69" t="s">
        <v>413</v>
      </c>
      <c r="G69" t="s">
        <v>636</v>
      </c>
      <c r="H69" t="s">
        <v>637</v>
      </c>
      <c r="I69" t="s">
        <v>493</v>
      </c>
      <c r="J69">
        <v>1693334817.5</v>
      </c>
      <c r="K69">
        <f t="shared" si="46"/>
        <v>5.102259749008799E-3</v>
      </c>
      <c r="L69">
        <f t="shared" si="47"/>
        <v>5.1022597490087991</v>
      </c>
      <c r="M69">
        <f t="shared" si="48"/>
        <v>46.024537045638148</v>
      </c>
      <c r="N69">
        <f t="shared" si="49"/>
        <v>641.05100000000004</v>
      </c>
      <c r="O69">
        <f t="shared" si="50"/>
        <v>424.59660591609952</v>
      </c>
      <c r="P69">
        <f t="shared" si="51"/>
        <v>42.085847862744444</v>
      </c>
      <c r="Q69">
        <f t="shared" si="52"/>
        <v>63.540721904855005</v>
      </c>
      <c r="R69">
        <f t="shared" si="53"/>
        <v>0.38271168322784604</v>
      </c>
      <c r="S69">
        <f t="shared" si="54"/>
        <v>2.9131662209500386</v>
      </c>
      <c r="T69">
        <f t="shared" si="55"/>
        <v>0.35681330959981544</v>
      </c>
      <c r="U69">
        <f t="shared" si="56"/>
        <v>0.22518897200068533</v>
      </c>
      <c r="V69">
        <f t="shared" si="57"/>
        <v>344.41879964464141</v>
      </c>
      <c r="W69">
        <f t="shared" si="58"/>
        <v>31.377653743785913</v>
      </c>
      <c r="X69">
        <f t="shared" si="59"/>
        <v>30.003799999999998</v>
      </c>
      <c r="Y69">
        <f t="shared" si="60"/>
        <v>4.261379784496393</v>
      </c>
      <c r="Z69">
        <f t="shared" si="61"/>
        <v>65.389619739368328</v>
      </c>
      <c r="AA69">
        <f t="shared" si="62"/>
        <v>2.895184542445</v>
      </c>
      <c r="AB69">
        <f t="shared" si="63"/>
        <v>4.4275904248789075</v>
      </c>
      <c r="AC69">
        <f t="shared" si="64"/>
        <v>1.366195242051393</v>
      </c>
      <c r="AD69">
        <f t="shared" si="65"/>
        <v>-225.00965493128803</v>
      </c>
      <c r="AE69">
        <f t="shared" si="66"/>
        <v>104.88107343551722</v>
      </c>
      <c r="AF69">
        <f t="shared" si="67"/>
        <v>8.0319826295787173</v>
      </c>
      <c r="AG69">
        <f t="shared" si="68"/>
        <v>232.32220077844931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51750.461593330867</v>
      </c>
      <c r="AM69" t="s">
        <v>415</v>
      </c>
      <c r="AN69">
        <v>10366.9</v>
      </c>
      <c r="AO69">
        <v>993.59653846153856</v>
      </c>
      <c r="AP69">
        <v>3431.87</v>
      </c>
      <c r="AQ69">
        <f t="shared" si="72"/>
        <v>0.71047955241266758</v>
      </c>
      <c r="AR69">
        <v>-3.9894345373445681</v>
      </c>
      <c r="AS69" t="s">
        <v>688</v>
      </c>
      <c r="AT69">
        <v>10364</v>
      </c>
      <c r="AU69">
        <v>794.78111538461542</v>
      </c>
      <c r="AV69">
        <v>1136.606275028046</v>
      </c>
      <c r="AW69">
        <f t="shared" si="73"/>
        <v>0.30074192546138812</v>
      </c>
      <c r="AX69">
        <v>0.5</v>
      </c>
      <c r="AY69">
        <f t="shared" si="74"/>
        <v>1513.4030998223207</v>
      </c>
      <c r="AZ69">
        <f t="shared" si="75"/>
        <v>46.024537045638148</v>
      </c>
      <c r="BA69">
        <f t="shared" si="76"/>
        <v>227.57188111989905</v>
      </c>
      <c r="BB69">
        <f t="shared" si="77"/>
        <v>3.3047356377725504E-2</v>
      </c>
      <c r="BC69">
        <f t="shared" si="78"/>
        <v>2.0194008914083441</v>
      </c>
      <c r="BD69">
        <f t="shared" si="79"/>
        <v>627.01013881318943</v>
      </c>
      <c r="BE69" t="s">
        <v>689</v>
      </c>
      <c r="BF69">
        <v>607.07000000000005</v>
      </c>
      <c r="BG69">
        <f t="shared" si="80"/>
        <v>607.07000000000005</v>
      </c>
      <c r="BH69">
        <f t="shared" si="81"/>
        <v>0.46589244372681249</v>
      </c>
      <c r="BI69">
        <f t="shared" si="82"/>
        <v>0.64551792910755057</v>
      </c>
      <c r="BJ69">
        <f t="shared" si="83"/>
        <v>0.81254025947746877</v>
      </c>
      <c r="BK69">
        <f t="shared" si="84"/>
        <v>2.3902229865619185</v>
      </c>
      <c r="BL69">
        <f t="shared" si="85"/>
        <v>0.941347950169513</v>
      </c>
      <c r="BM69">
        <f t="shared" si="86"/>
        <v>0.49305973888632515</v>
      </c>
      <c r="BN69">
        <f t="shared" si="87"/>
        <v>0.50694026111367485</v>
      </c>
      <c r="BO69">
        <v>2057</v>
      </c>
      <c r="BP69">
        <v>290.00000000000011</v>
      </c>
      <c r="BQ69">
        <v>1047.3699999999999</v>
      </c>
      <c r="BR69">
        <v>215</v>
      </c>
      <c r="BS69">
        <v>10364</v>
      </c>
      <c r="BT69">
        <v>1043.82</v>
      </c>
      <c r="BU69">
        <v>3.55</v>
      </c>
      <c r="BV69">
        <v>300.00000000000011</v>
      </c>
      <c r="BW69">
        <v>38.4</v>
      </c>
      <c r="BX69">
        <v>1136.606275028046</v>
      </c>
      <c r="BY69">
        <v>1.16905979398816</v>
      </c>
      <c r="BZ69">
        <v>-96.160439833632921</v>
      </c>
      <c r="CA69">
        <v>0.99170595521220095</v>
      </c>
      <c r="CB69">
        <v>0.9970307992212375</v>
      </c>
      <c r="CC69">
        <v>-1.1278973303670741E-2</v>
      </c>
      <c r="CD69">
        <v>289.99999999999989</v>
      </c>
      <c r="CE69">
        <v>1035.53</v>
      </c>
      <c r="CF69">
        <v>675</v>
      </c>
      <c r="CG69">
        <v>10342.700000000001</v>
      </c>
      <c r="CH69">
        <v>1043.6300000000001</v>
      </c>
      <c r="CI69">
        <v>-8.1</v>
      </c>
      <c r="CW69">
        <f t="shared" si="88"/>
        <v>1800.26</v>
      </c>
      <c r="CX69">
        <f t="shared" si="89"/>
        <v>1513.4030998223207</v>
      </c>
      <c r="CY69">
        <f t="shared" si="90"/>
        <v>0.84065807151318184</v>
      </c>
      <c r="CZ69">
        <f t="shared" si="91"/>
        <v>0.19131614302636363</v>
      </c>
      <c r="DA69">
        <v>6</v>
      </c>
      <c r="DB69">
        <v>0.5</v>
      </c>
      <c r="DC69" t="s">
        <v>418</v>
      </c>
      <c r="DD69">
        <v>2</v>
      </c>
      <c r="DE69">
        <v>1693334817.5</v>
      </c>
      <c r="DF69">
        <v>641.05100000000004</v>
      </c>
      <c r="DG69">
        <v>700.13900000000001</v>
      </c>
      <c r="DH69">
        <v>29.209</v>
      </c>
      <c r="DI69">
        <v>23.271799999999999</v>
      </c>
      <c r="DJ69">
        <v>638.85</v>
      </c>
      <c r="DK69">
        <v>28.408300000000001</v>
      </c>
      <c r="DL69">
        <v>500.56200000000001</v>
      </c>
      <c r="DM69">
        <v>99.019499999999994</v>
      </c>
      <c r="DN69">
        <v>0.100105</v>
      </c>
      <c r="DO69">
        <v>30.671600000000002</v>
      </c>
      <c r="DP69">
        <v>30.003799999999998</v>
      </c>
      <c r="DQ69">
        <v>999.9</v>
      </c>
      <c r="DR69">
        <v>0</v>
      </c>
      <c r="DS69">
        <v>0</v>
      </c>
      <c r="DT69">
        <v>10005</v>
      </c>
      <c r="DU69">
        <v>0</v>
      </c>
      <c r="DV69">
        <v>1568.43</v>
      </c>
      <c r="DW69">
        <v>-59.088000000000001</v>
      </c>
      <c r="DX69">
        <v>660.33900000000006</v>
      </c>
      <c r="DY69">
        <v>716.82100000000003</v>
      </c>
      <c r="DZ69">
        <v>5.9372299999999996</v>
      </c>
      <c r="EA69">
        <v>700.13900000000001</v>
      </c>
      <c r="EB69">
        <v>23.271799999999999</v>
      </c>
      <c r="EC69">
        <v>2.8922599999999998</v>
      </c>
      <c r="ED69">
        <v>2.30436</v>
      </c>
      <c r="EE69">
        <v>23.420300000000001</v>
      </c>
      <c r="EF69">
        <v>19.706900000000001</v>
      </c>
      <c r="EG69">
        <v>1800.26</v>
      </c>
      <c r="EH69">
        <v>0.97800299999999996</v>
      </c>
      <c r="EI69">
        <v>2.1996700000000001E-2</v>
      </c>
      <c r="EJ69">
        <v>0</v>
      </c>
      <c r="EK69">
        <v>794.51099999999997</v>
      </c>
      <c r="EL69">
        <v>5.0002700000000004</v>
      </c>
      <c r="EM69">
        <v>15231.5</v>
      </c>
      <c r="EN69">
        <v>16251</v>
      </c>
      <c r="EO69">
        <v>49</v>
      </c>
      <c r="EP69">
        <v>51.125</v>
      </c>
      <c r="EQ69">
        <v>50.061999999999998</v>
      </c>
      <c r="ER69">
        <v>50.311999999999998</v>
      </c>
      <c r="ES69">
        <v>50.75</v>
      </c>
      <c r="ET69">
        <v>1755.77</v>
      </c>
      <c r="EU69">
        <v>39.49</v>
      </c>
      <c r="EV69">
        <v>0</v>
      </c>
      <c r="EW69">
        <v>108.80000019073491</v>
      </c>
      <c r="EX69">
        <v>0</v>
      </c>
      <c r="EY69">
        <v>794.78111538461542</v>
      </c>
      <c r="EZ69">
        <v>-0.43941881130542931</v>
      </c>
      <c r="FA69">
        <v>-13.61025635975658</v>
      </c>
      <c r="FB69">
        <v>15232.20384615385</v>
      </c>
      <c r="FC69">
        <v>15</v>
      </c>
      <c r="FD69">
        <v>1693334790</v>
      </c>
      <c r="FE69" t="s">
        <v>690</v>
      </c>
      <c r="FF69">
        <v>1693334788.5</v>
      </c>
      <c r="FG69">
        <v>1693334790</v>
      </c>
      <c r="FH69">
        <v>61</v>
      </c>
      <c r="FI69">
        <v>0.19800000000000001</v>
      </c>
      <c r="FJ69">
        <v>-8.0000000000000002E-3</v>
      </c>
      <c r="FK69">
        <v>2.177</v>
      </c>
      <c r="FL69">
        <v>0.45600000000000002</v>
      </c>
      <c r="FM69">
        <v>700</v>
      </c>
      <c r="FN69">
        <v>23</v>
      </c>
      <c r="FO69">
        <v>0.11</v>
      </c>
      <c r="FP69">
        <v>0.05</v>
      </c>
      <c r="FQ69">
        <v>46.024692158608808</v>
      </c>
      <c r="FR69">
        <v>-7.2469969699030468E-2</v>
      </c>
      <c r="FS69">
        <v>0.1156228104329224</v>
      </c>
      <c r="FT69">
        <v>1</v>
      </c>
      <c r="FU69">
        <v>0.38191420599127851</v>
      </c>
      <c r="FV69">
        <v>3.064351364844219E-2</v>
      </c>
      <c r="FW69">
        <v>3.6667756233675392E-3</v>
      </c>
      <c r="FX69">
        <v>1</v>
      </c>
      <c r="FY69">
        <v>2</v>
      </c>
      <c r="FZ69">
        <v>2</v>
      </c>
      <c r="GA69" t="s">
        <v>429</v>
      </c>
      <c r="GB69">
        <v>3.1346699999999998</v>
      </c>
      <c r="GC69">
        <v>2.8653</v>
      </c>
      <c r="GD69">
        <v>0.12939999999999999</v>
      </c>
      <c r="GE69">
        <v>0.14122399999999999</v>
      </c>
      <c r="GF69">
        <v>0.12967600000000001</v>
      </c>
      <c r="GG69">
        <v>0.115504</v>
      </c>
      <c r="GH69">
        <v>26187.599999999999</v>
      </c>
      <c r="GI69">
        <v>19953.099999999999</v>
      </c>
      <c r="GJ69">
        <v>29019.7</v>
      </c>
      <c r="GK69">
        <v>21666.9</v>
      </c>
      <c r="GL69">
        <v>33879.199999999997</v>
      </c>
      <c r="GM69">
        <v>26401.200000000001</v>
      </c>
      <c r="GN69">
        <v>40281.1</v>
      </c>
      <c r="GO69">
        <v>30812.799999999999</v>
      </c>
      <c r="GP69">
        <v>1.9921</v>
      </c>
      <c r="GQ69">
        <v>1.7435</v>
      </c>
      <c r="GR69">
        <v>-1.79857E-2</v>
      </c>
      <c r="GS69">
        <v>0</v>
      </c>
      <c r="GT69">
        <v>30.296399999999998</v>
      </c>
      <c r="GU69">
        <v>999.9</v>
      </c>
      <c r="GV69">
        <v>34.1</v>
      </c>
      <c r="GW69">
        <v>41.3</v>
      </c>
      <c r="GX69">
        <v>27.359200000000001</v>
      </c>
      <c r="GY69">
        <v>62.320399999999999</v>
      </c>
      <c r="GZ69">
        <v>12.5481</v>
      </c>
      <c r="HA69">
        <v>1</v>
      </c>
      <c r="HB69">
        <v>0.57343500000000003</v>
      </c>
      <c r="HC69">
        <v>4.4213800000000001</v>
      </c>
      <c r="HD69">
        <v>20.220500000000001</v>
      </c>
      <c r="HE69">
        <v>5.23346</v>
      </c>
      <c r="HF69">
        <v>11.983000000000001</v>
      </c>
      <c r="HG69">
        <v>4.9752000000000001</v>
      </c>
      <c r="HH69">
        <v>3.2839999999999998</v>
      </c>
      <c r="HI69">
        <v>9999</v>
      </c>
      <c r="HJ69">
        <v>9999</v>
      </c>
      <c r="HK69">
        <v>9999</v>
      </c>
      <c r="HL69">
        <v>999.9</v>
      </c>
      <c r="HM69">
        <v>1.8615699999999999</v>
      </c>
      <c r="HN69">
        <v>1.8632500000000001</v>
      </c>
      <c r="HO69">
        <v>1.86859</v>
      </c>
      <c r="HP69">
        <v>1.85931</v>
      </c>
      <c r="HQ69">
        <v>1.85768</v>
      </c>
      <c r="HR69">
        <v>1.8614200000000001</v>
      </c>
      <c r="HS69">
        <v>1.8652299999999999</v>
      </c>
      <c r="HT69">
        <v>1.8672500000000001</v>
      </c>
      <c r="HU69">
        <v>5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2.2010000000000001</v>
      </c>
      <c r="II69">
        <v>0.80069999999999997</v>
      </c>
      <c r="IJ69">
        <v>2.0353633058436378</v>
      </c>
      <c r="IK69">
        <v>1.118558698776514E-3</v>
      </c>
      <c r="IL69">
        <v>-1.6939696309573479E-6</v>
      </c>
      <c r="IM69">
        <v>5.4698917449866148E-10</v>
      </c>
      <c r="IN69">
        <v>-0.13303666975799031</v>
      </c>
      <c r="IO69">
        <v>-7.6058941998734366E-3</v>
      </c>
      <c r="IP69">
        <v>1.6984902717538061E-3</v>
      </c>
      <c r="IQ69">
        <v>-9.6352527008986976E-6</v>
      </c>
      <c r="IR69">
        <v>2</v>
      </c>
      <c r="IS69">
        <v>2021</v>
      </c>
      <c r="IT69">
        <v>2</v>
      </c>
      <c r="IU69">
        <v>40</v>
      </c>
      <c r="IV69">
        <v>0.5</v>
      </c>
      <c r="IW69">
        <v>0.5</v>
      </c>
      <c r="IX69">
        <v>1.63452</v>
      </c>
      <c r="IY69">
        <v>2.5341800000000001</v>
      </c>
      <c r="IZ69">
        <v>1.34399</v>
      </c>
      <c r="JA69">
        <v>2.2363300000000002</v>
      </c>
      <c r="JB69">
        <v>1.5918000000000001</v>
      </c>
      <c r="JC69">
        <v>2.32666</v>
      </c>
      <c r="JD69">
        <v>44.223199999999999</v>
      </c>
      <c r="JE69">
        <v>23.780999999999999</v>
      </c>
      <c r="JF69">
        <v>18</v>
      </c>
      <c r="JG69">
        <v>508.55099999999999</v>
      </c>
      <c r="JH69">
        <v>393.79199999999997</v>
      </c>
      <c r="JI69">
        <v>25.1127</v>
      </c>
      <c r="JJ69">
        <v>34.515300000000003</v>
      </c>
      <c r="JK69">
        <v>30.001100000000001</v>
      </c>
      <c r="JL69">
        <v>34.263199999999998</v>
      </c>
      <c r="JM69">
        <v>34.2027</v>
      </c>
      <c r="JN69">
        <v>32.781300000000002</v>
      </c>
      <c r="JO69">
        <v>16.116800000000001</v>
      </c>
      <c r="JP69">
        <v>14.3066</v>
      </c>
      <c r="JQ69">
        <v>25.1069</v>
      </c>
      <c r="JR69">
        <v>700</v>
      </c>
      <c r="JS69">
        <v>23.173500000000001</v>
      </c>
      <c r="JT69">
        <v>98.954999999999998</v>
      </c>
      <c r="JU69">
        <v>97.314800000000005</v>
      </c>
    </row>
    <row r="70" spans="1:281" x14ac:dyDescent="0.25">
      <c r="A70">
        <v>54</v>
      </c>
      <c r="B70">
        <v>1693334921.5</v>
      </c>
      <c r="C70">
        <v>13160</v>
      </c>
      <c r="D70" t="s">
        <v>691</v>
      </c>
      <c r="E70" t="s">
        <v>692</v>
      </c>
      <c r="F70" t="s">
        <v>413</v>
      </c>
      <c r="G70" t="s">
        <v>636</v>
      </c>
      <c r="H70" t="s">
        <v>637</v>
      </c>
      <c r="I70" t="s">
        <v>493</v>
      </c>
      <c r="J70">
        <v>1693334921.5</v>
      </c>
      <c r="K70">
        <f t="shared" si="46"/>
        <v>4.9629984578822483E-3</v>
      </c>
      <c r="L70">
        <f t="shared" si="47"/>
        <v>4.9629984578822484</v>
      </c>
      <c r="M70">
        <f t="shared" si="48"/>
        <v>46.003996192310993</v>
      </c>
      <c r="N70">
        <f t="shared" si="49"/>
        <v>839.95600000000002</v>
      </c>
      <c r="O70">
        <f t="shared" si="50"/>
        <v>612.17948356637805</v>
      </c>
      <c r="P70">
        <f t="shared" si="51"/>
        <v>60.676653074255626</v>
      </c>
      <c r="Q70">
        <f t="shared" si="52"/>
        <v>83.252902421244386</v>
      </c>
      <c r="R70">
        <f t="shared" si="53"/>
        <v>0.36933997810913594</v>
      </c>
      <c r="S70">
        <f t="shared" si="54"/>
        <v>2.9192365305614207</v>
      </c>
      <c r="T70">
        <f t="shared" si="55"/>
        <v>0.34520518407145401</v>
      </c>
      <c r="U70">
        <f t="shared" si="56"/>
        <v>0.21779009553671635</v>
      </c>
      <c r="V70">
        <f t="shared" si="57"/>
        <v>344.39789964461971</v>
      </c>
      <c r="W70">
        <f t="shared" si="58"/>
        <v>31.387623159417021</v>
      </c>
      <c r="X70">
        <f t="shared" si="59"/>
        <v>29.991900000000001</v>
      </c>
      <c r="Y70">
        <f t="shared" si="60"/>
        <v>4.2584679686212343</v>
      </c>
      <c r="Z70">
        <f t="shared" si="61"/>
        <v>65.248285634032939</v>
      </c>
      <c r="AA70">
        <f t="shared" si="62"/>
        <v>2.8848344460924298</v>
      </c>
      <c r="AB70">
        <f t="shared" si="63"/>
        <v>4.4213183811035259</v>
      </c>
      <c r="AC70">
        <f t="shared" si="64"/>
        <v>1.3736335225288046</v>
      </c>
      <c r="AD70">
        <f t="shared" si="65"/>
        <v>-218.86823199260715</v>
      </c>
      <c r="AE70">
        <f t="shared" si="66"/>
        <v>103.06939310435197</v>
      </c>
      <c r="AF70">
        <f t="shared" si="67"/>
        <v>7.8753977580714523</v>
      </c>
      <c r="AG70">
        <f t="shared" si="68"/>
        <v>236.47445851443601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51927.022482049302</v>
      </c>
      <c r="AM70" t="s">
        <v>415</v>
      </c>
      <c r="AN70">
        <v>10366.9</v>
      </c>
      <c r="AO70">
        <v>993.59653846153856</v>
      </c>
      <c r="AP70">
        <v>3431.87</v>
      </c>
      <c r="AQ70">
        <f t="shared" si="72"/>
        <v>0.71047955241266758</v>
      </c>
      <c r="AR70">
        <v>-3.9894345373445681</v>
      </c>
      <c r="AS70" t="s">
        <v>693</v>
      </c>
      <c r="AT70">
        <v>10371.5</v>
      </c>
      <c r="AU70">
        <v>792.41480769230759</v>
      </c>
      <c r="AV70">
        <v>1139.832865240124</v>
      </c>
      <c r="AW70">
        <f t="shared" si="73"/>
        <v>0.30479736823049686</v>
      </c>
      <c r="AX70">
        <v>0.5</v>
      </c>
      <c r="AY70">
        <f t="shared" si="74"/>
        <v>1513.31069982231</v>
      </c>
      <c r="AZ70">
        <f t="shared" si="75"/>
        <v>46.003996192310993</v>
      </c>
      <c r="BA70">
        <f t="shared" si="76"/>
        <v>230.62655931044574</v>
      </c>
      <c r="BB70">
        <f t="shared" si="77"/>
        <v>3.3035800735120482E-2</v>
      </c>
      <c r="BC70">
        <f t="shared" si="78"/>
        <v>2.0108537002721198</v>
      </c>
      <c r="BD70">
        <f t="shared" si="79"/>
        <v>627.99080326947751</v>
      </c>
      <c r="BE70" t="s">
        <v>694</v>
      </c>
      <c r="BF70">
        <v>608.97</v>
      </c>
      <c r="BG70">
        <f t="shared" si="80"/>
        <v>608.97</v>
      </c>
      <c r="BH70">
        <f t="shared" si="81"/>
        <v>0.46573746154291595</v>
      </c>
      <c r="BI70">
        <f t="shared" si="82"/>
        <v>0.65444030896881367</v>
      </c>
      <c r="BJ70">
        <f t="shared" si="83"/>
        <v>0.8119441477770647</v>
      </c>
      <c r="BK70">
        <f t="shared" si="84"/>
        <v>2.3757301978313343</v>
      </c>
      <c r="BL70">
        <f t="shared" si="85"/>
        <v>0.94002464076104242</v>
      </c>
      <c r="BM70">
        <f t="shared" si="86"/>
        <v>0.50293673349361279</v>
      </c>
      <c r="BN70">
        <f t="shared" si="87"/>
        <v>0.49706326650638721</v>
      </c>
      <c r="BO70">
        <v>2059</v>
      </c>
      <c r="BP70">
        <v>290.00000000000011</v>
      </c>
      <c r="BQ70">
        <v>1048.8800000000001</v>
      </c>
      <c r="BR70">
        <v>165</v>
      </c>
      <c r="BS70">
        <v>10371.5</v>
      </c>
      <c r="BT70">
        <v>1044.97</v>
      </c>
      <c r="BU70">
        <v>3.91</v>
      </c>
      <c r="BV70">
        <v>300.00000000000011</v>
      </c>
      <c r="BW70">
        <v>38.4</v>
      </c>
      <c r="BX70">
        <v>1139.832865240124</v>
      </c>
      <c r="BY70">
        <v>1.295111869493933</v>
      </c>
      <c r="BZ70">
        <v>-98.384899162500218</v>
      </c>
      <c r="CA70">
        <v>1.0985518078586749</v>
      </c>
      <c r="CB70">
        <v>0.99652120551705992</v>
      </c>
      <c r="CC70">
        <v>-1.1278099443826489E-2</v>
      </c>
      <c r="CD70">
        <v>289.99999999999989</v>
      </c>
      <c r="CE70">
        <v>1036.0899999999999</v>
      </c>
      <c r="CF70">
        <v>645</v>
      </c>
      <c r="CG70">
        <v>10344.799999999999</v>
      </c>
      <c r="CH70">
        <v>1044.73</v>
      </c>
      <c r="CI70">
        <v>-8.64</v>
      </c>
      <c r="CW70">
        <f t="shared" si="88"/>
        <v>1800.15</v>
      </c>
      <c r="CX70">
        <f t="shared" si="89"/>
        <v>1513.31069982231</v>
      </c>
      <c r="CY70">
        <f t="shared" si="90"/>
        <v>0.84065811172530613</v>
      </c>
      <c r="CZ70">
        <f t="shared" si="91"/>
        <v>0.19131622345061228</v>
      </c>
      <c r="DA70">
        <v>6</v>
      </c>
      <c r="DB70">
        <v>0.5</v>
      </c>
      <c r="DC70" t="s">
        <v>418</v>
      </c>
      <c r="DD70">
        <v>2</v>
      </c>
      <c r="DE70">
        <v>1693334921.5</v>
      </c>
      <c r="DF70">
        <v>839.95600000000002</v>
      </c>
      <c r="DG70">
        <v>900.12099999999998</v>
      </c>
      <c r="DH70">
        <v>29.105699999999999</v>
      </c>
      <c r="DI70">
        <v>23.327500000000001</v>
      </c>
      <c r="DJ70">
        <v>837.67899999999997</v>
      </c>
      <c r="DK70">
        <v>28.306999999999999</v>
      </c>
      <c r="DL70">
        <v>500.351</v>
      </c>
      <c r="DM70">
        <v>99.017200000000003</v>
      </c>
      <c r="DN70">
        <v>9.8589899999999994E-2</v>
      </c>
      <c r="DO70">
        <v>30.646799999999999</v>
      </c>
      <c r="DP70">
        <v>29.991900000000001</v>
      </c>
      <c r="DQ70">
        <v>999.9</v>
      </c>
      <c r="DR70">
        <v>0</v>
      </c>
      <c r="DS70">
        <v>0</v>
      </c>
      <c r="DT70">
        <v>10040</v>
      </c>
      <c r="DU70">
        <v>0</v>
      </c>
      <c r="DV70">
        <v>1570.26</v>
      </c>
      <c r="DW70">
        <v>-60.164900000000003</v>
      </c>
      <c r="DX70">
        <v>865.13599999999997</v>
      </c>
      <c r="DY70">
        <v>921.62</v>
      </c>
      <c r="DZ70">
        <v>5.7782299999999998</v>
      </c>
      <c r="EA70">
        <v>900.12099999999998</v>
      </c>
      <c r="EB70">
        <v>23.327500000000001</v>
      </c>
      <c r="EC70">
        <v>2.8819699999999999</v>
      </c>
      <c r="ED70">
        <v>2.3098200000000002</v>
      </c>
      <c r="EE70">
        <v>23.3612</v>
      </c>
      <c r="EF70">
        <v>19.745100000000001</v>
      </c>
      <c r="EG70">
        <v>1800.15</v>
      </c>
      <c r="EH70">
        <v>0.97800299999999996</v>
      </c>
      <c r="EI70">
        <v>2.1996700000000001E-2</v>
      </c>
      <c r="EJ70">
        <v>0</v>
      </c>
      <c r="EK70">
        <v>792.33100000000002</v>
      </c>
      <c r="EL70">
        <v>5.0002700000000004</v>
      </c>
      <c r="EM70">
        <v>15189.7</v>
      </c>
      <c r="EN70">
        <v>16250</v>
      </c>
      <c r="EO70">
        <v>49.061999999999998</v>
      </c>
      <c r="EP70">
        <v>51.186999999999998</v>
      </c>
      <c r="EQ70">
        <v>50.125</v>
      </c>
      <c r="ER70">
        <v>50.375</v>
      </c>
      <c r="ES70">
        <v>50.811999999999998</v>
      </c>
      <c r="ET70">
        <v>1755.66</v>
      </c>
      <c r="EU70">
        <v>39.49</v>
      </c>
      <c r="EV70">
        <v>0</v>
      </c>
      <c r="EW70">
        <v>102</v>
      </c>
      <c r="EX70">
        <v>0</v>
      </c>
      <c r="EY70">
        <v>792.41480769230759</v>
      </c>
      <c r="EZ70">
        <v>-0.88748718593711751</v>
      </c>
      <c r="FA70">
        <v>-28.116239489855278</v>
      </c>
      <c r="FB70">
        <v>15192.47692307692</v>
      </c>
      <c r="FC70">
        <v>15</v>
      </c>
      <c r="FD70">
        <v>1693334889.5</v>
      </c>
      <c r="FE70" t="s">
        <v>695</v>
      </c>
      <c r="FF70">
        <v>1693334887.5</v>
      </c>
      <c r="FG70">
        <v>1693334889.5</v>
      </c>
      <c r="FH70">
        <v>62</v>
      </c>
      <c r="FI70">
        <v>0.17199999999999999</v>
      </c>
      <c r="FJ70">
        <v>5.0000000000000001E-3</v>
      </c>
      <c r="FK70">
        <v>2.242</v>
      </c>
      <c r="FL70">
        <v>0.45600000000000002</v>
      </c>
      <c r="FM70">
        <v>901</v>
      </c>
      <c r="FN70">
        <v>23</v>
      </c>
      <c r="FO70">
        <v>0.13</v>
      </c>
      <c r="FP70">
        <v>0.04</v>
      </c>
      <c r="FQ70">
        <v>45.864069909822241</v>
      </c>
      <c r="FR70">
        <v>-0.53827669028247738</v>
      </c>
      <c r="FS70">
        <v>0.17068623183311571</v>
      </c>
      <c r="FT70">
        <v>1</v>
      </c>
      <c r="FU70">
        <v>0.37043949572792462</v>
      </c>
      <c r="FV70">
        <v>4.8892888371329588E-3</v>
      </c>
      <c r="FW70">
        <v>1.345543761896645E-3</v>
      </c>
      <c r="FX70">
        <v>1</v>
      </c>
      <c r="FY70">
        <v>2</v>
      </c>
      <c r="FZ70">
        <v>2</v>
      </c>
      <c r="GA70" t="s">
        <v>429</v>
      </c>
      <c r="GB70">
        <v>3.1344400000000001</v>
      </c>
      <c r="GC70">
        <v>2.8641000000000001</v>
      </c>
      <c r="GD70">
        <v>0.15579000000000001</v>
      </c>
      <c r="GE70">
        <v>0.16717099999999999</v>
      </c>
      <c r="GF70">
        <v>0.12932399999999999</v>
      </c>
      <c r="GG70">
        <v>0.115674</v>
      </c>
      <c r="GH70">
        <v>25387.7</v>
      </c>
      <c r="GI70">
        <v>19346.3</v>
      </c>
      <c r="GJ70">
        <v>29014.400000000001</v>
      </c>
      <c r="GK70">
        <v>21663.599999999999</v>
      </c>
      <c r="GL70">
        <v>33890.9</v>
      </c>
      <c r="GM70">
        <v>26395.3</v>
      </c>
      <c r="GN70">
        <v>40274.1</v>
      </c>
      <c r="GO70">
        <v>30809.3</v>
      </c>
      <c r="GP70">
        <v>1.9912000000000001</v>
      </c>
      <c r="GQ70">
        <v>1.7438</v>
      </c>
      <c r="GR70">
        <v>-1.6778700000000001E-2</v>
      </c>
      <c r="GS70">
        <v>0</v>
      </c>
      <c r="GT70">
        <v>30.264900000000001</v>
      </c>
      <c r="GU70">
        <v>999.9</v>
      </c>
      <c r="GV70">
        <v>34.4</v>
      </c>
      <c r="GW70">
        <v>41.2</v>
      </c>
      <c r="GX70">
        <v>27.452500000000001</v>
      </c>
      <c r="GY70">
        <v>62.060400000000001</v>
      </c>
      <c r="GZ70">
        <v>12.5321</v>
      </c>
      <c r="HA70">
        <v>1</v>
      </c>
      <c r="HB70">
        <v>0.58058900000000002</v>
      </c>
      <c r="HC70">
        <v>4.2180299999999997</v>
      </c>
      <c r="HD70">
        <v>20.2241</v>
      </c>
      <c r="HE70">
        <v>5.2208800000000002</v>
      </c>
      <c r="HF70">
        <v>11.9818</v>
      </c>
      <c r="HG70">
        <v>4.9715999999999996</v>
      </c>
      <c r="HH70">
        <v>3.2816000000000001</v>
      </c>
      <c r="HI70">
        <v>9999</v>
      </c>
      <c r="HJ70">
        <v>9999</v>
      </c>
      <c r="HK70">
        <v>9999</v>
      </c>
      <c r="HL70">
        <v>999.9</v>
      </c>
      <c r="HM70">
        <v>1.8615699999999999</v>
      </c>
      <c r="HN70">
        <v>1.8632500000000001</v>
      </c>
      <c r="HO70">
        <v>1.8686100000000001</v>
      </c>
      <c r="HP70">
        <v>1.8593299999999999</v>
      </c>
      <c r="HQ70">
        <v>1.8576999999999999</v>
      </c>
      <c r="HR70">
        <v>1.8614200000000001</v>
      </c>
      <c r="HS70">
        <v>1.8652299999999999</v>
      </c>
      <c r="HT70">
        <v>1.8672800000000001</v>
      </c>
      <c r="HU70">
        <v>5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2.2770000000000001</v>
      </c>
      <c r="II70">
        <v>0.79869999999999997</v>
      </c>
      <c r="IJ70">
        <v>2.2073310363004399</v>
      </c>
      <c r="IK70">
        <v>1.118558698776514E-3</v>
      </c>
      <c r="IL70">
        <v>-1.6939696309573479E-6</v>
      </c>
      <c r="IM70">
        <v>5.4698917449866148E-10</v>
      </c>
      <c r="IN70">
        <v>-0.12836143692083199</v>
      </c>
      <c r="IO70">
        <v>-7.6058941998734366E-3</v>
      </c>
      <c r="IP70">
        <v>1.6984902717538061E-3</v>
      </c>
      <c r="IQ70">
        <v>-9.6352527008986976E-6</v>
      </c>
      <c r="IR70">
        <v>2</v>
      </c>
      <c r="IS70">
        <v>2021</v>
      </c>
      <c r="IT70">
        <v>2</v>
      </c>
      <c r="IU70">
        <v>40</v>
      </c>
      <c r="IV70">
        <v>0.6</v>
      </c>
      <c r="IW70">
        <v>0.5</v>
      </c>
      <c r="IX70">
        <v>2.00928</v>
      </c>
      <c r="IY70">
        <v>2.5305200000000001</v>
      </c>
      <c r="IZ70">
        <v>1.34399</v>
      </c>
      <c r="JA70">
        <v>2.2351100000000002</v>
      </c>
      <c r="JB70">
        <v>1.5918000000000001</v>
      </c>
      <c r="JC70">
        <v>2.3071299999999999</v>
      </c>
      <c r="JD70">
        <v>44.223199999999999</v>
      </c>
      <c r="JE70">
        <v>23.780999999999999</v>
      </c>
      <c r="JF70">
        <v>18</v>
      </c>
      <c r="JG70">
        <v>508.65</v>
      </c>
      <c r="JH70">
        <v>394.50200000000001</v>
      </c>
      <c r="JI70">
        <v>25.211500000000001</v>
      </c>
      <c r="JJ70">
        <v>34.619</v>
      </c>
      <c r="JK70">
        <v>30</v>
      </c>
      <c r="JL70">
        <v>34.346800000000002</v>
      </c>
      <c r="JM70">
        <v>34.28</v>
      </c>
      <c r="JN70">
        <v>40.2819</v>
      </c>
      <c r="JO70">
        <v>16.249199999999998</v>
      </c>
      <c r="JP70">
        <v>15.2302</v>
      </c>
      <c r="JQ70">
        <v>25.221699999999998</v>
      </c>
      <c r="JR70">
        <v>900</v>
      </c>
      <c r="JS70">
        <v>23.304600000000001</v>
      </c>
      <c r="JT70">
        <v>98.9375</v>
      </c>
      <c r="JU70">
        <v>97.302099999999996</v>
      </c>
    </row>
    <row r="71" spans="1:281" x14ac:dyDescent="0.25">
      <c r="A71">
        <v>55</v>
      </c>
      <c r="B71">
        <v>1693335040</v>
      </c>
      <c r="C71">
        <v>13278.5</v>
      </c>
      <c r="D71" t="s">
        <v>696</v>
      </c>
      <c r="E71" t="s">
        <v>697</v>
      </c>
      <c r="F71" t="s">
        <v>413</v>
      </c>
      <c r="G71" t="s">
        <v>636</v>
      </c>
      <c r="H71" t="s">
        <v>637</v>
      </c>
      <c r="I71" t="s">
        <v>493</v>
      </c>
      <c r="J71">
        <v>1693335040</v>
      </c>
      <c r="K71">
        <f t="shared" si="46"/>
        <v>4.7989847583281911E-3</v>
      </c>
      <c r="L71">
        <f t="shared" si="47"/>
        <v>4.7989847583281913</v>
      </c>
      <c r="M71">
        <f t="shared" si="48"/>
        <v>45.286131240131681</v>
      </c>
      <c r="N71">
        <f t="shared" si="49"/>
        <v>1139.21</v>
      </c>
      <c r="O71">
        <f t="shared" si="50"/>
        <v>899.21986957387219</v>
      </c>
      <c r="P71">
        <f t="shared" si="51"/>
        <v>89.127055011407052</v>
      </c>
      <c r="Q71">
        <f t="shared" si="52"/>
        <v>112.91391101896001</v>
      </c>
      <c r="R71">
        <f t="shared" si="53"/>
        <v>0.35380273503168513</v>
      </c>
      <c r="S71">
        <f t="shared" si="54"/>
        <v>2.9082911433568004</v>
      </c>
      <c r="T71">
        <f t="shared" si="55"/>
        <v>0.33151237356445978</v>
      </c>
      <c r="U71">
        <f t="shared" si="56"/>
        <v>0.20908079881676581</v>
      </c>
      <c r="V71">
        <f t="shared" si="57"/>
        <v>344.3864996446078</v>
      </c>
      <c r="W71">
        <f t="shared" si="58"/>
        <v>31.468360205364636</v>
      </c>
      <c r="X71">
        <f t="shared" si="59"/>
        <v>30.040400000000002</v>
      </c>
      <c r="Y71">
        <f t="shared" si="60"/>
        <v>4.2703463315825925</v>
      </c>
      <c r="Z71">
        <f t="shared" si="61"/>
        <v>65.173119532566673</v>
      </c>
      <c r="AA71">
        <f t="shared" si="62"/>
        <v>2.887347496856</v>
      </c>
      <c r="AB71">
        <f t="shared" si="63"/>
        <v>4.4302735814467304</v>
      </c>
      <c r="AC71">
        <f t="shared" si="64"/>
        <v>1.3829988347265925</v>
      </c>
      <c r="AD71">
        <f t="shared" si="65"/>
        <v>-211.63522784227322</v>
      </c>
      <c r="AE71">
        <f t="shared" si="66"/>
        <v>100.62897218303432</v>
      </c>
      <c r="AF71">
        <f t="shared" si="67"/>
        <v>7.7210680501262861</v>
      </c>
      <c r="AG71">
        <f t="shared" si="68"/>
        <v>241.1013120354952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51610.317118171042</v>
      </c>
      <c r="AM71" t="s">
        <v>415</v>
      </c>
      <c r="AN71">
        <v>10366.9</v>
      </c>
      <c r="AO71">
        <v>993.59653846153856</v>
      </c>
      <c r="AP71">
        <v>3431.87</v>
      </c>
      <c r="AQ71">
        <f t="shared" si="72"/>
        <v>0.71047955241266758</v>
      </c>
      <c r="AR71">
        <v>-3.9894345373445681</v>
      </c>
      <c r="AS71" t="s">
        <v>698</v>
      </c>
      <c r="AT71">
        <v>10373</v>
      </c>
      <c r="AU71">
        <v>787.46919230769231</v>
      </c>
      <c r="AV71">
        <v>1139.3020599064771</v>
      </c>
      <c r="AW71">
        <f t="shared" si="73"/>
        <v>0.30881438731679811</v>
      </c>
      <c r="AX71">
        <v>0.5</v>
      </c>
      <c r="AY71">
        <f t="shared" si="74"/>
        <v>1513.2602998223038</v>
      </c>
      <c r="AZ71">
        <f t="shared" si="75"/>
        <v>45.286131240131681</v>
      </c>
      <c r="BA71">
        <f t="shared" si="76"/>
        <v>233.65827617022947</v>
      </c>
      <c r="BB71">
        <f t="shared" si="77"/>
        <v>3.256251801706718E-2</v>
      </c>
      <c r="BC71">
        <f t="shared" si="78"/>
        <v>2.012256468913709</v>
      </c>
      <c r="BD71">
        <f t="shared" si="79"/>
        <v>627.82964584311355</v>
      </c>
      <c r="BE71" t="s">
        <v>699</v>
      </c>
      <c r="BF71">
        <v>605.11</v>
      </c>
      <c r="BG71">
        <f t="shared" si="80"/>
        <v>605.11</v>
      </c>
      <c r="BH71">
        <f t="shared" si="81"/>
        <v>0.46887658567941837</v>
      </c>
      <c r="BI71">
        <f t="shared" si="82"/>
        <v>0.65862616464269697</v>
      </c>
      <c r="BJ71">
        <f t="shared" si="83"/>
        <v>0.81102319973875492</v>
      </c>
      <c r="BK71">
        <f t="shared" si="84"/>
        <v>2.4146845233434813</v>
      </c>
      <c r="BL71">
        <f t="shared" si="85"/>
        <v>0.94024233797262269</v>
      </c>
      <c r="BM71">
        <f t="shared" si="86"/>
        <v>0.50610396238995725</v>
      </c>
      <c r="BN71">
        <f t="shared" si="87"/>
        <v>0.49389603761004275</v>
      </c>
      <c r="BO71">
        <v>2061</v>
      </c>
      <c r="BP71">
        <v>290.00000000000011</v>
      </c>
      <c r="BQ71">
        <v>1044.49</v>
      </c>
      <c r="BR71">
        <v>155</v>
      </c>
      <c r="BS71">
        <v>10373</v>
      </c>
      <c r="BT71">
        <v>1041.4000000000001</v>
      </c>
      <c r="BU71">
        <v>3.09</v>
      </c>
      <c r="BV71">
        <v>300.00000000000011</v>
      </c>
      <c r="BW71">
        <v>38.4</v>
      </c>
      <c r="BX71">
        <v>1139.3020599064771</v>
      </c>
      <c r="BY71">
        <v>1.0792639652953471</v>
      </c>
      <c r="BZ71">
        <v>-101.55119900254741</v>
      </c>
      <c r="CA71">
        <v>0.91542835954642165</v>
      </c>
      <c r="CB71">
        <v>0.99772987577910399</v>
      </c>
      <c r="CC71">
        <v>-1.12776809788654E-2</v>
      </c>
      <c r="CD71">
        <v>289.99999999999989</v>
      </c>
      <c r="CE71">
        <v>1032.1400000000001</v>
      </c>
      <c r="CF71">
        <v>665</v>
      </c>
      <c r="CG71">
        <v>10342.4</v>
      </c>
      <c r="CH71">
        <v>1041.1099999999999</v>
      </c>
      <c r="CI71">
        <v>-8.9700000000000006</v>
      </c>
      <c r="CW71">
        <f t="shared" si="88"/>
        <v>1800.09</v>
      </c>
      <c r="CX71">
        <f t="shared" si="89"/>
        <v>1513.2602998223038</v>
      </c>
      <c r="CY71">
        <f t="shared" si="90"/>
        <v>0.84065813366126352</v>
      </c>
      <c r="CZ71">
        <f t="shared" si="91"/>
        <v>0.1913162673225271</v>
      </c>
      <c r="DA71">
        <v>6</v>
      </c>
      <c r="DB71">
        <v>0.5</v>
      </c>
      <c r="DC71" t="s">
        <v>418</v>
      </c>
      <c r="DD71">
        <v>2</v>
      </c>
      <c r="DE71">
        <v>1693335040</v>
      </c>
      <c r="DF71">
        <v>1139.21</v>
      </c>
      <c r="DG71">
        <v>1200.07</v>
      </c>
      <c r="DH71">
        <v>29.131</v>
      </c>
      <c r="DI71">
        <v>23.544</v>
      </c>
      <c r="DJ71">
        <v>1137.0899999999999</v>
      </c>
      <c r="DK71">
        <v>28.330400000000001</v>
      </c>
      <c r="DL71">
        <v>500.36</v>
      </c>
      <c r="DM71">
        <v>99.015900000000002</v>
      </c>
      <c r="DN71">
        <v>0.100076</v>
      </c>
      <c r="DO71">
        <v>30.682200000000002</v>
      </c>
      <c r="DP71">
        <v>30.040400000000002</v>
      </c>
      <c r="DQ71">
        <v>999.9</v>
      </c>
      <c r="DR71">
        <v>0</v>
      </c>
      <c r="DS71">
        <v>0</v>
      </c>
      <c r="DT71">
        <v>9977.5</v>
      </c>
      <c r="DU71">
        <v>0</v>
      </c>
      <c r="DV71">
        <v>1578.4</v>
      </c>
      <c r="DW71">
        <v>-60.854100000000003</v>
      </c>
      <c r="DX71">
        <v>1173.4000000000001</v>
      </c>
      <c r="DY71">
        <v>1229</v>
      </c>
      <c r="DZ71">
        <v>5.5870199999999999</v>
      </c>
      <c r="EA71">
        <v>1200.07</v>
      </c>
      <c r="EB71">
        <v>23.544</v>
      </c>
      <c r="EC71">
        <v>2.88443</v>
      </c>
      <c r="ED71">
        <v>2.3312300000000001</v>
      </c>
      <c r="EE71">
        <v>23.375399999999999</v>
      </c>
      <c r="EF71">
        <v>19.893799999999999</v>
      </c>
      <c r="EG71">
        <v>1800.09</v>
      </c>
      <c r="EH71">
        <v>0.97800299999999996</v>
      </c>
      <c r="EI71">
        <v>2.1996700000000001E-2</v>
      </c>
      <c r="EJ71">
        <v>0</v>
      </c>
      <c r="EK71">
        <v>787.18499999999995</v>
      </c>
      <c r="EL71">
        <v>5.0002700000000004</v>
      </c>
      <c r="EM71">
        <v>15096.4</v>
      </c>
      <c r="EN71">
        <v>16249.5</v>
      </c>
      <c r="EO71">
        <v>49.061999999999998</v>
      </c>
      <c r="EP71">
        <v>51.125</v>
      </c>
      <c r="EQ71">
        <v>50.125</v>
      </c>
      <c r="ER71">
        <v>50.311999999999998</v>
      </c>
      <c r="ES71">
        <v>50.75</v>
      </c>
      <c r="ET71">
        <v>1755.6</v>
      </c>
      <c r="EU71">
        <v>39.49</v>
      </c>
      <c r="EV71">
        <v>0</v>
      </c>
      <c r="EW71">
        <v>116.6000001430511</v>
      </c>
      <c r="EX71">
        <v>0</v>
      </c>
      <c r="EY71">
        <v>787.46919230769231</v>
      </c>
      <c r="EZ71">
        <v>-3.3791794975826042</v>
      </c>
      <c r="FA71">
        <v>-59.692307683529911</v>
      </c>
      <c r="FB71">
        <v>15103.561538461539</v>
      </c>
      <c r="FC71">
        <v>15</v>
      </c>
      <c r="FD71">
        <v>1693335009.5</v>
      </c>
      <c r="FE71" t="s">
        <v>700</v>
      </c>
      <c r="FF71">
        <v>1693335009.5</v>
      </c>
      <c r="FG71">
        <v>1693335008</v>
      </c>
      <c r="FH71">
        <v>63</v>
      </c>
      <c r="FI71">
        <v>3.4000000000000002E-2</v>
      </c>
      <c r="FJ71">
        <v>0</v>
      </c>
      <c r="FK71">
        <v>2.089</v>
      </c>
      <c r="FL71">
        <v>0.46300000000000002</v>
      </c>
      <c r="FM71">
        <v>1200</v>
      </c>
      <c r="FN71">
        <v>23</v>
      </c>
      <c r="FO71">
        <v>0.18</v>
      </c>
      <c r="FP71">
        <v>0.05</v>
      </c>
      <c r="FQ71">
        <v>45.241284743909063</v>
      </c>
      <c r="FR71">
        <v>0.57777854296961162</v>
      </c>
      <c r="FS71">
        <v>0.17075580255231851</v>
      </c>
      <c r="FT71">
        <v>1</v>
      </c>
      <c r="FU71">
        <v>0.35408732014782301</v>
      </c>
      <c r="FV71">
        <v>8.5187609367897623E-3</v>
      </c>
      <c r="FW71">
        <v>1.2623328760105099E-3</v>
      </c>
      <c r="FX71">
        <v>1</v>
      </c>
      <c r="FY71">
        <v>2</v>
      </c>
      <c r="FZ71">
        <v>2</v>
      </c>
      <c r="GA71" t="s">
        <v>429</v>
      </c>
      <c r="GB71">
        <v>3.1345000000000001</v>
      </c>
      <c r="GC71">
        <v>2.86504</v>
      </c>
      <c r="GD71">
        <v>0.190165</v>
      </c>
      <c r="GE71">
        <v>0.20105999999999999</v>
      </c>
      <c r="GF71">
        <v>0.129382</v>
      </c>
      <c r="GG71">
        <v>0.11640499999999999</v>
      </c>
      <c r="GH71">
        <v>24350.7</v>
      </c>
      <c r="GI71">
        <v>18556.2</v>
      </c>
      <c r="GJ71">
        <v>29012.7</v>
      </c>
      <c r="GK71">
        <v>21662</v>
      </c>
      <c r="GL71">
        <v>33890.800000000003</v>
      </c>
      <c r="GM71">
        <v>26373.9</v>
      </c>
      <c r="GN71">
        <v>40272</v>
      </c>
      <c r="GO71">
        <v>30806.6</v>
      </c>
      <c r="GP71">
        <v>1.9906999999999999</v>
      </c>
      <c r="GQ71">
        <v>1.7454000000000001</v>
      </c>
      <c r="GR71">
        <v>-9.2834200000000006E-3</v>
      </c>
      <c r="GS71">
        <v>0</v>
      </c>
      <c r="GT71">
        <v>30.191500000000001</v>
      </c>
      <c r="GU71">
        <v>999.9</v>
      </c>
      <c r="GV71">
        <v>34.799999999999997</v>
      </c>
      <c r="GW71">
        <v>41</v>
      </c>
      <c r="GX71">
        <v>27.480499999999999</v>
      </c>
      <c r="GY71">
        <v>62.160400000000003</v>
      </c>
      <c r="GZ71">
        <v>12.4079</v>
      </c>
      <c r="HA71">
        <v>1</v>
      </c>
      <c r="HB71">
        <v>0.58451200000000003</v>
      </c>
      <c r="HC71">
        <v>4.3756599999999999</v>
      </c>
      <c r="HD71">
        <v>20.221</v>
      </c>
      <c r="HE71">
        <v>5.23346</v>
      </c>
      <c r="HF71">
        <v>11.980600000000001</v>
      </c>
      <c r="HG71">
        <v>4.9749999999999996</v>
      </c>
      <c r="HH71">
        <v>3.2839999999999998</v>
      </c>
      <c r="HI71">
        <v>9999</v>
      </c>
      <c r="HJ71">
        <v>9999</v>
      </c>
      <c r="HK71">
        <v>9999</v>
      </c>
      <c r="HL71">
        <v>999.9</v>
      </c>
      <c r="HM71">
        <v>1.86154</v>
      </c>
      <c r="HN71">
        <v>1.86324</v>
      </c>
      <c r="HO71">
        <v>1.86859</v>
      </c>
      <c r="HP71">
        <v>1.85928</v>
      </c>
      <c r="HQ71">
        <v>1.8575999999999999</v>
      </c>
      <c r="HR71">
        <v>1.8613599999999999</v>
      </c>
      <c r="HS71">
        <v>1.8651899999999999</v>
      </c>
      <c r="HT71">
        <v>1.8672200000000001</v>
      </c>
      <c r="HU71">
        <v>5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2.12</v>
      </c>
      <c r="II71">
        <v>0.80059999999999998</v>
      </c>
      <c r="IJ71">
        <v>2.2398870074465038</v>
      </c>
      <c r="IK71">
        <v>1.118558698776514E-3</v>
      </c>
      <c r="IL71">
        <v>-1.6939696309573479E-6</v>
      </c>
      <c r="IM71">
        <v>5.4698917449866148E-10</v>
      </c>
      <c r="IN71">
        <v>-0.1280354222300403</v>
      </c>
      <c r="IO71">
        <v>-7.6058941998734366E-3</v>
      </c>
      <c r="IP71">
        <v>1.6984902717538061E-3</v>
      </c>
      <c r="IQ71">
        <v>-9.6352527008986976E-6</v>
      </c>
      <c r="IR71">
        <v>2</v>
      </c>
      <c r="IS71">
        <v>2021</v>
      </c>
      <c r="IT71">
        <v>2</v>
      </c>
      <c r="IU71">
        <v>40</v>
      </c>
      <c r="IV71">
        <v>0.5</v>
      </c>
      <c r="IW71">
        <v>0.5</v>
      </c>
      <c r="IX71">
        <v>2.5463900000000002</v>
      </c>
      <c r="IY71">
        <v>2.5268600000000001</v>
      </c>
      <c r="IZ71">
        <v>1.34399</v>
      </c>
      <c r="JA71">
        <v>2.2363300000000002</v>
      </c>
      <c r="JB71">
        <v>1.5918000000000001</v>
      </c>
      <c r="JC71">
        <v>2.3925800000000002</v>
      </c>
      <c r="JD71">
        <v>44.167700000000004</v>
      </c>
      <c r="JE71">
        <v>23.833600000000001</v>
      </c>
      <c r="JF71">
        <v>18</v>
      </c>
      <c r="JG71">
        <v>508.75599999999997</v>
      </c>
      <c r="JH71">
        <v>395.85599999999999</v>
      </c>
      <c r="JI71">
        <v>25.287299999999998</v>
      </c>
      <c r="JJ71">
        <v>34.6599</v>
      </c>
      <c r="JK71">
        <v>30.000299999999999</v>
      </c>
      <c r="JL71">
        <v>34.3996</v>
      </c>
      <c r="JM71">
        <v>34.335099999999997</v>
      </c>
      <c r="JN71">
        <v>51.039700000000003</v>
      </c>
      <c r="JO71">
        <v>16.3931</v>
      </c>
      <c r="JP71">
        <v>16.680599999999998</v>
      </c>
      <c r="JQ71">
        <v>25.263999999999999</v>
      </c>
      <c r="JR71">
        <v>1200</v>
      </c>
      <c r="JS71">
        <v>23.4878</v>
      </c>
      <c r="JT71">
        <v>98.932199999999995</v>
      </c>
      <c r="JU71">
        <v>97.2941</v>
      </c>
    </row>
    <row r="72" spans="1:281" x14ac:dyDescent="0.25">
      <c r="A72">
        <v>56</v>
      </c>
      <c r="B72">
        <v>1693335157</v>
      </c>
      <c r="C72">
        <v>13395.5</v>
      </c>
      <c r="D72" t="s">
        <v>701</v>
      </c>
      <c r="E72" t="s">
        <v>702</v>
      </c>
      <c r="F72" t="s">
        <v>413</v>
      </c>
      <c r="G72" t="s">
        <v>636</v>
      </c>
      <c r="H72" t="s">
        <v>637</v>
      </c>
      <c r="I72" t="s">
        <v>493</v>
      </c>
      <c r="J72">
        <v>1693335157</v>
      </c>
      <c r="K72">
        <f t="shared" si="46"/>
        <v>4.7029960942595881E-3</v>
      </c>
      <c r="L72">
        <f t="shared" si="47"/>
        <v>4.7029960942595883</v>
      </c>
      <c r="M72">
        <f t="shared" si="48"/>
        <v>43.86277262075113</v>
      </c>
      <c r="N72">
        <f t="shared" si="49"/>
        <v>1439.1</v>
      </c>
      <c r="O72">
        <f t="shared" si="50"/>
        <v>1197.326783031524</v>
      </c>
      <c r="P72">
        <f t="shared" si="51"/>
        <v>118.67315569102567</v>
      </c>
      <c r="Q72">
        <f t="shared" si="52"/>
        <v>142.63653062412001</v>
      </c>
      <c r="R72">
        <f t="shared" si="53"/>
        <v>0.35017684467549565</v>
      </c>
      <c r="S72">
        <f t="shared" si="54"/>
        <v>2.9109025673140563</v>
      </c>
      <c r="T72">
        <f t="shared" si="55"/>
        <v>0.32834417683152839</v>
      </c>
      <c r="U72">
        <f t="shared" si="56"/>
        <v>0.2070631548033624</v>
      </c>
      <c r="V72">
        <f t="shared" si="57"/>
        <v>344.38079964460189</v>
      </c>
      <c r="W72">
        <f t="shared" si="58"/>
        <v>31.405269347228735</v>
      </c>
      <c r="X72">
        <f t="shared" si="59"/>
        <v>29.943100000000001</v>
      </c>
      <c r="Y72">
        <f t="shared" si="60"/>
        <v>4.246545204422385</v>
      </c>
      <c r="Z72">
        <f t="shared" si="61"/>
        <v>65.285768237610668</v>
      </c>
      <c r="AA72">
        <f t="shared" si="62"/>
        <v>2.8779058461552003</v>
      </c>
      <c r="AB72">
        <f t="shared" si="63"/>
        <v>4.4081672374305603</v>
      </c>
      <c r="AC72">
        <f t="shared" si="64"/>
        <v>1.3686393582671847</v>
      </c>
      <c r="AD72">
        <f t="shared" si="65"/>
        <v>-207.40212775684785</v>
      </c>
      <c r="AE72">
        <f t="shared" si="66"/>
        <v>102.25726861260723</v>
      </c>
      <c r="AF72">
        <f t="shared" si="67"/>
        <v>7.8318048273781802</v>
      </c>
      <c r="AG72">
        <f t="shared" si="68"/>
        <v>247.06774532773943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51699.240166146723</v>
      </c>
      <c r="AM72" t="s">
        <v>415</v>
      </c>
      <c r="AN72">
        <v>10366.9</v>
      </c>
      <c r="AO72">
        <v>993.59653846153856</v>
      </c>
      <c r="AP72">
        <v>3431.87</v>
      </c>
      <c r="AQ72">
        <f t="shared" si="72"/>
        <v>0.71047955241266758</v>
      </c>
      <c r="AR72">
        <v>-3.9894345373445681</v>
      </c>
      <c r="AS72" t="s">
        <v>703</v>
      </c>
      <c r="AT72">
        <v>10372.6</v>
      </c>
      <c r="AU72">
        <v>783.55187999999998</v>
      </c>
      <c r="AV72">
        <v>1126.6748540128699</v>
      </c>
      <c r="AW72">
        <f t="shared" si="73"/>
        <v>0.30454480526548655</v>
      </c>
      <c r="AX72">
        <v>0.5</v>
      </c>
      <c r="AY72">
        <f t="shared" si="74"/>
        <v>1513.235099822301</v>
      </c>
      <c r="AZ72">
        <f t="shared" si="75"/>
        <v>43.86277262075113</v>
      </c>
      <c r="BA72">
        <f t="shared" si="76"/>
        <v>230.42394439814089</v>
      </c>
      <c r="BB72">
        <f t="shared" si="77"/>
        <v>3.1622453882886391E-2</v>
      </c>
      <c r="BC72">
        <f t="shared" si="78"/>
        <v>2.0460163265175684</v>
      </c>
      <c r="BD72">
        <f t="shared" si="79"/>
        <v>623.97593224502293</v>
      </c>
      <c r="BE72" t="s">
        <v>704</v>
      </c>
      <c r="BF72">
        <v>604.07000000000005</v>
      </c>
      <c r="BG72">
        <f t="shared" si="80"/>
        <v>604.07000000000005</v>
      </c>
      <c r="BH72">
        <f t="shared" si="81"/>
        <v>0.46384709142261571</v>
      </c>
      <c r="BI72">
        <f t="shared" si="82"/>
        <v>0.65656292967462571</v>
      </c>
      <c r="BJ72">
        <f t="shared" si="83"/>
        <v>0.81519030553332272</v>
      </c>
      <c r="BK72">
        <f t="shared" si="84"/>
        <v>2.5783537505065546</v>
      </c>
      <c r="BL72">
        <f t="shared" si="85"/>
        <v>0.9454210868261822</v>
      </c>
      <c r="BM72">
        <f t="shared" si="86"/>
        <v>0.5061693795292167</v>
      </c>
      <c r="BN72">
        <f t="shared" si="87"/>
        <v>0.4938306204707833</v>
      </c>
      <c r="BO72">
        <v>2063</v>
      </c>
      <c r="BP72">
        <v>290.00000000000011</v>
      </c>
      <c r="BQ72">
        <v>1037.8900000000001</v>
      </c>
      <c r="BR72">
        <v>155</v>
      </c>
      <c r="BS72">
        <v>10372.6</v>
      </c>
      <c r="BT72">
        <v>1035.24</v>
      </c>
      <c r="BU72">
        <v>2.65</v>
      </c>
      <c r="BV72">
        <v>300.00000000000011</v>
      </c>
      <c r="BW72">
        <v>38.4</v>
      </c>
      <c r="BX72">
        <v>1126.6748540128699</v>
      </c>
      <c r="BY72">
        <v>1.3100943042186539</v>
      </c>
      <c r="BZ72">
        <v>-94.841814365656205</v>
      </c>
      <c r="CA72">
        <v>1.1111829493344769</v>
      </c>
      <c r="CB72">
        <v>0.99617119330747528</v>
      </c>
      <c r="CC72">
        <v>-1.1277299666295889E-2</v>
      </c>
      <c r="CD72">
        <v>289.99999999999989</v>
      </c>
      <c r="CE72">
        <v>1028.33</v>
      </c>
      <c r="CF72">
        <v>635</v>
      </c>
      <c r="CG72">
        <v>10345.1</v>
      </c>
      <c r="CH72">
        <v>1035</v>
      </c>
      <c r="CI72">
        <v>-6.67</v>
      </c>
      <c r="CW72">
        <f t="shared" si="88"/>
        <v>1800.06</v>
      </c>
      <c r="CX72">
        <f t="shared" si="89"/>
        <v>1513.235099822301</v>
      </c>
      <c r="CY72">
        <f t="shared" si="90"/>
        <v>0.84065814462979072</v>
      </c>
      <c r="CZ72">
        <f t="shared" si="91"/>
        <v>0.1913162892595813</v>
      </c>
      <c r="DA72">
        <v>6</v>
      </c>
      <c r="DB72">
        <v>0.5</v>
      </c>
      <c r="DC72" t="s">
        <v>418</v>
      </c>
      <c r="DD72">
        <v>2</v>
      </c>
      <c r="DE72">
        <v>1693335157</v>
      </c>
      <c r="DF72">
        <v>1439.1</v>
      </c>
      <c r="DG72">
        <v>1499.88</v>
      </c>
      <c r="DH72">
        <v>29.036000000000001</v>
      </c>
      <c r="DI72">
        <v>23.554200000000002</v>
      </c>
      <c r="DJ72">
        <v>1436.91</v>
      </c>
      <c r="DK72">
        <v>28.2453</v>
      </c>
      <c r="DL72">
        <v>499.81099999999998</v>
      </c>
      <c r="DM72">
        <v>99.015100000000004</v>
      </c>
      <c r="DN72">
        <v>9.9993200000000004E-2</v>
      </c>
      <c r="DO72">
        <v>30.5947</v>
      </c>
      <c r="DP72">
        <v>29.943100000000001</v>
      </c>
      <c r="DQ72">
        <v>999.9</v>
      </c>
      <c r="DR72">
        <v>0</v>
      </c>
      <c r="DS72">
        <v>0</v>
      </c>
      <c r="DT72">
        <v>9992.5</v>
      </c>
      <c r="DU72">
        <v>0</v>
      </c>
      <c r="DV72">
        <v>1571.31</v>
      </c>
      <c r="DW72">
        <v>-60.776000000000003</v>
      </c>
      <c r="DX72">
        <v>1482.14</v>
      </c>
      <c r="DY72">
        <v>1536.06</v>
      </c>
      <c r="DZ72">
        <v>5.4817499999999999</v>
      </c>
      <c r="EA72">
        <v>1499.88</v>
      </c>
      <c r="EB72">
        <v>23.554200000000002</v>
      </c>
      <c r="EC72">
        <v>2.875</v>
      </c>
      <c r="ED72">
        <v>2.33222</v>
      </c>
      <c r="EE72">
        <v>23.321100000000001</v>
      </c>
      <c r="EF72">
        <v>19.900700000000001</v>
      </c>
      <c r="EG72">
        <v>1800.06</v>
      </c>
      <c r="EH72">
        <v>0.97800299999999996</v>
      </c>
      <c r="EI72">
        <v>2.1996700000000001E-2</v>
      </c>
      <c r="EJ72">
        <v>0</v>
      </c>
      <c r="EK72">
        <v>783.52099999999996</v>
      </c>
      <c r="EL72">
        <v>5.0002700000000004</v>
      </c>
      <c r="EM72">
        <v>15031.5</v>
      </c>
      <c r="EN72">
        <v>16249.2</v>
      </c>
      <c r="EO72">
        <v>49.061999999999998</v>
      </c>
      <c r="EP72">
        <v>51.061999999999998</v>
      </c>
      <c r="EQ72">
        <v>50.125</v>
      </c>
      <c r="ER72">
        <v>50.186999999999998</v>
      </c>
      <c r="ES72">
        <v>50.75</v>
      </c>
      <c r="ET72">
        <v>1755.57</v>
      </c>
      <c r="EU72">
        <v>39.49</v>
      </c>
      <c r="EV72">
        <v>0</v>
      </c>
      <c r="EW72">
        <v>115.2000000476837</v>
      </c>
      <c r="EX72">
        <v>0</v>
      </c>
      <c r="EY72">
        <v>783.55187999999998</v>
      </c>
      <c r="EZ72">
        <v>-1.3073846319234561</v>
      </c>
      <c r="FA72">
        <v>-23.86923068201143</v>
      </c>
      <c r="FB72">
        <v>15032.348</v>
      </c>
      <c r="FC72">
        <v>15</v>
      </c>
      <c r="FD72">
        <v>1693335126.5</v>
      </c>
      <c r="FE72" t="s">
        <v>705</v>
      </c>
      <c r="FF72">
        <v>1693335122</v>
      </c>
      <c r="FG72">
        <v>1693335126.5</v>
      </c>
      <c r="FH72">
        <v>64</v>
      </c>
      <c r="FI72">
        <v>0.223</v>
      </c>
      <c r="FJ72">
        <v>-4.0000000000000001E-3</v>
      </c>
      <c r="FK72">
        <v>2.177</v>
      </c>
      <c r="FL72">
        <v>0.47299999999999998</v>
      </c>
      <c r="FM72">
        <v>1501</v>
      </c>
      <c r="FN72">
        <v>23</v>
      </c>
      <c r="FO72">
        <v>0.25</v>
      </c>
      <c r="FP72">
        <v>0.05</v>
      </c>
      <c r="FQ72">
        <v>44.189983264808824</v>
      </c>
      <c r="FR72">
        <v>-4.9680018115158819E-2</v>
      </c>
      <c r="FS72">
        <v>0.15107109084841031</v>
      </c>
      <c r="FT72">
        <v>1</v>
      </c>
      <c r="FU72">
        <v>0.35133472363843871</v>
      </c>
      <c r="FV72">
        <v>-2.4555380167281489E-2</v>
      </c>
      <c r="FW72">
        <v>2.174724542645827E-3</v>
      </c>
      <c r="FX72">
        <v>1</v>
      </c>
      <c r="FY72">
        <v>2</v>
      </c>
      <c r="FZ72">
        <v>2</v>
      </c>
      <c r="GA72" t="s">
        <v>429</v>
      </c>
      <c r="GB72">
        <v>3.1338699999999999</v>
      </c>
      <c r="GC72">
        <v>2.8650799999999998</v>
      </c>
      <c r="GD72">
        <v>0.220084</v>
      </c>
      <c r="GE72">
        <v>0.230601</v>
      </c>
      <c r="GF72">
        <v>0.12909799999999999</v>
      </c>
      <c r="GG72">
        <v>0.11643100000000001</v>
      </c>
      <c r="GH72">
        <v>23447.8</v>
      </c>
      <c r="GI72">
        <v>17868</v>
      </c>
      <c r="GJ72">
        <v>29011.200000000001</v>
      </c>
      <c r="GK72">
        <v>21661.3</v>
      </c>
      <c r="GL72">
        <v>33902.6</v>
      </c>
      <c r="GM72">
        <v>26375.7</v>
      </c>
      <c r="GN72">
        <v>40269.1</v>
      </c>
      <c r="GO72">
        <v>30806.799999999999</v>
      </c>
      <c r="GP72">
        <v>1.9908999999999999</v>
      </c>
      <c r="GQ72">
        <v>1.7467999999999999</v>
      </c>
      <c r="GR72">
        <v>-7.9274199999999993E-3</v>
      </c>
      <c r="GS72">
        <v>0</v>
      </c>
      <c r="GT72">
        <v>30.072099999999999</v>
      </c>
      <c r="GU72">
        <v>999.9</v>
      </c>
      <c r="GV72">
        <v>35.299999999999997</v>
      </c>
      <c r="GW72">
        <v>40.9</v>
      </c>
      <c r="GX72">
        <v>27.729700000000001</v>
      </c>
      <c r="GY72">
        <v>62.310499999999998</v>
      </c>
      <c r="GZ72">
        <v>12.528</v>
      </c>
      <c r="HA72">
        <v>1</v>
      </c>
      <c r="HB72">
        <v>0.58295699999999995</v>
      </c>
      <c r="HC72">
        <v>3.8014700000000001</v>
      </c>
      <c r="HD72">
        <v>20.235600000000002</v>
      </c>
      <c r="HE72">
        <v>5.2346599999999999</v>
      </c>
      <c r="HF72">
        <v>11.98</v>
      </c>
      <c r="HG72">
        <v>4.9745999999999997</v>
      </c>
      <c r="HH72">
        <v>3.2839999999999998</v>
      </c>
      <c r="HI72">
        <v>9999</v>
      </c>
      <c r="HJ72">
        <v>9999</v>
      </c>
      <c r="HK72">
        <v>9999</v>
      </c>
      <c r="HL72">
        <v>999.9</v>
      </c>
      <c r="HM72">
        <v>1.86151</v>
      </c>
      <c r="HN72">
        <v>1.86313</v>
      </c>
      <c r="HO72">
        <v>1.8685</v>
      </c>
      <c r="HP72">
        <v>1.85928</v>
      </c>
      <c r="HQ72">
        <v>1.8575999999999999</v>
      </c>
      <c r="HR72">
        <v>1.86127</v>
      </c>
      <c r="HS72">
        <v>1.8650899999999999</v>
      </c>
      <c r="HT72">
        <v>1.86721</v>
      </c>
      <c r="HU72">
        <v>5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2.19</v>
      </c>
      <c r="II72">
        <v>0.79069999999999996</v>
      </c>
      <c r="IJ72">
        <v>2.4637861233584508</v>
      </c>
      <c r="IK72">
        <v>1.118558698776514E-3</v>
      </c>
      <c r="IL72">
        <v>-1.6939696309573479E-6</v>
      </c>
      <c r="IM72">
        <v>5.4698917449866148E-10</v>
      </c>
      <c r="IN72">
        <v>-0.13237535657624791</v>
      </c>
      <c r="IO72">
        <v>-7.6058941998734366E-3</v>
      </c>
      <c r="IP72">
        <v>1.6984902717538061E-3</v>
      </c>
      <c r="IQ72">
        <v>-9.6352527008986976E-6</v>
      </c>
      <c r="IR72">
        <v>2</v>
      </c>
      <c r="IS72">
        <v>2021</v>
      </c>
      <c r="IT72">
        <v>2</v>
      </c>
      <c r="IU72">
        <v>40</v>
      </c>
      <c r="IV72">
        <v>0.6</v>
      </c>
      <c r="IW72">
        <v>0.5</v>
      </c>
      <c r="IX72">
        <v>3.0578599999999998</v>
      </c>
      <c r="IY72">
        <v>2.51953</v>
      </c>
      <c r="IZ72">
        <v>1.34399</v>
      </c>
      <c r="JA72">
        <v>2.2363300000000002</v>
      </c>
      <c r="JB72">
        <v>1.5918000000000001</v>
      </c>
      <c r="JC72">
        <v>2.49146</v>
      </c>
      <c r="JD72">
        <v>44.057099999999998</v>
      </c>
      <c r="JE72">
        <v>23.868600000000001</v>
      </c>
      <c r="JF72">
        <v>18</v>
      </c>
      <c r="JG72">
        <v>509.173</v>
      </c>
      <c r="JH72">
        <v>396.94600000000003</v>
      </c>
      <c r="JI72">
        <v>25.4832</v>
      </c>
      <c r="JJ72">
        <v>34.682000000000002</v>
      </c>
      <c r="JK72">
        <v>30</v>
      </c>
      <c r="JL72">
        <v>34.433799999999998</v>
      </c>
      <c r="JM72">
        <v>34.369199999999999</v>
      </c>
      <c r="JN72">
        <v>61.269300000000001</v>
      </c>
      <c r="JO72">
        <v>17.947600000000001</v>
      </c>
      <c r="JP72">
        <v>18.421700000000001</v>
      </c>
      <c r="JQ72">
        <v>25.502199999999998</v>
      </c>
      <c r="JR72">
        <v>1500</v>
      </c>
      <c r="JS72">
        <v>23.5151</v>
      </c>
      <c r="JT72">
        <v>98.925700000000006</v>
      </c>
      <c r="JU72">
        <v>97.293199999999999</v>
      </c>
    </row>
    <row r="73" spans="1:281" x14ac:dyDescent="0.25">
      <c r="A73">
        <v>57</v>
      </c>
      <c r="B73">
        <v>1693337475</v>
      </c>
      <c r="C73">
        <v>15713.5</v>
      </c>
      <c r="D73" t="s">
        <v>706</v>
      </c>
      <c r="E73" t="s">
        <v>707</v>
      </c>
      <c r="F73" t="s">
        <v>413</v>
      </c>
      <c r="G73" t="s">
        <v>564</v>
      </c>
      <c r="H73" t="s">
        <v>708</v>
      </c>
      <c r="I73" t="s">
        <v>31</v>
      </c>
      <c r="J73">
        <v>1693337475</v>
      </c>
      <c r="K73">
        <f t="shared" si="46"/>
        <v>4.113942006979004E-3</v>
      </c>
      <c r="L73">
        <f t="shared" si="47"/>
        <v>4.1139420069790038</v>
      </c>
      <c r="M73">
        <f t="shared" si="48"/>
        <v>36.404015937284889</v>
      </c>
      <c r="N73">
        <f t="shared" si="49"/>
        <v>354.74299999999999</v>
      </c>
      <c r="O73">
        <f t="shared" si="50"/>
        <v>133.47345638861233</v>
      </c>
      <c r="P73">
        <f t="shared" si="51"/>
        <v>13.219896640400176</v>
      </c>
      <c r="Q73">
        <f t="shared" si="52"/>
        <v>35.135568680047996</v>
      </c>
      <c r="R73">
        <f t="shared" si="53"/>
        <v>0.282942976746828</v>
      </c>
      <c r="S73">
        <f t="shared" si="54"/>
        <v>2.915337619112627</v>
      </c>
      <c r="T73">
        <f t="shared" si="55"/>
        <v>0.26852442083009243</v>
      </c>
      <c r="U73">
        <f t="shared" si="56"/>
        <v>0.16906196135696935</v>
      </c>
      <c r="V73">
        <f t="shared" si="57"/>
        <v>344.38269964460386</v>
      </c>
      <c r="W73">
        <f t="shared" si="58"/>
        <v>31.057976919195127</v>
      </c>
      <c r="X73">
        <f t="shared" si="59"/>
        <v>29.991299999999999</v>
      </c>
      <c r="Y73">
        <f t="shared" si="60"/>
        <v>4.2583212003049224</v>
      </c>
      <c r="Z73">
        <f t="shared" si="61"/>
        <v>65.245894589801551</v>
      </c>
      <c r="AA73">
        <f t="shared" si="62"/>
        <v>2.7949249792431998</v>
      </c>
      <c r="AB73">
        <f t="shared" si="63"/>
        <v>4.2836794511206975</v>
      </c>
      <c r="AC73">
        <f t="shared" si="64"/>
        <v>1.4633962210617226</v>
      </c>
      <c r="AD73">
        <f t="shared" si="65"/>
        <v>-181.42484250777409</v>
      </c>
      <c r="AE73">
        <f t="shared" si="66"/>
        <v>16.251551890013534</v>
      </c>
      <c r="AF73">
        <f t="shared" si="67"/>
        <v>1.2400236625946828</v>
      </c>
      <c r="AG73">
        <f t="shared" si="68"/>
        <v>180.449432689438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51909.087841089276</v>
      </c>
      <c r="AM73" t="s">
        <v>415</v>
      </c>
      <c r="AN73">
        <v>10366.9</v>
      </c>
      <c r="AO73">
        <v>993.59653846153856</v>
      </c>
      <c r="AP73">
        <v>3431.87</v>
      </c>
      <c r="AQ73">
        <f t="shared" si="72"/>
        <v>0.71047955241266758</v>
      </c>
      <c r="AR73">
        <v>-3.9894345373445681</v>
      </c>
      <c r="AS73" t="s">
        <v>709</v>
      </c>
      <c r="AT73">
        <v>10354.200000000001</v>
      </c>
      <c r="AU73">
        <v>829.85280769230769</v>
      </c>
      <c r="AV73">
        <v>1099.4009287002671</v>
      </c>
      <c r="AW73">
        <f t="shared" si="73"/>
        <v>0.24517727243201837</v>
      </c>
      <c r="AX73">
        <v>0.5</v>
      </c>
      <c r="AY73">
        <f t="shared" si="74"/>
        <v>1513.2434998223018</v>
      </c>
      <c r="AZ73">
        <f t="shared" si="75"/>
        <v>36.404015937284889</v>
      </c>
      <c r="BA73">
        <f t="shared" si="76"/>
        <v>185.50645690595672</v>
      </c>
      <c r="BB73">
        <f t="shared" si="77"/>
        <v>2.6693291911957864E-2</v>
      </c>
      <c r="BC73">
        <f t="shared" si="78"/>
        <v>2.1215818637312074</v>
      </c>
      <c r="BD73">
        <f t="shared" si="79"/>
        <v>615.51920367510854</v>
      </c>
      <c r="BE73" t="s">
        <v>710</v>
      </c>
      <c r="BF73">
        <v>611.39</v>
      </c>
      <c r="BG73">
        <f t="shared" si="80"/>
        <v>611.39</v>
      </c>
      <c r="BH73">
        <f t="shared" si="81"/>
        <v>0.4438880448074598</v>
      </c>
      <c r="BI73">
        <f t="shared" si="82"/>
        <v>0.5523403373892759</v>
      </c>
      <c r="BJ73">
        <f t="shared" si="83"/>
        <v>0.82697593008981896</v>
      </c>
      <c r="BK73">
        <f t="shared" si="84"/>
        <v>2.5476080945202058</v>
      </c>
      <c r="BL73">
        <f t="shared" si="85"/>
        <v>0.95660684008266639</v>
      </c>
      <c r="BM73">
        <f t="shared" si="86"/>
        <v>0.40693404390051768</v>
      </c>
      <c r="BN73">
        <f t="shared" si="87"/>
        <v>0.59306595609948232</v>
      </c>
      <c r="BO73">
        <v>2065</v>
      </c>
      <c r="BP73">
        <v>290.00000000000011</v>
      </c>
      <c r="BQ73">
        <v>1031.31</v>
      </c>
      <c r="BR73">
        <v>175</v>
      </c>
      <c r="BS73">
        <v>10354.200000000001</v>
      </c>
      <c r="BT73">
        <v>1029.75</v>
      </c>
      <c r="BU73">
        <v>1.56</v>
      </c>
      <c r="BV73">
        <v>300.00000000000011</v>
      </c>
      <c r="BW73">
        <v>38.4</v>
      </c>
      <c r="BX73">
        <v>1099.4009287002671</v>
      </c>
      <c r="BY73">
        <v>0.97959060563045752</v>
      </c>
      <c r="BZ73">
        <v>-72.115307703934278</v>
      </c>
      <c r="CA73">
        <v>0.82969944367280246</v>
      </c>
      <c r="CB73">
        <v>0.99630735088442035</v>
      </c>
      <c r="CC73">
        <v>-1.1260903893214691E-2</v>
      </c>
      <c r="CD73">
        <v>289.99999999999989</v>
      </c>
      <c r="CE73">
        <v>1025.6600000000001</v>
      </c>
      <c r="CF73">
        <v>685</v>
      </c>
      <c r="CG73">
        <v>10325.799999999999</v>
      </c>
      <c r="CH73">
        <v>1029.56</v>
      </c>
      <c r="CI73">
        <v>-3.9</v>
      </c>
      <c r="CW73">
        <f t="shared" si="88"/>
        <v>1800.07</v>
      </c>
      <c r="CX73">
        <f t="shared" si="89"/>
        <v>1513.2434998223018</v>
      </c>
      <c r="CY73">
        <f t="shared" si="90"/>
        <v>0.84065814097357427</v>
      </c>
      <c r="CZ73">
        <f t="shared" si="91"/>
        <v>0.19131628194714864</v>
      </c>
      <c r="DA73">
        <v>6</v>
      </c>
      <c r="DB73">
        <v>0.5</v>
      </c>
      <c r="DC73" t="s">
        <v>418</v>
      </c>
      <c r="DD73">
        <v>2</v>
      </c>
      <c r="DE73">
        <v>1693337475</v>
      </c>
      <c r="DF73">
        <v>354.74299999999999</v>
      </c>
      <c r="DG73">
        <v>400.12299999999999</v>
      </c>
      <c r="DH73">
        <v>28.218699999999998</v>
      </c>
      <c r="DI73">
        <v>23.427199999999999</v>
      </c>
      <c r="DJ73">
        <v>352.86500000000001</v>
      </c>
      <c r="DK73">
        <v>27.470099999999999</v>
      </c>
      <c r="DL73">
        <v>500.61799999999999</v>
      </c>
      <c r="DM73">
        <v>98.944699999999997</v>
      </c>
      <c r="DN73">
        <v>0.100436</v>
      </c>
      <c r="DO73">
        <v>30.0947</v>
      </c>
      <c r="DP73">
        <v>29.991299999999999</v>
      </c>
      <c r="DQ73">
        <v>999.9</v>
      </c>
      <c r="DR73">
        <v>0</v>
      </c>
      <c r="DS73">
        <v>0</v>
      </c>
      <c r="DT73">
        <v>10025</v>
      </c>
      <c r="DU73">
        <v>0</v>
      </c>
      <c r="DV73">
        <v>1694.39</v>
      </c>
      <c r="DW73">
        <v>-45.380499999999998</v>
      </c>
      <c r="DX73">
        <v>365.04399999999998</v>
      </c>
      <c r="DY73">
        <v>409.72199999999998</v>
      </c>
      <c r="DZ73">
        <v>4.7915400000000004</v>
      </c>
      <c r="EA73">
        <v>400.12299999999999</v>
      </c>
      <c r="EB73">
        <v>23.427199999999999</v>
      </c>
      <c r="EC73">
        <v>2.79209</v>
      </c>
      <c r="ED73">
        <v>2.31799</v>
      </c>
      <c r="EE73">
        <v>22.837399999999999</v>
      </c>
      <c r="EF73">
        <v>19.802</v>
      </c>
      <c r="EG73">
        <v>1800.07</v>
      </c>
      <c r="EH73">
        <v>0.97799899999999995</v>
      </c>
      <c r="EI73">
        <v>2.2001099999999999E-2</v>
      </c>
      <c r="EJ73">
        <v>0</v>
      </c>
      <c r="EK73">
        <v>829.74599999999998</v>
      </c>
      <c r="EL73">
        <v>5.0002700000000004</v>
      </c>
      <c r="EM73">
        <v>15818</v>
      </c>
      <c r="EN73">
        <v>16249.2</v>
      </c>
      <c r="EO73">
        <v>48.686999999999998</v>
      </c>
      <c r="EP73">
        <v>50.625</v>
      </c>
      <c r="EQ73">
        <v>49.875</v>
      </c>
      <c r="ER73">
        <v>50.061999999999998</v>
      </c>
      <c r="ES73">
        <v>50.436999999999998</v>
      </c>
      <c r="ET73">
        <v>1755.58</v>
      </c>
      <c r="EU73">
        <v>39.49</v>
      </c>
      <c r="EV73">
        <v>0</v>
      </c>
      <c r="EW73">
        <v>2316.2000000476842</v>
      </c>
      <c r="EX73">
        <v>0</v>
      </c>
      <c r="EY73">
        <v>829.85280769230769</v>
      </c>
      <c r="EZ73">
        <v>1.02936753510281</v>
      </c>
      <c r="FA73">
        <v>30.044444394316709</v>
      </c>
      <c r="FB73">
        <v>15820.776923076921</v>
      </c>
      <c r="FC73">
        <v>15</v>
      </c>
      <c r="FD73">
        <v>1693337441</v>
      </c>
      <c r="FE73" t="s">
        <v>711</v>
      </c>
      <c r="FF73">
        <v>1693337441</v>
      </c>
      <c r="FG73">
        <v>1693337440</v>
      </c>
      <c r="FH73">
        <v>66</v>
      </c>
      <c r="FI73">
        <v>0.112</v>
      </c>
      <c r="FJ73">
        <v>1.9E-2</v>
      </c>
      <c r="FK73">
        <v>1.881</v>
      </c>
      <c r="FL73">
        <v>0.48199999999999998</v>
      </c>
      <c r="FM73">
        <v>400</v>
      </c>
      <c r="FN73">
        <v>23</v>
      </c>
      <c r="FO73">
        <v>0.11</v>
      </c>
      <c r="FP73">
        <v>0.05</v>
      </c>
      <c r="FQ73">
        <v>36.269138638119102</v>
      </c>
      <c r="FR73">
        <v>0.19692600937940699</v>
      </c>
      <c r="FS73">
        <v>8.2172730918325096E-2</v>
      </c>
      <c r="FT73">
        <v>1</v>
      </c>
      <c r="FU73">
        <v>0.28585014547518578</v>
      </c>
      <c r="FV73">
        <v>-3.3861308956475808E-2</v>
      </c>
      <c r="FW73">
        <v>2.6516952668472309E-3</v>
      </c>
      <c r="FX73">
        <v>1</v>
      </c>
      <c r="FY73">
        <v>2</v>
      </c>
      <c r="FZ73">
        <v>2</v>
      </c>
      <c r="GA73" t="s">
        <v>429</v>
      </c>
      <c r="GB73">
        <v>3.1347900000000002</v>
      </c>
      <c r="GC73">
        <v>2.8658100000000002</v>
      </c>
      <c r="GD73">
        <v>8.2996799999999996E-2</v>
      </c>
      <c r="GE73">
        <v>9.3989500000000004E-2</v>
      </c>
      <c r="GF73">
        <v>0.12661</v>
      </c>
      <c r="GG73">
        <v>0.115997</v>
      </c>
      <c r="GH73">
        <v>27587.9</v>
      </c>
      <c r="GI73">
        <v>21073.5</v>
      </c>
      <c r="GJ73">
        <v>29022.5</v>
      </c>
      <c r="GK73">
        <v>21689.1</v>
      </c>
      <c r="GL73">
        <v>33995.599999999999</v>
      </c>
      <c r="GM73">
        <v>26409.7</v>
      </c>
      <c r="GN73">
        <v>40283.9</v>
      </c>
      <c r="GO73">
        <v>30844.7</v>
      </c>
      <c r="GP73">
        <v>1.9943</v>
      </c>
      <c r="GQ73">
        <v>1.7665999999999999</v>
      </c>
      <c r="GR73">
        <v>8.2999500000000004E-3</v>
      </c>
      <c r="GS73">
        <v>0</v>
      </c>
      <c r="GT73">
        <v>29.856200000000001</v>
      </c>
      <c r="GU73">
        <v>999.9</v>
      </c>
      <c r="GV73">
        <v>41.1</v>
      </c>
      <c r="GW73">
        <v>38.5</v>
      </c>
      <c r="GX73">
        <v>28.411999999999999</v>
      </c>
      <c r="GY73">
        <v>62.241900000000001</v>
      </c>
      <c r="GZ73">
        <v>12.151400000000001</v>
      </c>
      <c r="HA73">
        <v>1</v>
      </c>
      <c r="HB73">
        <v>0.550701</v>
      </c>
      <c r="HC73">
        <v>4.0383199999999997</v>
      </c>
      <c r="HD73">
        <v>20.2895</v>
      </c>
      <c r="HE73">
        <v>5.2346599999999999</v>
      </c>
      <c r="HF73">
        <v>11.98</v>
      </c>
      <c r="HG73">
        <v>4.9753999999999996</v>
      </c>
      <c r="HH73">
        <v>3.2839999999999998</v>
      </c>
      <c r="HI73">
        <v>9999</v>
      </c>
      <c r="HJ73">
        <v>9999</v>
      </c>
      <c r="HK73">
        <v>9999</v>
      </c>
      <c r="HL73">
        <v>999.9</v>
      </c>
      <c r="HM73">
        <v>1.8608199999999999</v>
      </c>
      <c r="HN73">
        <v>1.86249</v>
      </c>
      <c r="HO73">
        <v>1.8678600000000001</v>
      </c>
      <c r="HP73">
        <v>1.8585199999999999</v>
      </c>
      <c r="HQ73">
        <v>1.85697</v>
      </c>
      <c r="HR73">
        <v>1.86066</v>
      </c>
      <c r="HS73">
        <v>1.8644499999999999</v>
      </c>
      <c r="HT73">
        <v>1.8666100000000001</v>
      </c>
      <c r="HU73">
        <v>5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1.8779999999999999</v>
      </c>
      <c r="II73">
        <v>0.74860000000000004</v>
      </c>
      <c r="IJ73">
        <v>1.6700024323473099</v>
      </c>
      <c r="IK73">
        <v>1.118558698776514E-3</v>
      </c>
      <c r="IL73">
        <v>-1.6939696309573479E-6</v>
      </c>
      <c r="IM73">
        <v>5.4698917449866148E-10</v>
      </c>
      <c r="IN73">
        <v>-0.1243629234284178</v>
      </c>
      <c r="IO73">
        <v>-7.6058941998734366E-3</v>
      </c>
      <c r="IP73">
        <v>1.6984902717538061E-3</v>
      </c>
      <c r="IQ73">
        <v>-9.6352527008986976E-6</v>
      </c>
      <c r="IR73">
        <v>2</v>
      </c>
      <c r="IS73">
        <v>2021</v>
      </c>
      <c r="IT73">
        <v>2</v>
      </c>
      <c r="IU73">
        <v>40</v>
      </c>
      <c r="IV73">
        <v>0.6</v>
      </c>
      <c r="IW73">
        <v>0.6</v>
      </c>
      <c r="IX73">
        <v>1.03271</v>
      </c>
      <c r="IY73">
        <v>2.5158700000000001</v>
      </c>
      <c r="IZ73">
        <v>1.34399</v>
      </c>
      <c r="JA73">
        <v>2.2375500000000001</v>
      </c>
      <c r="JB73">
        <v>1.5918000000000001</v>
      </c>
      <c r="JC73">
        <v>2.34009</v>
      </c>
      <c r="JD73">
        <v>40.963799999999999</v>
      </c>
      <c r="JE73">
        <v>15.9445</v>
      </c>
      <c r="JF73">
        <v>18</v>
      </c>
      <c r="JG73">
        <v>508.69900000000001</v>
      </c>
      <c r="JH73">
        <v>406.93200000000002</v>
      </c>
      <c r="JI73">
        <v>24.734200000000001</v>
      </c>
      <c r="JJ73">
        <v>34.315600000000003</v>
      </c>
      <c r="JK73">
        <v>30</v>
      </c>
      <c r="JL73">
        <v>34.106200000000001</v>
      </c>
      <c r="JM73">
        <v>34.045900000000003</v>
      </c>
      <c r="JN73">
        <v>20.748200000000001</v>
      </c>
      <c r="JO73">
        <v>23.234999999999999</v>
      </c>
      <c r="JP73">
        <v>26.5411</v>
      </c>
      <c r="JQ73">
        <v>24.7346</v>
      </c>
      <c r="JR73">
        <v>400</v>
      </c>
      <c r="JS73">
        <v>23.366499999999998</v>
      </c>
      <c r="JT73">
        <v>98.963200000000001</v>
      </c>
      <c r="JU73">
        <v>97.415000000000006</v>
      </c>
    </row>
    <row r="74" spans="1:281" x14ac:dyDescent="0.25">
      <c r="A74">
        <v>58</v>
      </c>
      <c r="B74">
        <v>1693337574.5</v>
      </c>
      <c r="C74">
        <v>15813</v>
      </c>
      <c r="D74" t="s">
        <v>712</v>
      </c>
      <c r="E74" t="s">
        <v>713</v>
      </c>
      <c r="F74" t="s">
        <v>413</v>
      </c>
      <c r="G74" t="s">
        <v>564</v>
      </c>
      <c r="H74" t="s">
        <v>708</v>
      </c>
      <c r="I74" t="s">
        <v>31</v>
      </c>
      <c r="J74">
        <v>1693337574.5</v>
      </c>
      <c r="K74">
        <f t="shared" si="46"/>
        <v>4.163380642712715E-3</v>
      </c>
      <c r="L74">
        <f t="shared" si="47"/>
        <v>4.1633806427127151</v>
      </c>
      <c r="M74">
        <f t="shared" si="48"/>
        <v>28.421123278015525</v>
      </c>
      <c r="N74">
        <f t="shared" si="49"/>
        <v>264.54199999999997</v>
      </c>
      <c r="O74">
        <f t="shared" si="50"/>
        <v>94.004002910910586</v>
      </c>
      <c r="P74">
        <f t="shared" si="51"/>
        <v>9.310824544145671</v>
      </c>
      <c r="Q74">
        <f t="shared" si="52"/>
        <v>26.202119806448195</v>
      </c>
      <c r="R74">
        <f t="shared" si="53"/>
        <v>0.28641125896232938</v>
      </c>
      <c r="S74">
        <f t="shared" si="54"/>
        <v>2.9114519775084915</v>
      </c>
      <c r="T74">
        <f t="shared" si="55"/>
        <v>0.27162834836534416</v>
      </c>
      <c r="U74">
        <f t="shared" si="56"/>
        <v>0.17103229497177108</v>
      </c>
      <c r="V74">
        <f t="shared" si="57"/>
        <v>344.39029964461179</v>
      </c>
      <c r="W74">
        <f t="shared" si="58"/>
        <v>31.104373489928012</v>
      </c>
      <c r="X74">
        <f t="shared" si="59"/>
        <v>30.014299999999999</v>
      </c>
      <c r="Y74">
        <f t="shared" si="60"/>
        <v>4.2639504746123054</v>
      </c>
      <c r="Z74">
        <f t="shared" si="61"/>
        <v>65.145465536084899</v>
      </c>
      <c r="AA74">
        <f t="shared" si="62"/>
        <v>2.7999428611884798</v>
      </c>
      <c r="AB74">
        <f t="shared" si="63"/>
        <v>4.2979858047641946</v>
      </c>
      <c r="AC74">
        <f t="shared" si="64"/>
        <v>1.4640076134238256</v>
      </c>
      <c r="AD74">
        <f t="shared" si="65"/>
        <v>-183.60508634363075</v>
      </c>
      <c r="AE74">
        <f t="shared" si="66"/>
        <v>21.739264563084216</v>
      </c>
      <c r="AF74">
        <f t="shared" si="67"/>
        <v>1.6616270121386152</v>
      </c>
      <c r="AG74">
        <f t="shared" si="68"/>
        <v>184.1861048762039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51788.760244027755</v>
      </c>
      <c r="AM74" t="s">
        <v>415</v>
      </c>
      <c r="AN74">
        <v>10366.9</v>
      </c>
      <c r="AO74">
        <v>993.59653846153856</v>
      </c>
      <c r="AP74">
        <v>3431.87</v>
      </c>
      <c r="AQ74">
        <f t="shared" si="72"/>
        <v>0.71047955241266758</v>
      </c>
      <c r="AR74">
        <v>-3.9894345373445681</v>
      </c>
      <c r="AS74" t="s">
        <v>714</v>
      </c>
      <c r="AT74">
        <v>10343.5</v>
      </c>
      <c r="AU74">
        <v>817.99476923076929</v>
      </c>
      <c r="AV74">
        <v>1032.004562734799</v>
      </c>
      <c r="AW74">
        <f t="shared" si="73"/>
        <v>0.20737291406629688</v>
      </c>
      <c r="AX74">
        <v>0.5</v>
      </c>
      <c r="AY74">
        <f t="shared" si="74"/>
        <v>1513.2770998223057</v>
      </c>
      <c r="AZ74">
        <f t="shared" si="75"/>
        <v>28.421123278015525</v>
      </c>
      <c r="BA74">
        <f t="shared" si="76"/>
        <v>156.90634098997299</v>
      </c>
      <c r="BB74">
        <f t="shared" si="77"/>
        <v>2.1417464005214812E-2</v>
      </c>
      <c r="BC74">
        <f t="shared" si="78"/>
        <v>2.325440723736325</v>
      </c>
      <c r="BD74">
        <f t="shared" si="79"/>
        <v>593.80787881097547</v>
      </c>
      <c r="BE74" t="s">
        <v>715</v>
      </c>
      <c r="BF74">
        <v>599.61</v>
      </c>
      <c r="BG74">
        <f t="shared" si="80"/>
        <v>599.61</v>
      </c>
      <c r="BH74">
        <f t="shared" si="81"/>
        <v>0.41898512695424417</v>
      </c>
      <c r="BI74">
        <f t="shared" si="82"/>
        <v>0.49494099127996799</v>
      </c>
      <c r="BJ74">
        <f t="shared" si="83"/>
        <v>0.84733232021961302</v>
      </c>
      <c r="BK74">
        <f t="shared" si="84"/>
        <v>5.5720073488138917</v>
      </c>
      <c r="BL74">
        <f t="shared" si="85"/>
        <v>0.98424786026706512</v>
      </c>
      <c r="BM74">
        <f t="shared" si="86"/>
        <v>0.36280374758442702</v>
      </c>
      <c r="BN74">
        <f t="shared" si="87"/>
        <v>0.63719625241557298</v>
      </c>
      <c r="BO74">
        <v>2067</v>
      </c>
      <c r="BP74">
        <v>290.00000000000011</v>
      </c>
      <c r="BQ74">
        <v>978.15</v>
      </c>
      <c r="BR74">
        <v>245</v>
      </c>
      <c r="BS74">
        <v>10343.5</v>
      </c>
      <c r="BT74">
        <v>976.59</v>
      </c>
      <c r="BU74">
        <v>1.56</v>
      </c>
      <c r="BV74">
        <v>300.00000000000011</v>
      </c>
      <c r="BW74">
        <v>38.4</v>
      </c>
      <c r="BX74">
        <v>1032.004562734799</v>
      </c>
      <c r="BY74">
        <v>1.329657359828051</v>
      </c>
      <c r="BZ74">
        <v>-57.322693251668063</v>
      </c>
      <c r="CA74">
        <v>1.1262042463997011</v>
      </c>
      <c r="CB74">
        <v>0.98930771383510496</v>
      </c>
      <c r="CC74">
        <v>-1.126074949944383E-2</v>
      </c>
      <c r="CD74">
        <v>289.99999999999989</v>
      </c>
      <c r="CE74">
        <v>975.22</v>
      </c>
      <c r="CF74">
        <v>725</v>
      </c>
      <c r="CG74">
        <v>10322.5</v>
      </c>
      <c r="CH74">
        <v>976.47</v>
      </c>
      <c r="CI74">
        <v>-1.25</v>
      </c>
      <c r="CW74">
        <f t="shared" si="88"/>
        <v>1800.11</v>
      </c>
      <c r="CX74">
        <f t="shared" si="89"/>
        <v>1513.2770998223057</v>
      </c>
      <c r="CY74">
        <f t="shared" si="90"/>
        <v>0.84065812634911519</v>
      </c>
      <c r="CZ74">
        <f t="shared" si="91"/>
        <v>0.19131625269823055</v>
      </c>
      <c r="DA74">
        <v>6</v>
      </c>
      <c r="DB74">
        <v>0.5</v>
      </c>
      <c r="DC74" t="s">
        <v>418</v>
      </c>
      <c r="DD74">
        <v>2</v>
      </c>
      <c r="DE74">
        <v>1693337574.5</v>
      </c>
      <c r="DF74">
        <v>264.54199999999997</v>
      </c>
      <c r="DG74">
        <v>299.99</v>
      </c>
      <c r="DH74">
        <v>28.268799999999999</v>
      </c>
      <c r="DI74">
        <v>23.411100000000001</v>
      </c>
      <c r="DJ74">
        <v>262.774</v>
      </c>
      <c r="DK74">
        <v>27.514500000000002</v>
      </c>
      <c r="DL74">
        <v>499.70400000000001</v>
      </c>
      <c r="DM74">
        <v>98.947199999999995</v>
      </c>
      <c r="DN74">
        <v>9.9907099999999999E-2</v>
      </c>
      <c r="DO74">
        <v>30.152799999999999</v>
      </c>
      <c r="DP74">
        <v>30.014299999999999</v>
      </c>
      <c r="DQ74">
        <v>999.9</v>
      </c>
      <c r="DR74">
        <v>0</v>
      </c>
      <c r="DS74">
        <v>0</v>
      </c>
      <c r="DT74">
        <v>10002.5</v>
      </c>
      <c r="DU74">
        <v>0</v>
      </c>
      <c r="DV74">
        <v>1665.94</v>
      </c>
      <c r="DW74">
        <v>-35.448700000000002</v>
      </c>
      <c r="DX74">
        <v>272.238</v>
      </c>
      <c r="DY74">
        <v>307.18200000000002</v>
      </c>
      <c r="DZ74">
        <v>4.85764</v>
      </c>
      <c r="EA74">
        <v>299.99</v>
      </c>
      <c r="EB74">
        <v>23.411100000000001</v>
      </c>
      <c r="EC74">
        <v>2.79711</v>
      </c>
      <c r="ED74">
        <v>2.3164600000000002</v>
      </c>
      <c r="EE74">
        <v>22.867100000000001</v>
      </c>
      <c r="EF74">
        <v>19.791399999999999</v>
      </c>
      <c r="EG74">
        <v>1800.11</v>
      </c>
      <c r="EH74">
        <v>0.97799899999999995</v>
      </c>
      <c r="EI74">
        <v>2.2001099999999999E-2</v>
      </c>
      <c r="EJ74">
        <v>0</v>
      </c>
      <c r="EK74">
        <v>817.89099999999996</v>
      </c>
      <c r="EL74">
        <v>5.0002700000000004</v>
      </c>
      <c r="EM74">
        <v>15587.9</v>
      </c>
      <c r="EN74">
        <v>16249.6</v>
      </c>
      <c r="EO74">
        <v>48.625</v>
      </c>
      <c r="EP74">
        <v>50.436999999999998</v>
      </c>
      <c r="EQ74">
        <v>49.75</v>
      </c>
      <c r="ER74">
        <v>49.875</v>
      </c>
      <c r="ES74">
        <v>50.311999999999998</v>
      </c>
      <c r="ET74">
        <v>1755.62</v>
      </c>
      <c r="EU74">
        <v>39.49</v>
      </c>
      <c r="EV74">
        <v>0</v>
      </c>
      <c r="EW74">
        <v>97.399999856948853</v>
      </c>
      <c r="EX74">
        <v>0</v>
      </c>
      <c r="EY74">
        <v>817.99476923076929</v>
      </c>
      <c r="EZ74">
        <v>-5.999658122261371</v>
      </c>
      <c r="FA74">
        <v>-88.574359096257538</v>
      </c>
      <c r="FB74">
        <v>15597.58461538462</v>
      </c>
      <c r="FC74">
        <v>15</v>
      </c>
      <c r="FD74">
        <v>1693337544.5</v>
      </c>
      <c r="FE74" t="s">
        <v>716</v>
      </c>
      <c r="FF74">
        <v>1693337540.5</v>
      </c>
      <c r="FG74">
        <v>1693337544.5</v>
      </c>
      <c r="FH74">
        <v>67</v>
      </c>
      <c r="FI74">
        <v>-8.8999999999999996E-2</v>
      </c>
      <c r="FJ74">
        <v>3.0000000000000001E-3</v>
      </c>
      <c r="FK74">
        <v>1.778</v>
      </c>
      <c r="FL74">
        <v>0.47399999999999998</v>
      </c>
      <c r="FM74">
        <v>300</v>
      </c>
      <c r="FN74">
        <v>23</v>
      </c>
      <c r="FO74">
        <v>0.19</v>
      </c>
      <c r="FP74">
        <v>0.05</v>
      </c>
      <c r="FQ74">
        <v>28.40287204623915</v>
      </c>
      <c r="FR74">
        <v>9.226575271364186E-2</v>
      </c>
      <c r="FS74">
        <v>5.6433748527238203E-2</v>
      </c>
      <c r="FT74">
        <v>1</v>
      </c>
      <c r="FU74">
        <v>0.28631208422032201</v>
      </c>
      <c r="FV74">
        <v>2.6766071206640733E-4</v>
      </c>
      <c r="FW74">
        <v>1.286815406364137E-3</v>
      </c>
      <c r="FX74">
        <v>1</v>
      </c>
      <c r="FY74">
        <v>2</v>
      </c>
      <c r="FZ74">
        <v>2</v>
      </c>
      <c r="GA74" t="s">
        <v>429</v>
      </c>
      <c r="GB74">
        <v>3.13374</v>
      </c>
      <c r="GC74">
        <v>2.8650799999999998</v>
      </c>
      <c r="GD74">
        <v>6.5182599999999993E-2</v>
      </c>
      <c r="GE74">
        <v>7.4769299999999997E-2</v>
      </c>
      <c r="GF74">
        <v>0.126774</v>
      </c>
      <c r="GG74">
        <v>0.11595999999999999</v>
      </c>
      <c r="GH74">
        <v>28128.6</v>
      </c>
      <c r="GI74">
        <v>21525.5</v>
      </c>
      <c r="GJ74">
        <v>29026.9</v>
      </c>
      <c r="GK74">
        <v>21693.8</v>
      </c>
      <c r="GL74">
        <v>33992.199999999997</v>
      </c>
      <c r="GM74">
        <v>26414.3</v>
      </c>
      <c r="GN74">
        <v>40290.699999999997</v>
      </c>
      <c r="GO74">
        <v>30850.7</v>
      </c>
      <c r="GP74">
        <v>1.9944</v>
      </c>
      <c r="GQ74">
        <v>1.7697000000000001</v>
      </c>
      <c r="GR74">
        <v>1.6361500000000001E-2</v>
      </c>
      <c r="GS74">
        <v>0</v>
      </c>
      <c r="GT74">
        <v>29.748000000000001</v>
      </c>
      <c r="GU74">
        <v>999.9</v>
      </c>
      <c r="GV74">
        <v>41.1</v>
      </c>
      <c r="GW74">
        <v>38.4</v>
      </c>
      <c r="GX74">
        <v>28.257100000000001</v>
      </c>
      <c r="GY74">
        <v>62.361899999999999</v>
      </c>
      <c r="GZ74">
        <v>12.724399999999999</v>
      </c>
      <c r="HA74">
        <v>1</v>
      </c>
      <c r="HB74">
        <v>0.54170700000000005</v>
      </c>
      <c r="HC74">
        <v>4.00366</v>
      </c>
      <c r="HD74">
        <v>20.290400000000002</v>
      </c>
      <c r="HE74">
        <v>5.2346599999999999</v>
      </c>
      <c r="HF74">
        <v>11.98</v>
      </c>
      <c r="HG74">
        <v>4.9753999999999996</v>
      </c>
      <c r="HH74">
        <v>3.2839999999999998</v>
      </c>
      <c r="HI74">
        <v>9999</v>
      </c>
      <c r="HJ74">
        <v>9999</v>
      </c>
      <c r="HK74">
        <v>9999</v>
      </c>
      <c r="HL74">
        <v>999.9</v>
      </c>
      <c r="HM74">
        <v>1.8608100000000001</v>
      </c>
      <c r="HN74">
        <v>1.86249</v>
      </c>
      <c r="HO74">
        <v>1.8678300000000001</v>
      </c>
      <c r="HP74">
        <v>1.8585199999999999</v>
      </c>
      <c r="HQ74">
        <v>1.8569500000000001</v>
      </c>
      <c r="HR74">
        <v>1.8606400000000001</v>
      </c>
      <c r="HS74">
        <v>1.8644700000000001</v>
      </c>
      <c r="HT74">
        <v>1.86656</v>
      </c>
      <c r="HU74">
        <v>5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1.768</v>
      </c>
      <c r="II74">
        <v>0.75429999999999997</v>
      </c>
      <c r="IJ74">
        <v>1.580630906053905</v>
      </c>
      <c r="IK74">
        <v>1.118558698776514E-3</v>
      </c>
      <c r="IL74">
        <v>-1.6939696309573479E-6</v>
      </c>
      <c r="IM74">
        <v>5.4698917449866148E-10</v>
      </c>
      <c r="IN74">
        <v>-0.12156769023732431</v>
      </c>
      <c r="IO74">
        <v>-7.6058941998734366E-3</v>
      </c>
      <c r="IP74">
        <v>1.6984902717538061E-3</v>
      </c>
      <c r="IQ74">
        <v>-9.6352527008986976E-6</v>
      </c>
      <c r="IR74">
        <v>2</v>
      </c>
      <c r="IS74">
        <v>2021</v>
      </c>
      <c r="IT74">
        <v>2</v>
      </c>
      <c r="IU74">
        <v>40</v>
      </c>
      <c r="IV74">
        <v>0.6</v>
      </c>
      <c r="IW74">
        <v>0.5</v>
      </c>
      <c r="IX74">
        <v>0.82153299999999996</v>
      </c>
      <c r="IY74">
        <v>2.51831</v>
      </c>
      <c r="IZ74">
        <v>1.34399</v>
      </c>
      <c r="JA74">
        <v>2.2375500000000001</v>
      </c>
      <c r="JB74">
        <v>1.5918000000000001</v>
      </c>
      <c r="JC74">
        <v>2.2912599999999999</v>
      </c>
      <c r="JD74">
        <v>40.860799999999998</v>
      </c>
      <c r="JE74">
        <v>15.9358</v>
      </c>
      <c r="JF74">
        <v>18</v>
      </c>
      <c r="JG74">
        <v>508.27600000000001</v>
      </c>
      <c r="JH74">
        <v>408.45499999999998</v>
      </c>
      <c r="JI74">
        <v>24.950099999999999</v>
      </c>
      <c r="JJ74">
        <v>34.230600000000003</v>
      </c>
      <c r="JK74">
        <v>30.0001</v>
      </c>
      <c r="JL74">
        <v>34.047899999999998</v>
      </c>
      <c r="JM74">
        <v>33.987900000000003</v>
      </c>
      <c r="JN74">
        <v>16.522200000000002</v>
      </c>
      <c r="JO74">
        <v>22.7803</v>
      </c>
      <c r="JP74">
        <v>26.694299999999998</v>
      </c>
      <c r="JQ74">
        <v>24.938600000000001</v>
      </c>
      <c r="JR74">
        <v>300</v>
      </c>
      <c r="JS74">
        <v>23.385400000000001</v>
      </c>
      <c r="JT74">
        <v>98.978999999999999</v>
      </c>
      <c r="JU74">
        <v>97.434799999999996</v>
      </c>
    </row>
    <row r="75" spans="1:281" x14ac:dyDescent="0.25">
      <c r="A75">
        <v>59</v>
      </c>
      <c r="B75">
        <v>1693337679.5</v>
      </c>
      <c r="C75">
        <v>15918</v>
      </c>
      <c r="D75" t="s">
        <v>717</v>
      </c>
      <c r="E75" t="s">
        <v>718</v>
      </c>
      <c r="F75" t="s">
        <v>413</v>
      </c>
      <c r="G75" t="s">
        <v>564</v>
      </c>
      <c r="H75" t="s">
        <v>708</v>
      </c>
      <c r="I75" t="s">
        <v>31</v>
      </c>
      <c r="J75">
        <v>1693337679.5</v>
      </c>
      <c r="K75">
        <f t="shared" si="46"/>
        <v>4.3644142788002516E-3</v>
      </c>
      <c r="L75">
        <f t="shared" si="47"/>
        <v>4.3644142788002513</v>
      </c>
      <c r="M75">
        <f t="shared" si="48"/>
        <v>19.660702759337006</v>
      </c>
      <c r="N75">
        <f t="shared" si="49"/>
        <v>175.47200000000001</v>
      </c>
      <c r="O75">
        <f t="shared" si="50"/>
        <v>65.228870465102474</v>
      </c>
      <c r="P75">
        <f t="shared" si="51"/>
        <v>6.4601895323899443</v>
      </c>
      <c r="Q75">
        <f t="shared" si="52"/>
        <v>17.378537594545598</v>
      </c>
      <c r="R75">
        <f t="shared" si="53"/>
        <v>0.30767750462912191</v>
      </c>
      <c r="S75">
        <f t="shared" si="54"/>
        <v>2.9034298401277683</v>
      </c>
      <c r="T75">
        <f t="shared" si="55"/>
        <v>0.29064357720536915</v>
      </c>
      <c r="U75">
        <f t="shared" si="56"/>
        <v>0.18310403562097624</v>
      </c>
      <c r="V75">
        <f t="shared" si="57"/>
        <v>344.35859964448821</v>
      </c>
      <c r="W75">
        <f t="shared" si="58"/>
        <v>31.031637788574436</v>
      </c>
      <c r="X75">
        <f t="shared" si="59"/>
        <v>29.9754</v>
      </c>
      <c r="Y75">
        <f t="shared" si="60"/>
        <v>4.2544334458956543</v>
      </c>
      <c r="Z75">
        <f t="shared" si="61"/>
        <v>65.704619752853233</v>
      </c>
      <c r="AA75">
        <f t="shared" si="62"/>
        <v>2.8203479232435598</v>
      </c>
      <c r="AB75">
        <f t="shared" si="63"/>
        <v>4.2924651780228675</v>
      </c>
      <c r="AC75">
        <f t="shared" si="64"/>
        <v>1.4340855226520945</v>
      </c>
      <c r="AD75">
        <f t="shared" si="65"/>
        <v>-192.47066969509109</v>
      </c>
      <c r="AE75">
        <f t="shared" si="66"/>
        <v>24.26210497885026</v>
      </c>
      <c r="AF75">
        <f t="shared" si="67"/>
        <v>1.8590184950309996</v>
      </c>
      <c r="AG75">
        <f t="shared" si="68"/>
        <v>178.0090534232784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51564.696009161104</v>
      </c>
      <c r="AM75" t="s">
        <v>415</v>
      </c>
      <c r="AN75">
        <v>10366.9</v>
      </c>
      <c r="AO75">
        <v>993.59653846153856</v>
      </c>
      <c r="AP75">
        <v>3431.87</v>
      </c>
      <c r="AQ75">
        <f t="shared" si="72"/>
        <v>0.71047955241266758</v>
      </c>
      <c r="AR75">
        <v>-3.9894345373445681</v>
      </c>
      <c r="AS75" t="s">
        <v>719</v>
      </c>
      <c r="AT75">
        <v>10345.200000000001</v>
      </c>
      <c r="AU75">
        <v>818.23099999999988</v>
      </c>
      <c r="AV75">
        <v>971.62910356991063</v>
      </c>
      <c r="AW75">
        <f t="shared" si="73"/>
        <v>0.1578772218805542</v>
      </c>
      <c r="AX75">
        <v>0.5</v>
      </c>
      <c r="AY75">
        <f t="shared" si="74"/>
        <v>1513.1345998222441</v>
      </c>
      <c r="AZ75">
        <f t="shared" si="75"/>
        <v>19.660702759337006</v>
      </c>
      <c r="BA75">
        <f t="shared" si="76"/>
        <v>119.44474347564001</v>
      </c>
      <c r="BB75">
        <f t="shared" si="77"/>
        <v>1.5629896573285604E-2</v>
      </c>
      <c r="BC75">
        <f t="shared" si="78"/>
        <v>2.5320782255191783</v>
      </c>
      <c r="BD75">
        <f t="shared" si="79"/>
        <v>573.30977826620119</v>
      </c>
      <c r="BE75" t="s">
        <v>720</v>
      </c>
      <c r="BF75">
        <v>594.29999999999995</v>
      </c>
      <c r="BG75">
        <f t="shared" si="80"/>
        <v>594.29999999999995</v>
      </c>
      <c r="BH75">
        <f t="shared" si="81"/>
        <v>0.38834685188365303</v>
      </c>
      <c r="BI75">
        <f t="shared" si="82"/>
        <v>0.40653663372003718</v>
      </c>
      <c r="BJ75">
        <f t="shared" si="83"/>
        <v>0.86702386070831372</v>
      </c>
      <c r="BK75">
        <f t="shared" si="84"/>
        <v>-6.9829774994973448</v>
      </c>
      <c r="BL75">
        <f t="shared" si="85"/>
        <v>1.0090094221333841</v>
      </c>
      <c r="BM75">
        <f t="shared" si="86"/>
        <v>0.29527691008996004</v>
      </c>
      <c r="BN75">
        <f t="shared" si="87"/>
        <v>0.70472308991003996</v>
      </c>
      <c r="BO75">
        <v>2069</v>
      </c>
      <c r="BP75">
        <v>290.00000000000011</v>
      </c>
      <c r="BQ75">
        <v>934.77</v>
      </c>
      <c r="BR75">
        <v>235</v>
      </c>
      <c r="BS75">
        <v>10345.200000000001</v>
      </c>
      <c r="BT75">
        <v>933.17</v>
      </c>
      <c r="BU75">
        <v>1.6</v>
      </c>
      <c r="BV75">
        <v>300.00000000000011</v>
      </c>
      <c r="BW75">
        <v>38.4</v>
      </c>
      <c r="BX75">
        <v>971.62910356991063</v>
      </c>
      <c r="BY75">
        <v>1.0060821620203091</v>
      </c>
      <c r="BZ75">
        <v>-39.781857675034907</v>
      </c>
      <c r="CA75">
        <v>0.85216454669319208</v>
      </c>
      <c r="CB75">
        <v>0.9873149971107511</v>
      </c>
      <c r="CC75">
        <v>-1.1260788209121251E-2</v>
      </c>
      <c r="CD75">
        <v>289.99999999999989</v>
      </c>
      <c r="CE75">
        <v>932.55</v>
      </c>
      <c r="CF75">
        <v>725</v>
      </c>
      <c r="CG75">
        <v>10322.799999999999</v>
      </c>
      <c r="CH75">
        <v>933.09</v>
      </c>
      <c r="CI75">
        <v>-0.54</v>
      </c>
      <c r="CW75">
        <f t="shared" si="88"/>
        <v>1799.94</v>
      </c>
      <c r="CX75">
        <f t="shared" si="89"/>
        <v>1513.1345998222441</v>
      </c>
      <c r="CY75">
        <f t="shared" si="90"/>
        <v>0.84065835517975274</v>
      </c>
      <c r="CZ75">
        <f t="shared" si="91"/>
        <v>0.19131671035950543</v>
      </c>
      <c r="DA75">
        <v>6</v>
      </c>
      <c r="DB75">
        <v>0.5</v>
      </c>
      <c r="DC75" t="s">
        <v>418</v>
      </c>
      <c r="DD75">
        <v>2</v>
      </c>
      <c r="DE75">
        <v>1693337679.5</v>
      </c>
      <c r="DF75">
        <v>175.47200000000001</v>
      </c>
      <c r="DG75">
        <v>199.999</v>
      </c>
      <c r="DH75">
        <v>28.4772</v>
      </c>
      <c r="DI75">
        <v>23.385899999999999</v>
      </c>
      <c r="DJ75">
        <v>173.93700000000001</v>
      </c>
      <c r="DK75">
        <v>27.7042</v>
      </c>
      <c r="DL75">
        <v>499.69099999999997</v>
      </c>
      <c r="DM75">
        <v>98.938999999999993</v>
      </c>
      <c r="DN75">
        <v>9.9807300000000002E-2</v>
      </c>
      <c r="DO75">
        <v>30.130400000000002</v>
      </c>
      <c r="DP75">
        <v>29.9754</v>
      </c>
      <c r="DQ75">
        <v>999.9</v>
      </c>
      <c r="DR75">
        <v>0</v>
      </c>
      <c r="DS75">
        <v>0</v>
      </c>
      <c r="DT75">
        <v>9957.5</v>
      </c>
      <c r="DU75">
        <v>0</v>
      </c>
      <c r="DV75">
        <v>1651.63</v>
      </c>
      <c r="DW75">
        <v>-24.526499999999999</v>
      </c>
      <c r="DX75">
        <v>180.61500000000001</v>
      </c>
      <c r="DY75">
        <v>204.78800000000001</v>
      </c>
      <c r="DZ75">
        <v>5.0913599999999999</v>
      </c>
      <c r="EA75">
        <v>199.999</v>
      </c>
      <c r="EB75">
        <v>23.385899999999999</v>
      </c>
      <c r="EC75">
        <v>2.81751</v>
      </c>
      <c r="ED75">
        <v>2.3137799999999999</v>
      </c>
      <c r="EE75">
        <v>22.986999999999998</v>
      </c>
      <c r="EF75">
        <v>19.772600000000001</v>
      </c>
      <c r="EG75">
        <v>1799.94</v>
      </c>
      <c r="EH75">
        <v>0.97799499999999995</v>
      </c>
      <c r="EI75">
        <v>2.2004699999999999E-2</v>
      </c>
      <c r="EJ75">
        <v>0</v>
      </c>
      <c r="EK75">
        <v>818.04100000000005</v>
      </c>
      <c r="EL75">
        <v>5.0002700000000004</v>
      </c>
      <c r="EM75">
        <v>15589.9</v>
      </c>
      <c r="EN75">
        <v>16248</v>
      </c>
      <c r="EO75">
        <v>48.5</v>
      </c>
      <c r="EP75">
        <v>50.311999999999998</v>
      </c>
      <c r="EQ75">
        <v>49.686999999999998</v>
      </c>
      <c r="ER75">
        <v>49.75</v>
      </c>
      <c r="ES75">
        <v>50.25</v>
      </c>
      <c r="ET75">
        <v>1755.44</v>
      </c>
      <c r="EU75">
        <v>39.5</v>
      </c>
      <c r="EV75">
        <v>0</v>
      </c>
      <c r="EW75">
        <v>102.7999999523163</v>
      </c>
      <c r="EX75">
        <v>0</v>
      </c>
      <c r="EY75">
        <v>818.23099999999988</v>
      </c>
      <c r="EZ75">
        <v>-3.4077265067846909</v>
      </c>
      <c r="FA75">
        <v>-57.049572678185648</v>
      </c>
      <c r="FB75">
        <v>15596.065384615389</v>
      </c>
      <c r="FC75">
        <v>15</v>
      </c>
      <c r="FD75">
        <v>1693337651</v>
      </c>
      <c r="FE75" t="s">
        <v>721</v>
      </c>
      <c r="FF75">
        <v>1693337636</v>
      </c>
      <c r="FG75">
        <v>1693337651</v>
      </c>
      <c r="FH75">
        <v>68</v>
      </c>
      <c r="FI75">
        <v>-0.192</v>
      </c>
      <c r="FJ75">
        <v>7.0000000000000001E-3</v>
      </c>
      <c r="FK75">
        <v>1.548</v>
      </c>
      <c r="FL75">
        <v>0.48299999999999998</v>
      </c>
      <c r="FM75">
        <v>200</v>
      </c>
      <c r="FN75">
        <v>23</v>
      </c>
      <c r="FO75">
        <v>0.22</v>
      </c>
      <c r="FP75">
        <v>0.06</v>
      </c>
      <c r="FQ75">
        <v>19.635562981034418</v>
      </c>
      <c r="FR75">
        <v>9.7242358180353136E-2</v>
      </c>
      <c r="FS75">
        <v>5.6765328648038828E-2</v>
      </c>
      <c r="FT75">
        <v>1</v>
      </c>
      <c r="FU75">
        <v>0.30159797346175921</v>
      </c>
      <c r="FV75">
        <v>4.8062660997788588E-2</v>
      </c>
      <c r="FW75">
        <v>3.9467114778721146E-3</v>
      </c>
      <c r="FX75">
        <v>1</v>
      </c>
      <c r="FY75">
        <v>2</v>
      </c>
      <c r="FZ75">
        <v>2</v>
      </c>
      <c r="GA75" t="s">
        <v>429</v>
      </c>
      <c r="GB75">
        <v>3.1337299999999999</v>
      </c>
      <c r="GC75">
        <v>2.8645900000000002</v>
      </c>
      <c r="GD75">
        <v>4.5402499999999998E-2</v>
      </c>
      <c r="GE75">
        <v>5.2921299999999998E-2</v>
      </c>
      <c r="GF75">
        <v>0.12739900000000001</v>
      </c>
      <c r="GG75">
        <v>0.115883</v>
      </c>
      <c r="GH75">
        <v>28728.1</v>
      </c>
      <c r="GI75">
        <v>22039</v>
      </c>
      <c r="GJ75">
        <v>29030.799999999999</v>
      </c>
      <c r="GK75">
        <v>21698.6</v>
      </c>
      <c r="GL75">
        <v>33968</v>
      </c>
      <c r="GM75">
        <v>26420</v>
      </c>
      <c r="GN75">
        <v>40294.699999999997</v>
      </c>
      <c r="GO75">
        <v>30856.799999999999</v>
      </c>
      <c r="GP75">
        <v>1.9956</v>
      </c>
      <c r="GQ75">
        <v>1.7713000000000001</v>
      </c>
      <c r="GR75">
        <v>1.19507E-2</v>
      </c>
      <c r="GS75">
        <v>0</v>
      </c>
      <c r="GT75">
        <v>29.780899999999999</v>
      </c>
      <c r="GU75">
        <v>999.9</v>
      </c>
      <c r="GV75">
        <v>41.3</v>
      </c>
      <c r="GW75">
        <v>38.299999999999997</v>
      </c>
      <c r="GX75">
        <v>28.245000000000001</v>
      </c>
      <c r="GY75">
        <v>62.361899999999999</v>
      </c>
      <c r="GZ75">
        <v>12.620200000000001</v>
      </c>
      <c r="HA75">
        <v>1</v>
      </c>
      <c r="HB75">
        <v>0.52858700000000003</v>
      </c>
      <c r="HC75">
        <v>3.3961000000000001</v>
      </c>
      <c r="HD75">
        <v>20.3047</v>
      </c>
      <c r="HE75">
        <v>5.2340600000000004</v>
      </c>
      <c r="HF75">
        <v>11.98</v>
      </c>
      <c r="HG75">
        <v>4.9753999999999996</v>
      </c>
      <c r="HH75">
        <v>3.2839999999999998</v>
      </c>
      <c r="HI75">
        <v>9999</v>
      </c>
      <c r="HJ75">
        <v>9999</v>
      </c>
      <c r="HK75">
        <v>9999</v>
      </c>
      <c r="HL75">
        <v>999.9</v>
      </c>
      <c r="HM75">
        <v>1.8608100000000001</v>
      </c>
      <c r="HN75">
        <v>1.86249</v>
      </c>
      <c r="HO75">
        <v>1.8678300000000001</v>
      </c>
      <c r="HP75">
        <v>1.8585199999999999</v>
      </c>
      <c r="HQ75">
        <v>1.8569899999999999</v>
      </c>
      <c r="HR75">
        <v>1.8606400000000001</v>
      </c>
      <c r="HS75">
        <v>1.8644700000000001</v>
      </c>
      <c r="HT75">
        <v>1.86656</v>
      </c>
      <c r="HU75">
        <v>5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1.5349999999999999</v>
      </c>
      <c r="II75">
        <v>0.77300000000000002</v>
      </c>
      <c r="IJ75">
        <v>1.3888323956182329</v>
      </c>
      <c r="IK75">
        <v>1.118558698776514E-3</v>
      </c>
      <c r="IL75">
        <v>-1.6939696309573479E-6</v>
      </c>
      <c r="IM75">
        <v>5.4698917449866148E-10</v>
      </c>
      <c r="IN75">
        <v>-0.1150558023320986</v>
      </c>
      <c r="IO75">
        <v>-7.6058941998734366E-3</v>
      </c>
      <c r="IP75">
        <v>1.6984902717538061E-3</v>
      </c>
      <c r="IQ75">
        <v>-9.6352527008986976E-6</v>
      </c>
      <c r="IR75">
        <v>2</v>
      </c>
      <c r="IS75">
        <v>2021</v>
      </c>
      <c r="IT75">
        <v>2</v>
      </c>
      <c r="IU75">
        <v>40</v>
      </c>
      <c r="IV75">
        <v>0.7</v>
      </c>
      <c r="IW75">
        <v>0.5</v>
      </c>
      <c r="IX75">
        <v>0.60180699999999998</v>
      </c>
      <c r="IY75">
        <v>2.52441</v>
      </c>
      <c r="IZ75">
        <v>1.34399</v>
      </c>
      <c r="JA75">
        <v>2.2375500000000001</v>
      </c>
      <c r="JB75">
        <v>1.5918000000000001</v>
      </c>
      <c r="JC75">
        <v>2.3010299999999999</v>
      </c>
      <c r="JD75">
        <v>40.783700000000003</v>
      </c>
      <c r="JE75">
        <v>15.9358</v>
      </c>
      <c r="JF75">
        <v>18</v>
      </c>
      <c r="JG75">
        <v>508.43200000000002</v>
      </c>
      <c r="JH75">
        <v>408.935</v>
      </c>
      <c r="JI75">
        <v>24.892900000000001</v>
      </c>
      <c r="JJ75">
        <v>34.134700000000002</v>
      </c>
      <c r="JK75">
        <v>29.997699999999998</v>
      </c>
      <c r="JL75">
        <v>33.971400000000003</v>
      </c>
      <c r="JM75">
        <v>33.914700000000003</v>
      </c>
      <c r="JN75">
        <v>12.1248</v>
      </c>
      <c r="JO75">
        <v>22.860600000000002</v>
      </c>
      <c r="JP75">
        <v>26.9283</v>
      </c>
      <c r="JQ75">
        <v>24.902999999999999</v>
      </c>
      <c r="JR75">
        <v>200</v>
      </c>
      <c r="JS75">
        <v>23.2562</v>
      </c>
      <c r="JT75">
        <v>98.990300000000005</v>
      </c>
      <c r="JU75">
        <v>97.455200000000005</v>
      </c>
    </row>
    <row r="76" spans="1:281" x14ac:dyDescent="0.25">
      <c r="A76">
        <v>60</v>
      </c>
      <c r="B76">
        <v>1693337779</v>
      </c>
      <c r="C76">
        <v>16017.5</v>
      </c>
      <c r="D76" t="s">
        <v>722</v>
      </c>
      <c r="E76" t="s">
        <v>723</v>
      </c>
      <c r="F76" t="s">
        <v>413</v>
      </c>
      <c r="G76" t="s">
        <v>564</v>
      </c>
      <c r="H76" t="s">
        <v>708</v>
      </c>
      <c r="I76" t="s">
        <v>31</v>
      </c>
      <c r="J76">
        <v>1693337779</v>
      </c>
      <c r="K76">
        <f t="shared" si="46"/>
        <v>4.6795482670326681E-3</v>
      </c>
      <c r="L76">
        <f t="shared" si="47"/>
        <v>4.6795482670326685</v>
      </c>
      <c r="M76">
        <f t="shared" si="48"/>
        <v>12.502657610313285</v>
      </c>
      <c r="N76">
        <f t="shared" si="49"/>
        <v>104.34699999999999</v>
      </c>
      <c r="O76">
        <f t="shared" si="50"/>
        <v>38.903056655825324</v>
      </c>
      <c r="P76">
        <f t="shared" si="51"/>
        <v>3.8526734978718449</v>
      </c>
      <c r="Q76">
        <f t="shared" si="52"/>
        <v>10.3337618182307</v>
      </c>
      <c r="R76">
        <f t="shared" si="53"/>
        <v>0.33077069881360127</v>
      </c>
      <c r="S76">
        <f t="shared" si="54"/>
        <v>2.9090118213623457</v>
      </c>
      <c r="T76">
        <f t="shared" si="55"/>
        <v>0.31120643954097876</v>
      </c>
      <c r="U76">
        <f t="shared" si="56"/>
        <v>0.19616529401332389</v>
      </c>
      <c r="V76">
        <f t="shared" si="57"/>
        <v>344.36619964449613</v>
      </c>
      <c r="W76">
        <f t="shared" si="58"/>
        <v>30.988438714286204</v>
      </c>
      <c r="X76">
        <f t="shared" si="59"/>
        <v>29.988900000000001</v>
      </c>
      <c r="Y76">
        <f t="shared" si="60"/>
        <v>4.2577341711227668</v>
      </c>
      <c r="Z76">
        <f t="shared" si="61"/>
        <v>65.5857427149503</v>
      </c>
      <c r="AA76">
        <f t="shared" si="62"/>
        <v>2.82182694157459</v>
      </c>
      <c r="AB76">
        <f t="shared" si="63"/>
        <v>4.3025005508268084</v>
      </c>
      <c r="AC76">
        <f t="shared" si="64"/>
        <v>1.4359072295481767</v>
      </c>
      <c r="AD76">
        <f t="shared" si="65"/>
        <v>-206.36807857614068</v>
      </c>
      <c r="AE76">
        <f t="shared" si="66"/>
        <v>28.574543576080561</v>
      </c>
      <c r="AF76">
        <f t="shared" si="67"/>
        <v>2.1858325997042352</v>
      </c>
      <c r="AG76">
        <f t="shared" si="68"/>
        <v>168.75849724414024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51716.028551349023</v>
      </c>
      <c r="AM76" t="s">
        <v>415</v>
      </c>
      <c r="AN76">
        <v>10366.9</v>
      </c>
      <c r="AO76">
        <v>993.59653846153856</v>
      </c>
      <c r="AP76">
        <v>3431.87</v>
      </c>
      <c r="AQ76">
        <f t="shared" si="72"/>
        <v>0.71047955241266758</v>
      </c>
      <c r="AR76">
        <v>-3.9894345373445681</v>
      </c>
      <c r="AS76" t="s">
        <v>724</v>
      </c>
      <c r="AT76">
        <v>10341.5</v>
      </c>
      <c r="AU76">
        <v>825.01469230769237</v>
      </c>
      <c r="AV76">
        <v>937.13201403891139</v>
      </c>
      <c r="AW76">
        <f t="shared" si="73"/>
        <v>0.11963877026034853</v>
      </c>
      <c r="AX76">
        <v>0.5</v>
      </c>
      <c r="AY76">
        <f t="shared" si="74"/>
        <v>1513.168199822248</v>
      </c>
      <c r="AZ76">
        <f t="shared" si="75"/>
        <v>12.502657610313285</v>
      </c>
      <c r="BA76">
        <f t="shared" si="76"/>
        <v>90.516791311899539</v>
      </c>
      <c r="BB76">
        <f t="shared" si="77"/>
        <v>1.0899047541175648E-2</v>
      </c>
      <c r="BC76">
        <f t="shared" si="78"/>
        <v>2.662098774332879</v>
      </c>
      <c r="BD76">
        <f t="shared" si="79"/>
        <v>561.12191024735102</v>
      </c>
      <c r="BE76" t="s">
        <v>725</v>
      </c>
      <c r="BF76">
        <v>600.76</v>
      </c>
      <c r="BG76">
        <f t="shared" si="80"/>
        <v>600.76</v>
      </c>
      <c r="BH76">
        <f t="shared" si="81"/>
        <v>0.35893770461345553</v>
      </c>
      <c r="BI76">
        <f t="shared" si="82"/>
        <v>0.33331346560314418</v>
      </c>
      <c r="BJ76">
        <f t="shared" si="83"/>
        <v>0.88118723255581333</v>
      </c>
      <c r="BK76">
        <f t="shared" si="84"/>
        <v>-1.9856241220069495</v>
      </c>
      <c r="BL76">
        <f t="shared" si="85"/>
        <v>1.023157584788295</v>
      </c>
      <c r="BM76">
        <f t="shared" si="86"/>
        <v>0.24271252313778688</v>
      </c>
      <c r="BN76">
        <f t="shared" si="87"/>
        <v>0.75728747686221309</v>
      </c>
      <c r="BO76">
        <v>2071</v>
      </c>
      <c r="BP76">
        <v>290.00000000000011</v>
      </c>
      <c r="BQ76">
        <v>906.95</v>
      </c>
      <c r="BR76">
        <v>265</v>
      </c>
      <c r="BS76">
        <v>10341.5</v>
      </c>
      <c r="BT76">
        <v>906.91</v>
      </c>
      <c r="BU76">
        <v>0.04</v>
      </c>
      <c r="BV76">
        <v>300.00000000000011</v>
      </c>
      <c r="BW76">
        <v>38.4</v>
      </c>
      <c r="BX76">
        <v>937.13201403891139</v>
      </c>
      <c r="BY76">
        <v>0.93094786155491915</v>
      </c>
      <c r="BZ76">
        <v>-31.249716999159791</v>
      </c>
      <c r="CA76">
        <v>0.78854904059809561</v>
      </c>
      <c r="CB76">
        <v>0.98248345239141532</v>
      </c>
      <c r="CC76">
        <v>-1.126101579532815E-2</v>
      </c>
      <c r="CD76">
        <v>289.99999999999989</v>
      </c>
      <c r="CE76">
        <v>906.13</v>
      </c>
      <c r="CF76">
        <v>685</v>
      </c>
      <c r="CG76">
        <v>10326.5</v>
      </c>
      <c r="CH76">
        <v>906.87</v>
      </c>
      <c r="CI76">
        <v>-0.74</v>
      </c>
      <c r="CW76">
        <f t="shared" si="88"/>
        <v>1799.98</v>
      </c>
      <c r="CX76">
        <f t="shared" si="89"/>
        <v>1513.168199822248</v>
      </c>
      <c r="CY76">
        <f t="shared" si="90"/>
        <v>0.84065834054947719</v>
      </c>
      <c r="CZ76">
        <f t="shared" si="91"/>
        <v>0.1913166810989545</v>
      </c>
      <c r="DA76">
        <v>6</v>
      </c>
      <c r="DB76">
        <v>0.5</v>
      </c>
      <c r="DC76" t="s">
        <v>418</v>
      </c>
      <c r="DD76">
        <v>2</v>
      </c>
      <c r="DE76">
        <v>1693337779</v>
      </c>
      <c r="DF76">
        <v>104.34699999999999</v>
      </c>
      <c r="DG76">
        <v>119.952</v>
      </c>
      <c r="DH76">
        <v>28.4939</v>
      </c>
      <c r="DI76">
        <v>23.032900000000001</v>
      </c>
      <c r="DJ76">
        <v>102.83199999999999</v>
      </c>
      <c r="DK76">
        <v>27.716100000000001</v>
      </c>
      <c r="DL76">
        <v>499.49200000000002</v>
      </c>
      <c r="DM76">
        <v>98.9328</v>
      </c>
      <c r="DN76">
        <v>9.9868100000000001E-2</v>
      </c>
      <c r="DO76">
        <v>30.171099999999999</v>
      </c>
      <c r="DP76">
        <v>29.988900000000001</v>
      </c>
      <c r="DQ76">
        <v>999.9</v>
      </c>
      <c r="DR76">
        <v>0</v>
      </c>
      <c r="DS76">
        <v>0</v>
      </c>
      <c r="DT76">
        <v>9990</v>
      </c>
      <c r="DU76">
        <v>0</v>
      </c>
      <c r="DV76">
        <v>1661.73</v>
      </c>
      <c r="DW76">
        <v>-15.605399999999999</v>
      </c>
      <c r="DX76">
        <v>107.407</v>
      </c>
      <c r="DY76">
        <v>122.78</v>
      </c>
      <c r="DZ76">
        <v>5.4609899999999998</v>
      </c>
      <c r="EA76">
        <v>119.952</v>
      </c>
      <c r="EB76">
        <v>23.032900000000001</v>
      </c>
      <c r="EC76">
        <v>2.8189799999999998</v>
      </c>
      <c r="ED76">
        <v>2.2787099999999998</v>
      </c>
      <c r="EE76">
        <v>22.995699999999999</v>
      </c>
      <c r="EF76">
        <v>19.526700000000002</v>
      </c>
      <c r="EG76">
        <v>1799.98</v>
      </c>
      <c r="EH76">
        <v>0.97799499999999995</v>
      </c>
      <c r="EI76">
        <v>2.2004699999999999E-2</v>
      </c>
      <c r="EJ76">
        <v>0</v>
      </c>
      <c r="EK76">
        <v>824.529</v>
      </c>
      <c r="EL76">
        <v>5.0002700000000004</v>
      </c>
      <c r="EM76">
        <v>15705.6</v>
      </c>
      <c r="EN76">
        <v>16248.4</v>
      </c>
      <c r="EO76">
        <v>48.436999999999998</v>
      </c>
      <c r="EP76">
        <v>50.25</v>
      </c>
      <c r="EQ76">
        <v>49.561999999999998</v>
      </c>
      <c r="ER76">
        <v>49.686999999999998</v>
      </c>
      <c r="ES76">
        <v>50.186999999999998</v>
      </c>
      <c r="ET76">
        <v>1755.48</v>
      </c>
      <c r="EU76">
        <v>39.5</v>
      </c>
      <c r="EV76">
        <v>0</v>
      </c>
      <c r="EW76">
        <v>97.799999952316284</v>
      </c>
      <c r="EX76">
        <v>0</v>
      </c>
      <c r="EY76">
        <v>825.01469230769237</v>
      </c>
      <c r="EZ76">
        <v>-3.5011965817335389</v>
      </c>
      <c r="FA76">
        <v>-67.251281829896499</v>
      </c>
      <c r="FB76">
        <v>15714.288461538459</v>
      </c>
      <c r="FC76">
        <v>15</v>
      </c>
      <c r="FD76">
        <v>1693337750</v>
      </c>
      <c r="FE76" t="s">
        <v>726</v>
      </c>
      <c r="FF76">
        <v>1693337744</v>
      </c>
      <c r="FG76">
        <v>1693337750</v>
      </c>
      <c r="FH76">
        <v>69</v>
      </c>
      <c r="FI76">
        <v>2.9000000000000001E-2</v>
      </c>
      <c r="FJ76">
        <v>4.0000000000000001E-3</v>
      </c>
      <c r="FK76">
        <v>1.5269999999999999</v>
      </c>
      <c r="FL76">
        <v>0.46800000000000003</v>
      </c>
      <c r="FM76">
        <v>120</v>
      </c>
      <c r="FN76">
        <v>23</v>
      </c>
      <c r="FO76">
        <v>0.35</v>
      </c>
      <c r="FP76">
        <v>0.06</v>
      </c>
      <c r="FQ76">
        <v>12.47853286019946</v>
      </c>
      <c r="FR76">
        <v>0.5435624939677447</v>
      </c>
      <c r="FS76">
        <v>6.0158650858488129E-2</v>
      </c>
      <c r="FT76">
        <v>1</v>
      </c>
      <c r="FU76">
        <v>0.32880154236539361</v>
      </c>
      <c r="FV76">
        <v>1.7012117808073129E-2</v>
      </c>
      <c r="FW76">
        <v>1.9402375216828281E-3</v>
      </c>
      <c r="FX76">
        <v>1</v>
      </c>
      <c r="FY76">
        <v>2</v>
      </c>
      <c r="FZ76">
        <v>2</v>
      </c>
      <c r="GA76" t="s">
        <v>429</v>
      </c>
      <c r="GB76">
        <v>3.1334200000000001</v>
      </c>
      <c r="GC76">
        <v>2.8649300000000002</v>
      </c>
      <c r="GD76">
        <v>2.77793E-2</v>
      </c>
      <c r="GE76">
        <v>3.3120700000000003E-2</v>
      </c>
      <c r="GF76">
        <v>0.12745200000000001</v>
      </c>
      <c r="GG76">
        <v>0.114672</v>
      </c>
      <c r="GH76">
        <v>29263.599999999999</v>
      </c>
      <c r="GI76">
        <v>22504.1</v>
      </c>
      <c r="GJ76">
        <v>29035.599999999999</v>
      </c>
      <c r="GK76">
        <v>21702.7</v>
      </c>
      <c r="GL76">
        <v>33969.300000000003</v>
      </c>
      <c r="GM76">
        <v>26459.200000000001</v>
      </c>
      <c r="GN76">
        <v>40302</v>
      </c>
      <c r="GO76">
        <v>30862.400000000001</v>
      </c>
      <c r="GP76">
        <v>1.9968999999999999</v>
      </c>
      <c r="GQ76">
        <v>1.7725</v>
      </c>
      <c r="GR76">
        <v>1.36942E-2</v>
      </c>
      <c r="GS76">
        <v>0</v>
      </c>
      <c r="GT76">
        <v>29.765999999999998</v>
      </c>
      <c r="GU76">
        <v>999.9</v>
      </c>
      <c r="GV76">
        <v>41.3</v>
      </c>
      <c r="GW76">
        <v>38.200000000000003</v>
      </c>
      <c r="GX76">
        <v>28.093800000000002</v>
      </c>
      <c r="GY76">
        <v>62.261899999999997</v>
      </c>
      <c r="GZ76">
        <v>12.6562</v>
      </c>
      <c r="HA76">
        <v>1</v>
      </c>
      <c r="HB76">
        <v>0.52471500000000004</v>
      </c>
      <c r="HC76">
        <v>3.9644300000000001</v>
      </c>
      <c r="HD76">
        <v>20.292000000000002</v>
      </c>
      <c r="HE76">
        <v>5.23346</v>
      </c>
      <c r="HF76">
        <v>11.98</v>
      </c>
      <c r="HG76">
        <v>4.9749999999999996</v>
      </c>
      <c r="HH76">
        <v>3.2839999999999998</v>
      </c>
      <c r="HI76">
        <v>9999</v>
      </c>
      <c r="HJ76">
        <v>9999</v>
      </c>
      <c r="HK76">
        <v>9999</v>
      </c>
      <c r="HL76">
        <v>999.9</v>
      </c>
      <c r="HM76">
        <v>1.8608100000000001</v>
      </c>
      <c r="HN76">
        <v>1.86249</v>
      </c>
      <c r="HO76">
        <v>1.8678300000000001</v>
      </c>
      <c r="HP76">
        <v>1.8585199999999999</v>
      </c>
      <c r="HQ76">
        <v>1.85697</v>
      </c>
      <c r="HR76">
        <v>1.86063</v>
      </c>
      <c r="HS76">
        <v>1.8644700000000001</v>
      </c>
      <c r="HT76">
        <v>1.8666100000000001</v>
      </c>
      <c r="HU76">
        <v>5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1.5149999999999999</v>
      </c>
      <c r="II76">
        <v>0.77780000000000005</v>
      </c>
      <c r="IJ76">
        <v>1.4174751941789809</v>
      </c>
      <c r="IK76">
        <v>1.118558698776514E-3</v>
      </c>
      <c r="IL76">
        <v>-1.6939696309573479E-6</v>
      </c>
      <c r="IM76">
        <v>5.4698917449866148E-10</v>
      </c>
      <c r="IN76">
        <v>-0.11104482814005311</v>
      </c>
      <c r="IO76">
        <v>-7.6058941998734366E-3</v>
      </c>
      <c r="IP76">
        <v>1.6984902717538061E-3</v>
      </c>
      <c r="IQ76">
        <v>-9.6352527008986976E-6</v>
      </c>
      <c r="IR76">
        <v>2</v>
      </c>
      <c r="IS76">
        <v>2021</v>
      </c>
      <c r="IT76">
        <v>2</v>
      </c>
      <c r="IU76">
        <v>40</v>
      </c>
      <c r="IV76">
        <v>0.6</v>
      </c>
      <c r="IW76">
        <v>0.5</v>
      </c>
      <c r="IX76">
        <v>0.41992200000000002</v>
      </c>
      <c r="IY76">
        <v>2.5451700000000002</v>
      </c>
      <c r="IZ76">
        <v>1.34399</v>
      </c>
      <c r="JA76">
        <v>2.2375500000000001</v>
      </c>
      <c r="JB76">
        <v>1.5918000000000001</v>
      </c>
      <c r="JC76">
        <v>2.2949199999999998</v>
      </c>
      <c r="JD76">
        <v>40.706699999999998</v>
      </c>
      <c r="JE76">
        <v>15.9095</v>
      </c>
      <c r="JF76">
        <v>18</v>
      </c>
      <c r="JG76">
        <v>508.63400000000001</v>
      </c>
      <c r="JH76">
        <v>409.14400000000001</v>
      </c>
      <c r="JI76">
        <v>24.907</v>
      </c>
      <c r="JJ76">
        <v>34.043900000000001</v>
      </c>
      <c r="JK76">
        <v>29.999600000000001</v>
      </c>
      <c r="JL76">
        <v>33.892499999999998</v>
      </c>
      <c r="JM76">
        <v>33.838900000000002</v>
      </c>
      <c r="JN76">
        <v>8.4821200000000001</v>
      </c>
      <c r="JO76">
        <v>24.081700000000001</v>
      </c>
      <c r="JP76">
        <v>26.935400000000001</v>
      </c>
      <c r="JQ76">
        <v>24.906600000000001</v>
      </c>
      <c r="JR76">
        <v>120</v>
      </c>
      <c r="JS76">
        <v>22.916599999999999</v>
      </c>
      <c r="JT76">
        <v>99.007599999999996</v>
      </c>
      <c r="JU76">
        <v>97.472999999999999</v>
      </c>
    </row>
    <row r="77" spans="1:281" x14ac:dyDescent="0.25">
      <c r="A77">
        <v>61</v>
      </c>
      <c r="B77">
        <v>1693337885.5</v>
      </c>
      <c r="C77">
        <v>16124</v>
      </c>
      <c r="D77" t="s">
        <v>727</v>
      </c>
      <c r="E77" t="s">
        <v>728</v>
      </c>
      <c r="F77" t="s">
        <v>413</v>
      </c>
      <c r="G77" t="s">
        <v>564</v>
      </c>
      <c r="H77" t="s">
        <v>708</v>
      </c>
      <c r="I77" t="s">
        <v>31</v>
      </c>
      <c r="J77">
        <v>1693337885.5</v>
      </c>
      <c r="K77">
        <f t="shared" si="46"/>
        <v>5.1474486225105273E-3</v>
      </c>
      <c r="L77">
        <f t="shared" si="47"/>
        <v>5.1474486225105274</v>
      </c>
      <c r="M77">
        <f t="shared" si="48"/>
        <v>7.92953694231438</v>
      </c>
      <c r="N77">
        <f t="shared" si="49"/>
        <v>60.157299999999999</v>
      </c>
      <c r="O77">
        <f t="shared" si="50"/>
        <v>22.587745113306799</v>
      </c>
      <c r="P77">
        <f t="shared" si="51"/>
        <v>2.2368597838944457</v>
      </c>
      <c r="Q77">
        <f t="shared" si="52"/>
        <v>5.9573651288636098</v>
      </c>
      <c r="R77">
        <f t="shared" si="53"/>
        <v>0.36745928429742553</v>
      </c>
      <c r="S77">
        <f t="shared" si="54"/>
        <v>2.9163844572792619</v>
      </c>
      <c r="T77">
        <f t="shared" si="55"/>
        <v>0.34353938720074167</v>
      </c>
      <c r="U77">
        <f t="shared" si="56"/>
        <v>0.21673133741178319</v>
      </c>
      <c r="V77">
        <f t="shared" si="57"/>
        <v>344.39279964452373</v>
      </c>
      <c r="W77">
        <f t="shared" si="58"/>
        <v>30.873345134462685</v>
      </c>
      <c r="X77">
        <f t="shared" si="59"/>
        <v>29.992699999999999</v>
      </c>
      <c r="Y77">
        <f t="shared" si="60"/>
        <v>4.2586636665673865</v>
      </c>
      <c r="Z77">
        <f t="shared" si="61"/>
        <v>65.695277453193199</v>
      </c>
      <c r="AA77">
        <f t="shared" si="62"/>
        <v>2.8279344579274803</v>
      </c>
      <c r="AB77">
        <f t="shared" si="63"/>
        <v>4.3046236617880744</v>
      </c>
      <c r="AC77">
        <f t="shared" si="64"/>
        <v>1.4307292086399062</v>
      </c>
      <c r="AD77">
        <f t="shared" si="65"/>
        <v>-227.00248425271425</v>
      </c>
      <c r="AE77">
        <f t="shared" si="66"/>
        <v>29.40165822697719</v>
      </c>
      <c r="AF77">
        <f t="shared" si="67"/>
        <v>2.2435553437517863</v>
      </c>
      <c r="AG77">
        <f t="shared" si="68"/>
        <v>149.03552896253845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51923.976243571342</v>
      </c>
      <c r="AM77" t="s">
        <v>415</v>
      </c>
      <c r="AN77">
        <v>10366.9</v>
      </c>
      <c r="AO77">
        <v>993.59653846153856</v>
      </c>
      <c r="AP77">
        <v>3431.87</v>
      </c>
      <c r="AQ77">
        <f t="shared" si="72"/>
        <v>0.71047955241266758</v>
      </c>
      <c r="AR77">
        <v>-3.9894345373445681</v>
      </c>
      <c r="AS77" t="s">
        <v>729</v>
      </c>
      <c r="AT77">
        <v>10340.9</v>
      </c>
      <c r="AU77">
        <v>830.06208000000004</v>
      </c>
      <c r="AV77">
        <v>911.19516932774707</v>
      </c>
      <c r="AW77">
        <f t="shared" si="73"/>
        <v>8.9040297906325172E-2</v>
      </c>
      <c r="AX77">
        <v>0.5</v>
      </c>
      <c r="AY77">
        <f t="shared" si="74"/>
        <v>1513.2857998222619</v>
      </c>
      <c r="AZ77">
        <f t="shared" si="75"/>
        <v>7.92953694231438</v>
      </c>
      <c r="BA77">
        <f t="shared" si="76"/>
        <v>67.37170921679288</v>
      </c>
      <c r="BB77">
        <f t="shared" si="77"/>
        <v>7.8762197339450699E-3</v>
      </c>
      <c r="BC77">
        <f t="shared" si="78"/>
        <v>2.7663391066174468</v>
      </c>
      <c r="BD77">
        <f t="shared" si="79"/>
        <v>551.71862030752754</v>
      </c>
      <c r="BE77" t="s">
        <v>730</v>
      </c>
      <c r="BF77">
        <v>610.29999999999995</v>
      </c>
      <c r="BG77">
        <f t="shared" si="80"/>
        <v>610.29999999999995</v>
      </c>
      <c r="BH77">
        <f t="shared" si="81"/>
        <v>0.33022032980018834</v>
      </c>
      <c r="BI77">
        <f t="shared" si="82"/>
        <v>0.2696390557183509</v>
      </c>
      <c r="BJ77">
        <f t="shared" si="83"/>
        <v>0.89335895642222352</v>
      </c>
      <c r="BK77">
        <f t="shared" si="84"/>
        <v>-0.98460851052140641</v>
      </c>
      <c r="BL77">
        <f t="shared" si="85"/>
        <v>1.0337949661650334</v>
      </c>
      <c r="BM77">
        <f t="shared" si="86"/>
        <v>0.19825109430960819</v>
      </c>
      <c r="BN77">
        <f t="shared" si="87"/>
        <v>0.80174890569039181</v>
      </c>
      <c r="BO77">
        <v>2073</v>
      </c>
      <c r="BP77">
        <v>290.00000000000011</v>
      </c>
      <c r="BQ77">
        <v>889.65</v>
      </c>
      <c r="BR77">
        <v>275</v>
      </c>
      <c r="BS77">
        <v>10340.9</v>
      </c>
      <c r="BT77">
        <v>889.24</v>
      </c>
      <c r="BU77">
        <v>0.41</v>
      </c>
      <c r="BV77">
        <v>300.00000000000011</v>
      </c>
      <c r="BW77">
        <v>38.4</v>
      </c>
      <c r="BX77">
        <v>911.19516932774707</v>
      </c>
      <c r="BY77">
        <v>1.0632134110752809</v>
      </c>
      <c r="BZ77">
        <v>-22.704158101072419</v>
      </c>
      <c r="CA77">
        <v>0.90063627954514358</v>
      </c>
      <c r="CB77">
        <v>0.95779921049533001</v>
      </c>
      <c r="CC77">
        <v>-1.1261880088987781E-2</v>
      </c>
      <c r="CD77">
        <v>289.99999999999989</v>
      </c>
      <c r="CE77">
        <v>888</v>
      </c>
      <c r="CF77">
        <v>685</v>
      </c>
      <c r="CG77">
        <v>10327</v>
      </c>
      <c r="CH77">
        <v>889.21</v>
      </c>
      <c r="CI77">
        <v>-1.21</v>
      </c>
      <c r="CW77">
        <f t="shared" si="88"/>
        <v>1800.12</v>
      </c>
      <c r="CX77">
        <f t="shared" si="89"/>
        <v>1513.2857998222619</v>
      </c>
      <c r="CY77">
        <f t="shared" si="90"/>
        <v>0.8406582893486334</v>
      </c>
      <c r="CZ77">
        <f t="shared" si="91"/>
        <v>0.1913165786972667</v>
      </c>
      <c r="DA77">
        <v>6</v>
      </c>
      <c r="DB77">
        <v>0.5</v>
      </c>
      <c r="DC77" t="s">
        <v>418</v>
      </c>
      <c r="DD77">
        <v>2</v>
      </c>
      <c r="DE77">
        <v>1693337885.5</v>
      </c>
      <c r="DF77">
        <v>60.157299999999999</v>
      </c>
      <c r="DG77">
        <v>70.040300000000002</v>
      </c>
      <c r="DH77">
        <v>28.5564</v>
      </c>
      <c r="DI77">
        <v>22.558299999999999</v>
      </c>
      <c r="DJ77">
        <v>58.648800000000001</v>
      </c>
      <c r="DK77">
        <v>27.776199999999999</v>
      </c>
      <c r="DL77">
        <v>500.20400000000001</v>
      </c>
      <c r="DM77">
        <v>98.929900000000004</v>
      </c>
      <c r="DN77">
        <v>9.9895700000000004E-2</v>
      </c>
      <c r="DO77">
        <v>30.1797</v>
      </c>
      <c r="DP77">
        <v>29.992699999999999</v>
      </c>
      <c r="DQ77">
        <v>999.9</v>
      </c>
      <c r="DR77">
        <v>0</v>
      </c>
      <c r="DS77">
        <v>0</v>
      </c>
      <c r="DT77">
        <v>10032.5</v>
      </c>
      <c r="DU77">
        <v>0</v>
      </c>
      <c r="DV77">
        <v>1683.33</v>
      </c>
      <c r="DW77">
        <v>-9.8829999999999991</v>
      </c>
      <c r="DX77">
        <v>61.925699999999999</v>
      </c>
      <c r="DY77">
        <v>71.656800000000004</v>
      </c>
      <c r="DZ77">
        <v>5.9980799999999999</v>
      </c>
      <c r="EA77">
        <v>70.040300000000002</v>
      </c>
      <c r="EB77">
        <v>22.558299999999999</v>
      </c>
      <c r="EC77">
        <v>2.8250799999999998</v>
      </c>
      <c r="ED77">
        <v>2.23169</v>
      </c>
      <c r="EE77">
        <v>23.031400000000001</v>
      </c>
      <c r="EF77">
        <v>19.191600000000001</v>
      </c>
      <c r="EG77">
        <v>1800.12</v>
      </c>
      <c r="EH77">
        <v>0.97799499999999995</v>
      </c>
      <c r="EI77">
        <v>2.2004800000000001E-2</v>
      </c>
      <c r="EJ77">
        <v>0</v>
      </c>
      <c r="EK77">
        <v>829.82100000000003</v>
      </c>
      <c r="EL77">
        <v>5.0002700000000004</v>
      </c>
      <c r="EM77">
        <v>15794.3</v>
      </c>
      <c r="EN77">
        <v>16249.7</v>
      </c>
      <c r="EO77">
        <v>48.375</v>
      </c>
      <c r="EP77">
        <v>50.125</v>
      </c>
      <c r="EQ77">
        <v>49.5</v>
      </c>
      <c r="ER77">
        <v>49.561999999999998</v>
      </c>
      <c r="ES77">
        <v>50.186999999999998</v>
      </c>
      <c r="ET77">
        <v>1755.62</v>
      </c>
      <c r="EU77">
        <v>39.5</v>
      </c>
      <c r="EV77">
        <v>0</v>
      </c>
      <c r="EW77">
        <v>104.3999998569489</v>
      </c>
      <c r="EX77">
        <v>0</v>
      </c>
      <c r="EY77">
        <v>830.06208000000004</v>
      </c>
      <c r="EZ77">
        <v>-1.7289999929471851</v>
      </c>
      <c r="FA77">
        <v>-22.984615217657801</v>
      </c>
      <c r="FB77">
        <v>15797.523999999999</v>
      </c>
      <c r="FC77">
        <v>15</v>
      </c>
      <c r="FD77">
        <v>1693337857</v>
      </c>
      <c r="FE77" t="s">
        <v>731</v>
      </c>
      <c r="FF77">
        <v>1693337857</v>
      </c>
      <c r="FG77">
        <v>1693337849.5</v>
      </c>
      <c r="FH77">
        <v>70</v>
      </c>
      <c r="FI77">
        <v>3.1E-2</v>
      </c>
      <c r="FJ77">
        <v>-1E-3</v>
      </c>
      <c r="FK77">
        <v>1.5169999999999999</v>
      </c>
      <c r="FL77">
        <v>0.44800000000000001</v>
      </c>
      <c r="FM77">
        <v>70</v>
      </c>
      <c r="FN77">
        <v>23</v>
      </c>
      <c r="FO77">
        <v>0.42</v>
      </c>
      <c r="FP77">
        <v>0.05</v>
      </c>
      <c r="FQ77">
        <v>7.8609908067738052</v>
      </c>
      <c r="FR77">
        <v>0.14991960639080429</v>
      </c>
      <c r="FS77">
        <v>5.2505590607944491E-2</v>
      </c>
      <c r="FT77">
        <v>1</v>
      </c>
      <c r="FU77">
        <v>0.36388430308250858</v>
      </c>
      <c r="FV77">
        <v>4.4860039139355143E-2</v>
      </c>
      <c r="FW77">
        <v>3.6775166130067292E-3</v>
      </c>
      <c r="FX77">
        <v>1</v>
      </c>
      <c r="FY77">
        <v>2</v>
      </c>
      <c r="FZ77">
        <v>2</v>
      </c>
      <c r="GA77" t="s">
        <v>429</v>
      </c>
      <c r="GB77">
        <v>3.1341199999999998</v>
      </c>
      <c r="GC77">
        <v>2.8653300000000002</v>
      </c>
      <c r="GD77">
        <v>1.6081100000000001E-2</v>
      </c>
      <c r="GE77">
        <v>1.9723299999999999E-2</v>
      </c>
      <c r="GF77">
        <v>0.12766</v>
      </c>
      <c r="GG77">
        <v>0.113028</v>
      </c>
      <c r="GH77">
        <v>29618.400000000001</v>
      </c>
      <c r="GI77">
        <v>22820</v>
      </c>
      <c r="GJ77">
        <v>29038.1</v>
      </c>
      <c r="GK77">
        <v>21706.400000000001</v>
      </c>
      <c r="GL77">
        <v>33962</v>
      </c>
      <c r="GM77">
        <v>26511.1</v>
      </c>
      <c r="GN77">
        <v>40305.1</v>
      </c>
      <c r="GO77">
        <v>30867</v>
      </c>
      <c r="GP77">
        <v>1.9975000000000001</v>
      </c>
      <c r="GQ77">
        <v>1.7733000000000001</v>
      </c>
      <c r="GR77">
        <v>1.0132800000000001E-2</v>
      </c>
      <c r="GS77">
        <v>0</v>
      </c>
      <c r="GT77">
        <v>29.8278</v>
      </c>
      <c r="GU77">
        <v>999.9</v>
      </c>
      <c r="GV77">
        <v>41.4</v>
      </c>
      <c r="GW77">
        <v>38.1</v>
      </c>
      <c r="GX77">
        <v>28.007899999999999</v>
      </c>
      <c r="GY77">
        <v>62.251899999999999</v>
      </c>
      <c r="GZ77">
        <v>12.5641</v>
      </c>
      <c r="HA77">
        <v>1</v>
      </c>
      <c r="HB77">
        <v>0.51697199999999999</v>
      </c>
      <c r="HC77">
        <v>3.4382000000000001</v>
      </c>
      <c r="HD77">
        <v>20.303699999999999</v>
      </c>
      <c r="HE77">
        <v>5.2346599999999999</v>
      </c>
      <c r="HF77">
        <v>11.98</v>
      </c>
      <c r="HG77">
        <v>4.9753999999999996</v>
      </c>
      <c r="HH77">
        <v>3.2839999999999998</v>
      </c>
      <c r="HI77">
        <v>9999</v>
      </c>
      <c r="HJ77">
        <v>9999</v>
      </c>
      <c r="HK77">
        <v>9999</v>
      </c>
      <c r="HL77">
        <v>999.9</v>
      </c>
      <c r="HM77">
        <v>1.8608199999999999</v>
      </c>
      <c r="HN77">
        <v>1.86249</v>
      </c>
      <c r="HO77">
        <v>1.8678300000000001</v>
      </c>
      <c r="HP77">
        <v>1.8585199999999999</v>
      </c>
      <c r="HQ77">
        <v>1.85697</v>
      </c>
      <c r="HR77">
        <v>1.8606</v>
      </c>
      <c r="HS77">
        <v>1.8644700000000001</v>
      </c>
      <c r="HT77">
        <v>1.86653</v>
      </c>
      <c r="HU77">
        <v>5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1.508</v>
      </c>
      <c r="II77">
        <v>0.7802</v>
      </c>
      <c r="IJ77">
        <v>1.448649488291855</v>
      </c>
      <c r="IK77">
        <v>1.118558698776514E-3</v>
      </c>
      <c r="IL77">
        <v>-1.6939696309573479E-6</v>
      </c>
      <c r="IM77">
        <v>5.4698917449866148E-10</v>
      </c>
      <c r="IN77">
        <v>-0.112490013573619</v>
      </c>
      <c r="IO77">
        <v>-7.6058941998734366E-3</v>
      </c>
      <c r="IP77">
        <v>1.6984902717538061E-3</v>
      </c>
      <c r="IQ77">
        <v>-9.6352527008986976E-6</v>
      </c>
      <c r="IR77">
        <v>2</v>
      </c>
      <c r="IS77">
        <v>2021</v>
      </c>
      <c r="IT77">
        <v>2</v>
      </c>
      <c r="IU77">
        <v>40</v>
      </c>
      <c r="IV77">
        <v>0.5</v>
      </c>
      <c r="IW77">
        <v>0.6</v>
      </c>
      <c r="IX77">
        <v>0.305176</v>
      </c>
      <c r="IY77">
        <v>2.5585900000000001</v>
      </c>
      <c r="IZ77">
        <v>1.34399</v>
      </c>
      <c r="JA77">
        <v>2.2375500000000001</v>
      </c>
      <c r="JB77">
        <v>1.5918000000000001</v>
      </c>
      <c r="JC77">
        <v>2.4072300000000002</v>
      </c>
      <c r="JD77">
        <v>40.629800000000003</v>
      </c>
      <c r="JE77">
        <v>15.918200000000001</v>
      </c>
      <c r="JF77">
        <v>18</v>
      </c>
      <c r="JG77">
        <v>508.51499999999999</v>
      </c>
      <c r="JH77">
        <v>409.20699999999999</v>
      </c>
      <c r="JI77">
        <v>24.994299999999999</v>
      </c>
      <c r="JJ77">
        <v>33.983800000000002</v>
      </c>
      <c r="JK77">
        <v>29.997499999999999</v>
      </c>
      <c r="JL77">
        <v>33.831400000000002</v>
      </c>
      <c r="JM77">
        <v>33.7774</v>
      </c>
      <c r="JN77">
        <v>6.1889900000000004</v>
      </c>
      <c r="JO77">
        <v>25.6295</v>
      </c>
      <c r="JP77">
        <v>26.6493</v>
      </c>
      <c r="JQ77">
        <v>25.030899999999999</v>
      </c>
      <c r="JR77">
        <v>70</v>
      </c>
      <c r="JS77">
        <v>22.439900000000002</v>
      </c>
      <c r="JT77">
        <v>99.015600000000006</v>
      </c>
      <c r="JU77">
        <v>97.488600000000005</v>
      </c>
    </row>
    <row r="78" spans="1:281" x14ac:dyDescent="0.25">
      <c r="A78">
        <v>62</v>
      </c>
      <c r="B78">
        <v>1693337987.5</v>
      </c>
      <c r="C78">
        <v>16226</v>
      </c>
      <c r="D78" t="s">
        <v>732</v>
      </c>
      <c r="E78" t="s">
        <v>733</v>
      </c>
      <c r="F78" t="s">
        <v>413</v>
      </c>
      <c r="G78" t="s">
        <v>564</v>
      </c>
      <c r="H78" t="s">
        <v>708</v>
      </c>
      <c r="I78" t="s">
        <v>31</v>
      </c>
      <c r="J78">
        <v>1693337987.5</v>
      </c>
      <c r="K78">
        <f t="shared" si="46"/>
        <v>5.5068108871038747E-3</v>
      </c>
      <c r="L78">
        <f t="shared" si="47"/>
        <v>5.5068108871038746</v>
      </c>
      <c r="M78">
        <f t="shared" si="48"/>
        <v>3.3981409996834349</v>
      </c>
      <c r="N78">
        <f t="shared" si="49"/>
        <v>25.664300000000001</v>
      </c>
      <c r="O78">
        <f t="shared" si="50"/>
        <v>10.571958887094734</v>
      </c>
      <c r="P78">
        <f t="shared" si="51"/>
        <v>1.0468261301652493</v>
      </c>
      <c r="Q78">
        <f t="shared" si="52"/>
        <v>2.5412565579682305</v>
      </c>
      <c r="R78">
        <f t="shared" si="53"/>
        <v>0.39454540354235901</v>
      </c>
      <c r="S78">
        <f t="shared" si="54"/>
        <v>2.9201238504804712</v>
      </c>
      <c r="T78">
        <f t="shared" si="55"/>
        <v>0.36714284691120891</v>
      </c>
      <c r="U78">
        <f t="shared" si="56"/>
        <v>0.23176749624126225</v>
      </c>
      <c r="V78">
        <f t="shared" si="57"/>
        <v>344.37069964468202</v>
      </c>
      <c r="W78">
        <f t="shared" si="58"/>
        <v>30.825637976659834</v>
      </c>
      <c r="X78">
        <f t="shared" si="59"/>
        <v>30.0015</v>
      </c>
      <c r="Y78">
        <f t="shared" si="60"/>
        <v>4.2608168613183315</v>
      </c>
      <c r="Z78">
        <f t="shared" si="61"/>
        <v>65.538961537607676</v>
      </c>
      <c r="AA78">
        <f t="shared" si="62"/>
        <v>2.8287882963374105</v>
      </c>
      <c r="AB78">
        <f t="shared" si="63"/>
        <v>4.3161933451054004</v>
      </c>
      <c r="AC78">
        <f t="shared" si="64"/>
        <v>1.432028564980921</v>
      </c>
      <c r="AD78">
        <f t="shared" si="65"/>
        <v>-242.85036012128089</v>
      </c>
      <c r="AE78">
        <f t="shared" si="66"/>
        <v>35.421686331098435</v>
      </c>
      <c r="AF78">
        <f t="shared" si="67"/>
        <v>2.7002079786480011</v>
      </c>
      <c r="AG78">
        <f t="shared" si="68"/>
        <v>139.64223383314757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52022.091544164061</v>
      </c>
      <c r="AM78" t="s">
        <v>415</v>
      </c>
      <c r="AN78">
        <v>10366.9</v>
      </c>
      <c r="AO78">
        <v>993.59653846153856</v>
      </c>
      <c r="AP78">
        <v>3431.87</v>
      </c>
      <c r="AQ78">
        <f t="shared" si="72"/>
        <v>0.71047955241266758</v>
      </c>
      <c r="AR78">
        <v>-3.9894345373445681</v>
      </c>
      <c r="AS78" t="s">
        <v>734</v>
      </c>
      <c r="AT78">
        <v>10340.700000000001</v>
      </c>
      <c r="AU78">
        <v>834.97476923076943</v>
      </c>
      <c r="AV78">
        <v>892.37599336609969</v>
      </c>
      <c r="AW78">
        <f t="shared" si="73"/>
        <v>6.4324034445177203E-2</v>
      </c>
      <c r="AX78">
        <v>0.5</v>
      </c>
      <c r="AY78">
        <f t="shared" si="74"/>
        <v>1513.1927998223409</v>
      </c>
      <c r="AZ78">
        <f t="shared" si="75"/>
        <v>3.3981409996834349</v>
      </c>
      <c r="BA78">
        <f t="shared" si="76"/>
        <v>48.667332888983196</v>
      </c>
      <c r="BB78">
        <f t="shared" si="77"/>
        <v>4.8821112140471157E-3</v>
      </c>
      <c r="BC78">
        <f t="shared" si="78"/>
        <v>2.8457668354061898</v>
      </c>
      <c r="BD78">
        <f t="shared" si="79"/>
        <v>544.76251459679463</v>
      </c>
      <c r="BE78" t="s">
        <v>735</v>
      </c>
      <c r="BF78">
        <v>622.04</v>
      </c>
      <c r="BG78">
        <f t="shared" si="80"/>
        <v>622.04</v>
      </c>
      <c r="BH78">
        <f t="shared" si="81"/>
        <v>0.30293956289251456</v>
      </c>
      <c r="BI78">
        <f t="shared" si="82"/>
        <v>0.21233289515242335</v>
      </c>
      <c r="BJ78">
        <f t="shared" si="83"/>
        <v>0.90378919957218073</v>
      </c>
      <c r="BK78">
        <f t="shared" si="84"/>
        <v>-0.56709064430751466</v>
      </c>
      <c r="BL78">
        <f t="shared" si="85"/>
        <v>1.0415132046064974</v>
      </c>
      <c r="BM78">
        <f t="shared" si="86"/>
        <v>0.15818388646916037</v>
      </c>
      <c r="BN78">
        <f t="shared" si="87"/>
        <v>0.84181611353083963</v>
      </c>
      <c r="BO78">
        <v>2075</v>
      </c>
      <c r="BP78">
        <v>290.00000000000011</v>
      </c>
      <c r="BQ78">
        <v>876</v>
      </c>
      <c r="BR78">
        <v>285</v>
      </c>
      <c r="BS78">
        <v>10340.700000000001</v>
      </c>
      <c r="BT78">
        <v>875.65</v>
      </c>
      <c r="BU78">
        <v>0.35</v>
      </c>
      <c r="BV78">
        <v>300.00000000000011</v>
      </c>
      <c r="BW78">
        <v>38.4</v>
      </c>
      <c r="BX78">
        <v>892.37599336609969</v>
      </c>
      <c r="BY78">
        <v>0.98339534650968508</v>
      </c>
      <c r="BZ78">
        <v>-17.298552703313071</v>
      </c>
      <c r="CA78">
        <v>0.83310512113861956</v>
      </c>
      <c r="CB78">
        <v>0.939016634626888</v>
      </c>
      <c r="CC78">
        <v>-1.126261846496107E-2</v>
      </c>
      <c r="CD78">
        <v>289.99999999999989</v>
      </c>
      <c r="CE78">
        <v>873.3</v>
      </c>
      <c r="CF78">
        <v>645</v>
      </c>
      <c r="CG78">
        <v>10331.9</v>
      </c>
      <c r="CH78">
        <v>875.63</v>
      </c>
      <c r="CI78">
        <v>-2.33</v>
      </c>
      <c r="CW78">
        <f t="shared" si="88"/>
        <v>1800.01</v>
      </c>
      <c r="CX78">
        <f t="shared" si="89"/>
        <v>1513.1927998223409</v>
      </c>
      <c r="CY78">
        <f t="shared" si="90"/>
        <v>0.84065799624576587</v>
      </c>
      <c r="CZ78">
        <f t="shared" si="91"/>
        <v>0.19131599249153172</v>
      </c>
      <c r="DA78">
        <v>6</v>
      </c>
      <c r="DB78">
        <v>0.5</v>
      </c>
      <c r="DC78" t="s">
        <v>418</v>
      </c>
      <c r="DD78">
        <v>2</v>
      </c>
      <c r="DE78">
        <v>1693337987.5</v>
      </c>
      <c r="DF78">
        <v>25.664300000000001</v>
      </c>
      <c r="DG78">
        <v>29.907699999999998</v>
      </c>
      <c r="DH78">
        <v>28.568100000000001</v>
      </c>
      <c r="DI78">
        <v>22.154699999999998</v>
      </c>
      <c r="DJ78">
        <v>24.156600000000001</v>
      </c>
      <c r="DK78">
        <v>27.785299999999999</v>
      </c>
      <c r="DL78">
        <v>500.46699999999998</v>
      </c>
      <c r="DM78">
        <v>98.919600000000003</v>
      </c>
      <c r="DN78">
        <v>9.9526100000000006E-2</v>
      </c>
      <c r="DO78">
        <v>30.226500000000001</v>
      </c>
      <c r="DP78">
        <v>30.0015</v>
      </c>
      <c r="DQ78">
        <v>999.9</v>
      </c>
      <c r="DR78">
        <v>0</v>
      </c>
      <c r="DS78">
        <v>0</v>
      </c>
      <c r="DT78">
        <v>10055</v>
      </c>
      <c r="DU78">
        <v>0</v>
      </c>
      <c r="DV78">
        <v>1683.44</v>
      </c>
      <c r="DW78">
        <v>-4.24336</v>
      </c>
      <c r="DX78">
        <v>26.4191</v>
      </c>
      <c r="DY78">
        <v>30.5853</v>
      </c>
      <c r="DZ78">
        <v>6.4133899999999997</v>
      </c>
      <c r="EA78">
        <v>29.907699999999998</v>
      </c>
      <c r="EB78">
        <v>22.154699999999998</v>
      </c>
      <c r="EC78">
        <v>2.8259400000000001</v>
      </c>
      <c r="ED78">
        <v>2.1915300000000002</v>
      </c>
      <c r="EE78">
        <v>23.0364</v>
      </c>
      <c r="EF78">
        <v>18.900600000000001</v>
      </c>
      <c r="EG78">
        <v>1800.01</v>
      </c>
      <c r="EH78">
        <v>0.97800799999999999</v>
      </c>
      <c r="EI78">
        <v>2.19916E-2</v>
      </c>
      <c r="EJ78">
        <v>0</v>
      </c>
      <c r="EK78">
        <v>834.66899999999998</v>
      </c>
      <c r="EL78">
        <v>5.0002700000000004</v>
      </c>
      <c r="EM78">
        <v>15871.6</v>
      </c>
      <c r="EN78">
        <v>16248.7</v>
      </c>
      <c r="EO78">
        <v>48.186999999999998</v>
      </c>
      <c r="EP78">
        <v>50</v>
      </c>
      <c r="EQ78">
        <v>49.375</v>
      </c>
      <c r="ER78">
        <v>49.436999999999998</v>
      </c>
      <c r="ES78">
        <v>50</v>
      </c>
      <c r="ET78">
        <v>1755.53</v>
      </c>
      <c r="EU78">
        <v>39.479999999999997</v>
      </c>
      <c r="EV78">
        <v>0</v>
      </c>
      <c r="EW78">
        <v>99.799999952316284</v>
      </c>
      <c r="EX78">
        <v>0</v>
      </c>
      <c r="EY78">
        <v>834.97476923076943</v>
      </c>
      <c r="EZ78">
        <v>-3.0640683898634098</v>
      </c>
      <c r="FA78">
        <v>-52.909401600344417</v>
      </c>
      <c r="FB78">
        <v>15877.07692307692</v>
      </c>
      <c r="FC78">
        <v>15</v>
      </c>
      <c r="FD78">
        <v>1693337959</v>
      </c>
      <c r="FE78" t="s">
        <v>736</v>
      </c>
      <c r="FF78">
        <v>1693337946</v>
      </c>
      <c r="FG78">
        <v>1693337959</v>
      </c>
      <c r="FH78">
        <v>71</v>
      </c>
      <c r="FI78">
        <v>3.3000000000000002E-2</v>
      </c>
      <c r="FJ78">
        <v>2E-3</v>
      </c>
      <c r="FK78">
        <v>1.512</v>
      </c>
      <c r="FL78">
        <v>0.432</v>
      </c>
      <c r="FM78">
        <v>30</v>
      </c>
      <c r="FN78">
        <v>22</v>
      </c>
      <c r="FO78">
        <v>0.83</v>
      </c>
      <c r="FP78">
        <v>0.04</v>
      </c>
      <c r="FQ78">
        <v>3.5051808373954909</v>
      </c>
      <c r="FR78">
        <v>-0.19508728150515869</v>
      </c>
      <c r="FS78">
        <v>4.3559740337334209E-2</v>
      </c>
      <c r="FT78">
        <v>1</v>
      </c>
      <c r="FU78">
        <v>0.39246248703850478</v>
      </c>
      <c r="FV78">
        <v>3.5799985339514118E-2</v>
      </c>
      <c r="FW78">
        <v>3.051041628433403E-3</v>
      </c>
      <c r="FX78">
        <v>1</v>
      </c>
      <c r="FY78">
        <v>2</v>
      </c>
      <c r="FZ78">
        <v>2</v>
      </c>
      <c r="GA78" t="s">
        <v>429</v>
      </c>
      <c r="GB78">
        <v>3.1343299999999998</v>
      </c>
      <c r="GC78">
        <v>2.86517</v>
      </c>
      <c r="GD78">
        <v>6.6658799999999999E-3</v>
      </c>
      <c r="GE78">
        <v>8.5001999999999994E-3</v>
      </c>
      <c r="GF78">
        <v>0.12770100000000001</v>
      </c>
      <c r="GG78">
        <v>0.11161799999999999</v>
      </c>
      <c r="GH78">
        <v>29907.599999999999</v>
      </c>
      <c r="GI78">
        <v>23085.599999999999</v>
      </c>
      <c r="GJ78">
        <v>29043.3</v>
      </c>
      <c r="GK78">
        <v>21710.400000000001</v>
      </c>
      <c r="GL78">
        <v>33964.400000000001</v>
      </c>
      <c r="GM78">
        <v>26557</v>
      </c>
      <c r="GN78">
        <v>40312.1</v>
      </c>
      <c r="GO78">
        <v>30872.6</v>
      </c>
      <c r="GP78">
        <v>1.9987999999999999</v>
      </c>
      <c r="GQ78">
        <v>1.7746</v>
      </c>
      <c r="GR78">
        <v>1.27256E-2</v>
      </c>
      <c r="GS78">
        <v>0</v>
      </c>
      <c r="GT78">
        <v>29.7943</v>
      </c>
      <c r="GU78">
        <v>999.9</v>
      </c>
      <c r="GV78">
        <v>41.3</v>
      </c>
      <c r="GW78">
        <v>38.1</v>
      </c>
      <c r="GX78">
        <v>27.945599999999999</v>
      </c>
      <c r="GY78">
        <v>61.531999999999996</v>
      </c>
      <c r="GZ78">
        <v>12.303699999999999</v>
      </c>
      <c r="HA78">
        <v>1</v>
      </c>
      <c r="HB78">
        <v>0.50947200000000004</v>
      </c>
      <c r="HC78">
        <v>3.6056900000000001</v>
      </c>
      <c r="HD78">
        <v>20.299600000000002</v>
      </c>
      <c r="HE78">
        <v>5.2346599999999999</v>
      </c>
      <c r="HF78">
        <v>11.98</v>
      </c>
      <c r="HG78">
        <v>4.9749999999999996</v>
      </c>
      <c r="HH78">
        <v>3.2839999999999998</v>
      </c>
      <c r="HI78">
        <v>9999</v>
      </c>
      <c r="HJ78">
        <v>9999</v>
      </c>
      <c r="HK78">
        <v>9999</v>
      </c>
      <c r="HL78">
        <v>999.9</v>
      </c>
      <c r="HM78">
        <v>1.8608100000000001</v>
      </c>
      <c r="HN78">
        <v>1.86249</v>
      </c>
      <c r="HO78">
        <v>1.8678300000000001</v>
      </c>
      <c r="HP78">
        <v>1.8585199999999999</v>
      </c>
      <c r="HQ78">
        <v>1.8569599999999999</v>
      </c>
      <c r="HR78">
        <v>1.86066</v>
      </c>
      <c r="HS78">
        <v>1.8644700000000001</v>
      </c>
      <c r="HT78">
        <v>1.86652</v>
      </c>
      <c r="HU78">
        <v>5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1.508</v>
      </c>
      <c r="II78">
        <v>0.78280000000000005</v>
      </c>
      <c r="IJ78">
        <v>1.4817461035147521</v>
      </c>
      <c r="IK78">
        <v>1.118558698776514E-3</v>
      </c>
      <c r="IL78">
        <v>-1.6939696309573479E-6</v>
      </c>
      <c r="IM78">
        <v>5.4698917449866148E-10</v>
      </c>
      <c r="IN78">
        <v>-0.11044800684171489</v>
      </c>
      <c r="IO78">
        <v>-7.6058941998734366E-3</v>
      </c>
      <c r="IP78">
        <v>1.6984902717538061E-3</v>
      </c>
      <c r="IQ78">
        <v>-9.6352527008986976E-6</v>
      </c>
      <c r="IR78">
        <v>2</v>
      </c>
      <c r="IS78">
        <v>2021</v>
      </c>
      <c r="IT78">
        <v>2</v>
      </c>
      <c r="IU78">
        <v>40</v>
      </c>
      <c r="IV78">
        <v>0.7</v>
      </c>
      <c r="IW78">
        <v>0.5</v>
      </c>
      <c r="IX78">
        <v>0.21484400000000001</v>
      </c>
      <c r="IY78">
        <v>2.5708000000000002</v>
      </c>
      <c r="IZ78">
        <v>1.34399</v>
      </c>
      <c r="JA78">
        <v>2.2375500000000001</v>
      </c>
      <c r="JB78">
        <v>1.5918000000000001</v>
      </c>
      <c r="JC78">
        <v>2.4645999999999999</v>
      </c>
      <c r="JD78">
        <v>40.578699999999998</v>
      </c>
      <c r="JE78">
        <v>15.9095</v>
      </c>
      <c r="JF78">
        <v>18</v>
      </c>
      <c r="JG78">
        <v>508.66300000000001</v>
      </c>
      <c r="JH78">
        <v>409.39699999999999</v>
      </c>
      <c r="JI78">
        <v>25.234999999999999</v>
      </c>
      <c r="JJ78">
        <v>33.896599999999999</v>
      </c>
      <c r="JK78">
        <v>29.999600000000001</v>
      </c>
      <c r="JL78">
        <v>33.746600000000001</v>
      </c>
      <c r="JM78">
        <v>33.690800000000003</v>
      </c>
      <c r="JN78">
        <v>4.3951700000000002</v>
      </c>
      <c r="JO78">
        <v>26.431999999999999</v>
      </c>
      <c r="JP78">
        <v>25.973099999999999</v>
      </c>
      <c r="JQ78">
        <v>25.2378</v>
      </c>
      <c r="JR78">
        <v>30</v>
      </c>
      <c r="JS78">
        <v>22.099900000000002</v>
      </c>
      <c r="JT78">
        <v>99.033100000000005</v>
      </c>
      <c r="JU78">
        <v>97.506299999999996</v>
      </c>
    </row>
    <row r="79" spans="1:281" x14ac:dyDescent="0.25">
      <c r="A79">
        <v>63</v>
      </c>
      <c r="B79">
        <v>1693338100.5</v>
      </c>
      <c r="C79">
        <v>16339</v>
      </c>
      <c r="D79" t="s">
        <v>737</v>
      </c>
      <c r="E79" t="s">
        <v>738</v>
      </c>
      <c r="F79" t="s">
        <v>413</v>
      </c>
      <c r="G79" t="s">
        <v>564</v>
      </c>
      <c r="H79" t="s">
        <v>708</v>
      </c>
      <c r="I79" t="s">
        <v>31</v>
      </c>
      <c r="J79">
        <v>1693338100.5</v>
      </c>
      <c r="K79">
        <f t="shared" si="46"/>
        <v>5.6470332075878801E-3</v>
      </c>
      <c r="L79">
        <f t="shared" si="47"/>
        <v>5.6470332075878797</v>
      </c>
      <c r="M79">
        <f t="shared" si="48"/>
        <v>1.0416758877698173</v>
      </c>
      <c r="N79">
        <f t="shared" si="49"/>
        <v>8.7410800000000002</v>
      </c>
      <c r="O79">
        <f t="shared" si="50"/>
        <v>4.2163221088609211</v>
      </c>
      <c r="P79">
        <f t="shared" si="51"/>
        <v>0.41750094084844336</v>
      </c>
      <c r="Q79">
        <f t="shared" si="52"/>
        <v>0.86554324593986798</v>
      </c>
      <c r="R79">
        <f t="shared" si="53"/>
        <v>0.40645503952762757</v>
      </c>
      <c r="S79">
        <f t="shared" si="54"/>
        <v>2.9140351781708267</v>
      </c>
      <c r="T79">
        <f t="shared" si="55"/>
        <v>0.37738240937953449</v>
      </c>
      <c r="U79">
        <f t="shared" si="56"/>
        <v>0.23830254650260974</v>
      </c>
      <c r="V79">
        <f t="shared" si="57"/>
        <v>344.37069964468202</v>
      </c>
      <c r="W79">
        <f t="shared" si="58"/>
        <v>30.812726470607341</v>
      </c>
      <c r="X79">
        <f t="shared" si="59"/>
        <v>30.008500000000002</v>
      </c>
      <c r="Y79">
        <f t="shared" si="60"/>
        <v>4.2625303073265304</v>
      </c>
      <c r="Z79">
        <f t="shared" si="61"/>
        <v>65.573151247907589</v>
      </c>
      <c r="AA79">
        <f t="shared" si="62"/>
        <v>2.83391771743316</v>
      </c>
      <c r="AB79">
        <f t="shared" si="63"/>
        <v>4.3217653315442712</v>
      </c>
      <c r="AC79">
        <f t="shared" si="64"/>
        <v>1.4286125898933704</v>
      </c>
      <c r="AD79">
        <f t="shared" si="65"/>
        <v>-249.03416445462551</v>
      </c>
      <c r="AE79">
        <f t="shared" si="66"/>
        <v>37.782902218393296</v>
      </c>
      <c r="AF79">
        <f t="shared" si="67"/>
        <v>2.8866437274356143</v>
      </c>
      <c r="AG79">
        <f t="shared" si="68"/>
        <v>136.00608113588544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51845.13419655685</v>
      </c>
      <c r="AM79" t="s">
        <v>415</v>
      </c>
      <c r="AN79">
        <v>10366.9</v>
      </c>
      <c r="AO79">
        <v>993.59653846153856</v>
      </c>
      <c r="AP79">
        <v>3431.87</v>
      </c>
      <c r="AQ79">
        <f t="shared" si="72"/>
        <v>0.71047955241266758</v>
      </c>
      <c r="AR79">
        <v>-3.9894345373445681</v>
      </c>
      <c r="AS79" t="s">
        <v>739</v>
      </c>
      <c r="AT79">
        <v>10353.299999999999</v>
      </c>
      <c r="AU79">
        <v>834.74250000000006</v>
      </c>
      <c r="AV79">
        <v>878.51598714124179</v>
      </c>
      <c r="AW79">
        <f t="shared" si="73"/>
        <v>4.9826625561686155E-2</v>
      </c>
      <c r="AX79">
        <v>0.5</v>
      </c>
      <c r="AY79">
        <f t="shared" si="74"/>
        <v>1513.1927998223409</v>
      </c>
      <c r="AZ79">
        <f t="shared" si="75"/>
        <v>1.0416758877698173</v>
      </c>
      <c r="BA79">
        <f t="shared" si="76"/>
        <v>37.698645519693649</v>
      </c>
      <c r="BB79">
        <f t="shared" si="77"/>
        <v>3.324831062971666E-3</v>
      </c>
      <c r="BC79">
        <f t="shared" si="78"/>
        <v>2.9064400081864958</v>
      </c>
      <c r="BD79">
        <f t="shared" si="79"/>
        <v>539.56593460987278</v>
      </c>
      <c r="BE79" t="s">
        <v>740</v>
      </c>
      <c r="BF79">
        <v>631.78</v>
      </c>
      <c r="BG79">
        <f t="shared" si="80"/>
        <v>631.78</v>
      </c>
      <c r="BH79">
        <f t="shared" si="81"/>
        <v>0.2808554320612191</v>
      </c>
      <c r="BI79">
        <f t="shared" si="82"/>
        <v>0.17741022559544176</v>
      </c>
      <c r="BJ79">
        <f t="shared" si="83"/>
        <v>0.91188283692979799</v>
      </c>
      <c r="BK79">
        <f t="shared" si="84"/>
        <v>-0.38037258806146679</v>
      </c>
      <c r="BL79">
        <f t="shared" si="85"/>
        <v>1.0471975572615573</v>
      </c>
      <c r="BM79">
        <f t="shared" si="86"/>
        <v>0.13427402142180156</v>
      </c>
      <c r="BN79">
        <f t="shared" si="87"/>
        <v>0.86572597857819844</v>
      </c>
      <c r="BO79">
        <v>2077</v>
      </c>
      <c r="BP79">
        <v>290.00000000000011</v>
      </c>
      <c r="BQ79">
        <v>865.56</v>
      </c>
      <c r="BR79">
        <v>195</v>
      </c>
      <c r="BS79">
        <v>10353.299999999999</v>
      </c>
      <c r="BT79">
        <v>864.54</v>
      </c>
      <c r="BU79">
        <v>1.02</v>
      </c>
      <c r="BV79">
        <v>300.00000000000011</v>
      </c>
      <c r="BW79">
        <v>38.4</v>
      </c>
      <c r="BX79">
        <v>878.51598714124179</v>
      </c>
      <c r="BY79">
        <v>0.86540749737951739</v>
      </c>
      <c r="BZ79">
        <v>-14.46905037393663</v>
      </c>
      <c r="CA79">
        <v>0.7331624173589677</v>
      </c>
      <c r="CB79">
        <v>0.93293012743804471</v>
      </c>
      <c r="CC79">
        <v>-1.126256106785317E-2</v>
      </c>
      <c r="CD79">
        <v>289.99999999999989</v>
      </c>
      <c r="CE79">
        <v>862.48</v>
      </c>
      <c r="CF79">
        <v>635</v>
      </c>
      <c r="CG79">
        <v>10333.1</v>
      </c>
      <c r="CH79">
        <v>864.51</v>
      </c>
      <c r="CI79">
        <v>-2.0299999999999998</v>
      </c>
      <c r="CW79">
        <f t="shared" si="88"/>
        <v>1800.01</v>
      </c>
      <c r="CX79">
        <f t="shared" si="89"/>
        <v>1513.1927998223409</v>
      </c>
      <c r="CY79">
        <f t="shared" si="90"/>
        <v>0.84065799624576587</v>
      </c>
      <c r="CZ79">
        <f t="shared" si="91"/>
        <v>0.19131599249153172</v>
      </c>
      <c r="DA79">
        <v>6</v>
      </c>
      <c r="DB79">
        <v>0.5</v>
      </c>
      <c r="DC79" t="s">
        <v>418</v>
      </c>
      <c r="DD79">
        <v>2</v>
      </c>
      <c r="DE79">
        <v>1693338100.5</v>
      </c>
      <c r="DF79">
        <v>8.7410800000000002</v>
      </c>
      <c r="DG79">
        <v>10.0511</v>
      </c>
      <c r="DH79">
        <v>28.619599999999998</v>
      </c>
      <c r="DI79">
        <v>22.033200000000001</v>
      </c>
      <c r="DJ79">
        <v>7.1866599999999998</v>
      </c>
      <c r="DK79">
        <v>27.8308</v>
      </c>
      <c r="DL79">
        <v>499.70400000000001</v>
      </c>
      <c r="DM79">
        <v>98.920400000000001</v>
      </c>
      <c r="DN79">
        <v>9.9772100000000002E-2</v>
      </c>
      <c r="DO79">
        <v>30.248999999999999</v>
      </c>
      <c r="DP79">
        <v>30.008500000000002</v>
      </c>
      <c r="DQ79">
        <v>999.9</v>
      </c>
      <c r="DR79">
        <v>0</v>
      </c>
      <c r="DS79">
        <v>0</v>
      </c>
      <c r="DT79">
        <v>10020</v>
      </c>
      <c r="DU79">
        <v>0</v>
      </c>
      <c r="DV79">
        <v>1675.11</v>
      </c>
      <c r="DW79">
        <v>-1.31002</v>
      </c>
      <c r="DX79">
        <v>8.9986099999999993</v>
      </c>
      <c r="DY79">
        <v>10.2775</v>
      </c>
      <c r="DZ79">
        <v>6.5863300000000002</v>
      </c>
      <c r="EA79">
        <v>10.0511</v>
      </c>
      <c r="EB79">
        <v>22.033200000000001</v>
      </c>
      <c r="EC79">
        <v>2.8310599999999999</v>
      </c>
      <c r="ED79">
        <v>2.1795399999999998</v>
      </c>
      <c r="EE79">
        <v>23.066299999999998</v>
      </c>
      <c r="EF79">
        <v>18.8127</v>
      </c>
      <c r="EG79">
        <v>1800.01</v>
      </c>
      <c r="EH79">
        <v>0.97800799999999999</v>
      </c>
      <c r="EI79">
        <v>2.19916E-2</v>
      </c>
      <c r="EJ79">
        <v>0</v>
      </c>
      <c r="EK79">
        <v>834.46600000000001</v>
      </c>
      <c r="EL79">
        <v>5.0002700000000004</v>
      </c>
      <c r="EM79">
        <v>15855.8</v>
      </c>
      <c r="EN79">
        <v>16248.7</v>
      </c>
      <c r="EO79">
        <v>48.25</v>
      </c>
      <c r="EP79">
        <v>50</v>
      </c>
      <c r="EQ79">
        <v>49.375</v>
      </c>
      <c r="ER79">
        <v>49.5</v>
      </c>
      <c r="ES79">
        <v>50</v>
      </c>
      <c r="ET79">
        <v>1755.53</v>
      </c>
      <c r="EU79">
        <v>39.479999999999997</v>
      </c>
      <c r="EV79">
        <v>0</v>
      </c>
      <c r="EW79">
        <v>111</v>
      </c>
      <c r="EX79">
        <v>0</v>
      </c>
      <c r="EY79">
        <v>834.74250000000006</v>
      </c>
      <c r="EZ79">
        <v>-1.8716239207570511</v>
      </c>
      <c r="FA79">
        <v>-50.974359064920293</v>
      </c>
      <c r="FB79">
        <v>15868.723076923079</v>
      </c>
      <c r="FC79">
        <v>15</v>
      </c>
      <c r="FD79">
        <v>1693338073</v>
      </c>
      <c r="FE79" t="s">
        <v>741</v>
      </c>
      <c r="FF79">
        <v>1693338069</v>
      </c>
      <c r="FG79">
        <v>1693338073</v>
      </c>
      <c r="FH79">
        <v>72</v>
      </c>
      <c r="FI79">
        <v>6.5000000000000002E-2</v>
      </c>
      <c r="FJ79">
        <v>3.0000000000000001E-3</v>
      </c>
      <c r="FK79">
        <v>1.556</v>
      </c>
      <c r="FL79">
        <v>0.42299999999999999</v>
      </c>
      <c r="FM79">
        <v>10</v>
      </c>
      <c r="FN79">
        <v>22</v>
      </c>
      <c r="FO79">
        <v>0.82</v>
      </c>
      <c r="FP79">
        <v>0.03</v>
      </c>
      <c r="FQ79">
        <v>1.028994058775756</v>
      </c>
      <c r="FR79">
        <v>-6.1977250906061862E-2</v>
      </c>
      <c r="FS79">
        <v>3.9250191643732571E-2</v>
      </c>
      <c r="FT79">
        <v>1</v>
      </c>
      <c r="FU79">
        <v>0.40224565426051301</v>
      </c>
      <c r="FV79">
        <v>4.0520225624629362E-2</v>
      </c>
      <c r="FW79">
        <v>3.5385651603140151E-3</v>
      </c>
      <c r="FX79">
        <v>1</v>
      </c>
      <c r="FY79">
        <v>2</v>
      </c>
      <c r="FZ79">
        <v>2</v>
      </c>
      <c r="GA79" t="s">
        <v>429</v>
      </c>
      <c r="GB79">
        <v>3.1334300000000002</v>
      </c>
      <c r="GC79">
        <v>2.8650899999999999</v>
      </c>
      <c r="GD79">
        <v>1.9855799999999998E-3</v>
      </c>
      <c r="GE79">
        <v>2.8621699999999998E-3</v>
      </c>
      <c r="GF79">
        <v>0.12787100000000001</v>
      </c>
      <c r="GG79">
        <v>0.111207</v>
      </c>
      <c r="GH79">
        <v>30050.9</v>
      </c>
      <c r="GI79">
        <v>23221.599999999999</v>
      </c>
      <c r="GJ79">
        <v>29045.3</v>
      </c>
      <c r="GK79">
        <v>21714.7</v>
      </c>
      <c r="GL79">
        <v>33958.300000000003</v>
      </c>
      <c r="GM79">
        <v>26573.200000000001</v>
      </c>
      <c r="GN79">
        <v>40314.300000000003</v>
      </c>
      <c r="GO79">
        <v>30877.9</v>
      </c>
      <c r="GP79">
        <v>1.9999</v>
      </c>
      <c r="GQ79">
        <v>1.7761</v>
      </c>
      <c r="GR79">
        <v>4.5299499999999996E-3</v>
      </c>
      <c r="GS79">
        <v>0</v>
      </c>
      <c r="GT79">
        <v>29.934799999999999</v>
      </c>
      <c r="GU79">
        <v>999.9</v>
      </c>
      <c r="GV79">
        <v>41.3</v>
      </c>
      <c r="GW79">
        <v>38</v>
      </c>
      <c r="GX79">
        <v>27.794899999999998</v>
      </c>
      <c r="GY79">
        <v>61.722000000000001</v>
      </c>
      <c r="GZ79">
        <v>12.676299999999999</v>
      </c>
      <c r="HA79">
        <v>1</v>
      </c>
      <c r="HB79">
        <v>0.50739800000000002</v>
      </c>
      <c r="HC79">
        <v>4.3164100000000003</v>
      </c>
      <c r="HD79">
        <v>20.2834</v>
      </c>
      <c r="HE79">
        <v>5.2352600000000002</v>
      </c>
      <c r="HF79">
        <v>11.98</v>
      </c>
      <c r="HG79">
        <v>4.9749999999999996</v>
      </c>
      <c r="HH79">
        <v>3.2839999999999998</v>
      </c>
      <c r="HI79">
        <v>9999</v>
      </c>
      <c r="HJ79">
        <v>9999</v>
      </c>
      <c r="HK79">
        <v>9999</v>
      </c>
      <c r="HL79">
        <v>999.9</v>
      </c>
      <c r="HM79">
        <v>1.8608100000000001</v>
      </c>
      <c r="HN79">
        <v>1.86249</v>
      </c>
      <c r="HO79">
        <v>1.8678300000000001</v>
      </c>
      <c r="HP79">
        <v>1.8585199999999999</v>
      </c>
      <c r="HQ79">
        <v>1.8569</v>
      </c>
      <c r="HR79">
        <v>1.86066</v>
      </c>
      <c r="HS79">
        <v>1.8644499999999999</v>
      </c>
      <c r="HT79">
        <v>1.8665099999999999</v>
      </c>
      <c r="HU79">
        <v>5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1.554</v>
      </c>
      <c r="II79">
        <v>0.78879999999999995</v>
      </c>
      <c r="IJ79">
        <v>1.5464629361653961</v>
      </c>
      <c r="IK79">
        <v>1.118558698776514E-3</v>
      </c>
      <c r="IL79">
        <v>-1.6939696309573479E-6</v>
      </c>
      <c r="IM79">
        <v>5.4698917449866148E-10</v>
      </c>
      <c r="IN79">
        <v>-0.1073979227622595</v>
      </c>
      <c r="IO79">
        <v>-7.6058941998734366E-3</v>
      </c>
      <c r="IP79">
        <v>1.6984902717538061E-3</v>
      </c>
      <c r="IQ79">
        <v>-9.6352527008986976E-6</v>
      </c>
      <c r="IR79">
        <v>2</v>
      </c>
      <c r="IS79">
        <v>2021</v>
      </c>
      <c r="IT79">
        <v>2</v>
      </c>
      <c r="IU79">
        <v>40</v>
      </c>
      <c r="IV79">
        <v>0.5</v>
      </c>
      <c r="IW79">
        <v>0.5</v>
      </c>
      <c r="IX79">
        <v>0.17211899999999999</v>
      </c>
      <c r="IY79">
        <v>2.5939899999999998</v>
      </c>
      <c r="IZ79">
        <v>1.34399</v>
      </c>
      <c r="JA79">
        <v>2.2375500000000001</v>
      </c>
      <c r="JB79">
        <v>1.5918000000000001</v>
      </c>
      <c r="JC79">
        <v>2.4243199999999998</v>
      </c>
      <c r="JD79">
        <v>40.502000000000002</v>
      </c>
      <c r="JE79">
        <v>15.8832</v>
      </c>
      <c r="JF79">
        <v>18</v>
      </c>
      <c r="JG79">
        <v>508.75599999999997</v>
      </c>
      <c r="JH79">
        <v>409.81700000000001</v>
      </c>
      <c r="JI79">
        <v>24.687999999999999</v>
      </c>
      <c r="JJ79">
        <v>33.817399999999999</v>
      </c>
      <c r="JK79">
        <v>30</v>
      </c>
      <c r="JL79">
        <v>33.671100000000003</v>
      </c>
      <c r="JM79">
        <v>33.618600000000001</v>
      </c>
      <c r="JN79">
        <v>3.5143</v>
      </c>
      <c r="JO79">
        <v>25.4953</v>
      </c>
      <c r="JP79">
        <v>25.3873</v>
      </c>
      <c r="JQ79">
        <v>24.677499999999998</v>
      </c>
      <c r="JR79">
        <v>10</v>
      </c>
      <c r="JS79">
        <v>21.980399999999999</v>
      </c>
      <c r="JT79">
        <v>99.039100000000005</v>
      </c>
      <c r="JU79">
        <v>97.524100000000004</v>
      </c>
    </row>
    <row r="80" spans="1:281" x14ac:dyDescent="0.25">
      <c r="A80">
        <v>64</v>
      </c>
      <c r="B80">
        <v>1693338290</v>
      </c>
      <c r="C80">
        <v>16528.5</v>
      </c>
      <c r="D80" t="s">
        <v>742</v>
      </c>
      <c r="E80" t="s">
        <v>743</v>
      </c>
      <c r="F80" t="s">
        <v>413</v>
      </c>
      <c r="G80" t="s">
        <v>564</v>
      </c>
      <c r="H80" t="s">
        <v>708</v>
      </c>
      <c r="I80" t="s">
        <v>31</v>
      </c>
      <c r="J80">
        <v>1693338290</v>
      </c>
      <c r="K80">
        <f t="shared" si="46"/>
        <v>5.5201158515016929E-3</v>
      </c>
      <c r="L80">
        <f t="shared" si="47"/>
        <v>5.5201158515016928</v>
      </c>
      <c r="M80">
        <f t="shared" si="48"/>
        <v>36.329097094129246</v>
      </c>
      <c r="N80">
        <f t="shared" si="49"/>
        <v>353.952</v>
      </c>
      <c r="O80">
        <f t="shared" si="50"/>
        <v>188.5470570763913</v>
      </c>
      <c r="P80">
        <f t="shared" si="51"/>
        <v>18.66835965463352</v>
      </c>
      <c r="Q80">
        <f t="shared" si="52"/>
        <v>35.045379858672</v>
      </c>
      <c r="R80">
        <f t="shared" si="53"/>
        <v>0.38902604468900104</v>
      </c>
      <c r="S80">
        <f t="shared" si="54"/>
        <v>2.9143194795801053</v>
      </c>
      <c r="T80">
        <f t="shared" si="55"/>
        <v>0.36230781938789708</v>
      </c>
      <c r="U80">
        <f t="shared" si="56"/>
        <v>0.2286898157196863</v>
      </c>
      <c r="V80">
        <f t="shared" si="57"/>
        <v>344.38779964469978</v>
      </c>
      <c r="W80">
        <f t="shared" si="58"/>
        <v>30.840071400903007</v>
      </c>
      <c r="X80">
        <f t="shared" si="59"/>
        <v>29.9985</v>
      </c>
      <c r="Y80">
        <f t="shared" si="60"/>
        <v>4.2600827110882786</v>
      </c>
      <c r="Z80">
        <f t="shared" si="61"/>
        <v>64.9341159982243</v>
      </c>
      <c r="AA80">
        <f t="shared" si="62"/>
        <v>2.8053670534469504</v>
      </c>
      <c r="AB80">
        <f t="shared" si="63"/>
        <v>4.3203283979775229</v>
      </c>
      <c r="AC80">
        <f t="shared" si="64"/>
        <v>1.4547156576413283</v>
      </c>
      <c r="AD80">
        <f t="shared" si="65"/>
        <v>-243.43710905122467</v>
      </c>
      <c r="AE80">
        <f t="shared" si="66"/>
        <v>38.446478949330384</v>
      </c>
      <c r="AF80">
        <f t="shared" si="67"/>
        <v>2.9368253590706099</v>
      </c>
      <c r="AG80">
        <f t="shared" si="68"/>
        <v>142.33399490187611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51854.01757916373</v>
      </c>
      <c r="AM80" t="s">
        <v>415</v>
      </c>
      <c r="AN80">
        <v>10366.9</v>
      </c>
      <c r="AO80">
        <v>993.59653846153856</v>
      </c>
      <c r="AP80">
        <v>3431.87</v>
      </c>
      <c r="AQ80">
        <f t="shared" si="72"/>
        <v>0.71047955241266758</v>
      </c>
      <c r="AR80">
        <v>-3.9894345373445681</v>
      </c>
      <c r="AS80" t="s">
        <v>744</v>
      </c>
      <c r="AT80">
        <v>10349</v>
      </c>
      <c r="AU80">
        <v>818.66003999999998</v>
      </c>
      <c r="AV80">
        <v>1080.604070300071</v>
      </c>
      <c r="AW80">
        <f t="shared" si="73"/>
        <v>0.24240518567298408</v>
      </c>
      <c r="AX80">
        <v>0.5</v>
      </c>
      <c r="AY80">
        <f t="shared" si="74"/>
        <v>1513.2683998223499</v>
      </c>
      <c r="AZ80">
        <f t="shared" si="75"/>
        <v>36.329097094129246</v>
      </c>
      <c r="BA80">
        <f t="shared" si="76"/>
        <v>183.41205371599813</v>
      </c>
      <c r="BB80">
        <f t="shared" si="77"/>
        <v>2.6643344720742871E-2</v>
      </c>
      <c r="BC80">
        <f t="shared" si="78"/>
        <v>2.1758810597918719</v>
      </c>
      <c r="BD80">
        <f t="shared" si="79"/>
        <v>609.58261781928707</v>
      </c>
      <c r="BE80" t="s">
        <v>745</v>
      </c>
      <c r="BF80">
        <v>612.83000000000004</v>
      </c>
      <c r="BG80">
        <f t="shared" si="80"/>
        <v>612.83000000000004</v>
      </c>
      <c r="BH80">
        <f t="shared" si="81"/>
        <v>0.43288201771271839</v>
      </c>
      <c r="BI80">
        <f t="shared" si="82"/>
        <v>0.55997979993212832</v>
      </c>
      <c r="BJ80">
        <f t="shared" si="83"/>
        <v>0.8340661819981019</v>
      </c>
      <c r="BK80">
        <f t="shared" si="84"/>
        <v>3.010590287587787</v>
      </c>
      <c r="BL80">
        <f t="shared" si="85"/>
        <v>0.96431592550589718</v>
      </c>
      <c r="BM80">
        <f t="shared" si="86"/>
        <v>0.41918794618631472</v>
      </c>
      <c r="BN80">
        <f t="shared" si="87"/>
        <v>0.58081205381368528</v>
      </c>
      <c r="BO80">
        <v>2079</v>
      </c>
      <c r="BP80">
        <v>290.00000000000011</v>
      </c>
      <c r="BQ80">
        <v>1006.83</v>
      </c>
      <c r="BR80">
        <v>235</v>
      </c>
      <c r="BS80">
        <v>10349</v>
      </c>
      <c r="BT80">
        <v>1006.86</v>
      </c>
      <c r="BU80">
        <v>-0.03</v>
      </c>
      <c r="BV80">
        <v>300.00000000000011</v>
      </c>
      <c r="BW80">
        <v>38.4</v>
      </c>
      <c r="BX80">
        <v>1080.604070300071</v>
      </c>
      <c r="BY80">
        <v>1.226340770018993</v>
      </c>
      <c r="BZ80">
        <v>-76.321228800370449</v>
      </c>
      <c r="CA80">
        <v>1.0391118141086439</v>
      </c>
      <c r="CB80">
        <v>0.99483650688566883</v>
      </c>
      <c r="CC80">
        <v>-1.126542068965517E-2</v>
      </c>
      <c r="CD80">
        <v>289.99999999999989</v>
      </c>
      <c r="CE80">
        <v>995.85</v>
      </c>
      <c r="CF80">
        <v>625</v>
      </c>
      <c r="CG80">
        <v>10335.9</v>
      </c>
      <c r="CH80">
        <v>1006.76</v>
      </c>
      <c r="CI80">
        <v>-10.91</v>
      </c>
      <c r="CW80">
        <f t="shared" si="88"/>
        <v>1800.1</v>
      </c>
      <c r="CX80">
        <f t="shared" si="89"/>
        <v>1513.2683998223499</v>
      </c>
      <c r="CY80">
        <f t="shared" si="90"/>
        <v>0.8406579633477862</v>
      </c>
      <c r="CZ80">
        <f t="shared" si="91"/>
        <v>0.19131592669557235</v>
      </c>
      <c r="DA80">
        <v>6</v>
      </c>
      <c r="DB80">
        <v>0.5</v>
      </c>
      <c r="DC80" t="s">
        <v>418</v>
      </c>
      <c r="DD80">
        <v>2</v>
      </c>
      <c r="DE80">
        <v>1693338290</v>
      </c>
      <c r="DF80">
        <v>353.952</v>
      </c>
      <c r="DG80">
        <v>399.92399999999998</v>
      </c>
      <c r="DH80">
        <v>28.3337</v>
      </c>
      <c r="DI80">
        <v>21.892700000000001</v>
      </c>
      <c r="DJ80">
        <v>351.93299999999999</v>
      </c>
      <c r="DK80">
        <v>27.558700000000002</v>
      </c>
      <c r="DL80">
        <v>499.64699999999999</v>
      </c>
      <c r="DM80">
        <v>98.911799999999999</v>
      </c>
      <c r="DN80">
        <v>9.9873500000000004E-2</v>
      </c>
      <c r="DO80">
        <v>30.243200000000002</v>
      </c>
      <c r="DP80">
        <v>29.9985</v>
      </c>
      <c r="DQ80">
        <v>999.9</v>
      </c>
      <c r="DR80">
        <v>0</v>
      </c>
      <c r="DS80">
        <v>0</v>
      </c>
      <c r="DT80">
        <v>10022.5</v>
      </c>
      <c r="DU80">
        <v>0</v>
      </c>
      <c r="DV80">
        <v>1666.8</v>
      </c>
      <c r="DW80">
        <v>-45.9724</v>
      </c>
      <c r="DX80">
        <v>364.27300000000002</v>
      </c>
      <c r="DY80">
        <v>408.875</v>
      </c>
      <c r="DZ80">
        <v>6.44095</v>
      </c>
      <c r="EA80">
        <v>399.92399999999998</v>
      </c>
      <c r="EB80">
        <v>21.892700000000001</v>
      </c>
      <c r="EC80">
        <v>2.80253</v>
      </c>
      <c r="ED80">
        <v>2.1654499999999999</v>
      </c>
      <c r="EE80">
        <v>22.899000000000001</v>
      </c>
      <c r="EF80">
        <v>18.709</v>
      </c>
      <c r="EG80">
        <v>1800.1</v>
      </c>
      <c r="EH80">
        <v>0.97800799999999999</v>
      </c>
      <c r="EI80">
        <v>2.19916E-2</v>
      </c>
      <c r="EJ80">
        <v>0</v>
      </c>
      <c r="EK80">
        <v>817.69500000000005</v>
      </c>
      <c r="EL80">
        <v>5.0002700000000004</v>
      </c>
      <c r="EM80">
        <v>15563.5</v>
      </c>
      <c r="EN80">
        <v>16249.6</v>
      </c>
      <c r="EO80">
        <v>48.25</v>
      </c>
      <c r="EP80">
        <v>50.061999999999998</v>
      </c>
      <c r="EQ80">
        <v>49.375</v>
      </c>
      <c r="ER80">
        <v>49.561999999999998</v>
      </c>
      <c r="ES80">
        <v>50.061999999999998</v>
      </c>
      <c r="ET80">
        <v>1755.62</v>
      </c>
      <c r="EU80">
        <v>39.479999999999997</v>
      </c>
      <c r="EV80">
        <v>0</v>
      </c>
      <c r="EW80">
        <v>187.39999985694891</v>
      </c>
      <c r="EX80">
        <v>0</v>
      </c>
      <c r="EY80">
        <v>818.66003999999998</v>
      </c>
      <c r="EZ80">
        <v>-8.5275384841304671</v>
      </c>
      <c r="FA80">
        <v>-156.90000038543829</v>
      </c>
      <c r="FB80">
        <v>15582.08</v>
      </c>
      <c r="FC80">
        <v>15</v>
      </c>
      <c r="FD80">
        <v>1693338182</v>
      </c>
      <c r="FE80" t="s">
        <v>746</v>
      </c>
      <c r="FF80">
        <v>1693338176.5</v>
      </c>
      <c r="FG80">
        <v>1693338182</v>
      </c>
      <c r="FH80">
        <v>73</v>
      </c>
      <c r="FI80">
        <v>0.26400000000000001</v>
      </c>
      <c r="FJ80">
        <v>4.0000000000000001E-3</v>
      </c>
      <c r="FK80">
        <v>2.0219999999999998</v>
      </c>
      <c r="FL80">
        <v>0.41</v>
      </c>
      <c r="FM80">
        <v>400</v>
      </c>
      <c r="FN80">
        <v>22</v>
      </c>
      <c r="FO80">
        <v>0.27</v>
      </c>
      <c r="FP80">
        <v>0.04</v>
      </c>
      <c r="FQ80">
        <v>36.032762678646947</v>
      </c>
      <c r="FR80">
        <v>2.4995280427783721</v>
      </c>
      <c r="FS80">
        <v>0.20237562732923781</v>
      </c>
      <c r="FT80">
        <v>0</v>
      </c>
      <c r="FU80">
        <v>0.39299275413746232</v>
      </c>
      <c r="FV80">
        <v>-1.2633735550723771E-2</v>
      </c>
      <c r="FW80">
        <v>1.278187796004183E-3</v>
      </c>
      <c r="FX80">
        <v>1</v>
      </c>
      <c r="FY80">
        <v>1</v>
      </c>
      <c r="FZ80">
        <v>2</v>
      </c>
      <c r="GA80" t="s">
        <v>420</v>
      </c>
      <c r="GB80">
        <v>3.1333299999999999</v>
      </c>
      <c r="GC80">
        <v>2.8652199999999999</v>
      </c>
      <c r="GD80">
        <v>8.2898700000000006E-2</v>
      </c>
      <c r="GE80">
        <v>9.4020000000000006E-2</v>
      </c>
      <c r="GF80">
        <v>0.126994</v>
      </c>
      <c r="GG80">
        <v>0.11071</v>
      </c>
      <c r="GH80">
        <v>27614.1</v>
      </c>
      <c r="GI80">
        <v>21100</v>
      </c>
      <c r="GJ80">
        <v>29044.400000000001</v>
      </c>
      <c r="GK80">
        <v>21715.7</v>
      </c>
      <c r="GL80">
        <v>34000.400000000001</v>
      </c>
      <c r="GM80">
        <v>26595.7</v>
      </c>
      <c r="GN80">
        <v>40313.699999999997</v>
      </c>
      <c r="GO80">
        <v>30878.5</v>
      </c>
      <c r="GP80">
        <v>2.0005000000000002</v>
      </c>
      <c r="GQ80">
        <v>1.7781</v>
      </c>
      <c r="GR80">
        <v>4.9322799999999998E-3</v>
      </c>
      <c r="GS80">
        <v>0</v>
      </c>
      <c r="GT80">
        <v>29.918199999999999</v>
      </c>
      <c r="GU80">
        <v>999.9</v>
      </c>
      <c r="GV80">
        <v>41.1</v>
      </c>
      <c r="GW80">
        <v>37.799999999999997</v>
      </c>
      <c r="GX80">
        <v>27.363900000000001</v>
      </c>
      <c r="GY80">
        <v>61.771999999999998</v>
      </c>
      <c r="GZ80">
        <v>12.604200000000001</v>
      </c>
      <c r="HA80">
        <v>1</v>
      </c>
      <c r="HB80">
        <v>0.50290699999999999</v>
      </c>
      <c r="HC80">
        <v>3.59971</v>
      </c>
      <c r="HD80">
        <v>20.3001</v>
      </c>
      <c r="HE80">
        <v>5.2346599999999999</v>
      </c>
      <c r="HF80">
        <v>11.98</v>
      </c>
      <c r="HG80">
        <v>4.9741999999999997</v>
      </c>
      <c r="HH80">
        <v>3.2839999999999998</v>
      </c>
      <c r="HI80">
        <v>9999</v>
      </c>
      <c r="HJ80">
        <v>9999</v>
      </c>
      <c r="HK80">
        <v>9999</v>
      </c>
      <c r="HL80">
        <v>999.9</v>
      </c>
      <c r="HM80">
        <v>1.8608100000000001</v>
      </c>
      <c r="HN80">
        <v>1.86249</v>
      </c>
      <c r="HO80">
        <v>1.8678300000000001</v>
      </c>
      <c r="HP80">
        <v>1.8585199999999999</v>
      </c>
      <c r="HQ80">
        <v>1.8569</v>
      </c>
      <c r="HR80">
        <v>1.86066</v>
      </c>
      <c r="HS80">
        <v>1.8644700000000001</v>
      </c>
      <c r="HT80">
        <v>1.8664700000000001</v>
      </c>
      <c r="HU80">
        <v>5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2.0190000000000001</v>
      </c>
      <c r="II80">
        <v>0.77500000000000002</v>
      </c>
      <c r="IJ80">
        <v>1.8107567837242979</v>
      </c>
      <c r="IK80">
        <v>1.118558698776514E-3</v>
      </c>
      <c r="IL80">
        <v>-1.6939696309573479E-6</v>
      </c>
      <c r="IM80">
        <v>5.4698917449866148E-10</v>
      </c>
      <c r="IN80">
        <v>-0.103727083744212</v>
      </c>
      <c r="IO80">
        <v>-7.6058941998734366E-3</v>
      </c>
      <c r="IP80">
        <v>1.6984902717538061E-3</v>
      </c>
      <c r="IQ80">
        <v>-9.6352527008986976E-6</v>
      </c>
      <c r="IR80">
        <v>2</v>
      </c>
      <c r="IS80">
        <v>2021</v>
      </c>
      <c r="IT80">
        <v>2</v>
      </c>
      <c r="IU80">
        <v>40</v>
      </c>
      <c r="IV80">
        <v>1.9</v>
      </c>
      <c r="IW80">
        <v>1.8</v>
      </c>
      <c r="IX80">
        <v>1.03027</v>
      </c>
      <c r="IY80">
        <v>2.5317400000000001</v>
      </c>
      <c r="IZ80">
        <v>1.34399</v>
      </c>
      <c r="JA80">
        <v>2.2387700000000001</v>
      </c>
      <c r="JB80">
        <v>1.5918000000000001</v>
      </c>
      <c r="JC80">
        <v>2.2961399999999998</v>
      </c>
      <c r="JD80">
        <v>40.4255</v>
      </c>
      <c r="JE80">
        <v>15.8482</v>
      </c>
      <c r="JF80">
        <v>18</v>
      </c>
      <c r="JG80">
        <v>508.79599999999999</v>
      </c>
      <c r="JH80">
        <v>410.76600000000002</v>
      </c>
      <c r="JI80">
        <v>25.2346</v>
      </c>
      <c r="JJ80">
        <v>33.817399999999999</v>
      </c>
      <c r="JK80">
        <v>29.9998</v>
      </c>
      <c r="JL80">
        <v>33.628900000000002</v>
      </c>
      <c r="JM80">
        <v>33.576599999999999</v>
      </c>
      <c r="JN80">
        <v>20.713699999999999</v>
      </c>
      <c r="JO80">
        <v>24.8124</v>
      </c>
      <c r="JP80">
        <v>24.317699999999999</v>
      </c>
      <c r="JQ80">
        <v>25.2408</v>
      </c>
      <c r="JR80">
        <v>400</v>
      </c>
      <c r="JS80">
        <v>21.929400000000001</v>
      </c>
      <c r="JT80">
        <v>99.036900000000003</v>
      </c>
      <c r="JU80">
        <v>97.527100000000004</v>
      </c>
    </row>
    <row r="81" spans="1:281" x14ac:dyDescent="0.25">
      <c r="A81">
        <v>65</v>
      </c>
      <c r="B81">
        <v>1693338414.5</v>
      </c>
      <c r="C81">
        <v>16653</v>
      </c>
      <c r="D81" t="s">
        <v>747</v>
      </c>
      <c r="E81" t="s">
        <v>748</v>
      </c>
      <c r="F81" t="s">
        <v>413</v>
      </c>
      <c r="G81" t="s">
        <v>564</v>
      </c>
      <c r="H81" t="s">
        <v>708</v>
      </c>
      <c r="I81" t="s">
        <v>31</v>
      </c>
      <c r="J81">
        <v>1693338414.5</v>
      </c>
      <c r="K81">
        <f t="shared" ref="K81:K112" si="92">(L81)/1000</f>
        <v>5.4494481015618457E-3</v>
      </c>
      <c r="L81">
        <f t="shared" ref="L81:L114" si="93">1000*DL81*AJ81*(DH81-DI81)/(100*DA81*(1000-AJ81*DH81))</f>
        <v>5.4494481015618454</v>
      </c>
      <c r="M81">
        <f t="shared" ref="M81:M114" si="94">DL81*AJ81*(DG81-DF81*(1000-AJ81*DI81)/(1000-AJ81*DH81))/(100*DA81)</f>
        <v>39.456066675187429</v>
      </c>
      <c r="N81">
        <f t="shared" ref="N81:N112" si="95">DF81 - IF(AJ81&gt;1, M81*DA81*100/(AL81*DT81), 0)</f>
        <v>350.255</v>
      </c>
      <c r="O81">
        <f t="shared" ref="O81:O112" si="96">((U81-K81/2)*N81-M81)/(U81+K81/2)</f>
        <v>170.73979050281105</v>
      </c>
      <c r="P81">
        <f t="shared" ref="P81:P112" si="97">O81*(DM81+DN81)/1000</f>
        <v>16.904173872317525</v>
      </c>
      <c r="Q81">
        <f t="shared" ref="Q81:Q114" si="98">(DF81 - IF(AJ81&gt;1, M81*DA81*100/(AL81*DT81), 0))*(DM81+DN81)/1000</f>
        <v>34.677162260844497</v>
      </c>
      <c r="R81">
        <f t="shared" ref="R81:R112" si="99">2/((1/T81-1/S81)+SIGN(T81)*SQRT((1/T81-1/S81)*(1/T81-1/S81) + 4*DB81/((DB81+1)*(DB81+1))*(2*1/T81*1/S81-1/S81*1/S81)))</f>
        <v>0.38724163004741857</v>
      </c>
      <c r="S81">
        <f t="shared" ref="S81:S114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2.9137716889385068</v>
      </c>
      <c r="T81">
        <f t="shared" ref="T81:T114" si="101">K81*(1000-(1000*0.61365*EXP(17.502*X81/(240.97+X81))/(DM81+DN81)+DH81)/2)/(1000*0.61365*EXP(17.502*X81/(240.97+X81))/(DM81+DN81)-DH81)</f>
        <v>0.36075439108077534</v>
      </c>
      <c r="U81">
        <f t="shared" ref="U81:U114" si="102">1/((DB81+1)/(R81/1.6)+1/(S81/1.37)) + DB81/((DB81+1)/(R81/1.6) + DB81/(S81/1.37))</f>
        <v>0.22770011424487169</v>
      </c>
      <c r="V81">
        <f t="shared" ref="V81:V114" si="103">(CW81*CZ81)</f>
        <v>344.39919964471164</v>
      </c>
      <c r="W81">
        <f t="shared" ref="W81:W112" si="104">(DO81+(V81+2*0.95*0.0000000567*(((DO81+$B$7)+273)^4-(DO81+273)^4)-44100*K81)/(1.84*29.3*S81+8*0.95*0.0000000567*(DO81+273)^3))</f>
        <v>30.874365489607502</v>
      </c>
      <c r="X81">
        <f t="shared" ref="X81:X112" si="105">($C$7*DP81+$D$7*DQ81+$E$7*W81)</f>
        <v>30.001200000000001</v>
      </c>
      <c r="Y81">
        <f t="shared" ref="Y81:Y112" si="106">0.61365*EXP(17.502*X81/(240.97+X81))</f>
        <v>4.2607434413339513</v>
      </c>
      <c r="Z81">
        <f t="shared" ref="Z81:Z112" si="107">(AA81/AB81*100)</f>
        <v>65.183239955429215</v>
      </c>
      <c r="AA81">
        <f t="shared" ref="AA81:AA114" si="108">DH81*(DM81+DN81)/1000</f>
        <v>2.8186660408382198</v>
      </c>
      <c r="AB81">
        <f t="shared" ref="AB81:AB114" si="109">0.61365*EXP(17.502*DO81/(240.97+DO81))</f>
        <v>4.3242189905956776</v>
      </c>
      <c r="AC81">
        <f t="shared" ref="AC81:AC114" si="110">(Y81-DH81*(DM81+DN81)/1000)</f>
        <v>1.4420774004957315</v>
      </c>
      <c r="AD81">
        <f t="shared" ref="AD81:AD114" si="111">(-K81*44100)</f>
        <v>-240.3206612788774</v>
      </c>
      <c r="AE81">
        <f t="shared" ref="AE81:AE114" si="112">2*29.3*S81*0.92*(DO81-X81)</f>
        <v>40.481386720077374</v>
      </c>
      <c r="AF81">
        <f t="shared" ref="AF81:AF114" si="113">2*0.95*0.0000000567*(((DO81+$B$7)+273)^4-(X81+273)^4)</f>
        <v>3.0931296327386857</v>
      </c>
      <c r="AG81">
        <f t="shared" ref="AG81:AG112" si="114">V81+AF81+AD81+AE81</f>
        <v>147.65305471865031</v>
      </c>
      <c r="AH81">
        <v>0</v>
      </c>
      <c r="AI81">
        <v>0</v>
      </c>
      <c r="AJ81">
        <f t="shared" ref="AJ81:AJ114" si="115">IF(AH81*$H$13&gt;=AL81,1,(AL81/(AL81-AH81*$H$13)))</f>
        <v>1</v>
      </c>
      <c r="AK81">
        <f t="shared" ref="AK81:AK112" si="116">(AJ81-1)*100</f>
        <v>0</v>
      </c>
      <c r="AL81">
        <f t="shared" ref="AL81:AL114" si="117">MAX(0,($B$13+$C$13*DT81)/(1+$D$13*DT81)*DM81/(DO81+273)*$E$13)</f>
        <v>51835.632714252133</v>
      </c>
      <c r="AM81" t="s">
        <v>415</v>
      </c>
      <c r="AN81">
        <v>10366.9</v>
      </c>
      <c r="AO81">
        <v>993.59653846153856</v>
      </c>
      <c r="AP81">
        <v>3431.87</v>
      </c>
      <c r="AQ81">
        <f t="shared" ref="AQ81:AQ112" si="118">1-AO81/AP81</f>
        <v>0.71047955241266758</v>
      </c>
      <c r="AR81">
        <v>-3.9894345373445681</v>
      </c>
      <c r="AS81" t="s">
        <v>749</v>
      </c>
      <c r="AT81">
        <v>10360.299999999999</v>
      </c>
      <c r="AU81">
        <v>819.97756000000004</v>
      </c>
      <c r="AV81">
        <v>1100.914324366491</v>
      </c>
      <c r="AW81">
        <f t="shared" ref="AW81:AW112" si="119">1-AU81/AV81</f>
        <v>0.25518494777343637</v>
      </c>
      <c r="AX81">
        <v>0.5</v>
      </c>
      <c r="AY81">
        <f t="shared" ref="AY81:AY114" si="120">CX81</f>
        <v>1513.3187998223559</v>
      </c>
      <c r="AZ81">
        <f t="shared" ref="AZ81:AZ114" si="121">M81</f>
        <v>39.456066675187429</v>
      </c>
      <c r="BA81">
        <f t="shared" ref="BA81:BA114" si="122">AW81*AX81*AY81</f>
        <v>193.08808944861366</v>
      </c>
      <c r="BB81">
        <f t="shared" ref="BB81:BB114" si="123">(AZ81-AR81)/AY81</f>
        <v>2.8708756686054476E-2</v>
      </c>
      <c r="BC81">
        <f t="shared" ref="BC81:BC114" si="124">(AP81-AV81)/AV81</f>
        <v>2.1172907137663337</v>
      </c>
      <c r="BD81">
        <f t="shared" ref="BD81:BD114" si="125">AO81/(AQ81+AO81/AV81)</f>
        <v>615.99329330396631</v>
      </c>
      <c r="BE81" t="s">
        <v>750</v>
      </c>
      <c r="BF81">
        <v>616.89</v>
      </c>
      <c r="BG81">
        <f t="shared" ref="BG81:BG112" si="126">IF(BF81&lt;&gt;0, BF81, BD81)</f>
        <v>616.89</v>
      </c>
      <c r="BH81">
        <f t="shared" ref="BH81:BH112" si="127">1-BG81/AV81</f>
        <v>0.43965666869219588</v>
      </c>
      <c r="BI81">
        <f t="shared" ref="BI81:BI114" si="128">(AV81-AU81)/(AV81-BG81)</f>
        <v>0.58041869018502612</v>
      </c>
      <c r="BJ81">
        <f t="shared" ref="BJ81:BJ114" si="129">(AP81-AV81)/(AP81-BG81)</f>
        <v>0.82805408053823071</v>
      </c>
      <c r="BK81">
        <f t="shared" ref="BK81:BK114" si="130">(AV81-AU81)/(AV81-AO81)</f>
        <v>2.617802463939265</v>
      </c>
      <c r="BL81">
        <f t="shared" ref="BL81:BL114" si="131">(AP81-AV81)/(AP81-AO81)</f>
        <v>0.95598615676305676</v>
      </c>
      <c r="BM81">
        <f t="shared" ref="BM81:BM114" si="132">(BI81*BG81/AU81)</f>
        <v>0.43666376161347725</v>
      </c>
      <c r="BN81">
        <f t="shared" ref="BN81:BN112" si="133">(1-BM81)</f>
        <v>0.5633362383865228</v>
      </c>
      <c r="BO81">
        <v>2081</v>
      </c>
      <c r="BP81">
        <v>290.00000000000011</v>
      </c>
      <c r="BQ81">
        <v>1028.47</v>
      </c>
      <c r="BR81">
        <v>165</v>
      </c>
      <c r="BS81">
        <v>10360.299999999999</v>
      </c>
      <c r="BT81">
        <v>1025.28</v>
      </c>
      <c r="BU81">
        <v>3.19</v>
      </c>
      <c r="BV81">
        <v>300.00000000000011</v>
      </c>
      <c r="BW81">
        <v>38.4</v>
      </c>
      <c r="BX81">
        <v>1100.914324366491</v>
      </c>
      <c r="BY81">
        <v>1.427511594376591</v>
      </c>
      <c r="BZ81">
        <v>-78.355357916034365</v>
      </c>
      <c r="CA81">
        <v>1.209612385400483</v>
      </c>
      <c r="CB81">
        <v>0.9933713556751167</v>
      </c>
      <c r="CC81">
        <v>-1.126577308120133E-2</v>
      </c>
      <c r="CD81">
        <v>289.99999999999989</v>
      </c>
      <c r="CE81">
        <v>1018.21</v>
      </c>
      <c r="CF81">
        <v>655</v>
      </c>
      <c r="CG81">
        <v>10333.200000000001</v>
      </c>
      <c r="CH81">
        <v>1025.0899999999999</v>
      </c>
      <c r="CI81">
        <v>-6.88</v>
      </c>
      <c r="CW81">
        <f t="shared" ref="CW81:CW114" si="134">$B$11*DU81+$C$11*DV81+$F$11*EG81*(1-EJ81)</f>
        <v>1800.16</v>
      </c>
      <c r="CX81">
        <f t="shared" ref="CX81:CX112" si="135">CW81*CY81</f>
        <v>1513.3187998223559</v>
      </c>
      <c r="CY81">
        <f t="shared" ref="CY81:CY114" si="136">($B$11*$D$9+$C$11*$D$9+$F$11*((ET81+EL81)/MAX(ET81+EL81+EU81, 0.1)*$I$9+EU81/MAX(ET81+EL81+EU81, 0.1)*$J$9))/($B$11+$C$11+$F$11)</f>
        <v>0.84065794141762717</v>
      </c>
      <c r="CZ81">
        <f t="shared" ref="CZ81:CZ114" si="137">($B$11*$K$9+$C$11*$K$9+$F$11*((ET81+EL81)/MAX(ET81+EL81+EU81, 0.1)*$P$9+EU81/MAX(ET81+EL81+EU81, 0.1)*$Q$9))/($B$11+$C$11+$F$11)</f>
        <v>0.19131588283525444</v>
      </c>
      <c r="DA81">
        <v>6</v>
      </c>
      <c r="DB81">
        <v>0.5</v>
      </c>
      <c r="DC81" t="s">
        <v>418</v>
      </c>
      <c r="DD81">
        <v>2</v>
      </c>
      <c r="DE81">
        <v>1693338414.5</v>
      </c>
      <c r="DF81">
        <v>350.255</v>
      </c>
      <c r="DG81">
        <v>399.94299999999998</v>
      </c>
      <c r="DH81">
        <v>28.469799999999999</v>
      </c>
      <c r="DI81">
        <v>22.110199999999999</v>
      </c>
      <c r="DJ81">
        <v>348.29599999999999</v>
      </c>
      <c r="DK81">
        <v>27.685700000000001</v>
      </c>
      <c r="DL81">
        <v>499.49400000000003</v>
      </c>
      <c r="DM81">
        <v>98.905500000000004</v>
      </c>
      <c r="DN81">
        <v>9.9973900000000004E-2</v>
      </c>
      <c r="DO81">
        <v>30.258900000000001</v>
      </c>
      <c r="DP81">
        <v>30.001200000000001</v>
      </c>
      <c r="DQ81">
        <v>999.9</v>
      </c>
      <c r="DR81">
        <v>0</v>
      </c>
      <c r="DS81">
        <v>0</v>
      </c>
      <c r="DT81">
        <v>10020</v>
      </c>
      <c r="DU81">
        <v>0</v>
      </c>
      <c r="DV81">
        <v>1650.69</v>
      </c>
      <c r="DW81">
        <v>-49.688600000000001</v>
      </c>
      <c r="DX81">
        <v>360.51900000000001</v>
      </c>
      <c r="DY81">
        <v>408.98599999999999</v>
      </c>
      <c r="DZ81">
        <v>6.3595600000000001</v>
      </c>
      <c r="EA81">
        <v>399.94299999999998</v>
      </c>
      <c r="EB81">
        <v>22.110199999999999</v>
      </c>
      <c r="EC81">
        <v>2.81582</v>
      </c>
      <c r="ED81">
        <v>2.1868300000000001</v>
      </c>
      <c r="EE81">
        <v>22.9771</v>
      </c>
      <c r="EF81">
        <v>18.866099999999999</v>
      </c>
      <c r="EG81">
        <v>1800.16</v>
      </c>
      <c r="EH81">
        <v>0.97800799999999999</v>
      </c>
      <c r="EI81">
        <v>2.19916E-2</v>
      </c>
      <c r="EJ81">
        <v>0</v>
      </c>
      <c r="EK81">
        <v>820.63900000000001</v>
      </c>
      <c r="EL81">
        <v>5.0002700000000004</v>
      </c>
      <c r="EM81">
        <v>15613.1</v>
      </c>
      <c r="EN81">
        <v>16250.1</v>
      </c>
      <c r="EO81">
        <v>48.186999999999998</v>
      </c>
      <c r="EP81">
        <v>50.061999999999998</v>
      </c>
      <c r="EQ81">
        <v>49.375</v>
      </c>
      <c r="ER81">
        <v>49.5</v>
      </c>
      <c r="ES81">
        <v>50</v>
      </c>
      <c r="ET81">
        <v>1755.68</v>
      </c>
      <c r="EU81">
        <v>39.479999999999997</v>
      </c>
      <c r="EV81">
        <v>0</v>
      </c>
      <c r="EW81">
        <v>122.5999999046326</v>
      </c>
      <c r="EX81">
        <v>0</v>
      </c>
      <c r="EY81">
        <v>819.97756000000004</v>
      </c>
      <c r="EZ81">
        <v>7.9541538568281407</v>
      </c>
      <c r="FA81">
        <v>144.2846158176674</v>
      </c>
      <c r="FB81">
        <v>15599.628000000001</v>
      </c>
      <c r="FC81">
        <v>15</v>
      </c>
      <c r="FD81">
        <v>1693338354.5</v>
      </c>
      <c r="FE81" t="s">
        <v>751</v>
      </c>
      <c r="FF81">
        <v>1693338351.5</v>
      </c>
      <c r="FG81">
        <v>1693338354.5</v>
      </c>
      <c r="FH81">
        <v>74</v>
      </c>
      <c r="FI81">
        <v>-0.06</v>
      </c>
      <c r="FJ81">
        <v>1E-3</v>
      </c>
      <c r="FK81">
        <v>1.962</v>
      </c>
      <c r="FL81">
        <v>0.42199999999999999</v>
      </c>
      <c r="FM81">
        <v>400</v>
      </c>
      <c r="FN81">
        <v>22</v>
      </c>
      <c r="FO81">
        <v>0.11</v>
      </c>
      <c r="FP81">
        <v>0.02</v>
      </c>
      <c r="FQ81">
        <v>39.366528937859208</v>
      </c>
      <c r="FR81">
        <v>0.66486379727703193</v>
      </c>
      <c r="FS81">
        <v>9.346983261041053E-2</v>
      </c>
      <c r="FT81">
        <v>1</v>
      </c>
      <c r="FU81">
        <v>0.38691870399855532</v>
      </c>
      <c r="FV81">
        <v>1.070860827453313E-2</v>
      </c>
      <c r="FW81">
        <v>1.2146389147379181E-3</v>
      </c>
      <c r="FX81">
        <v>1</v>
      </c>
      <c r="FY81">
        <v>2</v>
      </c>
      <c r="FZ81">
        <v>2</v>
      </c>
      <c r="GA81" t="s">
        <v>429</v>
      </c>
      <c r="GB81">
        <v>3.1332200000000001</v>
      </c>
      <c r="GC81">
        <v>2.8653</v>
      </c>
      <c r="GD81">
        <v>8.2221199999999994E-2</v>
      </c>
      <c r="GE81">
        <v>9.4031299999999998E-2</v>
      </c>
      <c r="GF81">
        <v>0.12740899999999999</v>
      </c>
      <c r="GG81">
        <v>0.111487</v>
      </c>
      <c r="GH81">
        <v>27637.7</v>
      </c>
      <c r="GI81">
        <v>21103.200000000001</v>
      </c>
      <c r="GJ81">
        <v>29047.5</v>
      </c>
      <c r="GK81">
        <v>21719</v>
      </c>
      <c r="GL81">
        <v>33986.800000000003</v>
      </c>
      <c r="GM81">
        <v>26576.7</v>
      </c>
      <c r="GN81">
        <v>40317.9</v>
      </c>
      <c r="GO81">
        <v>30883.5</v>
      </c>
      <c r="GP81">
        <v>2.0007999999999999</v>
      </c>
      <c r="GQ81">
        <v>1.7804</v>
      </c>
      <c r="GR81">
        <v>8.9108899999999994E-3</v>
      </c>
      <c r="GS81">
        <v>0</v>
      </c>
      <c r="GT81">
        <v>29.856200000000001</v>
      </c>
      <c r="GU81">
        <v>999.9</v>
      </c>
      <c r="GV81">
        <v>41.1</v>
      </c>
      <c r="GW81">
        <v>37.700000000000003</v>
      </c>
      <c r="GX81">
        <v>27.2179</v>
      </c>
      <c r="GY81">
        <v>61.462000000000003</v>
      </c>
      <c r="GZ81">
        <v>12.443899999999999</v>
      </c>
      <c r="HA81">
        <v>1</v>
      </c>
      <c r="HB81">
        <v>0.49586400000000003</v>
      </c>
      <c r="HC81">
        <v>3.4500700000000002</v>
      </c>
      <c r="HD81">
        <v>20.303599999999999</v>
      </c>
      <c r="HE81">
        <v>5.23346</v>
      </c>
      <c r="HF81">
        <v>11.98</v>
      </c>
      <c r="HG81">
        <v>4.9753999999999996</v>
      </c>
      <c r="HH81">
        <v>3.2839999999999998</v>
      </c>
      <c r="HI81">
        <v>9999</v>
      </c>
      <c r="HJ81">
        <v>9999</v>
      </c>
      <c r="HK81">
        <v>9999</v>
      </c>
      <c r="HL81">
        <v>999.9</v>
      </c>
      <c r="HM81">
        <v>1.8608100000000001</v>
      </c>
      <c r="HN81">
        <v>1.86249</v>
      </c>
      <c r="HO81">
        <v>1.8678399999999999</v>
      </c>
      <c r="HP81">
        <v>1.8585199999999999</v>
      </c>
      <c r="HQ81">
        <v>1.8569599999999999</v>
      </c>
      <c r="HR81">
        <v>1.8606400000000001</v>
      </c>
      <c r="HS81">
        <v>1.8644700000000001</v>
      </c>
      <c r="HT81">
        <v>1.86652</v>
      </c>
      <c r="HU81">
        <v>5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1.9590000000000001</v>
      </c>
      <c r="II81">
        <v>0.78410000000000002</v>
      </c>
      <c r="IJ81">
        <v>1.7511555305991151</v>
      </c>
      <c r="IK81">
        <v>1.118558698776514E-3</v>
      </c>
      <c r="IL81">
        <v>-1.6939696309573479E-6</v>
      </c>
      <c r="IM81">
        <v>5.4698917449866148E-10</v>
      </c>
      <c r="IN81">
        <v>-0.1027003822633161</v>
      </c>
      <c r="IO81">
        <v>-7.6058941998734366E-3</v>
      </c>
      <c r="IP81">
        <v>1.6984902717538061E-3</v>
      </c>
      <c r="IQ81">
        <v>-9.6352527008986976E-6</v>
      </c>
      <c r="IR81">
        <v>2</v>
      </c>
      <c r="IS81">
        <v>2021</v>
      </c>
      <c r="IT81">
        <v>2</v>
      </c>
      <c r="IU81">
        <v>40</v>
      </c>
      <c r="IV81">
        <v>1.1000000000000001</v>
      </c>
      <c r="IW81">
        <v>1</v>
      </c>
      <c r="IX81">
        <v>1.03027</v>
      </c>
      <c r="IY81">
        <v>2.5293000000000001</v>
      </c>
      <c r="IZ81">
        <v>1.34399</v>
      </c>
      <c r="JA81">
        <v>2.2375500000000001</v>
      </c>
      <c r="JB81">
        <v>1.5918000000000001</v>
      </c>
      <c r="JC81">
        <v>2.3327599999999999</v>
      </c>
      <c r="JD81">
        <v>40.3491</v>
      </c>
      <c r="JE81">
        <v>15.839399999999999</v>
      </c>
      <c r="JF81">
        <v>18</v>
      </c>
      <c r="JG81">
        <v>508.61399999999998</v>
      </c>
      <c r="JH81">
        <v>411.85399999999998</v>
      </c>
      <c r="JI81">
        <v>25.302900000000001</v>
      </c>
      <c r="JJ81">
        <v>33.765700000000002</v>
      </c>
      <c r="JK81">
        <v>30</v>
      </c>
      <c r="JL81">
        <v>33.583799999999997</v>
      </c>
      <c r="JM81">
        <v>33.527500000000003</v>
      </c>
      <c r="JN81">
        <v>20.7164</v>
      </c>
      <c r="JO81">
        <v>23.689900000000002</v>
      </c>
      <c r="JP81">
        <v>23.880400000000002</v>
      </c>
      <c r="JQ81">
        <v>25.277200000000001</v>
      </c>
      <c r="JR81">
        <v>400</v>
      </c>
      <c r="JS81">
        <v>22.173400000000001</v>
      </c>
      <c r="JT81">
        <v>99.047300000000007</v>
      </c>
      <c r="JU81">
        <v>97.542500000000004</v>
      </c>
    </row>
    <row r="82" spans="1:281" x14ac:dyDescent="0.25">
      <c r="A82">
        <v>66</v>
      </c>
      <c r="B82">
        <v>1693338514.5</v>
      </c>
      <c r="C82">
        <v>16753</v>
      </c>
      <c r="D82" t="s">
        <v>752</v>
      </c>
      <c r="E82" t="s">
        <v>753</v>
      </c>
      <c r="F82" t="s">
        <v>413</v>
      </c>
      <c r="G82" t="s">
        <v>564</v>
      </c>
      <c r="H82" t="s">
        <v>708</v>
      </c>
      <c r="I82" t="s">
        <v>31</v>
      </c>
      <c r="J82">
        <v>1693338514.5</v>
      </c>
      <c r="K82">
        <f t="shared" si="92"/>
        <v>5.3369971990652508E-3</v>
      </c>
      <c r="L82">
        <f t="shared" si="93"/>
        <v>5.3369971990652507</v>
      </c>
      <c r="M82">
        <f t="shared" si="94"/>
        <v>42.304133363172021</v>
      </c>
      <c r="N82">
        <f t="shared" si="95"/>
        <v>446.34100000000001</v>
      </c>
      <c r="O82">
        <f t="shared" si="96"/>
        <v>248.69970091082317</v>
      </c>
      <c r="P82">
        <f t="shared" si="97"/>
        <v>24.621906340176693</v>
      </c>
      <c r="Q82">
        <f t="shared" si="98"/>
        <v>44.188900338571102</v>
      </c>
      <c r="R82">
        <f t="shared" si="99"/>
        <v>0.37955397629394416</v>
      </c>
      <c r="S82">
        <f t="shared" si="100"/>
        <v>2.9111006739412693</v>
      </c>
      <c r="T82">
        <f t="shared" si="101"/>
        <v>0.35404916728966601</v>
      </c>
      <c r="U82">
        <f t="shared" si="102"/>
        <v>0.22342925645437103</v>
      </c>
      <c r="V82">
        <f t="shared" si="103"/>
        <v>344.40109964471355</v>
      </c>
      <c r="W82">
        <f t="shared" si="104"/>
        <v>30.896455216480412</v>
      </c>
      <c r="X82">
        <f t="shared" si="105"/>
        <v>30.030100000000001</v>
      </c>
      <c r="Y82">
        <f t="shared" si="106"/>
        <v>4.2678212980947547</v>
      </c>
      <c r="Z82">
        <f t="shared" si="107"/>
        <v>65.449832832652874</v>
      </c>
      <c r="AA82">
        <f t="shared" si="108"/>
        <v>2.8289287673425303</v>
      </c>
      <c r="AB82">
        <f t="shared" si="109"/>
        <v>4.3222857032740647</v>
      </c>
      <c r="AC82">
        <f t="shared" si="110"/>
        <v>1.4388925307522245</v>
      </c>
      <c r="AD82">
        <f t="shared" si="111"/>
        <v>-235.36157647877755</v>
      </c>
      <c r="AE82">
        <f t="shared" si="112"/>
        <v>34.684460356908311</v>
      </c>
      <c r="AF82">
        <f t="shared" si="113"/>
        <v>2.6529025682088245</v>
      </c>
      <c r="AG82">
        <f t="shared" si="114"/>
        <v>146.37688609105317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51761.040788911632</v>
      </c>
      <c r="AM82" t="s">
        <v>415</v>
      </c>
      <c r="AN82">
        <v>10366.9</v>
      </c>
      <c r="AO82">
        <v>993.59653846153856</v>
      </c>
      <c r="AP82">
        <v>3431.87</v>
      </c>
      <c r="AQ82">
        <f t="shared" si="118"/>
        <v>0.71047955241266758</v>
      </c>
      <c r="AR82">
        <v>-3.9894345373445681</v>
      </c>
      <c r="AS82" t="s">
        <v>754</v>
      </c>
      <c r="AT82">
        <v>10360.700000000001</v>
      </c>
      <c r="AU82">
        <v>840.40859999999998</v>
      </c>
      <c r="AV82">
        <v>1159.059514372555</v>
      </c>
      <c r="AW82">
        <f t="shared" si="119"/>
        <v>0.27492196079771924</v>
      </c>
      <c r="AX82">
        <v>0.5</v>
      </c>
      <c r="AY82">
        <f t="shared" si="120"/>
        <v>1513.3271998223568</v>
      </c>
      <c r="AZ82">
        <f t="shared" si="121"/>
        <v>42.304133363172021</v>
      </c>
      <c r="BA82">
        <f t="shared" si="122"/>
        <v>208.0234405518421</v>
      </c>
      <c r="BB82">
        <f t="shared" si="123"/>
        <v>3.0590587353449276E-2</v>
      </c>
      <c r="BC82">
        <f t="shared" si="124"/>
        <v>1.9609092177271048</v>
      </c>
      <c r="BD82">
        <f t="shared" si="125"/>
        <v>633.78309765413462</v>
      </c>
      <c r="BE82" t="s">
        <v>755</v>
      </c>
      <c r="BF82">
        <v>625.02</v>
      </c>
      <c r="BG82">
        <f t="shared" si="126"/>
        <v>625.02</v>
      </c>
      <c r="BH82">
        <f t="shared" si="127"/>
        <v>0.46075245295894218</v>
      </c>
      <c r="BI82">
        <f t="shared" si="128"/>
        <v>0.59668040621851581</v>
      </c>
      <c r="BJ82">
        <f t="shared" si="129"/>
        <v>0.80973706668594514</v>
      </c>
      <c r="BK82">
        <f t="shared" si="130"/>
        <v>1.9258139932399185</v>
      </c>
      <c r="BL82">
        <f t="shared" si="131"/>
        <v>0.93213928686792347</v>
      </c>
      <c r="BM82">
        <f t="shared" si="132"/>
        <v>0.44375698617874298</v>
      </c>
      <c r="BN82">
        <f t="shared" si="133"/>
        <v>0.55624301382125707</v>
      </c>
      <c r="BO82">
        <v>2083</v>
      </c>
      <c r="BP82">
        <v>290.00000000000011</v>
      </c>
      <c r="BQ82">
        <v>1075.72</v>
      </c>
      <c r="BR82">
        <v>165</v>
      </c>
      <c r="BS82">
        <v>10360.700000000001</v>
      </c>
      <c r="BT82">
        <v>1072.5899999999999</v>
      </c>
      <c r="BU82">
        <v>3.13</v>
      </c>
      <c r="BV82">
        <v>300.00000000000011</v>
      </c>
      <c r="BW82">
        <v>38.4</v>
      </c>
      <c r="BX82">
        <v>1159.059514372555</v>
      </c>
      <c r="BY82">
        <v>1.391562058177654</v>
      </c>
      <c r="BZ82">
        <v>-89.591980546654526</v>
      </c>
      <c r="CA82">
        <v>1.179180752691789</v>
      </c>
      <c r="CB82">
        <v>0.9951729800235507</v>
      </c>
      <c r="CC82">
        <v>-1.126619710789767E-2</v>
      </c>
      <c r="CD82">
        <v>289.99999999999989</v>
      </c>
      <c r="CE82">
        <v>1063.6300000000001</v>
      </c>
      <c r="CF82">
        <v>675</v>
      </c>
      <c r="CG82">
        <v>10331.6</v>
      </c>
      <c r="CH82">
        <v>1072.3399999999999</v>
      </c>
      <c r="CI82">
        <v>-8.7100000000000009</v>
      </c>
      <c r="CW82">
        <f t="shared" si="134"/>
        <v>1800.17</v>
      </c>
      <c r="CX82">
        <f t="shared" si="135"/>
        <v>1513.3271998223568</v>
      </c>
      <c r="CY82">
        <f t="shared" si="136"/>
        <v>0.84065793776274278</v>
      </c>
      <c r="CZ82">
        <f t="shared" si="137"/>
        <v>0.19131587552548568</v>
      </c>
      <c r="DA82">
        <v>6</v>
      </c>
      <c r="DB82">
        <v>0.5</v>
      </c>
      <c r="DC82" t="s">
        <v>418</v>
      </c>
      <c r="DD82">
        <v>2</v>
      </c>
      <c r="DE82">
        <v>1693338514.5</v>
      </c>
      <c r="DF82">
        <v>446.34100000000001</v>
      </c>
      <c r="DG82">
        <v>499.91800000000001</v>
      </c>
      <c r="DH82">
        <v>28.574300000000001</v>
      </c>
      <c r="DI82">
        <v>22.3583</v>
      </c>
      <c r="DJ82">
        <v>444.12700000000001</v>
      </c>
      <c r="DK82">
        <v>27.779699999999998</v>
      </c>
      <c r="DL82">
        <v>500.43400000000003</v>
      </c>
      <c r="DM82">
        <v>98.902600000000007</v>
      </c>
      <c r="DN82">
        <v>9.9957099999999993E-2</v>
      </c>
      <c r="DO82">
        <v>30.251100000000001</v>
      </c>
      <c r="DP82">
        <v>30.030100000000001</v>
      </c>
      <c r="DQ82">
        <v>999.9</v>
      </c>
      <c r="DR82">
        <v>0</v>
      </c>
      <c r="DS82">
        <v>0</v>
      </c>
      <c r="DT82">
        <v>10005</v>
      </c>
      <c r="DU82">
        <v>0</v>
      </c>
      <c r="DV82">
        <v>1659.71</v>
      </c>
      <c r="DW82">
        <v>-53.577100000000002</v>
      </c>
      <c r="DX82">
        <v>459.47</v>
      </c>
      <c r="DY82">
        <v>511.351</v>
      </c>
      <c r="DZ82">
        <v>6.2160599999999997</v>
      </c>
      <c r="EA82">
        <v>499.91800000000001</v>
      </c>
      <c r="EB82">
        <v>22.3583</v>
      </c>
      <c r="EC82">
        <v>2.8260800000000001</v>
      </c>
      <c r="ED82">
        <v>2.21129</v>
      </c>
      <c r="EE82">
        <v>23.037199999999999</v>
      </c>
      <c r="EF82">
        <v>19.0443</v>
      </c>
      <c r="EG82">
        <v>1800.17</v>
      </c>
      <c r="EH82">
        <v>0.97800799999999999</v>
      </c>
      <c r="EI82">
        <v>2.19916E-2</v>
      </c>
      <c r="EJ82">
        <v>0</v>
      </c>
      <c r="EK82">
        <v>841.02099999999996</v>
      </c>
      <c r="EL82">
        <v>5.0002700000000004</v>
      </c>
      <c r="EM82">
        <v>15977.8</v>
      </c>
      <c r="EN82">
        <v>16250.2</v>
      </c>
      <c r="EO82">
        <v>48.186999999999998</v>
      </c>
      <c r="EP82">
        <v>50</v>
      </c>
      <c r="EQ82">
        <v>49.311999999999998</v>
      </c>
      <c r="ER82">
        <v>49.5</v>
      </c>
      <c r="ES82">
        <v>50</v>
      </c>
      <c r="ET82">
        <v>1755.69</v>
      </c>
      <c r="EU82">
        <v>39.479999999999997</v>
      </c>
      <c r="EV82">
        <v>0</v>
      </c>
      <c r="EW82">
        <v>98</v>
      </c>
      <c r="EX82">
        <v>0</v>
      </c>
      <c r="EY82">
        <v>840.40859999999998</v>
      </c>
      <c r="EZ82">
        <v>3.23930769593396</v>
      </c>
      <c r="FA82">
        <v>51.284615470877483</v>
      </c>
      <c r="FB82">
        <v>15971.244000000001</v>
      </c>
      <c r="FC82">
        <v>15</v>
      </c>
      <c r="FD82">
        <v>1693338487.5</v>
      </c>
      <c r="FE82" t="s">
        <v>756</v>
      </c>
      <c r="FF82">
        <v>1693338487.5</v>
      </c>
      <c r="FG82">
        <v>1693338487</v>
      </c>
      <c r="FH82">
        <v>75</v>
      </c>
      <c r="FI82">
        <v>0.253</v>
      </c>
      <c r="FJ82">
        <v>4.0000000000000001E-3</v>
      </c>
      <c r="FK82">
        <v>2.2080000000000002</v>
      </c>
      <c r="FL82">
        <v>0.436</v>
      </c>
      <c r="FM82">
        <v>500</v>
      </c>
      <c r="FN82">
        <v>22</v>
      </c>
      <c r="FO82">
        <v>0.14000000000000001</v>
      </c>
      <c r="FP82">
        <v>0.05</v>
      </c>
      <c r="FQ82">
        <v>42.284091817762622</v>
      </c>
      <c r="FR82">
        <v>-8.0637216707454579E-2</v>
      </c>
      <c r="FS82">
        <v>0.12947372651381331</v>
      </c>
      <c r="FT82">
        <v>1</v>
      </c>
      <c r="FU82">
        <v>0.38122126787510341</v>
      </c>
      <c r="FV82">
        <v>2.0157522045004511E-2</v>
      </c>
      <c r="FW82">
        <v>3.8814587683922638E-3</v>
      </c>
      <c r="FX82">
        <v>1</v>
      </c>
      <c r="FY82">
        <v>2</v>
      </c>
      <c r="FZ82">
        <v>2</v>
      </c>
      <c r="GA82" t="s">
        <v>429</v>
      </c>
      <c r="GB82">
        <v>3.13435</v>
      </c>
      <c r="GC82">
        <v>2.8651599999999999</v>
      </c>
      <c r="GD82">
        <v>9.9316399999999999E-2</v>
      </c>
      <c r="GE82">
        <v>0.111223</v>
      </c>
      <c r="GF82">
        <v>0.127721</v>
      </c>
      <c r="GG82">
        <v>0.112369</v>
      </c>
      <c r="GH82">
        <v>27124</v>
      </c>
      <c r="GI82">
        <v>20704.400000000001</v>
      </c>
      <c r="GJ82">
        <v>29048.6</v>
      </c>
      <c r="GK82">
        <v>21720.799999999999</v>
      </c>
      <c r="GL82">
        <v>33976.699999999997</v>
      </c>
      <c r="GM82">
        <v>26553.1</v>
      </c>
      <c r="GN82">
        <v>40319</v>
      </c>
      <c r="GO82">
        <v>30885.200000000001</v>
      </c>
      <c r="GP82">
        <v>2.0007000000000001</v>
      </c>
      <c r="GQ82">
        <v>1.7817000000000001</v>
      </c>
      <c r="GR82">
        <v>8.9406999999999993E-3</v>
      </c>
      <c r="GS82">
        <v>0</v>
      </c>
      <c r="GT82">
        <v>29.884599999999999</v>
      </c>
      <c r="GU82">
        <v>999.9</v>
      </c>
      <c r="GV82">
        <v>41.2</v>
      </c>
      <c r="GW82">
        <v>37.700000000000003</v>
      </c>
      <c r="GX82">
        <v>27.2865</v>
      </c>
      <c r="GY82">
        <v>61.512099999999997</v>
      </c>
      <c r="GZ82">
        <v>12.415900000000001</v>
      </c>
      <c r="HA82">
        <v>1</v>
      </c>
      <c r="HB82">
        <v>0.49941099999999999</v>
      </c>
      <c r="HC82">
        <v>4.4601699999999997</v>
      </c>
      <c r="HD82">
        <v>20.279599999999999</v>
      </c>
      <c r="HE82">
        <v>5.2346599999999999</v>
      </c>
      <c r="HF82">
        <v>11.98</v>
      </c>
      <c r="HG82">
        <v>4.9749999999999996</v>
      </c>
      <c r="HH82">
        <v>3.2839999999999998</v>
      </c>
      <c r="HI82">
        <v>9999</v>
      </c>
      <c r="HJ82">
        <v>9999</v>
      </c>
      <c r="HK82">
        <v>9999</v>
      </c>
      <c r="HL82">
        <v>999.9</v>
      </c>
      <c r="HM82">
        <v>1.8608100000000001</v>
      </c>
      <c r="HN82">
        <v>1.8624799999999999</v>
      </c>
      <c r="HO82">
        <v>1.8678300000000001</v>
      </c>
      <c r="HP82">
        <v>1.8585199999999999</v>
      </c>
      <c r="HQ82">
        <v>1.85697</v>
      </c>
      <c r="HR82">
        <v>1.8606400000000001</v>
      </c>
      <c r="HS82">
        <v>1.8644700000000001</v>
      </c>
      <c r="HT82">
        <v>1.86653</v>
      </c>
      <c r="HU82">
        <v>5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2.214</v>
      </c>
      <c r="II82">
        <v>0.79459999999999997</v>
      </c>
      <c r="IJ82">
        <v>2.0039490362375041</v>
      </c>
      <c r="IK82">
        <v>1.118558698776514E-3</v>
      </c>
      <c r="IL82">
        <v>-1.6939696309573479E-6</v>
      </c>
      <c r="IM82">
        <v>5.4698917449866148E-10</v>
      </c>
      <c r="IN82">
        <v>-9.8290112221724901E-2</v>
      </c>
      <c r="IO82">
        <v>-7.6058941998734366E-3</v>
      </c>
      <c r="IP82">
        <v>1.6984902717538061E-3</v>
      </c>
      <c r="IQ82">
        <v>-9.6352527008986976E-6</v>
      </c>
      <c r="IR82">
        <v>2</v>
      </c>
      <c r="IS82">
        <v>2021</v>
      </c>
      <c r="IT82">
        <v>2</v>
      </c>
      <c r="IU82">
        <v>40</v>
      </c>
      <c r="IV82">
        <v>0.5</v>
      </c>
      <c r="IW82">
        <v>0.5</v>
      </c>
      <c r="IX82">
        <v>1.2341299999999999</v>
      </c>
      <c r="IY82">
        <v>2.5109900000000001</v>
      </c>
      <c r="IZ82">
        <v>1.34399</v>
      </c>
      <c r="JA82">
        <v>2.2387700000000001</v>
      </c>
      <c r="JB82">
        <v>1.5918000000000001</v>
      </c>
      <c r="JC82">
        <v>2.4304199999999998</v>
      </c>
      <c r="JD82">
        <v>40.298200000000001</v>
      </c>
      <c r="JE82">
        <v>15.804399999999999</v>
      </c>
      <c r="JF82">
        <v>18</v>
      </c>
      <c r="JG82">
        <v>508.21899999999999</v>
      </c>
      <c r="JH82">
        <v>412.38799999999998</v>
      </c>
      <c r="JI82">
        <v>24.736599999999999</v>
      </c>
      <c r="JJ82">
        <v>33.723199999999999</v>
      </c>
      <c r="JK82">
        <v>30.000499999999999</v>
      </c>
      <c r="JL82">
        <v>33.544800000000002</v>
      </c>
      <c r="JM82">
        <v>33.488599999999998</v>
      </c>
      <c r="JN82">
        <v>24.764600000000002</v>
      </c>
      <c r="JO82">
        <v>22.354800000000001</v>
      </c>
      <c r="JP82">
        <v>24.0032</v>
      </c>
      <c r="JQ82">
        <v>24.7258</v>
      </c>
      <c r="JR82">
        <v>500</v>
      </c>
      <c r="JS82">
        <v>22.301400000000001</v>
      </c>
      <c r="JT82">
        <v>99.050399999999996</v>
      </c>
      <c r="JU82">
        <v>97.548900000000003</v>
      </c>
    </row>
    <row r="83" spans="1:281" x14ac:dyDescent="0.25">
      <c r="A83">
        <v>67</v>
      </c>
      <c r="B83">
        <v>1693338621.5</v>
      </c>
      <c r="C83">
        <v>16860</v>
      </c>
      <c r="D83" t="s">
        <v>757</v>
      </c>
      <c r="E83" t="s">
        <v>758</v>
      </c>
      <c r="F83" t="s">
        <v>413</v>
      </c>
      <c r="G83" t="s">
        <v>564</v>
      </c>
      <c r="H83" t="s">
        <v>708</v>
      </c>
      <c r="I83" t="s">
        <v>31</v>
      </c>
      <c r="J83">
        <v>1693338621.5</v>
      </c>
      <c r="K83">
        <f t="shared" si="92"/>
        <v>5.3043354734795094E-3</v>
      </c>
      <c r="L83">
        <f t="shared" si="93"/>
        <v>5.304335473479509</v>
      </c>
      <c r="M83">
        <f t="shared" si="94"/>
        <v>43.048139926307101</v>
      </c>
      <c r="N83">
        <f t="shared" si="95"/>
        <v>644.20500000000004</v>
      </c>
      <c r="O83">
        <f t="shared" si="96"/>
        <v>436.76983672485267</v>
      </c>
      <c r="P83">
        <f t="shared" si="97"/>
        <v>43.24178751748213</v>
      </c>
      <c r="Q83">
        <f t="shared" si="98"/>
        <v>63.778616070615001</v>
      </c>
      <c r="R83">
        <f t="shared" si="99"/>
        <v>0.37585932829663199</v>
      </c>
      <c r="S83">
        <f t="shared" si="100"/>
        <v>2.9036691261430887</v>
      </c>
      <c r="T83">
        <f t="shared" si="101"/>
        <v>0.35077161326521661</v>
      </c>
      <c r="U83">
        <f t="shared" si="102"/>
        <v>0.22134659229203751</v>
      </c>
      <c r="V83">
        <f t="shared" si="103"/>
        <v>344.40679964471957</v>
      </c>
      <c r="W83">
        <f t="shared" si="104"/>
        <v>30.796019319361566</v>
      </c>
      <c r="X83">
        <f t="shared" si="105"/>
        <v>29.979199999999999</v>
      </c>
      <c r="Y83">
        <f t="shared" si="106"/>
        <v>4.2553623133322658</v>
      </c>
      <c r="Z83">
        <f t="shared" si="107"/>
        <v>65.46456307658039</v>
      </c>
      <c r="AA83">
        <f t="shared" si="108"/>
        <v>2.8116726241191001</v>
      </c>
      <c r="AB83">
        <f t="shared" si="109"/>
        <v>4.2949536237338171</v>
      </c>
      <c r="AC83">
        <f t="shared" si="110"/>
        <v>1.4436896892131657</v>
      </c>
      <c r="AD83">
        <f t="shared" si="111"/>
        <v>-233.92119438044637</v>
      </c>
      <c r="AE83">
        <f t="shared" si="112"/>
        <v>25.250322981487511</v>
      </c>
      <c r="AF83">
        <f t="shared" si="113"/>
        <v>1.9347117138986967</v>
      </c>
      <c r="AG83">
        <f t="shared" si="114"/>
        <v>137.67063995965941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51569.013082129401</v>
      </c>
      <c r="AM83" t="s">
        <v>415</v>
      </c>
      <c r="AN83">
        <v>10366.9</v>
      </c>
      <c r="AO83">
        <v>993.59653846153856</v>
      </c>
      <c r="AP83">
        <v>3431.87</v>
      </c>
      <c r="AQ83">
        <f t="shared" si="118"/>
        <v>0.71047955241266758</v>
      </c>
      <c r="AR83">
        <v>-3.9894345373445681</v>
      </c>
      <c r="AS83" t="s">
        <v>759</v>
      </c>
      <c r="AT83">
        <v>10366.799999999999</v>
      </c>
      <c r="AU83">
        <v>847.19134615384621</v>
      </c>
      <c r="AV83">
        <v>1179.488699719366</v>
      </c>
      <c r="AW83">
        <f t="shared" si="119"/>
        <v>0.28173000185977426</v>
      </c>
      <c r="AX83">
        <v>0.5</v>
      </c>
      <c r="AY83">
        <f t="shared" si="120"/>
        <v>1513.3523998223595</v>
      </c>
      <c r="AZ83">
        <f t="shared" si="121"/>
        <v>43.048139926307101</v>
      </c>
      <c r="BA83">
        <f t="shared" si="122"/>
        <v>213.1783872082236</v>
      </c>
      <c r="BB83">
        <f t="shared" si="123"/>
        <v>3.1081706064742774E-2</v>
      </c>
      <c r="BC83">
        <f t="shared" si="124"/>
        <v>1.9096251628494105</v>
      </c>
      <c r="BD83">
        <f t="shared" si="125"/>
        <v>639.84299969207984</v>
      </c>
      <c r="BE83" t="s">
        <v>760</v>
      </c>
      <c r="BF83">
        <v>624.79999999999995</v>
      </c>
      <c r="BG83">
        <f t="shared" si="126"/>
        <v>624.79999999999995</v>
      </c>
      <c r="BH83">
        <f t="shared" si="127"/>
        <v>0.4702789436230651</v>
      </c>
      <c r="BI83">
        <f t="shared" si="128"/>
        <v>0.59906998958810442</v>
      </c>
      <c r="BJ83">
        <f t="shared" si="129"/>
        <v>0.80239584345265136</v>
      </c>
      <c r="BK83">
        <f t="shared" si="130"/>
        <v>1.7875813122890765</v>
      </c>
      <c r="BL83">
        <f t="shared" si="131"/>
        <v>0.92376074128267105</v>
      </c>
      <c r="BM83">
        <f t="shared" si="132"/>
        <v>0.44181155909337699</v>
      </c>
      <c r="BN83">
        <f t="shared" si="133"/>
        <v>0.55818844090662301</v>
      </c>
      <c r="BO83">
        <v>2085</v>
      </c>
      <c r="BP83">
        <v>290.00000000000011</v>
      </c>
      <c r="BQ83">
        <v>1091.6199999999999</v>
      </c>
      <c r="BR83">
        <v>135</v>
      </c>
      <c r="BS83">
        <v>10366.799999999999</v>
      </c>
      <c r="BT83">
        <v>1088.5899999999999</v>
      </c>
      <c r="BU83">
        <v>3.03</v>
      </c>
      <c r="BV83">
        <v>300.00000000000011</v>
      </c>
      <c r="BW83">
        <v>38.4</v>
      </c>
      <c r="BX83">
        <v>1179.488699719366</v>
      </c>
      <c r="BY83">
        <v>1.4976321178068841</v>
      </c>
      <c r="BZ83">
        <v>-94.233648117401046</v>
      </c>
      <c r="CA83">
        <v>1.269112513869225</v>
      </c>
      <c r="CB83">
        <v>0.99494703561097053</v>
      </c>
      <c r="CC83">
        <v>-1.126668342602893E-2</v>
      </c>
      <c r="CD83">
        <v>289.99999999999989</v>
      </c>
      <c r="CE83">
        <v>1078.58</v>
      </c>
      <c r="CF83">
        <v>695</v>
      </c>
      <c r="CG83">
        <v>10330.1</v>
      </c>
      <c r="CH83">
        <v>1088.27</v>
      </c>
      <c r="CI83">
        <v>-9.69</v>
      </c>
      <c r="CW83">
        <f t="shared" si="134"/>
        <v>1800.2</v>
      </c>
      <c r="CX83">
        <f t="shared" si="135"/>
        <v>1513.3523998223595</v>
      </c>
      <c r="CY83">
        <f t="shared" si="136"/>
        <v>0.84065792679833329</v>
      </c>
      <c r="CZ83">
        <f t="shared" si="137"/>
        <v>0.19131585359666678</v>
      </c>
      <c r="DA83">
        <v>6</v>
      </c>
      <c r="DB83">
        <v>0.5</v>
      </c>
      <c r="DC83" t="s">
        <v>418</v>
      </c>
      <c r="DD83">
        <v>2</v>
      </c>
      <c r="DE83">
        <v>1693338621.5</v>
      </c>
      <c r="DF83">
        <v>644.20500000000004</v>
      </c>
      <c r="DG83">
        <v>699.98099999999999</v>
      </c>
      <c r="DH83">
        <v>28.399699999999999</v>
      </c>
      <c r="DI83">
        <v>22.2133</v>
      </c>
      <c r="DJ83">
        <v>641.77200000000005</v>
      </c>
      <c r="DK83">
        <v>27.6114</v>
      </c>
      <c r="DL83">
        <v>499.84100000000001</v>
      </c>
      <c r="DM83">
        <v>98.902900000000002</v>
      </c>
      <c r="DN83">
        <v>0.100703</v>
      </c>
      <c r="DO83">
        <v>30.140499999999999</v>
      </c>
      <c r="DP83">
        <v>29.979199999999999</v>
      </c>
      <c r="DQ83">
        <v>999.9</v>
      </c>
      <c r="DR83">
        <v>0</v>
      </c>
      <c r="DS83">
        <v>0</v>
      </c>
      <c r="DT83">
        <v>9962.5</v>
      </c>
      <c r="DU83">
        <v>0</v>
      </c>
      <c r="DV83">
        <v>1661.52</v>
      </c>
      <c r="DW83">
        <v>-55.776600000000002</v>
      </c>
      <c r="DX83">
        <v>663.03399999999999</v>
      </c>
      <c r="DY83">
        <v>715.88300000000004</v>
      </c>
      <c r="DZ83">
        <v>6.1863900000000003</v>
      </c>
      <c r="EA83">
        <v>699.98099999999999</v>
      </c>
      <c r="EB83">
        <v>22.2133</v>
      </c>
      <c r="EC83">
        <v>2.8088099999999998</v>
      </c>
      <c r="ED83">
        <v>2.1969599999999998</v>
      </c>
      <c r="EE83">
        <v>22.936</v>
      </c>
      <c r="EF83">
        <v>18.940200000000001</v>
      </c>
      <c r="EG83">
        <v>1800.2</v>
      </c>
      <c r="EH83">
        <v>0.97800799999999999</v>
      </c>
      <c r="EI83">
        <v>2.19916E-2</v>
      </c>
      <c r="EJ83">
        <v>0</v>
      </c>
      <c r="EK83">
        <v>846.827</v>
      </c>
      <c r="EL83">
        <v>5.0002700000000004</v>
      </c>
      <c r="EM83">
        <v>16088.2</v>
      </c>
      <c r="EN83">
        <v>16250.4</v>
      </c>
      <c r="EO83">
        <v>48.125</v>
      </c>
      <c r="EP83">
        <v>50</v>
      </c>
      <c r="EQ83">
        <v>49.311999999999998</v>
      </c>
      <c r="ER83">
        <v>49.436999999999998</v>
      </c>
      <c r="ES83">
        <v>49.936999999999998</v>
      </c>
      <c r="ET83">
        <v>1755.72</v>
      </c>
      <c r="EU83">
        <v>39.479999999999997</v>
      </c>
      <c r="EV83">
        <v>0</v>
      </c>
      <c r="EW83">
        <v>105.2000000476837</v>
      </c>
      <c r="EX83">
        <v>0</v>
      </c>
      <c r="EY83">
        <v>847.19134615384621</v>
      </c>
      <c r="EZ83">
        <v>-0.7771965808683905</v>
      </c>
      <c r="FA83">
        <v>-59.538461395478457</v>
      </c>
      <c r="FB83">
        <v>16092.396153846161</v>
      </c>
      <c r="FC83">
        <v>15</v>
      </c>
      <c r="FD83">
        <v>1693338594</v>
      </c>
      <c r="FE83" t="s">
        <v>761</v>
      </c>
      <c r="FF83">
        <v>1693338587.5</v>
      </c>
      <c r="FG83">
        <v>1693338594</v>
      </c>
      <c r="FH83">
        <v>76</v>
      </c>
      <c r="FI83">
        <v>0.26400000000000001</v>
      </c>
      <c r="FJ83">
        <v>4.0000000000000001E-3</v>
      </c>
      <c r="FK83">
        <v>2.4089999999999998</v>
      </c>
      <c r="FL83">
        <v>0.441</v>
      </c>
      <c r="FM83">
        <v>700</v>
      </c>
      <c r="FN83">
        <v>22</v>
      </c>
      <c r="FO83">
        <v>0.13</v>
      </c>
      <c r="FP83">
        <v>0.04</v>
      </c>
      <c r="FQ83">
        <v>43.125147036462131</v>
      </c>
      <c r="FR83">
        <v>-0.48008401639915721</v>
      </c>
      <c r="FS83">
        <v>0.1249956366168616</v>
      </c>
      <c r="FT83">
        <v>1</v>
      </c>
      <c r="FU83">
        <v>0.37840216430632778</v>
      </c>
      <c r="FV83">
        <v>-4.687416006515583E-3</v>
      </c>
      <c r="FW83">
        <v>9.7888298554914418E-4</v>
      </c>
      <c r="FX83">
        <v>1</v>
      </c>
      <c r="FY83">
        <v>2</v>
      </c>
      <c r="FZ83">
        <v>2</v>
      </c>
      <c r="GA83" t="s">
        <v>429</v>
      </c>
      <c r="GB83">
        <v>3.1336400000000002</v>
      </c>
      <c r="GC83">
        <v>2.8655300000000001</v>
      </c>
      <c r="GD83">
        <v>0.12987399999999999</v>
      </c>
      <c r="GE83">
        <v>0.14125499999999999</v>
      </c>
      <c r="GF83">
        <v>0.12718499999999999</v>
      </c>
      <c r="GG83">
        <v>0.11186500000000001</v>
      </c>
      <c r="GH83">
        <v>26205.3</v>
      </c>
      <c r="GI83">
        <v>20004.5</v>
      </c>
      <c r="GJ83">
        <v>29050.9</v>
      </c>
      <c r="GK83">
        <v>21721</v>
      </c>
      <c r="GL83">
        <v>34003.4</v>
      </c>
      <c r="GM83">
        <v>26571.200000000001</v>
      </c>
      <c r="GN83">
        <v>40322.1</v>
      </c>
      <c r="GO83">
        <v>30886.1</v>
      </c>
      <c r="GP83">
        <v>2.0013000000000001</v>
      </c>
      <c r="GQ83">
        <v>1.7827</v>
      </c>
      <c r="GR83">
        <v>7.45058E-3</v>
      </c>
      <c r="GS83">
        <v>0</v>
      </c>
      <c r="GT83">
        <v>29.858000000000001</v>
      </c>
      <c r="GU83">
        <v>999.9</v>
      </c>
      <c r="GV83">
        <v>41.3</v>
      </c>
      <c r="GW83">
        <v>37.6</v>
      </c>
      <c r="GX83">
        <v>27.202500000000001</v>
      </c>
      <c r="GY83">
        <v>61.911999999999999</v>
      </c>
      <c r="GZ83">
        <v>12.7324</v>
      </c>
      <c r="HA83">
        <v>1</v>
      </c>
      <c r="HB83">
        <v>0.49508099999999999</v>
      </c>
      <c r="HC83">
        <v>3.9391600000000002</v>
      </c>
      <c r="HD83">
        <v>20.292899999999999</v>
      </c>
      <c r="HE83">
        <v>5.2328599999999996</v>
      </c>
      <c r="HF83">
        <v>11.98</v>
      </c>
      <c r="HG83">
        <v>4.9749999999999996</v>
      </c>
      <c r="HH83">
        <v>3.2839999999999998</v>
      </c>
      <c r="HI83">
        <v>9999</v>
      </c>
      <c r="HJ83">
        <v>9999</v>
      </c>
      <c r="HK83">
        <v>9999</v>
      </c>
      <c r="HL83">
        <v>999.9</v>
      </c>
      <c r="HM83">
        <v>1.8608100000000001</v>
      </c>
      <c r="HN83">
        <v>1.86249</v>
      </c>
      <c r="HO83">
        <v>1.8678300000000001</v>
      </c>
      <c r="HP83">
        <v>1.8585199999999999</v>
      </c>
      <c r="HQ83">
        <v>1.8569599999999999</v>
      </c>
      <c r="HR83">
        <v>1.86063</v>
      </c>
      <c r="HS83">
        <v>1.8644499999999999</v>
      </c>
      <c r="HT83">
        <v>1.86652</v>
      </c>
      <c r="HU83">
        <v>5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2.4329999999999998</v>
      </c>
      <c r="II83">
        <v>0.7883</v>
      </c>
      <c r="IJ83">
        <v>2.267795393988175</v>
      </c>
      <c r="IK83">
        <v>1.118558698776514E-3</v>
      </c>
      <c r="IL83">
        <v>-1.6939696309573479E-6</v>
      </c>
      <c r="IM83">
        <v>5.4698917449866148E-10</v>
      </c>
      <c r="IN83">
        <v>-9.3805496729041926E-2</v>
      </c>
      <c r="IO83">
        <v>-7.6058941998734366E-3</v>
      </c>
      <c r="IP83">
        <v>1.6984902717538061E-3</v>
      </c>
      <c r="IQ83">
        <v>-9.6352527008986976E-6</v>
      </c>
      <c r="IR83">
        <v>2</v>
      </c>
      <c r="IS83">
        <v>2021</v>
      </c>
      <c r="IT83">
        <v>2</v>
      </c>
      <c r="IU83">
        <v>40</v>
      </c>
      <c r="IV83">
        <v>0.6</v>
      </c>
      <c r="IW83">
        <v>0.5</v>
      </c>
      <c r="IX83">
        <v>1.6223099999999999</v>
      </c>
      <c r="IY83">
        <v>2.5146500000000001</v>
      </c>
      <c r="IZ83">
        <v>1.34399</v>
      </c>
      <c r="JA83">
        <v>2.2387700000000001</v>
      </c>
      <c r="JB83">
        <v>1.5918000000000001</v>
      </c>
      <c r="JC83">
        <v>2.3791500000000001</v>
      </c>
      <c r="JD83">
        <v>40.247399999999999</v>
      </c>
      <c r="JE83">
        <v>15.786899999999999</v>
      </c>
      <c r="JF83">
        <v>18</v>
      </c>
      <c r="JG83">
        <v>508.41300000000001</v>
      </c>
      <c r="JH83">
        <v>412.82799999999997</v>
      </c>
      <c r="JI83">
        <v>24.877600000000001</v>
      </c>
      <c r="JJ83">
        <v>33.711100000000002</v>
      </c>
      <c r="JK83">
        <v>29.9999</v>
      </c>
      <c r="JL83">
        <v>33.520899999999997</v>
      </c>
      <c r="JM83">
        <v>33.462899999999998</v>
      </c>
      <c r="JN83">
        <v>32.552999999999997</v>
      </c>
      <c r="JO83">
        <v>23.446100000000001</v>
      </c>
      <c r="JP83">
        <v>24.212399999999999</v>
      </c>
      <c r="JQ83">
        <v>24.881</v>
      </c>
      <c r="JR83">
        <v>700</v>
      </c>
      <c r="JS83">
        <v>22.132400000000001</v>
      </c>
      <c r="JT83">
        <v>99.058099999999996</v>
      </c>
      <c r="JU83">
        <v>97.550899999999999</v>
      </c>
    </row>
    <row r="84" spans="1:281" x14ac:dyDescent="0.25">
      <c r="A84">
        <v>68</v>
      </c>
      <c r="B84">
        <v>1693338728.5</v>
      </c>
      <c r="C84">
        <v>16967</v>
      </c>
      <c r="D84" t="s">
        <v>762</v>
      </c>
      <c r="E84" t="s">
        <v>763</v>
      </c>
      <c r="F84" t="s">
        <v>413</v>
      </c>
      <c r="G84" t="s">
        <v>564</v>
      </c>
      <c r="H84" t="s">
        <v>708</v>
      </c>
      <c r="I84" t="s">
        <v>31</v>
      </c>
      <c r="J84">
        <v>1693338728.5</v>
      </c>
      <c r="K84">
        <f t="shared" si="92"/>
        <v>5.0461947398890965E-3</v>
      </c>
      <c r="L84">
        <f t="shared" si="93"/>
        <v>5.0461947398890965</v>
      </c>
      <c r="M84">
        <f t="shared" si="94"/>
        <v>42.776357565452223</v>
      </c>
      <c r="N84">
        <f t="shared" si="95"/>
        <v>843.61699999999996</v>
      </c>
      <c r="O84">
        <f t="shared" si="96"/>
        <v>620.73734430745071</v>
      </c>
      <c r="P84">
        <f t="shared" si="97"/>
        <v>61.453201309023903</v>
      </c>
      <c r="Q84">
        <f t="shared" si="98"/>
        <v>83.518360549992991</v>
      </c>
      <c r="R84">
        <f t="shared" si="99"/>
        <v>0.35282284640941564</v>
      </c>
      <c r="S84">
        <f t="shared" si="100"/>
        <v>2.900549599704541</v>
      </c>
      <c r="T84">
        <f t="shared" si="101"/>
        <v>0.33059645836640228</v>
      </c>
      <c r="U84">
        <f t="shared" si="102"/>
        <v>0.20850295203410413</v>
      </c>
      <c r="V84">
        <f t="shared" si="103"/>
        <v>344.34409964465436</v>
      </c>
      <c r="W84">
        <f t="shared" si="104"/>
        <v>30.844421261840388</v>
      </c>
      <c r="X84">
        <f t="shared" si="105"/>
        <v>30.0017</v>
      </c>
      <c r="Y84">
        <f t="shared" si="106"/>
        <v>4.2608658085871269</v>
      </c>
      <c r="Z84">
        <f t="shared" si="107"/>
        <v>65.350850272221919</v>
      </c>
      <c r="AA84">
        <f t="shared" si="108"/>
        <v>2.8036497171484003</v>
      </c>
      <c r="AB84">
        <f t="shared" si="109"/>
        <v>4.2901503277611095</v>
      </c>
      <c r="AC84">
        <f t="shared" si="110"/>
        <v>1.4572160914387267</v>
      </c>
      <c r="AD84">
        <f t="shared" si="111"/>
        <v>-222.53718802910916</v>
      </c>
      <c r="AE84">
        <f t="shared" si="112"/>
        <v>18.65546950129891</v>
      </c>
      <c r="AF84">
        <f t="shared" si="113"/>
        <v>1.4309642113539807</v>
      </c>
      <c r="AG84">
        <f t="shared" si="114"/>
        <v>141.89334532819808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51483.828118643469</v>
      </c>
      <c r="AM84" t="s">
        <v>415</v>
      </c>
      <c r="AN84">
        <v>10366.9</v>
      </c>
      <c r="AO84">
        <v>993.59653846153856</v>
      </c>
      <c r="AP84">
        <v>3431.87</v>
      </c>
      <c r="AQ84">
        <f t="shared" si="118"/>
        <v>0.71047955241266758</v>
      </c>
      <c r="AR84">
        <v>-3.9894345373445681</v>
      </c>
      <c r="AS84" t="s">
        <v>764</v>
      </c>
      <c r="AT84">
        <v>10364.4</v>
      </c>
      <c r="AU84">
        <v>843.58926923076922</v>
      </c>
      <c r="AV84">
        <v>1174.455979011386</v>
      </c>
      <c r="AW84">
        <f t="shared" si="119"/>
        <v>0.28171912416770895</v>
      </c>
      <c r="AX84">
        <v>0.5</v>
      </c>
      <c r="AY84">
        <f t="shared" si="120"/>
        <v>1513.075199822327</v>
      </c>
      <c r="AZ84">
        <f t="shared" si="121"/>
        <v>42.776357565452223</v>
      </c>
      <c r="BA84">
        <f t="shared" si="122"/>
        <v>213.13111004691359</v>
      </c>
      <c r="BB84">
        <f t="shared" si="123"/>
        <v>3.090777782114747E-2</v>
      </c>
      <c r="BC84">
        <f t="shared" si="124"/>
        <v>1.9220933447746777</v>
      </c>
      <c r="BD84">
        <f t="shared" si="125"/>
        <v>638.35907874859151</v>
      </c>
      <c r="BE84" t="s">
        <v>765</v>
      </c>
      <c r="BF84">
        <v>625.75</v>
      </c>
      <c r="BG84">
        <f t="shared" si="126"/>
        <v>625.75</v>
      </c>
      <c r="BH84">
        <f t="shared" si="127"/>
        <v>0.46720012398699406</v>
      </c>
      <c r="BI84">
        <f t="shared" si="128"/>
        <v>0.60299454067685876</v>
      </c>
      <c r="BJ84">
        <f t="shared" si="129"/>
        <v>0.80446097137279005</v>
      </c>
      <c r="BK84">
        <f t="shared" si="130"/>
        <v>1.829413542222172</v>
      </c>
      <c r="BL84">
        <f t="shared" si="131"/>
        <v>0.92582479225454384</v>
      </c>
      <c r="BM84">
        <f t="shared" si="132"/>
        <v>0.44728382352778012</v>
      </c>
      <c r="BN84">
        <f t="shared" si="133"/>
        <v>0.55271617647221993</v>
      </c>
      <c r="BO84">
        <v>2087</v>
      </c>
      <c r="BP84">
        <v>290.00000000000011</v>
      </c>
      <c r="BQ84">
        <v>1089.97</v>
      </c>
      <c r="BR84">
        <v>145</v>
      </c>
      <c r="BS84">
        <v>10364.4</v>
      </c>
      <c r="BT84">
        <v>1085.2</v>
      </c>
      <c r="BU84">
        <v>4.7699999999999996</v>
      </c>
      <c r="BV84">
        <v>300.00000000000011</v>
      </c>
      <c r="BW84">
        <v>38.4</v>
      </c>
      <c r="BX84">
        <v>1174.455979011386</v>
      </c>
      <c r="BY84">
        <v>1.4551601167002151</v>
      </c>
      <c r="BZ84">
        <v>-92.510422448116842</v>
      </c>
      <c r="CA84">
        <v>1.233088029099098</v>
      </c>
      <c r="CB84">
        <v>0.99504994815431924</v>
      </c>
      <c r="CC84">
        <v>-1.12660400444939E-2</v>
      </c>
      <c r="CD84">
        <v>289.99999999999989</v>
      </c>
      <c r="CE84">
        <v>1076.8499999999999</v>
      </c>
      <c r="CF84">
        <v>675</v>
      </c>
      <c r="CG84">
        <v>10331.700000000001</v>
      </c>
      <c r="CH84">
        <v>1084.92</v>
      </c>
      <c r="CI84">
        <v>-8.07</v>
      </c>
      <c r="CW84">
        <f t="shared" si="134"/>
        <v>1799.87</v>
      </c>
      <c r="CX84">
        <f t="shared" si="135"/>
        <v>1513.075199822327</v>
      </c>
      <c r="CY84">
        <f t="shared" si="136"/>
        <v>0.84065804742694028</v>
      </c>
      <c r="CZ84">
        <f t="shared" si="137"/>
        <v>0.19131609485388076</v>
      </c>
      <c r="DA84">
        <v>6</v>
      </c>
      <c r="DB84">
        <v>0.5</v>
      </c>
      <c r="DC84" t="s">
        <v>418</v>
      </c>
      <c r="DD84">
        <v>2</v>
      </c>
      <c r="DE84">
        <v>1693338728.5</v>
      </c>
      <c r="DF84">
        <v>843.61699999999996</v>
      </c>
      <c r="DG84">
        <v>900.072</v>
      </c>
      <c r="DH84">
        <v>28.319600000000001</v>
      </c>
      <c r="DI84">
        <v>22.434100000000001</v>
      </c>
      <c r="DJ84">
        <v>841.09100000000001</v>
      </c>
      <c r="DK84">
        <v>27.533200000000001</v>
      </c>
      <c r="DL84">
        <v>499.86799999999999</v>
      </c>
      <c r="DM84">
        <v>98.9</v>
      </c>
      <c r="DN84">
        <v>0.100329</v>
      </c>
      <c r="DO84">
        <v>30.120999999999999</v>
      </c>
      <c r="DP84">
        <v>30.0017</v>
      </c>
      <c r="DQ84">
        <v>999.9</v>
      </c>
      <c r="DR84">
        <v>0</v>
      </c>
      <c r="DS84">
        <v>0</v>
      </c>
      <c r="DT84">
        <v>9945</v>
      </c>
      <c r="DU84">
        <v>0</v>
      </c>
      <c r="DV84">
        <v>1624.18</v>
      </c>
      <c r="DW84">
        <v>-56.454799999999999</v>
      </c>
      <c r="DX84">
        <v>868.20500000000004</v>
      </c>
      <c r="DY84">
        <v>920.72799999999995</v>
      </c>
      <c r="DZ84">
        <v>5.8855199999999996</v>
      </c>
      <c r="EA84">
        <v>900.072</v>
      </c>
      <c r="EB84">
        <v>22.434100000000001</v>
      </c>
      <c r="EC84">
        <v>2.8008099999999998</v>
      </c>
      <c r="ED84">
        <v>2.2187299999999999</v>
      </c>
      <c r="EE84">
        <v>22.8888</v>
      </c>
      <c r="EF84">
        <v>19.098199999999999</v>
      </c>
      <c r="EG84">
        <v>1799.87</v>
      </c>
      <c r="EH84">
        <v>0.97800500000000001</v>
      </c>
      <c r="EI84">
        <v>2.1995199999999999E-2</v>
      </c>
      <c r="EJ84">
        <v>0</v>
      </c>
      <c r="EK84">
        <v>843.31899999999996</v>
      </c>
      <c r="EL84">
        <v>5.0002700000000004</v>
      </c>
      <c r="EM84">
        <v>16011.2</v>
      </c>
      <c r="EN84">
        <v>16247.5</v>
      </c>
      <c r="EO84">
        <v>48.125</v>
      </c>
      <c r="EP84">
        <v>49.936999999999998</v>
      </c>
      <c r="EQ84">
        <v>49.25</v>
      </c>
      <c r="ER84">
        <v>49.375</v>
      </c>
      <c r="ES84">
        <v>49.936999999999998</v>
      </c>
      <c r="ET84">
        <v>1755.39</v>
      </c>
      <c r="EU84">
        <v>39.479999999999997</v>
      </c>
      <c r="EV84">
        <v>0</v>
      </c>
      <c r="EW84">
        <v>105</v>
      </c>
      <c r="EX84">
        <v>0</v>
      </c>
      <c r="EY84">
        <v>843.58926923076922</v>
      </c>
      <c r="EZ84">
        <v>-3.124068384926205</v>
      </c>
      <c r="FA84">
        <v>-59.623931651654239</v>
      </c>
      <c r="FB84">
        <v>16020.892307692309</v>
      </c>
      <c r="FC84">
        <v>15</v>
      </c>
      <c r="FD84">
        <v>1693338699</v>
      </c>
      <c r="FE84" t="s">
        <v>766</v>
      </c>
      <c r="FF84">
        <v>1693338689</v>
      </c>
      <c r="FG84">
        <v>1693338699</v>
      </c>
      <c r="FH84">
        <v>77</v>
      </c>
      <c r="FI84">
        <v>0.19</v>
      </c>
      <c r="FJ84">
        <v>3.0000000000000001E-3</v>
      </c>
      <c r="FK84">
        <v>2.4929999999999999</v>
      </c>
      <c r="FL84">
        <v>0.439</v>
      </c>
      <c r="FM84">
        <v>900</v>
      </c>
      <c r="FN84">
        <v>22</v>
      </c>
      <c r="FO84">
        <v>0.16</v>
      </c>
      <c r="FP84">
        <v>0.04</v>
      </c>
      <c r="FQ84">
        <v>42.721045805505263</v>
      </c>
      <c r="FR84">
        <v>-0.50299980967611835</v>
      </c>
      <c r="FS84">
        <v>0.13869088384803521</v>
      </c>
      <c r="FT84">
        <v>1</v>
      </c>
      <c r="FU84">
        <v>0.35638430499859941</v>
      </c>
      <c r="FV84">
        <v>-1.315159565983513E-2</v>
      </c>
      <c r="FW84">
        <v>2.0644054818257061E-3</v>
      </c>
      <c r="FX84">
        <v>1</v>
      </c>
      <c r="FY84">
        <v>2</v>
      </c>
      <c r="FZ84">
        <v>2</v>
      </c>
      <c r="GA84" t="s">
        <v>429</v>
      </c>
      <c r="GB84">
        <v>3.1337199999999998</v>
      </c>
      <c r="GC84">
        <v>2.8650000000000002</v>
      </c>
      <c r="GD84">
        <v>0.156306</v>
      </c>
      <c r="GE84">
        <v>0.16725300000000001</v>
      </c>
      <c r="GF84">
        <v>0.12693499999999999</v>
      </c>
      <c r="GG84">
        <v>0.112646</v>
      </c>
      <c r="GH84">
        <v>25408.3</v>
      </c>
      <c r="GI84">
        <v>19399.5</v>
      </c>
      <c r="GJ84">
        <v>29050.5</v>
      </c>
      <c r="GK84">
        <v>21722.2</v>
      </c>
      <c r="GL84">
        <v>34014.800000000003</v>
      </c>
      <c r="GM84">
        <v>26550.799999999999</v>
      </c>
      <c r="GN84">
        <v>40321.1</v>
      </c>
      <c r="GO84">
        <v>30887.200000000001</v>
      </c>
      <c r="GP84">
        <v>2.0005999999999999</v>
      </c>
      <c r="GQ84">
        <v>1.7842</v>
      </c>
      <c r="GR84">
        <v>1.19954E-2</v>
      </c>
      <c r="GS84">
        <v>0</v>
      </c>
      <c r="GT84">
        <v>29.8064</v>
      </c>
      <c r="GU84">
        <v>999.9</v>
      </c>
      <c r="GV84">
        <v>41.4</v>
      </c>
      <c r="GW84">
        <v>37.5</v>
      </c>
      <c r="GX84">
        <v>27.121700000000001</v>
      </c>
      <c r="GY84">
        <v>61.981999999999999</v>
      </c>
      <c r="GZ84">
        <v>12.223599999999999</v>
      </c>
      <c r="HA84">
        <v>1</v>
      </c>
      <c r="HB84">
        <v>0.49506099999999997</v>
      </c>
      <c r="HC84">
        <v>4.1191000000000004</v>
      </c>
      <c r="HD84">
        <v>20.288599999999999</v>
      </c>
      <c r="HE84">
        <v>5.2346599999999999</v>
      </c>
      <c r="HF84">
        <v>11.98</v>
      </c>
      <c r="HG84">
        <v>4.9744000000000002</v>
      </c>
      <c r="HH84">
        <v>3.2839999999999998</v>
      </c>
      <c r="HI84">
        <v>9999</v>
      </c>
      <c r="HJ84">
        <v>9999</v>
      </c>
      <c r="HK84">
        <v>9999</v>
      </c>
      <c r="HL84">
        <v>999.9</v>
      </c>
      <c r="HM84">
        <v>1.8608199999999999</v>
      </c>
      <c r="HN84">
        <v>1.86249</v>
      </c>
      <c r="HO84">
        <v>1.8678300000000001</v>
      </c>
      <c r="HP84">
        <v>1.8585199999999999</v>
      </c>
      <c r="HQ84">
        <v>1.85687</v>
      </c>
      <c r="HR84">
        <v>1.86066</v>
      </c>
      <c r="HS84">
        <v>1.8644499999999999</v>
      </c>
      <c r="HT84">
        <v>1.8665799999999999</v>
      </c>
      <c r="HU84">
        <v>5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2.5259999999999998</v>
      </c>
      <c r="II84">
        <v>0.78639999999999999</v>
      </c>
      <c r="IJ84">
        <v>2.4581894870539238</v>
      </c>
      <c r="IK84">
        <v>1.118558698776514E-3</v>
      </c>
      <c r="IL84">
        <v>-1.6939696309573479E-6</v>
      </c>
      <c r="IM84">
        <v>5.4698917449866148E-10</v>
      </c>
      <c r="IN84">
        <v>-9.0621739148697977E-2</v>
      </c>
      <c r="IO84">
        <v>-7.6058941998734366E-3</v>
      </c>
      <c r="IP84">
        <v>1.6984902717538061E-3</v>
      </c>
      <c r="IQ84">
        <v>-9.6352527008986976E-6</v>
      </c>
      <c r="IR84">
        <v>2</v>
      </c>
      <c r="IS84">
        <v>2021</v>
      </c>
      <c r="IT84">
        <v>2</v>
      </c>
      <c r="IU84">
        <v>40</v>
      </c>
      <c r="IV84">
        <v>0.7</v>
      </c>
      <c r="IW84">
        <v>0.5</v>
      </c>
      <c r="IX84">
        <v>1.9946299999999999</v>
      </c>
      <c r="IY84">
        <v>2.50854</v>
      </c>
      <c r="IZ84">
        <v>1.34399</v>
      </c>
      <c r="JA84">
        <v>2.2387700000000001</v>
      </c>
      <c r="JB84">
        <v>1.5918000000000001</v>
      </c>
      <c r="JC84">
        <v>2.3571800000000001</v>
      </c>
      <c r="JD84">
        <v>40.1967</v>
      </c>
      <c r="JE84">
        <v>15.7606</v>
      </c>
      <c r="JF84">
        <v>18</v>
      </c>
      <c r="JG84">
        <v>507.74900000000002</v>
      </c>
      <c r="JH84">
        <v>413.57600000000002</v>
      </c>
      <c r="JI84">
        <v>24.733899999999998</v>
      </c>
      <c r="JJ84">
        <v>33.689799999999998</v>
      </c>
      <c r="JK84">
        <v>29.9998</v>
      </c>
      <c r="JL84">
        <v>33.496899999999997</v>
      </c>
      <c r="JM84">
        <v>33.436100000000003</v>
      </c>
      <c r="JN84">
        <v>40.001899999999999</v>
      </c>
      <c r="JO84">
        <v>22.109200000000001</v>
      </c>
      <c r="JP84">
        <v>24.139800000000001</v>
      </c>
      <c r="JQ84">
        <v>24.745999999999999</v>
      </c>
      <c r="JR84">
        <v>900</v>
      </c>
      <c r="JS84">
        <v>22.384599999999999</v>
      </c>
      <c r="JT84">
        <v>99.056200000000004</v>
      </c>
      <c r="JU84">
        <v>97.555199999999999</v>
      </c>
    </row>
    <row r="85" spans="1:281" x14ac:dyDescent="0.25">
      <c r="A85">
        <v>69</v>
      </c>
      <c r="B85">
        <v>1693338828</v>
      </c>
      <c r="C85">
        <v>17066.5</v>
      </c>
      <c r="D85" t="s">
        <v>767</v>
      </c>
      <c r="E85" t="s">
        <v>768</v>
      </c>
      <c r="F85" t="s">
        <v>413</v>
      </c>
      <c r="G85" t="s">
        <v>564</v>
      </c>
      <c r="H85" t="s">
        <v>708</v>
      </c>
      <c r="I85" t="s">
        <v>31</v>
      </c>
      <c r="J85">
        <v>1693338828</v>
      </c>
      <c r="K85">
        <f t="shared" si="92"/>
        <v>4.8637159218570727E-3</v>
      </c>
      <c r="L85">
        <f t="shared" si="93"/>
        <v>4.8637159218570725</v>
      </c>
      <c r="M85">
        <f t="shared" si="94"/>
        <v>41.546156020973605</v>
      </c>
      <c r="N85">
        <f t="shared" si="95"/>
        <v>1143.21</v>
      </c>
      <c r="O85">
        <f t="shared" si="96"/>
        <v>909.58412859691725</v>
      </c>
      <c r="P85">
        <f t="shared" si="97"/>
        <v>90.045504201104791</v>
      </c>
      <c r="Q85">
        <f t="shared" si="98"/>
        <v>113.17361156745001</v>
      </c>
      <c r="R85">
        <f t="shared" si="99"/>
        <v>0.3362011153544221</v>
      </c>
      <c r="S85">
        <f t="shared" si="100"/>
        <v>2.9035420341152043</v>
      </c>
      <c r="T85">
        <f t="shared" si="101"/>
        <v>0.31597465145915354</v>
      </c>
      <c r="U85">
        <f t="shared" si="102"/>
        <v>0.19919994085096565</v>
      </c>
      <c r="V85">
        <f t="shared" si="103"/>
        <v>344.38209964469382</v>
      </c>
      <c r="W85">
        <f t="shared" si="104"/>
        <v>30.865216569325373</v>
      </c>
      <c r="X85">
        <f t="shared" si="105"/>
        <v>30.018000000000001</v>
      </c>
      <c r="Y85">
        <f t="shared" si="106"/>
        <v>4.2648566588169912</v>
      </c>
      <c r="Z85">
        <f t="shared" si="107"/>
        <v>65.257025317120167</v>
      </c>
      <c r="AA85">
        <f t="shared" si="108"/>
        <v>2.7953696933995</v>
      </c>
      <c r="AB85">
        <f t="shared" si="109"/>
        <v>4.2836302755377593</v>
      </c>
      <c r="AC85">
        <f t="shared" si="110"/>
        <v>1.4694869654174911</v>
      </c>
      <c r="AD85">
        <f t="shared" si="111"/>
        <v>-214.4898721538969</v>
      </c>
      <c r="AE85">
        <f t="shared" si="112"/>
        <v>11.974985497956142</v>
      </c>
      <c r="AF85">
        <f t="shared" si="113"/>
        <v>0.91754596188702109</v>
      </c>
      <c r="AG85">
        <f t="shared" si="114"/>
        <v>142.78475895064008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51573.084874722234</v>
      </c>
      <c r="AM85" t="s">
        <v>415</v>
      </c>
      <c r="AN85">
        <v>10366.9</v>
      </c>
      <c r="AO85">
        <v>993.59653846153856</v>
      </c>
      <c r="AP85">
        <v>3431.87</v>
      </c>
      <c r="AQ85">
        <f t="shared" si="118"/>
        <v>0.71047955241266758</v>
      </c>
      <c r="AR85">
        <v>-3.9894345373445681</v>
      </c>
      <c r="AS85" t="s">
        <v>769</v>
      </c>
      <c r="AT85">
        <v>10364.6</v>
      </c>
      <c r="AU85">
        <v>838.48784615384602</v>
      </c>
      <c r="AV85">
        <v>1166.673005895685</v>
      </c>
      <c r="AW85">
        <f t="shared" si="119"/>
        <v>0.28130003701412698</v>
      </c>
      <c r="AX85">
        <v>0.5</v>
      </c>
      <c r="AY85">
        <f t="shared" si="120"/>
        <v>1513.2431998223467</v>
      </c>
      <c r="AZ85">
        <f t="shared" si="121"/>
        <v>41.546156020973605</v>
      </c>
      <c r="BA85">
        <f t="shared" si="122"/>
        <v>212.83768406070104</v>
      </c>
      <c r="BB85">
        <f t="shared" si="123"/>
        <v>3.0091389516016996E-2</v>
      </c>
      <c r="BC85">
        <f t="shared" si="124"/>
        <v>1.9415868736632544</v>
      </c>
      <c r="BD85">
        <f t="shared" si="125"/>
        <v>636.05276799527053</v>
      </c>
      <c r="BE85" t="s">
        <v>770</v>
      </c>
      <c r="BF85">
        <v>622.07000000000005</v>
      </c>
      <c r="BG85">
        <f t="shared" si="126"/>
        <v>622.07000000000005</v>
      </c>
      <c r="BH85">
        <f t="shared" si="127"/>
        <v>0.4668000400657073</v>
      </c>
      <c r="BI85">
        <f t="shared" si="128"/>
        <v>0.60261356655952913</v>
      </c>
      <c r="BJ85">
        <f t="shared" si="129"/>
        <v>0.80617730589519365</v>
      </c>
      <c r="BK85">
        <f t="shared" si="130"/>
        <v>1.8961859148570244</v>
      </c>
      <c r="BL85">
        <f t="shared" si="131"/>
        <v>0.92901679398793036</v>
      </c>
      <c r="BM85">
        <f t="shared" si="132"/>
        <v>0.44707603463688783</v>
      </c>
      <c r="BN85">
        <f t="shared" si="133"/>
        <v>0.55292396536311217</v>
      </c>
      <c r="BO85">
        <v>2089</v>
      </c>
      <c r="BP85">
        <v>290.00000000000011</v>
      </c>
      <c r="BQ85">
        <v>1082.24</v>
      </c>
      <c r="BR85">
        <v>145</v>
      </c>
      <c r="BS85">
        <v>10364.6</v>
      </c>
      <c r="BT85">
        <v>1078.57</v>
      </c>
      <c r="BU85">
        <v>3.67</v>
      </c>
      <c r="BV85">
        <v>300.00000000000011</v>
      </c>
      <c r="BW85">
        <v>38.4</v>
      </c>
      <c r="BX85">
        <v>1166.673005895685</v>
      </c>
      <c r="BY85">
        <v>1.3333573563098651</v>
      </c>
      <c r="BZ85">
        <v>-91.313410402595551</v>
      </c>
      <c r="CA85">
        <v>1.129828343691121</v>
      </c>
      <c r="CB85">
        <v>0.99573168793375399</v>
      </c>
      <c r="CC85">
        <v>-1.1266850723025589E-2</v>
      </c>
      <c r="CD85">
        <v>289.99999999999989</v>
      </c>
      <c r="CE85">
        <v>1069.9000000000001</v>
      </c>
      <c r="CF85">
        <v>705</v>
      </c>
      <c r="CG85">
        <v>10328.9</v>
      </c>
      <c r="CH85">
        <v>1078.27</v>
      </c>
      <c r="CI85">
        <v>-8.3699999999999992</v>
      </c>
      <c r="CW85">
        <f t="shared" si="134"/>
        <v>1800.07</v>
      </c>
      <c r="CX85">
        <f t="shared" si="135"/>
        <v>1513.2431998223467</v>
      </c>
      <c r="CY85">
        <f t="shared" si="136"/>
        <v>0.84065797431341382</v>
      </c>
      <c r="CZ85">
        <f t="shared" si="137"/>
        <v>0.19131594862682777</v>
      </c>
      <c r="DA85">
        <v>6</v>
      </c>
      <c r="DB85">
        <v>0.5</v>
      </c>
      <c r="DC85" t="s">
        <v>418</v>
      </c>
      <c r="DD85">
        <v>2</v>
      </c>
      <c r="DE85">
        <v>1693338828</v>
      </c>
      <c r="DF85">
        <v>1143.21</v>
      </c>
      <c r="DG85">
        <v>1199.78</v>
      </c>
      <c r="DH85">
        <v>28.237100000000002</v>
      </c>
      <c r="DI85">
        <v>22.561199999999999</v>
      </c>
      <c r="DJ85">
        <v>1140.68</v>
      </c>
      <c r="DK85">
        <v>27.4572</v>
      </c>
      <c r="DL85">
        <v>499.62599999999998</v>
      </c>
      <c r="DM85">
        <v>98.895700000000005</v>
      </c>
      <c r="DN85">
        <v>0.100645</v>
      </c>
      <c r="DO85">
        <v>30.0945</v>
      </c>
      <c r="DP85">
        <v>30.018000000000001</v>
      </c>
      <c r="DQ85">
        <v>999.9</v>
      </c>
      <c r="DR85">
        <v>0</v>
      </c>
      <c r="DS85">
        <v>0</v>
      </c>
      <c r="DT85">
        <v>9962.5</v>
      </c>
      <c r="DU85">
        <v>0</v>
      </c>
      <c r="DV85">
        <v>1610.56</v>
      </c>
      <c r="DW85">
        <v>-56.5747</v>
      </c>
      <c r="DX85">
        <v>1176.43</v>
      </c>
      <c r="DY85">
        <v>1227.47</v>
      </c>
      <c r="DZ85">
        <v>5.6759399999999998</v>
      </c>
      <c r="EA85">
        <v>1199.78</v>
      </c>
      <c r="EB85">
        <v>22.561199999999999</v>
      </c>
      <c r="EC85">
        <v>2.7925300000000002</v>
      </c>
      <c r="ED85">
        <v>2.2311999999999999</v>
      </c>
      <c r="EE85">
        <v>22.84</v>
      </c>
      <c r="EF85">
        <v>19.188099999999999</v>
      </c>
      <c r="EG85">
        <v>1800.07</v>
      </c>
      <c r="EH85">
        <v>0.97800799999999999</v>
      </c>
      <c r="EI85">
        <v>2.19916E-2</v>
      </c>
      <c r="EJ85">
        <v>0</v>
      </c>
      <c r="EK85">
        <v>837.98599999999999</v>
      </c>
      <c r="EL85">
        <v>5.0002700000000004</v>
      </c>
      <c r="EM85">
        <v>15916.9</v>
      </c>
      <c r="EN85">
        <v>16249.2</v>
      </c>
      <c r="EO85">
        <v>48.125</v>
      </c>
      <c r="EP85">
        <v>50</v>
      </c>
      <c r="EQ85">
        <v>49.311999999999998</v>
      </c>
      <c r="ER85">
        <v>49.436999999999998</v>
      </c>
      <c r="ES85">
        <v>49.936999999999998</v>
      </c>
      <c r="ET85">
        <v>1755.59</v>
      </c>
      <c r="EU85">
        <v>39.479999999999997</v>
      </c>
      <c r="EV85">
        <v>0</v>
      </c>
      <c r="EW85">
        <v>97.399999856948853</v>
      </c>
      <c r="EX85">
        <v>0</v>
      </c>
      <c r="EY85">
        <v>838.48784615384602</v>
      </c>
      <c r="EZ85">
        <v>-4.1448205179922466</v>
      </c>
      <c r="FA85">
        <v>-71.203418939079867</v>
      </c>
      <c r="FB85">
        <v>15924.67307692308</v>
      </c>
      <c r="FC85">
        <v>15</v>
      </c>
      <c r="FD85">
        <v>1693338799.5</v>
      </c>
      <c r="FE85" t="s">
        <v>771</v>
      </c>
      <c r="FF85">
        <v>1693338795.5</v>
      </c>
      <c r="FG85">
        <v>1693338799.5</v>
      </c>
      <c r="FH85">
        <v>78</v>
      </c>
      <c r="FI85">
        <v>0.186</v>
      </c>
      <c r="FJ85">
        <v>-2E-3</v>
      </c>
      <c r="FK85">
        <v>2.4929999999999999</v>
      </c>
      <c r="FL85">
        <v>0.44900000000000001</v>
      </c>
      <c r="FM85">
        <v>1200</v>
      </c>
      <c r="FN85">
        <v>22</v>
      </c>
      <c r="FO85">
        <v>0.17</v>
      </c>
      <c r="FP85">
        <v>0.04</v>
      </c>
      <c r="FQ85">
        <v>41.720796161479498</v>
      </c>
      <c r="FR85">
        <v>2.7573698793317669E-2</v>
      </c>
      <c r="FS85">
        <v>0.13801521044621001</v>
      </c>
      <c r="FT85">
        <v>1</v>
      </c>
      <c r="FU85">
        <v>0.33955876248655709</v>
      </c>
      <c r="FV85">
        <v>1.0853203763251841E-2</v>
      </c>
      <c r="FW85">
        <v>2.4607259227239289E-3</v>
      </c>
      <c r="FX85">
        <v>1</v>
      </c>
      <c r="FY85">
        <v>2</v>
      </c>
      <c r="FZ85">
        <v>2</v>
      </c>
      <c r="GA85" t="s">
        <v>429</v>
      </c>
      <c r="GB85">
        <v>3.13348</v>
      </c>
      <c r="GC85">
        <v>2.8654700000000002</v>
      </c>
      <c r="GD85">
        <v>0.190659</v>
      </c>
      <c r="GE85">
        <v>0.20113500000000001</v>
      </c>
      <c r="GF85">
        <v>0.126689</v>
      </c>
      <c r="GG85">
        <v>0.113091</v>
      </c>
      <c r="GH85">
        <v>24371.9</v>
      </c>
      <c r="GI85">
        <v>18609.8</v>
      </c>
      <c r="GJ85">
        <v>29049.7</v>
      </c>
      <c r="GK85">
        <v>21723</v>
      </c>
      <c r="GL85">
        <v>34027.1</v>
      </c>
      <c r="GM85">
        <v>26541.1</v>
      </c>
      <c r="GN85">
        <v>40320.300000000003</v>
      </c>
      <c r="GO85">
        <v>30888.3</v>
      </c>
      <c r="GP85">
        <v>2.0007000000000001</v>
      </c>
      <c r="GQ85">
        <v>1.7857000000000001</v>
      </c>
      <c r="GR85">
        <v>1.51694E-2</v>
      </c>
      <c r="GS85">
        <v>0</v>
      </c>
      <c r="GT85">
        <v>29.771100000000001</v>
      </c>
      <c r="GU85">
        <v>999.9</v>
      </c>
      <c r="GV85">
        <v>41.5</v>
      </c>
      <c r="GW85">
        <v>37.4</v>
      </c>
      <c r="GX85">
        <v>27.0395</v>
      </c>
      <c r="GY85">
        <v>62.062100000000001</v>
      </c>
      <c r="GZ85">
        <v>12.4239</v>
      </c>
      <c r="HA85">
        <v>1</v>
      </c>
      <c r="HB85">
        <v>0.49371999999999999</v>
      </c>
      <c r="HC85">
        <v>4.20017</v>
      </c>
      <c r="HD85">
        <v>20.2865</v>
      </c>
      <c r="HE85">
        <v>5.2346599999999999</v>
      </c>
      <c r="HF85">
        <v>11.98</v>
      </c>
      <c r="HG85">
        <v>4.9741999999999997</v>
      </c>
      <c r="HH85">
        <v>3.2839999999999998</v>
      </c>
      <c r="HI85">
        <v>9999</v>
      </c>
      <c r="HJ85">
        <v>9999</v>
      </c>
      <c r="HK85">
        <v>9999</v>
      </c>
      <c r="HL85">
        <v>999.9</v>
      </c>
      <c r="HM85">
        <v>1.8608100000000001</v>
      </c>
      <c r="HN85">
        <v>1.86249</v>
      </c>
      <c r="HO85">
        <v>1.8678300000000001</v>
      </c>
      <c r="HP85">
        <v>1.8585199999999999</v>
      </c>
      <c r="HQ85">
        <v>1.8569</v>
      </c>
      <c r="HR85">
        <v>1.86063</v>
      </c>
      <c r="HS85">
        <v>1.8644700000000001</v>
      </c>
      <c r="HT85">
        <v>1.8664700000000001</v>
      </c>
      <c r="HU85">
        <v>5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2.5299999999999998</v>
      </c>
      <c r="II85">
        <v>0.77990000000000004</v>
      </c>
      <c r="IJ85">
        <v>2.6436595970868519</v>
      </c>
      <c r="IK85">
        <v>1.118558698776514E-3</v>
      </c>
      <c r="IL85">
        <v>-1.6939696309573479E-6</v>
      </c>
      <c r="IM85">
        <v>5.4698917449866148E-10</v>
      </c>
      <c r="IN85">
        <v>-9.231620065625612E-2</v>
      </c>
      <c r="IO85">
        <v>-7.6058941998734366E-3</v>
      </c>
      <c r="IP85">
        <v>1.6984902717538061E-3</v>
      </c>
      <c r="IQ85">
        <v>-9.6352527008986976E-6</v>
      </c>
      <c r="IR85">
        <v>2</v>
      </c>
      <c r="IS85">
        <v>2021</v>
      </c>
      <c r="IT85">
        <v>2</v>
      </c>
      <c r="IU85">
        <v>40</v>
      </c>
      <c r="IV85">
        <v>0.5</v>
      </c>
      <c r="IW85">
        <v>0.5</v>
      </c>
      <c r="IX85">
        <v>2.5293000000000001</v>
      </c>
      <c r="IY85">
        <v>2.50854</v>
      </c>
      <c r="IZ85">
        <v>1.34399</v>
      </c>
      <c r="JA85">
        <v>2.2387700000000001</v>
      </c>
      <c r="JB85">
        <v>1.5918000000000001</v>
      </c>
      <c r="JC85">
        <v>2.4206500000000002</v>
      </c>
      <c r="JD85">
        <v>40.146000000000001</v>
      </c>
      <c r="JE85">
        <v>15.7431</v>
      </c>
      <c r="JF85">
        <v>18</v>
      </c>
      <c r="JG85">
        <v>507.66399999999999</v>
      </c>
      <c r="JH85">
        <v>414.411</v>
      </c>
      <c r="JI85">
        <v>24.698799999999999</v>
      </c>
      <c r="JJ85">
        <v>33.680799999999998</v>
      </c>
      <c r="JK85">
        <v>30.0002</v>
      </c>
      <c r="JL85">
        <v>33.478900000000003</v>
      </c>
      <c r="JM85">
        <v>33.421199999999999</v>
      </c>
      <c r="JN85">
        <v>50.6997</v>
      </c>
      <c r="JO85">
        <v>21.788499999999999</v>
      </c>
      <c r="JP85">
        <v>24.232399999999998</v>
      </c>
      <c r="JQ85">
        <v>24.696000000000002</v>
      </c>
      <c r="JR85">
        <v>1200</v>
      </c>
      <c r="JS85">
        <v>22.548100000000002</v>
      </c>
      <c r="JT85">
        <v>99.053799999999995</v>
      </c>
      <c r="JU85">
        <v>97.558700000000002</v>
      </c>
    </row>
    <row r="86" spans="1:281" x14ac:dyDescent="0.25">
      <c r="A86">
        <v>70</v>
      </c>
      <c r="B86">
        <v>1693338929</v>
      </c>
      <c r="C86">
        <v>17167.5</v>
      </c>
      <c r="D86" t="s">
        <v>772</v>
      </c>
      <c r="E86" t="s">
        <v>773</v>
      </c>
      <c r="F86" t="s">
        <v>413</v>
      </c>
      <c r="G86" t="s">
        <v>564</v>
      </c>
      <c r="H86" t="s">
        <v>708</v>
      </c>
      <c r="I86" t="s">
        <v>31</v>
      </c>
      <c r="J86">
        <v>1693338929</v>
      </c>
      <c r="K86">
        <f t="shared" si="92"/>
        <v>4.6247785764230234E-3</v>
      </c>
      <c r="L86">
        <f t="shared" si="93"/>
        <v>4.6247785764230231</v>
      </c>
      <c r="M86">
        <f t="shared" si="94"/>
        <v>40.678114901983555</v>
      </c>
      <c r="N86">
        <f t="shared" si="95"/>
        <v>1443.02</v>
      </c>
      <c r="O86">
        <f t="shared" si="96"/>
        <v>1195.4186884775979</v>
      </c>
      <c r="P86">
        <f t="shared" si="97"/>
        <v>118.34487782508123</v>
      </c>
      <c r="Q86">
        <f t="shared" si="98"/>
        <v>142.857081995794</v>
      </c>
      <c r="R86">
        <f t="shared" si="99"/>
        <v>0.31794665228483593</v>
      </c>
      <c r="S86">
        <f t="shared" si="100"/>
        <v>2.9079774019917495</v>
      </c>
      <c r="T86">
        <f t="shared" si="101"/>
        <v>0.2998193528965104</v>
      </c>
      <c r="U86">
        <f t="shared" si="102"/>
        <v>0.18892958189597295</v>
      </c>
      <c r="V86">
        <f t="shared" si="103"/>
        <v>344.42131280931449</v>
      </c>
      <c r="W86">
        <f t="shared" si="104"/>
        <v>30.885414802145338</v>
      </c>
      <c r="X86">
        <f t="shared" si="105"/>
        <v>30.0002</v>
      </c>
      <c r="Y86">
        <f t="shared" si="106"/>
        <v>4.2604987160155758</v>
      </c>
      <c r="Z86">
        <f t="shared" si="107"/>
        <v>65.234778688789902</v>
      </c>
      <c r="AA86">
        <f t="shared" si="108"/>
        <v>2.7877831614150601</v>
      </c>
      <c r="AB86">
        <f t="shared" si="109"/>
        <v>4.2734615146232109</v>
      </c>
      <c r="AC86">
        <f t="shared" si="110"/>
        <v>1.4727155546005157</v>
      </c>
      <c r="AD86">
        <f t="shared" si="111"/>
        <v>-203.95273522025533</v>
      </c>
      <c r="AE86">
        <f t="shared" si="112"/>
        <v>8.2933910301280473</v>
      </c>
      <c r="AF86">
        <f t="shared" si="113"/>
        <v>0.6343001301797152</v>
      </c>
      <c r="AG86">
        <f t="shared" si="114"/>
        <v>149.39626874936693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51706.072663108294</v>
      </c>
      <c r="AM86" t="s">
        <v>415</v>
      </c>
      <c r="AN86">
        <v>10366.9</v>
      </c>
      <c r="AO86">
        <v>993.59653846153856</v>
      </c>
      <c r="AP86">
        <v>3431.87</v>
      </c>
      <c r="AQ86">
        <f t="shared" si="118"/>
        <v>0.71047955241266758</v>
      </c>
      <c r="AR86">
        <v>-3.9894345373445681</v>
      </c>
      <c r="AS86" t="s">
        <v>774</v>
      </c>
      <c r="AT86">
        <v>10359.700000000001</v>
      </c>
      <c r="AU86">
        <v>832.87838461538456</v>
      </c>
      <c r="AV86">
        <v>1157.6267936476611</v>
      </c>
      <c r="AW86">
        <f t="shared" si="119"/>
        <v>0.28052945112733629</v>
      </c>
      <c r="AX86">
        <v>0.5</v>
      </c>
      <c r="AY86">
        <f t="shared" si="120"/>
        <v>1513.4118064046572</v>
      </c>
      <c r="AZ86">
        <f t="shared" si="121"/>
        <v>40.678114901983555</v>
      </c>
      <c r="BA86">
        <f t="shared" si="122"/>
        <v>212.27829169016451</v>
      </c>
      <c r="BB86">
        <f t="shared" si="123"/>
        <v>2.9514471375403611E-2</v>
      </c>
      <c r="BC86">
        <f t="shared" si="124"/>
        <v>1.9645737459015091</v>
      </c>
      <c r="BD86">
        <f t="shared" si="125"/>
        <v>633.35447538288554</v>
      </c>
      <c r="BE86" t="s">
        <v>775</v>
      </c>
      <c r="BF86">
        <v>620.03</v>
      </c>
      <c r="BG86">
        <f t="shared" si="126"/>
        <v>620.03</v>
      </c>
      <c r="BH86">
        <f t="shared" si="127"/>
        <v>0.46439560365884702</v>
      </c>
      <c r="BI86">
        <f t="shared" si="128"/>
        <v>0.60407430414310725</v>
      </c>
      <c r="BJ86">
        <f t="shared" si="129"/>
        <v>0.80880960735758034</v>
      </c>
      <c r="BK86">
        <f t="shared" si="130"/>
        <v>1.9798079852024228</v>
      </c>
      <c r="BL86">
        <f t="shared" si="131"/>
        <v>0.93272688327476372</v>
      </c>
      <c r="BM86">
        <f t="shared" si="132"/>
        <v>0.44969853668469467</v>
      </c>
      <c r="BN86">
        <f t="shared" si="133"/>
        <v>0.55030146331530538</v>
      </c>
      <c r="BO86">
        <v>2091</v>
      </c>
      <c r="BP86">
        <v>290.00000000000011</v>
      </c>
      <c r="BQ86">
        <v>1074.8</v>
      </c>
      <c r="BR86">
        <v>165</v>
      </c>
      <c r="BS86">
        <v>10359.700000000001</v>
      </c>
      <c r="BT86">
        <v>1070.9100000000001</v>
      </c>
      <c r="BU86">
        <v>3.89</v>
      </c>
      <c r="BV86">
        <v>300.00000000000011</v>
      </c>
      <c r="BW86">
        <v>38.4</v>
      </c>
      <c r="BX86">
        <v>1157.6267936476611</v>
      </c>
      <c r="BY86">
        <v>1.378359228194348</v>
      </c>
      <c r="BZ86">
        <v>-89.834669691174241</v>
      </c>
      <c r="CA86">
        <v>1.167881203131657</v>
      </c>
      <c r="CB86">
        <v>0.99529004154221579</v>
      </c>
      <c r="CC86">
        <v>-1.1265204671857629E-2</v>
      </c>
      <c r="CD86">
        <v>289.99999999999989</v>
      </c>
      <c r="CE86">
        <v>1063.3699999999999</v>
      </c>
      <c r="CF86">
        <v>685</v>
      </c>
      <c r="CG86">
        <v>10329.700000000001</v>
      </c>
      <c r="CH86">
        <v>1070.6600000000001</v>
      </c>
      <c r="CI86">
        <v>-7.29</v>
      </c>
      <c r="CW86">
        <f t="shared" si="134"/>
        <v>1800.27</v>
      </c>
      <c r="CX86">
        <f t="shared" si="135"/>
        <v>1513.4118064046572</v>
      </c>
      <c r="CY86">
        <f t="shared" si="136"/>
        <v>0.84065823815575291</v>
      </c>
      <c r="CZ86">
        <f t="shared" si="137"/>
        <v>0.19131647631150578</v>
      </c>
      <c r="DA86">
        <v>6</v>
      </c>
      <c r="DB86">
        <v>0.5</v>
      </c>
      <c r="DC86" t="s">
        <v>418</v>
      </c>
      <c r="DD86">
        <v>2</v>
      </c>
      <c r="DE86">
        <v>1693338929</v>
      </c>
      <c r="DF86">
        <v>1443.02</v>
      </c>
      <c r="DG86">
        <v>1499.89</v>
      </c>
      <c r="DH86">
        <v>28.159800000000001</v>
      </c>
      <c r="DI86">
        <v>22.761800000000001</v>
      </c>
      <c r="DJ86">
        <v>1440.52</v>
      </c>
      <c r="DK86">
        <v>27.3871</v>
      </c>
      <c r="DL86">
        <v>499.57900000000001</v>
      </c>
      <c r="DM86">
        <v>98.899000000000001</v>
      </c>
      <c r="DN86">
        <v>9.9684700000000001E-2</v>
      </c>
      <c r="DO86">
        <v>30.053100000000001</v>
      </c>
      <c r="DP86">
        <v>30.0002</v>
      </c>
      <c r="DQ86">
        <v>999.9</v>
      </c>
      <c r="DR86">
        <v>0</v>
      </c>
      <c r="DS86">
        <v>0</v>
      </c>
      <c r="DT86">
        <v>9987.5</v>
      </c>
      <c r="DU86">
        <v>0</v>
      </c>
      <c r="DV86">
        <v>1615.58</v>
      </c>
      <c r="DW86">
        <v>-56.870199999999997</v>
      </c>
      <c r="DX86">
        <v>1484.83</v>
      </c>
      <c r="DY86">
        <v>1534.83</v>
      </c>
      <c r="DZ86">
        <v>5.3980499999999996</v>
      </c>
      <c r="EA86">
        <v>1499.89</v>
      </c>
      <c r="EB86">
        <v>22.761800000000001</v>
      </c>
      <c r="EC86">
        <v>2.78498</v>
      </c>
      <c r="ED86">
        <v>2.2511199999999998</v>
      </c>
      <c r="EE86">
        <v>22.795300000000001</v>
      </c>
      <c r="EF86">
        <v>19.3308</v>
      </c>
      <c r="EG86">
        <v>1800.27</v>
      </c>
      <c r="EH86">
        <v>0.97799499999999995</v>
      </c>
      <c r="EI86">
        <v>2.2004800000000001E-2</v>
      </c>
      <c r="EJ86">
        <v>0</v>
      </c>
      <c r="EK86">
        <v>832.57500000000005</v>
      </c>
      <c r="EL86">
        <v>5.0002700000000004</v>
      </c>
      <c r="EM86">
        <v>15816.2</v>
      </c>
      <c r="EN86">
        <v>16251.1</v>
      </c>
      <c r="EO86">
        <v>48.25</v>
      </c>
      <c r="EP86">
        <v>50.061999999999998</v>
      </c>
      <c r="EQ86">
        <v>49.375</v>
      </c>
      <c r="ER86">
        <v>49.5</v>
      </c>
      <c r="ES86">
        <v>50</v>
      </c>
      <c r="ET86">
        <v>1755.76</v>
      </c>
      <c r="EU86">
        <v>39.5</v>
      </c>
      <c r="EV86">
        <v>0</v>
      </c>
      <c r="EW86">
        <v>99.200000047683716</v>
      </c>
      <c r="EX86">
        <v>0</v>
      </c>
      <c r="EY86">
        <v>832.87838461538456</v>
      </c>
      <c r="EZ86">
        <v>-3.4284444442730471</v>
      </c>
      <c r="FA86">
        <v>-59.576068377844827</v>
      </c>
      <c r="FB86">
        <v>15821.061538461539</v>
      </c>
      <c r="FC86">
        <v>15</v>
      </c>
      <c r="FD86">
        <v>1693338897.5</v>
      </c>
      <c r="FE86" t="s">
        <v>776</v>
      </c>
      <c r="FF86">
        <v>1693338897.5</v>
      </c>
      <c r="FG86">
        <v>1693338891.5</v>
      </c>
      <c r="FH86">
        <v>79</v>
      </c>
      <c r="FI86">
        <v>0.13100000000000001</v>
      </c>
      <c r="FJ86">
        <v>-3.0000000000000001E-3</v>
      </c>
      <c r="FK86">
        <v>2.488</v>
      </c>
      <c r="FL86">
        <v>0.45600000000000002</v>
      </c>
      <c r="FM86">
        <v>1501</v>
      </c>
      <c r="FN86">
        <v>22</v>
      </c>
      <c r="FO86">
        <v>0.16</v>
      </c>
      <c r="FP86">
        <v>0.04</v>
      </c>
      <c r="FQ86">
        <v>40.918715427051907</v>
      </c>
      <c r="FR86">
        <v>-0.30859446531818979</v>
      </c>
      <c r="FS86">
        <v>0.15809420430771981</v>
      </c>
      <c r="FT86">
        <v>1</v>
      </c>
      <c r="FU86">
        <v>0.32263489471367179</v>
      </c>
      <c r="FV86">
        <v>-2.592550485427789E-2</v>
      </c>
      <c r="FW86">
        <v>2.3503825087760619E-3</v>
      </c>
      <c r="FX86">
        <v>1</v>
      </c>
      <c r="FY86">
        <v>2</v>
      </c>
      <c r="FZ86">
        <v>2</v>
      </c>
      <c r="GA86" t="s">
        <v>429</v>
      </c>
      <c r="GB86">
        <v>3.13347</v>
      </c>
      <c r="GC86">
        <v>2.8647300000000002</v>
      </c>
      <c r="GD86">
        <v>0.22054399999999999</v>
      </c>
      <c r="GE86">
        <v>0.23072200000000001</v>
      </c>
      <c r="GF86">
        <v>0.12645700000000001</v>
      </c>
      <c r="GG86">
        <v>0.11379</v>
      </c>
      <c r="GH86">
        <v>23468.1</v>
      </c>
      <c r="GI86">
        <v>17917.5</v>
      </c>
      <c r="GJ86">
        <v>29047.1</v>
      </c>
      <c r="GK86">
        <v>21720.799999999999</v>
      </c>
      <c r="GL86">
        <v>34036.1</v>
      </c>
      <c r="GM86">
        <v>26521.1</v>
      </c>
      <c r="GN86">
        <v>40316</v>
      </c>
      <c r="GO86">
        <v>30886.5</v>
      </c>
      <c r="GP86">
        <v>2.0007000000000001</v>
      </c>
      <c r="GQ86">
        <v>1.7868999999999999</v>
      </c>
      <c r="GR86">
        <v>1.1384500000000001E-2</v>
      </c>
      <c r="GS86">
        <v>0</v>
      </c>
      <c r="GT86">
        <v>29.814900000000002</v>
      </c>
      <c r="GU86">
        <v>999.9</v>
      </c>
      <c r="GV86">
        <v>41.8</v>
      </c>
      <c r="GW86">
        <v>37.4</v>
      </c>
      <c r="GX86">
        <v>27.232700000000001</v>
      </c>
      <c r="GY86">
        <v>61.832099999999997</v>
      </c>
      <c r="GZ86">
        <v>12.335699999999999</v>
      </c>
      <c r="HA86">
        <v>1</v>
      </c>
      <c r="HB86">
        <v>0.50122</v>
      </c>
      <c r="HC86">
        <v>4.4927099999999998</v>
      </c>
      <c r="HD86">
        <v>20.2788</v>
      </c>
      <c r="HE86">
        <v>5.22987</v>
      </c>
      <c r="HF86">
        <v>11.98</v>
      </c>
      <c r="HG86">
        <v>4.9736000000000002</v>
      </c>
      <c r="HH86">
        <v>3.2829999999999999</v>
      </c>
      <c r="HI86">
        <v>9999</v>
      </c>
      <c r="HJ86">
        <v>9999</v>
      </c>
      <c r="HK86">
        <v>9999</v>
      </c>
      <c r="HL86">
        <v>999.9</v>
      </c>
      <c r="HM86">
        <v>1.8608100000000001</v>
      </c>
      <c r="HN86">
        <v>1.86249</v>
      </c>
      <c r="HO86">
        <v>1.8678300000000001</v>
      </c>
      <c r="HP86">
        <v>1.8585100000000001</v>
      </c>
      <c r="HQ86">
        <v>1.85684</v>
      </c>
      <c r="HR86">
        <v>1.8606</v>
      </c>
      <c r="HS86">
        <v>1.8644400000000001</v>
      </c>
      <c r="HT86">
        <v>1.86646</v>
      </c>
      <c r="HU86">
        <v>5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2.5</v>
      </c>
      <c r="II86">
        <v>0.77270000000000005</v>
      </c>
      <c r="IJ86">
        <v>2.774483461223419</v>
      </c>
      <c r="IK86">
        <v>1.118558698776514E-3</v>
      </c>
      <c r="IL86">
        <v>-1.6939696309573479E-6</v>
      </c>
      <c r="IM86">
        <v>5.4698917449866148E-10</v>
      </c>
      <c r="IN86">
        <v>-9.4999216880368276E-2</v>
      </c>
      <c r="IO86">
        <v>-7.6058941998734366E-3</v>
      </c>
      <c r="IP86">
        <v>1.6984902717538061E-3</v>
      </c>
      <c r="IQ86">
        <v>-9.6352527008986976E-6</v>
      </c>
      <c r="IR86">
        <v>2</v>
      </c>
      <c r="IS86">
        <v>2021</v>
      </c>
      <c r="IT86">
        <v>2</v>
      </c>
      <c r="IU86">
        <v>40</v>
      </c>
      <c r="IV86">
        <v>0.5</v>
      </c>
      <c r="IW86">
        <v>0.6</v>
      </c>
      <c r="IX86">
        <v>3.0395500000000002</v>
      </c>
      <c r="IY86">
        <v>2.5061</v>
      </c>
      <c r="IZ86">
        <v>1.34399</v>
      </c>
      <c r="JA86">
        <v>2.2387700000000001</v>
      </c>
      <c r="JB86">
        <v>1.5918000000000001</v>
      </c>
      <c r="JC86">
        <v>2.3022499999999999</v>
      </c>
      <c r="JD86">
        <v>40.146000000000001</v>
      </c>
      <c r="JE86">
        <v>15.7081</v>
      </c>
      <c r="JF86">
        <v>18</v>
      </c>
      <c r="JG86">
        <v>507.91500000000002</v>
      </c>
      <c r="JH86">
        <v>415.38</v>
      </c>
      <c r="JI86">
        <v>24.415900000000001</v>
      </c>
      <c r="JJ86">
        <v>33.726199999999999</v>
      </c>
      <c r="JK86">
        <v>30.000399999999999</v>
      </c>
      <c r="JL86">
        <v>33.508899999999997</v>
      </c>
      <c r="JM86">
        <v>33.450699999999998</v>
      </c>
      <c r="JN86">
        <v>60.888300000000001</v>
      </c>
      <c r="JO86">
        <v>21.645900000000001</v>
      </c>
      <c r="JP86">
        <v>24.814399999999999</v>
      </c>
      <c r="JQ86">
        <v>24.424099999999999</v>
      </c>
      <c r="JR86">
        <v>1500</v>
      </c>
      <c r="JS86">
        <v>22.739000000000001</v>
      </c>
      <c r="JT86">
        <v>99.0441</v>
      </c>
      <c r="JU86">
        <v>97.551299999999998</v>
      </c>
    </row>
    <row r="87" spans="1:281" x14ac:dyDescent="0.25">
      <c r="A87">
        <v>71</v>
      </c>
      <c r="B87">
        <v>1693340822.5</v>
      </c>
      <c r="C87">
        <v>19061</v>
      </c>
      <c r="D87" t="s">
        <v>777</v>
      </c>
      <c r="E87" t="s">
        <v>778</v>
      </c>
      <c r="F87" t="s">
        <v>413</v>
      </c>
      <c r="G87" t="s">
        <v>492</v>
      </c>
      <c r="H87" t="s">
        <v>779</v>
      </c>
      <c r="I87" t="s">
        <v>493</v>
      </c>
      <c r="J87">
        <v>1693340822.5</v>
      </c>
      <c r="K87">
        <f t="shared" si="92"/>
        <v>4.2152859568302496E-3</v>
      </c>
      <c r="L87">
        <f t="shared" si="93"/>
        <v>4.2152859568302494</v>
      </c>
      <c r="M87">
        <f t="shared" si="94"/>
        <v>37.827911876372546</v>
      </c>
      <c r="N87">
        <f t="shared" si="95"/>
        <v>353.03800000000001</v>
      </c>
      <c r="O87">
        <f t="shared" si="96"/>
        <v>133.03766619152239</v>
      </c>
      <c r="P87">
        <f t="shared" si="97"/>
        <v>13.164998874336415</v>
      </c>
      <c r="Q87">
        <f t="shared" si="98"/>
        <v>34.935556264998205</v>
      </c>
      <c r="R87">
        <f t="shared" si="99"/>
        <v>0.29617829331366013</v>
      </c>
      <c r="S87">
        <f t="shared" si="100"/>
        <v>2.9129156072951536</v>
      </c>
      <c r="T87">
        <f t="shared" si="101"/>
        <v>0.28040725560491869</v>
      </c>
      <c r="U87">
        <f t="shared" si="102"/>
        <v>0.17660148586421101</v>
      </c>
      <c r="V87">
        <f t="shared" si="103"/>
        <v>344.36619964449613</v>
      </c>
      <c r="W87">
        <f t="shared" si="104"/>
        <v>31.192078812689502</v>
      </c>
      <c r="X87">
        <f t="shared" si="105"/>
        <v>29.982099999999999</v>
      </c>
      <c r="Y87">
        <f t="shared" si="106"/>
        <v>4.2560713047536529</v>
      </c>
      <c r="Z87">
        <f t="shared" si="107"/>
        <v>65.268599392415254</v>
      </c>
      <c r="AA87">
        <f t="shared" si="108"/>
        <v>2.8216776620403801</v>
      </c>
      <c r="AB87">
        <f t="shared" si="109"/>
        <v>4.3231778961205691</v>
      </c>
      <c r="AC87">
        <f t="shared" si="110"/>
        <v>1.4343936427132729</v>
      </c>
      <c r="AD87">
        <f t="shared" si="111"/>
        <v>-185.894110696214</v>
      </c>
      <c r="AE87">
        <f t="shared" si="112"/>
        <v>42.8094055557074</v>
      </c>
      <c r="AF87">
        <f t="shared" si="113"/>
        <v>3.2715946556859166</v>
      </c>
      <c r="AG87">
        <f t="shared" si="114"/>
        <v>204.55308915967547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51810.984195231205</v>
      </c>
      <c r="AM87" t="s">
        <v>415</v>
      </c>
      <c r="AN87">
        <v>10366.9</v>
      </c>
      <c r="AO87">
        <v>993.59653846153856</v>
      </c>
      <c r="AP87">
        <v>3431.87</v>
      </c>
      <c r="AQ87">
        <f t="shared" si="118"/>
        <v>0.71047955241266758</v>
      </c>
      <c r="AR87">
        <v>-3.9894345373445681</v>
      </c>
      <c r="AS87" t="s">
        <v>780</v>
      </c>
      <c r="AT87">
        <v>10365.799999999999</v>
      </c>
      <c r="AU87">
        <v>740.71483999999998</v>
      </c>
      <c r="AV87">
        <v>998.93178876613956</v>
      </c>
      <c r="AW87">
        <f t="shared" si="119"/>
        <v>0.25849307397163124</v>
      </c>
      <c r="AX87">
        <v>0.5</v>
      </c>
      <c r="AY87">
        <f t="shared" si="120"/>
        <v>1513.168199822248</v>
      </c>
      <c r="AZ87">
        <f t="shared" si="121"/>
        <v>37.827911876372546</v>
      </c>
      <c r="BA87">
        <f t="shared" si="122"/>
        <v>195.57174970408622</v>
      </c>
      <c r="BB87">
        <f t="shared" si="123"/>
        <v>2.7635623335614246E-2</v>
      </c>
      <c r="BC87">
        <f t="shared" si="124"/>
        <v>2.4355398822966445</v>
      </c>
      <c r="BD87">
        <f t="shared" si="125"/>
        <v>582.70720063652743</v>
      </c>
      <c r="BE87" t="s">
        <v>781</v>
      </c>
      <c r="BF87">
        <v>591.65</v>
      </c>
      <c r="BG87">
        <f t="shared" si="126"/>
        <v>591.65</v>
      </c>
      <c r="BH87">
        <f t="shared" si="127"/>
        <v>0.40771731698438174</v>
      </c>
      <c r="BI87">
        <f t="shared" si="128"/>
        <v>0.63400072354918691</v>
      </c>
      <c r="BJ87">
        <f t="shared" si="129"/>
        <v>0.85660202774216798</v>
      </c>
      <c r="BK87">
        <f t="shared" si="130"/>
        <v>48.39828199690254</v>
      </c>
      <c r="BL87">
        <f t="shared" si="131"/>
        <v>0.99781187369310298</v>
      </c>
      <c r="BM87">
        <f t="shared" si="132"/>
        <v>0.50641152010384516</v>
      </c>
      <c r="BN87">
        <f t="shared" si="133"/>
        <v>0.49358847989615484</v>
      </c>
      <c r="BO87">
        <v>2093</v>
      </c>
      <c r="BP87">
        <v>290.00000000000011</v>
      </c>
      <c r="BQ87">
        <v>929.96</v>
      </c>
      <c r="BR87">
        <v>215</v>
      </c>
      <c r="BS87">
        <v>10365.799999999999</v>
      </c>
      <c r="BT87">
        <v>927.88</v>
      </c>
      <c r="BU87">
        <v>2.08</v>
      </c>
      <c r="BV87">
        <v>300.00000000000011</v>
      </c>
      <c r="BW87">
        <v>38.4</v>
      </c>
      <c r="BX87">
        <v>998.93178876613956</v>
      </c>
      <c r="BY87">
        <v>1.0443835315934229</v>
      </c>
      <c r="BZ87">
        <v>-73.649764284600863</v>
      </c>
      <c r="CA87">
        <v>0.88615330329320219</v>
      </c>
      <c r="CB87">
        <v>0.99596283811458064</v>
      </c>
      <c r="CC87">
        <v>-1.1280674749721919E-2</v>
      </c>
      <c r="CD87">
        <v>289.99999999999989</v>
      </c>
      <c r="CE87">
        <v>922.82</v>
      </c>
      <c r="CF87">
        <v>705</v>
      </c>
      <c r="CG87">
        <v>10342.700000000001</v>
      </c>
      <c r="CH87">
        <v>927.72</v>
      </c>
      <c r="CI87">
        <v>-4.9000000000000004</v>
      </c>
      <c r="CW87">
        <f t="shared" si="134"/>
        <v>1799.98</v>
      </c>
      <c r="CX87">
        <f t="shared" si="135"/>
        <v>1513.168199822248</v>
      </c>
      <c r="CY87">
        <f t="shared" si="136"/>
        <v>0.84065834054947719</v>
      </c>
      <c r="CZ87">
        <f t="shared" si="137"/>
        <v>0.1913166810989545</v>
      </c>
      <c r="DA87">
        <v>6</v>
      </c>
      <c r="DB87">
        <v>0.5</v>
      </c>
      <c r="DC87" t="s">
        <v>418</v>
      </c>
      <c r="DD87">
        <v>2</v>
      </c>
      <c r="DE87">
        <v>1693340822.5</v>
      </c>
      <c r="DF87">
        <v>353.03800000000001</v>
      </c>
      <c r="DG87">
        <v>400.22199999999998</v>
      </c>
      <c r="DH87">
        <v>28.514199999999999</v>
      </c>
      <c r="DI87">
        <v>23.599599999999999</v>
      </c>
      <c r="DJ87">
        <v>351.06099999999998</v>
      </c>
      <c r="DK87">
        <v>27.710799999999999</v>
      </c>
      <c r="DL87">
        <v>499.95</v>
      </c>
      <c r="DM87">
        <v>98.857100000000003</v>
      </c>
      <c r="DN87">
        <v>9.9828899999999998E-2</v>
      </c>
      <c r="DO87">
        <v>30.2547</v>
      </c>
      <c r="DP87">
        <v>29.982099999999999</v>
      </c>
      <c r="DQ87">
        <v>999.9</v>
      </c>
      <c r="DR87">
        <v>0</v>
      </c>
      <c r="DS87">
        <v>0</v>
      </c>
      <c r="DT87">
        <v>10020</v>
      </c>
      <c r="DU87">
        <v>0</v>
      </c>
      <c r="DV87">
        <v>283.12700000000001</v>
      </c>
      <c r="DW87">
        <v>-47.183599999999998</v>
      </c>
      <c r="DX87">
        <v>363.4</v>
      </c>
      <c r="DY87">
        <v>409.89499999999998</v>
      </c>
      <c r="DZ87">
        <v>4.9145899999999996</v>
      </c>
      <c r="EA87">
        <v>400.22199999999998</v>
      </c>
      <c r="EB87">
        <v>23.599599999999999</v>
      </c>
      <c r="EC87">
        <v>2.8188300000000002</v>
      </c>
      <c r="ED87">
        <v>2.3329900000000001</v>
      </c>
      <c r="EE87">
        <v>22.994800000000001</v>
      </c>
      <c r="EF87">
        <v>19.905999999999999</v>
      </c>
      <c r="EG87">
        <v>1799.98</v>
      </c>
      <c r="EH87">
        <v>0.97799599999999998</v>
      </c>
      <c r="EI87">
        <v>2.2003999999999999E-2</v>
      </c>
      <c r="EJ87">
        <v>0</v>
      </c>
      <c r="EK87">
        <v>740.97299999999996</v>
      </c>
      <c r="EL87">
        <v>5.0002700000000004</v>
      </c>
      <c r="EM87">
        <v>13902.2</v>
      </c>
      <c r="EN87">
        <v>16248.4</v>
      </c>
      <c r="EO87">
        <v>47.375</v>
      </c>
      <c r="EP87">
        <v>48.5</v>
      </c>
      <c r="EQ87">
        <v>48.311999999999998</v>
      </c>
      <c r="ER87">
        <v>47.875</v>
      </c>
      <c r="ES87">
        <v>49.061999999999998</v>
      </c>
      <c r="ET87">
        <v>1755.48</v>
      </c>
      <c r="EU87">
        <v>39.5</v>
      </c>
      <c r="EV87">
        <v>0</v>
      </c>
      <c r="EW87">
        <v>1891.7999999523161</v>
      </c>
      <c r="EX87">
        <v>0</v>
      </c>
      <c r="EY87">
        <v>740.71483999999998</v>
      </c>
      <c r="EZ87">
        <v>1.091769244441783</v>
      </c>
      <c r="FA87">
        <v>-743.43845912610311</v>
      </c>
      <c r="FB87">
        <v>13872.98</v>
      </c>
      <c r="FC87">
        <v>15</v>
      </c>
      <c r="FD87">
        <v>1693340788.0999999</v>
      </c>
      <c r="FE87" t="s">
        <v>782</v>
      </c>
      <c r="FF87">
        <v>1693340778.5999999</v>
      </c>
      <c r="FG87">
        <v>1693340788.0999999</v>
      </c>
      <c r="FH87">
        <v>81</v>
      </c>
      <c r="FI87">
        <v>0.106</v>
      </c>
      <c r="FJ87">
        <v>2.4E-2</v>
      </c>
      <c r="FK87">
        <v>1.9810000000000001</v>
      </c>
      <c r="FL87">
        <v>0.52600000000000002</v>
      </c>
      <c r="FM87">
        <v>400</v>
      </c>
      <c r="FN87">
        <v>24</v>
      </c>
      <c r="FO87">
        <v>0.17</v>
      </c>
      <c r="FP87">
        <v>0.05</v>
      </c>
      <c r="FQ87">
        <v>37.622090758636809</v>
      </c>
      <c r="FR87">
        <v>-0.31491455535487889</v>
      </c>
      <c r="FS87">
        <v>9.3197272314493818E-2</v>
      </c>
      <c r="FT87">
        <v>1</v>
      </c>
      <c r="FU87">
        <v>0.29720462942222797</v>
      </c>
      <c r="FV87">
        <v>-2.4923959906614349E-2</v>
      </c>
      <c r="FW87">
        <v>1.9412147720254569E-3</v>
      </c>
      <c r="FX87">
        <v>1</v>
      </c>
      <c r="FY87">
        <v>2</v>
      </c>
      <c r="FZ87">
        <v>2</v>
      </c>
      <c r="GA87" t="s">
        <v>429</v>
      </c>
      <c r="GB87">
        <v>3.1341199999999998</v>
      </c>
      <c r="GC87">
        <v>2.8651599999999999</v>
      </c>
      <c r="GD87">
        <v>8.2772700000000005E-2</v>
      </c>
      <c r="GE87">
        <v>9.4125100000000003E-2</v>
      </c>
      <c r="GF87">
        <v>0.127526</v>
      </c>
      <c r="GG87">
        <v>0.116712</v>
      </c>
      <c r="GH87">
        <v>27627.4</v>
      </c>
      <c r="GI87">
        <v>21117.599999999999</v>
      </c>
      <c r="GJ87">
        <v>29051.9</v>
      </c>
      <c r="GK87">
        <v>21735</v>
      </c>
      <c r="GL87">
        <v>33982.199999999997</v>
      </c>
      <c r="GM87">
        <v>26437.9</v>
      </c>
      <c r="GN87">
        <v>40323.199999999997</v>
      </c>
      <c r="GO87">
        <v>30904.6</v>
      </c>
      <c r="GP87">
        <v>2.0070999999999999</v>
      </c>
      <c r="GQ87">
        <v>1.7889999999999999</v>
      </c>
      <c r="GR87">
        <v>2.3037200000000001E-2</v>
      </c>
      <c r="GS87">
        <v>0</v>
      </c>
      <c r="GT87">
        <v>29.607099999999999</v>
      </c>
      <c r="GU87">
        <v>999.9</v>
      </c>
      <c r="GV87">
        <v>45.8</v>
      </c>
      <c r="GW87">
        <v>36.799999999999997</v>
      </c>
      <c r="GX87">
        <v>28.8935</v>
      </c>
      <c r="GY87">
        <v>62.355800000000002</v>
      </c>
      <c r="GZ87">
        <v>11.722799999999999</v>
      </c>
      <c r="HA87">
        <v>1</v>
      </c>
      <c r="HB87">
        <v>0.46728700000000001</v>
      </c>
      <c r="HC87">
        <v>2.65428</v>
      </c>
      <c r="HD87">
        <v>20.260100000000001</v>
      </c>
      <c r="HE87">
        <v>5.23346</v>
      </c>
      <c r="HF87">
        <v>11.98</v>
      </c>
      <c r="HG87">
        <v>4.9749999999999996</v>
      </c>
      <c r="HH87">
        <v>3.2839999999999998</v>
      </c>
      <c r="HI87">
        <v>9999</v>
      </c>
      <c r="HJ87">
        <v>9999</v>
      </c>
      <c r="HK87">
        <v>9999</v>
      </c>
      <c r="HL87">
        <v>999.9</v>
      </c>
      <c r="HM87">
        <v>1.8614200000000001</v>
      </c>
      <c r="HN87">
        <v>1.8631</v>
      </c>
      <c r="HO87">
        <v>1.8684400000000001</v>
      </c>
      <c r="HP87">
        <v>1.8591299999999999</v>
      </c>
      <c r="HQ87">
        <v>1.8575299999999999</v>
      </c>
      <c r="HR87">
        <v>1.86124</v>
      </c>
      <c r="HS87">
        <v>1.8650800000000001</v>
      </c>
      <c r="HT87">
        <v>1.86714</v>
      </c>
      <c r="HU87">
        <v>5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1.9770000000000001</v>
      </c>
      <c r="II87">
        <v>0.8034</v>
      </c>
      <c r="IJ87">
        <v>1.7693223676237879</v>
      </c>
      <c r="IK87">
        <v>1.118558698776514E-3</v>
      </c>
      <c r="IL87">
        <v>-1.6939696309573479E-6</v>
      </c>
      <c r="IM87">
        <v>5.4698917449866148E-10</v>
      </c>
      <c r="IN87">
        <v>-8.5068751747380489E-2</v>
      </c>
      <c r="IO87">
        <v>-7.6058941998734366E-3</v>
      </c>
      <c r="IP87">
        <v>1.6984902717538061E-3</v>
      </c>
      <c r="IQ87">
        <v>-9.6352527008986976E-6</v>
      </c>
      <c r="IR87">
        <v>2</v>
      </c>
      <c r="IS87">
        <v>2021</v>
      </c>
      <c r="IT87">
        <v>2</v>
      </c>
      <c r="IU87">
        <v>40</v>
      </c>
      <c r="IV87">
        <v>0.7</v>
      </c>
      <c r="IW87">
        <v>0.6</v>
      </c>
      <c r="IX87">
        <v>1.02783</v>
      </c>
      <c r="IY87">
        <v>2.5134300000000001</v>
      </c>
      <c r="IZ87">
        <v>1.34399</v>
      </c>
      <c r="JA87">
        <v>2.2399900000000001</v>
      </c>
      <c r="JB87">
        <v>1.5918000000000001</v>
      </c>
      <c r="JC87">
        <v>2.4316399999999998</v>
      </c>
      <c r="JD87">
        <v>41.534399999999998</v>
      </c>
      <c r="JE87">
        <v>23.8248</v>
      </c>
      <c r="JF87">
        <v>18</v>
      </c>
      <c r="JG87">
        <v>509.97300000000001</v>
      </c>
      <c r="JH87">
        <v>414.94799999999998</v>
      </c>
      <c r="JI87">
        <v>26.155100000000001</v>
      </c>
      <c r="JJ87">
        <v>33.338299999999997</v>
      </c>
      <c r="JK87">
        <v>30.0001</v>
      </c>
      <c r="JL87">
        <v>33.252699999999997</v>
      </c>
      <c r="JM87">
        <v>33.210599999999999</v>
      </c>
      <c r="JN87">
        <v>20.648800000000001</v>
      </c>
      <c r="JO87">
        <v>24.873100000000001</v>
      </c>
      <c r="JP87">
        <v>35.768500000000003</v>
      </c>
      <c r="JQ87">
        <v>26.165099999999999</v>
      </c>
      <c r="JR87">
        <v>400</v>
      </c>
      <c r="JS87">
        <v>23.5593</v>
      </c>
      <c r="JT87">
        <v>99.061199999999999</v>
      </c>
      <c r="JU87">
        <v>97.611199999999997</v>
      </c>
    </row>
    <row r="88" spans="1:281" x14ac:dyDescent="0.25">
      <c r="A88">
        <v>72</v>
      </c>
      <c r="B88">
        <v>1693340922</v>
      </c>
      <c r="C88">
        <v>19160.5</v>
      </c>
      <c r="D88" t="s">
        <v>783</v>
      </c>
      <c r="E88" t="s">
        <v>784</v>
      </c>
      <c r="F88" t="s">
        <v>413</v>
      </c>
      <c r="G88" t="s">
        <v>492</v>
      </c>
      <c r="H88" t="s">
        <v>779</v>
      </c>
      <c r="I88" t="s">
        <v>493</v>
      </c>
      <c r="J88">
        <v>1693340922</v>
      </c>
      <c r="K88">
        <f t="shared" si="92"/>
        <v>4.3062312967112534E-3</v>
      </c>
      <c r="L88">
        <f t="shared" si="93"/>
        <v>4.3062312967112533</v>
      </c>
      <c r="M88">
        <f t="shared" si="94"/>
        <v>29.539286537971595</v>
      </c>
      <c r="N88">
        <f t="shared" si="95"/>
        <v>263.036</v>
      </c>
      <c r="O88">
        <f t="shared" si="96"/>
        <v>96.436946950946378</v>
      </c>
      <c r="P88">
        <f t="shared" si="97"/>
        <v>9.5426480620794347</v>
      </c>
      <c r="Q88">
        <f t="shared" si="98"/>
        <v>26.027990879199997</v>
      </c>
      <c r="R88">
        <f t="shared" si="99"/>
        <v>0.30557195376882135</v>
      </c>
      <c r="S88">
        <f t="shared" si="100"/>
        <v>2.9180578469408975</v>
      </c>
      <c r="T88">
        <f t="shared" si="101"/>
        <v>0.28884283689818507</v>
      </c>
      <c r="U88">
        <f t="shared" si="102"/>
        <v>0.18195345537940552</v>
      </c>
      <c r="V88">
        <f t="shared" si="103"/>
        <v>344.35859964448821</v>
      </c>
      <c r="W88">
        <f t="shared" si="104"/>
        <v>31.15612134903397</v>
      </c>
      <c r="X88">
        <f t="shared" si="105"/>
        <v>29.980699999999999</v>
      </c>
      <c r="Y88">
        <f t="shared" si="106"/>
        <v>4.2557290201808513</v>
      </c>
      <c r="Z88">
        <f t="shared" si="107"/>
        <v>65.578532545695438</v>
      </c>
      <c r="AA88">
        <f t="shared" si="108"/>
        <v>2.8333379234799998</v>
      </c>
      <c r="AB88">
        <f t="shared" si="109"/>
        <v>4.3205265709563054</v>
      </c>
      <c r="AC88">
        <f t="shared" si="110"/>
        <v>1.4223910967008515</v>
      </c>
      <c r="AD88">
        <f t="shared" si="111"/>
        <v>-189.90480018496626</v>
      </c>
      <c r="AE88">
        <f t="shared" si="112"/>
        <v>41.421917511838465</v>
      </c>
      <c r="AF88">
        <f t="shared" si="113"/>
        <v>3.1597919405293431</v>
      </c>
      <c r="AG88">
        <f t="shared" si="114"/>
        <v>199.03550891188974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51958.832230736814</v>
      </c>
      <c r="AM88" t="s">
        <v>415</v>
      </c>
      <c r="AN88">
        <v>10366.9</v>
      </c>
      <c r="AO88">
        <v>993.59653846153856</v>
      </c>
      <c r="AP88">
        <v>3431.87</v>
      </c>
      <c r="AQ88">
        <f t="shared" si="118"/>
        <v>0.71047955241266758</v>
      </c>
      <c r="AR88">
        <v>-3.9894345373445681</v>
      </c>
      <c r="AS88" t="s">
        <v>785</v>
      </c>
      <c r="AT88">
        <v>10361.1</v>
      </c>
      <c r="AU88">
        <v>727.75043999999991</v>
      </c>
      <c r="AV88">
        <v>932.3490648167699</v>
      </c>
      <c r="AW88">
        <f t="shared" si="119"/>
        <v>0.21944423235623534</v>
      </c>
      <c r="AX88">
        <v>0.5</v>
      </c>
      <c r="AY88">
        <f t="shared" si="120"/>
        <v>1513.1345998222441</v>
      </c>
      <c r="AZ88">
        <f t="shared" si="121"/>
        <v>29.539286537971595</v>
      </c>
      <c r="BA88">
        <f t="shared" si="122"/>
        <v>166.02433035482585</v>
      </c>
      <c r="BB88">
        <f t="shared" si="123"/>
        <v>2.2158452446500766E-2</v>
      </c>
      <c r="BC88">
        <f t="shared" si="124"/>
        <v>2.6808853352305864</v>
      </c>
      <c r="BD88">
        <f t="shared" si="125"/>
        <v>559.40361041256449</v>
      </c>
      <c r="BE88" t="s">
        <v>786</v>
      </c>
      <c r="BF88">
        <v>582.26</v>
      </c>
      <c r="BG88">
        <f t="shared" si="126"/>
        <v>582.26</v>
      </c>
      <c r="BH88">
        <f t="shared" si="127"/>
        <v>0.37549140984613016</v>
      </c>
      <c r="BI88">
        <f t="shared" si="128"/>
        <v>0.58441878190012331</v>
      </c>
      <c r="BJ88">
        <f t="shared" si="129"/>
        <v>0.87714491989543486</v>
      </c>
      <c r="BK88">
        <f t="shared" si="130"/>
        <v>-3.3405234965841792</v>
      </c>
      <c r="BL88">
        <f t="shared" si="131"/>
        <v>1.0251191979123309</v>
      </c>
      <c r="BM88">
        <f t="shared" si="132"/>
        <v>0.46758292574741117</v>
      </c>
      <c r="BN88">
        <f t="shared" si="133"/>
        <v>0.53241707425258888</v>
      </c>
      <c r="BO88">
        <v>2095</v>
      </c>
      <c r="BP88">
        <v>290.00000000000011</v>
      </c>
      <c r="BQ88">
        <v>877.51</v>
      </c>
      <c r="BR88">
        <v>245</v>
      </c>
      <c r="BS88">
        <v>10361.1</v>
      </c>
      <c r="BT88">
        <v>876.27</v>
      </c>
      <c r="BU88">
        <v>1.24</v>
      </c>
      <c r="BV88">
        <v>300.00000000000011</v>
      </c>
      <c r="BW88">
        <v>38.4</v>
      </c>
      <c r="BX88">
        <v>932.3490648167699</v>
      </c>
      <c r="BY88">
        <v>0.9564858083747465</v>
      </c>
      <c r="BZ88">
        <v>-58.100136244028917</v>
      </c>
      <c r="CA88">
        <v>0.81153229354689838</v>
      </c>
      <c r="CB88">
        <v>0.99456687952480038</v>
      </c>
      <c r="CC88">
        <v>-1.127984004449388E-2</v>
      </c>
      <c r="CD88">
        <v>289.99999999999989</v>
      </c>
      <c r="CE88">
        <v>873.63</v>
      </c>
      <c r="CF88">
        <v>675</v>
      </c>
      <c r="CG88">
        <v>10344.700000000001</v>
      </c>
      <c r="CH88">
        <v>876.18</v>
      </c>
      <c r="CI88">
        <v>-2.5499999999999998</v>
      </c>
      <c r="CW88">
        <f t="shared" si="134"/>
        <v>1799.94</v>
      </c>
      <c r="CX88">
        <f t="shared" si="135"/>
        <v>1513.1345998222441</v>
      </c>
      <c r="CY88">
        <f t="shared" si="136"/>
        <v>0.84065835517975274</v>
      </c>
      <c r="CZ88">
        <f t="shared" si="137"/>
        <v>0.19131671035950543</v>
      </c>
      <c r="DA88">
        <v>6</v>
      </c>
      <c r="DB88">
        <v>0.5</v>
      </c>
      <c r="DC88" t="s">
        <v>418</v>
      </c>
      <c r="DD88">
        <v>2</v>
      </c>
      <c r="DE88">
        <v>1693340922</v>
      </c>
      <c r="DF88">
        <v>263.036</v>
      </c>
      <c r="DG88">
        <v>299.83199999999999</v>
      </c>
      <c r="DH88">
        <v>28.633400000000002</v>
      </c>
      <c r="DI88">
        <v>23.615300000000001</v>
      </c>
      <c r="DJ88">
        <v>261.22699999999998</v>
      </c>
      <c r="DK88">
        <v>27.8248</v>
      </c>
      <c r="DL88">
        <v>500.14100000000002</v>
      </c>
      <c r="DM88">
        <v>98.852099999999993</v>
      </c>
      <c r="DN88">
        <v>0.10009999999999999</v>
      </c>
      <c r="DO88">
        <v>30.244</v>
      </c>
      <c r="DP88">
        <v>29.980699999999999</v>
      </c>
      <c r="DQ88">
        <v>999.9</v>
      </c>
      <c r="DR88">
        <v>0</v>
      </c>
      <c r="DS88">
        <v>0</v>
      </c>
      <c r="DT88">
        <v>10050</v>
      </c>
      <c r="DU88">
        <v>0</v>
      </c>
      <c r="DV88">
        <v>285.93200000000002</v>
      </c>
      <c r="DW88">
        <v>-36.7958</v>
      </c>
      <c r="DX88">
        <v>270.79000000000002</v>
      </c>
      <c r="DY88">
        <v>307.084</v>
      </c>
      <c r="DZ88">
        <v>5.0181699999999996</v>
      </c>
      <c r="EA88">
        <v>299.83199999999999</v>
      </c>
      <c r="EB88">
        <v>23.615300000000001</v>
      </c>
      <c r="EC88">
        <v>2.83047</v>
      </c>
      <c r="ED88">
        <v>2.3344200000000002</v>
      </c>
      <c r="EE88">
        <v>23.062899999999999</v>
      </c>
      <c r="EF88">
        <v>19.915900000000001</v>
      </c>
      <c r="EG88">
        <v>1799.94</v>
      </c>
      <c r="EH88">
        <v>0.97799599999999998</v>
      </c>
      <c r="EI88">
        <v>2.2003999999999999E-2</v>
      </c>
      <c r="EJ88">
        <v>0</v>
      </c>
      <c r="EK88">
        <v>727.21</v>
      </c>
      <c r="EL88">
        <v>5.0002700000000004</v>
      </c>
      <c r="EM88">
        <v>13622.7</v>
      </c>
      <c r="EN88">
        <v>16248.1</v>
      </c>
      <c r="EO88">
        <v>47.375</v>
      </c>
      <c r="EP88">
        <v>48.436999999999998</v>
      </c>
      <c r="EQ88">
        <v>48.311999999999998</v>
      </c>
      <c r="ER88">
        <v>47.811999999999998</v>
      </c>
      <c r="ES88">
        <v>49.061999999999998</v>
      </c>
      <c r="ET88">
        <v>1755.44</v>
      </c>
      <c r="EU88">
        <v>39.5</v>
      </c>
      <c r="EV88">
        <v>0</v>
      </c>
      <c r="EW88">
        <v>97.199999809265137</v>
      </c>
      <c r="EX88">
        <v>0</v>
      </c>
      <c r="EY88">
        <v>727.75043999999991</v>
      </c>
      <c r="EZ88">
        <v>-3.707307705246242</v>
      </c>
      <c r="FA88">
        <v>-560.49230844573412</v>
      </c>
      <c r="FB88">
        <v>13727.843999999999</v>
      </c>
      <c r="FC88">
        <v>15</v>
      </c>
      <c r="FD88">
        <v>1693340893.5</v>
      </c>
      <c r="FE88" t="s">
        <v>787</v>
      </c>
      <c r="FF88">
        <v>1693340893.5</v>
      </c>
      <c r="FG88">
        <v>1693340890.5</v>
      </c>
      <c r="FH88">
        <v>82</v>
      </c>
      <c r="FI88">
        <v>-0.14599999999999999</v>
      </c>
      <c r="FJ88">
        <v>-2E-3</v>
      </c>
      <c r="FK88">
        <v>1.82</v>
      </c>
      <c r="FL88">
        <v>0.51900000000000002</v>
      </c>
      <c r="FM88">
        <v>300</v>
      </c>
      <c r="FN88">
        <v>24</v>
      </c>
      <c r="FO88">
        <v>0.16</v>
      </c>
      <c r="FP88">
        <v>0.05</v>
      </c>
      <c r="FQ88">
        <v>29.665313881618509</v>
      </c>
      <c r="FR88">
        <v>0.42643793459402601</v>
      </c>
      <c r="FS88">
        <v>7.5515997242179361E-2</v>
      </c>
      <c r="FT88">
        <v>1</v>
      </c>
      <c r="FU88">
        <v>0.29991195047504571</v>
      </c>
      <c r="FV88">
        <v>4.3636864475449483E-2</v>
      </c>
      <c r="FW88">
        <v>3.5747923860679248E-3</v>
      </c>
      <c r="FX88">
        <v>1</v>
      </c>
      <c r="FY88">
        <v>2</v>
      </c>
      <c r="FZ88">
        <v>2</v>
      </c>
      <c r="GA88" t="s">
        <v>429</v>
      </c>
      <c r="GB88">
        <v>3.13435</v>
      </c>
      <c r="GC88">
        <v>2.8656899999999998</v>
      </c>
      <c r="GD88">
        <v>6.4940999999999999E-2</v>
      </c>
      <c r="GE88">
        <v>7.4824600000000005E-2</v>
      </c>
      <c r="GF88">
        <v>0.127887</v>
      </c>
      <c r="GG88">
        <v>0.116761</v>
      </c>
      <c r="GH88">
        <v>28161.8</v>
      </c>
      <c r="GI88">
        <v>21567.4</v>
      </c>
      <c r="GJ88">
        <v>29049.1</v>
      </c>
      <c r="GK88">
        <v>21734.7</v>
      </c>
      <c r="GL88">
        <v>33962.400000000001</v>
      </c>
      <c r="GM88">
        <v>26436.2</v>
      </c>
      <c r="GN88">
        <v>40318.699999999997</v>
      </c>
      <c r="GO88">
        <v>30906.2</v>
      </c>
      <c r="GP88">
        <v>2.0068999999999999</v>
      </c>
      <c r="GQ88">
        <v>1.7886</v>
      </c>
      <c r="GR88">
        <v>2.3558699999999998E-2</v>
      </c>
      <c r="GS88">
        <v>0</v>
      </c>
      <c r="GT88">
        <v>29.597200000000001</v>
      </c>
      <c r="GU88">
        <v>999.9</v>
      </c>
      <c r="GV88">
        <v>45.7</v>
      </c>
      <c r="GW88">
        <v>36.799999999999997</v>
      </c>
      <c r="GX88">
        <v>28.829499999999999</v>
      </c>
      <c r="GY88">
        <v>61.835799999999999</v>
      </c>
      <c r="GZ88">
        <v>12.1234</v>
      </c>
      <c r="HA88">
        <v>1</v>
      </c>
      <c r="HB88">
        <v>0.46678900000000001</v>
      </c>
      <c r="HC88">
        <v>2.2711700000000001</v>
      </c>
      <c r="HD88">
        <v>20.266500000000001</v>
      </c>
      <c r="HE88">
        <v>5.2340600000000004</v>
      </c>
      <c r="HF88">
        <v>11.98</v>
      </c>
      <c r="HG88">
        <v>4.9749999999999996</v>
      </c>
      <c r="HH88">
        <v>3.2839999999999998</v>
      </c>
      <c r="HI88">
        <v>9999</v>
      </c>
      <c r="HJ88">
        <v>9999</v>
      </c>
      <c r="HK88">
        <v>9999</v>
      </c>
      <c r="HL88">
        <v>999.9</v>
      </c>
      <c r="HM88">
        <v>1.8614999999999999</v>
      </c>
      <c r="HN88">
        <v>1.8631</v>
      </c>
      <c r="HO88">
        <v>1.86846</v>
      </c>
      <c r="HP88">
        <v>1.8591299999999999</v>
      </c>
      <c r="HQ88">
        <v>1.8575699999999999</v>
      </c>
      <c r="HR88">
        <v>1.86127</v>
      </c>
      <c r="HS88">
        <v>1.8650800000000001</v>
      </c>
      <c r="HT88">
        <v>1.8672200000000001</v>
      </c>
      <c r="HU88">
        <v>5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1.8089999999999999</v>
      </c>
      <c r="II88">
        <v>0.80859999999999999</v>
      </c>
      <c r="IJ88">
        <v>1.622614389821261</v>
      </c>
      <c r="IK88">
        <v>1.118558698776514E-3</v>
      </c>
      <c r="IL88">
        <v>-1.6939696309573479E-6</v>
      </c>
      <c r="IM88">
        <v>5.4698917449866148E-10</v>
      </c>
      <c r="IN88">
        <v>-8.7150832405306078E-2</v>
      </c>
      <c r="IO88">
        <v>-7.6058941998734366E-3</v>
      </c>
      <c r="IP88">
        <v>1.6984902717538061E-3</v>
      </c>
      <c r="IQ88">
        <v>-9.6352527008986976E-6</v>
      </c>
      <c r="IR88">
        <v>2</v>
      </c>
      <c r="IS88">
        <v>2021</v>
      </c>
      <c r="IT88">
        <v>2</v>
      </c>
      <c r="IU88">
        <v>40</v>
      </c>
      <c r="IV88">
        <v>0.5</v>
      </c>
      <c r="IW88">
        <v>0.5</v>
      </c>
      <c r="IX88">
        <v>0.81664999999999999</v>
      </c>
      <c r="IY88">
        <v>2.50488</v>
      </c>
      <c r="IZ88">
        <v>1.34399</v>
      </c>
      <c r="JA88">
        <v>2.2399900000000001</v>
      </c>
      <c r="JB88">
        <v>1.5918000000000001</v>
      </c>
      <c r="JC88">
        <v>2.3767100000000001</v>
      </c>
      <c r="JD88">
        <v>41.612699999999997</v>
      </c>
      <c r="JE88">
        <v>23.833600000000001</v>
      </c>
      <c r="JF88">
        <v>18</v>
      </c>
      <c r="JG88">
        <v>509.84</v>
      </c>
      <c r="JH88">
        <v>414.654</v>
      </c>
      <c r="JI88">
        <v>26.182300000000001</v>
      </c>
      <c r="JJ88">
        <v>33.341299999999997</v>
      </c>
      <c r="JK88">
        <v>29.9986</v>
      </c>
      <c r="JL88">
        <v>33.252699999999997</v>
      </c>
      <c r="JM88">
        <v>33.204700000000003</v>
      </c>
      <c r="JN88">
        <v>16.443100000000001</v>
      </c>
      <c r="JO88">
        <v>24.5687</v>
      </c>
      <c r="JP88">
        <v>35.750399999999999</v>
      </c>
      <c r="JQ88">
        <v>26.199400000000001</v>
      </c>
      <c r="JR88">
        <v>300</v>
      </c>
      <c r="JS88">
        <v>23.556699999999999</v>
      </c>
      <c r="JT88">
        <v>99.050799999999995</v>
      </c>
      <c r="JU88">
        <v>97.613699999999994</v>
      </c>
    </row>
    <row r="89" spans="1:281" x14ac:dyDescent="0.25">
      <c r="A89">
        <v>73</v>
      </c>
      <c r="B89">
        <v>1693341043.5</v>
      </c>
      <c r="C89">
        <v>19282</v>
      </c>
      <c r="D89" t="s">
        <v>788</v>
      </c>
      <c r="E89" t="s">
        <v>789</v>
      </c>
      <c r="F89" t="s">
        <v>413</v>
      </c>
      <c r="G89" t="s">
        <v>492</v>
      </c>
      <c r="H89" t="s">
        <v>779</v>
      </c>
      <c r="I89" t="s">
        <v>493</v>
      </c>
      <c r="J89">
        <v>1693341043.5</v>
      </c>
      <c r="K89">
        <f t="shared" si="92"/>
        <v>4.6795111959190847E-3</v>
      </c>
      <c r="L89">
        <f t="shared" si="93"/>
        <v>4.6795111959190843</v>
      </c>
      <c r="M89">
        <f t="shared" si="94"/>
        <v>21.297863688343643</v>
      </c>
      <c r="N89">
        <f t="shared" si="95"/>
        <v>173.60400000000001</v>
      </c>
      <c r="O89">
        <f t="shared" si="96"/>
        <v>63.34784849640841</v>
      </c>
      <c r="P89">
        <f t="shared" si="97"/>
        <v>6.2685428533293166</v>
      </c>
      <c r="Q89">
        <f t="shared" si="98"/>
        <v>17.178864623493602</v>
      </c>
      <c r="R89">
        <f t="shared" si="99"/>
        <v>0.33442107635773544</v>
      </c>
      <c r="S89">
        <f t="shared" si="100"/>
        <v>2.9023748544562489</v>
      </c>
      <c r="T89">
        <f t="shared" si="101"/>
        <v>0.31439384971623374</v>
      </c>
      <c r="U89">
        <f t="shared" si="102"/>
        <v>0.19819550024470184</v>
      </c>
      <c r="V89">
        <f t="shared" si="103"/>
        <v>344.3832996445139</v>
      </c>
      <c r="W89">
        <f t="shared" si="104"/>
        <v>31.156489625825024</v>
      </c>
      <c r="X89">
        <f t="shared" si="105"/>
        <v>30.011700000000001</v>
      </c>
      <c r="Y89">
        <f t="shared" si="106"/>
        <v>4.2633137969128736</v>
      </c>
      <c r="Z89">
        <f t="shared" si="107"/>
        <v>65.458749572746726</v>
      </c>
      <c r="AA89">
        <f t="shared" si="108"/>
        <v>2.8433433458042598</v>
      </c>
      <c r="AB89">
        <f t="shared" si="109"/>
        <v>4.3437177831274454</v>
      </c>
      <c r="AC89">
        <f t="shared" si="110"/>
        <v>1.4199704511086138</v>
      </c>
      <c r="AD89">
        <f t="shared" si="111"/>
        <v>-206.36644374003163</v>
      </c>
      <c r="AE89">
        <f t="shared" si="112"/>
        <v>50.963201758076764</v>
      </c>
      <c r="AF89">
        <f t="shared" si="113"/>
        <v>3.9110445226355961</v>
      </c>
      <c r="AG89">
        <f t="shared" si="114"/>
        <v>192.89110218519465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51497.857144292648</v>
      </c>
      <c r="AM89" t="s">
        <v>415</v>
      </c>
      <c r="AN89">
        <v>10366.9</v>
      </c>
      <c r="AO89">
        <v>993.59653846153856</v>
      </c>
      <c r="AP89">
        <v>3431.87</v>
      </c>
      <c r="AQ89">
        <f t="shared" si="118"/>
        <v>0.71047955241266758</v>
      </c>
      <c r="AR89">
        <v>-3.9894345373445681</v>
      </c>
      <c r="AS89" t="s">
        <v>790</v>
      </c>
      <c r="AT89">
        <v>10381</v>
      </c>
      <c r="AU89">
        <v>728.87642307692306</v>
      </c>
      <c r="AV89">
        <v>879.81873475341365</v>
      </c>
      <c r="AW89">
        <f t="shared" si="119"/>
        <v>0.1715606928042912</v>
      </c>
      <c r="AX89">
        <v>0.5</v>
      </c>
      <c r="AY89">
        <f t="shared" si="120"/>
        <v>1513.2437998222567</v>
      </c>
      <c r="AZ89">
        <f t="shared" si="121"/>
        <v>21.297863688343643</v>
      </c>
      <c r="BA89">
        <f t="shared" si="122"/>
        <v>129.80657733965225</v>
      </c>
      <c r="BB89">
        <f t="shared" si="123"/>
        <v>1.6710657085565735E-2</v>
      </c>
      <c r="BC89">
        <f t="shared" si="124"/>
        <v>2.9006557424147696</v>
      </c>
      <c r="BD89">
        <f t="shared" si="125"/>
        <v>540.05707040773007</v>
      </c>
      <c r="BE89" t="s">
        <v>791</v>
      </c>
      <c r="BF89">
        <v>576.51</v>
      </c>
      <c r="BG89">
        <f t="shared" si="126"/>
        <v>576.51</v>
      </c>
      <c r="BH89">
        <f t="shared" si="127"/>
        <v>0.34474002743124332</v>
      </c>
      <c r="BI89">
        <f t="shared" si="128"/>
        <v>0.49765237324670147</v>
      </c>
      <c r="BJ89">
        <f t="shared" si="129"/>
        <v>0.89377565884742616</v>
      </c>
      <c r="BK89">
        <f t="shared" si="130"/>
        <v>-1.3266411088730812</v>
      </c>
      <c r="BL89">
        <f t="shared" si="131"/>
        <v>1.0466632662426367</v>
      </c>
      <c r="BM89">
        <f t="shared" si="132"/>
        <v>0.39362169033992378</v>
      </c>
      <c r="BN89">
        <f t="shared" si="133"/>
        <v>0.60637830966007622</v>
      </c>
      <c r="BO89">
        <v>2097</v>
      </c>
      <c r="BP89">
        <v>290.00000000000011</v>
      </c>
      <c r="BQ89">
        <v>837.82</v>
      </c>
      <c r="BR89">
        <v>125</v>
      </c>
      <c r="BS89">
        <v>10381</v>
      </c>
      <c r="BT89">
        <v>838.12</v>
      </c>
      <c r="BU89">
        <v>-0.3</v>
      </c>
      <c r="BV89">
        <v>300.00000000000011</v>
      </c>
      <c r="BW89">
        <v>38.4</v>
      </c>
      <c r="BX89">
        <v>879.81873475341365</v>
      </c>
      <c r="BY89">
        <v>1.091229043774693</v>
      </c>
      <c r="BZ89">
        <v>-43.28738981134871</v>
      </c>
      <c r="CA89">
        <v>0.92589106592723447</v>
      </c>
      <c r="CB89">
        <v>0.98735185123361424</v>
      </c>
      <c r="CC89">
        <v>-1.1280150834260301E-2</v>
      </c>
      <c r="CD89">
        <v>289.99999999999989</v>
      </c>
      <c r="CE89">
        <v>836.06</v>
      </c>
      <c r="CF89">
        <v>755</v>
      </c>
      <c r="CG89">
        <v>10338.799999999999</v>
      </c>
      <c r="CH89">
        <v>837.95</v>
      </c>
      <c r="CI89">
        <v>-1.89</v>
      </c>
      <c r="CW89">
        <f t="shared" si="134"/>
        <v>1800.07</v>
      </c>
      <c r="CX89">
        <f t="shared" si="135"/>
        <v>1513.2437998222567</v>
      </c>
      <c r="CY89">
        <f t="shared" si="136"/>
        <v>0.84065830763373472</v>
      </c>
      <c r="CZ89">
        <f t="shared" si="137"/>
        <v>0.19131661526746954</v>
      </c>
      <c r="DA89">
        <v>6</v>
      </c>
      <c r="DB89">
        <v>0.5</v>
      </c>
      <c r="DC89" t="s">
        <v>418</v>
      </c>
      <c r="DD89">
        <v>2</v>
      </c>
      <c r="DE89">
        <v>1693341043.5</v>
      </c>
      <c r="DF89">
        <v>173.60400000000001</v>
      </c>
      <c r="DG89">
        <v>200.11799999999999</v>
      </c>
      <c r="DH89">
        <v>28.733899999999998</v>
      </c>
      <c r="DI89">
        <v>23.2836</v>
      </c>
      <c r="DJ89">
        <v>172.054</v>
      </c>
      <c r="DK89">
        <v>27.9163</v>
      </c>
      <c r="DL89">
        <v>500.34500000000003</v>
      </c>
      <c r="DM89">
        <v>98.854399999999998</v>
      </c>
      <c r="DN89">
        <v>9.9913399999999999E-2</v>
      </c>
      <c r="DO89">
        <v>30.337399999999999</v>
      </c>
      <c r="DP89">
        <v>30.011700000000001</v>
      </c>
      <c r="DQ89">
        <v>999.9</v>
      </c>
      <c r="DR89">
        <v>0</v>
      </c>
      <c r="DS89">
        <v>0</v>
      </c>
      <c r="DT89">
        <v>9960</v>
      </c>
      <c r="DU89">
        <v>0</v>
      </c>
      <c r="DV89">
        <v>297.87900000000002</v>
      </c>
      <c r="DW89">
        <v>-26.5139</v>
      </c>
      <c r="DX89">
        <v>178.74</v>
      </c>
      <c r="DY89">
        <v>204.88900000000001</v>
      </c>
      <c r="DZ89">
        <v>5.4503199999999996</v>
      </c>
      <c r="EA89">
        <v>200.11799999999999</v>
      </c>
      <c r="EB89">
        <v>23.2836</v>
      </c>
      <c r="EC89">
        <v>2.8404799999999999</v>
      </c>
      <c r="ED89">
        <v>2.3016899999999998</v>
      </c>
      <c r="EE89">
        <v>23.121200000000002</v>
      </c>
      <c r="EF89">
        <v>19.688199999999998</v>
      </c>
      <c r="EG89">
        <v>1800.07</v>
      </c>
      <c r="EH89">
        <v>0.97799599999999998</v>
      </c>
      <c r="EI89">
        <v>2.2003999999999999E-2</v>
      </c>
      <c r="EJ89">
        <v>0</v>
      </c>
      <c r="EK89">
        <v>728.54600000000005</v>
      </c>
      <c r="EL89">
        <v>5.0002700000000004</v>
      </c>
      <c r="EM89">
        <v>13756.3</v>
      </c>
      <c r="EN89">
        <v>16249.3</v>
      </c>
      <c r="EO89">
        <v>47.186999999999998</v>
      </c>
      <c r="EP89">
        <v>48.186999999999998</v>
      </c>
      <c r="EQ89">
        <v>48.186999999999998</v>
      </c>
      <c r="ER89">
        <v>47.625</v>
      </c>
      <c r="ES89">
        <v>48.875</v>
      </c>
      <c r="ET89">
        <v>1755.57</v>
      </c>
      <c r="EU89">
        <v>39.5</v>
      </c>
      <c r="EV89">
        <v>0</v>
      </c>
      <c r="EW89">
        <v>119.4000000953674</v>
      </c>
      <c r="EX89">
        <v>0</v>
      </c>
      <c r="EY89">
        <v>728.87642307692306</v>
      </c>
      <c r="EZ89">
        <v>-2.42813676120385</v>
      </c>
      <c r="FA89">
        <v>-32.786324854694733</v>
      </c>
      <c r="FB89">
        <v>13757.784615384609</v>
      </c>
      <c r="FC89">
        <v>15</v>
      </c>
      <c r="FD89">
        <v>1693341014</v>
      </c>
      <c r="FE89" t="s">
        <v>792</v>
      </c>
      <c r="FF89">
        <v>1693341001.5</v>
      </c>
      <c r="FG89">
        <v>1693341014</v>
      </c>
      <c r="FH89">
        <v>83</v>
      </c>
      <c r="FI89">
        <v>-0.218</v>
      </c>
      <c r="FJ89">
        <v>3.0000000000000001E-3</v>
      </c>
      <c r="FK89">
        <v>1.5640000000000001</v>
      </c>
      <c r="FL89">
        <v>0.50800000000000001</v>
      </c>
      <c r="FM89">
        <v>200</v>
      </c>
      <c r="FN89">
        <v>23</v>
      </c>
      <c r="FO89">
        <v>0.18</v>
      </c>
      <c r="FP89">
        <v>0.05</v>
      </c>
      <c r="FQ89">
        <v>21.031384704694439</v>
      </c>
      <c r="FR89">
        <v>0.65840791784459851</v>
      </c>
      <c r="FS89">
        <v>9.5746379234346909E-2</v>
      </c>
      <c r="FT89">
        <v>1</v>
      </c>
      <c r="FU89">
        <v>0.32985399849549091</v>
      </c>
      <c r="FV89">
        <v>3.9524339146434273E-2</v>
      </c>
      <c r="FW89">
        <v>3.153706552685548E-3</v>
      </c>
      <c r="FX89">
        <v>1</v>
      </c>
      <c r="FY89">
        <v>2</v>
      </c>
      <c r="FZ89">
        <v>2</v>
      </c>
      <c r="GA89" t="s">
        <v>429</v>
      </c>
      <c r="GB89">
        <v>3.1345000000000001</v>
      </c>
      <c r="GC89">
        <v>2.8647200000000002</v>
      </c>
      <c r="GD89">
        <v>4.5022399999999997E-2</v>
      </c>
      <c r="GE89">
        <v>5.3021899999999997E-2</v>
      </c>
      <c r="GF89">
        <v>0.12820100000000001</v>
      </c>
      <c r="GG89">
        <v>0.115633</v>
      </c>
      <c r="GH89">
        <v>28765.5</v>
      </c>
      <c r="GI89">
        <v>22079.7</v>
      </c>
      <c r="GJ89">
        <v>29052.6</v>
      </c>
      <c r="GK89">
        <v>21738.5</v>
      </c>
      <c r="GL89">
        <v>33951.9</v>
      </c>
      <c r="GM89">
        <v>26471.3</v>
      </c>
      <c r="GN89">
        <v>40324.199999999997</v>
      </c>
      <c r="GO89">
        <v>30909.9</v>
      </c>
      <c r="GP89">
        <v>2.0078999999999998</v>
      </c>
      <c r="GQ89">
        <v>1.7885</v>
      </c>
      <c r="GR89">
        <v>4.0292700000000001E-2</v>
      </c>
      <c r="GS89">
        <v>0</v>
      </c>
      <c r="GT89">
        <v>29.355699999999999</v>
      </c>
      <c r="GU89">
        <v>999.9</v>
      </c>
      <c r="GV89">
        <v>45.6</v>
      </c>
      <c r="GW89">
        <v>36.799999999999997</v>
      </c>
      <c r="GX89">
        <v>28.768599999999999</v>
      </c>
      <c r="GY89">
        <v>62.005800000000001</v>
      </c>
      <c r="GZ89">
        <v>11.710699999999999</v>
      </c>
      <c r="HA89">
        <v>1</v>
      </c>
      <c r="HB89">
        <v>0.46199200000000001</v>
      </c>
      <c r="HC89">
        <v>2.5030899999999998</v>
      </c>
      <c r="HD89">
        <v>20.2605</v>
      </c>
      <c r="HE89">
        <v>5.2274700000000003</v>
      </c>
      <c r="HF89">
        <v>11.98</v>
      </c>
      <c r="HG89">
        <v>4.9728000000000003</v>
      </c>
      <c r="HH89">
        <v>3.2825000000000002</v>
      </c>
      <c r="HI89">
        <v>9999</v>
      </c>
      <c r="HJ89">
        <v>9999</v>
      </c>
      <c r="HK89">
        <v>9999</v>
      </c>
      <c r="HL89">
        <v>999.9</v>
      </c>
      <c r="HM89">
        <v>1.8614200000000001</v>
      </c>
      <c r="HN89">
        <v>1.8631</v>
      </c>
      <c r="HO89">
        <v>1.86852</v>
      </c>
      <c r="HP89">
        <v>1.85914</v>
      </c>
      <c r="HQ89">
        <v>1.8575600000000001</v>
      </c>
      <c r="HR89">
        <v>1.86127</v>
      </c>
      <c r="HS89">
        <v>1.8650800000000001</v>
      </c>
      <c r="HT89">
        <v>1.86721</v>
      </c>
      <c r="HU89">
        <v>5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1.55</v>
      </c>
      <c r="II89">
        <v>0.81759999999999999</v>
      </c>
      <c r="IJ89">
        <v>1.4049228154272131</v>
      </c>
      <c r="IK89">
        <v>1.118558698776514E-3</v>
      </c>
      <c r="IL89">
        <v>-1.6939696309573479E-6</v>
      </c>
      <c r="IM89">
        <v>5.4698917449866148E-10</v>
      </c>
      <c r="IN89">
        <v>-8.40902867286486E-2</v>
      </c>
      <c r="IO89">
        <v>-7.6058941998734366E-3</v>
      </c>
      <c r="IP89">
        <v>1.6984902717538061E-3</v>
      </c>
      <c r="IQ89">
        <v>-9.6352527008986976E-6</v>
      </c>
      <c r="IR89">
        <v>2</v>
      </c>
      <c r="IS89">
        <v>2021</v>
      </c>
      <c r="IT89">
        <v>2</v>
      </c>
      <c r="IU89">
        <v>40</v>
      </c>
      <c r="IV89">
        <v>0.7</v>
      </c>
      <c r="IW89">
        <v>0.5</v>
      </c>
      <c r="IX89">
        <v>0.59936500000000004</v>
      </c>
      <c r="IY89">
        <v>2.52441</v>
      </c>
      <c r="IZ89">
        <v>1.34399</v>
      </c>
      <c r="JA89">
        <v>2.2399900000000001</v>
      </c>
      <c r="JB89">
        <v>1.5918000000000001</v>
      </c>
      <c r="JC89">
        <v>2.3535200000000001</v>
      </c>
      <c r="JD89">
        <v>41.664999999999999</v>
      </c>
      <c r="JE89">
        <v>23.8248</v>
      </c>
      <c r="JF89">
        <v>18</v>
      </c>
      <c r="JG89">
        <v>510.04899999999998</v>
      </c>
      <c r="JH89">
        <v>414.19600000000003</v>
      </c>
      <c r="JI89">
        <v>26.630800000000001</v>
      </c>
      <c r="JJ89">
        <v>33.273600000000002</v>
      </c>
      <c r="JK89">
        <v>30.000299999999999</v>
      </c>
      <c r="JL89">
        <v>33.1995</v>
      </c>
      <c r="JM89">
        <v>33.150500000000001</v>
      </c>
      <c r="JN89">
        <v>12.065</v>
      </c>
      <c r="JO89">
        <v>25.635400000000001</v>
      </c>
      <c r="JP89">
        <v>35.581099999999999</v>
      </c>
      <c r="JQ89">
        <v>26.613499999999998</v>
      </c>
      <c r="JR89">
        <v>200</v>
      </c>
      <c r="JS89">
        <v>23.173999999999999</v>
      </c>
      <c r="JT89">
        <v>99.063500000000005</v>
      </c>
      <c r="JU89">
        <v>97.627600000000001</v>
      </c>
    </row>
    <row r="90" spans="1:281" x14ac:dyDescent="0.25">
      <c r="A90">
        <v>74</v>
      </c>
      <c r="B90">
        <v>1693341150</v>
      </c>
      <c r="C90">
        <v>19388.5</v>
      </c>
      <c r="D90" t="s">
        <v>793</v>
      </c>
      <c r="E90" t="s">
        <v>794</v>
      </c>
      <c r="F90" t="s">
        <v>413</v>
      </c>
      <c r="G90" t="s">
        <v>492</v>
      </c>
      <c r="H90" t="s">
        <v>779</v>
      </c>
      <c r="I90" t="s">
        <v>493</v>
      </c>
      <c r="J90">
        <v>1693341150</v>
      </c>
      <c r="K90">
        <f t="shared" si="92"/>
        <v>5.0782628209299985E-3</v>
      </c>
      <c r="L90">
        <f t="shared" si="93"/>
        <v>5.0782628209299983</v>
      </c>
      <c r="M90">
        <f t="shared" si="94"/>
        <v>13.724297103386526</v>
      </c>
      <c r="N90">
        <f t="shared" si="95"/>
        <v>102.985</v>
      </c>
      <c r="O90">
        <f t="shared" si="96"/>
        <v>38.322619589473931</v>
      </c>
      <c r="P90">
        <f t="shared" si="97"/>
        <v>3.7922205123854016</v>
      </c>
      <c r="Q90">
        <f t="shared" si="98"/>
        <v>10.1908959682725</v>
      </c>
      <c r="R90">
        <f t="shared" si="99"/>
        <v>0.36935919053950589</v>
      </c>
      <c r="S90">
        <f t="shared" si="100"/>
        <v>2.9176843310531697</v>
      </c>
      <c r="T90">
        <f t="shared" si="101"/>
        <v>0.34521003300357495</v>
      </c>
      <c r="U90">
        <f t="shared" si="102"/>
        <v>0.21779426661087906</v>
      </c>
      <c r="V90">
        <f t="shared" si="103"/>
        <v>344.3471996444764</v>
      </c>
      <c r="W90">
        <f t="shared" si="104"/>
        <v>31.067121691636224</v>
      </c>
      <c r="X90">
        <f t="shared" si="105"/>
        <v>30.004799999999999</v>
      </c>
      <c r="Y90">
        <f t="shared" si="106"/>
        <v>4.2616245539197797</v>
      </c>
      <c r="Z90">
        <f t="shared" si="107"/>
        <v>65.732608845535722</v>
      </c>
      <c r="AA90">
        <f t="shared" si="108"/>
        <v>2.8582996733927999</v>
      </c>
      <c r="AB90">
        <f t="shared" si="109"/>
        <v>4.3483740012654666</v>
      </c>
      <c r="AC90">
        <f t="shared" si="110"/>
        <v>1.4033248805269798</v>
      </c>
      <c r="AD90">
        <f t="shared" si="111"/>
        <v>-223.95139040301294</v>
      </c>
      <c r="AE90">
        <f t="shared" si="112"/>
        <v>55.258856836461234</v>
      </c>
      <c r="AF90">
        <f t="shared" si="113"/>
        <v>4.2186988681268325</v>
      </c>
      <c r="AG90">
        <f t="shared" si="114"/>
        <v>179.87336494605151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51929.093139603472</v>
      </c>
      <c r="AM90" t="s">
        <v>415</v>
      </c>
      <c r="AN90">
        <v>10366.9</v>
      </c>
      <c r="AO90">
        <v>993.59653846153856</v>
      </c>
      <c r="AP90">
        <v>3431.87</v>
      </c>
      <c r="AQ90">
        <f t="shared" si="118"/>
        <v>0.71047955241266758</v>
      </c>
      <c r="AR90">
        <v>-3.9894345373445681</v>
      </c>
      <c r="AS90" t="s">
        <v>795</v>
      </c>
      <c r="AT90">
        <v>10357.200000000001</v>
      </c>
      <c r="AU90">
        <v>737.01279999999997</v>
      </c>
      <c r="AV90">
        <v>846.37043774793881</v>
      </c>
      <c r="AW90">
        <f t="shared" si="119"/>
        <v>0.12920777105462544</v>
      </c>
      <c r="AX90">
        <v>0.5</v>
      </c>
      <c r="AY90">
        <f t="shared" si="120"/>
        <v>1513.0841998222381</v>
      </c>
      <c r="AZ90">
        <f t="shared" si="121"/>
        <v>13.724297103386526</v>
      </c>
      <c r="BA90">
        <f t="shared" si="122"/>
        <v>97.751118438501436</v>
      </c>
      <c r="BB90">
        <f t="shared" si="123"/>
        <v>1.1707036292370351E-2</v>
      </c>
      <c r="BC90">
        <f t="shared" si="124"/>
        <v>3.0548084466793011</v>
      </c>
      <c r="BD90">
        <f t="shared" si="125"/>
        <v>527.26649303365616</v>
      </c>
      <c r="BE90" t="s">
        <v>796</v>
      </c>
      <c r="BF90">
        <v>586.85</v>
      </c>
      <c r="BG90">
        <f t="shared" si="126"/>
        <v>586.85</v>
      </c>
      <c r="BH90">
        <f t="shared" si="127"/>
        <v>0.30662748386921768</v>
      </c>
      <c r="BI90">
        <f t="shared" si="128"/>
        <v>0.42138352839152221</v>
      </c>
      <c r="BJ90">
        <f t="shared" si="129"/>
        <v>0.90878080373848369</v>
      </c>
      <c r="BK90">
        <f t="shared" si="130"/>
        <v>-0.74278702769336558</v>
      </c>
      <c r="BL90">
        <f t="shared" si="131"/>
        <v>1.0603812915310595</v>
      </c>
      <c r="BM90">
        <f t="shared" si="132"/>
        <v>0.33552866875115983</v>
      </c>
      <c r="BN90">
        <f t="shared" si="133"/>
        <v>0.66447133124884017</v>
      </c>
      <c r="BO90">
        <v>2099</v>
      </c>
      <c r="BP90">
        <v>290.00000000000011</v>
      </c>
      <c r="BQ90">
        <v>816.42</v>
      </c>
      <c r="BR90">
        <v>285</v>
      </c>
      <c r="BS90">
        <v>10357.200000000001</v>
      </c>
      <c r="BT90">
        <v>816.37</v>
      </c>
      <c r="BU90">
        <v>0.05</v>
      </c>
      <c r="BV90">
        <v>300.00000000000011</v>
      </c>
      <c r="BW90">
        <v>38.4</v>
      </c>
      <c r="BX90">
        <v>846.37043774793881</v>
      </c>
      <c r="BY90">
        <v>1.252814225774312</v>
      </c>
      <c r="BZ90">
        <v>-31.073350898982518</v>
      </c>
      <c r="CA90">
        <v>1.0630540077413411</v>
      </c>
      <c r="CB90">
        <v>0.96826866187305582</v>
      </c>
      <c r="CC90">
        <v>-1.1280851167964409E-2</v>
      </c>
      <c r="CD90">
        <v>289.99999999999989</v>
      </c>
      <c r="CE90">
        <v>815.16</v>
      </c>
      <c r="CF90">
        <v>715</v>
      </c>
      <c r="CG90">
        <v>10342.299999999999</v>
      </c>
      <c r="CH90">
        <v>816.33</v>
      </c>
      <c r="CI90">
        <v>-1.17</v>
      </c>
      <c r="CW90">
        <f t="shared" si="134"/>
        <v>1799.88</v>
      </c>
      <c r="CX90">
        <f t="shared" si="135"/>
        <v>1513.0841998222381</v>
      </c>
      <c r="CY90">
        <f t="shared" si="136"/>
        <v>0.84065837712638514</v>
      </c>
      <c r="CZ90">
        <f t="shared" si="137"/>
        <v>0.19131675425277039</v>
      </c>
      <c r="DA90">
        <v>6</v>
      </c>
      <c r="DB90">
        <v>0.5</v>
      </c>
      <c r="DC90" t="s">
        <v>418</v>
      </c>
      <c r="DD90">
        <v>2</v>
      </c>
      <c r="DE90">
        <v>1693341150</v>
      </c>
      <c r="DF90">
        <v>102.985</v>
      </c>
      <c r="DG90">
        <v>120.065</v>
      </c>
      <c r="DH90">
        <v>28.884799999999998</v>
      </c>
      <c r="DI90">
        <v>22.9727</v>
      </c>
      <c r="DJ90">
        <v>101.419</v>
      </c>
      <c r="DK90">
        <v>28.052800000000001</v>
      </c>
      <c r="DL90">
        <v>500.49</v>
      </c>
      <c r="DM90">
        <v>98.855599999999995</v>
      </c>
      <c r="DN90">
        <v>9.9548499999999998E-2</v>
      </c>
      <c r="DO90">
        <v>30.356100000000001</v>
      </c>
      <c r="DP90">
        <v>30.004799999999999</v>
      </c>
      <c r="DQ90">
        <v>999.9</v>
      </c>
      <c r="DR90">
        <v>0</v>
      </c>
      <c r="DS90">
        <v>0</v>
      </c>
      <c r="DT90">
        <v>10047.5</v>
      </c>
      <c r="DU90">
        <v>0</v>
      </c>
      <c r="DV90">
        <v>308.15300000000002</v>
      </c>
      <c r="DW90">
        <v>-17.079999999999998</v>
      </c>
      <c r="DX90">
        <v>106.048</v>
      </c>
      <c r="DY90">
        <v>122.88800000000001</v>
      </c>
      <c r="DZ90">
        <v>5.9120499999999998</v>
      </c>
      <c r="EA90">
        <v>120.065</v>
      </c>
      <c r="EB90">
        <v>22.9727</v>
      </c>
      <c r="EC90">
        <v>2.8554200000000001</v>
      </c>
      <c r="ED90">
        <v>2.2709800000000002</v>
      </c>
      <c r="EE90">
        <v>23.207999999999998</v>
      </c>
      <c r="EF90">
        <v>19.472000000000001</v>
      </c>
      <c r="EG90">
        <v>1799.88</v>
      </c>
      <c r="EH90">
        <v>0.97799199999999997</v>
      </c>
      <c r="EI90">
        <v>2.2007700000000002E-2</v>
      </c>
      <c r="EJ90">
        <v>0</v>
      </c>
      <c r="EK90">
        <v>736.53099999999995</v>
      </c>
      <c r="EL90">
        <v>5.0002700000000004</v>
      </c>
      <c r="EM90">
        <v>13888.4</v>
      </c>
      <c r="EN90">
        <v>16247.5</v>
      </c>
      <c r="EO90">
        <v>47.186999999999998</v>
      </c>
      <c r="EP90">
        <v>48.186999999999998</v>
      </c>
      <c r="EQ90">
        <v>48.125</v>
      </c>
      <c r="ER90">
        <v>47.561999999999998</v>
      </c>
      <c r="ES90">
        <v>48.875</v>
      </c>
      <c r="ET90">
        <v>1755.38</v>
      </c>
      <c r="EU90">
        <v>39.5</v>
      </c>
      <c r="EV90">
        <v>0</v>
      </c>
      <c r="EW90">
        <v>104.6000001430511</v>
      </c>
      <c r="EX90">
        <v>0</v>
      </c>
      <c r="EY90">
        <v>737.01279999999997</v>
      </c>
      <c r="EZ90">
        <v>-2.6570769109860901</v>
      </c>
      <c r="FA90">
        <v>-57.230769097373177</v>
      </c>
      <c r="FB90">
        <v>13895.528</v>
      </c>
      <c r="FC90">
        <v>15</v>
      </c>
      <c r="FD90">
        <v>1693341120.5</v>
      </c>
      <c r="FE90" t="s">
        <v>797</v>
      </c>
      <c r="FF90">
        <v>1693341104</v>
      </c>
      <c r="FG90">
        <v>1693341120.5</v>
      </c>
      <c r="FH90">
        <v>84</v>
      </c>
      <c r="FI90">
        <v>6.4000000000000001E-2</v>
      </c>
      <c r="FJ90">
        <v>5.0000000000000001E-3</v>
      </c>
      <c r="FK90">
        <v>1.579</v>
      </c>
      <c r="FL90">
        <v>0.503</v>
      </c>
      <c r="FM90">
        <v>120</v>
      </c>
      <c r="FN90">
        <v>23</v>
      </c>
      <c r="FO90">
        <v>0.24</v>
      </c>
      <c r="FP90">
        <v>7.0000000000000007E-2</v>
      </c>
      <c r="FQ90">
        <v>13.552166929381841</v>
      </c>
      <c r="FR90">
        <v>0.26890326059562591</v>
      </c>
      <c r="FS90">
        <v>5.4391400208245268E-2</v>
      </c>
      <c r="FT90">
        <v>1</v>
      </c>
      <c r="FU90">
        <v>0.36547586592363912</v>
      </c>
      <c r="FV90">
        <v>3.8769570328791102E-2</v>
      </c>
      <c r="FW90">
        <v>3.5509964396199432E-3</v>
      </c>
      <c r="FX90">
        <v>1</v>
      </c>
      <c r="FY90">
        <v>2</v>
      </c>
      <c r="FZ90">
        <v>2</v>
      </c>
      <c r="GA90" t="s">
        <v>429</v>
      </c>
      <c r="GB90">
        <v>3.1345900000000002</v>
      </c>
      <c r="GC90">
        <v>2.8651200000000001</v>
      </c>
      <c r="GD90">
        <v>2.7456600000000001E-2</v>
      </c>
      <c r="GE90">
        <v>3.3200199999999999E-2</v>
      </c>
      <c r="GF90">
        <v>0.12865699999999999</v>
      </c>
      <c r="GG90">
        <v>0.114568</v>
      </c>
      <c r="GH90">
        <v>29296.2</v>
      </c>
      <c r="GI90">
        <v>22546.400000000001</v>
      </c>
      <c r="GJ90">
        <v>29054</v>
      </c>
      <c r="GK90">
        <v>21742.799999999999</v>
      </c>
      <c r="GL90">
        <v>33932.9</v>
      </c>
      <c r="GM90">
        <v>26507</v>
      </c>
      <c r="GN90">
        <v>40326</v>
      </c>
      <c r="GO90">
        <v>30916.3</v>
      </c>
      <c r="GP90">
        <v>2.0082</v>
      </c>
      <c r="GQ90">
        <v>1.7887</v>
      </c>
      <c r="GR90">
        <v>2.8341999999999999E-2</v>
      </c>
      <c r="GS90">
        <v>0</v>
      </c>
      <c r="GT90">
        <v>29.543399999999998</v>
      </c>
      <c r="GU90">
        <v>999.9</v>
      </c>
      <c r="GV90">
        <v>45.6</v>
      </c>
      <c r="GW90">
        <v>36.700000000000003</v>
      </c>
      <c r="GX90">
        <v>28.610399999999998</v>
      </c>
      <c r="GY90">
        <v>61.955800000000004</v>
      </c>
      <c r="GZ90">
        <v>11.818899999999999</v>
      </c>
      <c r="HA90">
        <v>1</v>
      </c>
      <c r="HB90">
        <v>0.45971499999999998</v>
      </c>
      <c r="HC90">
        <v>3.0363699999999998</v>
      </c>
      <c r="HD90">
        <v>20.253699999999998</v>
      </c>
      <c r="HE90">
        <v>5.2346599999999999</v>
      </c>
      <c r="HF90">
        <v>11.98</v>
      </c>
      <c r="HG90">
        <v>4.9749999999999996</v>
      </c>
      <c r="HH90">
        <v>3.2839999999999998</v>
      </c>
      <c r="HI90">
        <v>9999</v>
      </c>
      <c r="HJ90">
        <v>9999</v>
      </c>
      <c r="HK90">
        <v>9999</v>
      </c>
      <c r="HL90">
        <v>999.9</v>
      </c>
      <c r="HM90">
        <v>1.8614200000000001</v>
      </c>
      <c r="HN90">
        <v>1.8631200000000001</v>
      </c>
      <c r="HO90">
        <v>1.8685</v>
      </c>
      <c r="HP90">
        <v>1.85914</v>
      </c>
      <c r="HQ90">
        <v>1.85758</v>
      </c>
      <c r="HR90">
        <v>1.86127</v>
      </c>
      <c r="HS90">
        <v>1.8650800000000001</v>
      </c>
      <c r="HT90">
        <v>1.8671899999999999</v>
      </c>
      <c r="HU90">
        <v>5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1.5660000000000001</v>
      </c>
      <c r="II90">
        <v>0.83199999999999996</v>
      </c>
      <c r="IJ90">
        <v>1.469107501315474</v>
      </c>
      <c r="IK90">
        <v>1.118558698776514E-3</v>
      </c>
      <c r="IL90">
        <v>-1.6939696309573479E-6</v>
      </c>
      <c r="IM90">
        <v>5.4698917449866148E-10</v>
      </c>
      <c r="IN90">
        <v>-7.8629054916900087E-2</v>
      </c>
      <c r="IO90">
        <v>-7.6058941998734366E-3</v>
      </c>
      <c r="IP90">
        <v>1.6984902717538061E-3</v>
      </c>
      <c r="IQ90">
        <v>-9.6352527008986976E-6</v>
      </c>
      <c r="IR90">
        <v>2</v>
      </c>
      <c r="IS90">
        <v>2021</v>
      </c>
      <c r="IT90">
        <v>2</v>
      </c>
      <c r="IU90">
        <v>40</v>
      </c>
      <c r="IV90">
        <v>0.8</v>
      </c>
      <c r="IW90">
        <v>0.5</v>
      </c>
      <c r="IX90">
        <v>0.41748000000000002</v>
      </c>
      <c r="IY90">
        <v>2.5476100000000002</v>
      </c>
      <c r="IZ90">
        <v>1.34399</v>
      </c>
      <c r="JA90">
        <v>2.2399900000000001</v>
      </c>
      <c r="JB90">
        <v>1.5918000000000001</v>
      </c>
      <c r="JC90">
        <v>2.3095699999999999</v>
      </c>
      <c r="JD90">
        <v>41.717399999999998</v>
      </c>
      <c r="JE90">
        <v>23.8248</v>
      </c>
      <c r="JF90">
        <v>18</v>
      </c>
      <c r="JG90">
        <v>509.79300000000001</v>
      </c>
      <c r="JH90">
        <v>413.96100000000001</v>
      </c>
      <c r="JI90">
        <v>25.9453</v>
      </c>
      <c r="JJ90">
        <v>33.2074</v>
      </c>
      <c r="JK90">
        <v>29.9999</v>
      </c>
      <c r="JL90">
        <v>33.146299999999997</v>
      </c>
      <c r="JM90">
        <v>33.101700000000001</v>
      </c>
      <c r="JN90">
        <v>8.4427299999999992</v>
      </c>
      <c r="JO90">
        <v>26.683199999999999</v>
      </c>
      <c r="JP90">
        <v>34.960799999999999</v>
      </c>
      <c r="JQ90">
        <v>25.959399999999999</v>
      </c>
      <c r="JR90">
        <v>120</v>
      </c>
      <c r="JS90">
        <v>22.8889</v>
      </c>
      <c r="JT90">
        <v>99.067999999999998</v>
      </c>
      <c r="JU90">
        <v>97.647400000000005</v>
      </c>
    </row>
    <row r="91" spans="1:281" x14ac:dyDescent="0.25">
      <c r="A91">
        <v>75</v>
      </c>
      <c r="B91">
        <v>1693341264</v>
      </c>
      <c r="C91">
        <v>19502.5</v>
      </c>
      <c r="D91" t="s">
        <v>798</v>
      </c>
      <c r="E91" t="s">
        <v>799</v>
      </c>
      <c r="F91" t="s">
        <v>413</v>
      </c>
      <c r="G91" t="s">
        <v>492</v>
      </c>
      <c r="H91" t="s">
        <v>779</v>
      </c>
      <c r="I91" t="s">
        <v>493</v>
      </c>
      <c r="J91">
        <v>1693341264</v>
      </c>
      <c r="K91">
        <f t="shared" si="92"/>
        <v>5.6071815722719296E-3</v>
      </c>
      <c r="L91">
        <f t="shared" si="93"/>
        <v>5.60718157227193</v>
      </c>
      <c r="M91">
        <f t="shared" si="94"/>
        <v>8.7769311070895455</v>
      </c>
      <c r="N91">
        <f t="shared" si="95"/>
        <v>59.168599999999998</v>
      </c>
      <c r="O91">
        <f t="shared" si="96"/>
        <v>21.519895796721141</v>
      </c>
      <c r="P91">
        <f t="shared" si="97"/>
        <v>2.1291057033840364</v>
      </c>
      <c r="Q91">
        <f t="shared" si="98"/>
        <v>5.8539411580442202</v>
      </c>
      <c r="R91">
        <f t="shared" si="99"/>
        <v>0.40796301513688693</v>
      </c>
      <c r="S91">
        <f t="shared" si="100"/>
        <v>2.9147636363062519</v>
      </c>
      <c r="T91">
        <f t="shared" si="101"/>
        <v>0.37868934470598981</v>
      </c>
      <c r="U91">
        <f t="shared" si="102"/>
        <v>0.23913568397576646</v>
      </c>
      <c r="V91">
        <f t="shared" si="103"/>
        <v>344.31869964444672</v>
      </c>
      <c r="W91">
        <f t="shared" si="104"/>
        <v>30.919238690392781</v>
      </c>
      <c r="X91">
        <f t="shared" si="105"/>
        <v>29.9909</v>
      </c>
      <c r="Y91">
        <f t="shared" si="106"/>
        <v>4.2582233572098458</v>
      </c>
      <c r="Z91">
        <f t="shared" si="107"/>
        <v>65.486422952036321</v>
      </c>
      <c r="AA91">
        <f t="shared" si="108"/>
        <v>2.84588212715519</v>
      </c>
      <c r="AB91">
        <f t="shared" si="109"/>
        <v>4.345759012123132</v>
      </c>
      <c r="AC91">
        <f t="shared" si="110"/>
        <v>1.4123412300546558</v>
      </c>
      <c r="AD91">
        <f t="shared" si="111"/>
        <v>-247.27670733719211</v>
      </c>
      <c r="AE91">
        <f t="shared" si="112"/>
        <v>55.737819470844663</v>
      </c>
      <c r="AF91">
        <f t="shared" si="113"/>
        <v>4.2590146975204455</v>
      </c>
      <c r="AG91">
        <f t="shared" si="114"/>
        <v>157.03882647561974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51847.528431934305</v>
      </c>
      <c r="AM91" t="s">
        <v>415</v>
      </c>
      <c r="AN91">
        <v>10366.9</v>
      </c>
      <c r="AO91">
        <v>993.59653846153856</v>
      </c>
      <c r="AP91">
        <v>3431.87</v>
      </c>
      <c r="AQ91">
        <f t="shared" si="118"/>
        <v>0.71047955241266758</v>
      </c>
      <c r="AR91">
        <v>-3.9894345373445681</v>
      </c>
      <c r="AS91" t="s">
        <v>800</v>
      </c>
      <c r="AT91">
        <v>10357</v>
      </c>
      <c r="AU91">
        <v>742.69823076923069</v>
      </c>
      <c r="AV91">
        <v>819.65167238460924</v>
      </c>
      <c r="AW91">
        <f t="shared" si="119"/>
        <v>9.3885542124861665E-2</v>
      </c>
      <c r="AX91">
        <v>0.5</v>
      </c>
      <c r="AY91">
        <f t="shared" si="120"/>
        <v>1512.9581998222234</v>
      </c>
      <c r="AZ91">
        <f t="shared" si="121"/>
        <v>8.7769311070895455</v>
      </c>
      <c r="BA91">
        <f t="shared" si="122"/>
        <v>71.022450401282114</v>
      </c>
      <c r="BB91">
        <f t="shared" si="123"/>
        <v>8.4380160971626282E-3</v>
      </c>
      <c r="BC91">
        <f t="shared" si="124"/>
        <v>3.1869859058734966</v>
      </c>
      <c r="BD91">
        <f t="shared" si="125"/>
        <v>516.772136053081</v>
      </c>
      <c r="BE91" t="s">
        <v>801</v>
      </c>
      <c r="BF91">
        <v>598.20000000000005</v>
      </c>
      <c r="BG91">
        <f t="shared" si="126"/>
        <v>598.20000000000005</v>
      </c>
      <c r="BH91">
        <f t="shared" si="127"/>
        <v>0.27017778386316316</v>
      </c>
      <c r="BI91">
        <f t="shared" si="128"/>
        <v>0.34749541869220396</v>
      </c>
      <c r="BJ91">
        <f t="shared" si="129"/>
        <v>0.92184987229119497</v>
      </c>
      <c r="BK91">
        <f t="shared" si="130"/>
        <v>-0.44240133871697551</v>
      </c>
      <c r="BL91">
        <f t="shared" si="131"/>
        <v>1.0713393591082996</v>
      </c>
      <c r="BM91">
        <f t="shared" si="132"/>
        <v>0.27988724201803816</v>
      </c>
      <c r="BN91">
        <f t="shared" si="133"/>
        <v>0.72011275798196184</v>
      </c>
      <c r="BO91">
        <v>2101</v>
      </c>
      <c r="BP91">
        <v>290.00000000000011</v>
      </c>
      <c r="BQ91">
        <v>799.97</v>
      </c>
      <c r="BR91">
        <v>285</v>
      </c>
      <c r="BS91">
        <v>10357</v>
      </c>
      <c r="BT91">
        <v>799.57</v>
      </c>
      <c r="BU91">
        <v>0.4</v>
      </c>
      <c r="BV91">
        <v>300.00000000000011</v>
      </c>
      <c r="BW91">
        <v>38.4</v>
      </c>
      <c r="BX91">
        <v>819.65167238460924</v>
      </c>
      <c r="BY91">
        <v>0.96996383542220632</v>
      </c>
      <c r="BZ91">
        <v>-20.80246178180948</v>
      </c>
      <c r="CA91">
        <v>0.82303303629491409</v>
      </c>
      <c r="CB91">
        <v>0.95801117915601441</v>
      </c>
      <c r="CC91">
        <v>-1.127975105672969E-2</v>
      </c>
      <c r="CD91">
        <v>289.99999999999989</v>
      </c>
      <c r="CE91">
        <v>797.82</v>
      </c>
      <c r="CF91">
        <v>765</v>
      </c>
      <c r="CG91">
        <v>10338.6</v>
      </c>
      <c r="CH91">
        <v>799.53</v>
      </c>
      <c r="CI91">
        <v>-1.71</v>
      </c>
      <c r="CW91">
        <f t="shared" si="134"/>
        <v>1799.73</v>
      </c>
      <c r="CX91">
        <f t="shared" si="135"/>
        <v>1512.9581998222234</v>
      </c>
      <c r="CY91">
        <f t="shared" si="136"/>
        <v>0.84065843199936841</v>
      </c>
      <c r="CZ91">
        <f t="shared" si="137"/>
        <v>0.19131686399873687</v>
      </c>
      <c r="DA91">
        <v>6</v>
      </c>
      <c r="DB91">
        <v>0.5</v>
      </c>
      <c r="DC91" t="s">
        <v>418</v>
      </c>
      <c r="DD91">
        <v>2</v>
      </c>
      <c r="DE91">
        <v>1693341264</v>
      </c>
      <c r="DF91">
        <v>59.168599999999998</v>
      </c>
      <c r="DG91">
        <v>70.111800000000002</v>
      </c>
      <c r="DH91">
        <v>28.764700000000001</v>
      </c>
      <c r="DI91">
        <v>22.222000000000001</v>
      </c>
      <c r="DJ91">
        <v>57.68</v>
      </c>
      <c r="DK91">
        <v>27.945</v>
      </c>
      <c r="DL91">
        <v>499.41699999999997</v>
      </c>
      <c r="DM91">
        <v>98.838300000000004</v>
      </c>
      <c r="DN91">
        <v>9.8317699999999994E-2</v>
      </c>
      <c r="DO91">
        <v>30.345600000000001</v>
      </c>
      <c r="DP91">
        <v>29.9909</v>
      </c>
      <c r="DQ91">
        <v>999.9</v>
      </c>
      <c r="DR91">
        <v>0</v>
      </c>
      <c r="DS91">
        <v>0</v>
      </c>
      <c r="DT91">
        <v>10032.5</v>
      </c>
      <c r="DU91">
        <v>0</v>
      </c>
      <c r="DV91">
        <v>314.44400000000002</v>
      </c>
      <c r="DW91">
        <v>-10.943199999999999</v>
      </c>
      <c r="DX91">
        <v>60.920999999999999</v>
      </c>
      <c r="DY91">
        <v>71.705200000000005</v>
      </c>
      <c r="DZ91">
        <v>6.5427299999999997</v>
      </c>
      <c r="EA91">
        <v>70.111800000000002</v>
      </c>
      <c r="EB91">
        <v>22.222000000000001</v>
      </c>
      <c r="EC91">
        <v>2.8430499999999999</v>
      </c>
      <c r="ED91">
        <v>2.19638</v>
      </c>
      <c r="EE91">
        <v>23.136199999999999</v>
      </c>
      <c r="EF91">
        <v>18.9359</v>
      </c>
      <c r="EG91">
        <v>1799.73</v>
      </c>
      <c r="EH91">
        <v>0.97799199999999997</v>
      </c>
      <c r="EI91">
        <v>2.2007700000000002E-2</v>
      </c>
      <c r="EJ91">
        <v>0</v>
      </c>
      <c r="EK91">
        <v>742.37699999999995</v>
      </c>
      <c r="EL91">
        <v>5.0002700000000004</v>
      </c>
      <c r="EM91">
        <v>13987.6</v>
      </c>
      <c r="EN91">
        <v>16246.1</v>
      </c>
      <c r="EO91">
        <v>47.125</v>
      </c>
      <c r="EP91">
        <v>48.125</v>
      </c>
      <c r="EQ91">
        <v>48.061999999999998</v>
      </c>
      <c r="ER91">
        <v>47.5</v>
      </c>
      <c r="ES91">
        <v>48.811999999999998</v>
      </c>
      <c r="ET91">
        <v>1755.23</v>
      </c>
      <c r="EU91">
        <v>39.5</v>
      </c>
      <c r="EV91">
        <v>0</v>
      </c>
      <c r="EW91">
        <v>111.7999999523163</v>
      </c>
      <c r="EX91">
        <v>0</v>
      </c>
      <c r="EY91">
        <v>742.69823076923069</v>
      </c>
      <c r="EZ91">
        <v>-2.5871452983718379</v>
      </c>
      <c r="FA91">
        <v>-26.225641099719891</v>
      </c>
      <c r="FB91">
        <v>13983.73461538461</v>
      </c>
      <c r="FC91">
        <v>15</v>
      </c>
      <c r="FD91">
        <v>1693341232.5</v>
      </c>
      <c r="FE91" t="s">
        <v>802</v>
      </c>
      <c r="FF91">
        <v>1693341221.5</v>
      </c>
      <c r="FG91">
        <v>1693341232.5</v>
      </c>
      <c r="FH91">
        <v>85</v>
      </c>
      <c r="FI91">
        <v>-0.04</v>
      </c>
      <c r="FJ91">
        <v>-5.0000000000000001E-3</v>
      </c>
      <c r="FK91">
        <v>1.498</v>
      </c>
      <c r="FL91">
        <v>0.45800000000000002</v>
      </c>
      <c r="FM91">
        <v>70</v>
      </c>
      <c r="FN91">
        <v>22</v>
      </c>
      <c r="FO91">
        <v>0.3</v>
      </c>
      <c r="FP91">
        <v>0.04</v>
      </c>
      <c r="FQ91">
        <v>8.6103409156069528</v>
      </c>
      <c r="FR91">
        <v>0.64469945997439504</v>
      </c>
      <c r="FS91">
        <v>7.2599870509256481E-2</v>
      </c>
      <c r="FT91">
        <v>1</v>
      </c>
      <c r="FU91">
        <v>0.41247357259243578</v>
      </c>
      <c r="FV91">
        <v>1.2428279774948481E-2</v>
      </c>
      <c r="FW91">
        <v>2.7431796710804738E-3</v>
      </c>
      <c r="FX91">
        <v>1</v>
      </c>
      <c r="FY91">
        <v>2</v>
      </c>
      <c r="FZ91">
        <v>2</v>
      </c>
      <c r="GA91" t="s">
        <v>429</v>
      </c>
      <c r="GB91">
        <v>3.1331799999999999</v>
      </c>
      <c r="GC91">
        <v>2.86375</v>
      </c>
      <c r="GD91">
        <v>1.5840400000000001E-2</v>
      </c>
      <c r="GE91">
        <v>1.9768399999999998E-2</v>
      </c>
      <c r="GF91">
        <v>0.12829099999999999</v>
      </c>
      <c r="GG91">
        <v>0.111918</v>
      </c>
      <c r="GH91">
        <v>29645.7</v>
      </c>
      <c r="GI91">
        <v>22858.7</v>
      </c>
      <c r="GJ91">
        <v>29053.7</v>
      </c>
      <c r="GK91">
        <v>21742</v>
      </c>
      <c r="GL91">
        <v>33946</v>
      </c>
      <c r="GM91">
        <v>26584.1</v>
      </c>
      <c r="GN91">
        <v>40325.599999999999</v>
      </c>
      <c r="GO91">
        <v>30915.1</v>
      </c>
      <c r="GP91">
        <v>2.0081000000000002</v>
      </c>
      <c r="GQ91">
        <v>1.7885</v>
      </c>
      <c r="GR91">
        <v>2.4199499999999999E-2</v>
      </c>
      <c r="GS91">
        <v>0</v>
      </c>
      <c r="GT91">
        <v>29.597000000000001</v>
      </c>
      <c r="GU91">
        <v>999.9</v>
      </c>
      <c r="GV91">
        <v>45.4</v>
      </c>
      <c r="GW91">
        <v>36.700000000000003</v>
      </c>
      <c r="GX91">
        <v>28.488900000000001</v>
      </c>
      <c r="GY91">
        <v>61.985799999999998</v>
      </c>
      <c r="GZ91">
        <v>11.742800000000001</v>
      </c>
      <c r="HA91">
        <v>1</v>
      </c>
      <c r="HB91">
        <v>0.45817099999999999</v>
      </c>
      <c r="HC91">
        <v>2.5393599999999998</v>
      </c>
      <c r="HD91">
        <v>20.260400000000001</v>
      </c>
      <c r="HE91">
        <v>5.2316700000000003</v>
      </c>
      <c r="HF91">
        <v>11.98</v>
      </c>
      <c r="HG91">
        <v>4.9740000000000002</v>
      </c>
      <c r="HH91">
        <v>3.2831000000000001</v>
      </c>
      <c r="HI91">
        <v>9999</v>
      </c>
      <c r="HJ91">
        <v>9999</v>
      </c>
      <c r="HK91">
        <v>9999</v>
      </c>
      <c r="HL91">
        <v>999.9</v>
      </c>
      <c r="HM91">
        <v>1.8614999999999999</v>
      </c>
      <c r="HN91">
        <v>1.8631</v>
      </c>
      <c r="HO91">
        <v>1.8684700000000001</v>
      </c>
      <c r="HP91">
        <v>1.8591299999999999</v>
      </c>
      <c r="HQ91">
        <v>1.85758</v>
      </c>
      <c r="HR91">
        <v>1.86127</v>
      </c>
      <c r="HS91">
        <v>1.8650800000000001</v>
      </c>
      <c r="HT91">
        <v>1.86721</v>
      </c>
      <c r="HU91">
        <v>5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1.4890000000000001</v>
      </c>
      <c r="II91">
        <v>0.81969999999999998</v>
      </c>
      <c r="IJ91">
        <v>1.4295874691963599</v>
      </c>
      <c r="IK91">
        <v>1.118558698776514E-3</v>
      </c>
      <c r="IL91">
        <v>-1.6939696309573479E-6</v>
      </c>
      <c r="IM91">
        <v>5.4698917449866148E-10</v>
      </c>
      <c r="IN91">
        <v>-8.3835820278439943E-2</v>
      </c>
      <c r="IO91">
        <v>-7.6058941998734366E-3</v>
      </c>
      <c r="IP91">
        <v>1.6984902717538061E-3</v>
      </c>
      <c r="IQ91">
        <v>-9.6352527008986976E-6</v>
      </c>
      <c r="IR91">
        <v>2</v>
      </c>
      <c r="IS91">
        <v>2021</v>
      </c>
      <c r="IT91">
        <v>2</v>
      </c>
      <c r="IU91">
        <v>40</v>
      </c>
      <c r="IV91">
        <v>0.7</v>
      </c>
      <c r="IW91">
        <v>0.5</v>
      </c>
      <c r="IX91">
        <v>0.30395499999999998</v>
      </c>
      <c r="IY91">
        <v>2.5500500000000001</v>
      </c>
      <c r="IZ91">
        <v>1.34399</v>
      </c>
      <c r="JA91">
        <v>2.2399900000000001</v>
      </c>
      <c r="JB91">
        <v>1.5918000000000001</v>
      </c>
      <c r="JC91">
        <v>2.4694799999999999</v>
      </c>
      <c r="JD91">
        <v>41.743600000000001</v>
      </c>
      <c r="JE91">
        <v>23.842300000000002</v>
      </c>
      <c r="JF91">
        <v>18</v>
      </c>
      <c r="JG91">
        <v>509.65199999999999</v>
      </c>
      <c r="JH91">
        <v>413.77100000000002</v>
      </c>
      <c r="JI91">
        <v>26.330500000000001</v>
      </c>
      <c r="JJ91">
        <v>33.213299999999997</v>
      </c>
      <c r="JK91">
        <v>30.0002</v>
      </c>
      <c r="JL91">
        <v>33.137500000000003</v>
      </c>
      <c r="JM91">
        <v>33.092799999999997</v>
      </c>
      <c r="JN91">
        <v>6.1629399999999999</v>
      </c>
      <c r="JO91">
        <v>28.630800000000001</v>
      </c>
      <c r="JP91">
        <v>34.244100000000003</v>
      </c>
      <c r="JQ91">
        <v>26.3385</v>
      </c>
      <c r="JR91">
        <v>70</v>
      </c>
      <c r="JS91">
        <v>22.137499999999999</v>
      </c>
      <c r="JT91">
        <v>99.067099999999996</v>
      </c>
      <c r="JU91">
        <v>97.643699999999995</v>
      </c>
    </row>
    <row r="92" spans="1:281" x14ac:dyDescent="0.25">
      <c r="A92">
        <v>76</v>
      </c>
      <c r="B92">
        <v>1693341367</v>
      </c>
      <c r="C92">
        <v>19605.5</v>
      </c>
      <c r="D92" t="s">
        <v>803</v>
      </c>
      <c r="E92" t="s">
        <v>804</v>
      </c>
      <c r="F92" t="s">
        <v>413</v>
      </c>
      <c r="G92" t="s">
        <v>492</v>
      </c>
      <c r="H92" t="s">
        <v>779</v>
      </c>
      <c r="I92" t="s">
        <v>493</v>
      </c>
      <c r="J92">
        <v>1693341367</v>
      </c>
      <c r="K92">
        <f t="shared" si="92"/>
        <v>5.9556705463443479E-3</v>
      </c>
      <c r="L92">
        <f t="shared" si="93"/>
        <v>5.955670546344348</v>
      </c>
      <c r="M92">
        <f t="shared" si="94"/>
        <v>3.8664095442761566</v>
      </c>
      <c r="N92">
        <f t="shared" si="95"/>
        <v>25.240200000000002</v>
      </c>
      <c r="O92">
        <f t="shared" si="96"/>
        <v>9.6561488818354846</v>
      </c>
      <c r="P92">
        <f t="shared" si="97"/>
        <v>0.95533241251679046</v>
      </c>
      <c r="Q92">
        <f t="shared" si="98"/>
        <v>2.4971426449074001</v>
      </c>
      <c r="R92">
        <f t="shared" si="99"/>
        <v>0.43662869294870116</v>
      </c>
      <c r="S92">
        <f t="shared" si="100"/>
        <v>2.9037839497360771</v>
      </c>
      <c r="T92">
        <f t="shared" si="101"/>
        <v>0.40316106342776903</v>
      </c>
      <c r="U92">
        <f t="shared" si="102"/>
        <v>0.25476848688295578</v>
      </c>
      <c r="V92">
        <f t="shared" si="103"/>
        <v>344.37571281102237</v>
      </c>
      <c r="W92">
        <f t="shared" si="104"/>
        <v>30.918395925841125</v>
      </c>
      <c r="X92">
        <f t="shared" si="105"/>
        <v>30.026599999999998</v>
      </c>
      <c r="Y92">
        <f t="shared" si="106"/>
        <v>4.2669635732502691</v>
      </c>
      <c r="Z92">
        <f t="shared" si="107"/>
        <v>65.436415608349449</v>
      </c>
      <c r="AA92">
        <f t="shared" si="108"/>
        <v>2.8580778117107997</v>
      </c>
      <c r="AB92">
        <f t="shared" si="109"/>
        <v>4.3677175547282259</v>
      </c>
      <c r="AC92">
        <f t="shared" si="110"/>
        <v>1.4088857615394694</v>
      </c>
      <c r="AD92">
        <f t="shared" si="111"/>
        <v>-262.64507109378576</v>
      </c>
      <c r="AE92">
        <f t="shared" si="112"/>
        <v>63.715361721355755</v>
      </c>
      <c r="AF92">
        <f t="shared" si="113"/>
        <v>4.889992392046727</v>
      </c>
      <c r="AG92">
        <f t="shared" si="114"/>
        <v>150.33599583063909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51521.03576730987</v>
      </c>
      <c r="AM92" t="s">
        <v>415</v>
      </c>
      <c r="AN92">
        <v>10366.9</v>
      </c>
      <c r="AO92">
        <v>993.59653846153856</v>
      </c>
      <c r="AP92">
        <v>3431.87</v>
      </c>
      <c r="AQ92">
        <f t="shared" si="118"/>
        <v>0.71047955241266758</v>
      </c>
      <c r="AR92">
        <v>-3.9894345373445681</v>
      </c>
      <c r="AS92" t="s">
        <v>805</v>
      </c>
      <c r="AT92">
        <v>10361.1</v>
      </c>
      <c r="AU92">
        <v>748.69932000000006</v>
      </c>
      <c r="AV92">
        <v>803.26743177691526</v>
      </c>
      <c r="AW92">
        <f t="shared" si="119"/>
        <v>6.7932682962390967E-2</v>
      </c>
      <c r="AX92">
        <v>0.5</v>
      </c>
      <c r="AY92">
        <f t="shared" si="120"/>
        <v>1513.2102064055109</v>
      </c>
      <c r="AZ92">
        <f t="shared" si="121"/>
        <v>3.8664095442761566</v>
      </c>
      <c r="BA92">
        <f t="shared" si="122"/>
        <v>51.398214603599882</v>
      </c>
      <c r="BB92">
        <f t="shared" si="123"/>
        <v>5.1915087860010846E-3</v>
      </c>
      <c r="BC92">
        <f t="shared" si="124"/>
        <v>3.2723878302999649</v>
      </c>
      <c r="BD92">
        <f t="shared" si="125"/>
        <v>510.21090018688432</v>
      </c>
      <c r="BE92" t="s">
        <v>806</v>
      </c>
      <c r="BF92">
        <v>613.51</v>
      </c>
      <c r="BG92">
        <f t="shared" si="126"/>
        <v>613.51</v>
      </c>
      <c r="BH92">
        <f t="shared" si="127"/>
        <v>0.23623194999596975</v>
      </c>
      <c r="BI92">
        <f t="shared" si="128"/>
        <v>0.28756771877618564</v>
      </c>
      <c r="BJ92">
        <f t="shared" si="129"/>
        <v>0.93267097468850146</v>
      </c>
      <c r="BK92">
        <f t="shared" si="130"/>
        <v>-0.28670397674557974</v>
      </c>
      <c r="BL92">
        <f t="shared" si="131"/>
        <v>1.0780589665953761</v>
      </c>
      <c r="BM92">
        <f t="shared" si="132"/>
        <v>0.23564288951989115</v>
      </c>
      <c r="BN92">
        <f t="shared" si="133"/>
        <v>0.76435711048010879</v>
      </c>
      <c r="BO92">
        <v>2103</v>
      </c>
      <c r="BP92">
        <v>290.00000000000011</v>
      </c>
      <c r="BQ92">
        <v>788.41</v>
      </c>
      <c r="BR92">
        <v>255</v>
      </c>
      <c r="BS92">
        <v>10361.1</v>
      </c>
      <c r="BT92">
        <v>787.81</v>
      </c>
      <c r="BU92">
        <v>0.6</v>
      </c>
      <c r="BV92">
        <v>300.00000000000011</v>
      </c>
      <c r="BW92">
        <v>38.4</v>
      </c>
      <c r="BX92">
        <v>803.26743177691526</v>
      </c>
      <c r="BY92">
        <v>1.028434357982505</v>
      </c>
      <c r="BZ92">
        <v>-16.016618320262459</v>
      </c>
      <c r="CA92">
        <v>0.87269310428336011</v>
      </c>
      <c r="CB92">
        <v>0.9232531979610743</v>
      </c>
      <c r="CC92">
        <v>-1.128079977753059E-2</v>
      </c>
      <c r="CD92">
        <v>289.99999999999989</v>
      </c>
      <c r="CE92">
        <v>785.95</v>
      </c>
      <c r="CF92">
        <v>645</v>
      </c>
      <c r="CG92">
        <v>10348.9</v>
      </c>
      <c r="CH92">
        <v>787.79</v>
      </c>
      <c r="CI92">
        <v>-1.84</v>
      </c>
      <c r="CW92">
        <f t="shared" si="134"/>
        <v>1800.03</v>
      </c>
      <c r="CX92">
        <f t="shared" si="135"/>
        <v>1513.2102064055109</v>
      </c>
      <c r="CY92">
        <f t="shared" si="136"/>
        <v>0.8406583259198519</v>
      </c>
      <c r="CZ92">
        <f t="shared" si="137"/>
        <v>0.19131665183970401</v>
      </c>
      <c r="DA92">
        <v>6</v>
      </c>
      <c r="DB92">
        <v>0.5</v>
      </c>
      <c r="DC92" t="s">
        <v>418</v>
      </c>
      <c r="DD92">
        <v>2</v>
      </c>
      <c r="DE92">
        <v>1693341367</v>
      </c>
      <c r="DF92">
        <v>25.240200000000002</v>
      </c>
      <c r="DG92">
        <v>30.0624</v>
      </c>
      <c r="DH92">
        <v>28.888400000000001</v>
      </c>
      <c r="DI92">
        <v>21.945</v>
      </c>
      <c r="DJ92">
        <v>23.713100000000001</v>
      </c>
      <c r="DK92">
        <v>28.0639</v>
      </c>
      <c r="DL92">
        <v>499.78</v>
      </c>
      <c r="DM92">
        <v>98.834999999999994</v>
      </c>
      <c r="DN92">
        <v>0.100137</v>
      </c>
      <c r="DO92">
        <v>30.433599999999998</v>
      </c>
      <c r="DP92">
        <v>30.026599999999998</v>
      </c>
      <c r="DQ92">
        <v>999.9</v>
      </c>
      <c r="DR92">
        <v>0</v>
      </c>
      <c r="DS92">
        <v>0</v>
      </c>
      <c r="DT92">
        <v>9970</v>
      </c>
      <c r="DU92">
        <v>0</v>
      </c>
      <c r="DV92">
        <v>273.00299999999999</v>
      </c>
      <c r="DW92">
        <v>-4.8222300000000002</v>
      </c>
      <c r="DX92">
        <v>25.991</v>
      </c>
      <c r="DY92">
        <v>30.736899999999999</v>
      </c>
      <c r="DZ92">
        <v>6.9433100000000003</v>
      </c>
      <c r="EA92">
        <v>30.0624</v>
      </c>
      <c r="EB92">
        <v>21.945</v>
      </c>
      <c r="EC92">
        <v>2.8551799999999998</v>
      </c>
      <c r="ED92">
        <v>2.1689400000000001</v>
      </c>
      <c r="EE92">
        <v>23.206600000000002</v>
      </c>
      <c r="EF92">
        <v>18.7347</v>
      </c>
      <c r="EG92">
        <v>1800.03</v>
      </c>
      <c r="EH92">
        <v>0.97799199999999997</v>
      </c>
      <c r="EI92">
        <v>2.2007700000000002E-2</v>
      </c>
      <c r="EJ92">
        <v>0</v>
      </c>
      <c r="EK92">
        <v>748.447</v>
      </c>
      <c r="EL92">
        <v>5.0002700000000004</v>
      </c>
      <c r="EM92">
        <v>14071.6</v>
      </c>
      <c r="EN92">
        <v>16248.8</v>
      </c>
      <c r="EO92">
        <v>47.125</v>
      </c>
      <c r="EP92">
        <v>48.061999999999998</v>
      </c>
      <c r="EQ92">
        <v>48.061999999999998</v>
      </c>
      <c r="ER92">
        <v>47.436999999999998</v>
      </c>
      <c r="ES92">
        <v>48.811999999999998</v>
      </c>
      <c r="ET92">
        <v>1755.52</v>
      </c>
      <c r="EU92">
        <v>39.5</v>
      </c>
      <c r="EV92">
        <v>0</v>
      </c>
      <c r="EW92">
        <v>101</v>
      </c>
      <c r="EX92">
        <v>0</v>
      </c>
      <c r="EY92">
        <v>748.69932000000006</v>
      </c>
      <c r="EZ92">
        <v>-2.0516923129994962</v>
      </c>
      <c r="FA92">
        <v>-57.684615502868148</v>
      </c>
      <c r="FB92">
        <v>14077.976000000001</v>
      </c>
      <c r="FC92">
        <v>15</v>
      </c>
      <c r="FD92">
        <v>1693341338.5</v>
      </c>
      <c r="FE92" t="s">
        <v>807</v>
      </c>
      <c r="FF92">
        <v>1693341331.5</v>
      </c>
      <c r="FG92">
        <v>1693341338.5</v>
      </c>
      <c r="FH92">
        <v>86</v>
      </c>
      <c r="FI92">
        <v>7.1999999999999995E-2</v>
      </c>
      <c r="FJ92">
        <v>-3.0000000000000001E-3</v>
      </c>
      <c r="FK92">
        <v>1.532</v>
      </c>
      <c r="FL92">
        <v>0.437</v>
      </c>
      <c r="FM92">
        <v>30</v>
      </c>
      <c r="FN92">
        <v>22</v>
      </c>
      <c r="FO92">
        <v>0.98</v>
      </c>
      <c r="FP92">
        <v>0.02</v>
      </c>
      <c r="FQ92">
        <v>3.8107578472258372</v>
      </c>
      <c r="FR92">
        <v>8.1237897832707837E-2</v>
      </c>
      <c r="FS92">
        <v>5.1812841702075549E-2</v>
      </c>
      <c r="FT92">
        <v>1</v>
      </c>
      <c r="FU92">
        <v>0.44028020223003889</v>
      </c>
      <c r="FV92">
        <v>2.3035338181058049E-2</v>
      </c>
      <c r="FW92">
        <v>4.5155026265594686E-3</v>
      </c>
      <c r="FX92">
        <v>1</v>
      </c>
      <c r="FY92">
        <v>2</v>
      </c>
      <c r="FZ92">
        <v>2</v>
      </c>
      <c r="GA92" t="s">
        <v>429</v>
      </c>
      <c r="GB92">
        <v>3.13354</v>
      </c>
      <c r="GC92">
        <v>2.86503</v>
      </c>
      <c r="GD92">
        <v>6.55136E-3</v>
      </c>
      <c r="GE92">
        <v>8.5536899999999992E-3</v>
      </c>
      <c r="GF92">
        <v>0.12866900000000001</v>
      </c>
      <c r="GG92">
        <v>0.11093600000000001</v>
      </c>
      <c r="GH92">
        <v>29925.200000000001</v>
      </c>
      <c r="GI92">
        <v>23120.1</v>
      </c>
      <c r="GJ92">
        <v>29053.5</v>
      </c>
      <c r="GK92">
        <v>21742</v>
      </c>
      <c r="GL92">
        <v>33929.800000000003</v>
      </c>
      <c r="GM92">
        <v>26612.9</v>
      </c>
      <c r="GN92">
        <v>40325.199999999997</v>
      </c>
      <c r="GO92">
        <v>30915.3</v>
      </c>
      <c r="GP92">
        <v>2.0089999999999999</v>
      </c>
      <c r="GQ92">
        <v>1.7863</v>
      </c>
      <c r="GR92">
        <v>2.4825300000000002E-2</v>
      </c>
      <c r="GS92">
        <v>0</v>
      </c>
      <c r="GT92">
        <v>29.622499999999999</v>
      </c>
      <c r="GU92">
        <v>999.9</v>
      </c>
      <c r="GV92">
        <v>45.1</v>
      </c>
      <c r="GW92">
        <v>36.700000000000003</v>
      </c>
      <c r="GX92">
        <v>28.302800000000001</v>
      </c>
      <c r="GY92">
        <v>62.125799999999998</v>
      </c>
      <c r="GZ92">
        <v>11.911099999999999</v>
      </c>
      <c r="HA92">
        <v>1</v>
      </c>
      <c r="HB92">
        <v>0.46054899999999999</v>
      </c>
      <c r="HC92">
        <v>2.9304600000000001</v>
      </c>
      <c r="HD92">
        <v>20.255099999999999</v>
      </c>
      <c r="HE92">
        <v>5.2346599999999999</v>
      </c>
      <c r="HF92">
        <v>11.98</v>
      </c>
      <c r="HG92">
        <v>4.9736000000000002</v>
      </c>
      <c r="HH92">
        <v>3.2839999999999998</v>
      </c>
      <c r="HI92">
        <v>9999</v>
      </c>
      <c r="HJ92">
        <v>9999</v>
      </c>
      <c r="HK92">
        <v>9999</v>
      </c>
      <c r="HL92">
        <v>999.9</v>
      </c>
      <c r="HM92">
        <v>1.8614299999999999</v>
      </c>
      <c r="HN92">
        <v>1.8631</v>
      </c>
      <c r="HO92">
        <v>1.8684700000000001</v>
      </c>
      <c r="HP92">
        <v>1.85914</v>
      </c>
      <c r="HQ92">
        <v>1.8575600000000001</v>
      </c>
      <c r="HR92">
        <v>1.86127</v>
      </c>
      <c r="HS92">
        <v>1.8650800000000001</v>
      </c>
      <c r="HT92">
        <v>1.86713</v>
      </c>
      <c r="HU92">
        <v>5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1.5269999999999999</v>
      </c>
      <c r="II92">
        <v>0.82450000000000001</v>
      </c>
      <c r="IJ92">
        <v>1.501538719553843</v>
      </c>
      <c r="IK92">
        <v>1.118558698776514E-3</v>
      </c>
      <c r="IL92">
        <v>-1.6939696309573479E-6</v>
      </c>
      <c r="IM92">
        <v>5.4698917449866148E-10</v>
      </c>
      <c r="IN92">
        <v>-8.6789375956577763E-2</v>
      </c>
      <c r="IO92">
        <v>-7.6058941998734366E-3</v>
      </c>
      <c r="IP92">
        <v>1.6984902717538061E-3</v>
      </c>
      <c r="IQ92">
        <v>-9.6352527008986976E-6</v>
      </c>
      <c r="IR92">
        <v>2</v>
      </c>
      <c r="IS92">
        <v>2021</v>
      </c>
      <c r="IT92">
        <v>2</v>
      </c>
      <c r="IU92">
        <v>40</v>
      </c>
      <c r="IV92">
        <v>0.6</v>
      </c>
      <c r="IW92">
        <v>0.5</v>
      </c>
      <c r="IX92">
        <v>0.21484400000000001</v>
      </c>
      <c r="IY92">
        <v>2.5647000000000002</v>
      </c>
      <c r="IZ92">
        <v>1.34399</v>
      </c>
      <c r="JA92">
        <v>2.2399900000000001</v>
      </c>
      <c r="JB92">
        <v>1.5918000000000001</v>
      </c>
      <c r="JC92">
        <v>2.4731399999999999</v>
      </c>
      <c r="JD92">
        <v>41.796100000000003</v>
      </c>
      <c r="JE92">
        <v>23.833600000000001</v>
      </c>
      <c r="JF92">
        <v>18</v>
      </c>
      <c r="JG92">
        <v>510.24799999999999</v>
      </c>
      <c r="JH92">
        <v>412.34800000000001</v>
      </c>
      <c r="JI92">
        <v>26.383700000000001</v>
      </c>
      <c r="JJ92">
        <v>33.216299999999997</v>
      </c>
      <c r="JK92">
        <v>30.0001</v>
      </c>
      <c r="JL92">
        <v>33.137500000000003</v>
      </c>
      <c r="JM92">
        <v>33.0869</v>
      </c>
      <c r="JN92">
        <v>4.3761200000000002</v>
      </c>
      <c r="JO92">
        <v>29.242100000000001</v>
      </c>
      <c r="JP92">
        <v>33.274700000000003</v>
      </c>
      <c r="JQ92">
        <v>26.360800000000001</v>
      </c>
      <c r="JR92">
        <v>30</v>
      </c>
      <c r="JS92">
        <v>21.837199999999999</v>
      </c>
      <c r="JT92">
        <v>99.066400000000002</v>
      </c>
      <c r="JU92">
        <v>97.644199999999998</v>
      </c>
    </row>
    <row r="93" spans="1:281" x14ac:dyDescent="0.25">
      <c r="A93">
        <v>77</v>
      </c>
      <c r="B93">
        <v>1693341466.5</v>
      </c>
      <c r="C93">
        <v>19705</v>
      </c>
      <c r="D93" t="s">
        <v>808</v>
      </c>
      <c r="E93" t="s">
        <v>809</v>
      </c>
      <c r="F93" t="s">
        <v>413</v>
      </c>
      <c r="G93" t="s">
        <v>492</v>
      </c>
      <c r="H93" t="s">
        <v>779</v>
      </c>
      <c r="I93" t="s">
        <v>493</v>
      </c>
      <c r="J93">
        <v>1693341466.5</v>
      </c>
      <c r="K93">
        <f t="shared" si="92"/>
        <v>6.2532019636048469E-3</v>
      </c>
      <c r="L93">
        <f t="shared" si="93"/>
        <v>6.2532019636048473</v>
      </c>
      <c r="M93">
        <f t="shared" si="94"/>
        <v>1.2495862718517097</v>
      </c>
      <c r="N93">
        <f t="shared" si="95"/>
        <v>8.5701000000000001</v>
      </c>
      <c r="O93">
        <f t="shared" si="96"/>
        <v>3.832048523461991</v>
      </c>
      <c r="P93">
        <f t="shared" si="97"/>
        <v>0.37911831479786001</v>
      </c>
      <c r="Q93">
        <f t="shared" si="98"/>
        <v>0.84787075365992992</v>
      </c>
      <c r="R93">
        <f t="shared" si="99"/>
        <v>0.46812748981881458</v>
      </c>
      <c r="S93">
        <f t="shared" si="100"/>
        <v>2.9138119637574702</v>
      </c>
      <c r="T93">
        <f t="shared" si="101"/>
        <v>0.43000352227353072</v>
      </c>
      <c r="U93">
        <f t="shared" si="102"/>
        <v>0.27191828708095922</v>
      </c>
      <c r="V93">
        <f t="shared" si="103"/>
        <v>344.37189964450204</v>
      </c>
      <c r="W93">
        <f t="shared" si="104"/>
        <v>30.792856008373683</v>
      </c>
      <c r="X93">
        <f t="shared" si="105"/>
        <v>29.9696</v>
      </c>
      <c r="Y93">
        <f t="shared" si="106"/>
        <v>4.2530160415407465</v>
      </c>
      <c r="Z93">
        <f t="shared" si="107"/>
        <v>65.793909310408281</v>
      </c>
      <c r="AA93">
        <f t="shared" si="108"/>
        <v>2.8660665085852797</v>
      </c>
      <c r="AB93">
        <f t="shared" si="109"/>
        <v>4.3561273963270661</v>
      </c>
      <c r="AC93">
        <f t="shared" si="110"/>
        <v>1.3869495329554669</v>
      </c>
      <c r="AD93">
        <f t="shared" si="111"/>
        <v>-275.76620659497377</v>
      </c>
      <c r="AE93">
        <f t="shared" si="112"/>
        <v>65.600546214422764</v>
      </c>
      <c r="AF93">
        <f t="shared" si="113"/>
        <v>5.0147826793788388</v>
      </c>
      <c r="AG93">
        <f t="shared" si="114"/>
        <v>139.22102194332984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51813.298193092742</v>
      </c>
      <c r="AM93" t="s">
        <v>415</v>
      </c>
      <c r="AN93">
        <v>10366.9</v>
      </c>
      <c r="AO93">
        <v>993.59653846153856</v>
      </c>
      <c r="AP93">
        <v>3431.87</v>
      </c>
      <c r="AQ93">
        <f t="shared" si="118"/>
        <v>0.71047955241266758</v>
      </c>
      <c r="AR93">
        <v>-3.9894345373445681</v>
      </c>
      <c r="AS93" t="s">
        <v>810</v>
      </c>
      <c r="AT93">
        <v>10360</v>
      </c>
      <c r="AU93">
        <v>750.48480769230764</v>
      </c>
      <c r="AV93">
        <v>796.4860909079124</v>
      </c>
      <c r="AW93">
        <f t="shared" si="119"/>
        <v>5.77552875570847E-2</v>
      </c>
      <c r="AX93">
        <v>0.5</v>
      </c>
      <c r="AY93">
        <f t="shared" si="120"/>
        <v>1513.193399822251</v>
      </c>
      <c r="AZ93">
        <f t="shared" si="121"/>
        <v>1.2495862718517097</v>
      </c>
      <c r="BA93">
        <f t="shared" si="122"/>
        <v>43.697459968108376</v>
      </c>
      <c r="BB93">
        <f t="shared" si="123"/>
        <v>3.4622281658191782E-3</v>
      </c>
      <c r="BC93">
        <f t="shared" si="124"/>
        <v>3.3087632529627982</v>
      </c>
      <c r="BD93">
        <f t="shared" si="125"/>
        <v>507.46658239588271</v>
      </c>
      <c r="BE93" t="s">
        <v>811</v>
      </c>
      <c r="BF93">
        <v>617.33000000000004</v>
      </c>
      <c r="BG93">
        <f t="shared" si="126"/>
        <v>617.33000000000004</v>
      </c>
      <c r="BH93">
        <f t="shared" si="127"/>
        <v>0.2249331067460234</v>
      </c>
      <c r="BI93">
        <f t="shared" si="128"/>
        <v>0.25676650446257937</v>
      </c>
      <c r="BJ93">
        <f t="shared" si="129"/>
        <v>0.936346226769592</v>
      </c>
      <c r="BK93">
        <f t="shared" si="130"/>
        <v>-0.23337820895104802</v>
      </c>
      <c r="BL93">
        <f t="shared" si="131"/>
        <v>1.0808401726315211</v>
      </c>
      <c r="BM93">
        <f t="shared" si="132"/>
        <v>0.21120969348772178</v>
      </c>
      <c r="BN93">
        <f t="shared" si="133"/>
        <v>0.78879030651227822</v>
      </c>
      <c r="BO93">
        <v>2105</v>
      </c>
      <c r="BP93">
        <v>290.00000000000011</v>
      </c>
      <c r="BQ93">
        <v>781.45</v>
      </c>
      <c r="BR93">
        <v>265</v>
      </c>
      <c r="BS93">
        <v>10360</v>
      </c>
      <c r="BT93">
        <v>780.96</v>
      </c>
      <c r="BU93">
        <v>0.49</v>
      </c>
      <c r="BV93">
        <v>300.00000000000011</v>
      </c>
      <c r="BW93">
        <v>38.4</v>
      </c>
      <c r="BX93">
        <v>796.4860909079124</v>
      </c>
      <c r="BY93">
        <v>0.9925369065875097</v>
      </c>
      <c r="BZ93">
        <v>-16.082733404902829</v>
      </c>
      <c r="CA93">
        <v>0.8422367198629086</v>
      </c>
      <c r="CB93">
        <v>0.9286858854619382</v>
      </c>
      <c r="CC93">
        <v>-1.1281222691879859E-2</v>
      </c>
      <c r="CD93">
        <v>289.99999999999989</v>
      </c>
      <c r="CE93">
        <v>779.05</v>
      </c>
      <c r="CF93">
        <v>685</v>
      </c>
      <c r="CG93">
        <v>10345.200000000001</v>
      </c>
      <c r="CH93">
        <v>780.94</v>
      </c>
      <c r="CI93">
        <v>-1.89</v>
      </c>
      <c r="CW93">
        <f t="shared" si="134"/>
        <v>1800.01</v>
      </c>
      <c r="CX93">
        <f t="shared" si="135"/>
        <v>1513.193399822251</v>
      </c>
      <c r="CY93">
        <f t="shared" si="136"/>
        <v>0.84065832957719733</v>
      </c>
      <c r="CZ93">
        <f t="shared" si="137"/>
        <v>0.19131665915439472</v>
      </c>
      <c r="DA93">
        <v>6</v>
      </c>
      <c r="DB93">
        <v>0.5</v>
      </c>
      <c r="DC93" t="s">
        <v>418</v>
      </c>
      <c r="DD93">
        <v>2</v>
      </c>
      <c r="DE93">
        <v>1693341466.5</v>
      </c>
      <c r="DF93">
        <v>8.5701000000000001</v>
      </c>
      <c r="DG93">
        <v>10.1342</v>
      </c>
      <c r="DH93">
        <v>28.9696</v>
      </c>
      <c r="DI93">
        <v>21.681799999999999</v>
      </c>
      <c r="DJ93">
        <v>7.0607899999999999</v>
      </c>
      <c r="DK93">
        <v>28.139900000000001</v>
      </c>
      <c r="DL93">
        <v>499.90800000000002</v>
      </c>
      <c r="DM93">
        <v>98.833799999999997</v>
      </c>
      <c r="DN93">
        <v>9.9789299999999997E-2</v>
      </c>
      <c r="DO93">
        <v>30.3872</v>
      </c>
      <c r="DP93">
        <v>29.9696</v>
      </c>
      <c r="DQ93">
        <v>999.9</v>
      </c>
      <c r="DR93">
        <v>0</v>
      </c>
      <c r="DS93">
        <v>0</v>
      </c>
      <c r="DT93">
        <v>10027.5</v>
      </c>
      <c r="DU93">
        <v>0</v>
      </c>
      <c r="DV93">
        <v>270.52100000000002</v>
      </c>
      <c r="DW93">
        <v>-1.56413</v>
      </c>
      <c r="DX93">
        <v>8.82578</v>
      </c>
      <c r="DY93">
        <v>10.3588</v>
      </c>
      <c r="DZ93">
        <v>7.2877200000000002</v>
      </c>
      <c r="EA93">
        <v>10.1342</v>
      </c>
      <c r="EB93">
        <v>21.681799999999999</v>
      </c>
      <c r="EC93">
        <v>2.8631700000000002</v>
      </c>
      <c r="ED93">
        <v>2.1429</v>
      </c>
      <c r="EE93">
        <v>23.2529</v>
      </c>
      <c r="EF93">
        <v>18.541699999999999</v>
      </c>
      <c r="EG93">
        <v>1800.01</v>
      </c>
      <c r="EH93">
        <v>0.97799199999999997</v>
      </c>
      <c r="EI93">
        <v>2.2007700000000002E-2</v>
      </c>
      <c r="EJ93">
        <v>0</v>
      </c>
      <c r="EK93">
        <v>749.83900000000006</v>
      </c>
      <c r="EL93">
        <v>5.0002700000000004</v>
      </c>
      <c r="EM93">
        <v>14100.7</v>
      </c>
      <c r="EN93">
        <v>16248.7</v>
      </c>
      <c r="EO93">
        <v>47.125</v>
      </c>
      <c r="EP93">
        <v>48.125</v>
      </c>
      <c r="EQ93">
        <v>48.061999999999998</v>
      </c>
      <c r="ER93">
        <v>47.561999999999998</v>
      </c>
      <c r="ES93">
        <v>48.875</v>
      </c>
      <c r="ET93">
        <v>1755.51</v>
      </c>
      <c r="EU93">
        <v>39.5</v>
      </c>
      <c r="EV93">
        <v>0</v>
      </c>
      <c r="EW93">
        <v>97.400000095367432</v>
      </c>
      <c r="EX93">
        <v>0</v>
      </c>
      <c r="EY93">
        <v>750.48480769230764</v>
      </c>
      <c r="EZ93">
        <v>-2.903487184858986</v>
      </c>
      <c r="FA93">
        <v>-28.687179487636548</v>
      </c>
      <c r="FB93">
        <v>14104.119230769231</v>
      </c>
      <c r="FC93">
        <v>15</v>
      </c>
      <c r="FD93">
        <v>1693341439</v>
      </c>
      <c r="FE93" t="s">
        <v>812</v>
      </c>
      <c r="FF93">
        <v>1693341429.5</v>
      </c>
      <c r="FG93">
        <v>1693341439</v>
      </c>
      <c r="FH93">
        <v>87</v>
      </c>
      <c r="FI93">
        <v>0</v>
      </c>
      <c r="FJ93">
        <v>0</v>
      </c>
      <c r="FK93">
        <v>1.5109999999999999</v>
      </c>
      <c r="FL93">
        <v>0.43</v>
      </c>
      <c r="FM93">
        <v>10</v>
      </c>
      <c r="FN93">
        <v>22</v>
      </c>
      <c r="FO93">
        <v>0.75</v>
      </c>
      <c r="FP93">
        <v>0.05</v>
      </c>
      <c r="FQ93">
        <v>1.1754959453538421</v>
      </c>
      <c r="FR93">
        <v>0.26822994914304332</v>
      </c>
      <c r="FS93">
        <v>4.3638628951215452E-2</v>
      </c>
      <c r="FT93">
        <v>1</v>
      </c>
      <c r="FU93">
        <v>0.46841662744193319</v>
      </c>
      <c r="FV93">
        <v>2.4062493723811709E-2</v>
      </c>
      <c r="FW93">
        <v>4.5459897565343658E-3</v>
      </c>
      <c r="FX93">
        <v>1</v>
      </c>
      <c r="FY93">
        <v>2</v>
      </c>
      <c r="FZ93">
        <v>2</v>
      </c>
      <c r="GA93" t="s">
        <v>429</v>
      </c>
      <c r="GB93">
        <v>3.1336200000000001</v>
      </c>
      <c r="GC93">
        <v>2.8651900000000001</v>
      </c>
      <c r="GD93">
        <v>1.9524E-3</v>
      </c>
      <c r="GE93">
        <v>2.8881499999999999E-3</v>
      </c>
      <c r="GF93">
        <v>0.12890399999999999</v>
      </c>
      <c r="GG93">
        <v>0.10999200000000001</v>
      </c>
      <c r="GH93">
        <v>30059.200000000001</v>
      </c>
      <c r="GI93">
        <v>23251.1</v>
      </c>
      <c r="GJ93">
        <v>29049.5</v>
      </c>
      <c r="GK93">
        <v>21741.200000000001</v>
      </c>
      <c r="GL93">
        <v>33915.4</v>
      </c>
      <c r="GM93">
        <v>26639.8</v>
      </c>
      <c r="GN93">
        <v>40319.1</v>
      </c>
      <c r="GO93">
        <v>30914.2</v>
      </c>
      <c r="GP93">
        <v>2.0087000000000002</v>
      </c>
      <c r="GQ93">
        <v>1.7856000000000001</v>
      </c>
      <c r="GR93">
        <v>1.37687E-2</v>
      </c>
      <c r="GS93">
        <v>0</v>
      </c>
      <c r="GT93">
        <v>29.7455</v>
      </c>
      <c r="GU93">
        <v>999.9</v>
      </c>
      <c r="GV93">
        <v>44.9</v>
      </c>
      <c r="GW93">
        <v>36.700000000000003</v>
      </c>
      <c r="GX93">
        <v>28.1782</v>
      </c>
      <c r="GY93">
        <v>61.315800000000003</v>
      </c>
      <c r="GZ93">
        <v>11.7668</v>
      </c>
      <c r="HA93">
        <v>1</v>
      </c>
      <c r="HB93">
        <v>0.46094499999999999</v>
      </c>
      <c r="HC93">
        <v>2.2588200000000001</v>
      </c>
      <c r="HD93">
        <v>20.2666</v>
      </c>
      <c r="HE93">
        <v>5.2346599999999999</v>
      </c>
      <c r="HF93">
        <v>11.98</v>
      </c>
      <c r="HG93">
        <v>4.9749999999999996</v>
      </c>
      <c r="HH93">
        <v>3.2839999999999998</v>
      </c>
      <c r="HI93">
        <v>9999</v>
      </c>
      <c r="HJ93">
        <v>9999</v>
      </c>
      <c r="HK93">
        <v>9999</v>
      </c>
      <c r="HL93">
        <v>999.9</v>
      </c>
      <c r="HM93">
        <v>1.8614200000000001</v>
      </c>
      <c r="HN93">
        <v>1.8631</v>
      </c>
      <c r="HO93">
        <v>1.86849</v>
      </c>
      <c r="HP93">
        <v>1.8591800000000001</v>
      </c>
      <c r="HQ93">
        <v>1.85758</v>
      </c>
      <c r="HR93">
        <v>1.86127</v>
      </c>
      <c r="HS93">
        <v>1.8650800000000001</v>
      </c>
      <c r="HT93">
        <v>1.8671899999999999</v>
      </c>
      <c r="HU93">
        <v>5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1.5089999999999999</v>
      </c>
      <c r="II93">
        <v>0.82969999999999999</v>
      </c>
      <c r="IJ93">
        <v>1.5015000000000001</v>
      </c>
      <c r="IK93">
        <v>1.11856E-3</v>
      </c>
      <c r="IL93">
        <v>-1.69397E-6</v>
      </c>
      <c r="IM93">
        <v>5.4698899999999998E-10</v>
      </c>
      <c r="IN93">
        <v>-8.6571892828993247E-2</v>
      </c>
      <c r="IO93">
        <v>-7.6058941998734366E-3</v>
      </c>
      <c r="IP93">
        <v>1.6984902717538061E-3</v>
      </c>
      <c r="IQ93">
        <v>-9.6352527008986976E-6</v>
      </c>
      <c r="IR93">
        <v>2</v>
      </c>
      <c r="IS93">
        <v>2021</v>
      </c>
      <c r="IT93">
        <v>2</v>
      </c>
      <c r="IU93">
        <v>40</v>
      </c>
      <c r="IV93">
        <v>0.6</v>
      </c>
      <c r="IW93">
        <v>0.5</v>
      </c>
      <c r="IX93">
        <v>0.17089799999999999</v>
      </c>
      <c r="IY93">
        <v>2.5939899999999998</v>
      </c>
      <c r="IZ93">
        <v>1.34399</v>
      </c>
      <c r="JA93">
        <v>2.2412100000000001</v>
      </c>
      <c r="JB93">
        <v>1.5918000000000001</v>
      </c>
      <c r="JC93">
        <v>2.4243199999999998</v>
      </c>
      <c r="JD93">
        <v>41.848599999999998</v>
      </c>
      <c r="JE93">
        <v>23.833600000000001</v>
      </c>
      <c r="JF93">
        <v>18</v>
      </c>
      <c r="JG93">
        <v>510.25</v>
      </c>
      <c r="JH93">
        <v>412.10300000000001</v>
      </c>
      <c r="JI93">
        <v>26.3231</v>
      </c>
      <c r="JJ93">
        <v>33.260800000000003</v>
      </c>
      <c r="JK93">
        <v>29.998899999999999</v>
      </c>
      <c r="JL93">
        <v>33.161099999999998</v>
      </c>
      <c r="JM93">
        <v>33.113399999999999</v>
      </c>
      <c r="JN93">
        <v>3.4994800000000001</v>
      </c>
      <c r="JO93">
        <v>29.480799999999999</v>
      </c>
      <c r="JP93">
        <v>31.985099999999999</v>
      </c>
      <c r="JQ93">
        <v>26.328600000000002</v>
      </c>
      <c r="JR93">
        <v>10</v>
      </c>
      <c r="JS93">
        <v>21.588999999999999</v>
      </c>
      <c r="JT93">
        <v>99.051900000000003</v>
      </c>
      <c r="JU93">
        <v>97.640600000000006</v>
      </c>
    </row>
    <row r="94" spans="1:281" x14ac:dyDescent="0.25">
      <c r="A94">
        <v>78</v>
      </c>
      <c r="B94">
        <v>1693341656</v>
      </c>
      <c r="C94">
        <v>19894.5</v>
      </c>
      <c r="D94" t="s">
        <v>813</v>
      </c>
      <c r="E94" t="s">
        <v>814</v>
      </c>
      <c r="F94" t="s">
        <v>413</v>
      </c>
      <c r="G94" t="s">
        <v>492</v>
      </c>
      <c r="H94" t="s">
        <v>779</v>
      </c>
      <c r="I94" t="s">
        <v>493</v>
      </c>
      <c r="J94">
        <v>1693341656</v>
      </c>
      <c r="K94">
        <f t="shared" si="92"/>
        <v>6.175579255958864E-3</v>
      </c>
      <c r="L94">
        <f t="shared" si="93"/>
        <v>6.1755792559588638</v>
      </c>
      <c r="M94">
        <f t="shared" si="94"/>
        <v>37.363135602121872</v>
      </c>
      <c r="N94">
        <f t="shared" si="95"/>
        <v>352.483</v>
      </c>
      <c r="O94">
        <f t="shared" si="96"/>
        <v>203.22274309947039</v>
      </c>
      <c r="P94">
        <f t="shared" si="97"/>
        <v>20.104220594601184</v>
      </c>
      <c r="Q94">
        <f t="shared" si="98"/>
        <v>34.870093178391294</v>
      </c>
      <c r="R94">
        <f t="shared" si="99"/>
        <v>0.4493915739387826</v>
      </c>
      <c r="S94">
        <f t="shared" si="100"/>
        <v>2.9215433071269765</v>
      </c>
      <c r="T94">
        <f t="shared" si="101"/>
        <v>0.41422064333028075</v>
      </c>
      <c r="U94">
        <f t="shared" si="102"/>
        <v>0.26181810780291082</v>
      </c>
      <c r="V94">
        <f t="shared" si="103"/>
        <v>344.4009996444417</v>
      </c>
      <c r="W94">
        <f t="shared" si="104"/>
        <v>30.909292294745427</v>
      </c>
      <c r="X94">
        <f t="shared" si="105"/>
        <v>30.008199999999999</v>
      </c>
      <c r="Y94">
        <f t="shared" si="106"/>
        <v>4.2624568616116782</v>
      </c>
      <c r="Z94">
        <f t="shared" si="107"/>
        <v>64.845749914016992</v>
      </c>
      <c r="AA94">
        <f t="shared" si="108"/>
        <v>2.8405113422485195</v>
      </c>
      <c r="AB94">
        <f t="shared" si="109"/>
        <v>4.3804125112515928</v>
      </c>
      <c r="AC94">
        <f t="shared" si="110"/>
        <v>1.4219455193631587</v>
      </c>
      <c r="AD94">
        <f t="shared" si="111"/>
        <v>-272.34304518778589</v>
      </c>
      <c r="AE94">
        <f t="shared" si="112"/>
        <v>74.988722184620642</v>
      </c>
      <c r="AF94">
        <f t="shared" si="113"/>
        <v>5.7211247442428963</v>
      </c>
      <c r="AG94">
        <f t="shared" si="114"/>
        <v>152.76780138551936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52016.20798837953</v>
      </c>
      <c r="AM94" t="s">
        <v>415</v>
      </c>
      <c r="AN94">
        <v>10366.9</v>
      </c>
      <c r="AO94">
        <v>993.59653846153856</v>
      </c>
      <c r="AP94">
        <v>3431.87</v>
      </c>
      <c r="AQ94">
        <f t="shared" si="118"/>
        <v>0.71047955241266758</v>
      </c>
      <c r="AR94">
        <v>-3.9894345373445681</v>
      </c>
      <c r="AS94" t="s">
        <v>815</v>
      </c>
      <c r="AT94">
        <v>10359.6</v>
      </c>
      <c r="AU94">
        <v>733.55573076923076</v>
      </c>
      <c r="AV94">
        <v>997.84999213047354</v>
      </c>
      <c r="AW94">
        <f t="shared" si="119"/>
        <v>0.26486372044455064</v>
      </c>
      <c r="AX94">
        <v>0.5</v>
      </c>
      <c r="AY94">
        <f t="shared" si="120"/>
        <v>1513.3196998222206</v>
      </c>
      <c r="AZ94">
        <f t="shared" si="121"/>
        <v>37.363135602121872</v>
      </c>
      <c r="BA94">
        <f t="shared" si="122"/>
        <v>200.41174295847196</v>
      </c>
      <c r="BB94">
        <f t="shared" si="123"/>
        <v>2.7325733051862332E-2</v>
      </c>
      <c r="BC94">
        <f t="shared" si="124"/>
        <v>2.4392644456234729</v>
      </c>
      <c r="BD94">
        <f t="shared" si="125"/>
        <v>582.3389269060558</v>
      </c>
      <c r="BE94" t="s">
        <v>816</v>
      </c>
      <c r="BF94">
        <v>583.39</v>
      </c>
      <c r="BG94">
        <f t="shared" si="126"/>
        <v>583.39</v>
      </c>
      <c r="BH94">
        <f t="shared" si="127"/>
        <v>0.41535300435847577</v>
      </c>
      <c r="BI94">
        <f t="shared" si="128"/>
        <v>0.63768341065364387</v>
      </c>
      <c r="BJ94">
        <f t="shared" si="129"/>
        <v>0.85449784020583819</v>
      </c>
      <c r="BK94">
        <f t="shared" si="130"/>
        <v>62.136391255771976</v>
      </c>
      <c r="BL94">
        <f t="shared" si="131"/>
        <v>0.99825554691217788</v>
      </c>
      <c r="BM94">
        <f t="shared" si="132"/>
        <v>0.50714364203946549</v>
      </c>
      <c r="BN94">
        <f t="shared" si="133"/>
        <v>0.49285635796053451</v>
      </c>
      <c r="BO94">
        <v>2107</v>
      </c>
      <c r="BP94">
        <v>290.00000000000011</v>
      </c>
      <c r="BQ94">
        <v>915.84</v>
      </c>
      <c r="BR94">
        <v>295</v>
      </c>
      <c r="BS94">
        <v>10359.6</v>
      </c>
      <c r="BT94">
        <v>915.88</v>
      </c>
      <c r="BU94">
        <v>-0.04</v>
      </c>
      <c r="BV94">
        <v>300.00000000000011</v>
      </c>
      <c r="BW94">
        <v>38.4</v>
      </c>
      <c r="BX94">
        <v>997.84999213047354</v>
      </c>
      <c r="BY94">
        <v>0.88676362735141989</v>
      </c>
      <c r="BZ94">
        <v>-84.914626172999363</v>
      </c>
      <c r="CA94">
        <v>0.75261801424666142</v>
      </c>
      <c r="CB94">
        <v>0.99780523501074969</v>
      </c>
      <c r="CC94">
        <v>-1.12838467185762E-2</v>
      </c>
      <c r="CD94">
        <v>289.99999999999989</v>
      </c>
      <c r="CE94">
        <v>900.39</v>
      </c>
      <c r="CF94">
        <v>635</v>
      </c>
      <c r="CG94">
        <v>10351.9</v>
      </c>
      <c r="CH94">
        <v>915.82</v>
      </c>
      <c r="CI94">
        <v>-15.43</v>
      </c>
      <c r="CW94">
        <f t="shared" si="134"/>
        <v>1800.16</v>
      </c>
      <c r="CX94">
        <f t="shared" si="135"/>
        <v>1513.3196998222206</v>
      </c>
      <c r="CY94">
        <f t="shared" si="136"/>
        <v>0.84065844137311163</v>
      </c>
      <c r="CZ94">
        <f t="shared" si="137"/>
        <v>0.19131688274622349</v>
      </c>
      <c r="DA94">
        <v>6</v>
      </c>
      <c r="DB94">
        <v>0.5</v>
      </c>
      <c r="DC94" t="s">
        <v>418</v>
      </c>
      <c r="DD94">
        <v>2</v>
      </c>
      <c r="DE94">
        <v>1693341656</v>
      </c>
      <c r="DF94">
        <v>352.483</v>
      </c>
      <c r="DG94">
        <v>399.94600000000003</v>
      </c>
      <c r="DH94">
        <v>28.713200000000001</v>
      </c>
      <c r="DI94">
        <v>21.513000000000002</v>
      </c>
      <c r="DJ94">
        <v>350.43299999999999</v>
      </c>
      <c r="DK94">
        <v>27.898499999999999</v>
      </c>
      <c r="DL94">
        <v>499.84100000000001</v>
      </c>
      <c r="DM94">
        <v>98.827799999999996</v>
      </c>
      <c r="DN94">
        <v>9.9221100000000007E-2</v>
      </c>
      <c r="DO94">
        <v>30.484300000000001</v>
      </c>
      <c r="DP94">
        <v>30.008199999999999</v>
      </c>
      <c r="DQ94">
        <v>999.9</v>
      </c>
      <c r="DR94">
        <v>0</v>
      </c>
      <c r="DS94">
        <v>0</v>
      </c>
      <c r="DT94">
        <v>10072.5</v>
      </c>
      <c r="DU94">
        <v>0</v>
      </c>
      <c r="DV94">
        <v>266.71199999999999</v>
      </c>
      <c r="DW94">
        <v>-47.4636</v>
      </c>
      <c r="DX94">
        <v>362.90300000000002</v>
      </c>
      <c r="DY94">
        <v>408.73899999999998</v>
      </c>
      <c r="DZ94">
        <v>7.2002800000000002</v>
      </c>
      <c r="EA94">
        <v>399.94600000000003</v>
      </c>
      <c r="EB94">
        <v>21.513000000000002</v>
      </c>
      <c r="EC94">
        <v>2.8376700000000001</v>
      </c>
      <c r="ED94">
        <v>2.12608</v>
      </c>
      <c r="EE94">
        <v>23.104800000000001</v>
      </c>
      <c r="EF94">
        <v>18.415900000000001</v>
      </c>
      <c r="EG94">
        <v>1800.16</v>
      </c>
      <c r="EH94">
        <v>0.97799199999999997</v>
      </c>
      <c r="EI94">
        <v>2.2007700000000002E-2</v>
      </c>
      <c r="EJ94">
        <v>0</v>
      </c>
      <c r="EK94">
        <v>732.95299999999997</v>
      </c>
      <c r="EL94">
        <v>5.0002700000000004</v>
      </c>
      <c r="EM94">
        <v>13793</v>
      </c>
      <c r="EN94">
        <v>16250</v>
      </c>
      <c r="EO94">
        <v>47.061999999999998</v>
      </c>
      <c r="EP94">
        <v>48.061999999999998</v>
      </c>
      <c r="EQ94">
        <v>48</v>
      </c>
      <c r="ER94">
        <v>47.5</v>
      </c>
      <c r="ES94">
        <v>48.811999999999998</v>
      </c>
      <c r="ET94">
        <v>1755.65</v>
      </c>
      <c r="EU94">
        <v>39.51</v>
      </c>
      <c r="EV94">
        <v>0</v>
      </c>
      <c r="EW94">
        <v>187.4000000953674</v>
      </c>
      <c r="EX94">
        <v>0</v>
      </c>
      <c r="EY94">
        <v>733.55573076923076</v>
      </c>
      <c r="EZ94">
        <v>-6.3562735126947638</v>
      </c>
      <c r="FA94">
        <v>-118.5914530169825</v>
      </c>
      <c r="FB94">
        <v>13805.946153846149</v>
      </c>
      <c r="FC94">
        <v>15</v>
      </c>
      <c r="FD94">
        <v>1693341555</v>
      </c>
      <c r="FE94" t="s">
        <v>817</v>
      </c>
      <c r="FF94">
        <v>1693341543.5</v>
      </c>
      <c r="FG94">
        <v>1693341555</v>
      </c>
      <c r="FH94">
        <v>88</v>
      </c>
      <c r="FI94">
        <v>0.34</v>
      </c>
      <c r="FJ94">
        <v>1E-3</v>
      </c>
      <c r="FK94">
        <v>2.0529999999999999</v>
      </c>
      <c r="FL94">
        <v>0.40400000000000003</v>
      </c>
      <c r="FM94">
        <v>400</v>
      </c>
      <c r="FN94">
        <v>21</v>
      </c>
      <c r="FO94">
        <v>0.22</v>
      </c>
      <c r="FP94">
        <v>0.04</v>
      </c>
      <c r="FQ94">
        <v>37.026458037723742</v>
      </c>
      <c r="FR94">
        <v>2.7145805254721851</v>
      </c>
      <c r="FS94">
        <v>0.21860447510817879</v>
      </c>
      <c r="FT94">
        <v>0</v>
      </c>
      <c r="FU94">
        <v>0.45261888514253951</v>
      </c>
      <c r="FV94">
        <v>-3.0087591095318521E-2</v>
      </c>
      <c r="FW94">
        <v>2.5519234090702618E-3</v>
      </c>
      <c r="FX94">
        <v>1</v>
      </c>
      <c r="FY94">
        <v>1</v>
      </c>
      <c r="FZ94">
        <v>2</v>
      </c>
      <c r="GA94" t="s">
        <v>420</v>
      </c>
      <c r="GB94">
        <v>3.1335000000000002</v>
      </c>
      <c r="GC94">
        <v>2.8650099999999998</v>
      </c>
      <c r="GD94">
        <v>8.2649500000000001E-2</v>
      </c>
      <c r="GE94">
        <v>9.40497E-2</v>
      </c>
      <c r="GF94">
        <v>0.12811700000000001</v>
      </c>
      <c r="GG94">
        <v>0.10938000000000001</v>
      </c>
      <c r="GH94">
        <v>27628.9</v>
      </c>
      <c r="GI94">
        <v>21126.6</v>
      </c>
      <c r="GJ94">
        <v>29049.4</v>
      </c>
      <c r="GK94">
        <v>21742.2</v>
      </c>
      <c r="GL94">
        <v>33954.800000000003</v>
      </c>
      <c r="GM94">
        <v>26666</v>
      </c>
      <c r="GN94">
        <v>40319.300000000003</v>
      </c>
      <c r="GO94">
        <v>30915.1</v>
      </c>
      <c r="GP94">
        <v>2.0095999999999998</v>
      </c>
      <c r="GQ94">
        <v>1.786</v>
      </c>
      <c r="GR94">
        <v>1.96099E-2</v>
      </c>
      <c r="GS94">
        <v>0</v>
      </c>
      <c r="GT94">
        <v>29.689</v>
      </c>
      <c r="GU94">
        <v>999.9</v>
      </c>
      <c r="GV94">
        <v>44.2</v>
      </c>
      <c r="GW94">
        <v>36.799999999999997</v>
      </c>
      <c r="GX94">
        <v>27.890999999999998</v>
      </c>
      <c r="GY94">
        <v>61.845799999999997</v>
      </c>
      <c r="GZ94">
        <v>12.3317</v>
      </c>
      <c r="HA94">
        <v>1</v>
      </c>
      <c r="HB94">
        <v>0.46277400000000002</v>
      </c>
      <c r="HC94">
        <v>2.46035</v>
      </c>
      <c r="HD94">
        <v>20.262799999999999</v>
      </c>
      <c r="HE94">
        <v>5.2346599999999999</v>
      </c>
      <c r="HF94">
        <v>11.98</v>
      </c>
      <c r="HG94">
        <v>4.9753999999999996</v>
      </c>
      <c r="HH94">
        <v>3.2839999999999998</v>
      </c>
      <c r="HI94">
        <v>9999</v>
      </c>
      <c r="HJ94">
        <v>9999</v>
      </c>
      <c r="HK94">
        <v>9999</v>
      </c>
      <c r="HL94">
        <v>999.9</v>
      </c>
      <c r="HM94">
        <v>1.86141</v>
      </c>
      <c r="HN94">
        <v>1.8631</v>
      </c>
      <c r="HO94">
        <v>1.8684400000000001</v>
      </c>
      <c r="HP94">
        <v>1.8591299999999999</v>
      </c>
      <c r="HQ94">
        <v>1.8574900000000001</v>
      </c>
      <c r="HR94">
        <v>1.86121</v>
      </c>
      <c r="HS94">
        <v>1.8650800000000001</v>
      </c>
      <c r="HT94">
        <v>1.8671</v>
      </c>
      <c r="HU94">
        <v>5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2.0499999999999998</v>
      </c>
      <c r="II94">
        <v>0.81469999999999998</v>
      </c>
      <c r="IJ94">
        <v>1.8416056496441691</v>
      </c>
      <c r="IK94">
        <v>1.118558698776514E-3</v>
      </c>
      <c r="IL94">
        <v>-1.6939696309573479E-6</v>
      </c>
      <c r="IM94">
        <v>5.4698917449866148E-10</v>
      </c>
      <c r="IN94">
        <v>-8.5839080530696998E-2</v>
      </c>
      <c r="IO94">
        <v>-7.6058941998734366E-3</v>
      </c>
      <c r="IP94">
        <v>1.6984902717538061E-3</v>
      </c>
      <c r="IQ94">
        <v>-9.6352527008986976E-6</v>
      </c>
      <c r="IR94">
        <v>2</v>
      </c>
      <c r="IS94">
        <v>2021</v>
      </c>
      <c r="IT94">
        <v>2</v>
      </c>
      <c r="IU94">
        <v>40</v>
      </c>
      <c r="IV94">
        <v>1.9</v>
      </c>
      <c r="IW94">
        <v>1.7</v>
      </c>
      <c r="IX94">
        <v>1.02539</v>
      </c>
      <c r="IY94">
        <v>2.52075</v>
      </c>
      <c r="IZ94">
        <v>1.34399</v>
      </c>
      <c r="JA94">
        <v>2.2399900000000001</v>
      </c>
      <c r="JB94">
        <v>1.5918000000000001</v>
      </c>
      <c r="JC94">
        <v>2.3706100000000001</v>
      </c>
      <c r="JD94">
        <v>41.848599999999998</v>
      </c>
      <c r="JE94">
        <v>23.886099999999999</v>
      </c>
      <c r="JF94">
        <v>18</v>
      </c>
      <c r="JG94">
        <v>510.94600000000003</v>
      </c>
      <c r="JH94">
        <v>412.44</v>
      </c>
      <c r="JI94">
        <v>26.668399999999998</v>
      </c>
      <c r="JJ94">
        <v>33.278700000000001</v>
      </c>
      <c r="JK94">
        <v>29.9999</v>
      </c>
      <c r="JL94">
        <v>33.172899999999998</v>
      </c>
      <c r="JM94">
        <v>33.1252</v>
      </c>
      <c r="JN94">
        <v>20.598099999999999</v>
      </c>
      <c r="JO94">
        <v>28.31</v>
      </c>
      <c r="JP94">
        <v>29.5092</v>
      </c>
      <c r="JQ94">
        <v>26.669699999999999</v>
      </c>
      <c r="JR94">
        <v>400</v>
      </c>
      <c r="JS94">
        <v>21.491299999999999</v>
      </c>
      <c r="JT94">
        <v>99.051900000000003</v>
      </c>
      <c r="JU94">
        <v>97.644000000000005</v>
      </c>
    </row>
    <row r="95" spans="1:281" x14ac:dyDescent="0.25">
      <c r="A95">
        <v>79</v>
      </c>
      <c r="B95">
        <v>1693341804</v>
      </c>
      <c r="C95">
        <v>20042.5</v>
      </c>
      <c r="D95" t="s">
        <v>818</v>
      </c>
      <c r="E95" t="s">
        <v>819</v>
      </c>
      <c r="F95" t="s">
        <v>413</v>
      </c>
      <c r="G95" t="s">
        <v>492</v>
      </c>
      <c r="H95" t="s">
        <v>779</v>
      </c>
      <c r="I95" t="s">
        <v>493</v>
      </c>
      <c r="J95">
        <v>1693341804</v>
      </c>
      <c r="K95">
        <f t="shared" si="92"/>
        <v>5.9641264024094358E-3</v>
      </c>
      <c r="L95">
        <f t="shared" si="93"/>
        <v>5.9641264024094358</v>
      </c>
      <c r="M95">
        <f t="shared" si="94"/>
        <v>41.942619289005904</v>
      </c>
      <c r="N95">
        <f t="shared" si="95"/>
        <v>347.28500000000003</v>
      </c>
      <c r="O95">
        <f t="shared" si="96"/>
        <v>175.32399500368632</v>
      </c>
      <c r="P95">
        <f t="shared" si="97"/>
        <v>17.344820884086172</v>
      </c>
      <c r="Q95">
        <f t="shared" si="98"/>
        <v>34.356940820355007</v>
      </c>
      <c r="R95">
        <f t="shared" si="99"/>
        <v>0.43333192977661938</v>
      </c>
      <c r="S95">
        <f t="shared" si="100"/>
        <v>2.9036956294514926</v>
      </c>
      <c r="T95">
        <f t="shared" si="101"/>
        <v>0.40034641610551919</v>
      </c>
      <c r="U95">
        <f t="shared" si="102"/>
        <v>0.25297056354466818</v>
      </c>
      <c r="V95">
        <f t="shared" si="103"/>
        <v>344.38969964470169</v>
      </c>
      <c r="W95">
        <f t="shared" si="104"/>
        <v>30.926277191056744</v>
      </c>
      <c r="X95">
        <f t="shared" si="105"/>
        <v>30.0197</v>
      </c>
      <c r="Y95">
        <f t="shared" si="106"/>
        <v>4.2652730699908883</v>
      </c>
      <c r="Z95">
        <f t="shared" si="107"/>
        <v>65.086634353765874</v>
      </c>
      <c r="AA95">
        <f t="shared" si="108"/>
        <v>2.8444284284457</v>
      </c>
      <c r="AB95">
        <f t="shared" si="109"/>
        <v>4.3702189500003286</v>
      </c>
      <c r="AC95">
        <f t="shared" si="110"/>
        <v>1.4208446415451883</v>
      </c>
      <c r="AD95">
        <f t="shared" si="111"/>
        <v>-263.0179743462561</v>
      </c>
      <c r="AE95">
        <f t="shared" si="112"/>
        <v>66.359018036717742</v>
      </c>
      <c r="AF95">
        <f t="shared" si="113"/>
        <v>5.0931195122372186</v>
      </c>
      <c r="AG95">
        <f t="shared" si="114"/>
        <v>152.82386284740053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51516.731558185587</v>
      </c>
      <c r="AM95" t="s">
        <v>415</v>
      </c>
      <c r="AN95">
        <v>10366.9</v>
      </c>
      <c r="AO95">
        <v>993.59653846153856</v>
      </c>
      <c r="AP95">
        <v>3431.87</v>
      </c>
      <c r="AQ95">
        <f t="shared" si="118"/>
        <v>0.71047955241266758</v>
      </c>
      <c r="AR95">
        <v>-3.9894345373445681</v>
      </c>
      <c r="AS95" t="s">
        <v>820</v>
      </c>
      <c r="AT95">
        <v>10374.9</v>
      </c>
      <c r="AU95">
        <v>745.60428000000002</v>
      </c>
      <c r="AV95">
        <v>1029.5792360335461</v>
      </c>
      <c r="AW95">
        <f t="shared" si="119"/>
        <v>0.27581651425640585</v>
      </c>
      <c r="AX95">
        <v>0.5</v>
      </c>
      <c r="AY95">
        <f t="shared" si="120"/>
        <v>1513.2767998223508</v>
      </c>
      <c r="AZ95">
        <f t="shared" si="121"/>
        <v>41.942619289005904</v>
      </c>
      <c r="BA95">
        <f t="shared" si="122"/>
        <v>208.69336601604482</v>
      </c>
      <c r="BB95">
        <f t="shared" si="123"/>
        <v>3.0352711302877707E-2</v>
      </c>
      <c r="BC95">
        <f t="shared" si="124"/>
        <v>2.3332742929250192</v>
      </c>
      <c r="BD95">
        <f t="shared" si="125"/>
        <v>593.00410747848287</v>
      </c>
      <c r="BE95" t="s">
        <v>821</v>
      </c>
      <c r="BF95">
        <v>593.16999999999996</v>
      </c>
      <c r="BG95">
        <f t="shared" si="126"/>
        <v>593.16999999999996</v>
      </c>
      <c r="BH95">
        <f t="shared" si="127"/>
        <v>0.42387144258543197</v>
      </c>
      <c r="BI95">
        <f t="shared" si="128"/>
        <v>0.650707942422459</v>
      </c>
      <c r="BJ95">
        <f t="shared" si="129"/>
        <v>0.84626440411683301</v>
      </c>
      <c r="BK95">
        <f t="shared" si="130"/>
        <v>7.8919862932806462</v>
      </c>
      <c r="BL95">
        <f t="shared" si="131"/>
        <v>0.98524255046056064</v>
      </c>
      <c r="BM95">
        <f t="shared" si="132"/>
        <v>0.51767464399041541</v>
      </c>
      <c r="BN95">
        <f t="shared" si="133"/>
        <v>0.48232535600958459</v>
      </c>
      <c r="BO95">
        <v>2109</v>
      </c>
      <c r="BP95">
        <v>290.00000000000011</v>
      </c>
      <c r="BQ95">
        <v>952.99</v>
      </c>
      <c r="BR95">
        <v>175</v>
      </c>
      <c r="BS95">
        <v>10374.9</v>
      </c>
      <c r="BT95">
        <v>949.55</v>
      </c>
      <c r="BU95">
        <v>3.44</v>
      </c>
      <c r="BV95">
        <v>300.00000000000011</v>
      </c>
      <c r="BW95">
        <v>38.4</v>
      </c>
      <c r="BX95">
        <v>1029.5792360335461</v>
      </c>
      <c r="BY95">
        <v>1.0900059147616481</v>
      </c>
      <c r="BZ95">
        <v>-83.029565598395905</v>
      </c>
      <c r="CA95">
        <v>0.92512044819661632</v>
      </c>
      <c r="CB95">
        <v>0.99653596685799573</v>
      </c>
      <c r="CC95">
        <v>-1.1283552836484989E-2</v>
      </c>
      <c r="CD95">
        <v>289.99999999999989</v>
      </c>
      <c r="CE95">
        <v>941.09</v>
      </c>
      <c r="CF95">
        <v>675</v>
      </c>
      <c r="CG95">
        <v>10348.1</v>
      </c>
      <c r="CH95">
        <v>949.34</v>
      </c>
      <c r="CI95">
        <v>-8.25</v>
      </c>
      <c r="CW95">
        <f t="shared" si="134"/>
        <v>1800.11</v>
      </c>
      <c r="CX95">
        <f t="shared" si="135"/>
        <v>1513.2767998223508</v>
      </c>
      <c r="CY95">
        <f t="shared" si="136"/>
        <v>0.84065795969265811</v>
      </c>
      <c r="CZ95">
        <f t="shared" si="137"/>
        <v>0.19131591938531631</v>
      </c>
      <c r="DA95">
        <v>6</v>
      </c>
      <c r="DB95">
        <v>0.5</v>
      </c>
      <c r="DC95" t="s">
        <v>418</v>
      </c>
      <c r="DD95">
        <v>2</v>
      </c>
      <c r="DE95">
        <v>1693341804</v>
      </c>
      <c r="DF95">
        <v>347.28500000000003</v>
      </c>
      <c r="DG95">
        <v>400.05700000000002</v>
      </c>
      <c r="DH95">
        <v>28.751899999999999</v>
      </c>
      <c r="DI95">
        <v>21.8066</v>
      </c>
      <c r="DJ95">
        <v>345.27100000000002</v>
      </c>
      <c r="DK95">
        <v>27.93</v>
      </c>
      <c r="DL95">
        <v>500.423</v>
      </c>
      <c r="DM95">
        <v>98.83</v>
      </c>
      <c r="DN95">
        <v>0.100103</v>
      </c>
      <c r="DO95">
        <v>30.4436</v>
      </c>
      <c r="DP95">
        <v>30.0197</v>
      </c>
      <c r="DQ95">
        <v>999.9</v>
      </c>
      <c r="DR95">
        <v>0</v>
      </c>
      <c r="DS95">
        <v>0</v>
      </c>
      <c r="DT95">
        <v>9970</v>
      </c>
      <c r="DU95">
        <v>0</v>
      </c>
      <c r="DV95">
        <v>263.56599999999997</v>
      </c>
      <c r="DW95">
        <v>-52.771700000000003</v>
      </c>
      <c r="DX95">
        <v>357.56599999999997</v>
      </c>
      <c r="DY95">
        <v>408.97500000000002</v>
      </c>
      <c r="DZ95">
        <v>6.9452600000000002</v>
      </c>
      <c r="EA95">
        <v>400.05700000000002</v>
      </c>
      <c r="EB95">
        <v>21.8066</v>
      </c>
      <c r="EC95">
        <v>2.8415499999999998</v>
      </c>
      <c r="ED95">
        <v>2.1551499999999999</v>
      </c>
      <c r="EE95">
        <v>23.127500000000001</v>
      </c>
      <c r="EF95">
        <v>18.6327</v>
      </c>
      <c r="EG95">
        <v>1800.11</v>
      </c>
      <c r="EH95">
        <v>0.97800900000000002</v>
      </c>
      <c r="EI95">
        <v>2.1990900000000001E-2</v>
      </c>
      <c r="EJ95">
        <v>0</v>
      </c>
      <c r="EK95">
        <v>746.57399999999996</v>
      </c>
      <c r="EL95">
        <v>5.0002700000000004</v>
      </c>
      <c r="EM95">
        <v>14055.9</v>
      </c>
      <c r="EN95">
        <v>16249.6</v>
      </c>
      <c r="EO95">
        <v>47.125</v>
      </c>
      <c r="EP95">
        <v>48.061999999999998</v>
      </c>
      <c r="EQ95">
        <v>48</v>
      </c>
      <c r="ER95">
        <v>47.5</v>
      </c>
      <c r="ES95">
        <v>48.811999999999998</v>
      </c>
      <c r="ET95">
        <v>1755.63</v>
      </c>
      <c r="EU95">
        <v>39.479999999999997</v>
      </c>
      <c r="EV95">
        <v>0</v>
      </c>
      <c r="EW95">
        <v>146</v>
      </c>
      <c r="EX95">
        <v>0</v>
      </c>
      <c r="EY95">
        <v>745.60428000000002</v>
      </c>
      <c r="EZ95">
        <v>8.7874615522822204</v>
      </c>
      <c r="FA95">
        <v>167.0846156765067</v>
      </c>
      <c r="FB95">
        <v>14030.031999999999</v>
      </c>
      <c r="FC95">
        <v>15</v>
      </c>
      <c r="FD95">
        <v>1693341728.5</v>
      </c>
      <c r="FE95" t="s">
        <v>822</v>
      </c>
      <c r="FF95">
        <v>1693341716</v>
      </c>
      <c r="FG95">
        <v>1693341728.5</v>
      </c>
      <c r="FH95">
        <v>89</v>
      </c>
      <c r="FI95">
        <v>-3.4000000000000002E-2</v>
      </c>
      <c r="FJ95">
        <v>5.0000000000000001E-3</v>
      </c>
      <c r="FK95">
        <v>2.0190000000000001</v>
      </c>
      <c r="FL95">
        <v>0.42799999999999999</v>
      </c>
      <c r="FM95">
        <v>400</v>
      </c>
      <c r="FN95">
        <v>22</v>
      </c>
      <c r="FO95">
        <v>0.13</v>
      </c>
      <c r="FP95">
        <v>0.03</v>
      </c>
      <c r="FQ95">
        <v>41.724878355749887</v>
      </c>
      <c r="FR95">
        <v>0.5995328267557728</v>
      </c>
      <c r="FS95">
        <v>9.6516569997909141E-2</v>
      </c>
      <c r="FT95">
        <v>1</v>
      </c>
      <c r="FU95">
        <v>0.43782018722736998</v>
      </c>
      <c r="FV95">
        <v>-2.313675547451307E-2</v>
      </c>
      <c r="FW95">
        <v>1.821105766061724E-3</v>
      </c>
      <c r="FX95">
        <v>1</v>
      </c>
      <c r="FY95">
        <v>2</v>
      </c>
      <c r="FZ95">
        <v>2</v>
      </c>
      <c r="GA95" t="s">
        <v>429</v>
      </c>
      <c r="GB95">
        <v>3.1342400000000001</v>
      </c>
      <c r="GC95">
        <v>2.8650099999999998</v>
      </c>
      <c r="GD95">
        <v>8.1679799999999997E-2</v>
      </c>
      <c r="GE95">
        <v>9.4075000000000006E-2</v>
      </c>
      <c r="GF95">
        <v>0.128222</v>
      </c>
      <c r="GG95">
        <v>0.11043</v>
      </c>
      <c r="GH95">
        <v>27658.7</v>
      </c>
      <c r="GI95">
        <v>21126.5</v>
      </c>
      <c r="GJ95">
        <v>29049.9</v>
      </c>
      <c r="GK95">
        <v>21742.7</v>
      </c>
      <c r="GL95">
        <v>33951</v>
      </c>
      <c r="GM95">
        <v>26634.799999999999</v>
      </c>
      <c r="GN95">
        <v>40319.9</v>
      </c>
      <c r="GO95">
        <v>30915.4</v>
      </c>
      <c r="GP95">
        <v>2.0093999999999999</v>
      </c>
      <c r="GQ95">
        <v>1.786</v>
      </c>
      <c r="GR95">
        <v>2.01613E-2</v>
      </c>
      <c r="GS95">
        <v>0</v>
      </c>
      <c r="GT95">
        <v>29.691600000000001</v>
      </c>
      <c r="GU95">
        <v>999.9</v>
      </c>
      <c r="GV95">
        <v>43.8</v>
      </c>
      <c r="GW95">
        <v>36.799999999999997</v>
      </c>
      <c r="GX95">
        <v>27.639800000000001</v>
      </c>
      <c r="GY95">
        <v>62.165799999999997</v>
      </c>
      <c r="GZ95">
        <v>12.1274</v>
      </c>
      <c r="HA95">
        <v>1</v>
      </c>
      <c r="HB95">
        <v>0.46411599999999997</v>
      </c>
      <c r="HC95">
        <v>2.7984399999999998</v>
      </c>
      <c r="HD95">
        <v>20.2575</v>
      </c>
      <c r="HE95">
        <v>5.2340600000000004</v>
      </c>
      <c r="HF95">
        <v>11.98</v>
      </c>
      <c r="HG95">
        <v>4.9748000000000001</v>
      </c>
      <c r="HH95">
        <v>3.2839999999999998</v>
      </c>
      <c r="HI95">
        <v>9999</v>
      </c>
      <c r="HJ95">
        <v>9999</v>
      </c>
      <c r="HK95">
        <v>9999</v>
      </c>
      <c r="HL95">
        <v>999.9</v>
      </c>
      <c r="HM95">
        <v>1.86141</v>
      </c>
      <c r="HN95">
        <v>1.8630899999999999</v>
      </c>
      <c r="HO95">
        <v>1.8684400000000001</v>
      </c>
      <c r="HP95">
        <v>1.8591</v>
      </c>
      <c r="HQ95">
        <v>1.85745</v>
      </c>
      <c r="HR95">
        <v>1.86111</v>
      </c>
      <c r="HS95">
        <v>1.8650199999999999</v>
      </c>
      <c r="HT95">
        <v>1.8670800000000001</v>
      </c>
      <c r="HU95">
        <v>5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2.0139999999999998</v>
      </c>
      <c r="II95">
        <v>0.82189999999999996</v>
      </c>
      <c r="IJ95">
        <v>1.8074084672737349</v>
      </c>
      <c r="IK95">
        <v>1.118558698776514E-3</v>
      </c>
      <c r="IL95">
        <v>-1.6939696309573479E-6</v>
      </c>
      <c r="IM95">
        <v>5.4698917449866148E-10</v>
      </c>
      <c r="IN95">
        <v>-8.0761159244644554E-2</v>
      </c>
      <c r="IO95">
        <v>-7.6058941998734366E-3</v>
      </c>
      <c r="IP95">
        <v>1.6984902717538061E-3</v>
      </c>
      <c r="IQ95">
        <v>-9.6352527008986976E-6</v>
      </c>
      <c r="IR95">
        <v>2</v>
      </c>
      <c r="IS95">
        <v>2021</v>
      </c>
      <c r="IT95">
        <v>2</v>
      </c>
      <c r="IU95">
        <v>40</v>
      </c>
      <c r="IV95">
        <v>1.5</v>
      </c>
      <c r="IW95">
        <v>1.3</v>
      </c>
      <c r="IX95">
        <v>1.02539</v>
      </c>
      <c r="IY95">
        <v>2.5390600000000001</v>
      </c>
      <c r="IZ95">
        <v>1.34399</v>
      </c>
      <c r="JA95">
        <v>2.2399900000000001</v>
      </c>
      <c r="JB95">
        <v>1.5918000000000001</v>
      </c>
      <c r="JC95">
        <v>2.2680699999999998</v>
      </c>
      <c r="JD95">
        <v>41.743600000000001</v>
      </c>
      <c r="JE95">
        <v>23.903600000000001</v>
      </c>
      <c r="JF95">
        <v>18</v>
      </c>
      <c r="JG95">
        <v>510.78899999999999</v>
      </c>
      <c r="JH95">
        <v>412.41800000000001</v>
      </c>
      <c r="JI95">
        <v>26.4375</v>
      </c>
      <c r="JJ95">
        <v>33.2697</v>
      </c>
      <c r="JK95">
        <v>30</v>
      </c>
      <c r="JL95">
        <v>33.17</v>
      </c>
      <c r="JM95">
        <v>33.122199999999999</v>
      </c>
      <c r="JN95">
        <v>20.601600000000001</v>
      </c>
      <c r="JO95">
        <v>26.058800000000002</v>
      </c>
      <c r="JP95">
        <v>28.723600000000001</v>
      </c>
      <c r="JQ95">
        <v>26.423400000000001</v>
      </c>
      <c r="JR95">
        <v>400</v>
      </c>
      <c r="JS95">
        <v>21.889800000000001</v>
      </c>
      <c r="JT95">
        <v>99.053700000000006</v>
      </c>
      <c r="JU95">
        <v>97.645399999999995</v>
      </c>
    </row>
    <row r="96" spans="1:281" x14ac:dyDescent="0.25">
      <c r="A96">
        <v>80</v>
      </c>
      <c r="B96">
        <v>1693341908</v>
      </c>
      <c r="C96">
        <v>20146.5</v>
      </c>
      <c r="D96" t="s">
        <v>823</v>
      </c>
      <c r="E96" t="s">
        <v>824</v>
      </c>
      <c r="F96" t="s">
        <v>413</v>
      </c>
      <c r="G96" t="s">
        <v>492</v>
      </c>
      <c r="H96" t="s">
        <v>779</v>
      </c>
      <c r="I96" t="s">
        <v>493</v>
      </c>
      <c r="J96">
        <v>1693341908</v>
      </c>
      <c r="K96">
        <f t="shared" si="92"/>
        <v>5.8903070478292987E-3</v>
      </c>
      <c r="L96">
        <f t="shared" si="93"/>
        <v>5.8903070478292987</v>
      </c>
      <c r="M96">
        <f t="shared" si="94"/>
        <v>44.135001097479211</v>
      </c>
      <c r="N96">
        <f t="shared" si="95"/>
        <v>443.83699999999999</v>
      </c>
      <c r="O96">
        <f t="shared" si="96"/>
        <v>260.55236596154799</v>
      </c>
      <c r="P96">
        <f t="shared" si="97"/>
        <v>25.776150228469124</v>
      </c>
      <c r="Q96">
        <f t="shared" si="98"/>
        <v>43.908291320760505</v>
      </c>
      <c r="R96">
        <f t="shared" si="99"/>
        <v>0.43168064323158384</v>
      </c>
      <c r="S96">
        <f t="shared" si="100"/>
        <v>2.9124202251619322</v>
      </c>
      <c r="T96">
        <f t="shared" si="101"/>
        <v>0.39902601229243673</v>
      </c>
      <c r="U96">
        <f t="shared" si="102"/>
        <v>0.2521189851144553</v>
      </c>
      <c r="V96">
        <f t="shared" si="103"/>
        <v>344.34409964465436</v>
      </c>
      <c r="W96">
        <f t="shared" si="104"/>
        <v>30.885941641120862</v>
      </c>
      <c r="X96">
        <f t="shared" si="105"/>
        <v>29.9985</v>
      </c>
      <c r="Y96">
        <f t="shared" si="106"/>
        <v>4.2600827110882786</v>
      </c>
      <c r="Z96">
        <f t="shared" si="107"/>
        <v>65.482004612116924</v>
      </c>
      <c r="AA96">
        <f t="shared" si="108"/>
        <v>2.8522181500614998</v>
      </c>
      <c r="AB96">
        <f t="shared" si="109"/>
        <v>4.3557282141202487</v>
      </c>
      <c r="AC96">
        <f t="shared" si="110"/>
        <v>1.4078645610267788</v>
      </c>
      <c r="AD96">
        <f t="shared" si="111"/>
        <v>-259.76254080927208</v>
      </c>
      <c r="AE96">
        <f t="shared" si="112"/>
        <v>60.780273922163886</v>
      </c>
      <c r="AF96">
        <f t="shared" si="113"/>
        <v>4.6491486021637414</v>
      </c>
      <c r="AG96">
        <f t="shared" si="114"/>
        <v>150.01098135970989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51773.961152541</v>
      </c>
      <c r="AM96" t="s">
        <v>415</v>
      </c>
      <c r="AN96">
        <v>10366.9</v>
      </c>
      <c r="AO96">
        <v>993.59653846153856</v>
      </c>
      <c r="AP96">
        <v>3431.87</v>
      </c>
      <c r="AQ96">
        <f t="shared" si="118"/>
        <v>0.71047955241266758</v>
      </c>
      <c r="AR96">
        <v>-3.9894345373445681</v>
      </c>
      <c r="AS96" t="s">
        <v>825</v>
      </c>
      <c r="AT96">
        <v>10377</v>
      </c>
      <c r="AU96">
        <v>763.04060000000015</v>
      </c>
      <c r="AV96">
        <v>1080.8469587320719</v>
      </c>
      <c r="AW96">
        <f t="shared" si="119"/>
        <v>0.29403455888416108</v>
      </c>
      <c r="AX96">
        <v>0.5</v>
      </c>
      <c r="AY96">
        <f t="shared" si="120"/>
        <v>1513.075199822327</v>
      </c>
      <c r="AZ96">
        <f t="shared" si="121"/>
        <v>44.135001097479211</v>
      </c>
      <c r="BA96">
        <f t="shared" si="122"/>
        <v>222.4481994691609</v>
      </c>
      <c r="BB96">
        <f t="shared" si="123"/>
        <v>3.1805713054099891E-2</v>
      </c>
      <c r="BC96">
        <f t="shared" si="124"/>
        <v>2.1751673743208602</v>
      </c>
      <c r="BD96">
        <f t="shared" si="125"/>
        <v>609.65990300139538</v>
      </c>
      <c r="BE96" t="s">
        <v>826</v>
      </c>
      <c r="BF96">
        <v>597.14</v>
      </c>
      <c r="BG96">
        <f t="shared" si="126"/>
        <v>597.14</v>
      </c>
      <c r="BH96">
        <f t="shared" si="127"/>
        <v>0.44752585444613036</v>
      </c>
      <c r="BI96">
        <f t="shared" si="128"/>
        <v>0.6570225071087028</v>
      </c>
      <c r="BJ96">
        <f t="shared" si="129"/>
        <v>0.82936401042354224</v>
      </c>
      <c r="BK96">
        <f t="shared" si="130"/>
        <v>3.6424622110319262</v>
      </c>
      <c r="BL96">
        <f t="shared" si="131"/>
        <v>0.9642163105792565</v>
      </c>
      <c r="BM96">
        <f t="shared" si="132"/>
        <v>0.51417240431884059</v>
      </c>
      <c r="BN96">
        <f t="shared" si="133"/>
        <v>0.48582759568115941</v>
      </c>
      <c r="BO96">
        <v>2111</v>
      </c>
      <c r="BP96">
        <v>290.00000000000011</v>
      </c>
      <c r="BQ96">
        <v>993.44</v>
      </c>
      <c r="BR96">
        <v>165</v>
      </c>
      <c r="BS96">
        <v>10377</v>
      </c>
      <c r="BT96">
        <v>990.09</v>
      </c>
      <c r="BU96">
        <v>3.35</v>
      </c>
      <c r="BV96">
        <v>300.00000000000011</v>
      </c>
      <c r="BW96">
        <v>38.4</v>
      </c>
      <c r="BX96">
        <v>1080.8469587320719</v>
      </c>
      <c r="BY96">
        <v>1.5888952080591361</v>
      </c>
      <c r="BZ96">
        <v>-94.182569080208879</v>
      </c>
      <c r="CA96">
        <v>1.3486075655746921</v>
      </c>
      <c r="CB96">
        <v>0.99429176307217859</v>
      </c>
      <c r="CC96">
        <v>-1.128445650723026E-2</v>
      </c>
      <c r="CD96">
        <v>289.99999999999989</v>
      </c>
      <c r="CE96">
        <v>979.27</v>
      </c>
      <c r="CF96">
        <v>655</v>
      </c>
      <c r="CG96">
        <v>10350.6</v>
      </c>
      <c r="CH96">
        <v>989.85</v>
      </c>
      <c r="CI96">
        <v>-10.58</v>
      </c>
      <c r="CW96">
        <f t="shared" si="134"/>
        <v>1799.87</v>
      </c>
      <c r="CX96">
        <f t="shared" si="135"/>
        <v>1513.075199822327</v>
      </c>
      <c r="CY96">
        <f t="shared" si="136"/>
        <v>0.84065804742694028</v>
      </c>
      <c r="CZ96">
        <f t="shared" si="137"/>
        <v>0.19131609485388076</v>
      </c>
      <c r="DA96">
        <v>6</v>
      </c>
      <c r="DB96">
        <v>0.5</v>
      </c>
      <c r="DC96" t="s">
        <v>418</v>
      </c>
      <c r="DD96">
        <v>2</v>
      </c>
      <c r="DE96">
        <v>1693341908</v>
      </c>
      <c r="DF96">
        <v>443.83699999999999</v>
      </c>
      <c r="DG96">
        <v>499.93799999999999</v>
      </c>
      <c r="DH96">
        <v>28.831</v>
      </c>
      <c r="DI96">
        <v>21.966200000000001</v>
      </c>
      <c r="DJ96">
        <v>441.67099999999999</v>
      </c>
      <c r="DK96">
        <v>28.002700000000001</v>
      </c>
      <c r="DL96">
        <v>499.98399999999998</v>
      </c>
      <c r="DM96">
        <v>98.829099999999997</v>
      </c>
      <c r="DN96">
        <v>9.9766499999999994E-2</v>
      </c>
      <c r="DO96">
        <v>30.3856</v>
      </c>
      <c r="DP96">
        <v>29.9985</v>
      </c>
      <c r="DQ96">
        <v>999.9</v>
      </c>
      <c r="DR96">
        <v>0</v>
      </c>
      <c r="DS96">
        <v>0</v>
      </c>
      <c r="DT96">
        <v>10020</v>
      </c>
      <c r="DU96">
        <v>0</v>
      </c>
      <c r="DV96">
        <v>258.51600000000002</v>
      </c>
      <c r="DW96">
        <v>-56.100499999999997</v>
      </c>
      <c r="DX96">
        <v>457.01400000000001</v>
      </c>
      <c r="DY96">
        <v>511.166</v>
      </c>
      <c r="DZ96">
        <v>6.86477</v>
      </c>
      <c r="EA96">
        <v>499.93799999999999</v>
      </c>
      <c r="EB96">
        <v>21.966200000000001</v>
      </c>
      <c r="EC96">
        <v>2.8493400000000002</v>
      </c>
      <c r="ED96">
        <v>2.1709000000000001</v>
      </c>
      <c r="EE96">
        <v>23.172799999999999</v>
      </c>
      <c r="EF96">
        <v>18.749199999999998</v>
      </c>
      <c r="EG96">
        <v>1799.87</v>
      </c>
      <c r="EH96">
        <v>0.97800500000000001</v>
      </c>
      <c r="EI96">
        <v>2.19945E-2</v>
      </c>
      <c r="EJ96">
        <v>0</v>
      </c>
      <c r="EK96">
        <v>763.03800000000001</v>
      </c>
      <c r="EL96">
        <v>5.0002700000000004</v>
      </c>
      <c r="EM96">
        <v>14354.6</v>
      </c>
      <c r="EN96">
        <v>16247.5</v>
      </c>
      <c r="EO96">
        <v>47.061999999999998</v>
      </c>
      <c r="EP96">
        <v>48.061999999999998</v>
      </c>
      <c r="EQ96">
        <v>48</v>
      </c>
      <c r="ER96">
        <v>47.5</v>
      </c>
      <c r="ES96">
        <v>48.75</v>
      </c>
      <c r="ET96">
        <v>1755.39</v>
      </c>
      <c r="EU96">
        <v>39.479999999999997</v>
      </c>
      <c r="EV96">
        <v>0</v>
      </c>
      <c r="EW96">
        <v>102.2000000476837</v>
      </c>
      <c r="EX96">
        <v>0</v>
      </c>
      <c r="EY96">
        <v>763.04060000000015</v>
      </c>
      <c r="EZ96">
        <v>2.6658461396915341</v>
      </c>
      <c r="FA96">
        <v>46.784615309431487</v>
      </c>
      <c r="FB96">
        <v>14351.68</v>
      </c>
      <c r="FC96">
        <v>15</v>
      </c>
      <c r="FD96">
        <v>1693341881</v>
      </c>
      <c r="FE96" t="s">
        <v>827</v>
      </c>
      <c r="FF96">
        <v>1693341871</v>
      </c>
      <c r="FG96">
        <v>1693341881</v>
      </c>
      <c r="FH96">
        <v>90</v>
      </c>
      <c r="FI96">
        <v>0.14899999999999999</v>
      </c>
      <c r="FJ96">
        <v>2E-3</v>
      </c>
      <c r="FK96">
        <v>2.161</v>
      </c>
      <c r="FL96">
        <v>0.438</v>
      </c>
      <c r="FM96">
        <v>500</v>
      </c>
      <c r="FN96">
        <v>22</v>
      </c>
      <c r="FO96">
        <v>0.09</v>
      </c>
      <c r="FP96">
        <v>0.03</v>
      </c>
      <c r="FQ96">
        <v>44.189463177004441</v>
      </c>
      <c r="FR96">
        <v>-0.33453907022748042</v>
      </c>
      <c r="FS96">
        <v>9.8537269258453866E-2</v>
      </c>
      <c r="FT96">
        <v>1</v>
      </c>
      <c r="FU96">
        <v>0.43077886959405431</v>
      </c>
      <c r="FV96">
        <v>1.9878768407934771E-2</v>
      </c>
      <c r="FW96">
        <v>2.6105682590583331E-3</v>
      </c>
      <c r="FX96">
        <v>1</v>
      </c>
      <c r="FY96">
        <v>2</v>
      </c>
      <c r="FZ96">
        <v>2</v>
      </c>
      <c r="GA96" t="s">
        <v>429</v>
      </c>
      <c r="GB96">
        <v>3.1337799999999998</v>
      </c>
      <c r="GC96">
        <v>2.8650899999999999</v>
      </c>
      <c r="GD96">
        <v>9.8926700000000006E-2</v>
      </c>
      <c r="GE96">
        <v>0.111244</v>
      </c>
      <c r="GF96">
        <v>0.12845999999999999</v>
      </c>
      <c r="GG96">
        <v>0.111001</v>
      </c>
      <c r="GH96">
        <v>27139.599999999999</v>
      </c>
      <c r="GI96">
        <v>20727.400000000001</v>
      </c>
      <c r="GJ96">
        <v>29050.400000000001</v>
      </c>
      <c r="GK96">
        <v>21744.1</v>
      </c>
      <c r="GL96">
        <v>33943.300000000003</v>
      </c>
      <c r="GM96">
        <v>26620.3</v>
      </c>
      <c r="GN96">
        <v>40320.199999999997</v>
      </c>
      <c r="GO96">
        <v>30916.799999999999</v>
      </c>
      <c r="GP96">
        <v>2.008</v>
      </c>
      <c r="GQ96">
        <v>1.7870999999999999</v>
      </c>
      <c r="GR96">
        <v>2.0116599999999998E-2</v>
      </c>
      <c r="GS96">
        <v>0</v>
      </c>
      <c r="GT96">
        <v>29.671099999999999</v>
      </c>
      <c r="GU96">
        <v>999.9</v>
      </c>
      <c r="GV96">
        <v>43.6</v>
      </c>
      <c r="GW96">
        <v>36.799999999999997</v>
      </c>
      <c r="GX96">
        <v>27.511900000000001</v>
      </c>
      <c r="GY96">
        <v>61.965800000000002</v>
      </c>
      <c r="GZ96">
        <v>11.786899999999999</v>
      </c>
      <c r="HA96">
        <v>1</v>
      </c>
      <c r="HB96">
        <v>0.46301799999999999</v>
      </c>
      <c r="HC96">
        <v>3.0789200000000001</v>
      </c>
      <c r="HD96">
        <v>20.252600000000001</v>
      </c>
      <c r="HE96">
        <v>5.23346</v>
      </c>
      <c r="HF96">
        <v>11.98</v>
      </c>
      <c r="HG96">
        <v>4.9752000000000001</v>
      </c>
      <c r="HH96">
        <v>3.2839999999999998</v>
      </c>
      <c r="HI96">
        <v>9999</v>
      </c>
      <c r="HJ96">
        <v>9999</v>
      </c>
      <c r="HK96">
        <v>9999</v>
      </c>
      <c r="HL96">
        <v>999.9</v>
      </c>
      <c r="HM96">
        <v>1.86128</v>
      </c>
      <c r="HN96">
        <v>1.86303</v>
      </c>
      <c r="HO96">
        <v>1.8683799999999999</v>
      </c>
      <c r="HP96">
        <v>1.85903</v>
      </c>
      <c r="HQ96">
        <v>1.85745</v>
      </c>
      <c r="HR96">
        <v>1.86111</v>
      </c>
      <c r="HS96">
        <v>1.8649500000000001</v>
      </c>
      <c r="HT96">
        <v>1.86707</v>
      </c>
      <c r="HU96">
        <v>5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2.1659999999999999</v>
      </c>
      <c r="II96">
        <v>0.82830000000000004</v>
      </c>
      <c r="IJ96">
        <v>1.9560202206391919</v>
      </c>
      <c r="IK96">
        <v>1.118558698776514E-3</v>
      </c>
      <c r="IL96">
        <v>-1.6939696309573479E-6</v>
      </c>
      <c r="IM96">
        <v>5.4698917449866148E-10</v>
      </c>
      <c r="IN96">
        <v>-7.901889815470442E-2</v>
      </c>
      <c r="IO96">
        <v>-7.6058941998734366E-3</v>
      </c>
      <c r="IP96">
        <v>1.6984902717538061E-3</v>
      </c>
      <c r="IQ96">
        <v>-9.6352527008986976E-6</v>
      </c>
      <c r="IR96">
        <v>2</v>
      </c>
      <c r="IS96">
        <v>2021</v>
      </c>
      <c r="IT96">
        <v>2</v>
      </c>
      <c r="IU96">
        <v>40</v>
      </c>
      <c r="IV96">
        <v>0.6</v>
      </c>
      <c r="IW96">
        <v>0.5</v>
      </c>
      <c r="IX96">
        <v>1.22803</v>
      </c>
      <c r="IY96">
        <v>2.51953</v>
      </c>
      <c r="IZ96">
        <v>1.34399</v>
      </c>
      <c r="JA96">
        <v>2.2399900000000001</v>
      </c>
      <c r="JB96">
        <v>1.5918000000000001</v>
      </c>
      <c r="JC96">
        <v>2.4645999999999999</v>
      </c>
      <c r="JD96">
        <v>41.6389</v>
      </c>
      <c r="JE96">
        <v>23.9299</v>
      </c>
      <c r="JF96">
        <v>18</v>
      </c>
      <c r="JG96">
        <v>509.71199999999999</v>
      </c>
      <c r="JH96">
        <v>412.95699999999999</v>
      </c>
      <c r="JI96">
        <v>26.067799999999998</v>
      </c>
      <c r="JJ96">
        <v>33.251899999999999</v>
      </c>
      <c r="JK96">
        <v>30.0001</v>
      </c>
      <c r="JL96">
        <v>33.152299999999997</v>
      </c>
      <c r="JM96">
        <v>33.101700000000001</v>
      </c>
      <c r="JN96">
        <v>24.639900000000001</v>
      </c>
      <c r="JO96">
        <v>25.5045</v>
      </c>
      <c r="JP96">
        <v>28.1327</v>
      </c>
      <c r="JQ96">
        <v>26.065000000000001</v>
      </c>
      <c r="JR96">
        <v>500</v>
      </c>
      <c r="JS96">
        <v>21.9252</v>
      </c>
      <c r="JT96">
        <v>99.054599999999994</v>
      </c>
      <c r="JU96">
        <v>97.650800000000004</v>
      </c>
    </row>
    <row r="97" spans="1:281" x14ac:dyDescent="0.25">
      <c r="A97">
        <v>81</v>
      </c>
      <c r="B97">
        <v>1693342016.5</v>
      </c>
      <c r="C97">
        <v>20255</v>
      </c>
      <c r="D97" t="s">
        <v>828</v>
      </c>
      <c r="E97" t="s">
        <v>829</v>
      </c>
      <c r="F97" t="s">
        <v>413</v>
      </c>
      <c r="G97" t="s">
        <v>492</v>
      </c>
      <c r="H97" t="s">
        <v>779</v>
      </c>
      <c r="I97" t="s">
        <v>493</v>
      </c>
      <c r="J97">
        <v>1693342016.5</v>
      </c>
      <c r="K97">
        <f t="shared" si="92"/>
        <v>5.6305981463798801E-3</v>
      </c>
      <c r="L97">
        <f t="shared" si="93"/>
        <v>5.6305981463798798</v>
      </c>
      <c r="M97">
        <f t="shared" si="94"/>
        <v>44.529258114977857</v>
      </c>
      <c r="N97">
        <f t="shared" si="95"/>
        <v>641.97500000000002</v>
      </c>
      <c r="O97">
        <f t="shared" si="96"/>
        <v>441.88423759824923</v>
      </c>
      <c r="P97">
        <f t="shared" si="97"/>
        <v>43.712813370618342</v>
      </c>
      <c r="Q97">
        <f t="shared" si="98"/>
        <v>63.506527221087502</v>
      </c>
      <c r="R97">
        <f t="shared" si="99"/>
        <v>0.40559672109944073</v>
      </c>
      <c r="S97">
        <f t="shared" si="100"/>
        <v>2.9070875110231347</v>
      </c>
      <c r="T97">
        <f t="shared" si="101"/>
        <v>0.37657816759743978</v>
      </c>
      <c r="U97">
        <f t="shared" si="102"/>
        <v>0.23779531574037449</v>
      </c>
      <c r="V97">
        <f t="shared" si="103"/>
        <v>344.40289964444361</v>
      </c>
      <c r="W97">
        <f t="shared" si="104"/>
        <v>30.879539270839732</v>
      </c>
      <c r="X97">
        <f t="shared" si="105"/>
        <v>30.002099999999999</v>
      </c>
      <c r="Y97">
        <f t="shared" si="106"/>
        <v>4.2609637045948414</v>
      </c>
      <c r="Z97">
        <f t="shared" si="107"/>
        <v>65.366666382550633</v>
      </c>
      <c r="AA97">
        <f t="shared" si="108"/>
        <v>2.83490525929875</v>
      </c>
      <c r="AB97">
        <f t="shared" si="109"/>
        <v>4.3369280034992217</v>
      </c>
      <c r="AC97">
        <f t="shared" si="110"/>
        <v>1.4260584452960914</v>
      </c>
      <c r="AD97">
        <f t="shared" si="111"/>
        <v>-248.30937825535273</v>
      </c>
      <c r="AE97">
        <f t="shared" si="112"/>
        <v>48.27188578343798</v>
      </c>
      <c r="AF97">
        <f t="shared" si="113"/>
        <v>3.6978255075532545</v>
      </c>
      <c r="AG97">
        <f t="shared" si="114"/>
        <v>148.06323268008214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51635.428107935964</v>
      </c>
      <c r="AM97" t="s">
        <v>415</v>
      </c>
      <c r="AN97">
        <v>10366.9</v>
      </c>
      <c r="AO97">
        <v>993.59653846153856</v>
      </c>
      <c r="AP97">
        <v>3431.87</v>
      </c>
      <c r="AQ97">
        <f t="shared" si="118"/>
        <v>0.71047955241266758</v>
      </c>
      <c r="AR97">
        <v>-3.9894345373445681</v>
      </c>
      <c r="AS97" t="s">
        <v>830</v>
      </c>
      <c r="AT97">
        <v>10380.5</v>
      </c>
      <c r="AU97">
        <v>767.49056000000007</v>
      </c>
      <c r="AV97">
        <v>1096.609602083749</v>
      </c>
      <c r="AW97">
        <f t="shared" si="119"/>
        <v>0.30012416584568058</v>
      </c>
      <c r="AX97">
        <v>0.5</v>
      </c>
      <c r="AY97">
        <f t="shared" si="120"/>
        <v>1513.3280998222217</v>
      </c>
      <c r="AZ97">
        <f t="shared" si="121"/>
        <v>44.529258114977857</v>
      </c>
      <c r="BA97">
        <f t="shared" si="122"/>
        <v>227.09316680498657</v>
      </c>
      <c r="BB97">
        <f t="shared" si="123"/>
        <v>3.2060920997913252E-2</v>
      </c>
      <c r="BC97">
        <f t="shared" si="124"/>
        <v>2.1295275852763371</v>
      </c>
      <c r="BD97">
        <f t="shared" si="125"/>
        <v>614.64327800025194</v>
      </c>
      <c r="BE97" t="s">
        <v>831</v>
      </c>
      <c r="BF97">
        <v>601.26</v>
      </c>
      <c r="BG97">
        <f t="shared" si="126"/>
        <v>601.26</v>
      </c>
      <c r="BH97">
        <f t="shared" si="127"/>
        <v>0.45171007179081657</v>
      </c>
      <c r="BI97">
        <f t="shared" si="128"/>
        <v>0.66441769751962898</v>
      </c>
      <c r="BJ97">
        <f t="shared" si="129"/>
        <v>0.82500252522115414</v>
      </c>
      <c r="BK97">
        <f t="shared" si="130"/>
        <v>3.1949252891920423</v>
      </c>
      <c r="BL97">
        <f t="shared" si="131"/>
        <v>0.95775163645622707</v>
      </c>
      <c r="BM97">
        <f t="shared" si="132"/>
        <v>0.52051165920614328</v>
      </c>
      <c r="BN97">
        <f t="shared" si="133"/>
        <v>0.47948834079385672</v>
      </c>
      <c r="BO97">
        <v>2113</v>
      </c>
      <c r="BP97">
        <v>290.00000000000011</v>
      </c>
      <c r="BQ97">
        <v>1004.7</v>
      </c>
      <c r="BR97">
        <v>145</v>
      </c>
      <c r="BS97">
        <v>10380.5</v>
      </c>
      <c r="BT97">
        <v>1002.14</v>
      </c>
      <c r="BU97">
        <v>2.56</v>
      </c>
      <c r="BV97">
        <v>300.00000000000011</v>
      </c>
      <c r="BW97">
        <v>38.4</v>
      </c>
      <c r="BX97">
        <v>1096.609602083749</v>
      </c>
      <c r="BY97">
        <v>1.230646916517748</v>
      </c>
      <c r="BZ97">
        <v>-98.062909081833283</v>
      </c>
      <c r="CA97">
        <v>1.0445235653771039</v>
      </c>
      <c r="CB97">
        <v>0.99683329573721202</v>
      </c>
      <c r="CC97">
        <v>-1.128440734149054E-2</v>
      </c>
      <c r="CD97">
        <v>289.99999999999989</v>
      </c>
      <c r="CE97">
        <v>990.38</v>
      </c>
      <c r="CF97">
        <v>645</v>
      </c>
      <c r="CG97">
        <v>10351.4</v>
      </c>
      <c r="CH97">
        <v>1001.88</v>
      </c>
      <c r="CI97">
        <v>-11.5</v>
      </c>
      <c r="CW97">
        <f t="shared" si="134"/>
        <v>1800.17</v>
      </c>
      <c r="CX97">
        <f t="shared" si="135"/>
        <v>1513.3280998222217</v>
      </c>
      <c r="CY97">
        <f t="shared" si="136"/>
        <v>0.84065843771545001</v>
      </c>
      <c r="CZ97">
        <f t="shared" si="137"/>
        <v>0.1913168754309002</v>
      </c>
      <c r="DA97">
        <v>6</v>
      </c>
      <c r="DB97">
        <v>0.5</v>
      </c>
      <c r="DC97" t="s">
        <v>418</v>
      </c>
      <c r="DD97">
        <v>2</v>
      </c>
      <c r="DE97">
        <v>1693342016.5</v>
      </c>
      <c r="DF97">
        <v>641.97500000000002</v>
      </c>
      <c r="DG97">
        <v>699.79100000000005</v>
      </c>
      <c r="DH97">
        <v>28.657499999999999</v>
      </c>
      <c r="DI97">
        <v>22.089500000000001</v>
      </c>
      <c r="DJ97">
        <v>639.53099999999995</v>
      </c>
      <c r="DK97">
        <v>27.8383</v>
      </c>
      <c r="DL97">
        <v>499.62599999999998</v>
      </c>
      <c r="DM97">
        <v>98.823899999999995</v>
      </c>
      <c r="DN97">
        <v>9.9776500000000004E-2</v>
      </c>
      <c r="DO97">
        <v>30.310099999999998</v>
      </c>
      <c r="DP97">
        <v>30.002099999999999</v>
      </c>
      <c r="DQ97">
        <v>999.9</v>
      </c>
      <c r="DR97">
        <v>0</v>
      </c>
      <c r="DS97">
        <v>0</v>
      </c>
      <c r="DT97">
        <v>9990</v>
      </c>
      <c r="DU97">
        <v>0</v>
      </c>
      <c r="DV97">
        <v>255.31299999999999</v>
      </c>
      <c r="DW97">
        <v>-57.815899999999999</v>
      </c>
      <c r="DX97">
        <v>660.91499999999996</v>
      </c>
      <c r="DY97">
        <v>715.59799999999996</v>
      </c>
      <c r="DZ97">
        <v>6.5679800000000004</v>
      </c>
      <c r="EA97">
        <v>699.79100000000005</v>
      </c>
      <c r="EB97">
        <v>22.089500000000001</v>
      </c>
      <c r="EC97">
        <v>2.8320400000000001</v>
      </c>
      <c r="ED97">
        <v>2.1829700000000001</v>
      </c>
      <c r="EE97">
        <v>23.071999999999999</v>
      </c>
      <c r="EF97">
        <v>18.837900000000001</v>
      </c>
      <c r="EG97">
        <v>1800.17</v>
      </c>
      <c r="EH97">
        <v>0.97799199999999997</v>
      </c>
      <c r="EI97">
        <v>2.2007700000000002E-2</v>
      </c>
      <c r="EJ97">
        <v>0</v>
      </c>
      <c r="EK97">
        <v>767.75800000000004</v>
      </c>
      <c r="EL97">
        <v>5.0002700000000004</v>
      </c>
      <c r="EM97">
        <v>14428.9</v>
      </c>
      <c r="EN97">
        <v>16250.1</v>
      </c>
      <c r="EO97">
        <v>47.061999999999998</v>
      </c>
      <c r="EP97">
        <v>48.061999999999998</v>
      </c>
      <c r="EQ97">
        <v>48</v>
      </c>
      <c r="ER97">
        <v>47.5</v>
      </c>
      <c r="ES97">
        <v>48.811999999999998</v>
      </c>
      <c r="ET97">
        <v>1755.66</v>
      </c>
      <c r="EU97">
        <v>39.51</v>
      </c>
      <c r="EV97">
        <v>0</v>
      </c>
      <c r="EW97">
        <v>106.7999999523163</v>
      </c>
      <c r="EX97">
        <v>0</v>
      </c>
      <c r="EY97">
        <v>767.49056000000007</v>
      </c>
      <c r="EZ97">
        <v>-1.7386923116355419</v>
      </c>
      <c r="FA97">
        <v>-41.123077076871112</v>
      </c>
      <c r="FB97">
        <v>14432.724</v>
      </c>
      <c r="FC97">
        <v>15</v>
      </c>
      <c r="FD97">
        <v>1693341986.5</v>
      </c>
      <c r="FE97" t="s">
        <v>832</v>
      </c>
      <c r="FF97">
        <v>1693341983.5</v>
      </c>
      <c r="FG97">
        <v>1693341986.5</v>
      </c>
      <c r="FH97">
        <v>91</v>
      </c>
      <c r="FI97">
        <v>0.32200000000000001</v>
      </c>
      <c r="FJ97">
        <v>2E-3</v>
      </c>
      <c r="FK97">
        <v>2.419</v>
      </c>
      <c r="FL97">
        <v>0.44500000000000001</v>
      </c>
      <c r="FM97">
        <v>700</v>
      </c>
      <c r="FN97">
        <v>22</v>
      </c>
      <c r="FO97">
        <v>0.09</v>
      </c>
      <c r="FP97">
        <v>0.05</v>
      </c>
      <c r="FQ97">
        <v>44.787901310009097</v>
      </c>
      <c r="FR97">
        <v>-0.42450632920883508</v>
      </c>
      <c r="FS97">
        <v>8.6769520101946787E-2</v>
      </c>
      <c r="FT97">
        <v>1</v>
      </c>
      <c r="FU97">
        <v>0.41238253149423248</v>
      </c>
      <c r="FV97">
        <v>-3.1874612831407197E-2</v>
      </c>
      <c r="FW97">
        <v>2.5707317937126782E-3</v>
      </c>
      <c r="FX97">
        <v>1</v>
      </c>
      <c r="FY97">
        <v>2</v>
      </c>
      <c r="FZ97">
        <v>2</v>
      </c>
      <c r="GA97" t="s">
        <v>429</v>
      </c>
      <c r="GB97">
        <v>3.1334</v>
      </c>
      <c r="GC97">
        <v>2.8648500000000001</v>
      </c>
      <c r="GD97">
        <v>0.12957399999999999</v>
      </c>
      <c r="GE97">
        <v>0.141237</v>
      </c>
      <c r="GF97">
        <v>0.12793099999999999</v>
      </c>
      <c r="GG97">
        <v>0.11143699999999999</v>
      </c>
      <c r="GH97">
        <v>26218.6</v>
      </c>
      <c r="GI97">
        <v>20028.099999999999</v>
      </c>
      <c r="GJ97">
        <v>29053</v>
      </c>
      <c r="GK97">
        <v>21744.6</v>
      </c>
      <c r="GL97">
        <v>33969.199999999997</v>
      </c>
      <c r="GM97">
        <v>26610.7</v>
      </c>
      <c r="GN97">
        <v>40322.6</v>
      </c>
      <c r="GO97">
        <v>30918.1</v>
      </c>
      <c r="GP97">
        <v>2.0087000000000002</v>
      </c>
      <c r="GQ97">
        <v>1.7881</v>
      </c>
      <c r="GR97">
        <v>2.12789E-2</v>
      </c>
      <c r="GS97">
        <v>0</v>
      </c>
      <c r="GT97">
        <v>29.6557</v>
      </c>
      <c r="GU97">
        <v>999.9</v>
      </c>
      <c r="GV97">
        <v>43.5</v>
      </c>
      <c r="GW97">
        <v>36.799999999999997</v>
      </c>
      <c r="GX97">
        <v>27.4511</v>
      </c>
      <c r="GY97">
        <v>62.1158</v>
      </c>
      <c r="GZ97">
        <v>12.087300000000001</v>
      </c>
      <c r="HA97">
        <v>1</v>
      </c>
      <c r="HB97">
        <v>0.46069100000000002</v>
      </c>
      <c r="HC97">
        <v>2.9941499999999999</v>
      </c>
      <c r="HD97">
        <v>20.254200000000001</v>
      </c>
      <c r="HE97">
        <v>5.2340600000000004</v>
      </c>
      <c r="HF97">
        <v>11.98</v>
      </c>
      <c r="HG97">
        <v>4.9748000000000001</v>
      </c>
      <c r="HH97">
        <v>3.2839999999999998</v>
      </c>
      <c r="HI97">
        <v>9999</v>
      </c>
      <c r="HJ97">
        <v>9999</v>
      </c>
      <c r="HK97">
        <v>9999</v>
      </c>
      <c r="HL97">
        <v>999.9</v>
      </c>
      <c r="HM97">
        <v>1.86127</v>
      </c>
      <c r="HN97">
        <v>1.8629599999999999</v>
      </c>
      <c r="HO97">
        <v>1.86835</v>
      </c>
      <c r="HP97">
        <v>1.8589800000000001</v>
      </c>
      <c r="HQ97">
        <v>1.85745</v>
      </c>
      <c r="HR97">
        <v>1.86111</v>
      </c>
      <c r="HS97">
        <v>1.86493</v>
      </c>
      <c r="HT97">
        <v>1.8670500000000001</v>
      </c>
      <c r="HU97">
        <v>5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2.444</v>
      </c>
      <c r="II97">
        <v>0.81920000000000004</v>
      </c>
      <c r="IJ97">
        <v>2.277814421224214</v>
      </c>
      <c r="IK97">
        <v>1.118558698776514E-3</v>
      </c>
      <c r="IL97">
        <v>-1.6939696309573479E-6</v>
      </c>
      <c r="IM97">
        <v>5.4698917449866148E-10</v>
      </c>
      <c r="IN97">
        <v>-7.7502941792283564E-2</v>
      </c>
      <c r="IO97">
        <v>-7.6058941998734366E-3</v>
      </c>
      <c r="IP97">
        <v>1.6984902717538061E-3</v>
      </c>
      <c r="IQ97">
        <v>-9.6352527008986976E-6</v>
      </c>
      <c r="IR97">
        <v>2</v>
      </c>
      <c r="IS97">
        <v>2021</v>
      </c>
      <c r="IT97">
        <v>2</v>
      </c>
      <c r="IU97">
        <v>40</v>
      </c>
      <c r="IV97">
        <v>0.6</v>
      </c>
      <c r="IW97">
        <v>0.5</v>
      </c>
      <c r="IX97">
        <v>1.6149899999999999</v>
      </c>
      <c r="IY97">
        <v>2.50854</v>
      </c>
      <c r="IZ97">
        <v>1.34399</v>
      </c>
      <c r="JA97">
        <v>2.2399900000000001</v>
      </c>
      <c r="JB97">
        <v>1.5918000000000001</v>
      </c>
      <c r="JC97">
        <v>2.4682599999999999</v>
      </c>
      <c r="JD97">
        <v>41.560499999999998</v>
      </c>
      <c r="JE97">
        <v>23.947399999999998</v>
      </c>
      <c r="JF97">
        <v>18</v>
      </c>
      <c r="JG97">
        <v>510</v>
      </c>
      <c r="JH97">
        <v>413.43299999999999</v>
      </c>
      <c r="JI97">
        <v>25.996200000000002</v>
      </c>
      <c r="JJ97">
        <v>33.234099999999998</v>
      </c>
      <c r="JK97">
        <v>29.9999</v>
      </c>
      <c r="JL97">
        <v>33.131599999999999</v>
      </c>
      <c r="JM97">
        <v>33.081099999999999</v>
      </c>
      <c r="JN97">
        <v>32.397100000000002</v>
      </c>
      <c r="JO97">
        <v>25.0304</v>
      </c>
      <c r="JP97">
        <v>28.061199999999999</v>
      </c>
      <c r="JQ97">
        <v>25.998899999999999</v>
      </c>
      <c r="JR97">
        <v>700</v>
      </c>
      <c r="JS97">
        <v>22.031700000000001</v>
      </c>
      <c r="JT97">
        <v>99.061899999999994</v>
      </c>
      <c r="JU97">
        <v>97.6541</v>
      </c>
    </row>
    <row r="98" spans="1:281" x14ac:dyDescent="0.25">
      <c r="A98">
        <v>82</v>
      </c>
      <c r="B98">
        <v>1693342150</v>
      </c>
      <c r="C98">
        <v>20388.5</v>
      </c>
      <c r="D98" t="s">
        <v>833</v>
      </c>
      <c r="E98" t="s">
        <v>834</v>
      </c>
      <c r="F98" t="s">
        <v>413</v>
      </c>
      <c r="G98" t="s">
        <v>492</v>
      </c>
      <c r="H98" t="s">
        <v>779</v>
      </c>
      <c r="I98" t="s">
        <v>493</v>
      </c>
      <c r="J98">
        <v>1693342150</v>
      </c>
      <c r="K98">
        <f t="shared" si="92"/>
        <v>5.3460959847057591E-3</v>
      </c>
      <c r="L98">
        <f t="shared" si="93"/>
        <v>5.3460959847057588</v>
      </c>
      <c r="M98">
        <f t="shared" si="94"/>
        <v>43.999017074762499</v>
      </c>
      <c r="N98">
        <f t="shared" si="95"/>
        <v>841.96299999999997</v>
      </c>
      <c r="O98">
        <f t="shared" si="96"/>
        <v>626.91849128975628</v>
      </c>
      <c r="P98">
        <f t="shared" si="97"/>
        <v>62.010582509449314</v>
      </c>
      <c r="Q98">
        <f t="shared" si="98"/>
        <v>83.281346469763292</v>
      </c>
      <c r="R98">
        <f t="shared" si="99"/>
        <v>0.37856959717423194</v>
      </c>
      <c r="S98">
        <f t="shared" si="100"/>
        <v>2.9064682482342459</v>
      </c>
      <c r="T98">
        <f t="shared" si="101"/>
        <v>0.35315463280668641</v>
      </c>
      <c r="U98">
        <f t="shared" si="102"/>
        <v>0.22286273703754395</v>
      </c>
      <c r="V98">
        <f t="shared" si="103"/>
        <v>344.36439964476614</v>
      </c>
      <c r="W98">
        <f t="shared" si="104"/>
        <v>30.911007288838661</v>
      </c>
      <c r="X98">
        <f t="shared" si="105"/>
        <v>30.029199999999999</v>
      </c>
      <c r="Y98">
        <f t="shared" si="106"/>
        <v>4.267600725927684</v>
      </c>
      <c r="Z98">
        <f t="shared" si="107"/>
        <v>65.273199479488682</v>
      </c>
      <c r="AA98">
        <f t="shared" si="108"/>
        <v>2.8239156268195398</v>
      </c>
      <c r="AB98">
        <f t="shared" si="109"/>
        <v>4.3263018349620221</v>
      </c>
      <c r="AC98">
        <f t="shared" si="110"/>
        <v>1.4436850991081442</v>
      </c>
      <c r="AD98">
        <f t="shared" si="111"/>
        <v>-235.76283292552398</v>
      </c>
      <c r="AE98">
        <f t="shared" si="112"/>
        <v>37.308726206935283</v>
      </c>
      <c r="AF98">
        <f t="shared" si="113"/>
        <v>2.8583888563486748</v>
      </c>
      <c r="AG98">
        <f t="shared" si="114"/>
        <v>148.7686817825261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51624.935239666978</v>
      </c>
      <c r="AM98" t="s">
        <v>415</v>
      </c>
      <c r="AN98">
        <v>10366.9</v>
      </c>
      <c r="AO98">
        <v>993.59653846153856</v>
      </c>
      <c r="AP98">
        <v>3431.87</v>
      </c>
      <c r="AQ98">
        <f t="shared" si="118"/>
        <v>0.71047955241266758</v>
      </c>
      <c r="AR98">
        <v>-3.9894345373445681</v>
      </c>
      <c r="AS98" t="s">
        <v>835</v>
      </c>
      <c r="AT98">
        <v>10368.299999999999</v>
      </c>
      <c r="AU98">
        <v>761.70226923076928</v>
      </c>
      <c r="AV98">
        <v>1085.862050071396</v>
      </c>
      <c r="AW98">
        <f t="shared" si="119"/>
        <v>0.29852758996348849</v>
      </c>
      <c r="AX98">
        <v>0.5</v>
      </c>
      <c r="AY98">
        <f t="shared" si="120"/>
        <v>1513.167299822383</v>
      </c>
      <c r="AZ98">
        <f t="shared" si="121"/>
        <v>43.999017074762499</v>
      </c>
      <c r="BA98">
        <f t="shared" si="122"/>
        <v>225.86109361376771</v>
      </c>
      <c r="BB98">
        <f t="shared" si="123"/>
        <v>3.1713910033437806E-2</v>
      </c>
      <c r="BC98">
        <f t="shared" si="124"/>
        <v>2.1605027542627102</v>
      </c>
      <c r="BD98">
        <f t="shared" si="125"/>
        <v>611.25228814690377</v>
      </c>
      <c r="BE98" t="s">
        <v>836</v>
      </c>
      <c r="BF98">
        <v>599.44000000000005</v>
      </c>
      <c r="BG98">
        <f t="shared" si="126"/>
        <v>599.44000000000005</v>
      </c>
      <c r="BH98">
        <f t="shared" si="127"/>
        <v>0.44795934256972458</v>
      </c>
      <c r="BI98">
        <f t="shared" si="128"/>
        <v>0.66641670704082445</v>
      </c>
      <c r="BJ98">
        <f t="shared" si="129"/>
        <v>0.82826687682611888</v>
      </c>
      <c r="BK98">
        <f t="shared" si="130"/>
        <v>3.5133364047373288</v>
      </c>
      <c r="BL98">
        <f t="shared" si="131"/>
        <v>0.96215948987459288</v>
      </c>
      <c r="BM98">
        <f t="shared" si="132"/>
        <v>0.52445272517302199</v>
      </c>
      <c r="BN98">
        <f t="shared" si="133"/>
        <v>0.47554727482697801</v>
      </c>
      <c r="BO98">
        <v>2115</v>
      </c>
      <c r="BP98">
        <v>290.00000000000011</v>
      </c>
      <c r="BQ98">
        <v>997.46</v>
      </c>
      <c r="BR98">
        <v>215</v>
      </c>
      <c r="BS98">
        <v>10368.299999999999</v>
      </c>
      <c r="BT98">
        <v>994.58</v>
      </c>
      <c r="BU98">
        <v>2.88</v>
      </c>
      <c r="BV98">
        <v>300.00000000000011</v>
      </c>
      <c r="BW98">
        <v>38.4</v>
      </c>
      <c r="BX98">
        <v>1085.862050071396</v>
      </c>
      <c r="BY98">
        <v>1.26375831333402</v>
      </c>
      <c r="BZ98">
        <v>-94.641989235403145</v>
      </c>
      <c r="CA98">
        <v>1.0725479380178971</v>
      </c>
      <c r="CB98">
        <v>0.99641685156307369</v>
      </c>
      <c r="CC98">
        <v>-1.1283684093437159E-2</v>
      </c>
      <c r="CD98">
        <v>289.99999999999989</v>
      </c>
      <c r="CE98">
        <v>984.69</v>
      </c>
      <c r="CF98">
        <v>675</v>
      </c>
      <c r="CG98">
        <v>10347.700000000001</v>
      </c>
      <c r="CH98">
        <v>994.4</v>
      </c>
      <c r="CI98">
        <v>-9.7100000000000009</v>
      </c>
      <c r="CW98">
        <f t="shared" si="134"/>
        <v>1799.98</v>
      </c>
      <c r="CX98">
        <f t="shared" si="135"/>
        <v>1513.167299822383</v>
      </c>
      <c r="CY98">
        <f t="shared" si="136"/>
        <v>0.84065784054399662</v>
      </c>
      <c r="CZ98">
        <f t="shared" si="137"/>
        <v>0.19131568108799327</v>
      </c>
      <c r="DA98">
        <v>6</v>
      </c>
      <c r="DB98">
        <v>0.5</v>
      </c>
      <c r="DC98" t="s">
        <v>418</v>
      </c>
      <c r="DD98">
        <v>2</v>
      </c>
      <c r="DE98">
        <v>1693342150</v>
      </c>
      <c r="DF98">
        <v>841.96299999999997</v>
      </c>
      <c r="DG98">
        <v>900.10199999999998</v>
      </c>
      <c r="DH98">
        <v>28.549399999999999</v>
      </c>
      <c r="DI98">
        <v>22.323799999999999</v>
      </c>
      <c r="DJ98">
        <v>839.41099999999994</v>
      </c>
      <c r="DK98">
        <v>27.732099999999999</v>
      </c>
      <c r="DL98">
        <v>500.52699999999999</v>
      </c>
      <c r="DM98">
        <v>98.813599999999994</v>
      </c>
      <c r="DN98">
        <v>9.9709099999999995E-2</v>
      </c>
      <c r="DO98">
        <v>30.267299999999999</v>
      </c>
      <c r="DP98">
        <v>30.029199999999999</v>
      </c>
      <c r="DQ98">
        <v>999.9</v>
      </c>
      <c r="DR98">
        <v>0</v>
      </c>
      <c r="DS98">
        <v>0</v>
      </c>
      <c r="DT98">
        <v>9987.5</v>
      </c>
      <c r="DU98">
        <v>0</v>
      </c>
      <c r="DV98">
        <v>250.95500000000001</v>
      </c>
      <c r="DW98">
        <v>-58.138399999999997</v>
      </c>
      <c r="DX98">
        <v>866.70699999999999</v>
      </c>
      <c r="DY98">
        <v>920.654</v>
      </c>
      <c r="DZ98">
        <v>6.2256</v>
      </c>
      <c r="EA98">
        <v>900.10199999999998</v>
      </c>
      <c r="EB98">
        <v>22.323799999999999</v>
      </c>
      <c r="EC98">
        <v>2.8210700000000002</v>
      </c>
      <c r="ED98">
        <v>2.2058900000000001</v>
      </c>
      <c r="EE98">
        <v>23.007899999999999</v>
      </c>
      <c r="EF98">
        <v>19.005199999999999</v>
      </c>
      <c r="EG98">
        <v>1799.98</v>
      </c>
      <c r="EH98">
        <v>0.97800900000000002</v>
      </c>
      <c r="EI98">
        <v>2.1990900000000001E-2</v>
      </c>
      <c r="EJ98">
        <v>0</v>
      </c>
      <c r="EK98">
        <v>761.125</v>
      </c>
      <c r="EL98">
        <v>5.0002700000000004</v>
      </c>
      <c r="EM98">
        <v>14324.4</v>
      </c>
      <c r="EN98">
        <v>16248.4</v>
      </c>
      <c r="EO98">
        <v>47.125</v>
      </c>
      <c r="EP98">
        <v>48.186999999999998</v>
      </c>
      <c r="EQ98">
        <v>48.061999999999998</v>
      </c>
      <c r="ER98">
        <v>47.561999999999998</v>
      </c>
      <c r="ES98">
        <v>48.811999999999998</v>
      </c>
      <c r="ET98">
        <v>1755.51</v>
      </c>
      <c r="EU98">
        <v>39.47</v>
      </c>
      <c r="EV98">
        <v>0</v>
      </c>
      <c r="EW98">
        <v>131.4000000953674</v>
      </c>
      <c r="EX98">
        <v>0</v>
      </c>
      <c r="EY98">
        <v>761.70226923076928</v>
      </c>
      <c r="EZ98">
        <v>-3.6215042759206861</v>
      </c>
      <c r="FA98">
        <v>-54.711111132694001</v>
      </c>
      <c r="FB98">
        <v>14330.896153846161</v>
      </c>
      <c r="FC98">
        <v>15</v>
      </c>
      <c r="FD98">
        <v>1693342122.5</v>
      </c>
      <c r="FE98" t="s">
        <v>837</v>
      </c>
      <c r="FF98">
        <v>1693342115</v>
      </c>
      <c r="FG98">
        <v>1693342122.5</v>
      </c>
      <c r="FH98">
        <v>92</v>
      </c>
      <c r="FI98">
        <v>0.20499999999999999</v>
      </c>
      <c r="FJ98">
        <v>5.0000000000000001E-3</v>
      </c>
      <c r="FK98">
        <v>2.5179999999999998</v>
      </c>
      <c r="FL98">
        <v>0.45900000000000002</v>
      </c>
      <c r="FM98">
        <v>900</v>
      </c>
      <c r="FN98">
        <v>22</v>
      </c>
      <c r="FO98">
        <v>0.16</v>
      </c>
      <c r="FP98">
        <v>0.04</v>
      </c>
      <c r="FQ98">
        <v>44.049235571164118</v>
      </c>
      <c r="FR98">
        <v>-0.6625532423500502</v>
      </c>
      <c r="FS98">
        <v>0.1241593716797352</v>
      </c>
      <c r="FT98">
        <v>1</v>
      </c>
      <c r="FU98">
        <v>0.38161941671144711</v>
      </c>
      <c r="FV98">
        <v>1.0211343677631711E-2</v>
      </c>
      <c r="FW98">
        <v>1.7172974533722441E-3</v>
      </c>
      <c r="FX98">
        <v>1</v>
      </c>
      <c r="FY98">
        <v>2</v>
      </c>
      <c r="FZ98">
        <v>2</v>
      </c>
      <c r="GA98" t="s">
        <v>429</v>
      </c>
      <c r="GB98">
        <v>3.13449</v>
      </c>
      <c r="GC98">
        <v>2.86476</v>
      </c>
      <c r="GD98">
        <v>0.15609600000000001</v>
      </c>
      <c r="GE98">
        <v>0.167242</v>
      </c>
      <c r="GF98">
        <v>0.127578</v>
      </c>
      <c r="GG98">
        <v>0.11225499999999999</v>
      </c>
      <c r="GH98">
        <v>25419.3</v>
      </c>
      <c r="GI98">
        <v>19422.8</v>
      </c>
      <c r="GJ98">
        <v>29053.200000000001</v>
      </c>
      <c r="GK98">
        <v>21746.5</v>
      </c>
      <c r="GL98">
        <v>33986.6</v>
      </c>
      <c r="GM98">
        <v>26590.400000000001</v>
      </c>
      <c r="GN98">
        <v>40323.5</v>
      </c>
      <c r="GO98">
        <v>30920.7</v>
      </c>
      <c r="GP98">
        <v>2.0099</v>
      </c>
      <c r="GQ98">
        <v>1.7885</v>
      </c>
      <c r="GR98">
        <v>2.2947800000000001E-2</v>
      </c>
      <c r="GS98">
        <v>0</v>
      </c>
      <c r="GT98">
        <v>29.6557</v>
      </c>
      <c r="GU98">
        <v>999.9</v>
      </c>
      <c r="GV98">
        <v>43.5</v>
      </c>
      <c r="GW98">
        <v>36.799999999999997</v>
      </c>
      <c r="GX98">
        <v>27.456900000000001</v>
      </c>
      <c r="GY98">
        <v>61.795699999999997</v>
      </c>
      <c r="GZ98">
        <v>11.834899999999999</v>
      </c>
      <c r="HA98">
        <v>1</v>
      </c>
      <c r="HB98">
        <v>0.45951199999999998</v>
      </c>
      <c r="HC98">
        <v>2.9376799999999998</v>
      </c>
      <c r="HD98">
        <v>20.255299999999998</v>
      </c>
      <c r="HE98">
        <v>5.2328599999999996</v>
      </c>
      <c r="HF98">
        <v>11.98</v>
      </c>
      <c r="HG98">
        <v>4.9748000000000001</v>
      </c>
      <c r="HH98">
        <v>3.2839999999999998</v>
      </c>
      <c r="HI98">
        <v>9999</v>
      </c>
      <c r="HJ98">
        <v>9999</v>
      </c>
      <c r="HK98">
        <v>9999</v>
      </c>
      <c r="HL98">
        <v>999.9</v>
      </c>
      <c r="HM98">
        <v>1.86127</v>
      </c>
      <c r="HN98">
        <v>1.8629500000000001</v>
      </c>
      <c r="HO98">
        <v>1.86829</v>
      </c>
      <c r="HP98">
        <v>1.8589800000000001</v>
      </c>
      <c r="HQ98">
        <v>1.8574299999999999</v>
      </c>
      <c r="HR98">
        <v>1.86103</v>
      </c>
      <c r="HS98">
        <v>1.86493</v>
      </c>
      <c r="HT98">
        <v>1.86697</v>
      </c>
      <c r="HU98">
        <v>5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2.552</v>
      </c>
      <c r="II98">
        <v>0.81730000000000003</v>
      </c>
      <c r="IJ98">
        <v>2.4830016940940398</v>
      </c>
      <c r="IK98">
        <v>1.118558698776514E-3</v>
      </c>
      <c r="IL98">
        <v>-1.6939696309573479E-6</v>
      </c>
      <c r="IM98">
        <v>5.4698917449866148E-10</v>
      </c>
      <c r="IN98">
        <v>-7.2604078828948926E-2</v>
      </c>
      <c r="IO98">
        <v>-7.6058941998734366E-3</v>
      </c>
      <c r="IP98">
        <v>1.6984902717538061E-3</v>
      </c>
      <c r="IQ98">
        <v>-9.6352527008986976E-6</v>
      </c>
      <c r="IR98">
        <v>2</v>
      </c>
      <c r="IS98">
        <v>2021</v>
      </c>
      <c r="IT98">
        <v>2</v>
      </c>
      <c r="IU98">
        <v>40</v>
      </c>
      <c r="IV98">
        <v>0.6</v>
      </c>
      <c r="IW98">
        <v>0.5</v>
      </c>
      <c r="IX98">
        <v>1.9860800000000001</v>
      </c>
      <c r="IY98">
        <v>2.5122100000000001</v>
      </c>
      <c r="IZ98">
        <v>1.34399</v>
      </c>
      <c r="JA98">
        <v>2.2399900000000001</v>
      </c>
      <c r="JB98">
        <v>1.5918000000000001</v>
      </c>
      <c r="JC98">
        <v>2.3999000000000001</v>
      </c>
      <c r="JD98">
        <v>41.456200000000003</v>
      </c>
      <c r="JE98">
        <v>23.9649</v>
      </c>
      <c r="JF98">
        <v>18</v>
      </c>
      <c r="JG98">
        <v>510.71600000000001</v>
      </c>
      <c r="JH98">
        <v>413.62</v>
      </c>
      <c r="JI98">
        <v>26.024799999999999</v>
      </c>
      <c r="JJ98">
        <v>33.231099999999998</v>
      </c>
      <c r="JK98">
        <v>30.000699999999998</v>
      </c>
      <c r="JL98">
        <v>33.122799999999998</v>
      </c>
      <c r="JM98">
        <v>33.072299999999998</v>
      </c>
      <c r="JN98">
        <v>39.815199999999997</v>
      </c>
      <c r="JO98">
        <v>23.977</v>
      </c>
      <c r="JP98">
        <v>27.638400000000001</v>
      </c>
      <c r="JQ98">
        <v>25.987300000000001</v>
      </c>
      <c r="JR98">
        <v>900</v>
      </c>
      <c r="JS98">
        <v>22.2653</v>
      </c>
      <c r="JT98">
        <v>99.063500000000005</v>
      </c>
      <c r="JU98">
        <v>97.662300000000002</v>
      </c>
    </row>
    <row r="99" spans="1:281" x14ac:dyDescent="0.25">
      <c r="A99">
        <v>83</v>
      </c>
      <c r="B99">
        <v>1693342254</v>
      </c>
      <c r="C99">
        <v>20492.5</v>
      </c>
      <c r="D99" t="s">
        <v>838</v>
      </c>
      <c r="E99" t="s">
        <v>839</v>
      </c>
      <c r="F99" t="s">
        <v>413</v>
      </c>
      <c r="G99" t="s">
        <v>492</v>
      </c>
      <c r="H99" t="s">
        <v>779</v>
      </c>
      <c r="I99" t="s">
        <v>493</v>
      </c>
      <c r="J99">
        <v>1693342254</v>
      </c>
      <c r="K99">
        <f t="shared" si="92"/>
        <v>4.9811230002977311E-3</v>
      </c>
      <c r="L99">
        <f t="shared" si="93"/>
        <v>4.9811230002977309</v>
      </c>
      <c r="M99">
        <f t="shared" si="94"/>
        <v>42.913734447030016</v>
      </c>
      <c r="N99">
        <f t="shared" si="95"/>
        <v>1141.81</v>
      </c>
      <c r="O99">
        <f t="shared" si="96"/>
        <v>910.3618519454368</v>
      </c>
      <c r="P99">
        <f t="shared" si="97"/>
        <v>90.042984783808095</v>
      </c>
      <c r="Q99">
        <f t="shared" si="98"/>
        <v>112.93529077068798</v>
      </c>
      <c r="R99">
        <f t="shared" si="99"/>
        <v>0.35085814930734938</v>
      </c>
      <c r="S99">
        <f t="shared" si="100"/>
        <v>2.9246998082249864</v>
      </c>
      <c r="T99">
        <f t="shared" si="101"/>
        <v>0.329039781340488</v>
      </c>
      <c r="U99">
        <f t="shared" si="102"/>
        <v>0.20749699255252982</v>
      </c>
      <c r="V99">
        <f t="shared" si="103"/>
        <v>344.35669964448624</v>
      </c>
      <c r="W99">
        <f t="shared" si="104"/>
        <v>30.928319603666555</v>
      </c>
      <c r="X99">
        <f t="shared" si="105"/>
        <v>29.979500000000002</v>
      </c>
      <c r="Y99">
        <f t="shared" si="106"/>
        <v>4.2554356524988393</v>
      </c>
      <c r="Z99">
        <f t="shared" si="107"/>
        <v>65.264298796523889</v>
      </c>
      <c r="AA99">
        <f t="shared" si="108"/>
        <v>2.81160715224576</v>
      </c>
      <c r="AB99">
        <f t="shared" si="109"/>
        <v>4.3080324221540733</v>
      </c>
      <c r="AC99">
        <f t="shared" si="110"/>
        <v>1.4438285002530793</v>
      </c>
      <c r="AD99">
        <f t="shared" si="111"/>
        <v>-219.66752431312995</v>
      </c>
      <c r="AE99">
        <f t="shared" si="112"/>
        <v>33.742753037059231</v>
      </c>
      <c r="AF99">
        <f t="shared" si="113"/>
        <v>2.5674988417490865</v>
      </c>
      <c r="AG99">
        <f t="shared" si="114"/>
        <v>160.99942721016464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52155.545481828849</v>
      </c>
      <c r="AM99" t="s">
        <v>415</v>
      </c>
      <c r="AN99">
        <v>10366.9</v>
      </c>
      <c r="AO99">
        <v>993.59653846153856</v>
      </c>
      <c r="AP99">
        <v>3431.87</v>
      </c>
      <c r="AQ99">
        <f t="shared" si="118"/>
        <v>0.71047955241266758</v>
      </c>
      <c r="AR99">
        <v>-3.9894345373445681</v>
      </c>
      <c r="AS99" t="s">
        <v>840</v>
      </c>
      <c r="AT99">
        <v>10379.200000000001</v>
      </c>
      <c r="AU99">
        <v>757.01680769230779</v>
      </c>
      <c r="AV99">
        <v>1074.8777764579161</v>
      </c>
      <c r="AW99">
        <f t="shared" si="119"/>
        <v>0.29571824418313597</v>
      </c>
      <c r="AX99">
        <v>0.5</v>
      </c>
      <c r="AY99">
        <f t="shared" si="120"/>
        <v>1513.1261998222431</v>
      </c>
      <c r="AZ99">
        <f t="shared" si="121"/>
        <v>42.913734447030016</v>
      </c>
      <c r="BA99">
        <f t="shared" si="122"/>
        <v>223.72951151946734</v>
      </c>
      <c r="BB99">
        <f t="shared" si="123"/>
        <v>3.0997526174541563E-2</v>
      </c>
      <c r="BC99">
        <f t="shared" si="124"/>
        <v>2.1928002189320224</v>
      </c>
      <c r="BD99">
        <f t="shared" si="125"/>
        <v>607.75615897627279</v>
      </c>
      <c r="BE99" t="s">
        <v>841</v>
      </c>
      <c r="BF99">
        <v>598.37</v>
      </c>
      <c r="BG99">
        <f t="shared" si="126"/>
        <v>598.37</v>
      </c>
      <c r="BH99">
        <f t="shared" si="127"/>
        <v>0.44331345097502106</v>
      </c>
      <c r="BI99">
        <f t="shared" si="128"/>
        <v>0.66706354957814828</v>
      </c>
      <c r="BJ99">
        <f t="shared" si="129"/>
        <v>0.83183067709267111</v>
      </c>
      <c r="BK99">
        <f t="shared" si="130"/>
        <v>3.9106314889024509</v>
      </c>
      <c r="BL99">
        <f t="shared" si="131"/>
        <v>0.96666442904025518</v>
      </c>
      <c r="BM99">
        <f t="shared" si="132"/>
        <v>0.52726810303967897</v>
      </c>
      <c r="BN99">
        <f t="shared" si="133"/>
        <v>0.47273189696032103</v>
      </c>
      <c r="BO99">
        <v>2117</v>
      </c>
      <c r="BP99">
        <v>290.00000000000011</v>
      </c>
      <c r="BQ99">
        <v>989.56</v>
      </c>
      <c r="BR99">
        <v>145</v>
      </c>
      <c r="BS99">
        <v>10379.200000000001</v>
      </c>
      <c r="BT99">
        <v>986.77</v>
      </c>
      <c r="BU99">
        <v>2.79</v>
      </c>
      <c r="BV99">
        <v>300.00000000000011</v>
      </c>
      <c r="BW99">
        <v>38.4</v>
      </c>
      <c r="BX99">
        <v>1074.8777764579161</v>
      </c>
      <c r="BY99">
        <v>1.373080343526029</v>
      </c>
      <c r="BZ99">
        <v>-91.451637573820463</v>
      </c>
      <c r="CA99">
        <v>1.165262330249025</v>
      </c>
      <c r="CB99">
        <v>0.99547464477728032</v>
      </c>
      <c r="CC99">
        <v>-1.128290122358176E-2</v>
      </c>
      <c r="CD99">
        <v>289.99999999999989</v>
      </c>
      <c r="CE99">
        <v>977.86</v>
      </c>
      <c r="CF99">
        <v>695</v>
      </c>
      <c r="CG99">
        <v>10345.4</v>
      </c>
      <c r="CH99">
        <v>986.48</v>
      </c>
      <c r="CI99">
        <v>-8.6199999999999992</v>
      </c>
      <c r="CW99">
        <f t="shared" si="134"/>
        <v>1799.93</v>
      </c>
      <c r="CX99">
        <f t="shared" si="135"/>
        <v>1513.1261998222431</v>
      </c>
      <c r="CY99">
        <f t="shared" si="136"/>
        <v>0.84065835883742313</v>
      </c>
      <c r="CZ99">
        <f t="shared" si="137"/>
        <v>0.19131671767484637</v>
      </c>
      <c r="DA99">
        <v>6</v>
      </c>
      <c r="DB99">
        <v>0.5</v>
      </c>
      <c r="DC99" t="s">
        <v>418</v>
      </c>
      <c r="DD99">
        <v>2</v>
      </c>
      <c r="DE99">
        <v>1693342254</v>
      </c>
      <c r="DF99">
        <v>1141.81</v>
      </c>
      <c r="DG99">
        <v>1200.0999999999999</v>
      </c>
      <c r="DH99">
        <v>28.426200000000001</v>
      </c>
      <c r="DI99">
        <v>22.6219</v>
      </c>
      <c r="DJ99">
        <v>1139.23</v>
      </c>
      <c r="DK99">
        <v>27.619199999999999</v>
      </c>
      <c r="DL99">
        <v>500.27</v>
      </c>
      <c r="DM99">
        <v>98.809799999999996</v>
      </c>
      <c r="DN99">
        <v>9.9204799999999996E-2</v>
      </c>
      <c r="DO99">
        <v>30.1935</v>
      </c>
      <c r="DP99">
        <v>29.979500000000002</v>
      </c>
      <c r="DQ99">
        <v>999.9</v>
      </c>
      <c r="DR99">
        <v>0</v>
      </c>
      <c r="DS99">
        <v>0</v>
      </c>
      <c r="DT99">
        <v>10092.5</v>
      </c>
      <c r="DU99">
        <v>0</v>
      </c>
      <c r="DV99">
        <v>248.47300000000001</v>
      </c>
      <c r="DW99">
        <v>-58.29</v>
      </c>
      <c r="DX99">
        <v>1175.21</v>
      </c>
      <c r="DY99">
        <v>1227.8699999999999</v>
      </c>
      <c r="DZ99">
        <v>5.8043399999999998</v>
      </c>
      <c r="EA99">
        <v>1200.0999999999999</v>
      </c>
      <c r="EB99">
        <v>22.6219</v>
      </c>
      <c r="EC99">
        <v>2.8087900000000001</v>
      </c>
      <c r="ED99">
        <v>2.2352599999999998</v>
      </c>
      <c r="EE99">
        <v>22.9358</v>
      </c>
      <c r="EF99">
        <v>19.217300000000002</v>
      </c>
      <c r="EG99">
        <v>1799.93</v>
      </c>
      <c r="EH99">
        <v>0.97799199999999997</v>
      </c>
      <c r="EI99">
        <v>2.2007700000000002E-2</v>
      </c>
      <c r="EJ99">
        <v>0</v>
      </c>
      <c r="EK99">
        <v>756.26</v>
      </c>
      <c r="EL99">
        <v>5.0002700000000004</v>
      </c>
      <c r="EM99">
        <v>14240.1</v>
      </c>
      <c r="EN99">
        <v>16248</v>
      </c>
      <c r="EO99">
        <v>47.186999999999998</v>
      </c>
      <c r="EP99">
        <v>48.25</v>
      </c>
      <c r="EQ99">
        <v>48.125</v>
      </c>
      <c r="ER99">
        <v>47.625</v>
      </c>
      <c r="ES99">
        <v>48.875</v>
      </c>
      <c r="ET99">
        <v>1755.43</v>
      </c>
      <c r="EU99">
        <v>39.5</v>
      </c>
      <c r="EV99">
        <v>0</v>
      </c>
      <c r="EW99">
        <v>102.2000000476837</v>
      </c>
      <c r="EX99">
        <v>0</v>
      </c>
      <c r="EY99">
        <v>757.01680769230779</v>
      </c>
      <c r="EZ99">
        <v>-2.0892649491616089</v>
      </c>
      <c r="FA99">
        <v>-83.456410102447009</v>
      </c>
      <c r="FB99">
        <v>14249.973076923079</v>
      </c>
      <c r="FC99">
        <v>15</v>
      </c>
      <c r="FD99">
        <v>1693342224</v>
      </c>
      <c r="FE99" t="s">
        <v>842</v>
      </c>
      <c r="FF99">
        <v>1693342222.5</v>
      </c>
      <c r="FG99">
        <v>1693342224</v>
      </c>
      <c r="FH99">
        <v>93</v>
      </c>
      <c r="FI99">
        <v>0.20799999999999999</v>
      </c>
      <c r="FJ99">
        <v>-3.0000000000000001E-3</v>
      </c>
      <c r="FK99">
        <v>2.5409999999999999</v>
      </c>
      <c r="FL99">
        <v>0.46800000000000003</v>
      </c>
      <c r="FM99">
        <v>1200</v>
      </c>
      <c r="FN99">
        <v>22</v>
      </c>
      <c r="FO99">
        <v>0.17</v>
      </c>
      <c r="FP99">
        <v>0.05</v>
      </c>
      <c r="FQ99">
        <v>42.860182357529062</v>
      </c>
      <c r="FR99">
        <v>-0.12732261489220981</v>
      </c>
      <c r="FS99">
        <v>0.1480860381888037</v>
      </c>
      <c r="FT99">
        <v>1</v>
      </c>
      <c r="FU99">
        <v>0.35485524883047159</v>
      </c>
      <c r="FV99">
        <v>-2.6646363872190791E-2</v>
      </c>
      <c r="FW99">
        <v>2.152667970459275E-3</v>
      </c>
      <c r="FX99">
        <v>1</v>
      </c>
      <c r="FY99">
        <v>2</v>
      </c>
      <c r="FZ99">
        <v>2</v>
      </c>
      <c r="GA99" t="s">
        <v>429</v>
      </c>
      <c r="GB99">
        <v>3.1342699999999999</v>
      </c>
      <c r="GC99">
        <v>2.8651800000000001</v>
      </c>
      <c r="GD99">
        <v>0.19048599999999999</v>
      </c>
      <c r="GE99">
        <v>0.20114099999999999</v>
      </c>
      <c r="GF99">
        <v>0.12720699999999999</v>
      </c>
      <c r="GG99">
        <v>0.11329699999999999</v>
      </c>
      <c r="GH99">
        <v>24381.1</v>
      </c>
      <c r="GI99">
        <v>18630.5</v>
      </c>
      <c r="GJ99">
        <v>29051.8</v>
      </c>
      <c r="GK99">
        <v>21745.7</v>
      </c>
      <c r="GL99">
        <v>34002.6</v>
      </c>
      <c r="GM99">
        <v>26561.3</v>
      </c>
      <c r="GN99">
        <v>40321</v>
      </c>
      <c r="GO99">
        <v>30919.9</v>
      </c>
      <c r="GP99">
        <v>2.0084</v>
      </c>
      <c r="GQ99">
        <v>1.7904</v>
      </c>
      <c r="GR99">
        <v>2.0205999999999998E-2</v>
      </c>
      <c r="GS99">
        <v>0</v>
      </c>
      <c r="GT99">
        <v>29.650600000000001</v>
      </c>
      <c r="GU99">
        <v>999.9</v>
      </c>
      <c r="GV99">
        <v>43.5</v>
      </c>
      <c r="GW99">
        <v>36.799999999999997</v>
      </c>
      <c r="GX99">
        <v>27.454000000000001</v>
      </c>
      <c r="GY99">
        <v>61.295699999999997</v>
      </c>
      <c r="GZ99">
        <v>11.8269</v>
      </c>
      <c r="HA99">
        <v>1</v>
      </c>
      <c r="HB99">
        <v>0.46058900000000003</v>
      </c>
      <c r="HC99">
        <v>1.6619600000000001</v>
      </c>
      <c r="HD99">
        <v>20.272400000000001</v>
      </c>
      <c r="HE99">
        <v>5.23346</v>
      </c>
      <c r="HF99">
        <v>11.98</v>
      </c>
      <c r="HG99">
        <v>4.9745999999999997</v>
      </c>
      <c r="HH99">
        <v>3.2839999999999998</v>
      </c>
      <c r="HI99">
        <v>9999</v>
      </c>
      <c r="HJ99">
        <v>9999</v>
      </c>
      <c r="HK99">
        <v>9999</v>
      </c>
      <c r="HL99">
        <v>999.9</v>
      </c>
      <c r="HM99">
        <v>1.86127</v>
      </c>
      <c r="HN99">
        <v>1.8629500000000001</v>
      </c>
      <c r="HO99">
        <v>1.86829</v>
      </c>
      <c r="HP99">
        <v>1.8589800000000001</v>
      </c>
      <c r="HQ99">
        <v>1.85734</v>
      </c>
      <c r="HR99">
        <v>1.8610800000000001</v>
      </c>
      <c r="HS99">
        <v>1.86493</v>
      </c>
      <c r="HT99">
        <v>1.86694</v>
      </c>
      <c r="HU99">
        <v>5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2.58</v>
      </c>
      <c r="II99">
        <v>0.80700000000000005</v>
      </c>
      <c r="IJ99">
        <v>2.692061294653683</v>
      </c>
      <c r="IK99">
        <v>1.118558698776514E-3</v>
      </c>
      <c r="IL99">
        <v>-1.6939696309573479E-6</v>
      </c>
      <c r="IM99">
        <v>5.4698917449866148E-10</v>
      </c>
      <c r="IN99">
        <v>-7.5579344968470963E-2</v>
      </c>
      <c r="IO99">
        <v>-7.6058941998734366E-3</v>
      </c>
      <c r="IP99">
        <v>1.6984902717538061E-3</v>
      </c>
      <c r="IQ99">
        <v>-9.6352527008986976E-6</v>
      </c>
      <c r="IR99">
        <v>2</v>
      </c>
      <c r="IS99">
        <v>2021</v>
      </c>
      <c r="IT99">
        <v>2</v>
      </c>
      <c r="IU99">
        <v>40</v>
      </c>
      <c r="IV99">
        <v>0.5</v>
      </c>
      <c r="IW99">
        <v>0.5</v>
      </c>
      <c r="IX99">
        <v>2.51831</v>
      </c>
      <c r="IY99">
        <v>2.5109900000000001</v>
      </c>
      <c r="IZ99">
        <v>1.34399</v>
      </c>
      <c r="JA99">
        <v>2.2399900000000001</v>
      </c>
      <c r="JB99">
        <v>1.5918000000000001</v>
      </c>
      <c r="JC99">
        <v>2.3925800000000002</v>
      </c>
      <c r="JD99">
        <v>41.4041</v>
      </c>
      <c r="JE99">
        <v>23.982399999999998</v>
      </c>
      <c r="JF99">
        <v>18</v>
      </c>
      <c r="JG99">
        <v>509.77600000000001</v>
      </c>
      <c r="JH99">
        <v>414.83499999999998</v>
      </c>
      <c r="JI99">
        <v>25.7014</v>
      </c>
      <c r="JJ99">
        <v>33.243000000000002</v>
      </c>
      <c r="JK99">
        <v>29.9985</v>
      </c>
      <c r="JL99">
        <v>33.128700000000002</v>
      </c>
      <c r="JM99">
        <v>33.075200000000002</v>
      </c>
      <c r="JN99">
        <v>50.474400000000003</v>
      </c>
      <c r="JO99">
        <v>22.660399999999999</v>
      </c>
      <c r="JP99">
        <v>27.5869</v>
      </c>
      <c r="JQ99">
        <v>25.947199999999999</v>
      </c>
      <c r="JR99">
        <v>1200</v>
      </c>
      <c r="JS99">
        <v>22.6126</v>
      </c>
      <c r="JT99">
        <v>99.057900000000004</v>
      </c>
      <c r="JU99">
        <v>97.659599999999998</v>
      </c>
    </row>
    <row r="100" spans="1:281" x14ac:dyDescent="0.25">
      <c r="A100">
        <v>84</v>
      </c>
      <c r="B100">
        <v>1693342353.5</v>
      </c>
      <c r="C100">
        <v>20592</v>
      </c>
      <c r="D100" t="s">
        <v>843</v>
      </c>
      <c r="E100" t="s">
        <v>844</v>
      </c>
      <c r="F100" t="s">
        <v>413</v>
      </c>
      <c r="G100" t="s">
        <v>492</v>
      </c>
      <c r="H100" t="s">
        <v>779</v>
      </c>
      <c r="I100" t="s">
        <v>493</v>
      </c>
      <c r="J100">
        <v>1693342353.5</v>
      </c>
      <c r="K100">
        <f t="shared" si="92"/>
        <v>4.682626516608026E-3</v>
      </c>
      <c r="L100">
        <f t="shared" si="93"/>
        <v>4.6826265166080256</v>
      </c>
      <c r="M100">
        <f t="shared" si="94"/>
        <v>41.92532231566539</v>
      </c>
      <c r="N100">
        <f t="shared" si="95"/>
        <v>1441.65</v>
      </c>
      <c r="O100">
        <f t="shared" si="96"/>
        <v>1192.2760007519084</v>
      </c>
      <c r="P100">
        <f t="shared" si="97"/>
        <v>117.93025475187268</v>
      </c>
      <c r="Q100">
        <f t="shared" si="98"/>
        <v>142.59630459375001</v>
      </c>
      <c r="R100">
        <f t="shared" si="99"/>
        <v>0.32495317465712253</v>
      </c>
      <c r="S100">
        <f t="shared" si="100"/>
        <v>2.8981090715851283</v>
      </c>
      <c r="T100">
        <f t="shared" si="101"/>
        <v>0.30598328402730174</v>
      </c>
      <c r="U100">
        <f t="shared" si="102"/>
        <v>0.1928515736509186</v>
      </c>
      <c r="V100">
        <f t="shared" si="103"/>
        <v>344.39849964452969</v>
      </c>
      <c r="W100">
        <f t="shared" si="104"/>
        <v>30.9989744490906</v>
      </c>
      <c r="X100">
        <f t="shared" si="105"/>
        <v>30.011299999999999</v>
      </c>
      <c r="Y100">
        <f t="shared" si="106"/>
        <v>4.2632158538514888</v>
      </c>
      <c r="Z100">
        <f t="shared" si="107"/>
        <v>65.130806454518549</v>
      </c>
      <c r="AA100">
        <f t="shared" si="108"/>
        <v>2.8035878585625005</v>
      </c>
      <c r="AB100">
        <f t="shared" si="109"/>
        <v>4.304549584412519</v>
      </c>
      <c r="AC100">
        <f t="shared" si="110"/>
        <v>1.4596279952889883</v>
      </c>
      <c r="AD100">
        <f t="shared" si="111"/>
        <v>-206.50382938241395</v>
      </c>
      <c r="AE100">
        <f t="shared" si="112"/>
        <v>26.264424138533101</v>
      </c>
      <c r="AF100">
        <f t="shared" si="113"/>
        <v>2.0169829117699778</v>
      </c>
      <c r="AG100">
        <f t="shared" si="114"/>
        <v>166.17607731241878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51402.962437008435</v>
      </c>
      <c r="AM100" t="s">
        <v>415</v>
      </c>
      <c r="AN100">
        <v>10366.9</v>
      </c>
      <c r="AO100">
        <v>993.59653846153856</v>
      </c>
      <c r="AP100">
        <v>3431.87</v>
      </c>
      <c r="AQ100">
        <f t="shared" si="118"/>
        <v>0.71047955241266758</v>
      </c>
      <c r="AR100">
        <v>-3.9894345373445681</v>
      </c>
      <c r="AS100" t="s">
        <v>845</v>
      </c>
      <c r="AT100">
        <v>10363</v>
      </c>
      <c r="AU100">
        <v>752.80484615384626</v>
      </c>
      <c r="AV100">
        <v>1068.937176423982</v>
      </c>
      <c r="AW100">
        <f t="shared" si="119"/>
        <v>0.2957445369499857</v>
      </c>
      <c r="AX100">
        <v>0.5</v>
      </c>
      <c r="AY100">
        <f t="shared" si="120"/>
        <v>1513.3109998222649</v>
      </c>
      <c r="AZ100">
        <f t="shared" si="121"/>
        <v>41.92532231566539</v>
      </c>
      <c r="BA100">
        <f t="shared" si="122"/>
        <v>223.77673045187782</v>
      </c>
      <c r="BB100">
        <f t="shared" si="123"/>
        <v>3.0340595461476556E-2</v>
      </c>
      <c r="BC100">
        <f t="shared" si="124"/>
        <v>2.2105441514167965</v>
      </c>
      <c r="BD100">
        <f t="shared" si="125"/>
        <v>605.8523856439873</v>
      </c>
      <c r="BE100" t="s">
        <v>846</v>
      </c>
      <c r="BF100">
        <v>596.37</v>
      </c>
      <c r="BG100">
        <f t="shared" si="126"/>
        <v>596.37</v>
      </c>
      <c r="BH100">
        <f t="shared" si="127"/>
        <v>0.44209069236875664</v>
      </c>
      <c r="BI100">
        <f t="shared" si="128"/>
        <v>0.66896802410691625</v>
      </c>
      <c r="BJ100">
        <f t="shared" si="129"/>
        <v>0.83333903141457155</v>
      </c>
      <c r="BK100">
        <f t="shared" si="130"/>
        <v>4.1960399967375448</v>
      </c>
      <c r="BL100">
        <f t="shared" si="131"/>
        <v>0.9691008251736839</v>
      </c>
      <c r="BM100">
        <f t="shared" si="132"/>
        <v>0.52995469220864988</v>
      </c>
      <c r="BN100">
        <f t="shared" si="133"/>
        <v>0.47004530779135012</v>
      </c>
      <c r="BO100">
        <v>2119</v>
      </c>
      <c r="BP100">
        <v>290.00000000000011</v>
      </c>
      <c r="BQ100">
        <v>982.69</v>
      </c>
      <c r="BR100">
        <v>245</v>
      </c>
      <c r="BS100">
        <v>10363</v>
      </c>
      <c r="BT100">
        <v>980.79</v>
      </c>
      <c r="BU100">
        <v>1.9</v>
      </c>
      <c r="BV100">
        <v>300.00000000000011</v>
      </c>
      <c r="BW100">
        <v>38.4</v>
      </c>
      <c r="BX100">
        <v>1068.937176423982</v>
      </c>
      <c r="BY100">
        <v>1.163987063955372</v>
      </c>
      <c r="BZ100">
        <v>-91.34842449585193</v>
      </c>
      <c r="CA100">
        <v>0.98775977675668591</v>
      </c>
      <c r="CB100">
        <v>0.99673683457681894</v>
      </c>
      <c r="CC100">
        <v>-1.128237775305896E-2</v>
      </c>
      <c r="CD100">
        <v>289.99999999999989</v>
      </c>
      <c r="CE100">
        <v>972.65</v>
      </c>
      <c r="CF100">
        <v>645</v>
      </c>
      <c r="CG100">
        <v>10349.5</v>
      </c>
      <c r="CH100">
        <v>980.67</v>
      </c>
      <c r="CI100">
        <v>-8.02</v>
      </c>
      <c r="CW100">
        <f t="shared" si="134"/>
        <v>1800.15</v>
      </c>
      <c r="CX100">
        <f t="shared" si="135"/>
        <v>1513.3109998222649</v>
      </c>
      <c r="CY100">
        <f t="shared" si="136"/>
        <v>0.84065827837806006</v>
      </c>
      <c r="CZ100">
        <f t="shared" si="137"/>
        <v>0.19131655675612014</v>
      </c>
      <c r="DA100">
        <v>6</v>
      </c>
      <c r="DB100">
        <v>0.5</v>
      </c>
      <c r="DC100" t="s">
        <v>418</v>
      </c>
      <c r="DD100">
        <v>2</v>
      </c>
      <c r="DE100">
        <v>1693342353.5</v>
      </c>
      <c r="DF100">
        <v>1441.65</v>
      </c>
      <c r="DG100">
        <v>1500.07</v>
      </c>
      <c r="DH100">
        <v>28.3443</v>
      </c>
      <c r="DI100">
        <v>22.883600000000001</v>
      </c>
      <c r="DJ100">
        <v>1439</v>
      </c>
      <c r="DK100">
        <v>27.5428</v>
      </c>
      <c r="DL100">
        <v>499.92500000000001</v>
      </c>
      <c r="DM100">
        <v>98.811400000000006</v>
      </c>
      <c r="DN100">
        <v>0.10047499999999999</v>
      </c>
      <c r="DO100">
        <v>30.179400000000001</v>
      </c>
      <c r="DP100">
        <v>30.011299999999999</v>
      </c>
      <c r="DQ100">
        <v>999.9</v>
      </c>
      <c r="DR100">
        <v>0</v>
      </c>
      <c r="DS100">
        <v>0</v>
      </c>
      <c r="DT100">
        <v>9940</v>
      </c>
      <c r="DU100">
        <v>0</v>
      </c>
      <c r="DV100">
        <v>245.732</v>
      </c>
      <c r="DW100">
        <v>-58.418700000000001</v>
      </c>
      <c r="DX100">
        <v>1483.7</v>
      </c>
      <c r="DY100">
        <v>1535.2</v>
      </c>
      <c r="DZ100">
        <v>5.4607000000000001</v>
      </c>
      <c r="EA100">
        <v>1500.07</v>
      </c>
      <c r="EB100">
        <v>22.883600000000001</v>
      </c>
      <c r="EC100">
        <v>2.8007399999999998</v>
      </c>
      <c r="ED100">
        <v>2.2611599999999998</v>
      </c>
      <c r="EE100">
        <v>22.888500000000001</v>
      </c>
      <c r="EF100">
        <v>19.4024</v>
      </c>
      <c r="EG100">
        <v>1800.15</v>
      </c>
      <c r="EH100">
        <v>0.97799599999999998</v>
      </c>
      <c r="EI100">
        <v>2.2003999999999999E-2</v>
      </c>
      <c r="EJ100">
        <v>0</v>
      </c>
      <c r="EK100">
        <v>753.00300000000004</v>
      </c>
      <c r="EL100">
        <v>5.0002700000000004</v>
      </c>
      <c r="EM100">
        <v>14165.8</v>
      </c>
      <c r="EN100">
        <v>16249.9</v>
      </c>
      <c r="EO100">
        <v>47.25</v>
      </c>
      <c r="EP100">
        <v>48.311999999999998</v>
      </c>
      <c r="EQ100">
        <v>48.186999999999998</v>
      </c>
      <c r="ER100">
        <v>47.686999999999998</v>
      </c>
      <c r="ES100">
        <v>48.936999999999998</v>
      </c>
      <c r="ET100">
        <v>1755.65</v>
      </c>
      <c r="EU100">
        <v>39.5</v>
      </c>
      <c r="EV100">
        <v>0</v>
      </c>
      <c r="EW100">
        <v>97.799999952316284</v>
      </c>
      <c r="EX100">
        <v>0</v>
      </c>
      <c r="EY100">
        <v>752.80484615384626</v>
      </c>
      <c r="EZ100">
        <v>-2.4570256441206908</v>
      </c>
      <c r="FA100">
        <v>-53.904273415888433</v>
      </c>
      <c r="FB100">
        <v>14171.48846153846</v>
      </c>
      <c r="FC100">
        <v>15</v>
      </c>
      <c r="FD100">
        <v>1693342323</v>
      </c>
      <c r="FE100" t="s">
        <v>847</v>
      </c>
      <c r="FF100">
        <v>1693342323</v>
      </c>
      <c r="FG100">
        <v>1693342322.5</v>
      </c>
      <c r="FH100">
        <v>94</v>
      </c>
      <c r="FI100">
        <v>0.23100000000000001</v>
      </c>
      <c r="FJ100">
        <v>-1E-3</v>
      </c>
      <c r="FK100">
        <v>2.6349999999999998</v>
      </c>
      <c r="FL100">
        <v>0.48</v>
      </c>
      <c r="FM100">
        <v>1501</v>
      </c>
      <c r="FN100">
        <v>23</v>
      </c>
      <c r="FO100">
        <v>0.23</v>
      </c>
      <c r="FP100">
        <v>0.04</v>
      </c>
      <c r="FQ100">
        <v>41.951900789572463</v>
      </c>
      <c r="FR100">
        <v>-7.7261390210663305E-2</v>
      </c>
      <c r="FS100">
        <v>0.19714210704533061</v>
      </c>
      <c r="FT100">
        <v>1</v>
      </c>
      <c r="FU100">
        <v>0.3303261452989481</v>
      </c>
      <c r="FV100">
        <v>-1.8175801528740029E-2</v>
      </c>
      <c r="FW100">
        <v>2.2489279228144598E-3</v>
      </c>
      <c r="FX100">
        <v>1</v>
      </c>
      <c r="FY100">
        <v>2</v>
      </c>
      <c r="FZ100">
        <v>2</v>
      </c>
      <c r="GA100" t="s">
        <v>429</v>
      </c>
      <c r="GB100">
        <v>3.1339299999999999</v>
      </c>
      <c r="GC100">
        <v>2.86511</v>
      </c>
      <c r="GD100">
        <v>0.22037899999999999</v>
      </c>
      <c r="GE100">
        <v>0.230708</v>
      </c>
      <c r="GF100">
        <v>0.12695899999999999</v>
      </c>
      <c r="GG100">
        <v>0.11421199999999999</v>
      </c>
      <c r="GH100">
        <v>23478.5</v>
      </c>
      <c r="GI100">
        <v>17939.7</v>
      </c>
      <c r="GJ100">
        <v>29050.6</v>
      </c>
      <c r="GK100">
        <v>21745.4</v>
      </c>
      <c r="GL100">
        <v>34014.1</v>
      </c>
      <c r="GM100">
        <v>26536.6</v>
      </c>
      <c r="GN100">
        <v>40319.300000000003</v>
      </c>
      <c r="GO100">
        <v>30920.3</v>
      </c>
      <c r="GP100">
        <v>2.0087000000000002</v>
      </c>
      <c r="GQ100">
        <v>1.7906</v>
      </c>
      <c r="GR100">
        <v>2.2709400000000001E-2</v>
      </c>
      <c r="GS100">
        <v>0</v>
      </c>
      <c r="GT100">
        <v>29.6417</v>
      </c>
      <c r="GU100">
        <v>999.9</v>
      </c>
      <c r="GV100">
        <v>43.6</v>
      </c>
      <c r="GW100">
        <v>36.799999999999997</v>
      </c>
      <c r="GX100">
        <v>27.519400000000001</v>
      </c>
      <c r="GY100">
        <v>62.105699999999999</v>
      </c>
      <c r="GZ100">
        <v>11.875</v>
      </c>
      <c r="HA100">
        <v>1</v>
      </c>
      <c r="HB100">
        <v>0.464451</v>
      </c>
      <c r="HC100">
        <v>3.34931</v>
      </c>
      <c r="HD100">
        <v>20.247399999999999</v>
      </c>
      <c r="HE100">
        <v>5.2346599999999999</v>
      </c>
      <c r="HF100">
        <v>11.98</v>
      </c>
      <c r="HG100">
        <v>4.9753999999999996</v>
      </c>
      <c r="HH100">
        <v>3.2839999999999998</v>
      </c>
      <c r="HI100">
        <v>9999</v>
      </c>
      <c r="HJ100">
        <v>9999</v>
      </c>
      <c r="HK100">
        <v>9999</v>
      </c>
      <c r="HL100">
        <v>999.9</v>
      </c>
      <c r="HM100">
        <v>1.86127</v>
      </c>
      <c r="HN100">
        <v>1.8629500000000001</v>
      </c>
      <c r="HO100">
        <v>1.86829</v>
      </c>
      <c r="HP100">
        <v>1.8589599999999999</v>
      </c>
      <c r="HQ100">
        <v>1.85734</v>
      </c>
      <c r="HR100">
        <v>1.8610199999999999</v>
      </c>
      <c r="HS100">
        <v>1.86493</v>
      </c>
      <c r="HT100">
        <v>1.86693</v>
      </c>
      <c r="HU100">
        <v>5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2.65</v>
      </c>
      <c r="II100">
        <v>0.80149999999999999</v>
      </c>
      <c r="IJ100">
        <v>2.9216688640521902</v>
      </c>
      <c r="IK100">
        <v>1.118558698776514E-3</v>
      </c>
      <c r="IL100">
        <v>-1.6939696309573479E-6</v>
      </c>
      <c r="IM100">
        <v>5.4698917449866148E-10</v>
      </c>
      <c r="IN100">
        <v>-7.6175464645665603E-2</v>
      </c>
      <c r="IO100">
        <v>-7.6058941998734366E-3</v>
      </c>
      <c r="IP100">
        <v>1.6984902717538061E-3</v>
      </c>
      <c r="IQ100">
        <v>-9.6352527008986976E-6</v>
      </c>
      <c r="IR100">
        <v>2</v>
      </c>
      <c r="IS100">
        <v>2021</v>
      </c>
      <c r="IT100">
        <v>2</v>
      </c>
      <c r="IU100">
        <v>40</v>
      </c>
      <c r="IV100">
        <v>0.5</v>
      </c>
      <c r="IW100">
        <v>0.5</v>
      </c>
      <c r="IX100">
        <v>3.0261200000000001</v>
      </c>
      <c r="IY100">
        <v>2.50488</v>
      </c>
      <c r="IZ100">
        <v>1.34399</v>
      </c>
      <c r="JA100">
        <v>2.2399900000000001</v>
      </c>
      <c r="JB100">
        <v>1.5918000000000001</v>
      </c>
      <c r="JC100">
        <v>2.4902299999999999</v>
      </c>
      <c r="JD100">
        <v>41.378100000000003</v>
      </c>
      <c r="JE100">
        <v>23.973700000000001</v>
      </c>
      <c r="JF100">
        <v>18</v>
      </c>
      <c r="JG100">
        <v>510.04899999999998</v>
      </c>
      <c r="JH100">
        <v>415.02499999999998</v>
      </c>
      <c r="JI100">
        <v>25.5732</v>
      </c>
      <c r="JJ100">
        <v>33.254899999999999</v>
      </c>
      <c r="JK100">
        <v>30.0002</v>
      </c>
      <c r="JL100">
        <v>33.137500000000003</v>
      </c>
      <c r="JM100">
        <v>33.084000000000003</v>
      </c>
      <c r="JN100">
        <v>60.627299999999998</v>
      </c>
      <c r="JO100">
        <v>21.899899999999999</v>
      </c>
      <c r="JP100">
        <v>27.940300000000001</v>
      </c>
      <c r="JQ100">
        <v>25.571899999999999</v>
      </c>
      <c r="JR100">
        <v>1500</v>
      </c>
      <c r="JS100">
        <v>22.9206</v>
      </c>
      <c r="JT100">
        <v>99.053799999999995</v>
      </c>
      <c r="JU100">
        <v>97.659599999999998</v>
      </c>
    </row>
    <row r="101" spans="1:281" x14ac:dyDescent="0.25">
      <c r="A101">
        <v>85</v>
      </c>
      <c r="B101">
        <v>1693344948</v>
      </c>
      <c r="C101">
        <v>23186.5</v>
      </c>
      <c r="D101" t="s">
        <v>848</v>
      </c>
      <c r="E101" t="s">
        <v>849</v>
      </c>
      <c r="F101" t="s">
        <v>413</v>
      </c>
      <c r="G101" t="s">
        <v>636</v>
      </c>
      <c r="H101" t="s">
        <v>779</v>
      </c>
      <c r="I101" t="s">
        <v>493</v>
      </c>
      <c r="J101">
        <v>1693344948</v>
      </c>
      <c r="K101">
        <f t="shared" si="92"/>
        <v>3.4087344709198626E-3</v>
      </c>
      <c r="L101">
        <f t="shared" si="93"/>
        <v>3.4087344709198626</v>
      </c>
      <c r="M101">
        <f t="shared" si="94"/>
        <v>31.929263709987676</v>
      </c>
      <c r="N101">
        <f t="shared" si="95"/>
        <v>360.13</v>
      </c>
      <c r="O101">
        <f t="shared" si="96"/>
        <v>127.05850616082772</v>
      </c>
      <c r="P101">
        <f t="shared" si="97"/>
        <v>12.565806997415171</v>
      </c>
      <c r="Q101">
        <f t="shared" si="98"/>
        <v>35.616065470273</v>
      </c>
      <c r="R101">
        <f t="shared" si="99"/>
        <v>0.23343270683521219</v>
      </c>
      <c r="S101">
        <f t="shared" si="100"/>
        <v>2.9144878461451267</v>
      </c>
      <c r="T101">
        <f t="shared" si="101"/>
        <v>0.22352096865375015</v>
      </c>
      <c r="U101">
        <f t="shared" si="102"/>
        <v>0.14055606414050006</v>
      </c>
      <c r="V101">
        <f t="shared" si="103"/>
        <v>344.36309964467415</v>
      </c>
      <c r="W101">
        <f t="shared" si="104"/>
        <v>31.260693043090239</v>
      </c>
      <c r="X101">
        <f t="shared" si="105"/>
        <v>29.979700000000001</v>
      </c>
      <c r="Y101">
        <f t="shared" si="106"/>
        <v>4.2554845458885309</v>
      </c>
      <c r="Z101">
        <f t="shared" si="107"/>
        <v>65.319492849457788</v>
      </c>
      <c r="AA101">
        <f t="shared" si="108"/>
        <v>2.8010824488782999</v>
      </c>
      <c r="AB101">
        <f t="shared" si="109"/>
        <v>4.2882795421176505</v>
      </c>
      <c r="AC101">
        <f t="shared" si="110"/>
        <v>1.4544020970102309</v>
      </c>
      <c r="AD101">
        <f t="shared" si="111"/>
        <v>-150.32519016756595</v>
      </c>
      <c r="AE101">
        <f t="shared" si="112"/>
        <v>21.007728653395585</v>
      </c>
      <c r="AF101">
        <f t="shared" si="113"/>
        <v>1.6034525482195534</v>
      </c>
      <c r="AG101">
        <f t="shared" si="114"/>
        <v>216.64909067872333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51878.528115928581</v>
      </c>
      <c r="AM101" t="s">
        <v>415</v>
      </c>
      <c r="AN101">
        <v>10366.9</v>
      </c>
      <c r="AO101">
        <v>993.59653846153856</v>
      </c>
      <c r="AP101">
        <v>3431.87</v>
      </c>
      <c r="AQ101">
        <f t="shared" si="118"/>
        <v>0.71047955241266758</v>
      </c>
      <c r="AR101">
        <v>-3.9894345373445681</v>
      </c>
      <c r="AS101" t="s">
        <v>850</v>
      </c>
      <c r="AT101">
        <v>10381.200000000001</v>
      </c>
      <c r="AU101">
        <v>764.38127999999995</v>
      </c>
      <c r="AV101">
        <v>986.99328346354582</v>
      </c>
      <c r="AW101">
        <f t="shared" si="119"/>
        <v>0.22554561129571049</v>
      </c>
      <c r="AX101">
        <v>0.5</v>
      </c>
      <c r="AY101">
        <f t="shared" si="120"/>
        <v>1513.1591998223371</v>
      </c>
      <c r="AZ101">
        <f t="shared" si="121"/>
        <v>31.929263709987676</v>
      </c>
      <c r="BA101">
        <f t="shared" si="122"/>
        <v>170.64320835582859</v>
      </c>
      <c r="BB101">
        <f t="shared" si="123"/>
        <v>2.3737554020455697E-2</v>
      </c>
      <c r="BC101">
        <f t="shared" si="124"/>
        <v>2.4770955967977009</v>
      </c>
      <c r="BD101">
        <f t="shared" si="125"/>
        <v>578.62450380521898</v>
      </c>
      <c r="BE101" t="s">
        <v>851</v>
      </c>
      <c r="BF101">
        <v>593.04999999999995</v>
      </c>
      <c r="BG101">
        <f t="shared" si="126"/>
        <v>593.04999999999995</v>
      </c>
      <c r="BH101">
        <f t="shared" si="127"/>
        <v>0.39913471556880764</v>
      </c>
      <c r="BI101">
        <f t="shared" si="128"/>
        <v>0.56508642946350829</v>
      </c>
      <c r="BJ101">
        <f t="shared" si="129"/>
        <v>0.86122991825351891</v>
      </c>
      <c r="BK101">
        <f t="shared" si="130"/>
        <v>-33.712465069305324</v>
      </c>
      <c r="BL101">
        <f t="shared" si="131"/>
        <v>1.0027081683421295</v>
      </c>
      <c r="BM101">
        <f t="shared" si="132"/>
        <v>0.43842584291616038</v>
      </c>
      <c r="BN101">
        <f t="shared" si="133"/>
        <v>0.56157415708383962</v>
      </c>
      <c r="BO101">
        <v>2121</v>
      </c>
      <c r="BP101">
        <v>290.00000000000011</v>
      </c>
      <c r="BQ101">
        <v>928.61</v>
      </c>
      <c r="BR101">
        <v>245</v>
      </c>
      <c r="BS101">
        <v>10381.200000000001</v>
      </c>
      <c r="BT101">
        <v>927.62</v>
      </c>
      <c r="BU101">
        <v>0.99</v>
      </c>
      <c r="BV101">
        <v>300.00000000000011</v>
      </c>
      <c r="BW101">
        <v>38.4</v>
      </c>
      <c r="BX101">
        <v>986.99328346354582</v>
      </c>
      <c r="BY101">
        <v>1.0503064880860209</v>
      </c>
      <c r="BZ101">
        <v>-61.636850947727453</v>
      </c>
      <c r="CA101">
        <v>0.8928778934316236</v>
      </c>
      <c r="CB101">
        <v>0.99415859979813248</v>
      </c>
      <c r="CC101">
        <v>-1.130188765294772E-2</v>
      </c>
      <c r="CD101">
        <v>289.99999999999989</v>
      </c>
      <c r="CE101">
        <v>922.6</v>
      </c>
      <c r="CF101">
        <v>755</v>
      </c>
      <c r="CG101">
        <v>10358.9</v>
      </c>
      <c r="CH101">
        <v>927.49</v>
      </c>
      <c r="CI101">
        <v>-4.8899999999999997</v>
      </c>
      <c r="CW101">
        <f t="shared" si="134"/>
        <v>1799.97</v>
      </c>
      <c r="CX101">
        <f t="shared" si="135"/>
        <v>1513.1591998223371</v>
      </c>
      <c r="CY101">
        <f t="shared" si="136"/>
        <v>0.84065801086814618</v>
      </c>
      <c r="CZ101">
        <f t="shared" si="137"/>
        <v>0.19131602173629236</v>
      </c>
      <c r="DA101">
        <v>6</v>
      </c>
      <c r="DB101">
        <v>0.5</v>
      </c>
      <c r="DC101" t="s">
        <v>418</v>
      </c>
      <c r="DD101">
        <v>2</v>
      </c>
      <c r="DE101">
        <v>1693344948</v>
      </c>
      <c r="DF101">
        <v>360.13</v>
      </c>
      <c r="DG101">
        <v>399.96100000000001</v>
      </c>
      <c r="DH101">
        <v>28.323</v>
      </c>
      <c r="DI101">
        <v>24.344100000000001</v>
      </c>
      <c r="DJ101">
        <v>358.101</v>
      </c>
      <c r="DK101">
        <v>27.5152</v>
      </c>
      <c r="DL101">
        <v>499.46300000000002</v>
      </c>
      <c r="DM101">
        <v>98.798100000000005</v>
      </c>
      <c r="DN101">
        <v>9.9702100000000002E-2</v>
      </c>
      <c r="DO101">
        <v>30.113399999999999</v>
      </c>
      <c r="DP101">
        <v>29.979700000000001</v>
      </c>
      <c r="DQ101">
        <v>999.9</v>
      </c>
      <c r="DR101">
        <v>0</v>
      </c>
      <c r="DS101">
        <v>0</v>
      </c>
      <c r="DT101">
        <v>10035</v>
      </c>
      <c r="DU101">
        <v>0</v>
      </c>
      <c r="DV101">
        <v>980.43299999999999</v>
      </c>
      <c r="DW101">
        <v>-39.830500000000001</v>
      </c>
      <c r="DX101">
        <v>370.62700000000001</v>
      </c>
      <c r="DY101">
        <v>409.94</v>
      </c>
      <c r="DZ101">
        <v>3.9788399999999999</v>
      </c>
      <c r="EA101">
        <v>399.96100000000001</v>
      </c>
      <c r="EB101">
        <v>24.344100000000001</v>
      </c>
      <c r="EC101">
        <v>2.7982499999999999</v>
      </c>
      <c r="ED101">
        <v>2.4051499999999999</v>
      </c>
      <c r="EE101">
        <v>22.873799999999999</v>
      </c>
      <c r="EF101">
        <v>20.398499999999999</v>
      </c>
      <c r="EG101">
        <v>1799.97</v>
      </c>
      <c r="EH101">
        <v>0.97800600000000004</v>
      </c>
      <c r="EI101">
        <v>2.1993800000000001E-2</v>
      </c>
      <c r="EJ101">
        <v>0</v>
      </c>
      <c r="EK101">
        <v>764.36900000000003</v>
      </c>
      <c r="EL101">
        <v>5.0002700000000004</v>
      </c>
      <c r="EM101">
        <v>14281.6</v>
      </c>
      <c r="EN101">
        <v>16248.4</v>
      </c>
      <c r="EO101">
        <v>46.561999999999998</v>
      </c>
      <c r="EP101">
        <v>47.561999999999998</v>
      </c>
      <c r="EQ101">
        <v>47.5</v>
      </c>
      <c r="ER101">
        <v>46.936999999999998</v>
      </c>
      <c r="ES101">
        <v>48.25</v>
      </c>
      <c r="ET101">
        <v>1755.49</v>
      </c>
      <c r="EU101">
        <v>39.479999999999997</v>
      </c>
      <c r="EV101">
        <v>0</v>
      </c>
      <c r="EW101">
        <v>2592.6000001430511</v>
      </c>
      <c r="EX101">
        <v>0</v>
      </c>
      <c r="EY101">
        <v>764.38127999999995</v>
      </c>
      <c r="EZ101">
        <v>0.2106923110175401</v>
      </c>
      <c r="FA101">
        <v>37.538461484869828</v>
      </c>
      <c r="FB101">
        <v>14281.26</v>
      </c>
      <c r="FC101">
        <v>15</v>
      </c>
      <c r="FD101">
        <v>1693344920.5</v>
      </c>
      <c r="FE101" t="s">
        <v>852</v>
      </c>
      <c r="FF101">
        <v>1693344920.5</v>
      </c>
      <c r="FG101">
        <v>1693344913.5</v>
      </c>
      <c r="FH101">
        <v>97</v>
      </c>
      <c r="FI101">
        <v>-1.7999999999999999E-2</v>
      </c>
      <c r="FJ101">
        <v>1.6E-2</v>
      </c>
      <c r="FK101">
        <v>2.032</v>
      </c>
      <c r="FL101">
        <v>0.57899999999999996</v>
      </c>
      <c r="FM101">
        <v>400</v>
      </c>
      <c r="FN101">
        <v>24</v>
      </c>
      <c r="FO101">
        <v>0.21</v>
      </c>
      <c r="FP101">
        <v>0.09</v>
      </c>
      <c r="FQ101">
        <v>32.011297080171147</v>
      </c>
      <c r="FR101">
        <v>-0.2051014964222686</v>
      </c>
      <c r="FS101">
        <v>8.915023117649587E-2</v>
      </c>
      <c r="FT101">
        <v>1</v>
      </c>
      <c r="FU101">
        <v>0.23356638340431921</v>
      </c>
      <c r="FV101">
        <v>3.4408151991757042E-2</v>
      </c>
      <c r="FW101">
        <v>3.5531004887385371E-3</v>
      </c>
      <c r="FX101">
        <v>1</v>
      </c>
      <c r="FY101">
        <v>2</v>
      </c>
      <c r="FZ101">
        <v>2</v>
      </c>
      <c r="GA101" t="s">
        <v>429</v>
      </c>
      <c r="GB101">
        <v>3.1337700000000002</v>
      </c>
      <c r="GC101">
        <v>2.8651599999999999</v>
      </c>
      <c r="GD101">
        <v>8.4112500000000007E-2</v>
      </c>
      <c r="GE101">
        <v>9.4113000000000002E-2</v>
      </c>
      <c r="GF101">
        <v>0.12692000000000001</v>
      </c>
      <c r="GG101">
        <v>0.119285</v>
      </c>
      <c r="GH101">
        <v>27589.599999999999</v>
      </c>
      <c r="GI101">
        <v>21144.400000000001</v>
      </c>
      <c r="GJ101">
        <v>29052.9</v>
      </c>
      <c r="GK101">
        <v>21761.200000000001</v>
      </c>
      <c r="GL101">
        <v>34002.6</v>
      </c>
      <c r="GM101">
        <v>26391</v>
      </c>
      <c r="GN101">
        <v>40323</v>
      </c>
      <c r="GO101">
        <v>30940.6</v>
      </c>
      <c r="GP101">
        <v>2.0188999999999999</v>
      </c>
      <c r="GQ101">
        <v>1.8032999999999999</v>
      </c>
      <c r="GR101">
        <v>2.4765700000000002E-2</v>
      </c>
      <c r="GS101">
        <v>0</v>
      </c>
      <c r="GT101">
        <v>29.576499999999999</v>
      </c>
      <c r="GU101">
        <v>999.9</v>
      </c>
      <c r="GV101">
        <v>50.3</v>
      </c>
      <c r="GW101">
        <v>35.700000000000003</v>
      </c>
      <c r="GX101">
        <v>29.890699999999999</v>
      </c>
      <c r="GY101">
        <v>62.051400000000001</v>
      </c>
      <c r="GZ101">
        <v>12.227600000000001</v>
      </c>
      <c r="HA101">
        <v>1</v>
      </c>
      <c r="HB101">
        <v>0.439614</v>
      </c>
      <c r="HC101">
        <v>2.4888599999999999</v>
      </c>
      <c r="HD101">
        <v>20.3203</v>
      </c>
      <c r="HE101">
        <v>5.2340600000000004</v>
      </c>
      <c r="HF101">
        <v>11.98</v>
      </c>
      <c r="HG101">
        <v>4.9752000000000001</v>
      </c>
      <c r="HH101">
        <v>3.2839999999999998</v>
      </c>
      <c r="HI101">
        <v>9999</v>
      </c>
      <c r="HJ101">
        <v>9999</v>
      </c>
      <c r="HK101">
        <v>9999</v>
      </c>
      <c r="HL101">
        <v>999.9</v>
      </c>
      <c r="HM101">
        <v>1.86066</v>
      </c>
      <c r="HN101">
        <v>1.8623400000000001</v>
      </c>
      <c r="HO101">
        <v>1.86782</v>
      </c>
      <c r="HP101">
        <v>1.8583700000000001</v>
      </c>
      <c r="HQ101">
        <v>1.85684</v>
      </c>
      <c r="HR101">
        <v>1.86049</v>
      </c>
      <c r="HS101">
        <v>1.86432</v>
      </c>
      <c r="HT101">
        <v>1.86646</v>
      </c>
      <c r="HU101">
        <v>5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2.0289999999999999</v>
      </c>
      <c r="II101">
        <v>0.80779999999999996</v>
      </c>
      <c r="IJ101">
        <v>1.8208046124642081</v>
      </c>
      <c r="IK101">
        <v>1.118558698776514E-3</v>
      </c>
      <c r="IL101">
        <v>-1.6939696309573479E-6</v>
      </c>
      <c r="IM101">
        <v>5.4698917449866148E-10</v>
      </c>
      <c r="IN101">
        <v>-6.8198930358639109E-2</v>
      </c>
      <c r="IO101">
        <v>-7.6058941998734366E-3</v>
      </c>
      <c r="IP101">
        <v>1.6984902717538061E-3</v>
      </c>
      <c r="IQ101">
        <v>-9.6352527008986976E-6</v>
      </c>
      <c r="IR101">
        <v>2</v>
      </c>
      <c r="IS101">
        <v>2021</v>
      </c>
      <c r="IT101">
        <v>2</v>
      </c>
      <c r="IU101">
        <v>40</v>
      </c>
      <c r="IV101">
        <v>0.5</v>
      </c>
      <c r="IW101">
        <v>0.6</v>
      </c>
      <c r="IX101">
        <v>1.02783</v>
      </c>
      <c r="IY101">
        <v>2.50366</v>
      </c>
      <c r="IZ101">
        <v>1.34399</v>
      </c>
      <c r="JA101">
        <v>2.2399900000000001</v>
      </c>
      <c r="JB101">
        <v>1.5918000000000001</v>
      </c>
      <c r="JC101">
        <v>2.4536099999999998</v>
      </c>
      <c r="JD101">
        <v>38.845700000000001</v>
      </c>
      <c r="JE101">
        <v>15.9795</v>
      </c>
      <c r="JF101">
        <v>18</v>
      </c>
      <c r="JG101">
        <v>514.84299999999996</v>
      </c>
      <c r="JH101">
        <v>421.38600000000002</v>
      </c>
      <c r="JI101">
        <v>26.171500000000002</v>
      </c>
      <c r="JJ101">
        <v>32.994799999999998</v>
      </c>
      <c r="JK101">
        <v>29.9999</v>
      </c>
      <c r="JL101">
        <v>32.908700000000003</v>
      </c>
      <c r="JM101">
        <v>32.858899999999998</v>
      </c>
      <c r="JN101">
        <v>20.6553</v>
      </c>
      <c r="JO101">
        <v>26.829799999999999</v>
      </c>
      <c r="JP101">
        <v>41.877299999999998</v>
      </c>
      <c r="JQ101">
        <v>26.170100000000001</v>
      </c>
      <c r="JR101">
        <v>400</v>
      </c>
      <c r="JS101">
        <v>24.240600000000001</v>
      </c>
      <c r="JT101">
        <v>99.062299999999993</v>
      </c>
      <c r="JU101">
        <v>97.726500000000001</v>
      </c>
    </row>
    <row r="102" spans="1:281" x14ac:dyDescent="0.25">
      <c r="A102">
        <v>86</v>
      </c>
      <c r="B102">
        <v>1693345053.5</v>
      </c>
      <c r="C102">
        <v>23292</v>
      </c>
      <c r="D102" t="s">
        <v>853</v>
      </c>
      <c r="E102" t="s">
        <v>854</v>
      </c>
      <c r="F102" t="s">
        <v>413</v>
      </c>
      <c r="G102" t="s">
        <v>636</v>
      </c>
      <c r="H102" t="s">
        <v>779</v>
      </c>
      <c r="I102" t="s">
        <v>493</v>
      </c>
      <c r="J102">
        <v>1693345053.5</v>
      </c>
      <c r="K102">
        <f t="shared" si="92"/>
        <v>3.5095020145689583E-3</v>
      </c>
      <c r="L102">
        <f t="shared" si="93"/>
        <v>3.5095020145689584</v>
      </c>
      <c r="M102">
        <f t="shared" si="94"/>
        <v>25.096639890829774</v>
      </c>
      <c r="N102">
        <f t="shared" si="95"/>
        <v>268.71100000000001</v>
      </c>
      <c r="O102">
        <f t="shared" si="96"/>
        <v>91.305414622983079</v>
      </c>
      <c r="P102">
        <f t="shared" si="97"/>
        <v>9.029626518007916</v>
      </c>
      <c r="Q102">
        <f t="shared" si="98"/>
        <v>26.574108242094002</v>
      </c>
      <c r="R102">
        <f t="shared" si="99"/>
        <v>0.2411563746457904</v>
      </c>
      <c r="S102">
        <f t="shared" si="100"/>
        <v>2.9113752023993715</v>
      </c>
      <c r="T102">
        <f t="shared" si="101"/>
        <v>0.23058307163381489</v>
      </c>
      <c r="U102">
        <f t="shared" si="102"/>
        <v>0.14502575554400518</v>
      </c>
      <c r="V102">
        <f t="shared" si="103"/>
        <v>344.35169964466229</v>
      </c>
      <c r="W102">
        <f t="shared" si="104"/>
        <v>31.263341688595691</v>
      </c>
      <c r="X102">
        <f t="shared" si="105"/>
        <v>30.0091</v>
      </c>
      <c r="Y102">
        <f t="shared" si="106"/>
        <v>4.2626772020649577</v>
      </c>
      <c r="Z102">
        <f t="shared" si="107"/>
        <v>65.45336526016041</v>
      </c>
      <c r="AA102">
        <f t="shared" si="108"/>
        <v>2.8113207298595997</v>
      </c>
      <c r="AB102">
        <f t="shared" si="109"/>
        <v>4.2951507820649368</v>
      </c>
      <c r="AC102">
        <f t="shared" si="110"/>
        <v>1.451356472205358</v>
      </c>
      <c r="AD102">
        <f t="shared" si="111"/>
        <v>-154.76903884249106</v>
      </c>
      <c r="AE102">
        <f t="shared" si="112"/>
        <v>20.749855520334155</v>
      </c>
      <c r="AF102">
        <f t="shared" si="113"/>
        <v>1.5859128873365587</v>
      </c>
      <c r="AG102">
        <f t="shared" si="114"/>
        <v>211.91842920984197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51785.260162209204</v>
      </c>
      <c r="AM102" t="s">
        <v>415</v>
      </c>
      <c r="AN102">
        <v>10366.9</v>
      </c>
      <c r="AO102">
        <v>993.59653846153856</v>
      </c>
      <c r="AP102">
        <v>3431.87</v>
      </c>
      <c r="AQ102">
        <f t="shared" si="118"/>
        <v>0.71047955241266758</v>
      </c>
      <c r="AR102">
        <v>-3.9894345373445681</v>
      </c>
      <c r="AS102" t="s">
        <v>855</v>
      </c>
      <c r="AT102">
        <v>10387.700000000001</v>
      </c>
      <c r="AU102">
        <v>756.03176000000008</v>
      </c>
      <c r="AV102">
        <v>934.4835864499023</v>
      </c>
      <c r="AW102">
        <f t="shared" si="119"/>
        <v>0.19096303994791353</v>
      </c>
      <c r="AX102">
        <v>0.5</v>
      </c>
      <c r="AY102">
        <f t="shared" si="120"/>
        <v>1513.1087998223313</v>
      </c>
      <c r="AZ102">
        <f t="shared" si="121"/>
        <v>25.096639890829774</v>
      </c>
      <c r="BA102">
        <f t="shared" si="122"/>
        <v>144.47392809300567</v>
      </c>
      <c r="BB102">
        <f t="shared" si="123"/>
        <v>1.922272504897838E-2</v>
      </c>
      <c r="BC102">
        <f t="shared" si="124"/>
        <v>2.672477558474466</v>
      </c>
      <c r="BD102">
        <f t="shared" si="125"/>
        <v>560.17131913961737</v>
      </c>
      <c r="BE102" t="s">
        <v>856</v>
      </c>
      <c r="BF102">
        <v>583.54</v>
      </c>
      <c r="BG102">
        <f t="shared" si="126"/>
        <v>583.54</v>
      </c>
      <c r="BH102">
        <f t="shared" si="127"/>
        <v>0.37554815465848357</v>
      </c>
      <c r="BI102">
        <f t="shared" si="128"/>
        <v>0.50849148792002918</v>
      </c>
      <c r="BJ102">
        <f t="shared" si="129"/>
        <v>0.87678970258014266</v>
      </c>
      <c r="BK102">
        <f t="shared" si="130"/>
        <v>-3.0188278605131136</v>
      </c>
      <c r="BL102">
        <f t="shared" si="131"/>
        <v>1.0242437745167181</v>
      </c>
      <c r="BM102">
        <f t="shared" si="132"/>
        <v>0.3924770605680028</v>
      </c>
      <c r="BN102">
        <f t="shared" si="133"/>
        <v>0.6075229394319972</v>
      </c>
      <c r="BO102">
        <v>2123</v>
      </c>
      <c r="BP102">
        <v>290.00000000000011</v>
      </c>
      <c r="BQ102">
        <v>888.43</v>
      </c>
      <c r="BR102">
        <v>195</v>
      </c>
      <c r="BS102">
        <v>10387.700000000001</v>
      </c>
      <c r="BT102">
        <v>887.13</v>
      </c>
      <c r="BU102">
        <v>1.3</v>
      </c>
      <c r="BV102">
        <v>300.00000000000011</v>
      </c>
      <c r="BW102">
        <v>38.4</v>
      </c>
      <c r="BX102">
        <v>934.4835864499023</v>
      </c>
      <c r="BY102">
        <v>0.86383723840669202</v>
      </c>
      <c r="BZ102">
        <v>-49.190838766890629</v>
      </c>
      <c r="CA102">
        <v>0.73432376667583188</v>
      </c>
      <c r="CB102">
        <v>0.99379897774051151</v>
      </c>
      <c r="CC102">
        <v>-1.130132969966632E-2</v>
      </c>
      <c r="CD102">
        <v>289.99999999999989</v>
      </c>
      <c r="CE102">
        <v>884.76</v>
      </c>
      <c r="CF102">
        <v>705</v>
      </c>
      <c r="CG102">
        <v>10362.1</v>
      </c>
      <c r="CH102">
        <v>887.01</v>
      </c>
      <c r="CI102">
        <v>-2.25</v>
      </c>
      <c r="CW102">
        <f t="shared" si="134"/>
        <v>1799.91</v>
      </c>
      <c r="CX102">
        <f t="shared" si="135"/>
        <v>1513.1087998223313</v>
      </c>
      <c r="CY102">
        <f t="shared" si="136"/>
        <v>0.84065803280293527</v>
      </c>
      <c r="CZ102">
        <f t="shared" si="137"/>
        <v>0.19131606560587044</v>
      </c>
      <c r="DA102">
        <v>6</v>
      </c>
      <c r="DB102">
        <v>0.5</v>
      </c>
      <c r="DC102" t="s">
        <v>418</v>
      </c>
      <c r="DD102">
        <v>2</v>
      </c>
      <c r="DE102">
        <v>1693345053.5</v>
      </c>
      <c r="DF102">
        <v>268.71100000000001</v>
      </c>
      <c r="DG102">
        <v>299.94499999999999</v>
      </c>
      <c r="DH102">
        <v>28.427399999999999</v>
      </c>
      <c r="DI102">
        <v>24.337499999999999</v>
      </c>
      <c r="DJ102">
        <v>266.786</v>
      </c>
      <c r="DK102">
        <v>27.6098</v>
      </c>
      <c r="DL102">
        <v>500.21800000000002</v>
      </c>
      <c r="DM102">
        <v>98.794700000000006</v>
      </c>
      <c r="DN102">
        <v>0.100054</v>
      </c>
      <c r="DO102">
        <v>30.141300000000001</v>
      </c>
      <c r="DP102">
        <v>30.0091</v>
      </c>
      <c r="DQ102">
        <v>999.9</v>
      </c>
      <c r="DR102">
        <v>0</v>
      </c>
      <c r="DS102">
        <v>0</v>
      </c>
      <c r="DT102">
        <v>10017.5</v>
      </c>
      <c r="DU102">
        <v>0</v>
      </c>
      <c r="DV102">
        <v>1095.01</v>
      </c>
      <c r="DW102">
        <v>-31.234300000000001</v>
      </c>
      <c r="DX102">
        <v>276.57299999999998</v>
      </c>
      <c r="DY102">
        <v>307.42700000000002</v>
      </c>
      <c r="DZ102">
        <v>4.08988</v>
      </c>
      <c r="EA102">
        <v>299.94499999999999</v>
      </c>
      <c r="EB102">
        <v>24.337499999999999</v>
      </c>
      <c r="EC102">
        <v>2.8084699999999998</v>
      </c>
      <c r="ED102">
        <v>2.4044099999999999</v>
      </c>
      <c r="EE102">
        <v>22.934000000000001</v>
      </c>
      <c r="EF102">
        <v>20.3935</v>
      </c>
      <c r="EG102">
        <v>1799.91</v>
      </c>
      <c r="EH102">
        <v>0.97800600000000004</v>
      </c>
      <c r="EI102">
        <v>2.1993800000000001E-2</v>
      </c>
      <c r="EJ102">
        <v>0</v>
      </c>
      <c r="EK102">
        <v>755.55799999999999</v>
      </c>
      <c r="EL102">
        <v>5.0002700000000004</v>
      </c>
      <c r="EM102">
        <v>14184.6</v>
      </c>
      <c r="EN102">
        <v>16247.8</v>
      </c>
      <c r="EO102">
        <v>46.561999999999998</v>
      </c>
      <c r="EP102">
        <v>47.5</v>
      </c>
      <c r="EQ102">
        <v>47.5</v>
      </c>
      <c r="ER102">
        <v>46.936999999999998</v>
      </c>
      <c r="ES102">
        <v>48.25</v>
      </c>
      <c r="ET102">
        <v>1755.43</v>
      </c>
      <c r="EU102">
        <v>39.479999999999997</v>
      </c>
      <c r="EV102">
        <v>0</v>
      </c>
      <c r="EW102">
        <v>103.3999998569489</v>
      </c>
      <c r="EX102">
        <v>0</v>
      </c>
      <c r="EY102">
        <v>756.03176000000008</v>
      </c>
      <c r="EZ102">
        <v>-2.9639230913377439</v>
      </c>
      <c r="FA102">
        <v>-51.100000051651257</v>
      </c>
      <c r="FB102">
        <v>14191.62</v>
      </c>
      <c r="FC102">
        <v>15</v>
      </c>
      <c r="FD102">
        <v>1693345025.5</v>
      </c>
      <c r="FE102" t="s">
        <v>857</v>
      </c>
      <c r="FF102">
        <v>1693345015</v>
      </c>
      <c r="FG102">
        <v>1693345025.5</v>
      </c>
      <c r="FH102">
        <v>98</v>
      </c>
      <c r="FI102">
        <v>-8.3000000000000004E-2</v>
      </c>
      <c r="FJ102">
        <v>4.0000000000000001E-3</v>
      </c>
      <c r="FK102">
        <v>1.9350000000000001</v>
      </c>
      <c r="FL102">
        <v>0.58299999999999996</v>
      </c>
      <c r="FM102">
        <v>300</v>
      </c>
      <c r="FN102">
        <v>24</v>
      </c>
      <c r="FO102">
        <v>0.21</v>
      </c>
      <c r="FP102">
        <v>7.0000000000000007E-2</v>
      </c>
      <c r="FQ102">
        <v>25.064632950174659</v>
      </c>
      <c r="FR102">
        <v>0.26371592641691582</v>
      </c>
      <c r="FS102">
        <v>8.8032332442068206E-2</v>
      </c>
      <c r="FT102">
        <v>1</v>
      </c>
      <c r="FU102">
        <v>0.2371675636809282</v>
      </c>
      <c r="FV102">
        <v>2.9861360213165589E-2</v>
      </c>
      <c r="FW102">
        <v>3.042024025360609E-3</v>
      </c>
      <c r="FX102">
        <v>1</v>
      </c>
      <c r="FY102">
        <v>2</v>
      </c>
      <c r="FZ102">
        <v>2</v>
      </c>
      <c r="GA102" t="s">
        <v>429</v>
      </c>
      <c r="GB102">
        <v>3.1346400000000001</v>
      </c>
      <c r="GC102">
        <v>2.8653599999999999</v>
      </c>
      <c r="GD102">
        <v>6.6131999999999996E-2</v>
      </c>
      <c r="GE102">
        <v>7.4881699999999995E-2</v>
      </c>
      <c r="GF102">
        <v>0.12722600000000001</v>
      </c>
      <c r="GG102">
        <v>0.11926200000000001</v>
      </c>
      <c r="GH102">
        <v>28132.5</v>
      </c>
      <c r="GI102">
        <v>21594.799999999999</v>
      </c>
      <c r="GJ102">
        <v>29054</v>
      </c>
      <c r="GK102">
        <v>21762.6</v>
      </c>
      <c r="GL102">
        <v>33989.699999999997</v>
      </c>
      <c r="GM102">
        <v>26391.9</v>
      </c>
      <c r="GN102">
        <v>40324.400000000001</v>
      </c>
      <c r="GO102">
        <v>30942.7</v>
      </c>
      <c r="GP102">
        <v>2.0205000000000002</v>
      </c>
      <c r="GQ102">
        <v>1.8028999999999999</v>
      </c>
      <c r="GR102">
        <v>2.3752499999999999E-2</v>
      </c>
      <c r="GS102">
        <v>0</v>
      </c>
      <c r="GT102">
        <v>29.622499999999999</v>
      </c>
      <c r="GU102">
        <v>999.9</v>
      </c>
      <c r="GV102">
        <v>50.3</v>
      </c>
      <c r="GW102">
        <v>35.700000000000003</v>
      </c>
      <c r="GX102">
        <v>29.892800000000001</v>
      </c>
      <c r="GY102">
        <v>62.051400000000001</v>
      </c>
      <c r="GZ102">
        <v>11.8149</v>
      </c>
      <c r="HA102">
        <v>1</v>
      </c>
      <c r="HB102">
        <v>0.44054900000000002</v>
      </c>
      <c r="HC102">
        <v>2.9827300000000001</v>
      </c>
      <c r="HD102">
        <v>20.311399999999999</v>
      </c>
      <c r="HE102">
        <v>5.2340600000000004</v>
      </c>
      <c r="HF102">
        <v>11.98</v>
      </c>
      <c r="HG102">
        <v>4.9752000000000001</v>
      </c>
      <c r="HH102">
        <v>3.2839999999999998</v>
      </c>
      <c r="HI102">
        <v>9999</v>
      </c>
      <c r="HJ102">
        <v>9999</v>
      </c>
      <c r="HK102">
        <v>9999</v>
      </c>
      <c r="HL102">
        <v>999.9</v>
      </c>
      <c r="HM102">
        <v>1.86069</v>
      </c>
      <c r="HN102">
        <v>1.8623400000000001</v>
      </c>
      <c r="HO102">
        <v>1.86782</v>
      </c>
      <c r="HP102">
        <v>1.8583700000000001</v>
      </c>
      <c r="HQ102">
        <v>1.85683</v>
      </c>
      <c r="HR102">
        <v>1.86049</v>
      </c>
      <c r="HS102">
        <v>1.8643400000000001</v>
      </c>
      <c r="HT102">
        <v>1.86646</v>
      </c>
      <c r="HU102">
        <v>5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1.925</v>
      </c>
      <c r="II102">
        <v>0.81759999999999999</v>
      </c>
      <c r="IJ102">
        <v>1.737452087464096</v>
      </c>
      <c r="IK102">
        <v>1.118558698776514E-3</v>
      </c>
      <c r="IL102">
        <v>-1.6939696309573479E-6</v>
      </c>
      <c r="IM102">
        <v>5.4698917449866148E-10</v>
      </c>
      <c r="IN102">
        <v>-6.4450790506643929E-2</v>
      </c>
      <c r="IO102">
        <v>-7.6058941998734366E-3</v>
      </c>
      <c r="IP102">
        <v>1.6984902717538061E-3</v>
      </c>
      <c r="IQ102">
        <v>-9.6352527008986976E-6</v>
      </c>
      <c r="IR102">
        <v>2</v>
      </c>
      <c r="IS102">
        <v>2021</v>
      </c>
      <c r="IT102">
        <v>2</v>
      </c>
      <c r="IU102">
        <v>40</v>
      </c>
      <c r="IV102">
        <v>0.6</v>
      </c>
      <c r="IW102">
        <v>0.5</v>
      </c>
      <c r="IX102">
        <v>0.81787100000000001</v>
      </c>
      <c r="IY102">
        <v>2.5134300000000001</v>
      </c>
      <c r="IZ102">
        <v>1.34399</v>
      </c>
      <c r="JA102">
        <v>2.2399900000000001</v>
      </c>
      <c r="JB102">
        <v>1.5918000000000001</v>
      </c>
      <c r="JC102">
        <v>2.34863</v>
      </c>
      <c r="JD102">
        <v>38.845700000000001</v>
      </c>
      <c r="JE102">
        <v>15.962</v>
      </c>
      <c r="JF102">
        <v>18</v>
      </c>
      <c r="JG102">
        <v>515.78099999999995</v>
      </c>
      <c r="JH102">
        <v>421.02499999999998</v>
      </c>
      <c r="JI102">
        <v>25.823399999999999</v>
      </c>
      <c r="JJ102">
        <v>32.9771</v>
      </c>
      <c r="JK102">
        <v>30.000299999999999</v>
      </c>
      <c r="JL102">
        <v>32.894100000000002</v>
      </c>
      <c r="JM102">
        <v>32.844999999999999</v>
      </c>
      <c r="JN102">
        <v>16.450399999999998</v>
      </c>
      <c r="JO102">
        <v>26.3779</v>
      </c>
      <c r="JP102">
        <v>41.715699999999998</v>
      </c>
      <c r="JQ102">
        <v>25.825199999999999</v>
      </c>
      <c r="JR102">
        <v>300</v>
      </c>
      <c r="JS102">
        <v>24.2546</v>
      </c>
      <c r="JT102">
        <v>99.066000000000003</v>
      </c>
      <c r="JU102">
        <v>97.733099999999993</v>
      </c>
    </row>
    <row r="103" spans="1:281" x14ac:dyDescent="0.25">
      <c r="A103">
        <v>87</v>
      </c>
      <c r="B103">
        <v>1693345154.5</v>
      </c>
      <c r="C103">
        <v>23393</v>
      </c>
      <c r="D103" t="s">
        <v>858</v>
      </c>
      <c r="E103" t="s">
        <v>859</v>
      </c>
      <c r="F103" t="s">
        <v>413</v>
      </c>
      <c r="G103" t="s">
        <v>636</v>
      </c>
      <c r="H103" t="s">
        <v>779</v>
      </c>
      <c r="I103" t="s">
        <v>493</v>
      </c>
      <c r="J103">
        <v>1693345154.5</v>
      </c>
      <c r="K103">
        <f t="shared" si="92"/>
        <v>3.7658264521860142E-3</v>
      </c>
      <c r="L103">
        <f t="shared" si="93"/>
        <v>3.7658264521860141</v>
      </c>
      <c r="M103">
        <f t="shared" si="94"/>
        <v>17.756692194528412</v>
      </c>
      <c r="N103">
        <f t="shared" si="95"/>
        <v>177.833</v>
      </c>
      <c r="O103">
        <f t="shared" si="96"/>
        <v>61.617413775834471</v>
      </c>
      <c r="P103">
        <f t="shared" si="97"/>
        <v>6.0934197920130782</v>
      </c>
      <c r="Q103">
        <f t="shared" si="98"/>
        <v>17.586118200534401</v>
      </c>
      <c r="R103">
        <f t="shared" si="99"/>
        <v>0.26131354843179772</v>
      </c>
      <c r="S103">
        <f t="shared" si="100"/>
        <v>2.9187253717268415</v>
      </c>
      <c r="T103">
        <f t="shared" si="101"/>
        <v>0.24897709235210044</v>
      </c>
      <c r="U103">
        <f t="shared" si="102"/>
        <v>0.156670521891102</v>
      </c>
      <c r="V103">
        <f t="shared" si="103"/>
        <v>344.40479964444557</v>
      </c>
      <c r="W103">
        <f t="shared" si="104"/>
        <v>31.173999437067096</v>
      </c>
      <c r="X103">
        <f t="shared" si="105"/>
        <v>29.988199999999999</v>
      </c>
      <c r="Y103">
        <f t="shared" si="106"/>
        <v>4.2575629675634321</v>
      </c>
      <c r="Z103">
        <f t="shared" si="107"/>
        <v>65.622498030491528</v>
      </c>
      <c r="AA103">
        <f t="shared" si="108"/>
        <v>2.8153038143401599</v>
      </c>
      <c r="AB103">
        <f t="shared" si="109"/>
        <v>4.2901503277611095</v>
      </c>
      <c r="AC103">
        <f t="shared" si="110"/>
        <v>1.4422591532232722</v>
      </c>
      <c r="AD103">
        <f t="shared" si="111"/>
        <v>-166.07294654140324</v>
      </c>
      <c r="AE103">
        <f t="shared" si="112"/>
        <v>20.896653993543314</v>
      </c>
      <c r="AF103">
        <f t="shared" si="113"/>
        <v>1.5927858484555213</v>
      </c>
      <c r="AG103">
        <f t="shared" si="114"/>
        <v>200.82129294504119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51997.558042618468</v>
      </c>
      <c r="AM103" t="s">
        <v>415</v>
      </c>
      <c r="AN103">
        <v>10366.9</v>
      </c>
      <c r="AO103">
        <v>993.59653846153856</v>
      </c>
      <c r="AP103">
        <v>3431.87</v>
      </c>
      <c r="AQ103">
        <f t="shared" si="118"/>
        <v>0.71047955241266758</v>
      </c>
      <c r="AR103">
        <v>-3.9894345373445681</v>
      </c>
      <c r="AS103" t="s">
        <v>860</v>
      </c>
      <c r="AT103">
        <v>10375.5</v>
      </c>
      <c r="AU103">
        <v>761.31996153846148</v>
      </c>
      <c r="AV103">
        <v>897.75901847041143</v>
      </c>
      <c r="AW103">
        <f t="shared" si="119"/>
        <v>0.1519773726856154</v>
      </c>
      <c r="AX103">
        <v>0.5</v>
      </c>
      <c r="AY103">
        <f t="shared" si="120"/>
        <v>1513.336499822223</v>
      </c>
      <c r="AZ103">
        <f t="shared" si="121"/>
        <v>17.756692194528412</v>
      </c>
      <c r="BA103">
        <f t="shared" si="122"/>
        <v>114.99645261611336</v>
      </c>
      <c r="BB103">
        <f t="shared" si="123"/>
        <v>1.4369657200779585E-2</v>
      </c>
      <c r="BC103">
        <f t="shared" si="124"/>
        <v>2.8227073517425305</v>
      </c>
      <c r="BD103">
        <f t="shared" si="125"/>
        <v>546.76387720096056</v>
      </c>
      <c r="BE103" t="s">
        <v>861</v>
      </c>
      <c r="BF103">
        <v>582.16999999999996</v>
      </c>
      <c r="BG103">
        <f t="shared" si="126"/>
        <v>582.16999999999996</v>
      </c>
      <c r="BH103">
        <f t="shared" si="127"/>
        <v>0.3515297668723032</v>
      </c>
      <c r="BI103">
        <f t="shared" si="128"/>
        <v>0.43233144674437396</v>
      </c>
      <c r="BJ103">
        <f t="shared" si="129"/>
        <v>0.88925535373182751</v>
      </c>
      <c r="BK103">
        <f t="shared" si="130"/>
        <v>-1.4236497036294535</v>
      </c>
      <c r="BL103">
        <f t="shared" si="131"/>
        <v>1.0393054845991954</v>
      </c>
      <c r="BM103">
        <f t="shared" si="132"/>
        <v>0.33059739802771071</v>
      </c>
      <c r="BN103">
        <f t="shared" si="133"/>
        <v>0.66940260197228929</v>
      </c>
      <c r="BO103">
        <v>2125</v>
      </c>
      <c r="BP103">
        <v>290.00000000000011</v>
      </c>
      <c r="BQ103">
        <v>861.97</v>
      </c>
      <c r="BR103">
        <v>295</v>
      </c>
      <c r="BS103">
        <v>10375.5</v>
      </c>
      <c r="BT103">
        <v>860.98</v>
      </c>
      <c r="BU103">
        <v>0.99</v>
      </c>
      <c r="BV103">
        <v>300.00000000000011</v>
      </c>
      <c r="BW103">
        <v>38.4</v>
      </c>
      <c r="BX103">
        <v>897.75901847041143</v>
      </c>
      <c r="BY103">
        <v>1.1134775478983161</v>
      </c>
      <c r="BZ103">
        <v>-38.161956380874422</v>
      </c>
      <c r="CA103">
        <v>0.94650102534986591</v>
      </c>
      <c r="CB103">
        <v>0.98306745394209682</v>
      </c>
      <c r="CC103">
        <v>-1.13008082313682E-2</v>
      </c>
      <c r="CD103">
        <v>289.99999999999989</v>
      </c>
      <c r="CE103">
        <v>859.47</v>
      </c>
      <c r="CF103">
        <v>675</v>
      </c>
      <c r="CG103">
        <v>10364.200000000001</v>
      </c>
      <c r="CH103">
        <v>860.94</v>
      </c>
      <c r="CI103">
        <v>-1.47</v>
      </c>
      <c r="CW103">
        <f t="shared" si="134"/>
        <v>1800.18</v>
      </c>
      <c r="CX103">
        <f t="shared" si="135"/>
        <v>1513.336499822223</v>
      </c>
      <c r="CY103">
        <f t="shared" si="136"/>
        <v>0.84065843405782914</v>
      </c>
      <c r="CZ103">
        <f t="shared" si="137"/>
        <v>0.19131686811565821</v>
      </c>
      <c r="DA103">
        <v>6</v>
      </c>
      <c r="DB103">
        <v>0.5</v>
      </c>
      <c r="DC103" t="s">
        <v>418</v>
      </c>
      <c r="DD103">
        <v>2</v>
      </c>
      <c r="DE103">
        <v>1693345154.5</v>
      </c>
      <c r="DF103">
        <v>177.833</v>
      </c>
      <c r="DG103">
        <v>199.952</v>
      </c>
      <c r="DH103">
        <v>28.468699999999998</v>
      </c>
      <c r="DI103">
        <v>24.076899999999998</v>
      </c>
      <c r="DJ103">
        <v>176.19</v>
      </c>
      <c r="DK103">
        <v>27.652100000000001</v>
      </c>
      <c r="DL103">
        <v>499.834</v>
      </c>
      <c r="DM103">
        <v>98.791499999999999</v>
      </c>
      <c r="DN103">
        <v>9.9696800000000002E-2</v>
      </c>
      <c r="DO103">
        <v>30.120999999999999</v>
      </c>
      <c r="DP103">
        <v>29.988199999999999</v>
      </c>
      <c r="DQ103">
        <v>999.9</v>
      </c>
      <c r="DR103">
        <v>0</v>
      </c>
      <c r="DS103">
        <v>0</v>
      </c>
      <c r="DT103">
        <v>10060</v>
      </c>
      <c r="DU103">
        <v>0</v>
      </c>
      <c r="DV103">
        <v>1064.9100000000001</v>
      </c>
      <c r="DW103">
        <v>-22.1188</v>
      </c>
      <c r="DX103">
        <v>183.04400000000001</v>
      </c>
      <c r="DY103">
        <v>204.88499999999999</v>
      </c>
      <c r="DZ103">
        <v>4.3917400000000004</v>
      </c>
      <c r="EA103">
        <v>199.952</v>
      </c>
      <c r="EB103">
        <v>24.076899999999998</v>
      </c>
      <c r="EC103">
        <v>2.8124600000000002</v>
      </c>
      <c r="ED103">
        <v>2.3786</v>
      </c>
      <c r="EE103">
        <v>22.9574</v>
      </c>
      <c r="EF103">
        <v>20.218800000000002</v>
      </c>
      <c r="EG103">
        <v>1800.18</v>
      </c>
      <c r="EH103">
        <v>0.977993</v>
      </c>
      <c r="EI103">
        <v>2.2006600000000001E-2</v>
      </c>
      <c r="EJ103">
        <v>0</v>
      </c>
      <c r="EK103">
        <v>761.06899999999996</v>
      </c>
      <c r="EL103">
        <v>5.0002700000000004</v>
      </c>
      <c r="EM103">
        <v>14275.3</v>
      </c>
      <c r="EN103">
        <v>16250.2</v>
      </c>
      <c r="EO103">
        <v>46.561999999999998</v>
      </c>
      <c r="EP103">
        <v>47.686999999999998</v>
      </c>
      <c r="EQ103">
        <v>47.561999999999998</v>
      </c>
      <c r="ER103">
        <v>47.061999999999998</v>
      </c>
      <c r="ES103">
        <v>48.311999999999998</v>
      </c>
      <c r="ET103">
        <v>1755.67</v>
      </c>
      <c r="EU103">
        <v>39.51</v>
      </c>
      <c r="EV103">
        <v>0</v>
      </c>
      <c r="EW103">
        <v>99.199999809265137</v>
      </c>
      <c r="EX103">
        <v>0</v>
      </c>
      <c r="EY103">
        <v>761.31996153846148</v>
      </c>
      <c r="EZ103">
        <v>-2.391965818535152</v>
      </c>
      <c r="FA103">
        <v>-67.415384693495497</v>
      </c>
      <c r="FB103">
        <v>14281.46538461538</v>
      </c>
      <c r="FC103">
        <v>15</v>
      </c>
      <c r="FD103">
        <v>1693345126</v>
      </c>
      <c r="FE103" t="s">
        <v>862</v>
      </c>
      <c r="FF103">
        <v>1693345119</v>
      </c>
      <c r="FG103">
        <v>1693345126</v>
      </c>
      <c r="FH103">
        <v>99</v>
      </c>
      <c r="FI103">
        <v>-0.24199999999999999</v>
      </c>
      <c r="FJ103">
        <v>-4.0000000000000001E-3</v>
      </c>
      <c r="FK103">
        <v>1.655</v>
      </c>
      <c r="FL103">
        <v>0.56799999999999995</v>
      </c>
      <c r="FM103">
        <v>200</v>
      </c>
      <c r="FN103">
        <v>24</v>
      </c>
      <c r="FO103">
        <v>0.3</v>
      </c>
      <c r="FP103">
        <v>7.0000000000000007E-2</v>
      </c>
      <c r="FQ103">
        <v>17.7107909014819</v>
      </c>
      <c r="FR103">
        <v>0.48308051793016288</v>
      </c>
      <c r="FS103">
        <v>7.2200561902321617E-2</v>
      </c>
      <c r="FT103">
        <v>1</v>
      </c>
      <c r="FU103">
        <v>0.25697872064750149</v>
      </c>
      <c r="FV103">
        <v>4.8664206524668588E-2</v>
      </c>
      <c r="FW103">
        <v>3.840358243226405E-3</v>
      </c>
      <c r="FX103">
        <v>1</v>
      </c>
      <c r="FY103">
        <v>2</v>
      </c>
      <c r="FZ103">
        <v>2</v>
      </c>
      <c r="GA103" t="s">
        <v>429</v>
      </c>
      <c r="GB103">
        <v>3.1341299999999999</v>
      </c>
      <c r="GC103">
        <v>2.86537</v>
      </c>
      <c r="GD103">
        <v>4.6013400000000003E-2</v>
      </c>
      <c r="GE103">
        <v>5.2998099999999999E-2</v>
      </c>
      <c r="GF103">
        <v>0.127357</v>
      </c>
      <c r="GG103">
        <v>0.118369</v>
      </c>
      <c r="GH103">
        <v>28736.400000000001</v>
      </c>
      <c r="GI103">
        <v>22106</v>
      </c>
      <c r="GJ103">
        <v>29052</v>
      </c>
      <c r="GK103">
        <v>21763.1</v>
      </c>
      <c r="GL103">
        <v>33980.699999999997</v>
      </c>
      <c r="GM103">
        <v>26417.599999999999</v>
      </c>
      <c r="GN103">
        <v>40322.1</v>
      </c>
      <c r="GO103">
        <v>30943.4</v>
      </c>
      <c r="GP103">
        <v>2.0196999999999998</v>
      </c>
      <c r="GQ103">
        <v>1.8024</v>
      </c>
      <c r="GR103">
        <v>1.60187E-2</v>
      </c>
      <c r="GS103">
        <v>0</v>
      </c>
      <c r="GT103">
        <v>29.727499999999999</v>
      </c>
      <c r="GU103">
        <v>999.9</v>
      </c>
      <c r="GV103">
        <v>50.2</v>
      </c>
      <c r="GW103">
        <v>35.700000000000003</v>
      </c>
      <c r="GX103">
        <v>29.834199999999999</v>
      </c>
      <c r="GY103">
        <v>62.211399999999998</v>
      </c>
      <c r="GZ103">
        <v>11.875</v>
      </c>
      <c r="HA103">
        <v>1</v>
      </c>
      <c r="HB103">
        <v>0.44124999999999998</v>
      </c>
      <c r="HC103">
        <v>2.94218</v>
      </c>
      <c r="HD103">
        <v>20.3123</v>
      </c>
      <c r="HE103">
        <v>5.2340600000000004</v>
      </c>
      <c r="HF103">
        <v>11.98</v>
      </c>
      <c r="HG103">
        <v>4.9752000000000001</v>
      </c>
      <c r="HH103">
        <v>3.2839999999999998</v>
      </c>
      <c r="HI103">
        <v>9999</v>
      </c>
      <c r="HJ103">
        <v>9999</v>
      </c>
      <c r="HK103">
        <v>9999</v>
      </c>
      <c r="HL103">
        <v>999.9</v>
      </c>
      <c r="HM103">
        <v>1.86066</v>
      </c>
      <c r="HN103">
        <v>1.8623400000000001</v>
      </c>
      <c r="HO103">
        <v>1.86782</v>
      </c>
      <c r="HP103">
        <v>1.8583700000000001</v>
      </c>
      <c r="HQ103">
        <v>1.85684</v>
      </c>
      <c r="HR103">
        <v>1.86049</v>
      </c>
      <c r="HS103">
        <v>1.86432</v>
      </c>
      <c r="HT103">
        <v>1.86646</v>
      </c>
      <c r="HU103">
        <v>5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1.643</v>
      </c>
      <c r="II103">
        <v>0.81659999999999999</v>
      </c>
      <c r="IJ103">
        <v>1.4957450610085461</v>
      </c>
      <c r="IK103">
        <v>1.118558698776514E-3</v>
      </c>
      <c r="IL103">
        <v>-1.6939696309573479E-6</v>
      </c>
      <c r="IM103">
        <v>5.4698917449866148E-10</v>
      </c>
      <c r="IN103">
        <v>-6.8062206415736126E-2</v>
      </c>
      <c r="IO103">
        <v>-7.6058941998734366E-3</v>
      </c>
      <c r="IP103">
        <v>1.6984902717538061E-3</v>
      </c>
      <c r="IQ103">
        <v>-9.6352527008986976E-6</v>
      </c>
      <c r="IR103">
        <v>2</v>
      </c>
      <c r="IS103">
        <v>2021</v>
      </c>
      <c r="IT103">
        <v>2</v>
      </c>
      <c r="IU103">
        <v>40</v>
      </c>
      <c r="IV103">
        <v>0.6</v>
      </c>
      <c r="IW103">
        <v>0.5</v>
      </c>
      <c r="IX103">
        <v>0.59936500000000004</v>
      </c>
      <c r="IY103">
        <v>2.52319</v>
      </c>
      <c r="IZ103">
        <v>1.34399</v>
      </c>
      <c r="JA103">
        <v>2.2412100000000001</v>
      </c>
      <c r="JB103">
        <v>1.5918000000000001</v>
      </c>
      <c r="JC103">
        <v>2.3742700000000001</v>
      </c>
      <c r="JD103">
        <v>38.870399999999997</v>
      </c>
      <c r="JE103">
        <v>15.9533</v>
      </c>
      <c r="JF103">
        <v>18</v>
      </c>
      <c r="JG103">
        <v>515.29899999999998</v>
      </c>
      <c r="JH103">
        <v>420.74900000000002</v>
      </c>
      <c r="JI103">
        <v>25.738</v>
      </c>
      <c r="JJ103">
        <v>32.991799999999998</v>
      </c>
      <c r="JK103">
        <v>30.0002</v>
      </c>
      <c r="JL103">
        <v>32.9</v>
      </c>
      <c r="JM103">
        <v>32.850499999999997</v>
      </c>
      <c r="JN103">
        <v>12.071300000000001</v>
      </c>
      <c r="JO103">
        <v>27.420500000000001</v>
      </c>
      <c r="JP103">
        <v>41.417900000000003</v>
      </c>
      <c r="JQ103">
        <v>25.741</v>
      </c>
      <c r="JR103">
        <v>200</v>
      </c>
      <c r="JS103">
        <v>23.9541</v>
      </c>
      <c r="JT103">
        <v>99.059700000000007</v>
      </c>
      <c r="JU103">
        <v>97.735399999999998</v>
      </c>
    </row>
    <row r="104" spans="1:281" x14ac:dyDescent="0.25">
      <c r="A104">
        <v>88</v>
      </c>
      <c r="B104">
        <v>1693345257</v>
      </c>
      <c r="C104">
        <v>23495.5</v>
      </c>
      <c r="D104" t="s">
        <v>863</v>
      </c>
      <c r="E104" t="s">
        <v>864</v>
      </c>
      <c r="F104" t="s">
        <v>413</v>
      </c>
      <c r="G104" t="s">
        <v>636</v>
      </c>
      <c r="H104" t="s">
        <v>779</v>
      </c>
      <c r="I104" t="s">
        <v>493</v>
      </c>
      <c r="J104">
        <v>1693345257</v>
      </c>
      <c r="K104">
        <f t="shared" si="92"/>
        <v>4.1362199949204533E-3</v>
      </c>
      <c r="L104">
        <f t="shared" si="93"/>
        <v>4.1362199949204532</v>
      </c>
      <c r="M104">
        <f t="shared" si="94"/>
        <v>11.387414057603467</v>
      </c>
      <c r="N104">
        <f t="shared" si="95"/>
        <v>105.68</v>
      </c>
      <c r="O104">
        <f t="shared" si="96"/>
        <v>38.143230691794855</v>
      </c>
      <c r="P104">
        <f t="shared" si="97"/>
        <v>3.7717782813103953</v>
      </c>
      <c r="Q104">
        <f t="shared" si="98"/>
        <v>10.45012500356</v>
      </c>
      <c r="R104">
        <f t="shared" si="99"/>
        <v>0.28984559932820064</v>
      </c>
      <c r="S104">
        <f t="shared" si="100"/>
        <v>2.9203569485793697</v>
      </c>
      <c r="T104">
        <f t="shared" si="101"/>
        <v>0.27475965317197432</v>
      </c>
      <c r="U104">
        <f t="shared" si="102"/>
        <v>0.17301473609938556</v>
      </c>
      <c r="V104">
        <f t="shared" si="103"/>
        <v>344.35359964466431</v>
      </c>
      <c r="W104">
        <f t="shared" si="104"/>
        <v>31.074652342895611</v>
      </c>
      <c r="X104">
        <f t="shared" si="105"/>
        <v>29.9284</v>
      </c>
      <c r="Y104">
        <f t="shared" si="106"/>
        <v>4.2429594224954466</v>
      </c>
      <c r="Z104">
        <f t="shared" si="107"/>
        <v>65.446687456589643</v>
      </c>
      <c r="AA104">
        <f t="shared" si="108"/>
        <v>2.8074229178990495</v>
      </c>
      <c r="AB104">
        <f t="shared" si="109"/>
        <v>4.2896333290530473</v>
      </c>
      <c r="AC104">
        <f t="shared" si="110"/>
        <v>1.435536504596397</v>
      </c>
      <c r="AD104">
        <f t="shared" si="111"/>
        <v>-182.40730177599198</v>
      </c>
      <c r="AE104">
        <f t="shared" si="112"/>
        <v>29.992755066150007</v>
      </c>
      <c r="AF104">
        <f t="shared" si="113"/>
        <v>2.2841322690841195</v>
      </c>
      <c r="AG104">
        <f t="shared" si="114"/>
        <v>194.22318520390647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52044.198102820708</v>
      </c>
      <c r="AM104" t="s">
        <v>415</v>
      </c>
      <c r="AN104">
        <v>10366.9</v>
      </c>
      <c r="AO104">
        <v>993.59653846153856</v>
      </c>
      <c r="AP104">
        <v>3431.87</v>
      </c>
      <c r="AQ104">
        <f t="shared" si="118"/>
        <v>0.71047955241266758</v>
      </c>
      <c r="AR104">
        <v>-3.9894345373445681</v>
      </c>
      <c r="AS104" t="s">
        <v>865</v>
      </c>
      <c r="AT104">
        <v>10375.4</v>
      </c>
      <c r="AU104">
        <v>770.18488000000002</v>
      </c>
      <c r="AV104">
        <v>868.95835057950592</v>
      </c>
      <c r="AW104">
        <f t="shared" si="119"/>
        <v>0.11366882027617797</v>
      </c>
      <c r="AX104">
        <v>0.5</v>
      </c>
      <c r="AY104">
        <f t="shared" si="120"/>
        <v>1513.1171998223322</v>
      </c>
      <c r="AZ104">
        <f t="shared" si="121"/>
        <v>11.387414057603467</v>
      </c>
      <c r="BA104">
        <f t="shared" si="122"/>
        <v>85.99712352169918</v>
      </c>
      <c r="BB104">
        <f t="shared" si="123"/>
        <v>1.0162364552298764E-2</v>
      </c>
      <c r="BC104">
        <f t="shared" si="124"/>
        <v>2.9494067784851774</v>
      </c>
      <c r="BD104">
        <f t="shared" si="125"/>
        <v>535.94544762247631</v>
      </c>
      <c r="BE104" t="s">
        <v>866</v>
      </c>
      <c r="BF104">
        <v>586.53</v>
      </c>
      <c r="BG104">
        <f t="shared" si="126"/>
        <v>586.53</v>
      </c>
      <c r="BH104">
        <f t="shared" si="127"/>
        <v>0.32501943319971005</v>
      </c>
      <c r="BI104">
        <f t="shared" si="128"/>
        <v>0.34972930435926736</v>
      </c>
      <c r="BJ104">
        <f t="shared" si="129"/>
        <v>0.90074003437919337</v>
      </c>
      <c r="BK104">
        <f t="shared" si="130"/>
        <v>-0.79248160020581215</v>
      </c>
      <c r="BL104">
        <f t="shared" si="131"/>
        <v>1.051117395094556</v>
      </c>
      <c r="BM104">
        <f t="shared" si="132"/>
        <v>0.26633440127497837</v>
      </c>
      <c r="BN104">
        <f t="shared" si="133"/>
        <v>0.73366559872502157</v>
      </c>
      <c r="BO104">
        <v>2127</v>
      </c>
      <c r="BP104">
        <v>290.00000000000011</v>
      </c>
      <c r="BQ104">
        <v>844.26</v>
      </c>
      <c r="BR104">
        <v>295</v>
      </c>
      <c r="BS104">
        <v>10375.4</v>
      </c>
      <c r="BT104">
        <v>843.01</v>
      </c>
      <c r="BU104">
        <v>1.25</v>
      </c>
      <c r="BV104">
        <v>300.00000000000011</v>
      </c>
      <c r="BW104">
        <v>38.4</v>
      </c>
      <c r="BX104">
        <v>868.95835057950592</v>
      </c>
      <c r="BY104">
        <v>1.2741915943782141</v>
      </c>
      <c r="BZ104">
        <v>-26.92756494906601</v>
      </c>
      <c r="CA104">
        <v>1.083106688740695</v>
      </c>
      <c r="CB104">
        <v>0.95666238175141716</v>
      </c>
      <c r="CC104">
        <v>-1.1300589988876531E-2</v>
      </c>
      <c r="CD104">
        <v>289.99999999999989</v>
      </c>
      <c r="CE104">
        <v>841.51</v>
      </c>
      <c r="CF104">
        <v>725</v>
      </c>
      <c r="CG104">
        <v>10360</v>
      </c>
      <c r="CH104">
        <v>842.97</v>
      </c>
      <c r="CI104">
        <v>-1.46</v>
      </c>
      <c r="CW104">
        <f t="shared" si="134"/>
        <v>1799.92</v>
      </c>
      <c r="CX104">
        <f t="shared" si="135"/>
        <v>1513.1171998223322</v>
      </c>
      <c r="CY104">
        <f t="shared" si="136"/>
        <v>0.84065802914703547</v>
      </c>
      <c r="CZ104">
        <f t="shared" si="137"/>
        <v>0.191316058294071</v>
      </c>
      <c r="DA104">
        <v>6</v>
      </c>
      <c r="DB104">
        <v>0.5</v>
      </c>
      <c r="DC104" t="s">
        <v>418</v>
      </c>
      <c r="DD104">
        <v>2</v>
      </c>
      <c r="DE104">
        <v>1693345257</v>
      </c>
      <c r="DF104">
        <v>105.68</v>
      </c>
      <c r="DG104">
        <v>119.85899999999999</v>
      </c>
      <c r="DH104">
        <v>28.390899999999998</v>
      </c>
      <c r="DI104">
        <v>23.571899999999999</v>
      </c>
      <c r="DJ104">
        <v>104.075</v>
      </c>
      <c r="DK104">
        <v>27.5808</v>
      </c>
      <c r="DL104">
        <v>500.36799999999999</v>
      </c>
      <c r="DM104">
        <v>98.785399999999996</v>
      </c>
      <c r="DN104">
        <v>9.9204500000000001E-2</v>
      </c>
      <c r="DO104">
        <v>30.1189</v>
      </c>
      <c r="DP104">
        <v>29.9284</v>
      </c>
      <c r="DQ104">
        <v>999.9</v>
      </c>
      <c r="DR104">
        <v>0</v>
      </c>
      <c r="DS104">
        <v>0</v>
      </c>
      <c r="DT104">
        <v>10070</v>
      </c>
      <c r="DU104">
        <v>0</v>
      </c>
      <c r="DV104">
        <v>553.23800000000006</v>
      </c>
      <c r="DW104">
        <v>-14.179399999999999</v>
      </c>
      <c r="DX104">
        <v>108.768</v>
      </c>
      <c r="DY104">
        <v>122.753</v>
      </c>
      <c r="DZ104">
        <v>4.8189399999999996</v>
      </c>
      <c r="EA104">
        <v>119.85899999999999</v>
      </c>
      <c r="EB104">
        <v>23.571899999999999</v>
      </c>
      <c r="EC104">
        <v>2.8046099999999998</v>
      </c>
      <c r="ED104">
        <v>2.32856</v>
      </c>
      <c r="EE104">
        <v>22.911200000000001</v>
      </c>
      <c r="EF104">
        <v>19.875399999999999</v>
      </c>
      <c r="EG104">
        <v>1799.92</v>
      </c>
      <c r="EH104">
        <v>0.97800600000000004</v>
      </c>
      <c r="EI104">
        <v>2.1993800000000001E-2</v>
      </c>
      <c r="EJ104">
        <v>0</v>
      </c>
      <c r="EK104">
        <v>770.06299999999999</v>
      </c>
      <c r="EL104">
        <v>5.0002700000000004</v>
      </c>
      <c r="EM104">
        <v>14205</v>
      </c>
      <c r="EN104">
        <v>16247.9</v>
      </c>
      <c r="EO104">
        <v>46.561999999999998</v>
      </c>
      <c r="EP104">
        <v>47.686999999999998</v>
      </c>
      <c r="EQ104">
        <v>47.561999999999998</v>
      </c>
      <c r="ER104">
        <v>47.061999999999998</v>
      </c>
      <c r="ES104">
        <v>48.311999999999998</v>
      </c>
      <c r="ET104">
        <v>1755.44</v>
      </c>
      <c r="EU104">
        <v>39.479999999999997</v>
      </c>
      <c r="EV104">
        <v>0</v>
      </c>
      <c r="EW104">
        <v>100.7999999523163</v>
      </c>
      <c r="EX104">
        <v>0</v>
      </c>
      <c r="EY104">
        <v>770.18488000000002</v>
      </c>
      <c r="EZ104">
        <v>-2.376307687577448</v>
      </c>
      <c r="FA104">
        <v>160.17692312521211</v>
      </c>
      <c r="FB104">
        <v>14190.72</v>
      </c>
      <c r="FC104">
        <v>15</v>
      </c>
      <c r="FD104">
        <v>1693345227</v>
      </c>
      <c r="FE104" t="s">
        <v>867</v>
      </c>
      <c r="FF104">
        <v>1693345218</v>
      </c>
      <c r="FG104">
        <v>1693345227</v>
      </c>
      <c r="FH104">
        <v>100</v>
      </c>
      <c r="FI104">
        <v>1.0999999999999999E-2</v>
      </c>
      <c r="FJ104">
        <v>-2E-3</v>
      </c>
      <c r="FK104">
        <v>1.6160000000000001</v>
      </c>
      <c r="FL104">
        <v>0.54700000000000004</v>
      </c>
      <c r="FM104">
        <v>120</v>
      </c>
      <c r="FN104">
        <v>24</v>
      </c>
      <c r="FO104">
        <v>0.3</v>
      </c>
      <c r="FP104">
        <v>0.08</v>
      </c>
      <c r="FQ104">
        <v>11.40680824128528</v>
      </c>
      <c r="FR104">
        <v>0.61016970713318708</v>
      </c>
      <c r="FS104">
        <v>7.0463477741149083E-2</v>
      </c>
      <c r="FT104">
        <v>1</v>
      </c>
      <c r="FU104">
        <v>0.29071417491434609</v>
      </c>
      <c r="FV104">
        <v>3.490871939105742E-2</v>
      </c>
      <c r="FW104">
        <v>4.3022366301676837E-3</v>
      </c>
      <c r="FX104">
        <v>1</v>
      </c>
      <c r="FY104">
        <v>2</v>
      </c>
      <c r="FZ104">
        <v>2</v>
      </c>
      <c r="GA104" t="s">
        <v>429</v>
      </c>
      <c r="GB104">
        <v>3.13462</v>
      </c>
      <c r="GC104">
        <v>2.8649800000000001</v>
      </c>
      <c r="GD104">
        <v>2.81467E-2</v>
      </c>
      <c r="GE104">
        <v>3.3148999999999998E-2</v>
      </c>
      <c r="GF104">
        <v>0.12711600000000001</v>
      </c>
      <c r="GG104">
        <v>0.11662699999999999</v>
      </c>
      <c r="GH104">
        <v>29274.400000000001</v>
      </c>
      <c r="GI104">
        <v>22568.799999999999</v>
      </c>
      <c r="GJ104">
        <v>29051.9</v>
      </c>
      <c r="GK104">
        <v>21762.7</v>
      </c>
      <c r="GL104">
        <v>33988.6</v>
      </c>
      <c r="GM104">
        <v>26468.6</v>
      </c>
      <c r="GN104">
        <v>40321.9</v>
      </c>
      <c r="GO104">
        <v>30943.8</v>
      </c>
      <c r="GP104">
        <v>2.02</v>
      </c>
      <c r="GQ104">
        <v>1.8008</v>
      </c>
      <c r="GR104">
        <v>1.9058599999999998E-2</v>
      </c>
      <c r="GS104">
        <v>0</v>
      </c>
      <c r="GT104">
        <v>29.618099999999998</v>
      </c>
      <c r="GU104">
        <v>999.9</v>
      </c>
      <c r="GV104">
        <v>50.1</v>
      </c>
      <c r="GW104">
        <v>35.700000000000003</v>
      </c>
      <c r="GX104">
        <v>29.776700000000002</v>
      </c>
      <c r="GY104">
        <v>61.8414</v>
      </c>
      <c r="GZ104">
        <v>11.871</v>
      </c>
      <c r="HA104">
        <v>1</v>
      </c>
      <c r="HB104">
        <v>0.43956299999999998</v>
      </c>
      <c r="HC104">
        <v>2.4011399999999998</v>
      </c>
      <c r="HD104">
        <v>20.320900000000002</v>
      </c>
      <c r="HE104">
        <v>5.2340600000000004</v>
      </c>
      <c r="HF104">
        <v>11.98</v>
      </c>
      <c r="HG104">
        <v>4.9752000000000001</v>
      </c>
      <c r="HH104">
        <v>3.2839999999999998</v>
      </c>
      <c r="HI104">
        <v>9999</v>
      </c>
      <c r="HJ104">
        <v>9999</v>
      </c>
      <c r="HK104">
        <v>9999</v>
      </c>
      <c r="HL104">
        <v>999.9</v>
      </c>
      <c r="HM104">
        <v>1.8606799999999999</v>
      </c>
      <c r="HN104">
        <v>1.86239</v>
      </c>
      <c r="HO104">
        <v>1.8677999999999999</v>
      </c>
      <c r="HP104">
        <v>1.8583700000000001</v>
      </c>
      <c r="HQ104">
        <v>1.85684</v>
      </c>
      <c r="HR104">
        <v>1.8605</v>
      </c>
      <c r="HS104">
        <v>1.86432</v>
      </c>
      <c r="HT104">
        <v>1.86646</v>
      </c>
      <c r="HU104">
        <v>5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1.605</v>
      </c>
      <c r="II104">
        <v>0.81010000000000004</v>
      </c>
      <c r="IJ104">
        <v>1.5062775054855959</v>
      </c>
      <c r="IK104">
        <v>1.118558698776514E-3</v>
      </c>
      <c r="IL104">
        <v>-1.6939696309573479E-6</v>
      </c>
      <c r="IM104">
        <v>5.4698917449866148E-10</v>
      </c>
      <c r="IN104">
        <v>-7.0029857836909182E-2</v>
      </c>
      <c r="IO104">
        <v>-7.6058941998734366E-3</v>
      </c>
      <c r="IP104">
        <v>1.6984902717538061E-3</v>
      </c>
      <c r="IQ104">
        <v>-9.6352527008986976E-6</v>
      </c>
      <c r="IR104">
        <v>2</v>
      </c>
      <c r="IS104">
        <v>2021</v>
      </c>
      <c r="IT104">
        <v>2</v>
      </c>
      <c r="IU104">
        <v>40</v>
      </c>
      <c r="IV104">
        <v>0.7</v>
      </c>
      <c r="IW104">
        <v>0.5</v>
      </c>
      <c r="IX104">
        <v>0.41748000000000002</v>
      </c>
      <c r="IY104">
        <v>2.5329600000000001</v>
      </c>
      <c r="IZ104">
        <v>1.34399</v>
      </c>
      <c r="JA104">
        <v>2.2399900000000001</v>
      </c>
      <c r="JB104">
        <v>1.5918000000000001</v>
      </c>
      <c r="JC104">
        <v>2.3144499999999999</v>
      </c>
      <c r="JD104">
        <v>38.895099999999999</v>
      </c>
      <c r="JE104">
        <v>15.9533</v>
      </c>
      <c r="JF104">
        <v>18</v>
      </c>
      <c r="JG104">
        <v>515.58500000000004</v>
      </c>
      <c r="JH104">
        <v>419.79899999999998</v>
      </c>
      <c r="JI104">
        <v>26.2193</v>
      </c>
      <c r="JJ104">
        <v>33.012700000000002</v>
      </c>
      <c r="JK104">
        <v>29.9998</v>
      </c>
      <c r="JL104">
        <v>32.909599999999998</v>
      </c>
      <c r="JM104">
        <v>32.858899999999998</v>
      </c>
      <c r="JN104">
        <v>8.4502100000000002</v>
      </c>
      <c r="JO104">
        <v>28.564399999999999</v>
      </c>
      <c r="JP104">
        <v>40.614699999999999</v>
      </c>
      <c r="JQ104">
        <v>26.259399999999999</v>
      </c>
      <c r="JR104">
        <v>120</v>
      </c>
      <c r="JS104">
        <v>23.5124</v>
      </c>
      <c r="JT104">
        <v>99.059399999999997</v>
      </c>
      <c r="JU104">
        <v>97.735399999999998</v>
      </c>
    </row>
    <row r="105" spans="1:281" x14ac:dyDescent="0.25">
      <c r="A105">
        <v>89</v>
      </c>
      <c r="B105">
        <v>1693345358.5</v>
      </c>
      <c r="C105">
        <v>23597</v>
      </c>
      <c r="D105" t="s">
        <v>868</v>
      </c>
      <c r="E105" t="s">
        <v>869</v>
      </c>
      <c r="F105" t="s">
        <v>413</v>
      </c>
      <c r="G105" t="s">
        <v>636</v>
      </c>
      <c r="H105" t="s">
        <v>779</v>
      </c>
      <c r="I105" t="s">
        <v>493</v>
      </c>
      <c r="J105">
        <v>1693345358.5</v>
      </c>
      <c r="K105">
        <f t="shared" si="92"/>
        <v>4.446022557892006E-3</v>
      </c>
      <c r="L105">
        <f t="shared" si="93"/>
        <v>4.4460225578920056</v>
      </c>
      <c r="M105">
        <f t="shared" si="94"/>
        <v>7.1641849066742056</v>
      </c>
      <c r="N105">
        <f t="shared" si="95"/>
        <v>61.095799999999997</v>
      </c>
      <c r="O105">
        <f t="shared" si="96"/>
        <v>21.909532296581993</v>
      </c>
      <c r="P105">
        <f t="shared" si="97"/>
        <v>2.1668011033643362</v>
      </c>
      <c r="Q105">
        <f t="shared" si="98"/>
        <v>6.0422306171994</v>
      </c>
      <c r="R105">
        <f t="shared" si="99"/>
        <v>0.31551720627981916</v>
      </c>
      <c r="S105">
        <f t="shared" si="100"/>
        <v>2.9004921558254582</v>
      </c>
      <c r="T105">
        <f t="shared" si="101"/>
        <v>0.29761423689787403</v>
      </c>
      <c r="U105">
        <f t="shared" si="102"/>
        <v>0.18753270283868298</v>
      </c>
      <c r="V105">
        <f t="shared" si="103"/>
        <v>344.35739964466825</v>
      </c>
      <c r="W105">
        <f t="shared" si="104"/>
        <v>31.107144096052629</v>
      </c>
      <c r="X105">
        <f t="shared" si="105"/>
        <v>29.9572</v>
      </c>
      <c r="Y105">
        <f t="shared" si="106"/>
        <v>4.2499871091858354</v>
      </c>
      <c r="Z105">
        <f t="shared" si="107"/>
        <v>65.460845395986411</v>
      </c>
      <c r="AA105">
        <f t="shared" si="108"/>
        <v>2.8254166526313003</v>
      </c>
      <c r="AB105">
        <f t="shared" si="109"/>
        <v>4.3161933451054004</v>
      </c>
      <c r="AC105">
        <f t="shared" si="110"/>
        <v>1.4245704565545352</v>
      </c>
      <c r="AD105">
        <f t="shared" si="111"/>
        <v>-196.06959480303746</v>
      </c>
      <c r="AE105">
        <f t="shared" si="112"/>
        <v>42.110800005139559</v>
      </c>
      <c r="AF105">
        <f t="shared" si="113"/>
        <v>3.2311406714156261</v>
      </c>
      <c r="AG105">
        <f t="shared" si="114"/>
        <v>193.62974551818598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51462.169592965722</v>
      </c>
      <c r="AM105" t="s">
        <v>415</v>
      </c>
      <c r="AN105">
        <v>10366.9</v>
      </c>
      <c r="AO105">
        <v>993.59653846153856</v>
      </c>
      <c r="AP105">
        <v>3431.87</v>
      </c>
      <c r="AQ105">
        <f t="shared" si="118"/>
        <v>0.71047955241266758</v>
      </c>
      <c r="AR105">
        <v>-3.9894345373445681</v>
      </c>
      <c r="AS105" t="s">
        <v>870</v>
      </c>
      <c r="AT105">
        <v>10379.1</v>
      </c>
      <c r="AU105">
        <v>776.08895999999993</v>
      </c>
      <c r="AV105">
        <v>852.0499408343785</v>
      </c>
      <c r="AW105">
        <f t="shared" si="119"/>
        <v>8.9150855124751294E-2</v>
      </c>
      <c r="AX105">
        <v>0.5</v>
      </c>
      <c r="AY105">
        <f t="shared" si="120"/>
        <v>1513.1339998223341</v>
      </c>
      <c r="AZ105">
        <f t="shared" si="121"/>
        <v>7.1641849066742056</v>
      </c>
      <c r="BA105">
        <f t="shared" si="122"/>
        <v>67.448595001248179</v>
      </c>
      <c r="BB105">
        <f t="shared" si="123"/>
        <v>7.3712040343607271E-3</v>
      </c>
      <c r="BC105">
        <f t="shared" si="124"/>
        <v>3.0277803395412559</v>
      </c>
      <c r="BD105">
        <f t="shared" si="125"/>
        <v>529.46512397349647</v>
      </c>
      <c r="BE105" t="s">
        <v>871</v>
      </c>
      <c r="BF105">
        <v>596.42999999999995</v>
      </c>
      <c r="BG105">
        <f t="shared" si="126"/>
        <v>596.42999999999995</v>
      </c>
      <c r="BH105">
        <f t="shared" si="127"/>
        <v>0.30000581959322725</v>
      </c>
      <c r="BI105">
        <f t="shared" si="128"/>
        <v>0.29716375250863258</v>
      </c>
      <c r="BJ105">
        <f t="shared" si="129"/>
        <v>0.90984822784669095</v>
      </c>
      <c r="BK105">
        <f t="shared" si="130"/>
        <v>-0.53664999447364414</v>
      </c>
      <c r="BL105">
        <f t="shared" si="131"/>
        <v>1.0580519781148128</v>
      </c>
      <c r="BM105">
        <f t="shared" si="132"/>
        <v>0.22837250114822369</v>
      </c>
      <c r="BN105">
        <f t="shared" si="133"/>
        <v>0.77162749885177628</v>
      </c>
      <c r="BO105">
        <v>2129</v>
      </c>
      <c r="BP105">
        <v>290.00000000000011</v>
      </c>
      <c r="BQ105">
        <v>831.5</v>
      </c>
      <c r="BR105">
        <v>255</v>
      </c>
      <c r="BS105">
        <v>10379.1</v>
      </c>
      <c r="BT105">
        <v>831.19</v>
      </c>
      <c r="BU105">
        <v>0.31</v>
      </c>
      <c r="BV105">
        <v>300.00000000000011</v>
      </c>
      <c r="BW105">
        <v>38.4</v>
      </c>
      <c r="BX105">
        <v>852.0499408343785</v>
      </c>
      <c r="BY105">
        <v>0.96355525659413688</v>
      </c>
      <c r="BZ105">
        <v>-21.651104950477482</v>
      </c>
      <c r="CA105">
        <v>0.81907263282068221</v>
      </c>
      <c r="CB105">
        <v>0.96147175198967361</v>
      </c>
      <c r="CC105">
        <v>-1.1300593993325919E-2</v>
      </c>
      <c r="CD105">
        <v>289.99999999999989</v>
      </c>
      <c r="CE105">
        <v>829.66</v>
      </c>
      <c r="CF105">
        <v>675</v>
      </c>
      <c r="CG105">
        <v>10364.299999999999</v>
      </c>
      <c r="CH105">
        <v>831.16</v>
      </c>
      <c r="CI105">
        <v>-1.5</v>
      </c>
      <c r="CW105">
        <f t="shared" si="134"/>
        <v>1799.94</v>
      </c>
      <c r="CX105">
        <f t="shared" si="135"/>
        <v>1513.1339998223341</v>
      </c>
      <c r="CY105">
        <f t="shared" si="136"/>
        <v>0.84065802183535787</v>
      </c>
      <c r="CZ105">
        <f t="shared" si="137"/>
        <v>0.19131604367071581</v>
      </c>
      <c r="DA105">
        <v>6</v>
      </c>
      <c r="DB105">
        <v>0.5</v>
      </c>
      <c r="DC105" t="s">
        <v>418</v>
      </c>
      <c r="DD105">
        <v>2</v>
      </c>
      <c r="DE105">
        <v>1693345358.5</v>
      </c>
      <c r="DF105">
        <v>61.095799999999997</v>
      </c>
      <c r="DG105">
        <v>70.024799999999999</v>
      </c>
      <c r="DH105">
        <v>28.569099999999999</v>
      </c>
      <c r="DI105">
        <v>23.3828</v>
      </c>
      <c r="DJ105">
        <v>59.461199999999998</v>
      </c>
      <c r="DK105">
        <v>27.7486</v>
      </c>
      <c r="DL105">
        <v>499.66300000000001</v>
      </c>
      <c r="DM105">
        <v>98.797399999999996</v>
      </c>
      <c r="DN105">
        <v>0.100243</v>
      </c>
      <c r="DO105">
        <v>30.226500000000001</v>
      </c>
      <c r="DP105">
        <v>29.9572</v>
      </c>
      <c r="DQ105">
        <v>999.9</v>
      </c>
      <c r="DR105">
        <v>0</v>
      </c>
      <c r="DS105">
        <v>0</v>
      </c>
      <c r="DT105">
        <v>9955</v>
      </c>
      <c r="DU105">
        <v>0</v>
      </c>
      <c r="DV105">
        <v>474.471</v>
      </c>
      <c r="DW105">
        <v>-8.92896</v>
      </c>
      <c r="DX105">
        <v>62.892600000000002</v>
      </c>
      <c r="DY105">
        <v>71.701400000000007</v>
      </c>
      <c r="DZ105">
        <v>5.1863099999999998</v>
      </c>
      <c r="EA105">
        <v>70.024799999999999</v>
      </c>
      <c r="EB105">
        <v>23.3828</v>
      </c>
      <c r="EC105">
        <v>2.8225500000000001</v>
      </c>
      <c r="ED105">
        <v>2.3101600000000002</v>
      </c>
      <c r="EE105">
        <v>23.0166</v>
      </c>
      <c r="EF105">
        <v>19.747399999999999</v>
      </c>
      <c r="EG105">
        <v>1799.94</v>
      </c>
      <c r="EH105">
        <v>0.97800600000000004</v>
      </c>
      <c r="EI105">
        <v>2.1993800000000001E-2</v>
      </c>
      <c r="EJ105">
        <v>0</v>
      </c>
      <c r="EK105">
        <v>776.3</v>
      </c>
      <c r="EL105">
        <v>5.0002700000000004</v>
      </c>
      <c r="EM105">
        <v>14409.2</v>
      </c>
      <c r="EN105">
        <v>16248.1</v>
      </c>
      <c r="EO105">
        <v>46.561999999999998</v>
      </c>
      <c r="EP105">
        <v>47.625</v>
      </c>
      <c r="EQ105">
        <v>47.5</v>
      </c>
      <c r="ER105">
        <v>47</v>
      </c>
      <c r="ES105">
        <v>48.311999999999998</v>
      </c>
      <c r="ET105">
        <v>1755.46</v>
      </c>
      <c r="EU105">
        <v>39.479999999999997</v>
      </c>
      <c r="EV105">
        <v>0</v>
      </c>
      <c r="EW105">
        <v>99.599999904632568</v>
      </c>
      <c r="EX105">
        <v>0</v>
      </c>
      <c r="EY105">
        <v>776.08895999999993</v>
      </c>
      <c r="EZ105">
        <v>-1.335307700890497</v>
      </c>
      <c r="FA105">
        <v>108.2769229415054</v>
      </c>
      <c r="FB105">
        <v>14413.191999999999</v>
      </c>
      <c r="FC105">
        <v>15</v>
      </c>
      <c r="FD105">
        <v>1693345327.5</v>
      </c>
      <c r="FE105" t="s">
        <v>872</v>
      </c>
      <c r="FF105">
        <v>1693345318.5</v>
      </c>
      <c r="FG105">
        <v>1693345327.5</v>
      </c>
      <c r="FH105">
        <v>101</v>
      </c>
      <c r="FI105">
        <v>6.8000000000000005E-2</v>
      </c>
      <c r="FJ105">
        <v>0</v>
      </c>
      <c r="FK105">
        <v>1.643</v>
      </c>
      <c r="FL105">
        <v>0.52400000000000002</v>
      </c>
      <c r="FM105">
        <v>70</v>
      </c>
      <c r="FN105">
        <v>23</v>
      </c>
      <c r="FO105">
        <v>0.62</v>
      </c>
      <c r="FP105">
        <v>0.05</v>
      </c>
      <c r="FQ105">
        <v>7.1082058512741</v>
      </c>
      <c r="FR105">
        <v>0.1181143382777583</v>
      </c>
      <c r="FS105">
        <v>4.9203514988107357E-2</v>
      </c>
      <c r="FT105">
        <v>1</v>
      </c>
      <c r="FU105">
        <v>0.31660983243129548</v>
      </c>
      <c r="FV105">
        <v>3.294124545452197E-2</v>
      </c>
      <c r="FW105">
        <v>4.5285613238947786E-3</v>
      </c>
      <c r="FX105">
        <v>1</v>
      </c>
      <c r="FY105">
        <v>2</v>
      </c>
      <c r="FZ105">
        <v>2</v>
      </c>
      <c r="GA105" t="s">
        <v>429</v>
      </c>
      <c r="GB105">
        <v>3.1337700000000002</v>
      </c>
      <c r="GC105">
        <v>2.8650000000000002</v>
      </c>
      <c r="GD105">
        <v>1.6329300000000001E-2</v>
      </c>
      <c r="GE105">
        <v>1.9753699999999999E-2</v>
      </c>
      <c r="GF105">
        <v>0.12768299999999999</v>
      </c>
      <c r="GG105">
        <v>0.115997</v>
      </c>
      <c r="GH105">
        <v>29633.1</v>
      </c>
      <c r="GI105">
        <v>22885.1</v>
      </c>
      <c r="GJ105">
        <v>29054.400000000001</v>
      </c>
      <c r="GK105">
        <v>21766</v>
      </c>
      <c r="GL105">
        <v>33966.800000000003</v>
      </c>
      <c r="GM105">
        <v>26489.7</v>
      </c>
      <c r="GN105">
        <v>40324.9</v>
      </c>
      <c r="GO105">
        <v>30947.8</v>
      </c>
      <c r="GP105">
        <v>2.0203000000000002</v>
      </c>
      <c r="GQ105">
        <v>1.8019000000000001</v>
      </c>
      <c r="GR105">
        <v>3.1381800000000001E-2</v>
      </c>
      <c r="GS105">
        <v>0</v>
      </c>
      <c r="GT105">
        <v>29.446300000000001</v>
      </c>
      <c r="GU105">
        <v>999.9</v>
      </c>
      <c r="GV105">
        <v>49.9</v>
      </c>
      <c r="GW105">
        <v>35.700000000000003</v>
      </c>
      <c r="GX105">
        <v>29.651599999999998</v>
      </c>
      <c r="GY105">
        <v>61.971400000000003</v>
      </c>
      <c r="GZ105">
        <v>12.2837</v>
      </c>
      <c r="HA105">
        <v>1</v>
      </c>
      <c r="HB105">
        <v>0.43443100000000001</v>
      </c>
      <c r="HC105">
        <v>2.1276299999999999</v>
      </c>
      <c r="HD105">
        <v>20.3247</v>
      </c>
      <c r="HE105">
        <v>5.2340600000000004</v>
      </c>
      <c r="HF105">
        <v>11.98</v>
      </c>
      <c r="HG105">
        <v>4.9749999999999996</v>
      </c>
      <c r="HH105">
        <v>3.2839999999999998</v>
      </c>
      <c r="HI105">
        <v>9999</v>
      </c>
      <c r="HJ105">
        <v>9999</v>
      </c>
      <c r="HK105">
        <v>9999</v>
      </c>
      <c r="HL105">
        <v>999.9</v>
      </c>
      <c r="HM105">
        <v>1.86069</v>
      </c>
      <c r="HN105">
        <v>1.86239</v>
      </c>
      <c r="HO105">
        <v>1.8678300000000001</v>
      </c>
      <c r="HP105">
        <v>1.8583700000000001</v>
      </c>
      <c r="HQ105">
        <v>1.85684</v>
      </c>
      <c r="HR105">
        <v>1.8605</v>
      </c>
      <c r="HS105">
        <v>1.86432</v>
      </c>
      <c r="HT105">
        <v>1.86646</v>
      </c>
      <c r="HU105">
        <v>5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1.635</v>
      </c>
      <c r="II105">
        <v>0.82050000000000001</v>
      </c>
      <c r="IJ105">
        <v>1.5740239547886721</v>
      </c>
      <c r="IK105">
        <v>1.118558698776514E-3</v>
      </c>
      <c r="IL105">
        <v>-1.6939696309573479E-6</v>
      </c>
      <c r="IM105">
        <v>5.4698917449866148E-10</v>
      </c>
      <c r="IN105">
        <v>-7.0403660996509076E-2</v>
      </c>
      <c r="IO105">
        <v>-7.6058941998734366E-3</v>
      </c>
      <c r="IP105">
        <v>1.6984902717538061E-3</v>
      </c>
      <c r="IQ105">
        <v>-9.6352527008986976E-6</v>
      </c>
      <c r="IR105">
        <v>2</v>
      </c>
      <c r="IS105">
        <v>2021</v>
      </c>
      <c r="IT105">
        <v>2</v>
      </c>
      <c r="IU105">
        <v>40</v>
      </c>
      <c r="IV105">
        <v>0.7</v>
      </c>
      <c r="IW105">
        <v>0.5</v>
      </c>
      <c r="IX105">
        <v>0.30395499999999998</v>
      </c>
      <c r="IY105">
        <v>2.5415000000000001</v>
      </c>
      <c r="IZ105">
        <v>1.34399</v>
      </c>
      <c r="JA105">
        <v>2.2399900000000001</v>
      </c>
      <c r="JB105">
        <v>1.5918000000000001</v>
      </c>
      <c r="JC105">
        <v>2.5061</v>
      </c>
      <c r="JD105">
        <v>38.895099999999999</v>
      </c>
      <c r="JE105">
        <v>15.9533</v>
      </c>
      <c r="JF105">
        <v>18</v>
      </c>
      <c r="JG105">
        <v>515.495</v>
      </c>
      <c r="JH105">
        <v>420.23599999999999</v>
      </c>
      <c r="JI105">
        <v>26.6568</v>
      </c>
      <c r="JJ105">
        <v>32.956600000000002</v>
      </c>
      <c r="JK105">
        <v>29.999600000000001</v>
      </c>
      <c r="JL105">
        <v>32.876600000000003</v>
      </c>
      <c r="JM105">
        <v>32.824100000000001</v>
      </c>
      <c r="JN105">
        <v>6.1715900000000001</v>
      </c>
      <c r="JO105">
        <v>28.480699999999999</v>
      </c>
      <c r="JP105">
        <v>39.899099999999997</v>
      </c>
      <c r="JQ105">
        <v>26.6568</v>
      </c>
      <c r="JR105">
        <v>70</v>
      </c>
      <c r="JS105">
        <v>23.293500000000002</v>
      </c>
      <c r="JT105">
        <v>99.0672</v>
      </c>
      <c r="JU105">
        <v>97.748800000000003</v>
      </c>
    </row>
    <row r="106" spans="1:281" x14ac:dyDescent="0.25">
      <c r="A106">
        <v>90</v>
      </c>
      <c r="B106">
        <v>1693345460</v>
      </c>
      <c r="C106">
        <v>23698.5</v>
      </c>
      <c r="D106" t="s">
        <v>873</v>
      </c>
      <c r="E106" t="s">
        <v>874</v>
      </c>
      <c r="F106" t="s">
        <v>413</v>
      </c>
      <c r="G106" t="s">
        <v>636</v>
      </c>
      <c r="H106" t="s">
        <v>779</v>
      </c>
      <c r="I106" t="s">
        <v>493</v>
      </c>
      <c r="J106">
        <v>1693345460</v>
      </c>
      <c r="K106">
        <f t="shared" si="92"/>
        <v>4.8305058608841137E-3</v>
      </c>
      <c r="L106">
        <f t="shared" si="93"/>
        <v>4.8305058608841138</v>
      </c>
      <c r="M106">
        <f t="shared" si="94"/>
        <v>3.1929239260469697</v>
      </c>
      <c r="N106">
        <f t="shared" si="95"/>
        <v>26.080200000000001</v>
      </c>
      <c r="O106">
        <f t="shared" si="96"/>
        <v>10.032882494071588</v>
      </c>
      <c r="P106">
        <f t="shared" si="97"/>
        <v>0.99226796773968595</v>
      </c>
      <c r="Q106">
        <f t="shared" si="98"/>
        <v>2.5793730832127402</v>
      </c>
      <c r="R106">
        <f t="shared" si="99"/>
        <v>0.34528778243220598</v>
      </c>
      <c r="S106">
        <f t="shared" si="100"/>
        <v>2.9323784122280196</v>
      </c>
      <c r="T106">
        <f t="shared" si="101"/>
        <v>0.32418606209177414</v>
      </c>
      <c r="U106">
        <f t="shared" si="102"/>
        <v>0.2044046397883183</v>
      </c>
      <c r="V106">
        <f t="shared" si="103"/>
        <v>344.34979964466032</v>
      </c>
      <c r="W106">
        <f t="shared" si="104"/>
        <v>31.104664338892995</v>
      </c>
      <c r="X106">
        <f t="shared" si="105"/>
        <v>29.990200000000002</v>
      </c>
      <c r="Y106">
        <f t="shared" si="106"/>
        <v>4.2580521365079207</v>
      </c>
      <c r="Z106">
        <f t="shared" si="107"/>
        <v>65.335813447557925</v>
      </c>
      <c r="AA106">
        <f t="shared" si="108"/>
        <v>2.8372391823937502</v>
      </c>
      <c r="AB106">
        <f t="shared" si="109"/>
        <v>4.3425481870996716</v>
      </c>
      <c r="AC106">
        <f t="shared" si="110"/>
        <v>1.4208129541141705</v>
      </c>
      <c r="AD106">
        <f t="shared" si="111"/>
        <v>-213.02530846498942</v>
      </c>
      <c r="AE106">
        <f t="shared" si="112"/>
        <v>54.14595684881229</v>
      </c>
      <c r="AF106">
        <f t="shared" si="113"/>
        <v>4.1122479462414567</v>
      </c>
      <c r="AG106">
        <f t="shared" si="114"/>
        <v>189.58269597472463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52350.183289909692</v>
      </c>
      <c r="AM106" t="s">
        <v>415</v>
      </c>
      <c r="AN106">
        <v>10366.9</v>
      </c>
      <c r="AO106">
        <v>993.59653846153856</v>
      </c>
      <c r="AP106">
        <v>3431.87</v>
      </c>
      <c r="AQ106">
        <f t="shared" si="118"/>
        <v>0.71047955241266758</v>
      </c>
      <c r="AR106">
        <v>-3.9894345373445681</v>
      </c>
      <c r="AS106" t="s">
        <v>875</v>
      </c>
      <c r="AT106">
        <v>10391.700000000001</v>
      </c>
      <c r="AU106">
        <v>781.16563999999994</v>
      </c>
      <c r="AV106">
        <v>833.52304871267825</v>
      </c>
      <c r="AW106">
        <f t="shared" si="119"/>
        <v>6.2814590182648122E-2</v>
      </c>
      <c r="AX106">
        <v>0.5</v>
      </c>
      <c r="AY106">
        <f t="shared" si="120"/>
        <v>1513.10039982233</v>
      </c>
      <c r="AZ106">
        <f t="shared" si="121"/>
        <v>3.1929239260469697</v>
      </c>
      <c r="BA106">
        <f t="shared" si="122"/>
        <v>47.522390760020343</v>
      </c>
      <c r="BB106">
        <f t="shared" si="123"/>
        <v>4.7467824767179348E-3</v>
      </c>
      <c r="BC106">
        <f t="shared" si="124"/>
        <v>3.1173066603260682</v>
      </c>
      <c r="BD106">
        <f t="shared" si="125"/>
        <v>522.25177093371974</v>
      </c>
      <c r="BE106" t="s">
        <v>876</v>
      </c>
      <c r="BF106">
        <v>607.5</v>
      </c>
      <c r="BG106">
        <f t="shared" si="126"/>
        <v>607.5</v>
      </c>
      <c r="BH106">
        <f t="shared" si="127"/>
        <v>0.27116592523956717</v>
      </c>
      <c r="BI106">
        <f t="shared" si="128"/>
        <v>0.23164632550034903</v>
      </c>
      <c r="BJ106">
        <f t="shared" si="129"/>
        <v>0.91997399465626728</v>
      </c>
      <c r="BK106">
        <f t="shared" si="130"/>
        <v>-0.32708357139475108</v>
      </c>
      <c r="BL106">
        <f t="shared" si="131"/>
        <v>1.0656503432752205</v>
      </c>
      <c r="BM106">
        <f t="shared" si="132"/>
        <v>0.18014763519483787</v>
      </c>
      <c r="BN106">
        <f t="shared" si="133"/>
        <v>0.8198523648051621</v>
      </c>
      <c r="BO106">
        <v>2131</v>
      </c>
      <c r="BP106">
        <v>290.00000000000011</v>
      </c>
      <c r="BQ106">
        <v>820.95</v>
      </c>
      <c r="BR106">
        <v>175</v>
      </c>
      <c r="BS106">
        <v>10391.700000000001</v>
      </c>
      <c r="BT106">
        <v>819.34</v>
      </c>
      <c r="BU106">
        <v>1.61</v>
      </c>
      <c r="BV106">
        <v>300.00000000000011</v>
      </c>
      <c r="BW106">
        <v>38.4</v>
      </c>
      <c r="BX106">
        <v>833.52304871267825</v>
      </c>
      <c r="BY106">
        <v>1.2039178415432541</v>
      </c>
      <c r="BZ106">
        <v>-14.73637030409998</v>
      </c>
      <c r="CA106">
        <v>1.023505211914475</v>
      </c>
      <c r="CB106">
        <v>0.88100336917289424</v>
      </c>
      <c r="CC106">
        <v>-1.1301931256952171E-2</v>
      </c>
      <c r="CD106">
        <v>289.99999999999989</v>
      </c>
      <c r="CE106">
        <v>817.73</v>
      </c>
      <c r="CF106">
        <v>705</v>
      </c>
      <c r="CG106">
        <v>10363</v>
      </c>
      <c r="CH106">
        <v>819.3</v>
      </c>
      <c r="CI106">
        <v>-1.57</v>
      </c>
      <c r="CW106">
        <f t="shared" si="134"/>
        <v>1799.9</v>
      </c>
      <c r="CX106">
        <f t="shared" si="135"/>
        <v>1513.10039982233</v>
      </c>
      <c r="CY106">
        <f t="shared" si="136"/>
        <v>0.84065803645887549</v>
      </c>
      <c r="CZ106">
        <f t="shared" si="137"/>
        <v>0.19131607291775116</v>
      </c>
      <c r="DA106">
        <v>6</v>
      </c>
      <c r="DB106">
        <v>0.5</v>
      </c>
      <c r="DC106" t="s">
        <v>418</v>
      </c>
      <c r="DD106">
        <v>2</v>
      </c>
      <c r="DE106">
        <v>1693345460</v>
      </c>
      <c r="DF106">
        <v>26.080200000000001</v>
      </c>
      <c r="DG106">
        <v>30.058700000000002</v>
      </c>
      <c r="DH106">
        <v>28.6875</v>
      </c>
      <c r="DI106">
        <v>23.063099999999999</v>
      </c>
      <c r="DJ106">
        <v>24.465399999999999</v>
      </c>
      <c r="DK106">
        <v>27.857900000000001</v>
      </c>
      <c r="DL106">
        <v>500.52600000000001</v>
      </c>
      <c r="DM106">
        <v>98.802800000000005</v>
      </c>
      <c r="DN106">
        <v>9.8783700000000002E-2</v>
      </c>
      <c r="DO106">
        <v>30.332699999999999</v>
      </c>
      <c r="DP106">
        <v>29.990200000000002</v>
      </c>
      <c r="DQ106">
        <v>999.9</v>
      </c>
      <c r="DR106">
        <v>0</v>
      </c>
      <c r="DS106">
        <v>0</v>
      </c>
      <c r="DT106">
        <v>10137.5</v>
      </c>
      <c r="DU106">
        <v>0</v>
      </c>
      <c r="DV106">
        <v>345.91800000000001</v>
      </c>
      <c r="DW106">
        <v>-3.9784999999999999</v>
      </c>
      <c r="DX106">
        <v>26.8505</v>
      </c>
      <c r="DY106">
        <v>30.7683</v>
      </c>
      <c r="DZ106">
        <v>5.6243299999999996</v>
      </c>
      <c r="EA106">
        <v>30.058700000000002</v>
      </c>
      <c r="EB106">
        <v>23.063099999999999</v>
      </c>
      <c r="EC106">
        <v>2.8344</v>
      </c>
      <c r="ED106">
        <v>2.2787000000000002</v>
      </c>
      <c r="EE106">
        <v>23.085799999999999</v>
      </c>
      <c r="EF106">
        <v>19.526599999999998</v>
      </c>
      <c r="EG106">
        <v>1799.9</v>
      </c>
      <c r="EH106">
        <v>0.97800299999999996</v>
      </c>
      <c r="EI106">
        <v>2.19974E-2</v>
      </c>
      <c r="EJ106">
        <v>0</v>
      </c>
      <c r="EK106">
        <v>780.81600000000003</v>
      </c>
      <c r="EL106">
        <v>5.0002700000000004</v>
      </c>
      <c r="EM106">
        <v>14512.3</v>
      </c>
      <c r="EN106">
        <v>16247.7</v>
      </c>
      <c r="EO106">
        <v>46.436999999999998</v>
      </c>
      <c r="EP106">
        <v>47.5</v>
      </c>
      <c r="EQ106">
        <v>47.436999999999998</v>
      </c>
      <c r="ER106">
        <v>46.875</v>
      </c>
      <c r="ES106">
        <v>48.186999999999998</v>
      </c>
      <c r="ET106">
        <v>1755.42</v>
      </c>
      <c r="EU106">
        <v>39.479999999999997</v>
      </c>
      <c r="EV106">
        <v>0</v>
      </c>
      <c r="EW106">
        <v>99.799999952316284</v>
      </c>
      <c r="EX106">
        <v>0</v>
      </c>
      <c r="EY106">
        <v>781.16563999999994</v>
      </c>
      <c r="EZ106">
        <v>-2.668000007286496</v>
      </c>
      <c r="FA106">
        <v>136.584615362016</v>
      </c>
      <c r="FB106">
        <v>14487.444</v>
      </c>
      <c r="FC106">
        <v>15</v>
      </c>
      <c r="FD106">
        <v>1693345429.5</v>
      </c>
      <c r="FE106" t="s">
        <v>877</v>
      </c>
      <c r="FF106">
        <v>1693345422</v>
      </c>
      <c r="FG106">
        <v>1693345429.5</v>
      </c>
      <c r="FH106">
        <v>102</v>
      </c>
      <c r="FI106">
        <v>1.4E-2</v>
      </c>
      <c r="FJ106">
        <v>2E-3</v>
      </c>
      <c r="FK106">
        <v>1.619</v>
      </c>
      <c r="FL106">
        <v>0.51600000000000001</v>
      </c>
      <c r="FM106">
        <v>30</v>
      </c>
      <c r="FN106">
        <v>23</v>
      </c>
      <c r="FO106">
        <v>0.85</v>
      </c>
      <c r="FP106">
        <v>0.05</v>
      </c>
      <c r="FQ106">
        <v>3.175239893601614</v>
      </c>
      <c r="FR106">
        <v>8.0094565668052453E-2</v>
      </c>
      <c r="FS106">
        <v>3.5590641219101063E-2</v>
      </c>
      <c r="FT106">
        <v>1</v>
      </c>
      <c r="FU106">
        <v>0.34826172685141688</v>
      </c>
      <c r="FV106">
        <v>1.3272567354885001E-2</v>
      </c>
      <c r="FW106">
        <v>2.8324635875910911E-3</v>
      </c>
      <c r="FX106">
        <v>1</v>
      </c>
      <c r="FY106">
        <v>2</v>
      </c>
      <c r="FZ106">
        <v>2</v>
      </c>
      <c r="GA106" t="s">
        <v>429</v>
      </c>
      <c r="GB106">
        <v>3.1346799999999999</v>
      </c>
      <c r="GC106">
        <v>2.8651499999999999</v>
      </c>
      <c r="GD106">
        <v>6.7639500000000003E-3</v>
      </c>
      <c r="GE106">
        <v>8.5592600000000008E-3</v>
      </c>
      <c r="GF106">
        <v>0.12806400000000001</v>
      </c>
      <c r="GG106">
        <v>0.114914</v>
      </c>
      <c r="GH106">
        <v>29927.5</v>
      </c>
      <c r="GI106">
        <v>23153.1</v>
      </c>
      <c r="GJ106">
        <v>29060.1</v>
      </c>
      <c r="GK106">
        <v>21772.1</v>
      </c>
      <c r="GL106">
        <v>33956.400000000001</v>
      </c>
      <c r="GM106">
        <v>26527.599999999999</v>
      </c>
      <c r="GN106">
        <v>40333</v>
      </c>
      <c r="GO106">
        <v>30955.5</v>
      </c>
      <c r="GP106">
        <v>2.0222000000000002</v>
      </c>
      <c r="GQ106">
        <v>1.8023</v>
      </c>
      <c r="GR106">
        <v>4.1454999999999999E-2</v>
      </c>
      <c r="GS106">
        <v>0</v>
      </c>
      <c r="GT106">
        <v>29.315200000000001</v>
      </c>
      <c r="GU106">
        <v>999.9</v>
      </c>
      <c r="GV106">
        <v>49.6</v>
      </c>
      <c r="GW106">
        <v>35.700000000000003</v>
      </c>
      <c r="GX106">
        <v>29.4709</v>
      </c>
      <c r="GY106">
        <v>61.461399999999998</v>
      </c>
      <c r="GZ106">
        <v>11.851000000000001</v>
      </c>
      <c r="HA106">
        <v>1</v>
      </c>
      <c r="HB106">
        <v>0.42530499999999999</v>
      </c>
      <c r="HC106">
        <v>1.8828499999999999</v>
      </c>
      <c r="HD106">
        <v>20.3278</v>
      </c>
      <c r="HE106">
        <v>5.2322600000000001</v>
      </c>
      <c r="HF106">
        <v>11.98</v>
      </c>
      <c r="HG106">
        <v>4.9748000000000001</v>
      </c>
      <c r="HH106">
        <v>3.2839999999999998</v>
      </c>
      <c r="HI106">
        <v>9999</v>
      </c>
      <c r="HJ106">
        <v>9999</v>
      </c>
      <c r="HK106">
        <v>9999</v>
      </c>
      <c r="HL106">
        <v>999.9</v>
      </c>
      <c r="HM106">
        <v>1.8606799999999999</v>
      </c>
      <c r="HN106">
        <v>1.8623700000000001</v>
      </c>
      <c r="HO106">
        <v>1.8677999999999999</v>
      </c>
      <c r="HP106">
        <v>1.8583700000000001</v>
      </c>
      <c r="HQ106">
        <v>1.85683</v>
      </c>
      <c r="HR106">
        <v>1.8605</v>
      </c>
      <c r="HS106">
        <v>1.8643400000000001</v>
      </c>
      <c r="HT106">
        <v>1.86646</v>
      </c>
      <c r="HU106">
        <v>5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1.615</v>
      </c>
      <c r="II106">
        <v>0.8296</v>
      </c>
      <c r="IJ106">
        <v>1.588502789780543</v>
      </c>
      <c r="IK106">
        <v>1.118558698776514E-3</v>
      </c>
      <c r="IL106">
        <v>-1.6939696309573479E-6</v>
      </c>
      <c r="IM106">
        <v>5.4698917449866148E-10</v>
      </c>
      <c r="IN106">
        <v>-6.8408141413742296E-2</v>
      </c>
      <c r="IO106">
        <v>-7.6058941998734366E-3</v>
      </c>
      <c r="IP106">
        <v>1.6984902717538061E-3</v>
      </c>
      <c r="IQ106">
        <v>-9.6352527008986976E-6</v>
      </c>
      <c r="IR106">
        <v>2</v>
      </c>
      <c r="IS106">
        <v>2021</v>
      </c>
      <c r="IT106">
        <v>2</v>
      </c>
      <c r="IU106">
        <v>40</v>
      </c>
      <c r="IV106">
        <v>0.6</v>
      </c>
      <c r="IW106">
        <v>0.5</v>
      </c>
      <c r="IX106">
        <v>0.21484400000000001</v>
      </c>
      <c r="IY106">
        <v>2.5842299999999998</v>
      </c>
      <c r="IZ106">
        <v>1.34399</v>
      </c>
      <c r="JA106">
        <v>2.2399900000000001</v>
      </c>
      <c r="JB106">
        <v>1.5918000000000001</v>
      </c>
      <c r="JC106">
        <v>2.2961399999999998</v>
      </c>
      <c r="JD106">
        <v>38.845700000000001</v>
      </c>
      <c r="JE106">
        <v>15.9358</v>
      </c>
      <c r="JF106">
        <v>18</v>
      </c>
      <c r="JG106">
        <v>516.11300000000006</v>
      </c>
      <c r="JH106">
        <v>419.959</v>
      </c>
      <c r="JI106">
        <v>27.043199999999999</v>
      </c>
      <c r="JJ106">
        <v>32.857300000000002</v>
      </c>
      <c r="JK106">
        <v>29.999700000000001</v>
      </c>
      <c r="JL106">
        <v>32.8018</v>
      </c>
      <c r="JM106">
        <v>32.753</v>
      </c>
      <c r="JN106">
        <v>4.3803799999999997</v>
      </c>
      <c r="JO106">
        <v>29.176300000000001</v>
      </c>
      <c r="JP106">
        <v>39.15</v>
      </c>
      <c r="JQ106">
        <v>27.040800000000001</v>
      </c>
      <c r="JR106">
        <v>30</v>
      </c>
      <c r="JS106">
        <v>22.974399999999999</v>
      </c>
      <c r="JT106">
        <v>99.086799999999997</v>
      </c>
      <c r="JU106">
        <v>97.7744</v>
      </c>
    </row>
    <row r="107" spans="1:281" x14ac:dyDescent="0.25">
      <c r="A107">
        <v>91</v>
      </c>
      <c r="B107">
        <v>1693345559.5</v>
      </c>
      <c r="C107">
        <v>23798</v>
      </c>
      <c r="D107" t="s">
        <v>878</v>
      </c>
      <c r="E107" t="s">
        <v>879</v>
      </c>
      <c r="F107" t="s">
        <v>413</v>
      </c>
      <c r="G107" t="s">
        <v>636</v>
      </c>
      <c r="H107" t="s">
        <v>779</v>
      </c>
      <c r="I107" t="s">
        <v>493</v>
      </c>
      <c r="J107">
        <v>1693345559.5</v>
      </c>
      <c r="K107">
        <f t="shared" si="92"/>
        <v>5.0516226882189709E-3</v>
      </c>
      <c r="L107">
        <f t="shared" si="93"/>
        <v>5.0516226882189708</v>
      </c>
      <c r="M107">
        <f t="shared" si="94"/>
        <v>0.91628331639708238</v>
      </c>
      <c r="N107">
        <f t="shared" si="95"/>
        <v>8.8360800000000008</v>
      </c>
      <c r="O107">
        <f t="shared" si="96"/>
        <v>4.3843803382577269</v>
      </c>
      <c r="P107">
        <f t="shared" si="97"/>
        <v>0.43362157280517966</v>
      </c>
      <c r="Q107">
        <f t="shared" si="98"/>
        <v>0.87390112431600009</v>
      </c>
      <c r="R107">
        <f t="shared" si="99"/>
        <v>0.36142396788379455</v>
      </c>
      <c r="S107">
        <f t="shared" si="100"/>
        <v>2.9066791422112708</v>
      </c>
      <c r="T107">
        <f t="shared" si="101"/>
        <v>0.33818477415083242</v>
      </c>
      <c r="U107">
        <f t="shared" si="102"/>
        <v>0.21332879063142501</v>
      </c>
      <c r="V107">
        <f t="shared" si="103"/>
        <v>344.3294996445486</v>
      </c>
      <c r="W107">
        <f t="shared" si="104"/>
        <v>31.093870670613018</v>
      </c>
      <c r="X107">
        <f t="shared" si="105"/>
        <v>30.034500000000001</v>
      </c>
      <c r="Y107">
        <f t="shared" si="106"/>
        <v>4.2688997939359998</v>
      </c>
      <c r="Z107">
        <f t="shared" si="107"/>
        <v>65.354508682312485</v>
      </c>
      <c r="AA107">
        <f t="shared" si="108"/>
        <v>2.8446925162049999</v>
      </c>
      <c r="AB107">
        <f t="shared" si="109"/>
        <v>4.3527104304815714</v>
      </c>
      <c r="AC107">
        <f t="shared" si="110"/>
        <v>1.424207277731</v>
      </c>
      <c r="AD107">
        <f t="shared" si="111"/>
        <v>-222.77656055045662</v>
      </c>
      <c r="AE107">
        <f t="shared" si="112"/>
        <v>53.12295632514887</v>
      </c>
      <c r="AF107">
        <f t="shared" si="113"/>
        <v>4.0719390085084717</v>
      </c>
      <c r="AG107">
        <f t="shared" si="114"/>
        <v>178.74783442774932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51612.569951264435</v>
      </c>
      <c r="AM107" t="s">
        <v>415</v>
      </c>
      <c r="AN107">
        <v>10366.9</v>
      </c>
      <c r="AO107">
        <v>993.59653846153856</v>
      </c>
      <c r="AP107">
        <v>3431.87</v>
      </c>
      <c r="AQ107">
        <f t="shared" si="118"/>
        <v>0.71047955241266758</v>
      </c>
      <c r="AR107">
        <v>-3.9894345373445681</v>
      </c>
      <c r="AS107" t="s">
        <v>880</v>
      </c>
      <c r="AT107">
        <v>10394.6</v>
      </c>
      <c r="AU107">
        <v>782.40273076923086</v>
      </c>
      <c r="AV107">
        <v>825.60614233184197</v>
      </c>
      <c r="AW107">
        <f t="shared" si="119"/>
        <v>5.232932429570758E-2</v>
      </c>
      <c r="AX107">
        <v>0.5</v>
      </c>
      <c r="AY107">
        <f t="shared" si="120"/>
        <v>1513.0082998222742</v>
      </c>
      <c r="AZ107">
        <f t="shared" si="121"/>
        <v>0.91628331639708238</v>
      </c>
      <c r="BA107">
        <f t="shared" si="122"/>
        <v>39.58735099174848</v>
      </c>
      <c r="BB107">
        <f t="shared" si="123"/>
        <v>3.2423601736473631E-3</v>
      </c>
      <c r="BC107">
        <f t="shared" si="124"/>
        <v>3.156788357105758</v>
      </c>
      <c r="BD107">
        <f t="shared" si="125"/>
        <v>519.13271402068119</v>
      </c>
      <c r="BE107" t="s">
        <v>881</v>
      </c>
      <c r="BF107">
        <v>618.09</v>
      </c>
      <c r="BG107">
        <f t="shared" si="126"/>
        <v>618.09</v>
      </c>
      <c r="BH107">
        <f t="shared" si="127"/>
        <v>0.25135004657999915</v>
      </c>
      <c r="BI107">
        <f t="shared" si="128"/>
        <v>0.20819301610533958</v>
      </c>
      <c r="BJ107">
        <f t="shared" si="129"/>
        <v>0.92625004714944248</v>
      </c>
      <c r="BK107">
        <f t="shared" si="130"/>
        <v>-0.25717786586595115</v>
      </c>
      <c r="BL107">
        <f t="shared" si="131"/>
        <v>1.0688972745590646</v>
      </c>
      <c r="BM107">
        <f t="shared" si="132"/>
        <v>0.16447031210900007</v>
      </c>
      <c r="BN107">
        <f t="shared" si="133"/>
        <v>0.83552968789099991</v>
      </c>
      <c r="BO107">
        <v>2133</v>
      </c>
      <c r="BP107">
        <v>290.00000000000011</v>
      </c>
      <c r="BQ107">
        <v>812.65</v>
      </c>
      <c r="BR107">
        <v>165</v>
      </c>
      <c r="BS107">
        <v>10394.6</v>
      </c>
      <c r="BT107">
        <v>811.6</v>
      </c>
      <c r="BU107">
        <v>1.05</v>
      </c>
      <c r="BV107">
        <v>300.00000000000011</v>
      </c>
      <c r="BW107">
        <v>38.4</v>
      </c>
      <c r="BX107">
        <v>825.60614233184197</v>
      </c>
      <c r="BY107">
        <v>1.031343396902928</v>
      </c>
      <c r="BZ107">
        <v>-14.5624725531768</v>
      </c>
      <c r="CA107">
        <v>0.87689563502750911</v>
      </c>
      <c r="CB107">
        <v>0.90783027918240822</v>
      </c>
      <c r="CC107">
        <v>-1.130314438264738E-2</v>
      </c>
      <c r="CD107">
        <v>289.99999999999989</v>
      </c>
      <c r="CE107">
        <v>809.68</v>
      </c>
      <c r="CF107">
        <v>635</v>
      </c>
      <c r="CG107">
        <v>10370.6</v>
      </c>
      <c r="CH107">
        <v>811.56</v>
      </c>
      <c r="CI107">
        <v>-1.88</v>
      </c>
      <c r="CW107">
        <f t="shared" si="134"/>
        <v>1799.79</v>
      </c>
      <c r="CX107">
        <f t="shared" si="135"/>
        <v>1513.0082998222742</v>
      </c>
      <c r="CY107">
        <f t="shared" si="136"/>
        <v>0.84065824336298911</v>
      </c>
      <c r="CZ107">
        <f t="shared" si="137"/>
        <v>0.19131648672597837</v>
      </c>
      <c r="DA107">
        <v>6</v>
      </c>
      <c r="DB107">
        <v>0.5</v>
      </c>
      <c r="DC107" t="s">
        <v>418</v>
      </c>
      <c r="DD107">
        <v>2</v>
      </c>
      <c r="DE107">
        <v>1693345559.5</v>
      </c>
      <c r="DF107">
        <v>8.8360800000000008</v>
      </c>
      <c r="DG107">
        <v>9.9899500000000003</v>
      </c>
      <c r="DH107">
        <v>28.762899999999998</v>
      </c>
      <c r="DI107">
        <v>22.871400000000001</v>
      </c>
      <c r="DJ107">
        <v>7.1805599999999998</v>
      </c>
      <c r="DK107">
        <v>27.9267</v>
      </c>
      <c r="DL107">
        <v>499.66800000000001</v>
      </c>
      <c r="DM107">
        <v>98.800799999999995</v>
      </c>
      <c r="DN107">
        <v>0.10065</v>
      </c>
      <c r="DO107">
        <v>30.3735</v>
      </c>
      <c r="DP107">
        <v>30.034500000000001</v>
      </c>
      <c r="DQ107">
        <v>999.9</v>
      </c>
      <c r="DR107">
        <v>0</v>
      </c>
      <c r="DS107">
        <v>0</v>
      </c>
      <c r="DT107">
        <v>9990</v>
      </c>
      <c r="DU107">
        <v>0</v>
      </c>
      <c r="DV107">
        <v>337.64699999999999</v>
      </c>
      <c r="DW107">
        <v>-1.15387</v>
      </c>
      <c r="DX107">
        <v>9.0977599999999992</v>
      </c>
      <c r="DY107">
        <v>10.223800000000001</v>
      </c>
      <c r="DZ107">
        <v>5.8915199999999999</v>
      </c>
      <c r="EA107">
        <v>9.9899500000000003</v>
      </c>
      <c r="EB107">
        <v>22.871400000000001</v>
      </c>
      <c r="EC107">
        <v>2.8418000000000001</v>
      </c>
      <c r="ED107">
        <v>2.2597100000000001</v>
      </c>
      <c r="EE107">
        <v>23.128900000000002</v>
      </c>
      <c r="EF107">
        <v>19.392099999999999</v>
      </c>
      <c r="EG107">
        <v>1799.79</v>
      </c>
      <c r="EH107">
        <v>0.97799899999999995</v>
      </c>
      <c r="EI107">
        <v>2.2001099999999999E-2</v>
      </c>
      <c r="EJ107">
        <v>0</v>
      </c>
      <c r="EK107">
        <v>782.24699999999996</v>
      </c>
      <c r="EL107">
        <v>5.0002700000000004</v>
      </c>
      <c r="EM107">
        <v>14561.3</v>
      </c>
      <c r="EN107">
        <v>16246.7</v>
      </c>
      <c r="EO107">
        <v>46.375</v>
      </c>
      <c r="EP107">
        <v>47.311999999999998</v>
      </c>
      <c r="EQ107">
        <v>47.311999999999998</v>
      </c>
      <c r="ER107">
        <v>46.686999999999998</v>
      </c>
      <c r="ES107">
        <v>48.125</v>
      </c>
      <c r="ET107">
        <v>1755.3</v>
      </c>
      <c r="EU107">
        <v>39.49</v>
      </c>
      <c r="EV107">
        <v>0</v>
      </c>
      <c r="EW107">
        <v>97.799999952316284</v>
      </c>
      <c r="EX107">
        <v>0</v>
      </c>
      <c r="EY107">
        <v>782.40273076923086</v>
      </c>
      <c r="EZ107">
        <v>-1.3098461431481221</v>
      </c>
      <c r="FA107">
        <v>48.51623931609857</v>
      </c>
      <c r="FB107">
        <v>14559.75769230769</v>
      </c>
      <c r="FC107">
        <v>15</v>
      </c>
      <c r="FD107">
        <v>1693345526.5</v>
      </c>
      <c r="FE107" t="s">
        <v>882</v>
      </c>
      <c r="FF107">
        <v>1693345521</v>
      </c>
      <c r="FG107">
        <v>1693345526.5</v>
      </c>
      <c r="FH107">
        <v>103</v>
      </c>
      <c r="FI107">
        <v>5.8999999999999997E-2</v>
      </c>
      <c r="FJ107">
        <v>2E-3</v>
      </c>
      <c r="FK107">
        <v>1.657</v>
      </c>
      <c r="FL107">
        <v>0.50700000000000001</v>
      </c>
      <c r="FM107">
        <v>10</v>
      </c>
      <c r="FN107">
        <v>23</v>
      </c>
      <c r="FO107">
        <v>0.91</v>
      </c>
      <c r="FP107">
        <v>0.06</v>
      </c>
      <c r="FQ107">
        <v>0.91815724495133677</v>
      </c>
      <c r="FR107">
        <v>2.4455292481358169E-2</v>
      </c>
      <c r="FS107">
        <v>4.1596738883878173E-2</v>
      </c>
      <c r="FT107">
        <v>1</v>
      </c>
      <c r="FU107">
        <v>0.36823722703877892</v>
      </c>
      <c r="FV107">
        <v>-2.317907393783401E-2</v>
      </c>
      <c r="FW107">
        <v>2.1070463543273669E-3</v>
      </c>
      <c r="FX107">
        <v>1</v>
      </c>
      <c r="FY107">
        <v>2</v>
      </c>
      <c r="FZ107">
        <v>2</v>
      </c>
      <c r="GA107" t="s">
        <v>429</v>
      </c>
      <c r="GB107">
        <v>3.1336599999999999</v>
      </c>
      <c r="GC107">
        <v>2.86571</v>
      </c>
      <c r="GD107">
        <v>1.9878399999999998E-3</v>
      </c>
      <c r="GE107">
        <v>2.8503600000000001E-3</v>
      </c>
      <c r="GF107">
        <v>0.12831100000000001</v>
      </c>
      <c r="GG107">
        <v>0.11426799999999999</v>
      </c>
      <c r="GH107">
        <v>30077.9</v>
      </c>
      <c r="GI107">
        <v>23291.3</v>
      </c>
      <c r="GJ107">
        <v>29065.8</v>
      </c>
      <c r="GK107">
        <v>21776.3</v>
      </c>
      <c r="GL107">
        <v>33951.199999999997</v>
      </c>
      <c r="GM107">
        <v>26551.200000000001</v>
      </c>
      <c r="GN107">
        <v>40340.6</v>
      </c>
      <c r="GO107">
        <v>30961.3</v>
      </c>
      <c r="GP107">
        <v>2.0234000000000001</v>
      </c>
      <c r="GQ107">
        <v>1.8047</v>
      </c>
      <c r="GR107">
        <v>4.0888800000000003E-2</v>
      </c>
      <c r="GS107">
        <v>0</v>
      </c>
      <c r="GT107">
        <v>29.3688</v>
      </c>
      <c r="GU107">
        <v>999.9</v>
      </c>
      <c r="GV107">
        <v>49.3</v>
      </c>
      <c r="GW107">
        <v>35.700000000000003</v>
      </c>
      <c r="GX107">
        <v>29.296800000000001</v>
      </c>
      <c r="GY107">
        <v>61.611400000000003</v>
      </c>
      <c r="GZ107">
        <v>12.415900000000001</v>
      </c>
      <c r="HA107">
        <v>1</v>
      </c>
      <c r="HB107">
        <v>0.41688999999999998</v>
      </c>
      <c r="HC107">
        <v>2.1769099999999999</v>
      </c>
      <c r="HD107">
        <v>20.323699999999999</v>
      </c>
      <c r="HE107">
        <v>5.2328599999999996</v>
      </c>
      <c r="HF107">
        <v>11.98</v>
      </c>
      <c r="HG107">
        <v>4.9737999999999998</v>
      </c>
      <c r="HH107">
        <v>3.2833999999999999</v>
      </c>
      <c r="HI107">
        <v>9999</v>
      </c>
      <c r="HJ107">
        <v>9999</v>
      </c>
      <c r="HK107">
        <v>9999</v>
      </c>
      <c r="HL107">
        <v>999.9</v>
      </c>
      <c r="HM107">
        <v>1.86066</v>
      </c>
      <c r="HN107">
        <v>1.8623400000000001</v>
      </c>
      <c r="HO107">
        <v>1.8677299999999999</v>
      </c>
      <c r="HP107">
        <v>1.8583700000000001</v>
      </c>
      <c r="HQ107">
        <v>1.85684</v>
      </c>
      <c r="HR107">
        <v>1.8605</v>
      </c>
      <c r="HS107">
        <v>1.86432</v>
      </c>
      <c r="HT107">
        <v>1.86646</v>
      </c>
      <c r="HU107">
        <v>5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1.6559999999999999</v>
      </c>
      <c r="II107">
        <v>0.83620000000000005</v>
      </c>
      <c r="IJ107">
        <v>1.6475760614003681</v>
      </c>
      <c r="IK107">
        <v>1.118558698776514E-3</v>
      </c>
      <c r="IL107">
        <v>-1.6939696309573479E-6</v>
      </c>
      <c r="IM107">
        <v>5.4698917449866148E-10</v>
      </c>
      <c r="IN107">
        <v>-6.6115355826772193E-2</v>
      </c>
      <c r="IO107">
        <v>-7.6058941998734366E-3</v>
      </c>
      <c r="IP107">
        <v>1.6984902717538061E-3</v>
      </c>
      <c r="IQ107">
        <v>-9.6352527008986976E-6</v>
      </c>
      <c r="IR107">
        <v>2</v>
      </c>
      <c r="IS107">
        <v>2021</v>
      </c>
      <c r="IT107">
        <v>2</v>
      </c>
      <c r="IU107">
        <v>40</v>
      </c>
      <c r="IV107">
        <v>0.6</v>
      </c>
      <c r="IW107">
        <v>0.6</v>
      </c>
      <c r="IX107">
        <v>0.17089799999999999</v>
      </c>
      <c r="IY107">
        <v>2.5720200000000002</v>
      </c>
      <c r="IZ107">
        <v>1.34399</v>
      </c>
      <c r="JA107">
        <v>2.2399900000000001</v>
      </c>
      <c r="JB107">
        <v>1.5918000000000001</v>
      </c>
      <c r="JC107">
        <v>2.4853499999999999</v>
      </c>
      <c r="JD107">
        <v>38.821100000000001</v>
      </c>
      <c r="JE107">
        <v>15.927</v>
      </c>
      <c r="JF107">
        <v>18</v>
      </c>
      <c r="JG107">
        <v>516.06600000000003</v>
      </c>
      <c r="JH107">
        <v>420.774</v>
      </c>
      <c r="JI107">
        <v>26.7865</v>
      </c>
      <c r="JJ107">
        <v>32.727600000000002</v>
      </c>
      <c r="JK107">
        <v>29.9998</v>
      </c>
      <c r="JL107">
        <v>32.704700000000003</v>
      </c>
      <c r="JM107">
        <v>32.659100000000002</v>
      </c>
      <c r="JN107">
        <v>3.5058400000000001</v>
      </c>
      <c r="JO107">
        <v>28.9741</v>
      </c>
      <c r="JP107">
        <v>38.398499999999999</v>
      </c>
      <c r="JQ107">
        <v>26.788</v>
      </c>
      <c r="JR107">
        <v>10</v>
      </c>
      <c r="JS107">
        <v>22.825099999999999</v>
      </c>
      <c r="JT107">
        <v>99.105900000000005</v>
      </c>
      <c r="JU107">
        <v>97.792900000000003</v>
      </c>
    </row>
    <row r="108" spans="1:281" x14ac:dyDescent="0.25">
      <c r="A108">
        <v>92</v>
      </c>
      <c r="B108">
        <v>1693345749</v>
      </c>
      <c r="C108">
        <v>23987.5</v>
      </c>
      <c r="D108" t="s">
        <v>883</v>
      </c>
      <c r="E108" t="s">
        <v>884</v>
      </c>
      <c r="F108" t="s">
        <v>413</v>
      </c>
      <c r="G108" t="s">
        <v>636</v>
      </c>
      <c r="H108" t="s">
        <v>779</v>
      </c>
      <c r="I108" t="s">
        <v>493</v>
      </c>
      <c r="J108">
        <v>1693345749</v>
      </c>
      <c r="K108">
        <f t="shared" si="92"/>
        <v>5.0340836124272287E-3</v>
      </c>
      <c r="L108">
        <f t="shared" si="93"/>
        <v>5.0340836124272288</v>
      </c>
      <c r="M108">
        <f t="shared" si="94"/>
        <v>34.686642748817505</v>
      </c>
      <c r="N108">
        <f t="shared" si="95"/>
        <v>356.26900000000001</v>
      </c>
      <c r="O108">
        <f t="shared" si="96"/>
        <v>184.89571313863712</v>
      </c>
      <c r="P108">
        <f t="shared" si="97"/>
        <v>18.284477703959237</v>
      </c>
      <c r="Q108">
        <f t="shared" si="98"/>
        <v>35.231712388201402</v>
      </c>
      <c r="R108">
        <f t="shared" si="99"/>
        <v>0.35600826938705438</v>
      </c>
      <c r="S108">
        <f t="shared" si="100"/>
        <v>2.9182884886256275</v>
      </c>
      <c r="T108">
        <f t="shared" si="101"/>
        <v>0.33352068616338082</v>
      </c>
      <c r="U108">
        <f t="shared" si="102"/>
        <v>0.21035236947399921</v>
      </c>
      <c r="V108">
        <f t="shared" si="103"/>
        <v>344.371299644592</v>
      </c>
      <c r="W108">
        <f t="shared" si="104"/>
        <v>31.106017224075309</v>
      </c>
      <c r="X108">
        <f t="shared" si="105"/>
        <v>30.0213</v>
      </c>
      <c r="Y108">
        <f t="shared" si="106"/>
        <v>4.2656650187569234</v>
      </c>
      <c r="Z108">
        <f t="shared" si="107"/>
        <v>64.900630049961975</v>
      </c>
      <c r="AA108">
        <f t="shared" si="108"/>
        <v>2.8265550539255595</v>
      </c>
      <c r="AB108">
        <f t="shared" si="109"/>
        <v>4.3552043358432941</v>
      </c>
      <c r="AC108">
        <f t="shared" si="110"/>
        <v>1.4391099648313639</v>
      </c>
      <c r="AD108">
        <f t="shared" si="111"/>
        <v>-222.00308730804079</v>
      </c>
      <c r="AE108">
        <f t="shared" si="112"/>
        <v>56.98520453136009</v>
      </c>
      <c r="AF108">
        <f t="shared" si="113"/>
        <v>4.3505398994523539</v>
      </c>
      <c r="AG108">
        <f t="shared" si="114"/>
        <v>183.70395676736368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51940.150170888235</v>
      </c>
      <c r="AM108" t="s">
        <v>415</v>
      </c>
      <c r="AN108">
        <v>10366.9</v>
      </c>
      <c r="AO108">
        <v>993.59653846153856</v>
      </c>
      <c r="AP108">
        <v>3431.87</v>
      </c>
      <c r="AQ108">
        <f t="shared" si="118"/>
        <v>0.71047955241266758</v>
      </c>
      <c r="AR108">
        <v>-3.9894345373445681</v>
      </c>
      <c r="AS108" t="s">
        <v>885</v>
      </c>
      <c r="AT108">
        <v>10389.1</v>
      </c>
      <c r="AU108">
        <v>754.0258846153846</v>
      </c>
      <c r="AV108">
        <v>992.30193855791515</v>
      </c>
      <c r="AW108">
        <f t="shared" si="119"/>
        <v>0.24012454746265088</v>
      </c>
      <c r="AX108">
        <v>0.5</v>
      </c>
      <c r="AY108">
        <f t="shared" si="120"/>
        <v>1513.1930998222956</v>
      </c>
      <c r="AZ108">
        <f t="shared" si="121"/>
        <v>34.686642748817505</v>
      </c>
      <c r="BA108">
        <f t="shared" si="122"/>
        <v>181.67740415921733</v>
      </c>
      <c r="BB108">
        <f t="shared" si="123"/>
        <v>2.5559247719741822E-2</v>
      </c>
      <c r="BC108">
        <f t="shared" si="124"/>
        <v>2.4584936969763875</v>
      </c>
      <c r="BD108">
        <f t="shared" si="125"/>
        <v>580.44497726452016</v>
      </c>
      <c r="BE108" t="s">
        <v>886</v>
      </c>
      <c r="BF108">
        <v>588.88</v>
      </c>
      <c r="BG108">
        <f t="shared" si="126"/>
        <v>588.88</v>
      </c>
      <c r="BH108">
        <f t="shared" si="127"/>
        <v>0.40655159773666982</v>
      </c>
      <c r="BI108">
        <f t="shared" si="128"/>
        <v>0.5906373232806319</v>
      </c>
      <c r="BJ108">
        <f t="shared" si="129"/>
        <v>0.85809941696667413</v>
      </c>
      <c r="BK108">
        <f t="shared" si="130"/>
        <v>-184.05381714893431</v>
      </c>
      <c r="BL108">
        <f t="shared" si="131"/>
        <v>1.0005309494296044</v>
      </c>
      <c r="BM108">
        <f t="shared" si="132"/>
        <v>0.46127661401294284</v>
      </c>
      <c r="BN108">
        <f t="shared" si="133"/>
        <v>0.53872338598705716</v>
      </c>
      <c r="BO108">
        <v>2135</v>
      </c>
      <c r="BP108">
        <v>290.00000000000011</v>
      </c>
      <c r="BQ108">
        <v>920.21</v>
      </c>
      <c r="BR108">
        <v>215</v>
      </c>
      <c r="BS108">
        <v>10389.1</v>
      </c>
      <c r="BT108">
        <v>920.53</v>
      </c>
      <c r="BU108">
        <v>-0.32</v>
      </c>
      <c r="BV108">
        <v>300.00000000000011</v>
      </c>
      <c r="BW108">
        <v>38.4</v>
      </c>
      <c r="BX108">
        <v>992.30193855791515</v>
      </c>
      <c r="BY108">
        <v>0.99439683089504072</v>
      </c>
      <c r="BZ108">
        <v>-74.569242822298861</v>
      </c>
      <c r="CA108">
        <v>0.84566509819796609</v>
      </c>
      <c r="CB108">
        <v>0.99641181976642179</v>
      </c>
      <c r="CC108">
        <v>-1.1306195105672981E-2</v>
      </c>
      <c r="CD108">
        <v>289.99999999999989</v>
      </c>
      <c r="CE108">
        <v>907.21</v>
      </c>
      <c r="CF108">
        <v>655</v>
      </c>
      <c r="CG108">
        <v>10370.799999999999</v>
      </c>
      <c r="CH108">
        <v>920.4</v>
      </c>
      <c r="CI108">
        <v>-13.19</v>
      </c>
      <c r="CW108">
        <f t="shared" si="134"/>
        <v>1800.01</v>
      </c>
      <c r="CX108">
        <f t="shared" si="135"/>
        <v>1513.1930998222956</v>
      </c>
      <c r="CY108">
        <f t="shared" si="136"/>
        <v>0.84065816291148143</v>
      </c>
      <c r="CZ108">
        <f t="shared" si="137"/>
        <v>0.19131632582296321</v>
      </c>
      <c r="DA108">
        <v>6</v>
      </c>
      <c r="DB108">
        <v>0.5</v>
      </c>
      <c r="DC108" t="s">
        <v>418</v>
      </c>
      <c r="DD108">
        <v>2</v>
      </c>
      <c r="DE108">
        <v>1693345749</v>
      </c>
      <c r="DF108">
        <v>356.26900000000001</v>
      </c>
      <c r="DG108">
        <v>400.07100000000003</v>
      </c>
      <c r="DH108">
        <v>28.582599999999999</v>
      </c>
      <c r="DI108">
        <v>22.710899999999999</v>
      </c>
      <c r="DJ108">
        <v>354.10500000000002</v>
      </c>
      <c r="DK108">
        <v>27.7498</v>
      </c>
      <c r="DL108">
        <v>499.70499999999998</v>
      </c>
      <c r="DM108">
        <v>98.791399999999996</v>
      </c>
      <c r="DN108">
        <v>9.9360599999999993E-2</v>
      </c>
      <c r="DO108">
        <v>30.383500000000002</v>
      </c>
      <c r="DP108">
        <v>30.0213</v>
      </c>
      <c r="DQ108">
        <v>999.9</v>
      </c>
      <c r="DR108">
        <v>0</v>
      </c>
      <c r="DS108">
        <v>0</v>
      </c>
      <c r="DT108">
        <v>10057.5</v>
      </c>
      <c r="DU108">
        <v>0</v>
      </c>
      <c r="DV108">
        <v>385.58699999999999</v>
      </c>
      <c r="DW108">
        <v>-43.802799999999998</v>
      </c>
      <c r="DX108">
        <v>366.75099999999998</v>
      </c>
      <c r="DY108">
        <v>409.36799999999999</v>
      </c>
      <c r="DZ108">
        <v>5.8716400000000002</v>
      </c>
      <c r="EA108">
        <v>400.07100000000003</v>
      </c>
      <c r="EB108">
        <v>22.710899999999999</v>
      </c>
      <c r="EC108">
        <v>2.8237100000000002</v>
      </c>
      <c r="ED108">
        <v>2.2436400000000001</v>
      </c>
      <c r="EE108">
        <v>23.023399999999999</v>
      </c>
      <c r="EF108">
        <v>19.2774</v>
      </c>
      <c r="EG108">
        <v>1800.01</v>
      </c>
      <c r="EH108">
        <v>0.97799899999999995</v>
      </c>
      <c r="EI108">
        <v>2.2001199999999999E-2</v>
      </c>
      <c r="EJ108">
        <v>0</v>
      </c>
      <c r="EK108">
        <v>753.25599999999997</v>
      </c>
      <c r="EL108">
        <v>5.0002700000000004</v>
      </c>
      <c r="EM108">
        <v>14122.9</v>
      </c>
      <c r="EN108">
        <v>16248.7</v>
      </c>
      <c r="EO108">
        <v>46.311999999999998</v>
      </c>
      <c r="EP108">
        <v>47.25</v>
      </c>
      <c r="EQ108">
        <v>47.186999999999998</v>
      </c>
      <c r="ER108">
        <v>46.686999999999998</v>
      </c>
      <c r="ES108">
        <v>48</v>
      </c>
      <c r="ET108">
        <v>1755.52</v>
      </c>
      <c r="EU108">
        <v>39.49</v>
      </c>
      <c r="EV108">
        <v>0</v>
      </c>
      <c r="EW108">
        <v>187.79999995231631</v>
      </c>
      <c r="EX108">
        <v>0</v>
      </c>
      <c r="EY108">
        <v>754.0258846153846</v>
      </c>
      <c r="EZ108">
        <v>-8.7076581285984123</v>
      </c>
      <c r="FA108">
        <v>-69.907692388496343</v>
      </c>
      <c r="FB108">
        <v>14130.99230769231</v>
      </c>
      <c r="FC108">
        <v>15</v>
      </c>
      <c r="FD108">
        <v>1693345635</v>
      </c>
      <c r="FE108" t="s">
        <v>887</v>
      </c>
      <c r="FF108">
        <v>1693345628</v>
      </c>
      <c r="FG108">
        <v>1693345635</v>
      </c>
      <c r="FH108">
        <v>104</v>
      </c>
      <c r="FI108">
        <v>0.308</v>
      </c>
      <c r="FJ108">
        <v>8.0000000000000002E-3</v>
      </c>
      <c r="FK108">
        <v>2.1669999999999998</v>
      </c>
      <c r="FL108">
        <v>0.499</v>
      </c>
      <c r="FM108">
        <v>400</v>
      </c>
      <c r="FN108">
        <v>23</v>
      </c>
      <c r="FO108">
        <v>0.21</v>
      </c>
      <c r="FP108">
        <v>0.04</v>
      </c>
      <c r="FQ108">
        <v>34.440358079160099</v>
      </c>
      <c r="FR108">
        <v>1.528180205934178</v>
      </c>
      <c r="FS108">
        <v>0.13718118099062659</v>
      </c>
      <c r="FT108">
        <v>0</v>
      </c>
      <c r="FU108">
        <v>0.35649757991349751</v>
      </c>
      <c r="FV108">
        <v>1.0890373203658269E-2</v>
      </c>
      <c r="FW108">
        <v>1.157522621230518E-3</v>
      </c>
      <c r="FX108">
        <v>1</v>
      </c>
      <c r="FY108">
        <v>1</v>
      </c>
      <c r="FZ108">
        <v>2</v>
      </c>
      <c r="GA108" t="s">
        <v>420</v>
      </c>
      <c r="GB108">
        <v>3.1336599999999999</v>
      </c>
      <c r="GC108">
        <v>2.8650199999999999</v>
      </c>
      <c r="GD108">
        <v>8.3436800000000005E-2</v>
      </c>
      <c r="GE108">
        <v>9.4189700000000001E-2</v>
      </c>
      <c r="GF108">
        <v>0.12776899999999999</v>
      </c>
      <c r="GG108">
        <v>0.113729</v>
      </c>
      <c r="GH108">
        <v>27627</v>
      </c>
      <c r="GI108">
        <v>21164.2</v>
      </c>
      <c r="GJ108">
        <v>29068.9</v>
      </c>
      <c r="GK108">
        <v>21782.3</v>
      </c>
      <c r="GL108">
        <v>33982.699999999997</v>
      </c>
      <c r="GM108">
        <v>26580.2</v>
      </c>
      <c r="GN108">
        <v>40344.400000000001</v>
      </c>
      <c r="GO108">
        <v>30968.1</v>
      </c>
      <c r="GP108">
        <v>2.0257999999999998</v>
      </c>
      <c r="GQ108">
        <v>1.8075000000000001</v>
      </c>
      <c r="GR108">
        <v>2.2977600000000001E-2</v>
      </c>
      <c r="GS108">
        <v>0</v>
      </c>
      <c r="GT108">
        <v>29.647300000000001</v>
      </c>
      <c r="GU108">
        <v>999.9</v>
      </c>
      <c r="GV108">
        <v>48.9</v>
      </c>
      <c r="GW108">
        <v>35.6</v>
      </c>
      <c r="GX108">
        <v>28.900700000000001</v>
      </c>
      <c r="GY108">
        <v>61.781399999999998</v>
      </c>
      <c r="GZ108">
        <v>12.223599999999999</v>
      </c>
      <c r="HA108">
        <v>1</v>
      </c>
      <c r="HB108">
        <v>0.408638</v>
      </c>
      <c r="HC108">
        <v>2.63063</v>
      </c>
      <c r="HD108">
        <v>20.317</v>
      </c>
      <c r="HE108">
        <v>5.2340600000000004</v>
      </c>
      <c r="HF108">
        <v>11.98</v>
      </c>
      <c r="HG108">
        <v>4.9737999999999998</v>
      </c>
      <c r="HH108">
        <v>3.2839999999999998</v>
      </c>
      <c r="HI108">
        <v>9999</v>
      </c>
      <c r="HJ108">
        <v>9999</v>
      </c>
      <c r="HK108">
        <v>9999</v>
      </c>
      <c r="HL108">
        <v>999.9</v>
      </c>
      <c r="HM108">
        <v>1.86066</v>
      </c>
      <c r="HN108">
        <v>1.8623700000000001</v>
      </c>
      <c r="HO108">
        <v>1.8677900000000001</v>
      </c>
      <c r="HP108">
        <v>1.8583700000000001</v>
      </c>
      <c r="HQ108">
        <v>1.85684</v>
      </c>
      <c r="HR108">
        <v>1.8605</v>
      </c>
      <c r="HS108">
        <v>1.86432</v>
      </c>
      <c r="HT108">
        <v>1.8664400000000001</v>
      </c>
      <c r="HU108">
        <v>5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2.1640000000000001</v>
      </c>
      <c r="II108">
        <v>0.83279999999999998</v>
      </c>
      <c r="IJ108">
        <v>1.9556568493875099</v>
      </c>
      <c r="IK108">
        <v>1.118558698776514E-3</v>
      </c>
      <c r="IL108">
        <v>-1.6939696309573479E-6</v>
      </c>
      <c r="IM108">
        <v>5.4698917449866148E-10</v>
      </c>
      <c r="IN108">
        <v>-5.8169091882562363E-2</v>
      </c>
      <c r="IO108">
        <v>-7.6058941998734366E-3</v>
      </c>
      <c r="IP108">
        <v>1.6984902717538061E-3</v>
      </c>
      <c r="IQ108">
        <v>-9.6352527008986976E-6</v>
      </c>
      <c r="IR108">
        <v>2</v>
      </c>
      <c r="IS108">
        <v>2021</v>
      </c>
      <c r="IT108">
        <v>2</v>
      </c>
      <c r="IU108">
        <v>40</v>
      </c>
      <c r="IV108">
        <v>2</v>
      </c>
      <c r="IW108">
        <v>1.9</v>
      </c>
      <c r="IX108">
        <v>1.02661</v>
      </c>
      <c r="IY108">
        <v>2.52075</v>
      </c>
      <c r="IZ108">
        <v>1.34399</v>
      </c>
      <c r="JA108">
        <v>2.2399900000000001</v>
      </c>
      <c r="JB108">
        <v>1.5918000000000001</v>
      </c>
      <c r="JC108">
        <v>2.48291</v>
      </c>
      <c r="JD108">
        <v>38.747100000000003</v>
      </c>
      <c r="JE108">
        <v>15.900700000000001</v>
      </c>
      <c r="JF108">
        <v>18</v>
      </c>
      <c r="JG108">
        <v>516.48099999999999</v>
      </c>
      <c r="JH108">
        <v>421.596</v>
      </c>
      <c r="JI108">
        <v>26.418800000000001</v>
      </c>
      <c r="JJ108">
        <v>32.603999999999999</v>
      </c>
      <c r="JK108">
        <v>30.000299999999999</v>
      </c>
      <c r="JL108">
        <v>32.569600000000001</v>
      </c>
      <c r="JM108">
        <v>32.532499999999999</v>
      </c>
      <c r="JN108">
        <v>20.626200000000001</v>
      </c>
      <c r="JO108">
        <v>28.358599999999999</v>
      </c>
      <c r="JP108">
        <v>36.277099999999997</v>
      </c>
      <c r="JQ108">
        <v>26.404199999999999</v>
      </c>
      <c r="JR108">
        <v>400</v>
      </c>
      <c r="JS108">
        <v>22.779900000000001</v>
      </c>
      <c r="JT108">
        <v>99.115600000000001</v>
      </c>
      <c r="JU108">
        <v>97.816599999999994</v>
      </c>
    </row>
    <row r="109" spans="1:281" x14ac:dyDescent="0.25">
      <c r="A109">
        <v>93</v>
      </c>
      <c r="B109">
        <v>1693345904.5999999</v>
      </c>
      <c r="C109">
        <v>24143.099999904629</v>
      </c>
      <c r="D109" t="s">
        <v>888</v>
      </c>
      <c r="E109" t="s">
        <v>889</v>
      </c>
      <c r="F109" t="s">
        <v>413</v>
      </c>
      <c r="G109" t="s">
        <v>636</v>
      </c>
      <c r="H109" t="s">
        <v>779</v>
      </c>
      <c r="I109" t="s">
        <v>493</v>
      </c>
      <c r="J109">
        <v>1693345904.5999999</v>
      </c>
      <c r="K109">
        <f t="shared" si="92"/>
        <v>4.874496246434489E-3</v>
      </c>
      <c r="L109">
        <f t="shared" si="93"/>
        <v>4.8744962464344894</v>
      </c>
      <c r="M109">
        <f t="shared" si="94"/>
        <v>38.491312233060626</v>
      </c>
      <c r="N109">
        <f t="shared" si="95"/>
        <v>351.815</v>
      </c>
      <c r="O109">
        <f t="shared" si="96"/>
        <v>157.23987252753588</v>
      </c>
      <c r="P109">
        <f t="shared" si="97"/>
        <v>15.55024920673692</v>
      </c>
      <c r="Q109">
        <f t="shared" si="98"/>
        <v>34.792771303666001</v>
      </c>
      <c r="R109">
        <f t="shared" si="99"/>
        <v>0.3450414568413166</v>
      </c>
      <c r="S109">
        <f t="shared" si="100"/>
        <v>2.9140024225989496</v>
      </c>
      <c r="T109">
        <f t="shared" si="101"/>
        <v>0.32384472066160896</v>
      </c>
      <c r="U109">
        <f t="shared" si="102"/>
        <v>0.2041987883130939</v>
      </c>
      <c r="V109">
        <f t="shared" si="103"/>
        <v>344.34849964456839</v>
      </c>
      <c r="W109">
        <f t="shared" si="104"/>
        <v>31.007556522890614</v>
      </c>
      <c r="X109">
        <f t="shared" si="105"/>
        <v>29.961200000000002</v>
      </c>
      <c r="Y109">
        <f t="shared" si="106"/>
        <v>4.2509639786608444</v>
      </c>
      <c r="Z109">
        <f t="shared" si="107"/>
        <v>65.173179691610343</v>
      </c>
      <c r="AA109">
        <f t="shared" si="108"/>
        <v>2.81558238313856</v>
      </c>
      <c r="AB109">
        <f t="shared" si="109"/>
        <v>4.32015500311857</v>
      </c>
      <c r="AC109">
        <f t="shared" si="110"/>
        <v>1.4353815955222844</v>
      </c>
      <c r="AD109">
        <f t="shared" si="111"/>
        <v>-214.96528446776097</v>
      </c>
      <c r="AE109">
        <f t="shared" si="112"/>
        <v>44.192145218192287</v>
      </c>
      <c r="AF109">
        <f t="shared" si="113"/>
        <v>3.3754543444642851</v>
      </c>
      <c r="AG109">
        <f t="shared" si="114"/>
        <v>176.95081473946399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51842.592027882529</v>
      </c>
      <c r="AM109" t="s">
        <v>415</v>
      </c>
      <c r="AN109">
        <v>10366.9</v>
      </c>
      <c r="AO109">
        <v>993.59653846153856</v>
      </c>
      <c r="AP109">
        <v>3431.87</v>
      </c>
      <c r="AQ109">
        <f t="shared" si="118"/>
        <v>0.71047955241266758</v>
      </c>
      <c r="AR109">
        <v>-3.9894345373445681</v>
      </c>
      <c r="AS109" t="s">
        <v>890</v>
      </c>
      <c r="AT109">
        <v>10387.200000000001</v>
      </c>
      <c r="AU109">
        <v>760.57007999999985</v>
      </c>
      <c r="AV109">
        <v>1023.217165342355</v>
      </c>
      <c r="AW109">
        <f t="shared" si="119"/>
        <v>0.25668752855067367</v>
      </c>
      <c r="AX109">
        <v>0.5</v>
      </c>
      <c r="AY109">
        <f t="shared" si="120"/>
        <v>1513.0922998222843</v>
      </c>
      <c r="AZ109">
        <f t="shared" si="121"/>
        <v>38.491312233060626</v>
      </c>
      <c r="BA109">
        <f t="shared" si="122"/>
        <v>194.19596145521854</v>
      </c>
      <c r="BB109">
        <f t="shared" si="123"/>
        <v>2.8075449710103367E-2</v>
      </c>
      <c r="BC109">
        <f t="shared" si="124"/>
        <v>2.3539996358952222</v>
      </c>
      <c r="BD109">
        <f t="shared" si="125"/>
        <v>590.88801918945217</v>
      </c>
      <c r="BE109" t="s">
        <v>891</v>
      </c>
      <c r="BF109">
        <v>593.25</v>
      </c>
      <c r="BG109">
        <f t="shared" si="126"/>
        <v>593.25</v>
      </c>
      <c r="BH109">
        <f t="shared" si="127"/>
        <v>0.42021105578158824</v>
      </c>
      <c r="BI109">
        <f t="shared" si="128"/>
        <v>0.61085381981023201</v>
      </c>
      <c r="BJ109">
        <f t="shared" si="129"/>
        <v>0.84852950893661194</v>
      </c>
      <c r="BK109">
        <f t="shared" si="130"/>
        <v>8.8670333142900706</v>
      </c>
      <c r="BL109">
        <f t="shared" si="131"/>
        <v>0.98785180278256124</v>
      </c>
      <c r="BM109">
        <f t="shared" si="132"/>
        <v>0.4764702663591765</v>
      </c>
      <c r="BN109">
        <f t="shared" si="133"/>
        <v>0.52352973364082356</v>
      </c>
      <c r="BO109">
        <v>2137</v>
      </c>
      <c r="BP109">
        <v>290.00000000000011</v>
      </c>
      <c r="BQ109">
        <v>953.36</v>
      </c>
      <c r="BR109">
        <v>225</v>
      </c>
      <c r="BS109">
        <v>10387.200000000001</v>
      </c>
      <c r="BT109">
        <v>951.33</v>
      </c>
      <c r="BU109">
        <v>2.0299999999999998</v>
      </c>
      <c r="BV109">
        <v>300.00000000000011</v>
      </c>
      <c r="BW109">
        <v>38.4</v>
      </c>
      <c r="BX109">
        <v>1023.217165342355</v>
      </c>
      <c r="BY109">
        <v>0.92314486478373936</v>
      </c>
      <c r="BZ109">
        <v>-74.673314120538137</v>
      </c>
      <c r="CA109">
        <v>0.7850323633950067</v>
      </c>
      <c r="CB109">
        <v>0.9969149627294146</v>
      </c>
      <c r="CC109">
        <v>-1.1305663848720809E-2</v>
      </c>
      <c r="CD109">
        <v>289.99999999999989</v>
      </c>
      <c r="CE109">
        <v>942.58</v>
      </c>
      <c r="CF109">
        <v>635</v>
      </c>
      <c r="CG109">
        <v>10372.4</v>
      </c>
      <c r="CH109">
        <v>951.22</v>
      </c>
      <c r="CI109">
        <v>-8.64</v>
      </c>
      <c r="CW109">
        <f t="shared" si="134"/>
        <v>1799.89</v>
      </c>
      <c r="CX109">
        <f t="shared" si="135"/>
        <v>1513.0922998222843</v>
      </c>
      <c r="CY109">
        <f t="shared" si="136"/>
        <v>0.84065820679168402</v>
      </c>
      <c r="CZ109">
        <f t="shared" si="137"/>
        <v>0.19131641358336807</v>
      </c>
      <c r="DA109">
        <v>6</v>
      </c>
      <c r="DB109">
        <v>0.5</v>
      </c>
      <c r="DC109" t="s">
        <v>418</v>
      </c>
      <c r="DD109">
        <v>2</v>
      </c>
      <c r="DE109">
        <v>1693345904.5999999</v>
      </c>
      <c r="DF109">
        <v>351.815</v>
      </c>
      <c r="DG109">
        <v>400.07299999999998</v>
      </c>
      <c r="DH109">
        <v>28.470400000000001</v>
      </c>
      <c r="DI109">
        <v>22.786300000000001</v>
      </c>
      <c r="DJ109">
        <v>349.7</v>
      </c>
      <c r="DK109">
        <v>27.644600000000001</v>
      </c>
      <c r="DL109">
        <v>499.89100000000002</v>
      </c>
      <c r="DM109">
        <v>98.795299999999997</v>
      </c>
      <c r="DN109">
        <v>9.9776400000000001E-2</v>
      </c>
      <c r="DO109">
        <v>30.2425</v>
      </c>
      <c r="DP109">
        <v>29.961200000000002</v>
      </c>
      <c r="DQ109">
        <v>999.9</v>
      </c>
      <c r="DR109">
        <v>0</v>
      </c>
      <c r="DS109">
        <v>0</v>
      </c>
      <c r="DT109">
        <v>10032.5</v>
      </c>
      <c r="DU109">
        <v>0</v>
      </c>
      <c r="DV109">
        <v>406.28399999999999</v>
      </c>
      <c r="DW109">
        <v>-48.258299999999998</v>
      </c>
      <c r="DX109">
        <v>362.12400000000002</v>
      </c>
      <c r="DY109">
        <v>409.40199999999999</v>
      </c>
      <c r="DZ109">
        <v>5.6840200000000003</v>
      </c>
      <c r="EA109">
        <v>400.07299999999998</v>
      </c>
      <c r="EB109">
        <v>22.786300000000001</v>
      </c>
      <c r="EC109">
        <v>2.8127399999999998</v>
      </c>
      <c r="ED109">
        <v>2.2511800000000002</v>
      </c>
      <c r="EE109">
        <v>22.959</v>
      </c>
      <c r="EF109">
        <v>19.331299999999999</v>
      </c>
      <c r="EG109">
        <v>1799.89</v>
      </c>
      <c r="EH109">
        <v>0.97799899999999995</v>
      </c>
      <c r="EI109">
        <v>2.2001199999999999E-2</v>
      </c>
      <c r="EJ109">
        <v>0</v>
      </c>
      <c r="EK109">
        <v>761.14099999999996</v>
      </c>
      <c r="EL109">
        <v>5.0002700000000004</v>
      </c>
      <c r="EM109">
        <v>14272.5</v>
      </c>
      <c r="EN109">
        <v>16247.6</v>
      </c>
      <c r="EO109">
        <v>46.375</v>
      </c>
      <c r="EP109">
        <v>47.375</v>
      </c>
      <c r="EQ109">
        <v>47.311999999999998</v>
      </c>
      <c r="ER109">
        <v>46.75</v>
      </c>
      <c r="ES109">
        <v>48.061999999999998</v>
      </c>
      <c r="ET109">
        <v>1755.4</v>
      </c>
      <c r="EU109">
        <v>39.49</v>
      </c>
      <c r="EV109">
        <v>0</v>
      </c>
      <c r="EW109">
        <v>153.5999999046326</v>
      </c>
      <c r="EX109">
        <v>0</v>
      </c>
      <c r="EY109">
        <v>760.57007999999985</v>
      </c>
      <c r="EZ109">
        <v>6.3736922782248913</v>
      </c>
      <c r="FA109">
        <v>185.01538458594121</v>
      </c>
      <c r="FB109">
        <v>14266.796</v>
      </c>
      <c r="FC109">
        <v>15</v>
      </c>
      <c r="FD109">
        <v>1693345811.5999999</v>
      </c>
      <c r="FE109" t="s">
        <v>892</v>
      </c>
      <c r="FF109">
        <v>1693345808.0999999</v>
      </c>
      <c r="FG109">
        <v>1693345811.5999999</v>
      </c>
      <c r="FH109">
        <v>105</v>
      </c>
      <c r="FI109">
        <v>-4.9000000000000002E-2</v>
      </c>
      <c r="FJ109">
        <v>0</v>
      </c>
      <c r="FK109">
        <v>2.1179999999999999</v>
      </c>
      <c r="FL109">
        <v>0.50900000000000001</v>
      </c>
      <c r="FM109">
        <v>400</v>
      </c>
      <c r="FN109">
        <v>23</v>
      </c>
      <c r="FO109">
        <v>0.17</v>
      </c>
      <c r="FP109">
        <v>0.02</v>
      </c>
      <c r="FQ109">
        <v>38.337613955073962</v>
      </c>
      <c r="FR109">
        <v>0.53974587742470315</v>
      </c>
      <c r="FS109">
        <v>8.1744651434272869E-2</v>
      </c>
      <c r="FT109">
        <v>1</v>
      </c>
      <c r="FU109">
        <v>0.34592862621812948</v>
      </c>
      <c r="FV109">
        <v>-8.2540416426035348E-3</v>
      </c>
      <c r="FW109">
        <v>8.2212219536563469E-4</v>
      </c>
      <c r="FX109">
        <v>1</v>
      </c>
      <c r="FY109">
        <v>2</v>
      </c>
      <c r="FZ109">
        <v>2</v>
      </c>
      <c r="GA109" t="s">
        <v>429</v>
      </c>
      <c r="GB109">
        <v>3.1338900000000001</v>
      </c>
      <c r="GC109">
        <v>2.8652099999999998</v>
      </c>
      <c r="GD109">
        <v>8.2613800000000001E-2</v>
      </c>
      <c r="GE109">
        <v>9.4196299999999997E-2</v>
      </c>
      <c r="GF109">
        <v>0.12743499999999999</v>
      </c>
      <c r="GG109">
        <v>0.114</v>
      </c>
      <c r="GH109">
        <v>27650.9</v>
      </c>
      <c r="GI109">
        <v>21164.5</v>
      </c>
      <c r="GJ109">
        <v>29068</v>
      </c>
      <c r="GK109">
        <v>21782.9</v>
      </c>
      <c r="GL109">
        <v>33995.5</v>
      </c>
      <c r="GM109">
        <v>26573.200000000001</v>
      </c>
      <c r="GN109">
        <v>40343.5</v>
      </c>
      <c r="GO109">
        <v>30969.4</v>
      </c>
      <c r="GP109">
        <v>2.0259</v>
      </c>
      <c r="GQ109">
        <v>1.8068</v>
      </c>
      <c r="GR109">
        <v>1.3410999999999999E-2</v>
      </c>
      <c r="GS109">
        <v>0</v>
      </c>
      <c r="GT109">
        <v>29.742899999999999</v>
      </c>
      <c r="GU109">
        <v>999.9</v>
      </c>
      <c r="GV109">
        <v>48.8</v>
      </c>
      <c r="GW109">
        <v>35.6</v>
      </c>
      <c r="GX109">
        <v>28.8416</v>
      </c>
      <c r="GY109">
        <v>62.069600000000001</v>
      </c>
      <c r="GZ109">
        <v>12.1915</v>
      </c>
      <c r="HA109">
        <v>1</v>
      </c>
      <c r="HB109">
        <v>0.41020299999999998</v>
      </c>
      <c r="HC109">
        <v>2.33901</v>
      </c>
      <c r="HD109">
        <v>20.322199999999999</v>
      </c>
      <c r="HE109">
        <v>5.23346</v>
      </c>
      <c r="HF109">
        <v>11.98</v>
      </c>
      <c r="HG109">
        <v>4.9748000000000001</v>
      </c>
      <c r="HH109">
        <v>3.2839999999999998</v>
      </c>
      <c r="HI109">
        <v>9999</v>
      </c>
      <c r="HJ109">
        <v>9999</v>
      </c>
      <c r="HK109">
        <v>9999</v>
      </c>
      <c r="HL109">
        <v>999.9</v>
      </c>
      <c r="HM109">
        <v>1.86069</v>
      </c>
      <c r="HN109">
        <v>1.8623400000000001</v>
      </c>
      <c r="HO109">
        <v>1.86775</v>
      </c>
      <c r="HP109">
        <v>1.8583700000000001</v>
      </c>
      <c r="HQ109">
        <v>1.85684</v>
      </c>
      <c r="HR109">
        <v>1.8604700000000001</v>
      </c>
      <c r="HS109">
        <v>1.86432</v>
      </c>
      <c r="HT109">
        <v>1.86646</v>
      </c>
      <c r="HU109">
        <v>5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2.1150000000000002</v>
      </c>
      <c r="II109">
        <v>0.82579999999999998</v>
      </c>
      <c r="IJ109">
        <v>1.906946627990366</v>
      </c>
      <c r="IK109">
        <v>1.118558698776514E-3</v>
      </c>
      <c r="IL109">
        <v>-1.6939696309573479E-6</v>
      </c>
      <c r="IM109">
        <v>5.4698917449866148E-10</v>
      </c>
      <c r="IN109">
        <v>-5.8420472810282398E-2</v>
      </c>
      <c r="IO109">
        <v>-7.6058941998734366E-3</v>
      </c>
      <c r="IP109">
        <v>1.6984902717538061E-3</v>
      </c>
      <c r="IQ109">
        <v>-9.6352527008986976E-6</v>
      </c>
      <c r="IR109">
        <v>2</v>
      </c>
      <c r="IS109">
        <v>2021</v>
      </c>
      <c r="IT109">
        <v>2</v>
      </c>
      <c r="IU109">
        <v>40</v>
      </c>
      <c r="IV109">
        <v>1.6</v>
      </c>
      <c r="IW109">
        <v>1.6</v>
      </c>
      <c r="IX109">
        <v>1.02661</v>
      </c>
      <c r="IY109">
        <v>2.5268600000000001</v>
      </c>
      <c r="IZ109">
        <v>1.34399</v>
      </c>
      <c r="JA109">
        <v>2.2399900000000001</v>
      </c>
      <c r="JB109">
        <v>1.5918000000000001</v>
      </c>
      <c r="JC109">
        <v>2.2875999999999999</v>
      </c>
      <c r="JD109">
        <v>38.722499999999997</v>
      </c>
      <c r="JE109">
        <v>15.8569</v>
      </c>
      <c r="JF109">
        <v>18</v>
      </c>
      <c r="JG109">
        <v>516.52300000000002</v>
      </c>
      <c r="JH109">
        <v>421.08699999999999</v>
      </c>
      <c r="JI109">
        <v>26.309799999999999</v>
      </c>
      <c r="JJ109">
        <v>32.6417</v>
      </c>
      <c r="JK109">
        <v>29.9998</v>
      </c>
      <c r="JL109">
        <v>32.566699999999997</v>
      </c>
      <c r="JM109">
        <v>32.523899999999998</v>
      </c>
      <c r="JN109">
        <v>20.630600000000001</v>
      </c>
      <c r="JO109">
        <v>28.111799999999999</v>
      </c>
      <c r="JP109">
        <v>35.1999</v>
      </c>
      <c r="JQ109">
        <v>26.314499999999999</v>
      </c>
      <c r="JR109">
        <v>400</v>
      </c>
      <c r="JS109">
        <v>22.841799999999999</v>
      </c>
      <c r="JT109">
        <v>99.113100000000003</v>
      </c>
      <c r="JU109">
        <v>97.820099999999996</v>
      </c>
    </row>
    <row r="110" spans="1:281" x14ac:dyDescent="0.25">
      <c r="A110">
        <v>94</v>
      </c>
      <c r="B110">
        <v>1693346004.5999999</v>
      </c>
      <c r="C110">
        <v>24243.099999904629</v>
      </c>
      <c r="D110" t="s">
        <v>893</v>
      </c>
      <c r="E110" t="s">
        <v>894</v>
      </c>
      <c r="F110" t="s">
        <v>413</v>
      </c>
      <c r="G110" t="s">
        <v>636</v>
      </c>
      <c r="H110" t="s">
        <v>779</v>
      </c>
      <c r="I110" t="s">
        <v>493</v>
      </c>
      <c r="J110">
        <v>1693346004.5999999</v>
      </c>
      <c r="K110">
        <f t="shared" si="92"/>
        <v>4.8861643132438824E-3</v>
      </c>
      <c r="L110">
        <f t="shared" si="93"/>
        <v>4.8861643132438823</v>
      </c>
      <c r="M110">
        <f t="shared" si="94"/>
        <v>41.832684345558931</v>
      </c>
      <c r="N110">
        <f t="shared" si="95"/>
        <v>447.24599999999998</v>
      </c>
      <c r="O110">
        <f t="shared" si="96"/>
        <v>234.72835137081654</v>
      </c>
      <c r="P110">
        <f t="shared" si="97"/>
        <v>23.21445673066847</v>
      </c>
      <c r="Q110">
        <f t="shared" si="98"/>
        <v>44.232291729269996</v>
      </c>
      <c r="R110">
        <f t="shared" si="99"/>
        <v>0.34600183706645438</v>
      </c>
      <c r="S110">
        <f t="shared" si="100"/>
        <v>2.8996386749738541</v>
      </c>
      <c r="T110">
        <f t="shared" si="101"/>
        <v>0.324592290836271</v>
      </c>
      <c r="U110">
        <f t="shared" si="102"/>
        <v>0.20468325334507509</v>
      </c>
      <c r="V110">
        <f t="shared" si="103"/>
        <v>344.33139964455057</v>
      </c>
      <c r="W110">
        <f t="shared" si="104"/>
        <v>31.028606394195069</v>
      </c>
      <c r="X110">
        <f t="shared" si="105"/>
        <v>30.005299999999998</v>
      </c>
      <c r="Y110">
        <f t="shared" si="106"/>
        <v>4.261746943226159</v>
      </c>
      <c r="Z110">
        <f t="shared" si="107"/>
        <v>65.34465494608672</v>
      </c>
      <c r="AA110">
        <f t="shared" si="108"/>
        <v>2.82634262361</v>
      </c>
      <c r="AB110">
        <f t="shared" si="109"/>
        <v>4.3252850993580161</v>
      </c>
      <c r="AC110">
        <f t="shared" si="110"/>
        <v>1.435404319616159</v>
      </c>
      <c r="AD110">
        <f t="shared" si="111"/>
        <v>-215.47984621405521</v>
      </c>
      <c r="AE110">
        <f t="shared" si="112"/>
        <v>40.316300091235071</v>
      </c>
      <c r="AF110">
        <f t="shared" si="113"/>
        <v>3.0956588714320126</v>
      </c>
      <c r="AG110">
        <f t="shared" si="114"/>
        <v>172.26351239316244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51431.80070287238</v>
      </c>
      <c r="AM110" t="s">
        <v>415</v>
      </c>
      <c r="AN110">
        <v>10366.9</v>
      </c>
      <c r="AO110">
        <v>993.59653846153856</v>
      </c>
      <c r="AP110">
        <v>3431.87</v>
      </c>
      <c r="AQ110">
        <f t="shared" si="118"/>
        <v>0.71047955241266758</v>
      </c>
      <c r="AR110">
        <v>-3.9894345373445681</v>
      </c>
      <c r="AS110" t="s">
        <v>895</v>
      </c>
      <c r="AT110">
        <v>10399.799999999999</v>
      </c>
      <c r="AU110">
        <v>780.81927999999982</v>
      </c>
      <c r="AV110">
        <v>1081.6363445067061</v>
      </c>
      <c r="AW110">
        <f t="shared" si="119"/>
        <v>0.27811294067036707</v>
      </c>
      <c r="AX110">
        <v>0.5</v>
      </c>
      <c r="AY110">
        <f t="shared" si="120"/>
        <v>1513.0166998222753</v>
      </c>
      <c r="AZ110">
        <f t="shared" si="121"/>
        <v>41.832684345558931</v>
      </c>
      <c r="BA110">
        <f t="shared" si="122"/>
        <v>210.39476183547353</v>
      </c>
      <c r="BB110">
        <f t="shared" si="123"/>
        <v>3.0285269745063577E-2</v>
      </c>
      <c r="BC110">
        <f t="shared" si="124"/>
        <v>2.1728501149479653</v>
      </c>
      <c r="BD110">
        <f t="shared" si="125"/>
        <v>609.91097478046913</v>
      </c>
      <c r="BE110" t="s">
        <v>896</v>
      </c>
      <c r="BF110">
        <v>600.85</v>
      </c>
      <c r="BG110">
        <f t="shared" si="126"/>
        <v>600.85</v>
      </c>
      <c r="BH110">
        <f t="shared" si="127"/>
        <v>0.44449906565036401</v>
      </c>
      <c r="BI110">
        <f t="shared" si="128"/>
        <v>0.6256772222084408</v>
      </c>
      <c r="BJ110">
        <f t="shared" si="129"/>
        <v>0.83017204240637421</v>
      </c>
      <c r="BK110">
        <f t="shared" si="130"/>
        <v>3.4168301592165755</v>
      </c>
      <c r="BL110">
        <f t="shared" si="131"/>
        <v>0.96389256273592128</v>
      </c>
      <c r="BM110">
        <f t="shared" si="132"/>
        <v>0.48146628623711973</v>
      </c>
      <c r="BN110">
        <f t="shared" si="133"/>
        <v>0.51853371376288027</v>
      </c>
      <c r="BO110">
        <v>2139</v>
      </c>
      <c r="BP110">
        <v>290.00000000000011</v>
      </c>
      <c r="BQ110">
        <v>1001.31</v>
      </c>
      <c r="BR110">
        <v>145</v>
      </c>
      <c r="BS110">
        <v>10399.799999999999</v>
      </c>
      <c r="BT110">
        <v>999.88</v>
      </c>
      <c r="BU110">
        <v>1.43</v>
      </c>
      <c r="BV110">
        <v>300.00000000000011</v>
      </c>
      <c r="BW110">
        <v>38.4</v>
      </c>
      <c r="BX110">
        <v>1081.6363445067061</v>
      </c>
      <c r="BY110">
        <v>1.1367805415442169</v>
      </c>
      <c r="BZ110">
        <v>-85.020822277419882</v>
      </c>
      <c r="CA110">
        <v>0.96666826142764761</v>
      </c>
      <c r="CB110">
        <v>0.99639343961326032</v>
      </c>
      <c r="CC110">
        <v>-1.130516729699666E-2</v>
      </c>
      <c r="CD110">
        <v>289.99999999999989</v>
      </c>
      <c r="CE110">
        <v>989.31</v>
      </c>
      <c r="CF110">
        <v>625</v>
      </c>
      <c r="CG110">
        <v>10373.1</v>
      </c>
      <c r="CH110">
        <v>999.67</v>
      </c>
      <c r="CI110">
        <v>-10.36</v>
      </c>
      <c r="CW110">
        <f t="shared" si="134"/>
        <v>1799.8</v>
      </c>
      <c r="CX110">
        <f t="shared" si="135"/>
        <v>1513.0166998222753</v>
      </c>
      <c r="CY110">
        <f t="shared" si="136"/>
        <v>0.84065823970567577</v>
      </c>
      <c r="CZ110">
        <f t="shared" si="137"/>
        <v>0.19131647941135158</v>
      </c>
      <c r="DA110">
        <v>6</v>
      </c>
      <c r="DB110">
        <v>0.5</v>
      </c>
      <c r="DC110" t="s">
        <v>418</v>
      </c>
      <c r="DD110">
        <v>2</v>
      </c>
      <c r="DE110">
        <v>1693346004.5999999</v>
      </c>
      <c r="DF110">
        <v>447.24599999999998</v>
      </c>
      <c r="DG110">
        <v>500.02</v>
      </c>
      <c r="DH110">
        <v>28.577999999999999</v>
      </c>
      <c r="DI110">
        <v>22.8873</v>
      </c>
      <c r="DJ110">
        <v>444.86500000000001</v>
      </c>
      <c r="DK110">
        <v>27.745000000000001</v>
      </c>
      <c r="DL110">
        <v>500.45100000000002</v>
      </c>
      <c r="DM110">
        <v>98.798699999999997</v>
      </c>
      <c r="DN110">
        <v>0.100545</v>
      </c>
      <c r="DO110">
        <v>30.263200000000001</v>
      </c>
      <c r="DP110">
        <v>30.005299999999998</v>
      </c>
      <c r="DQ110">
        <v>999.9</v>
      </c>
      <c r="DR110">
        <v>0</v>
      </c>
      <c r="DS110">
        <v>0</v>
      </c>
      <c r="DT110">
        <v>9950</v>
      </c>
      <c r="DU110">
        <v>0</v>
      </c>
      <c r="DV110">
        <v>406.55</v>
      </c>
      <c r="DW110">
        <v>-52.773000000000003</v>
      </c>
      <c r="DX110">
        <v>460.404</v>
      </c>
      <c r="DY110">
        <v>511.73200000000003</v>
      </c>
      <c r="DZ110">
        <v>5.6906699999999999</v>
      </c>
      <c r="EA110">
        <v>500.02</v>
      </c>
      <c r="EB110">
        <v>22.8873</v>
      </c>
      <c r="EC110">
        <v>2.8234699999999999</v>
      </c>
      <c r="ED110">
        <v>2.2612299999999999</v>
      </c>
      <c r="EE110">
        <v>23.021899999999999</v>
      </c>
      <c r="EF110">
        <v>19.402899999999999</v>
      </c>
      <c r="EG110">
        <v>1799.8</v>
      </c>
      <c r="EH110">
        <v>0.97799899999999995</v>
      </c>
      <c r="EI110">
        <v>2.2001199999999999E-2</v>
      </c>
      <c r="EJ110">
        <v>0</v>
      </c>
      <c r="EK110">
        <v>781.34799999999996</v>
      </c>
      <c r="EL110">
        <v>5.0002700000000004</v>
      </c>
      <c r="EM110">
        <v>14663.3</v>
      </c>
      <c r="EN110">
        <v>16246.8</v>
      </c>
      <c r="EO110">
        <v>46.375</v>
      </c>
      <c r="EP110">
        <v>47.375</v>
      </c>
      <c r="EQ110">
        <v>47.311999999999998</v>
      </c>
      <c r="ER110">
        <v>46.75</v>
      </c>
      <c r="ES110">
        <v>48.125</v>
      </c>
      <c r="ET110">
        <v>1755.31</v>
      </c>
      <c r="EU110">
        <v>39.49</v>
      </c>
      <c r="EV110">
        <v>0</v>
      </c>
      <c r="EW110">
        <v>98</v>
      </c>
      <c r="EX110">
        <v>0</v>
      </c>
      <c r="EY110">
        <v>780.81927999999982</v>
      </c>
      <c r="EZ110">
        <v>2.9598461480471121</v>
      </c>
      <c r="FA110">
        <v>36.023077128369017</v>
      </c>
      <c r="FB110">
        <v>14660.691999999999</v>
      </c>
      <c r="FC110">
        <v>15</v>
      </c>
      <c r="FD110">
        <v>1693345975.5999999</v>
      </c>
      <c r="FE110" t="s">
        <v>897</v>
      </c>
      <c r="FF110">
        <v>1693345970.0999999</v>
      </c>
      <c r="FG110">
        <v>1693345975.5999999</v>
      </c>
      <c r="FH110">
        <v>106</v>
      </c>
      <c r="FI110">
        <v>0.26400000000000001</v>
      </c>
      <c r="FJ110">
        <v>1E-3</v>
      </c>
      <c r="FK110">
        <v>2.375</v>
      </c>
      <c r="FL110">
        <v>0.50600000000000001</v>
      </c>
      <c r="FM110">
        <v>500</v>
      </c>
      <c r="FN110">
        <v>23</v>
      </c>
      <c r="FO110">
        <v>0.16</v>
      </c>
      <c r="FP110">
        <v>0.04</v>
      </c>
      <c r="FQ110">
        <v>41.820818868659117</v>
      </c>
      <c r="FR110">
        <v>-0.25067920599293192</v>
      </c>
      <c r="FS110">
        <v>0.1000536384770115</v>
      </c>
      <c r="FT110">
        <v>1</v>
      </c>
      <c r="FU110">
        <v>0.34289565698397367</v>
      </c>
      <c r="FV110">
        <v>3.5745180359240743E-2</v>
      </c>
      <c r="FW110">
        <v>3.2705238968558739E-3</v>
      </c>
      <c r="FX110">
        <v>1</v>
      </c>
      <c r="FY110">
        <v>2</v>
      </c>
      <c r="FZ110">
        <v>2</v>
      </c>
      <c r="GA110" t="s">
        <v>429</v>
      </c>
      <c r="GB110">
        <v>3.13456</v>
      </c>
      <c r="GC110">
        <v>2.8652700000000002</v>
      </c>
      <c r="GD110">
        <v>9.9577399999999996E-2</v>
      </c>
      <c r="GE110">
        <v>0.11139</v>
      </c>
      <c r="GF110">
        <v>0.12776100000000001</v>
      </c>
      <c r="GG110">
        <v>0.114356</v>
      </c>
      <c r="GH110">
        <v>27137.7</v>
      </c>
      <c r="GI110">
        <v>20760.400000000001</v>
      </c>
      <c r="GJ110">
        <v>29066.2</v>
      </c>
      <c r="GK110">
        <v>21780.5</v>
      </c>
      <c r="GL110">
        <v>33982.1</v>
      </c>
      <c r="GM110">
        <v>26560.7</v>
      </c>
      <c r="GN110">
        <v>40340.800000000003</v>
      </c>
      <c r="GO110">
        <v>30965.599999999999</v>
      </c>
      <c r="GP110">
        <v>2.0249999999999999</v>
      </c>
      <c r="GQ110">
        <v>1.8069</v>
      </c>
      <c r="GR110">
        <v>1.8328400000000002E-2</v>
      </c>
      <c r="GS110">
        <v>0</v>
      </c>
      <c r="GT110">
        <v>29.707000000000001</v>
      </c>
      <c r="GU110">
        <v>999.9</v>
      </c>
      <c r="GV110">
        <v>48.7</v>
      </c>
      <c r="GW110">
        <v>35.6</v>
      </c>
      <c r="GX110">
        <v>28.7789</v>
      </c>
      <c r="GY110">
        <v>61.909599999999998</v>
      </c>
      <c r="GZ110">
        <v>12.1114</v>
      </c>
      <c r="HA110">
        <v>1</v>
      </c>
      <c r="HB110">
        <v>0.41317100000000001</v>
      </c>
      <c r="HC110">
        <v>2.6406499999999999</v>
      </c>
      <c r="HD110">
        <v>20.317299999999999</v>
      </c>
      <c r="HE110">
        <v>5.2352600000000002</v>
      </c>
      <c r="HF110">
        <v>11.98</v>
      </c>
      <c r="HG110">
        <v>4.9756</v>
      </c>
      <c r="HH110">
        <v>3.2839999999999998</v>
      </c>
      <c r="HI110">
        <v>9999</v>
      </c>
      <c r="HJ110">
        <v>9999</v>
      </c>
      <c r="HK110">
        <v>9999</v>
      </c>
      <c r="HL110">
        <v>999.9</v>
      </c>
      <c r="HM110">
        <v>1.86066</v>
      </c>
      <c r="HN110">
        <v>1.8623400000000001</v>
      </c>
      <c r="HO110">
        <v>1.8677900000000001</v>
      </c>
      <c r="HP110">
        <v>1.8583700000000001</v>
      </c>
      <c r="HQ110">
        <v>1.85684</v>
      </c>
      <c r="HR110">
        <v>1.8604700000000001</v>
      </c>
      <c r="HS110">
        <v>1.86432</v>
      </c>
      <c r="HT110">
        <v>1.86646</v>
      </c>
      <c r="HU110">
        <v>5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2.3809999999999998</v>
      </c>
      <c r="II110">
        <v>0.83299999999999996</v>
      </c>
      <c r="IJ110">
        <v>2.1709192672697348</v>
      </c>
      <c r="IK110">
        <v>1.118558698776514E-3</v>
      </c>
      <c r="IL110">
        <v>-1.6939696309573479E-6</v>
      </c>
      <c r="IM110">
        <v>5.4698917449866148E-10</v>
      </c>
      <c r="IN110">
        <v>-5.7758562642793547E-2</v>
      </c>
      <c r="IO110">
        <v>-7.6058941998734366E-3</v>
      </c>
      <c r="IP110">
        <v>1.6984902717538061E-3</v>
      </c>
      <c r="IQ110">
        <v>-9.6352527008986976E-6</v>
      </c>
      <c r="IR110">
        <v>2</v>
      </c>
      <c r="IS110">
        <v>2021</v>
      </c>
      <c r="IT110">
        <v>2</v>
      </c>
      <c r="IU110">
        <v>40</v>
      </c>
      <c r="IV110">
        <v>0.6</v>
      </c>
      <c r="IW110">
        <v>0.5</v>
      </c>
      <c r="IX110">
        <v>1.22925</v>
      </c>
      <c r="IY110">
        <v>2.5134300000000001</v>
      </c>
      <c r="IZ110">
        <v>1.34399</v>
      </c>
      <c r="JA110">
        <v>2.2399900000000001</v>
      </c>
      <c r="JB110">
        <v>1.5918000000000001</v>
      </c>
      <c r="JC110">
        <v>2.4719199999999999</v>
      </c>
      <c r="JD110">
        <v>38.697899999999997</v>
      </c>
      <c r="JE110">
        <v>15.8569</v>
      </c>
      <c r="JF110">
        <v>18</v>
      </c>
      <c r="JG110">
        <v>516</v>
      </c>
      <c r="JH110">
        <v>421.15</v>
      </c>
      <c r="JI110">
        <v>26.258800000000001</v>
      </c>
      <c r="JJ110">
        <v>32.658999999999999</v>
      </c>
      <c r="JK110">
        <v>30.0002</v>
      </c>
      <c r="JL110">
        <v>32.575299999999999</v>
      </c>
      <c r="JM110">
        <v>32.523899999999998</v>
      </c>
      <c r="JN110">
        <v>24.674600000000002</v>
      </c>
      <c r="JO110">
        <v>27.738</v>
      </c>
      <c r="JP110">
        <v>34.561700000000002</v>
      </c>
      <c r="JQ110">
        <v>26.256699999999999</v>
      </c>
      <c r="JR110">
        <v>500</v>
      </c>
      <c r="JS110">
        <v>22.905899999999999</v>
      </c>
      <c r="JT110">
        <v>99.106800000000007</v>
      </c>
      <c r="JU110">
        <v>97.808700000000002</v>
      </c>
    </row>
    <row r="111" spans="1:281" x14ac:dyDescent="0.25">
      <c r="A111">
        <v>95</v>
      </c>
      <c r="B111">
        <v>1693346104.5999999</v>
      </c>
      <c r="C111">
        <v>24343.099999904629</v>
      </c>
      <c r="D111" t="s">
        <v>898</v>
      </c>
      <c r="E111" t="s">
        <v>899</v>
      </c>
      <c r="F111" t="s">
        <v>413</v>
      </c>
      <c r="G111" t="s">
        <v>636</v>
      </c>
      <c r="H111" t="s">
        <v>779</v>
      </c>
      <c r="I111" t="s">
        <v>493</v>
      </c>
      <c r="J111">
        <v>1693346104.5999999</v>
      </c>
      <c r="K111">
        <f t="shared" si="92"/>
        <v>4.6275133448271224E-3</v>
      </c>
      <c r="L111">
        <f t="shared" si="93"/>
        <v>4.627513344827122</v>
      </c>
      <c r="M111">
        <f t="shared" si="94"/>
        <v>43.746151559378902</v>
      </c>
      <c r="N111">
        <f t="shared" si="95"/>
        <v>643.92899999999997</v>
      </c>
      <c r="O111">
        <f t="shared" si="96"/>
        <v>403.84128112895758</v>
      </c>
      <c r="P111">
        <f t="shared" si="97"/>
        <v>39.937146042684795</v>
      </c>
      <c r="Q111">
        <f t="shared" si="98"/>
        <v>63.680182576253102</v>
      </c>
      <c r="R111">
        <f t="shared" si="99"/>
        <v>0.32391885011115384</v>
      </c>
      <c r="S111">
        <f t="shared" si="100"/>
        <v>2.9096045797461283</v>
      </c>
      <c r="T111">
        <f t="shared" si="101"/>
        <v>0.30513561991767651</v>
      </c>
      <c r="U111">
        <f t="shared" si="102"/>
        <v>0.19230653386022237</v>
      </c>
      <c r="V111">
        <f t="shared" si="103"/>
        <v>344.36749964458807</v>
      </c>
      <c r="W111">
        <f t="shared" si="104"/>
        <v>31.065643211267609</v>
      </c>
      <c r="X111">
        <f t="shared" si="105"/>
        <v>30.024000000000001</v>
      </c>
      <c r="Y111">
        <f t="shared" si="106"/>
        <v>4.2663265034763915</v>
      </c>
      <c r="Z111">
        <f t="shared" si="107"/>
        <v>65.310944343529954</v>
      </c>
      <c r="AA111">
        <f t="shared" si="108"/>
        <v>2.8203047585019303</v>
      </c>
      <c r="AB111">
        <f t="shared" si="109"/>
        <v>4.3182728206583105</v>
      </c>
      <c r="AC111">
        <f t="shared" si="110"/>
        <v>1.4460217449744612</v>
      </c>
      <c r="AD111">
        <f t="shared" si="111"/>
        <v>-204.0733385068761</v>
      </c>
      <c r="AE111">
        <f t="shared" si="112"/>
        <v>33.082322783580139</v>
      </c>
      <c r="AF111">
        <f t="shared" si="113"/>
        <v>2.5313819441179648</v>
      </c>
      <c r="AG111">
        <f t="shared" si="114"/>
        <v>175.90786586541009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51718.990552351926</v>
      </c>
      <c r="AM111" t="s">
        <v>415</v>
      </c>
      <c r="AN111">
        <v>10366.9</v>
      </c>
      <c r="AO111">
        <v>993.59653846153856</v>
      </c>
      <c r="AP111">
        <v>3431.87</v>
      </c>
      <c r="AQ111">
        <f t="shared" si="118"/>
        <v>0.71047955241266758</v>
      </c>
      <c r="AR111">
        <v>-3.9894345373445681</v>
      </c>
      <c r="AS111" t="s">
        <v>900</v>
      </c>
      <c r="AT111">
        <v>10397.5</v>
      </c>
      <c r="AU111">
        <v>790.92969230769222</v>
      </c>
      <c r="AV111">
        <v>1114.0349556362501</v>
      </c>
      <c r="AW111">
        <f t="shared" si="119"/>
        <v>0.29003153060311759</v>
      </c>
      <c r="AX111">
        <v>0.5</v>
      </c>
      <c r="AY111">
        <f t="shared" si="120"/>
        <v>1513.1762998222939</v>
      </c>
      <c r="AZ111">
        <f t="shared" si="121"/>
        <v>43.746151559378902</v>
      </c>
      <c r="BA111">
        <f t="shared" si="122"/>
        <v>219.43441915491093</v>
      </c>
      <c r="BB111">
        <f t="shared" si="123"/>
        <v>3.1546612316310722E-2</v>
      </c>
      <c r="BC111">
        <f t="shared" si="124"/>
        <v>2.0805765857140299</v>
      </c>
      <c r="BD111">
        <f t="shared" si="125"/>
        <v>620.07955129966763</v>
      </c>
      <c r="BE111" t="s">
        <v>901</v>
      </c>
      <c r="BF111">
        <v>604.15</v>
      </c>
      <c r="BG111">
        <f t="shared" si="126"/>
        <v>604.15</v>
      </c>
      <c r="BH111">
        <f t="shared" si="127"/>
        <v>0.45769206168673893</v>
      </c>
      <c r="BI111">
        <f t="shared" si="128"/>
        <v>0.63368267637035336</v>
      </c>
      <c r="BJ111">
        <f t="shared" si="129"/>
        <v>0.81968336481821047</v>
      </c>
      <c r="BK111">
        <f t="shared" si="130"/>
        <v>2.6827425244210232</v>
      </c>
      <c r="BL111">
        <f t="shared" si="131"/>
        <v>0.95060504120045697</v>
      </c>
      <c r="BM111">
        <f t="shared" si="132"/>
        <v>0.48403719401675277</v>
      </c>
      <c r="BN111">
        <f t="shared" si="133"/>
        <v>0.51596280598324729</v>
      </c>
      <c r="BO111">
        <v>2141</v>
      </c>
      <c r="BP111">
        <v>290.00000000000011</v>
      </c>
      <c r="BQ111">
        <v>1027.31</v>
      </c>
      <c r="BR111">
        <v>155</v>
      </c>
      <c r="BS111">
        <v>10397.5</v>
      </c>
      <c r="BT111">
        <v>1025.28</v>
      </c>
      <c r="BU111">
        <v>2.0299999999999998</v>
      </c>
      <c r="BV111">
        <v>300.00000000000011</v>
      </c>
      <c r="BW111">
        <v>38.4</v>
      </c>
      <c r="BX111">
        <v>1114.0349556362501</v>
      </c>
      <c r="BY111">
        <v>1.1391559663539701</v>
      </c>
      <c r="BZ111">
        <v>-92.280843015703354</v>
      </c>
      <c r="CA111">
        <v>0.96865685079332298</v>
      </c>
      <c r="CB111">
        <v>0.99692434911898975</v>
      </c>
      <c r="CC111">
        <v>-1.1305238042269201E-2</v>
      </c>
      <c r="CD111">
        <v>289.99999999999989</v>
      </c>
      <c r="CE111">
        <v>1014.63</v>
      </c>
      <c r="CF111">
        <v>655</v>
      </c>
      <c r="CG111">
        <v>10369.6</v>
      </c>
      <c r="CH111">
        <v>1025.04</v>
      </c>
      <c r="CI111">
        <v>-10.41</v>
      </c>
      <c r="CW111">
        <f t="shared" si="134"/>
        <v>1799.99</v>
      </c>
      <c r="CX111">
        <f t="shared" si="135"/>
        <v>1513.1762998222939</v>
      </c>
      <c r="CY111">
        <f t="shared" si="136"/>
        <v>0.84065817022444234</v>
      </c>
      <c r="CZ111">
        <f t="shared" si="137"/>
        <v>0.19131634044888476</v>
      </c>
      <c r="DA111">
        <v>6</v>
      </c>
      <c r="DB111">
        <v>0.5</v>
      </c>
      <c r="DC111" t="s">
        <v>418</v>
      </c>
      <c r="DD111">
        <v>2</v>
      </c>
      <c r="DE111">
        <v>1693346104.5999999</v>
      </c>
      <c r="DF111">
        <v>643.92899999999997</v>
      </c>
      <c r="DG111">
        <v>700.06299999999999</v>
      </c>
      <c r="DH111">
        <v>28.518699999999999</v>
      </c>
      <c r="DI111">
        <v>23.117999999999999</v>
      </c>
      <c r="DJ111">
        <v>641.39099999999996</v>
      </c>
      <c r="DK111">
        <v>27.686</v>
      </c>
      <c r="DL111">
        <v>499.44</v>
      </c>
      <c r="DM111">
        <v>98.793300000000002</v>
      </c>
      <c r="DN111">
        <v>9.9873900000000002E-2</v>
      </c>
      <c r="DO111">
        <v>30.2349</v>
      </c>
      <c r="DP111">
        <v>30.024000000000001</v>
      </c>
      <c r="DQ111">
        <v>999.9</v>
      </c>
      <c r="DR111">
        <v>0</v>
      </c>
      <c r="DS111">
        <v>0</v>
      </c>
      <c r="DT111">
        <v>10007.5</v>
      </c>
      <c r="DU111">
        <v>0</v>
      </c>
      <c r="DV111">
        <v>377.85199999999998</v>
      </c>
      <c r="DW111">
        <v>-56.133600000000001</v>
      </c>
      <c r="DX111">
        <v>662.83199999999999</v>
      </c>
      <c r="DY111">
        <v>716.63</v>
      </c>
      <c r="DZ111">
        <v>5.4006800000000004</v>
      </c>
      <c r="EA111">
        <v>700.06299999999999</v>
      </c>
      <c r="EB111">
        <v>23.117999999999999</v>
      </c>
      <c r="EC111">
        <v>2.8174600000000001</v>
      </c>
      <c r="ED111">
        <v>2.2839</v>
      </c>
      <c r="EE111">
        <v>22.986699999999999</v>
      </c>
      <c r="EF111">
        <v>19.563300000000002</v>
      </c>
      <c r="EG111">
        <v>1799.99</v>
      </c>
      <c r="EH111">
        <v>0.97800200000000004</v>
      </c>
      <c r="EI111">
        <v>2.19975E-2</v>
      </c>
      <c r="EJ111">
        <v>0</v>
      </c>
      <c r="EK111">
        <v>791.08199999999999</v>
      </c>
      <c r="EL111">
        <v>5.0002700000000004</v>
      </c>
      <c r="EM111">
        <v>14574.2</v>
      </c>
      <c r="EN111">
        <v>16248.5</v>
      </c>
      <c r="EO111">
        <v>46.375</v>
      </c>
      <c r="EP111">
        <v>47.375</v>
      </c>
      <c r="EQ111">
        <v>47.311999999999998</v>
      </c>
      <c r="ER111">
        <v>46.75</v>
      </c>
      <c r="ES111">
        <v>48.125</v>
      </c>
      <c r="ET111">
        <v>1755.5</v>
      </c>
      <c r="EU111">
        <v>39.49</v>
      </c>
      <c r="EV111">
        <v>0</v>
      </c>
      <c r="EW111">
        <v>98</v>
      </c>
      <c r="EX111">
        <v>0</v>
      </c>
      <c r="EY111">
        <v>790.92969230769222</v>
      </c>
      <c r="EZ111">
        <v>-0.37442734798366017</v>
      </c>
      <c r="FA111">
        <v>-1366.0478610990631</v>
      </c>
      <c r="FB111">
        <v>14766.00384615385</v>
      </c>
      <c r="FC111">
        <v>15</v>
      </c>
      <c r="FD111">
        <v>1693346077.0999999</v>
      </c>
      <c r="FE111" t="s">
        <v>902</v>
      </c>
      <c r="FF111">
        <v>1693346077.0999999</v>
      </c>
      <c r="FG111">
        <v>1693346077.0999999</v>
      </c>
      <c r="FH111">
        <v>107</v>
      </c>
      <c r="FI111">
        <v>0.20200000000000001</v>
      </c>
      <c r="FJ111">
        <v>4.0000000000000001E-3</v>
      </c>
      <c r="FK111">
        <v>2.5150000000000001</v>
      </c>
      <c r="FL111">
        <v>0.51300000000000001</v>
      </c>
      <c r="FM111">
        <v>700</v>
      </c>
      <c r="FN111">
        <v>23</v>
      </c>
      <c r="FO111">
        <v>0.21</v>
      </c>
      <c r="FP111">
        <v>0.05</v>
      </c>
      <c r="FQ111">
        <v>43.813672435072483</v>
      </c>
      <c r="FR111">
        <v>-0.57145400779601541</v>
      </c>
      <c r="FS111">
        <v>9.30074425975006E-2</v>
      </c>
      <c r="FT111">
        <v>1</v>
      </c>
      <c r="FU111">
        <v>0.32124736340560861</v>
      </c>
      <c r="FV111">
        <v>2.4615525682530701E-2</v>
      </c>
      <c r="FW111">
        <v>2.2585378846822482E-3</v>
      </c>
      <c r="FX111">
        <v>1</v>
      </c>
      <c r="FY111">
        <v>2</v>
      </c>
      <c r="FZ111">
        <v>2</v>
      </c>
      <c r="GA111" t="s">
        <v>429</v>
      </c>
      <c r="GB111">
        <v>3.1334599999999999</v>
      </c>
      <c r="GC111">
        <v>2.8650899999999999</v>
      </c>
      <c r="GD111">
        <v>0.129963</v>
      </c>
      <c r="GE111">
        <v>0.141428</v>
      </c>
      <c r="GF111">
        <v>0.12756400000000001</v>
      </c>
      <c r="GG111">
        <v>0.11515400000000001</v>
      </c>
      <c r="GH111">
        <v>26220.400000000001</v>
      </c>
      <c r="GI111">
        <v>20058.099999999999</v>
      </c>
      <c r="GJ111">
        <v>29065</v>
      </c>
      <c r="GK111">
        <v>21780.400000000001</v>
      </c>
      <c r="GL111">
        <v>33991.300000000003</v>
      </c>
      <c r="GM111">
        <v>26539.1</v>
      </c>
      <c r="GN111">
        <v>40338.800000000003</v>
      </c>
      <c r="GO111">
        <v>30965.5</v>
      </c>
      <c r="GP111">
        <v>2.0240999999999998</v>
      </c>
      <c r="GQ111">
        <v>1.8081</v>
      </c>
      <c r="GR111">
        <v>1.7583399999999999E-2</v>
      </c>
      <c r="GS111">
        <v>0</v>
      </c>
      <c r="GT111">
        <v>29.7378</v>
      </c>
      <c r="GU111">
        <v>999.9</v>
      </c>
      <c r="GV111">
        <v>48.7</v>
      </c>
      <c r="GW111">
        <v>35.6</v>
      </c>
      <c r="GX111">
        <v>28.7806</v>
      </c>
      <c r="GY111">
        <v>62.169600000000003</v>
      </c>
      <c r="GZ111">
        <v>12.151400000000001</v>
      </c>
      <c r="HA111">
        <v>1</v>
      </c>
      <c r="HB111">
        <v>0.414939</v>
      </c>
      <c r="HC111">
        <v>2.8686699999999998</v>
      </c>
      <c r="HD111">
        <v>20.313700000000001</v>
      </c>
      <c r="HE111">
        <v>5.2340600000000004</v>
      </c>
      <c r="HF111">
        <v>11.98</v>
      </c>
      <c r="HG111">
        <v>4.9752000000000001</v>
      </c>
      <c r="HH111">
        <v>3.2839999999999998</v>
      </c>
      <c r="HI111">
        <v>9999</v>
      </c>
      <c r="HJ111">
        <v>9999</v>
      </c>
      <c r="HK111">
        <v>9999</v>
      </c>
      <c r="HL111">
        <v>999.9</v>
      </c>
      <c r="HM111">
        <v>1.86069</v>
      </c>
      <c r="HN111">
        <v>1.8623400000000001</v>
      </c>
      <c r="HO111">
        <v>1.8677999999999999</v>
      </c>
      <c r="HP111">
        <v>1.8583700000000001</v>
      </c>
      <c r="HQ111">
        <v>1.8568100000000001</v>
      </c>
      <c r="HR111">
        <v>1.8605</v>
      </c>
      <c r="HS111">
        <v>1.86432</v>
      </c>
      <c r="HT111">
        <v>1.86646</v>
      </c>
      <c r="HU111">
        <v>5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2.5379999999999998</v>
      </c>
      <c r="II111">
        <v>0.8327</v>
      </c>
      <c r="IJ111">
        <v>2.373378467636337</v>
      </c>
      <c r="IK111">
        <v>1.118558698776514E-3</v>
      </c>
      <c r="IL111">
        <v>-1.6939696309573479E-6</v>
      </c>
      <c r="IM111">
        <v>5.4698917449866148E-10</v>
      </c>
      <c r="IN111">
        <v>-5.4216958173899037E-2</v>
      </c>
      <c r="IO111">
        <v>-7.6058941998734366E-3</v>
      </c>
      <c r="IP111">
        <v>1.6984902717538061E-3</v>
      </c>
      <c r="IQ111">
        <v>-9.6352527008986976E-6</v>
      </c>
      <c r="IR111">
        <v>2</v>
      </c>
      <c r="IS111">
        <v>2021</v>
      </c>
      <c r="IT111">
        <v>2</v>
      </c>
      <c r="IU111">
        <v>40</v>
      </c>
      <c r="IV111">
        <v>0.5</v>
      </c>
      <c r="IW111">
        <v>0.5</v>
      </c>
      <c r="IX111">
        <v>1.6162099999999999</v>
      </c>
      <c r="IY111">
        <v>2.5146500000000001</v>
      </c>
      <c r="IZ111">
        <v>1.34399</v>
      </c>
      <c r="JA111">
        <v>2.2399900000000001</v>
      </c>
      <c r="JB111">
        <v>1.5918000000000001</v>
      </c>
      <c r="JC111">
        <v>2.2619600000000002</v>
      </c>
      <c r="JD111">
        <v>38.673299999999998</v>
      </c>
      <c r="JE111">
        <v>15.821899999999999</v>
      </c>
      <c r="JF111">
        <v>18</v>
      </c>
      <c r="JG111">
        <v>515.42600000000004</v>
      </c>
      <c r="JH111">
        <v>421.93400000000003</v>
      </c>
      <c r="JI111">
        <v>26.047899999999998</v>
      </c>
      <c r="JJ111">
        <v>32.6678</v>
      </c>
      <c r="JK111">
        <v>30.000499999999999</v>
      </c>
      <c r="JL111">
        <v>32.578200000000002</v>
      </c>
      <c r="JM111">
        <v>32.526699999999998</v>
      </c>
      <c r="JN111">
        <v>32.4392</v>
      </c>
      <c r="JO111">
        <v>26.8247</v>
      </c>
      <c r="JP111">
        <v>34.332700000000003</v>
      </c>
      <c r="JQ111">
        <v>26.0367</v>
      </c>
      <c r="JR111">
        <v>700</v>
      </c>
      <c r="JS111">
        <v>23.06</v>
      </c>
      <c r="JT111">
        <v>99.102099999999993</v>
      </c>
      <c r="JU111">
        <v>97.808300000000003</v>
      </c>
    </row>
    <row r="112" spans="1:281" x14ac:dyDescent="0.25">
      <c r="A112">
        <v>96</v>
      </c>
      <c r="B112">
        <v>1693346204.5999999</v>
      </c>
      <c r="C112">
        <v>24443.099999904629</v>
      </c>
      <c r="D112" t="s">
        <v>903</v>
      </c>
      <c r="E112" t="s">
        <v>904</v>
      </c>
      <c r="F112" t="s">
        <v>413</v>
      </c>
      <c r="G112" t="s">
        <v>636</v>
      </c>
      <c r="H112" t="s">
        <v>779</v>
      </c>
      <c r="I112" t="s">
        <v>493</v>
      </c>
      <c r="J112">
        <v>1693346204.5999999</v>
      </c>
      <c r="K112">
        <f t="shared" si="92"/>
        <v>4.3492170061509546E-3</v>
      </c>
      <c r="L112">
        <f t="shared" si="93"/>
        <v>4.3492170061509547</v>
      </c>
      <c r="M112">
        <f t="shared" si="94"/>
        <v>43.544282466318549</v>
      </c>
      <c r="N112">
        <f t="shared" si="95"/>
        <v>843.48</v>
      </c>
      <c r="O112">
        <f t="shared" si="96"/>
        <v>584.52149255913923</v>
      </c>
      <c r="P112">
        <f t="shared" si="97"/>
        <v>57.803451804287285</v>
      </c>
      <c r="Q112">
        <f t="shared" si="98"/>
        <v>83.411912390796005</v>
      </c>
      <c r="R112">
        <f t="shared" si="99"/>
        <v>0.30238870574986365</v>
      </c>
      <c r="S112">
        <f t="shared" si="100"/>
        <v>2.9169703174611472</v>
      </c>
      <c r="T112">
        <f t="shared" si="101"/>
        <v>0.28599052548465737</v>
      </c>
      <c r="U112">
        <f t="shared" si="102"/>
        <v>0.18014324810354279</v>
      </c>
      <c r="V112">
        <f t="shared" si="103"/>
        <v>344.37889964459993</v>
      </c>
      <c r="W112">
        <f t="shared" si="104"/>
        <v>31.077201672053071</v>
      </c>
      <c r="X112">
        <f t="shared" si="105"/>
        <v>29.9451</v>
      </c>
      <c r="Y112">
        <f t="shared" si="106"/>
        <v>4.2470332699593403</v>
      </c>
      <c r="Z112">
        <f t="shared" si="107"/>
        <v>64.984535986145289</v>
      </c>
      <c r="AA112">
        <f t="shared" si="108"/>
        <v>2.7967139639637</v>
      </c>
      <c r="AB112">
        <f t="shared" si="109"/>
        <v>4.3036607425495195</v>
      </c>
      <c r="AC112">
        <f t="shared" si="110"/>
        <v>1.4503193059956403</v>
      </c>
      <c r="AD112">
        <f t="shared" si="111"/>
        <v>-191.80046997125709</v>
      </c>
      <c r="AE112">
        <f t="shared" si="112"/>
        <v>36.279813656270328</v>
      </c>
      <c r="AF112">
        <f t="shared" si="113"/>
        <v>2.7671461651728704</v>
      </c>
      <c r="AG112">
        <f t="shared" si="114"/>
        <v>191.62538949478602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51938.240026706</v>
      </c>
      <c r="AM112" t="s">
        <v>415</v>
      </c>
      <c r="AN112">
        <v>10366.9</v>
      </c>
      <c r="AO112">
        <v>993.59653846153856</v>
      </c>
      <c r="AP112">
        <v>3431.87</v>
      </c>
      <c r="AQ112">
        <f t="shared" si="118"/>
        <v>0.71047955241266758</v>
      </c>
      <c r="AR112">
        <v>-3.9894345373445681</v>
      </c>
      <c r="AS112" t="s">
        <v>905</v>
      </c>
      <c r="AT112">
        <v>10392.4</v>
      </c>
      <c r="AU112">
        <v>789.58246153846142</v>
      </c>
      <c r="AV112">
        <v>1111.6096756017041</v>
      </c>
      <c r="AW112">
        <f t="shared" si="119"/>
        <v>0.28969450440320454</v>
      </c>
      <c r="AX112">
        <v>0.5</v>
      </c>
      <c r="AY112">
        <f t="shared" si="120"/>
        <v>1513.2266998222999</v>
      </c>
      <c r="AZ112">
        <f t="shared" si="121"/>
        <v>43.544282466318549</v>
      </c>
      <c r="BA112">
        <f t="shared" si="122"/>
        <v>219.18672942735898</v>
      </c>
      <c r="BB112">
        <f t="shared" si="123"/>
        <v>3.1412158541245044E-2</v>
      </c>
      <c r="BC112">
        <f t="shared" si="124"/>
        <v>2.0872977046932957</v>
      </c>
      <c r="BD112">
        <f t="shared" si="125"/>
        <v>619.32744627257966</v>
      </c>
      <c r="BE112" t="s">
        <v>906</v>
      </c>
      <c r="BF112">
        <v>607.28</v>
      </c>
      <c r="BG112">
        <f t="shared" si="126"/>
        <v>607.28</v>
      </c>
      <c r="BH112">
        <f t="shared" si="127"/>
        <v>0.45369313228468899</v>
      </c>
      <c r="BI112">
        <f t="shared" si="128"/>
        <v>0.63852521404583107</v>
      </c>
      <c r="BJ112">
        <f t="shared" si="129"/>
        <v>0.82145030761926352</v>
      </c>
      <c r="BK112">
        <f t="shared" si="130"/>
        <v>2.7287403916800153</v>
      </c>
      <c r="BL112">
        <f t="shared" si="131"/>
        <v>0.95159971225471007</v>
      </c>
      <c r="BM112">
        <f t="shared" si="132"/>
        <v>0.49109955055259785</v>
      </c>
      <c r="BN112">
        <f t="shared" si="133"/>
        <v>0.50890044944740209</v>
      </c>
      <c r="BO112">
        <v>2143</v>
      </c>
      <c r="BP112">
        <v>290.00000000000011</v>
      </c>
      <c r="BQ112">
        <v>1028.8</v>
      </c>
      <c r="BR112">
        <v>185</v>
      </c>
      <c r="BS112">
        <v>10392.4</v>
      </c>
      <c r="BT112">
        <v>1025.56</v>
      </c>
      <c r="BU112">
        <v>3.24</v>
      </c>
      <c r="BV112">
        <v>300.00000000000011</v>
      </c>
      <c r="BW112">
        <v>38.4</v>
      </c>
      <c r="BX112">
        <v>1111.6096756017041</v>
      </c>
      <c r="BY112">
        <v>1.220521996297784</v>
      </c>
      <c r="BZ112">
        <v>-89.427788558018307</v>
      </c>
      <c r="CA112">
        <v>1.037849148147447</v>
      </c>
      <c r="CB112">
        <v>0.99624295171169253</v>
      </c>
      <c r="CC112">
        <v>-1.1304986651835391E-2</v>
      </c>
      <c r="CD112">
        <v>289.99999999999989</v>
      </c>
      <c r="CE112">
        <v>1016.11</v>
      </c>
      <c r="CF112">
        <v>685</v>
      </c>
      <c r="CG112">
        <v>10367</v>
      </c>
      <c r="CH112">
        <v>1025.3499999999999</v>
      </c>
      <c r="CI112">
        <v>-9.24</v>
      </c>
      <c r="CW112">
        <f t="shared" si="134"/>
        <v>1800.05</v>
      </c>
      <c r="CX112">
        <f t="shared" si="135"/>
        <v>1513.2266998222999</v>
      </c>
      <c r="CY112">
        <f t="shared" si="136"/>
        <v>0.84065814828604757</v>
      </c>
      <c r="CZ112">
        <f t="shared" si="137"/>
        <v>0.19131629657209517</v>
      </c>
      <c r="DA112">
        <v>6</v>
      </c>
      <c r="DB112">
        <v>0.5</v>
      </c>
      <c r="DC112" t="s">
        <v>418</v>
      </c>
      <c r="DD112">
        <v>2</v>
      </c>
      <c r="DE112">
        <v>1693346204.5999999</v>
      </c>
      <c r="DF112">
        <v>843.48</v>
      </c>
      <c r="DG112">
        <v>900.11900000000003</v>
      </c>
      <c r="DH112">
        <v>28.280999999999999</v>
      </c>
      <c r="DI112">
        <v>23.210999999999999</v>
      </c>
      <c r="DJ112">
        <v>840.71699999999998</v>
      </c>
      <c r="DK112">
        <v>27.459099999999999</v>
      </c>
      <c r="DL112">
        <v>500.14400000000001</v>
      </c>
      <c r="DM112">
        <v>98.790700000000001</v>
      </c>
      <c r="DN112">
        <v>9.9507700000000004E-2</v>
      </c>
      <c r="DO112">
        <v>30.175799999999999</v>
      </c>
      <c r="DP112">
        <v>29.9451</v>
      </c>
      <c r="DQ112">
        <v>999.9</v>
      </c>
      <c r="DR112">
        <v>0</v>
      </c>
      <c r="DS112">
        <v>0</v>
      </c>
      <c r="DT112">
        <v>10050</v>
      </c>
      <c r="DU112">
        <v>0</v>
      </c>
      <c r="DV112">
        <v>344.411</v>
      </c>
      <c r="DW112">
        <v>-56.638500000000001</v>
      </c>
      <c r="DX112">
        <v>868.029</v>
      </c>
      <c r="DY112">
        <v>921.50800000000004</v>
      </c>
      <c r="DZ112">
        <v>5.07</v>
      </c>
      <c r="EA112">
        <v>900.11900000000003</v>
      </c>
      <c r="EB112">
        <v>23.210999999999999</v>
      </c>
      <c r="EC112">
        <v>2.7938999999999998</v>
      </c>
      <c r="ED112">
        <v>2.2930299999999999</v>
      </c>
      <c r="EE112">
        <v>22.848099999999999</v>
      </c>
      <c r="EF112">
        <v>19.627500000000001</v>
      </c>
      <c r="EG112">
        <v>1800.05</v>
      </c>
      <c r="EH112">
        <v>0.97800200000000004</v>
      </c>
      <c r="EI112">
        <v>2.19975E-2</v>
      </c>
      <c r="EJ112">
        <v>0</v>
      </c>
      <c r="EK112">
        <v>789.36199999999997</v>
      </c>
      <c r="EL112">
        <v>5.0002700000000004</v>
      </c>
      <c r="EM112">
        <v>14441.1</v>
      </c>
      <c r="EN112">
        <v>16249.1</v>
      </c>
      <c r="EO112">
        <v>46.25</v>
      </c>
      <c r="EP112">
        <v>47.311999999999998</v>
      </c>
      <c r="EQ112">
        <v>47.25</v>
      </c>
      <c r="ER112">
        <v>46.625</v>
      </c>
      <c r="ES112">
        <v>48</v>
      </c>
      <c r="ET112">
        <v>1755.56</v>
      </c>
      <c r="EU112">
        <v>39.49</v>
      </c>
      <c r="EV112">
        <v>0</v>
      </c>
      <c r="EW112">
        <v>98</v>
      </c>
      <c r="EX112">
        <v>0</v>
      </c>
      <c r="EY112">
        <v>789.58246153846142</v>
      </c>
      <c r="EZ112">
        <v>-2.370051293004805</v>
      </c>
      <c r="FA112">
        <v>-50.78290591606784</v>
      </c>
      <c r="FB112">
        <v>14447.7</v>
      </c>
      <c r="FC112">
        <v>15</v>
      </c>
      <c r="FD112">
        <v>1693346174.0999999</v>
      </c>
      <c r="FE112" t="s">
        <v>907</v>
      </c>
      <c r="FF112">
        <v>1693346170.5999999</v>
      </c>
      <c r="FG112">
        <v>1693346174.0999999</v>
      </c>
      <c r="FH112">
        <v>108</v>
      </c>
      <c r="FI112">
        <v>0.32200000000000001</v>
      </c>
      <c r="FJ112">
        <v>4.0000000000000001E-3</v>
      </c>
      <c r="FK112">
        <v>2.7309999999999999</v>
      </c>
      <c r="FL112">
        <v>0.52800000000000002</v>
      </c>
      <c r="FM112">
        <v>900</v>
      </c>
      <c r="FN112">
        <v>23</v>
      </c>
      <c r="FO112">
        <v>0.16</v>
      </c>
      <c r="FP112">
        <v>0.04</v>
      </c>
      <c r="FQ112">
        <v>43.441091260527003</v>
      </c>
      <c r="FR112">
        <v>-0.52034607556095902</v>
      </c>
      <c r="FS112">
        <v>0.13047006370294839</v>
      </c>
      <c r="FT112">
        <v>1</v>
      </c>
      <c r="FU112">
        <v>0.30234317104509351</v>
      </c>
      <c r="FV112">
        <v>-1.9097859355571931E-2</v>
      </c>
      <c r="FW112">
        <v>1.921568613983941E-3</v>
      </c>
      <c r="FX112">
        <v>1</v>
      </c>
      <c r="FY112">
        <v>2</v>
      </c>
      <c r="FZ112">
        <v>2</v>
      </c>
      <c r="GA112" t="s">
        <v>429</v>
      </c>
      <c r="GB112">
        <v>3.13429</v>
      </c>
      <c r="GC112">
        <v>2.8651</v>
      </c>
      <c r="GD112">
        <v>0.15640899999999999</v>
      </c>
      <c r="GE112">
        <v>0.16743</v>
      </c>
      <c r="GF112">
        <v>0.12683</v>
      </c>
      <c r="GG112">
        <v>0.115478</v>
      </c>
      <c r="GH112">
        <v>25424.400000000001</v>
      </c>
      <c r="GI112">
        <v>19451.8</v>
      </c>
      <c r="GJ112">
        <v>29066.6</v>
      </c>
      <c r="GK112">
        <v>21782</v>
      </c>
      <c r="GL112">
        <v>34024.199999999997</v>
      </c>
      <c r="GM112">
        <v>26533.4</v>
      </c>
      <c r="GN112">
        <v>40340.400000000001</v>
      </c>
      <c r="GO112">
        <v>30967.9</v>
      </c>
      <c r="GP112">
        <v>2.0249000000000001</v>
      </c>
      <c r="GQ112">
        <v>1.8093999999999999</v>
      </c>
      <c r="GR112">
        <v>4.2051100000000001E-2</v>
      </c>
      <c r="GS112">
        <v>0</v>
      </c>
      <c r="GT112">
        <v>29.260300000000001</v>
      </c>
      <c r="GU112">
        <v>999.9</v>
      </c>
      <c r="GV112">
        <v>48.5</v>
      </c>
      <c r="GW112">
        <v>35.6</v>
      </c>
      <c r="GX112">
        <v>28.665400000000002</v>
      </c>
      <c r="GY112">
        <v>62.069600000000001</v>
      </c>
      <c r="GZ112">
        <v>12.3157</v>
      </c>
      <c r="HA112">
        <v>1</v>
      </c>
      <c r="HB112">
        <v>0.407053</v>
      </c>
      <c r="HC112">
        <v>1.52014</v>
      </c>
      <c r="HD112">
        <v>20.331900000000001</v>
      </c>
      <c r="HE112">
        <v>5.2346599999999999</v>
      </c>
      <c r="HF112">
        <v>11.9794</v>
      </c>
      <c r="HG112">
        <v>4.9753999999999996</v>
      </c>
      <c r="HH112">
        <v>3.2839999999999998</v>
      </c>
      <c r="HI112">
        <v>9999</v>
      </c>
      <c r="HJ112">
        <v>9999</v>
      </c>
      <c r="HK112">
        <v>9999</v>
      </c>
      <c r="HL112">
        <v>999.9</v>
      </c>
      <c r="HM112">
        <v>1.86069</v>
      </c>
      <c r="HN112">
        <v>1.8623400000000001</v>
      </c>
      <c r="HO112">
        <v>1.8677699999999999</v>
      </c>
      <c r="HP112">
        <v>1.8583700000000001</v>
      </c>
      <c r="HQ112">
        <v>1.85684</v>
      </c>
      <c r="HR112">
        <v>1.86049</v>
      </c>
      <c r="HS112">
        <v>1.86432</v>
      </c>
      <c r="HT112">
        <v>1.86646</v>
      </c>
      <c r="HU112">
        <v>5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2.7629999999999999</v>
      </c>
      <c r="II112">
        <v>0.82189999999999996</v>
      </c>
      <c r="IJ112">
        <v>2.6956930244900992</v>
      </c>
      <c r="IK112">
        <v>1.118558698776514E-3</v>
      </c>
      <c r="IL112">
        <v>-1.6939696309573479E-6</v>
      </c>
      <c r="IM112">
        <v>5.4698917449866148E-10</v>
      </c>
      <c r="IN112">
        <v>-5.0429191561882081E-2</v>
      </c>
      <c r="IO112">
        <v>-7.6058941998734366E-3</v>
      </c>
      <c r="IP112">
        <v>1.6984902717538061E-3</v>
      </c>
      <c r="IQ112">
        <v>-9.6352527008986976E-6</v>
      </c>
      <c r="IR112">
        <v>2</v>
      </c>
      <c r="IS112">
        <v>2021</v>
      </c>
      <c r="IT112">
        <v>2</v>
      </c>
      <c r="IU112">
        <v>40</v>
      </c>
      <c r="IV112">
        <v>0.6</v>
      </c>
      <c r="IW112">
        <v>0.5</v>
      </c>
      <c r="IX112">
        <v>1.9885299999999999</v>
      </c>
      <c r="IY112">
        <v>2.50488</v>
      </c>
      <c r="IZ112">
        <v>1.34399</v>
      </c>
      <c r="JA112">
        <v>2.2399900000000001</v>
      </c>
      <c r="JB112">
        <v>1.5918000000000001</v>
      </c>
      <c r="JC112">
        <v>2.4035600000000001</v>
      </c>
      <c r="JD112">
        <v>38.648699999999998</v>
      </c>
      <c r="JE112">
        <v>15.8307</v>
      </c>
      <c r="JF112">
        <v>18</v>
      </c>
      <c r="JG112">
        <v>515.75699999999995</v>
      </c>
      <c r="JH112">
        <v>422.56400000000002</v>
      </c>
      <c r="JI112">
        <v>27.126200000000001</v>
      </c>
      <c r="JJ112">
        <v>32.635800000000003</v>
      </c>
      <c r="JK112">
        <v>29.999600000000001</v>
      </c>
      <c r="JL112">
        <v>32.555199999999999</v>
      </c>
      <c r="JM112">
        <v>32.500900000000001</v>
      </c>
      <c r="JN112">
        <v>39.866399999999999</v>
      </c>
      <c r="JO112">
        <v>25.663799999999998</v>
      </c>
      <c r="JP112">
        <v>34.0167</v>
      </c>
      <c r="JQ112">
        <v>27.128699999999998</v>
      </c>
      <c r="JR112">
        <v>900</v>
      </c>
      <c r="JS112">
        <v>23.237400000000001</v>
      </c>
      <c r="JT112">
        <v>99.106700000000004</v>
      </c>
      <c r="JU112">
        <v>97.815700000000007</v>
      </c>
    </row>
    <row r="113" spans="1:281" x14ac:dyDescent="0.25">
      <c r="A113">
        <v>97</v>
      </c>
      <c r="B113">
        <v>1693346327.5999999</v>
      </c>
      <c r="C113">
        <v>24566.099999904629</v>
      </c>
      <c r="D113" t="s">
        <v>908</v>
      </c>
      <c r="E113" t="s">
        <v>909</v>
      </c>
      <c r="F113" t="s">
        <v>413</v>
      </c>
      <c r="G113" t="s">
        <v>636</v>
      </c>
      <c r="H113" t="s">
        <v>779</v>
      </c>
      <c r="I113" t="s">
        <v>493</v>
      </c>
      <c r="J113">
        <v>1693346327.5999999</v>
      </c>
      <c r="K113">
        <f t="shared" ref="K113:K144" si="138">(L113)/1000</f>
        <v>3.7071233922840747E-3</v>
      </c>
      <c r="L113">
        <f t="shared" si="93"/>
        <v>3.7071233922840747</v>
      </c>
      <c r="M113">
        <f t="shared" si="94"/>
        <v>42.653885138104457</v>
      </c>
      <c r="N113">
        <f t="shared" ref="N113:N144" si="139">DF113 - IF(AJ113&gt;1, M113*DA113*100/(AL113*DT113), 0)</f>
        <v>1143.82</v>
      </c>
      <c r="O113">
        <f t="shared" ref="O113:O144" si="140">((U113-K113/2)*N113-M113)/(U113+K113/2)</f>
        <v>840.22301053087881</v>
      </c>
      <c r="P113">
        <f t="shared" ref="P113:P144" si="141">O113*(DM113+DN113)/1000</f>
        <v>83.086392605894744</v>
      </c>
      <c r="Q113">
        <f t="shared" si="98"/>
        <v>113.10792063458001</v>
      </c>
      <c r="R113">
        <f t="shared" ref="R113:R144" si="142">2/((1/T113-1/S113)+SIGN(T113)*SQRT((1/T113-1/S113)*(1/T113-1/S113) + 4*DB113/((DB113+1)*(DB113+1))*(2*1/T113*1/S113-1/S113*1/S113)))</f>
        <v>0.25430830814746674</v>
      </c>
      <c r="S113">
        <f t="shared" si="100"/>
        <v>2.9051058212489433</v>
      </c>
      <c r="T113">
        <f t="shared" si="101"/>
        <v>0.24255637429678217</v>
      </c>
      <c r="U113">
        <f t="shared" si="102"/>
        <v>0.15260833563250864</v>
      </c>
      <c r="V113">
        <f t="shared" si="103"/>
        <v>344.371299644592</v>
      </c>
      <c r="W113">
        <f t="shared" ref="W113:W144" si="143">(DO113+(V113+2*0.95*0.0000000567*(((DO113+$B$7)+273)^4-(DO113+273)^4)-44100*K113)/(1.84*29.3*S113+8*0.95*0.0000000567*(DO113+273)^3))</f>
        <v>31.317445159603324</v>
      </c>
      <c r="X113">
        <f t="shared" ref="X113:X144" si="144">($C$7*DP113+$D$7*DQ113+$E$7*W113)</f>
        <v>30.0136</v>
      </c>
      <c r="Y113">
        <f t="shared" ref="Y113:Y144" si="145">0.61365*EXP(17.502*X113/(240.97+X113))</f>
        <v>4.2637790532346855</v>
      </c>
      <c r="Z113">
        <f t="shared" ref="Z113:Z144" si="146">(AA113/AB113*100)</f>
        <v>64.953849548539353</v>
      </c>
      <c r="AA113">
        <f t="shared" si="108"/>
        <v>2.8064770547271003</v>
      </c>
      <c r="AB113">
        <f t="shared" si="109"/>
        <v>4.3207247518560825</v>
      </c>
      <c r="AC113">
        <f t="shared" si="110"/>
        <v>1.4573019985075852</v>
      </c>
      <c r="AD113">
        <f t="shared" si="111"/>
        <v>-163.48414159972771</v>
      </c>
      <c r="AE113">
        <f t="shared" si="112"/>
        <v>36.210559036132196</v>
      </c>
      <c r="AF113">
        <f t="shared" si="113"/>
        <v>2.7750311604471389</v>
      </c>
      <c r="AG113">
        <f t="shared" ref="AG113:AG144" si="147">V113+AF113+AD113+AE113</f>
        <v>219.87274824144365</v>
      </c>
      <c r="AH113">
        <v>0</v>
      </c>
      <c r="AI113">
        <v>0</v>
      </c>
      <c r="AJ113">
        <f t="shared" si="115"/>
        <v>1</v>
      </c>
      <c r="AK113">
        <f t="shared" ref="AK113:AK144" si="148">(AJ113-1)*100</f>
        <v>0</v>
      </c>
      <c r="AL113">
        <f t="shared" si="117"/>
        <v>51589.552119144471</v>
      </c>
      <c r="AM113" t="s">
        <v>415</v>
      </c>
      <c r="AN113">
        <v>10366.9</v>
      </c>
      <c r="AO113">
        <v>993.59653846153856</v>
      </c>
      <c r="AP113">
        <v>3431.87</v>
      </c>
      <c r="AQ113">
        <f t="shared" ref="AQ113:AQ144" si="149">1-AO113/AP113</f>
        <v>0.71047955241266758</v>
      </c>
      <c r="AR113">
        <v>-3.9894345373445681</v>
      </c>
      <c r="AS113" t="s">
        <v>910</v>
      </c>
      <c r="AT113">
        <v>10390.1</v>
      </c>
      <c r="AU113">
        <v>784.14087999999992</v>
      </c>
      <c r="AV113">
        <v>1109.093029068591</v>
      </c>
      <c r="AW113">
        <f t="shared" ref="AW113:AW144" si="150">1-AU113/AV113</f>
        <v>0.29298908256729717</v>
      </c>
      <c r="AX113">
        <v>0.5</v>
      </c>
      <c r="AY113">
        <f t="shared" si="120"/>
        <v>1513.1930998222956</v>
      </c>
      <c r="AZ113">
        <f t="shared" si="121"/>
        <v>42.653885138104457</v>
      </c>
      <c r="BA113">
        <f t="shared" si="122"/>
        <v>221.67452903204946</v>
      </c>
      <c r="BB113">
        <f t="shared" si="123"/>
        <v>3.0824433233885788E-2</v>
      </c>
      <c r="BC113">
        <f t="shared" si="124"/>
        <v>2.0943031017714193</v>
      </c>
      <c r="BD113">
        <f t="shared" si="125"/>
        <v>618.54546944174535</v>
      </c>
      <c r="BE113" t="s">
        <v>911</v>
      </c>
      <c r="BF113">
        <v>605.22</v>
      </c>
      <c r="BG113">
        <f t="shared" ref="BG113:BG144" si="151">IF(BF113&lt;&gt;0, BF113, BD113)</f>
        <v>605.22</v>
      </c>
      <c r="BH113">
        <f t="shared" ref="BH113:BH144" si="152">1-BG113/AV113</f>
        <v>0.45431087912592893</v>
      </c>
      <c r="BI113">
        <f t="shared" si="128"/>
        <v>0.64490879710165272</v>
      </c>
      <c r="BJ113">
        <f t="shared" si="129"/>
        <v>0.82174198111949093</v>
      </c>
      <c r="BK113">
        <f t="shared" si="130"/>
        <v>2.8135240071852783</v>
      </c>
      <c r="BL113">
        <f t="shared" si="131"/>
        <v>0.95263185511022275</v>
      </c>
      <c r="BM113">
        <f t="shared" si="132"/>
        <v>0.49775711499936381</v>
      </c>
      <c r="BN113">
        <f t="shared" ref="BN113:BN144" si="153">(1-BM113)</f>
        <v>0.50224288500063619</v>
      </c>
      <c r="BO113">
        <v>2145</v>
      </c>
      <c r="BP113">
        <v>290.00000000000011</v>
      </c>
      <c r="BQ113">
        <v>1022.38</v>
      </c>
      <c r="BR113">
        <v>165</v>
      </c>
      <c r="BS113">
        <v>10390.1</v>
      </c>
      <c r="BT113">
        <v>1020.89</v>
      </c>
      <c r="BU113">
        <v>1.49</v>
      </c>
      <c r="BV113">
        <v>300.00000000000011</v>
      </c>
      <c r="BW113">
        <v>38.4</v>
      </c>
      <c r="BX113">
        <v>1109.093029068591</v>
      </c>
      <c r="BY113">
        <v>1.1288254108836511</v>
      </c>
      <c r="BZ113">
        <v>-91.642781272536695</v>
      </c>
      <c r="CA113">
        <v>0.95931675873306455</v>
      </c>
      <c r="CB113">
        <v>0.99694117167071095</v>
      </c>
      <c r="CC113">
        <v>-1.1299357508342611E-2</v>
      </c>
      <c r="CD113">
        <v>289.99999999999989</v>
      </c>
      <c r="CE113">
        <v>1010.45</v>
      </c>
      <c r="CF113">
        <v>645</v>
      </c>
      <c r="CG113">
        <v>10364.700000000001</v>
      </c>
      <c r="CH113">
        <v>1020.67</v>
      </c>
      <c r="CI113">
        <v>-10.220000000000001</v>
      </c>
      <c r="CW113">
        <f t="shared" si="134"/>
        <v>1800.01</v>
      </c>
      <c r="CX113">
        <f t="shared" ref="CX113:CX144" si="154">CW113*CY113</f>
        <v>1513.1930998222956</v>
      </c>
      <c r="CY113">
        <f t="shared" si="136"/>
        <v>0.84065816291148143</v>
      </c>
      <c r="CZ113">
        <f t="shared" si="137"/>
        <v>0.19131632582296321</v>
      </c>
      <c r="DA113">
        <v>6</v>
      </c>
      <c r="DB113">
        <v>0.5</v>
      </c>
      <c r="DC113" t="s">
        <v>418</v>
      </c>
      <c r="DD113">
        <v>2</v>
      </c>
      <c r="DE113">
        <v>1693346327.5999999</v>
      </c>
      <c r="DF113">
        <v>1143.82</v>
      </c>
      <c r="DG113">
        <v>1200.1099999999999</v>
      </c>
      <c r="DH113">
        <v>28.3809</v>
      </c>
      <c r="DI113">
        <v>24.057300000000001</v>
      </c>
      <c r="DJ113">
        <v>1141.1099999999999</v>
      </c>
      <c r="DK113">
        <v>27.547000000000001</v>
      </c>
      <c r="DL113">
        <v>499.84899999999999</v>
      </c>
      <c r="DM113">
        <v>98.786000000000001</v>
      </c>
      <c r="DN113">
        <v>0.100119</v>
      </c>
      <c r="DO113">
        <v>30.244800000000001</v>
      </c>
      <c r="DP113">
        <v>30.0136</v>
      </c>
      <c r="DQ113">
        <v>999.9</v>
      </c>
      <c r="DR113">
        <v>0</v>
      </c>
      <c r="DS113">
        <v>0</v>
      </c>
      <c r="DT113">
        <v>9982.5</v>
      </c>
      <c r="DU113">
        <v>0</v>
      </c>
      <c r="DV113">
        <v>350.51799999999997</v>
      </c>
      <c r="DW113">
        <v>-56.283200000000001</v>
      </c>
      <c r="DX113">
        <v>1177.23</v>
      </c>
      <c r="DY113">
        <v>1229.69</v>
      </c>
      <c r="DZ113">
        <v>4.3236499999999998</v>
      </c>
      <c r="EA113">
        <v>1200.1099999999999</v>
      </c>
      <c r="EB113">
        <v>24.057300000000001</v>
      </c>
      <c r="EC113">
        <v>2.8036400000000001</v>
      </c>
      <c r="ED113">
        <v>2.3765200000000002</v>
      </c>
      <c r="EE113">
        <v>22.9055</v>
      </c>
      <c r="EF113">
        <v>20.204699999999999</v>
      </c>
      <c r="EG113">
        <v>1800.01</v>
      </c>
      <c r="EH113">
        <v>0.97799999999999998</v>
      </c>
      <c r="EI113">
        <v>2.1999700000000001E-2</v>
      </c>
      <c r="EJ113">
        <v>0</v>
      </c>
      <c r="EK113">
        <v>783.59799999999996</v>
      </c>
      <c r="EL113">
        <v>5.0002700000000004</v>
      </c>
      <c r="EM113">
        <v>14406.9</v>
      </c>
      <c r="EN113">
        <v>16248.7</v>
      </c>
      <c r="EO113">
        <v>46.936999999999998</v>
      </c>
      <c r="EP113">
        <v>47.875</v>
      </c>
      <c r="EQ113">
        <v>47.875</v>
      </c>
      <c r="ER113">
        <v>47.561999999999998</v>
      </c>
      <c r="ES113">
        <v>48.625</v>
      </c>
      <c r="ET113">
        <v>1755.52</v>
      </c>
      <c r="EU113">
        <v>39.49</v>
      </c>
      <c r="EV113">
        <v>0</v>
      </c>
      <c r="EW113">
        <v>120.7999999523163</v>
      </c>
      <c r="EX113">
        <v>0</v>
      </c>
      <c r="EY113">
        <v>784.14087999999992</v>
      </c>
      <c r="EZ113">
        <v>-3.0450769398858029</v>
      </c>
      <c r="FA113">
        <v>11.338461601249159</v>
      </c>
      <c r="FB113">
        <v>14414.611999999999</v>
      </c>
      <c r="FC113">
        <v>15</v>
      </c>
      <c r="FD113">
        <v>1693346296.5999999</v>
      </c>
      <c r="FE113" t="s">
        <v>912</v>
      </c>
      <c r="FF113">
        <v>1693346296.5999999</v>
      </c>
      <c r="FG113">
        <v>1693346280.0999999</v>
      </c>
      <c r="FH113">
        <v>109</v>
      </c>
      <c r="FI113">
        <v>0.14099999999999999</v>
      </c>
      <c r="FJ113">
        <v>6.0000000000000001E-3</v>
      </c>
      <c r="FK113">
        <v>2.6840000000000002</v>
      </c>
      <c r="FL113">
        <v>0.56200000000000006</v>
      </c>
      <c r="FM113">
        <v>1200</v>
      </c>
      <c r="FN113">
        <v>24</v>
      </c>
      <c r="FO113">
        <v>0.18</v>
      </c>
      <c r="FP113">
        <v>0.04</v>
      </c>
      <c r="FQ113">
        <v>42.700429844287768</v>
      </c>
      <c r="FR113">
        <v>-0.33864987060735402</v>
      </c>
      <c r="FS113">
        <v>0.1170937306021935</v>
      </c>
      <c r="FT113">
        <v>1</v>
      </c>
      <c r="FU113">
        <v>0.25793734327878948</v>
      </c>
      <c r="FV113">
        <v>-1.9610751993233089E-2</v>
      </c>
      <c r="FW113">
        <v>1.4940822506398E-3</v>
      </c>
      <c r="FX113">
        <v>1</v>
      </c>
      <c r="FY113">
        <v>2</v>
      </c>
      <c r="FZ113">
        <v>2</v>
      </c>
      <c r="GA113" t="s">
        <v>429</v>
      </c>
      <c r="GB113">
        <v>3.1341600000000001</v>
      </c>
      <c r="GC113">
        <v>2.8651200000000001</v>
      </c>
      <c r="GD113">
        <v>0.190913</v>
      </c>
      <c r="GE113">
        <v>0.20142199999999999</v>
      </c>
      <c r="GF113">
        <v>0.12714600000000001</v>
      </c>
      <c r="GG113">
        <v>0.118419</v>
      </c>
      <c r="GH113">
        <v>24391.3</v>
      </c>
      <c r="GI113">
        <v>18662.400000000001</v>
      </c>
      <c r="GJ113">
        <v>29074.6</v>
      </c>
      <c r="GK113">
        <v>21787.7</v>
      </c>
      <c r="GL113">
        <v>34022.400000000001</v>
      </c>
      <c r="GM113">
        <v>26453.9</v>
      </c>
      <c r="GN113">
        <v>40351.300000000003</v>
      </c>
      <c r="GO113">
        <v>30975.200000000001</v>
      </c>
      <c r="GP113">
        <v>2.0253999999999999</v>
      </c>
      <c r="GQ113">
        <v>1.8149</v>
      </c>
      <c r="GR113">
        <v>6.5773700000000004E-2</v>
      </c>
      <c r="GS113">
        <v>0</v>
      </c>
      <c r="GT113">
        <v>28.942299999999999</v>
      </c>
      <c r="GU113">
        <v>999.9</v>
      </c>
      <c r="GV113">
        <v>48.4</v>
      </c>
      <c r="GW113">
        <v>35.5</v>
      </c>
      <c r="GX113">
        <v>28.4466</v>
      </c>
      <c r="GY113">
        <v>61.919699999999999</v>
      </c>
      <c r="GZ113">
        <v>11.818899999999999</v>
      </c>
      <c r="HA113">
        <v>1</v>
      </c>
      <c r="HB113">
        <v>0.39380100000000001</v>
      </c>
      <c r="HC113">
        <v>1.9313499999999999</v>
      </c>
      <c r="HD113">
        <v>20.328399999999998</v>
      </c>
      <c r="HE113">
        <v>5.2346599999999999</v>
      </c>
      <c r="HF113">
        <v>11.9794</v>
      </c>
      <c r="HG113">
        <v>4.9737999999999998</v>
      </c>
      <c r="HH113">
        <v>3.2839999999999998</v>
      </c>
      <c r="HI113">
        <v>9999</v>
      </c>
      <c r="HJ113">
        <v>9999</v>
      </c>
      <c r="HK113">
        <v>9999</v>
      </c>
      <c r="HL113">
        <v>999.9</v>
      </c>
      <c r="HM113">
        <v>1.8606799999999999</v>
      </c>
      <c r="HN113">
        <v>1.8623499999999999</v>
      </c>
      <c r="HO113">
        <v>1.86775</v>
      </c>
      <c r="HP113">
        <v>1.8583700000000001</v>
      </c>
      <c r="HQ113">
        <v>1.8568100000000001</v>
      </c>
      <c r="HR113">
        <v>1.8605</v>
      </c>
      <c r="HS113">
        <v>1.86435</v>
      </c>
      <c r="HT113">
        <v>1.86646</v>
      </c>
      <c r="HU113">
        <v>5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2.71</v>
      </c>
      <c r="II113">
        <v>0.83389999999999997</v>
      </c>
      <c r="IJ113">
        <v>2.83473726436638</v>
      </c>
      <c r="IK113">
        <v>1.118558698776514E-3</v>
      </c>
      <c r="IL113">
        <v>-1.6939696309573479E-6</v>
      </c>
      <c r="IM113">
        <v>5.4698917449866148E-10</v>
      </c>
      <c r="IN113">
        <v>-4.4069462740876419E-2</v>
      </c>
      <c r="IO113">
        <v>-7.6058941998734366E-3</v>
      </c>
      <c r="IP113">
        <v>1.6984902717538061E-3</v>
      </c>
      <c r="IQ113">
        <v>-9.6352527008986976E-6</v>
      </c>
      <c r="IR113">
        <v>2</v>
      </c>
      <c r="IS113">
        <v>2021</v>
      </c>
      <c r="IT113">
        <v>2</v>
      </c>
      <c r="IU113">
        <v>40</v>
      </c>
      <c r="IV113">
        <v>0.5</v>
      </c>
      <c r="IW113">
        <v>0.8</v>
      </c>
      <c r="IX113">
        <v>2.52197</v>
      </c>
      <c r="IY113">
        <v>2.49878</v>
      </c>
      <c r="IZ113">
        <v>1.34399</v>
      </c>
      <c r="JA113">
        <v>2.2399900000000001</v>
      </c>
      <c r="JB113">
        <v>1.5918000000000001</v>
      </c>
      <c r="JC113">
        <v>2.3730500000000001</v>
      </c>
      <c r="JD113">
        <v>38.575000000000003</v>
      </c>
      <c r="JE113">
        <v>15.804399999999999</v>
      </c>
      <c r="JF113">
        <v>18</v>
      </c>
      <c r="JG113">
        <v>515.01199999999994</v>
      </c>
      <c r="JH113">
        <v>425.19400000000002</v>
      </c>
      <c r="JI113">
        <v>26.8432</v>
      </c>
      <c r="JJ113">
        <v>32.465600000000002</v>
      </c>
      <c r="JK113">
        <v>29.999199999999998</v>
      </c>
      <c r="JL113">
        <v>32.431800000000003</v>
      </c>
      <c r="JM113">
        <v>32.3857</v>
      </c>
      <c r="JN113">
        <v>50.543900000000001</v>
      </c>
      <c r="JO113">
        <v>22.1568</v>
      </c>
      <c r="JP113">
        <v>34.523299999999999</v>
      </c>
      <c r="JQ113">
        <v>26.8428</v>
      </c>
      <c r="JR113">
        <v>1200</v>
      </c>
      <c r="JS113">
        <v>24.050799999999999</v>
      </c>
      <c r="JT113">
        <v>99.133700000000005</v>
      </c>
      <c r="JU113">
        <v>97.8399</v>
      </c>
    </row>
    <row r="114" spans="1:281" x14ac:dyDescent="0.25">
      <c r="A114">
        <v>98</v>
      </c>
      <c r="B114">
        <v>1693346442.0999999</v>
      </c>
      <c r="C114">
        <v>24680.599999904629</v>
      </c>
      <c r="D114" t="s">
        <v>913</v>
      </c>
      <c r="E114" t="s">
        <v>914</v>
      </c>
      <c r="F114" t="s">
        <v>413</v>
      </c>
      <c r="G114" t="s">
        <v>636</v>
      </c>
      <c r="H114" t="s">
        <v>779</v>
      </c>
      <c r="I114" t="s">
        <v>493</v>
      </c>
      <c r="J114">
        <v>1693346442.0999999</v>
      </c>
      <c r="K114">
        <f t="shared" si="138"/>
        <v>3.2620616551508942E-3</v>
      </c>
      <c r="L114">
        <f t="shared" si="93"/>
        <v>3.2620616551508941</v>
      </c>
      <c r="M114">
        <f t="shared" si="94"/>
        <v>41.860664289615855</v>
      </c>
      <c r="N114">
        <f t="shared" si="139"/>
        <v>1444.33</v>
      </c>
      <c r="O114">
        <f t="shared" si="140"/>
        <v>1099.9997798982613</v>
      </c>
      <c r="P114">
        <f t="shared" si="141"/>
        <v>108.76889673615629</v>
      </c>
      <c r="Q114">
        <f t="shared" si="98"/>
        <v>142.81655641555</v>
      </c>
      <c r="R114">
        <f t="shared" si="142"/>
        <v>0.22152385793217363</v>
      </c>
      <c r="S114">
        <f t="shared" si="100"/>
        <v>2.9076311886519419</v>
      </c>
      <c r="T114">
        <f t="shared" si="101"/>
        <v>0.21255662211731333</v>
      </c>
      <c r="U114">
        <f t="shared" si="102"/>
        <v>0.13362331247763704</v>
      </c>
      <c r="V114">
        <f t="shared" si="103"/>
        <v>344.35099964448034</v>
      </c>
      <c r="W114">
        <f t="shared" si="143"/>
        <v>31.40787425778322</v>
      </c>
      <c r="X114">
        <f t="shared" si="144"/>
        <v>30.023700000000002</v>
      </c>
      <c r="Y114">
        <f t="shared" si="145"/>
        <v>4.2662530007599164</v>
      </c>
      <c r="Z114">
        <f t="shared" si="146"/>
        <v>64.965946737580012</v>
      </c>
      <c r="AA114">
        <f t="shared" si="108"/>
        <v>2.8029948059120002</v>
      </c>
      <c r="AB114">
        <f t="shared" si="109"/>
        <v>4.3145600836608571</v>
      </c>
      <c r="AC114">
        <f t="shared" si="110"/>
        <v>1.4632581948479162</v>
      </c>
      <c r="AD114">
        <f t="shared" si="111"/>
        <v>-143.85691899215442</v>
      </c>
      <c r="AE114">
        <f t="shared" si="112"/>
        <v>30.755568920478417</v>
      </c>
      <c r="AF114">
        <f t="shared" si="113"/>
        <v>2.3547630548894642</v>
      </c>
      <c r="AG114">
        <f t="shared" si="147"/>
        <v>233.60441262769382</v>
      </c>
      <c r="AH114">
        <v>0</v>
      </c>
      <c r="AI114">
        <v>0</v>
      </c>
      <c r="AJ114">
        <f t="shared" si="115"/>
        <v>1</v>
      </c>
      <c r="AK114">
        <f t="shared" si="148"/>
        <v>0</v>
      </c>
      <c r="AL114">
        <f t="shared" si="117"/>
        <v>51665.285965816882</v>
      </c>
      <c r="AM114" t="s">
        <v>415</v>
      </c>
      <c r="AN114">
        <v>10366.9</v>
      </c>
      <c r="AO114">
        <v>993.59653846153856</v>
      </c>
      <c r="AP114">
        <v>3431.87</v>
      </c>
      <c r="AQ114">
        <f t="shared" si="149"/>
        <v>0.71047955241266758</v>
      </c>
      <c r="AR114">
        <v>-3.9894345373445681</v>
      </c>
      <c r="AS114" t="s">
        <v>915</v>
      </c>
      <c r="AT114">
        <v>10382.1</v>
      </c>
      <c r="AU114">
        <v>779.41020000000003</v>
      </c>
      <c r="AV114">
        <v>1101.298916010946</v>
      </c>
      <c r="AW114">
        <f t="shared" si="150"/>
        <v>0.29228097052603164</v>
      </c>
      <c r="AX114">
        <v>0.5</v>
      </c>
      <c r="AY114">
        <f t="shared" si="120"/>
        <v>1513.1009998222403</v>
      </c>
      <c r="AZ114">
        <f t="shared" si="121"/>
        <v>41.860664289615855</v>
      </c>
      <c r="BA114">
        <f t="shared" si="122"/>
        <v>221.12531436597661</v>
      </c>
      <c r="BB114">
        <f t="shared" si="123"/>
        <v>3.0302074238498889E-2</v>
      </c>
      <c r="BC114">
        <f t="shared" si="124"/>
        <v>2.1162021047207586</v>
      </c>
      <c r="BD114">
        <f t="shared" si="125"/>
        <v>616.11367984761841</v>
      </c>
      <c r="BE114" t="s">
        <v>916</v>
      </c>
      <c r="BF114">
        <v>601.78</v>
      </c>
      <c r="BG114">
        <f t="shared" si="151"/>
        <v>601.78</v>
      </c>
      <c r="BH114">
        <f t="shared" si="152"/>
        <v>0.45357251219339367</v>
      </c>
      <c r="BI114">
        <f t="shared" si="128"/>
        <v>0.64439745061404718</v>
      </c>
      <c r="BJ114">
        <f t="shared" si="129"/>
        <v>0.82349716227719039</v>
      </c>
      <c r="BK114">
        <f t="shared" si="130"/>
        <v>2.9886871890389108</v>
      </c>
      <c r="BL114">
        <f t="shared" si="131"/>
        <v>0.95582842562644665</v>
      </c>
      <c r="BM114">
        <f t="shared" si="132"/>
        <v>0.4975371092532806</v>
      </c>
      <c r="BN114">
        <f t="shared" si="153"/>
        <v>0.50246289074671946</v>
      </c>
      <c r="BO114">
        <v>2147</v>
      </c>
      <c r="BP114">
        <v>290.00000000000011</v>
      </c>
      <c r="BQ114">
        <v>1014.89</v>
      </c>
      <c r="BR114">
        <v>185</v>
      </c>
      <c r="BS114">
        <v>10382.1</v>
      </c>
      <c r="BT114">
        <v>1013.62</v>
      </c>
      <c r="BU114">
        <v>1.27</v>
      </c>
      <c r="BV114">
        <v>300.00000000000011</v>
      </c>
      <c r="BW114">
        <v>38.4</v>
      </c>
      <c r="BX114">
        <v>1101.298916010946</v>
      </c>
      <c r="BY114">
        <v>1.4622778909146981</v>
      </c>
      <c r="BZ114">
        <v>-91.02976867631925</v>
      </c>
      <c r="CA114">
        <v>1.2421232996210489</v>
      </c>
      <c r="CB114">
        <v>0.99481364425368646</v>
      </c>
      <c r="CC114">
        <v>-1.129399755283649E-2</v>
      </c>
      <c r="CD114">
        <v>289.99999999999989</v>
      </c>
      <c r="CE114">
        <v>1005.16</v>
      </c>
      <c r="CF114">
        <v>655</v>
      </c>
      <c r="CG114">
        <v>10358.9</v>
      </c>
      <c r="CH114">
        <v>1013.42</v>
      </c>
      <c r="CI114">
        <v>-8.26</v>
      </c>
      <c r="CW114">
        <f t="shared" si="134"/>
        <v>1799.9</v>
      </c>
      <c r="CX114">
        <f t="shared" si="154"/>
        <v>1513.1009998222403</v>
      </c>
      <c r="CY114">
        <f t="shared" si="136"/>
        <v>0.84065836981067843</v>
      </c>
      <c r="CZ114">
        <f t="shared" si="137"/>
        <v>0.19131673962135692</v>
      </c>
      <c r="DA114">
        <v>6</v>
      </c>
      <c r="DB114">
        <v>0.5</v>
      </c>
      <c r="DC114" t="s">
        <v>418</v>
      </c>
      <c r="DD114">
        <v>2</v>
      </c>
      <c r="DE114">
        <v>1693346442.0999999</v>
      </c>
      <c r="DF114">
        <v>1444.33</v>
      </c>
      <c r="DG114">
        <v>1500.19</v>
      </c>
      <c r="DH114">
        <v>28.347200000000001</v>
      </c>
      <c r="DI114">
        <v>24.545500000000001</v>
      </c>
      <c r="DJ114">
        <v>1441.55</v>
      </c>
      <c r="DK114">
        <v>27.501999999999999</v>
      </c>
      <c r="DL114">
        <v>500.238</v>
      </c>
      <c r="DM114">
        <v>98.780500000000004</v>
      </c>
      <c r="DN114">
        <v>0.10033499999999999</v>
      </c>
      <c r="DO114">
        <v>30.219899999999999</v>
      </c>
      <c r="DP114">
        <v>30.023700000000002</v>
      </c>
      <c r="DQ114">
        <v>999.9</v>
      </c>
      <c r="DR114">
        <v>0</v>
      </c>
      <c r="DS114">
        <v>0</v>
      </c>
      <c r="DT114">
        <v>9997.5</v>
      </c>
      <c r="DU114">
        <v>0</v>
      </c>
      <c r="DV114">
        <v>320.03699999999998</v>
      </c>
      <c r="DW114">
        <v>-55.868299999999998</v>
      </c>
      <c r="DX114">
        <v>1486.46</v>
      </c>
      <c r="DY114">
        <v>1537.94</v>
      </c>
      <c r="DZ114">
        <v>3.8017500000000002</v>
      </c>
      <c r="EA114">
        <v>1500.19</v>
      </c>
      <c r="EB114">
        <v>24.545500000000001</v>
      </c>
      <c r="EC114">
        <v>2.8001499999999999</v>
      </c>
      <c r="ED114">
        <v>2.4246099999999999</v>
      </c>
      <c r="EE114">
        <v>22.885000000000002</v>
      </c>
      <c r="EF114">
        <v>20.5291</v>
      </c>
      <c r="EG114">
        <v>1799.9</v>
      </c>
      <c r="EH114">
        <v>0.97799100000000005</v>
      </c>
      <c r="EI114">
        <v>2.20092E-2</v>
      </c>
      <c r="EJ114">
        <v>0</v>
      </c>
      <c r="EK114">
        <v>779.15599999999995</v>
      </c>
      <c r="EL114">
        <v>5.0002700000000004</v>
      </c>
      <c r="EM114">
        <v>14301.1</v>
      </c>
      <c r="EN114">
        <v>16247.7</v>
      </c>
      <c r="EO114">
        <v>47.561999999999998</v>
      </c>
      <c r="EP114">
        <v>48.311999999999998</v>
      </c>
      <c r="EQ114">
        <v>48.436999999999998</v>
      </c>
      <c r="ER114">
        <v>48.061999999999998</v>
      </c>
      <c r="ES114">
        <v>49.125</v>
      </c>
      <c r="ET114">
        <v>1755.4</v>
      </c>
      <c r="EU114">
        <v>39.5</v>
      </c>
      <c r="EV114">
        <v>0</v>
      </c>
      <c r="EW114">
        <v>112.7999999523163</v>
      </c>
      <c r="EX114">
        <v>0</v>
      </c>
      <c r="EY114">
        <v>779.41020000000003</v>
      </c>
      <c r="EZ114">
        <v>-3.61784615668686</v>
      </c>
      <c r="FA114">
        <v>-11.4692307254178</v>
      </c>
      <c r="FB114">
        <v>14304.456</v>
      </c>
      <c r="FC114">
        <v>15</v>
      </c>
      <c r="FD114">
        <v>1693346407.5999999</v>
      </c>
      <c r="FE114" t="s">
        <v>917</v>
      </c>
      <c r="FF114">
        <v>1693346407.5999999</v>
      </c>
      <c r="FG114">
        <v>1693346391.5999999</v>
      </c>
      <c r="FH114">
        <v>110</v>
      </c>
      <c r="FI114">
        <v>0.21299999999999999</v>
      </c>
      <c r="FJ114">
        <v>1.4E-2</v>
      </c>
      <c r="FK114">
        <v>2.76</v>
      </c>
      <c r="FL114">
        <v>0.60499999999999998</v>
      </c>
      <c r="FM114">
        <v>1501</v>
      </c>
      <c r="FN114">
        <v>24</v>
      </c>
      <c r="FO114">
        <v>0.21</v>
      </c>
      <c r="FP114">
        <v>7.0000000000000007E-2</v>
      </c>
      <c r="FQ114">
        <v>41.830847097320493</v>
      </c>
      <c r="FR114">
        <v>-0.37590463879432368</v>
      </c>
      <c r="FS114">
        <v>0.16011403474564431</v>
      </c>
      <c r="FT114">
        <v>1</v>
      </c>
      <c r="FU114">
        <v>0.22575071936175761</v>
      </c>
      <c r="FV114">
        <v>-2.18898353588045E-2</v>
      </c>
      <c r="FW114">
        <v>1.6904852392464679E-3</v>
      </c>
      <c r="FX114">
        <v>1</v>
      </c>
      <c r="FY114">
        <v>2</v>
      </c>
      <c r="FZ114">
        <v>2</v>
      </c>
      <c r="GA114" t="s">
        <v>429</v>
      </c>
      <c r="GB114">
        <v>3.1347299999999998</v>
      </c>
      <c r="GC114">
        <v>2.8654700000000002</v>
      </c>
      <c r="GD114">
        <v>0.22092000000000001</v>
      </c>
      <c r="GE114">
        <v>0.23108899999999999</v>
      </c>
      <c r="GF114">
        <v>0.12703300000000001</v>
      </c>
      <c r="GG114">
        <v>0.120111</v>
      </c>
      <c r="GH114">
        <v>23493.200000000001</v>
      </c>
      <c r="GI114">
        <v>17975.099999999999</v>
      </c>
      <c r="GJ114">
        <v>29082.799999999999</v>
      </c>
      <c r="GK114">
        <v>21795.200000000001</v>
      </c>
      <c r="GL114">
        <v>34037</v>
      </c>
      <c r="GM114">
        <v>26414.3</v>
      </c>
      <c r="GN114">
        <v>40361.9</v>
      </c>
      <c r="GO114">
        <v>30985.8</v>
      </c>
      <c r="GP114">
        <v>2.0280999999999998</v>
      </c>
      <c r="GQ114">
        <v>1.8188</v>
      </c>
      <c r="GR114">
        <v>6.8053600000000006E-2</v>
      </c>
      <c r="GS114">
        <v>0</v>
      </c>
      <c r="GT114">
        <v>28.915199999999999</v>
      </c>
      <c r="GU114">
        <v>999.9</v>
      </c>
      <c r="GV114">
        <v>48.6</v>
      </c>
      <c r="GW114">
        <v>35.5</v>
      </c>
      <c r="GX114">
        <v>28.568100000000001</v>
      </c>
      <c r="GY114">
        <v>62.089700000000001</v>
      </c>
      <c r="GZ114">
        <v>12.243600000000001</v>
      </c>
      <c r="HA114">
        <v>1</v>
      </c>
      <c r="HB114">
        <v>0.38189000000000001</v>
      </c>
      <c r="HC114">
        <v>2.3059699999999999</v>
      </c>
      <c r="HD114">
        <v>20.323399999999999</v>
      </c>
      <c r="HE114">
        <v>5.2340600000000004</v>
      </c>
      <c r="HF114">
        <v>11.9794</v>
      </c>
      <c r="HG114">
        <v>4.9752000000000001</v>
      </c>
      <c r="HH114">
        <v>3.2839999999999998</v>
      </c>
      <c r="HI114">
        <v>9999</v>
      </c>
      <c r="HJ114">
        <v>9999</v>
      </c>
      <c r="HK114">
        <v>9999</v>
      </c>
      <c r="HL114">
        <v>999.9</v>
      </c>
      <c r="HM114">
        <v>1.86066</v>
      </c>
      <c r="HN114">
        <v>1.8623499999999999</v>
      </c>
      <c r="HO114">
        <v>1.8677900000000001</v>
      </c>
      <c r="HP114">
        <v>1.8583499999999999</v>
      </c>
      <c r="HQ114">
        <v>1.85684</v>
      </c>
      <c r="HR114">
        <v>1.8604499999999999</v>
      </c>
      <c r="HS114">
        <v>1.86432</v>
      </c>
      <c r="HT114">
        <v>1.86646</v>
      </c>
      <c r="HU114">
        <v>5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2.78</v>
      </c>
      <c r="II114">
        <v>0.84519999999999995</v>
      </c>
      <c r="IJ114">
        <v>3.0464856443745889</v>
      </c>
      <c r="IK114">
        <v>1.118558698776514E-3</v>
      </c>
      <c r="IL114">
        <v>-1.6939696309573479E-6</v>
      </c>
      <c r="IM114">
        <v>5.4698917449866148E-10</v>
      </c>
      <c r="IN114">
        <v>-2.9786098085451958E-2</v>
      </c>
      <c r="IO114">
        <v>-7.6058941998734366E-3</v>
      </c>
      <c r="IP114">
        <v>1.6984902717538061E-3</v>
      </c>
      <c r="IQ114">
        <v>-9.6352527008986976E-6</v>
      </c>
      <c r="IR114">
        <v>2</v>
      </c>
      <c r="IS114">
        <v>2021</v>
      </c>
      <c r="IT114">
        <v>2</v>
      </c>
      <c r="IU114">
        <v>40</v>
      </c>
      <c r="IV114">
        <v>0.6</v>
      </c>
      <c r="IW114">
        <v>0.8</v>
      </c>
      <c r="IX114">
        <v>3.0310100000000002</v>
      </c>
      <c r="IY114">
        <v>2.5</v>
      </c>
      <c r="IZ114">
        <v>1.34399</v>
      </c>
      <c r="JA114">
        <v>2.2399900000000001</v>
      </c>
      <c r="JB114">
        <v>1.5918000000000001</v>
      </c>
      <c r="JC114">
        <v>2.4731399999999999</v>
      </c>
      <c r="JD114">
        <v>38.501399999999997</v>
      </c>
      <c r="JE114">
        <v>15.786899999999999</v>
      </c>
      <c r="JF114">
        <v>18</v>
      </c>
      <c r="JG114">
        <v>515.60400000000004</v>
      </c>
      <c r="JH114">
        <v>426.67200000000003</v>
      </c>
      <c r="JI114">
        <v>26.381799999999998</v>
      </c>
      <c r="JJ114">
        <v>32.305100000000003</v>
      </c>
      <c r="JK114">
        <v>29.999600000000001</v>
      </c>
      <c r="JL114">
        <v>32.294899999999998</v>
      </c>
      <c r="JM114">
        <v>32.253500000000003</v>
      </c>
      <c r="JN114">
        <v>60.7211</v>
      </c>
      <c r="JO114">
        <v>21.2334</v>
      </c>
      <c r="JP114">
        <v>36.215699999999998</v>
      </c>
      <c r="JQ114">
        <v>26.384599999999999</v>
      </c>
      <c r="JR114">
        <v>1500</v>
      </c>
      <c r="JS114">
        <v>24.559200000000001</v>
      </c>
      <c r="JT114">
        <v>99.160399999999996</v>
      </c>
      <c r="JU114">
        <v>97.873400000000004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2023-08-29T22:00:38Z</dcterms:created>
  <dcterms:modified xsi:type="dcterms:W3CDTF">2023-08-29T22:57:12Z</dcterms:modified>
</cp:coreProperties>
</file>