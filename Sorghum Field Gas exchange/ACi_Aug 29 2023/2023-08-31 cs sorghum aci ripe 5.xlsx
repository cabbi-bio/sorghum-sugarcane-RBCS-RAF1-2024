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128" i="1" l="1"/>
  <c r="V128" i="1" s="1"/>
  <c r="CY128" i="1"/>
  <c r="CW128" i="1"/>
  <c r="CX128" i="1" s="1"/>
  <c r="AY128" i="1" s="1"/>
  <c r="BA128" i="1" s="1"/>
  <c r="BL128" i="1"/>
  <c r="BK128" i="1"/>
  <c r="BG128" i="1"/>
  <c r="BJ128" i="1" s="1"/>
  <c r="BC128" i="1"/>
  <c r="AW128" i="1"/>
  <c r="AQ128" i="1"/>
  <c r="BD128" i="1" s="1"/>
  <c r="AL128" i="1"/>
  <c r="AJ128" i="1"/>
  <c r="AB128" i="1"/>
  <c r="AA128" i="1"/>
  <c r="Z128" i="1"/>
  <c r="S128" i="1"/>
  <c r="CZ127" i="1"/>
  <c r="V127" i="1" s="1"/>
  <c r="CY127" i="1"/>
  <c r="CX127" i="1" s="1"/>
  <c r="AY127" i="1" s="1"/>
  <c r="BA127" i="1" s="1"/>
  <c r="CW127" i="1"/>
  <c r="BL127" i="1"/>
  <c r="BK127" i="1"/>
  <c r="BJ127" i="1"/>
  <c r="BI127" i="1"/>
  <c r="BM127" i="1" s="1"/>
  <c r="BN127" i="1" s="1"/>
  <c r="BH127" i="1"/>
  <c r="BG127" i="1"/>
  <c r="BC127" i="1"/>
  <c r="AW127" i="1"/>
  <c r="AQ127" i="1"/>
  <c r="BD127" i="1" s="1"/>
  <c r="AL127" i="1"/>
  <c r="AJ127" i="1"/>
  <c r="N127" i="1" s="1"/>
  <c r="AB127" i="1"/>
  <c r="AA127" i="1"/>
  <c r="Z127" i="1"/>
  <c r="S127" i="1"/>
  <c r="Q127" i="1"/>
  <c r="CZ126" i="1"/>
  <c r="CY126" i="1"/>
  <c r="CX126" i="1"/>
  <c r="AY126" i="1" s="1"/>
  <c r="CW126" i="1"/>
  <c r="BL126" i="1"/>
  <c r="BK126" i="1"/>
  <c r="BI126" i="1"/>
  <c r="BM126" i="1" s="1"/>
  <c r="BN126" i="1" s="1"/>
  <c r="BH126" i="1"/>
  <c r="BG126" i="1"/>
  <c r="BJ126" i="1" s="1"/>
  <c r="BC126" i="1"/>
  <c r="AW126" i="1"/>
  <c r="BA126" i="1" s="1"/>
  <c r="AQ126" i="1"/>
  <c r="BD126" i="1" s="1"/>
  <c r="AL126" i="1"/>
  <c r="AJ126" i="1" s="1"/>
  <c r="AB126" i="1"/>
  <c r="AA126" i="1"/>
  <c r="Z126" i="1" s="1"/>
  <c r="V126" i="1"/>
  <c r="S126" i="1"/>
  <c r="CZ125" i="1"/>
  <c r="CY125" i="1"/>
  <c r="CW125" i="1"/>
  <c r="CX125" i="1" s="1"/>
  <c r="AY125" i="1" s="1"/>
  <c r="BA125" i="1" s="1"/>
  <c r="BL125" i="1"/>
  <c r="BK125" i="1"/>
  <c r="BG125" i="1"/>
  <c r="BJ125" i="1" s="1"/>
  <c r="BD125" i="1"/>
  <c r="BC125" i="1"/>
  <c r="AW125" i="1"/>
  <c r="AQ125" i="1"/>
  <c r="AL125" i="1"/>
  <c r="AJ125" i="1" s="1"/>
  <c r="AB125" i="1"/>
  <c r="AA125" i="1"/>
  <c r="S125" i="1"/>
  <c r="CZ124" i="1"/>
  <c r="CY124" i="1"/>
  <c r="CW124" i="1"/>
  <c r="CX124" i="1" s="1"/>
  <c r="AY124" i="1" s="1"/>
  <c r="BA124" i="1" s="1"/>
  <c r="BM124" i="1"/>
  <c r="BN124" i="1" s="1"/>
  <c r="BL124" i="1"/>
  <c r="BK124" i="1"/>
  <c r="BI124" i="1"/>
  <c r="BG124" i="1"/>
  <c r="BJ124" i="1" s="1"/>
  <c r="BC124" i="1"/>
  <c r="AW124" i="1"/>
  <c r="AQ124" i="1"/>
  <c r="BD124" i="1" s="1"/>
  <c r="AL124" i="1"/>
  <c r="AJ124" i="1"/>
  <c r="AB124" i="1"/>
  <c r="AA124" i="1"/>
  <c r="Z124" i="1"/>
  <c r="S124" i="1"/>
  <c r="CZ123" i="1"/>
  <c r="CY123" i="1"/>
  <c r="CW123" i="1"/>
  <c r="CX123" i="1" s="1"/>
  <c r="AY123" i="1" s="1"/>
  <c r="BA123" i="1" s="1"/>
  <c r="BL123" i="1"/>
  <c r="BK123" i="1"/>
  <c r="BJ123" i="1"/>
  <c r="BI123" i="1"/>
  <c r="BM123" i="1" s="1"/>
  <c r="BN123" i="1" s="1"/>
  <c r="BG123" i="1"/>
  <c r="BH123" i="1" s="1"/>
  <c r="BC123" i="1"/>
  <c r="AZ123" i="1"/>
  <c r="AW123" i="1"/>
  <c r="AQ123" i="1"/>
  <c r="BD123" i="1" s="1"/>
  <c r="AL123" i="1"/>
  <c r="AK123" i="1"/>
  <c r="AJ123" i="1"/>
  <c r="L123" i="1" s="1"/>
  <c r="K123" i="1" s="1"/>
  <c r="AB123" i="1"/>
  <c r="AA123" i="1"/>
  <c r="Z123" i="1" s="1"/>
  <c r="S123" i="1"/>
  <c r="Q123" i="1"/>
  <c r="N123" i="1"/>
  <c r="M123" i="1"/>
  <c r="CZ122" i="1"/>
  <c r="CY122" i="1"/>
  <c r="CX122" i="1"/>
  <c r="AY122" i="1" s="1"/>
  <c r="CW122" i="1"/>
  <c r="BL122" i="1"/>
  <c r="BK122" i="1"/>
  <c r="BI122" i="1"/>
  <c r="BM122" i="1" s="1"/>
  <c r="BN122" i="1" s="1"/>
  <c r="BH122" i="1"/>
  <c r="BG122" i="1"/>
  <c r="BJ122" i="1" s="1"/>
  <c r="BC122" i="1"/>
  <c r="AW122" i="1"/>
  <c r="BA122" i="1" s="1"/>
  <c r="AQ122" i="1"/>
  <c r="BD122" i="1" s="1"/>
  <c r="AL122" i="1"/>
  <c r="AJ122" i="1" s="1"/>
  <c r="AB122" i="1"/>
  <c r="AA122" i="1"/>
  <c r="Z122" i="1" s="1"/>
  <c r="V122" i="1"/>
  <c r="S122" i="1"/>
  <c r="N122" i="1"/>
  <c r="CZ121" i="1"/>
  <c r="CY121" i="1"/>
  <c r="CW121" i="1"/>
  <c r="CX121" i="1" s="1"/>
  <c r="AY121" i="1" s="1"/>
  <c r="BA121" i="1" s="1"/>
  <c r="BL121" i="1"/>
  <c r="BK121" i="1"/>
  <c r="BG121" i="1"/>
  <c r="BJ121" i="1" s="1"/>
  <c r="BD121" i="1"/>
  <c r="BC121" i="1"/>
  <c r="AW121" i="1"/>
  <c r="AQ121" i="1"/>
  <c r="AL121" i="1"/>
  <c r="AJ121" i="1" s="1"/>
  <c r="AB121" i="1"/>
  <c r="AA121" i="1"/>
  <c r="S121" i="1"/>
  <c r="CZ120" i="1"/>
  <c r="CY120" i="1"/>
  <c r="CW120" i="1"/>
  <c r="CX120" i="1" s="1"/>
  <c r="AY120" i="1" s="1"/>
  <c r="BA120" i="1" s="1"/>
  <c r="BM120" i="1"/>
  <c r="BN120" i="1" s="1"/>
  <c r="BL120" i="1"/>
  <c r="BK120" i="1"/>
  <c r="BI120" i="1"/>
  <c r="BG120" i="1"/>
  <c r="BJ120" i="1" s="1"/>
  <c r="BC120" i="1"/>
  <c r="AW120" i="1"/>
  <c r="AQ120" i="1"/>
  <c r="BD120" i="1" s="1"/>
  <c r="AL120" i="1"/>
  <c r="AJ120" i="1"/>
  <c r="AB120" i="1"/>
  <c r="AA120" i="1"/>
  <c r="Z120" i="1"/>
  <c r="S120" i="1"/>
  <c r="CZ119" i="1"/>
  <c r="CY119" i="1"/>
  <c r="CW119" i="1"/>
  <c r="CX119" i="1" s="1"/>
  <c r="AY119" i="1" s="1"/>
  <c r="BA119" i="1" s="1"/>
  <c r="BL119" i="1"/>
  <c r="BK119" i="1"/>
  <c r="BJ119" i="1"/>
  <c r="BI119" i="1"/>
  <c r="BM119" i="1" s="1"/>
  <c r="BN119" i="1" s="1"/>
  <c r="BG119" i="1"/>
  <c r="BH119" i="1" s="1"/>
  <c r="BC119" i="1"/>
  <c r="AZ119" i="1"/>
  <c r="BB119" i="1" s="1"/>
  <c r="AW119" i="1"/>
  <c r="AQ119" i="1"/>
  <c r="BD119" i="1" s="1"/>
  <c r="AL119" i="1"/>
  <c r="AK119" i="1"/>
  <c r="AJ119" i="1"/>
  <c r="AB119" i="1"/>
  <c r="AA119" i="1"/>
  <c r="Z119" i="1" s="1"/>
  <c r="S119" i="1"/>
  <c r="Q119" i="1"/>
  <c r="N119" i="1"/>
  <c r="M119" i="1"/>
  <c r="L119" i="1"/>
  <c r="K119" i="1"/>
  <c r="AD119" i="1" s="1"/>
  <c r="CZ118" i="1"/>
  <c r="CY118" i="1"/>
  <c r="CX118" i="1"/>
  <c r="AY118" i="1" s="1"/>
  <c r="CW118" i="1"/>
  <c r="BL118" i="1"/>
  <c r="BK118" i="1"/>
  <c r="BH118" i="1"/>
  <c r="BG118" i="1"/>
  <c r="BJ118" i="1" s="1"/>
  <c r="BC118" i="1"/>
  <c r="AW118" i="1"/>
  <c r="BA118" i="1" s="1"/>
  <c r="AQ118" i="1"/>
  <c r="BD118" i="1" s="1"/>
  <c r="AL118" i="1"/>
  <c r="AJ118" i="1" s="1"/>
  <c r="AB118" i="1"/>
  <c r="AA118" i="1"/>
  <c r="Z118" i="1" s="1"/>
  <c r="V118" i="1"/>
  <c r="S118" i="1"/>
  <c r="N118" i="1"/>
  <c r="CZ117" i="1"/>
  <c r="CY117" i="1"/>
  <c r="CW117" i="1"/>
  <c r="CX117" i="1" s="1"/>
  <c r="AY117" i="1" s="1"/>
  <c r="BA117" i="1" s="1"/>
  <c r="BL117" i="1"/>
  <c r="BK117" i="1"/>
  <c r="BG117" i="1"/>
  <c r="BJ117" i="1" s="1"/>
  <c r="BD117" i="1"/>
  <c r="BC117" i="1"/>
  <c r="AW117" i="1"/>
  <c r="AQ117" i="1"/>
  <c r="AL117" i="1"/>
  <c r="AJ117" i="1" s="1"/>
  <c r="AB117" i="1"/>
  <c r="AA117" i="1"/>
  <c r="S117" i="1"/>
  <c r="CZ116" i="1"/>
  <c r="CY116" i="1"/>
  <c r="CW116" i="1"/>
  <c r="CX116" i="1" s="1"/>
  <c r="AY116" i="1" s="1"/>
  <c r="BA116" i="1" s="1"/>
  <c r="BL116" i="1"/>
  <c r="BK116" i="1"/>
  <c r="BI116" i="1"/>
  <c r="BM116" i="1" s="1"/>
  <c r="BN116" i="1" s="1"/>
  <c r="BG116" i="1"/>
  <c r="BJ116" i="1" s="1"/>
  <c r="BC116" i="1"/>
  <c r="AW116" i="1"/>
  <c r="AQ116" i="1"/>
  <c r="BD116" i="1" s="1"/>
  <c r="AL116" i="1"/>
  <c r="AJ116" i="1"/>
  <c r="AB116" i="1"/>
  <c r="AA116" i="1"/>
  <c r="Z116" i="1"/>
  <c r="S116" i="1"/>
  <c r="CZ115" i="1"/>
  <c r="CY115" i="1"/>
  <c r="CW115" i="1"/>
  <c r="CX115" i="1" s="1"/>
  <c r="BL115" i="1"/>
  <c r="BK115" i="1"/>
  <c r="BJ115" i="1"/>
  <c r="BI115" i="1"/>
  <c r="BM115" i="1" s="1"/>
  <c r="BN115" i="1" s="1"/>
  <c r="BG115" i="1"/>
  <c r="BH115" i="1" s="1"/>
  <c r="BC115" i="1"/>
  <c r="AY115" i="1"/>
  <c r="BA115" i="1" s="1"/>
  <c r="AW115" i="1"/>
  <c r="AQ115" i="1"/>
  <c r="BD115" i="1" s="1"/>
  <c r="AL115" i="1"/>
  <c r="AJ115" i="1" s="1"/>
  <c r="AB115" i="1"/>
  <c r="AA115" i="1"/>
  <c r="Z115" i="1" s="1"/>
  <c r="S115" i="1"/>
  <c r="CZ114" i="1"/>
  <c r="CY114" i="1"/>
  <c r="CX114" i="1"/>
  <c r="AY114" i="1" s="1"/>
  <c r="CW114" i="1"/>
  <c r="V114" i="1" s="1"/>
  <c r="BL114" i="1"/>
  <c r="BK114" i="1"/>
  <c r="BG114" i="1"/>
  <c r="BC114" i="1"/>
  <c r="AW114" i="1"/>
  <c r="AQ114" i="1"/>
  <c r="BD114" i="1" s="1"/>
  <c r="AL114" i="1"/>
  <c r="AJ114" i="1" s="1"/>
  <c r="AB114" i="1"/>
  <c r="AA114" i="1"/>
  <c r="Z114" i="1" s="1"/>
  <c r="S114" i="1"/>
  <c r="N114" i="1"/>
  <c r="CZ113" i="1"/>
  <c r="CY113" i="1"/>
  <c r="CW113" i="1"/>
  <c r="CX113" i="1" s="1"/>
  <c r="AY113" i="1" s="1"/>
  <c r="BA113" i="1" s="1"/>
  <c r="BL113" i="1"/>
  <c r="BK113" i="1"/>
  <c r="BG113" i="1"/>
  <c r="BJ113" i="1" s="1"/>
  <c r="BD113" i="1"/>
  <c r="BC113" i="1"/>
  <c r="AW113" i="1"/>
  <c r="AQ113" i="1"/>
  <c r="AL113" i="1"/>
  <c r="AJ113" i="1" s="1"/>
  <c r="AK113" i="1"/>
  <c r="AB113" i="1"/>
  <c r="AA113" i="1"/>
  <c r="S113" i="1"/>
  <c r="CZ112" i="1"/>
  <c r="CY112" i="1"/>
  <c r="CW112" i="1"/>
  <c r="CX112" i="1" s="1"/>
  <c r="AY112" i="1" s="1"/>
  <c r="BL112" i="1"/>
  <c r="BK112" i="1"/>
  <c r="BI112" i="1"/>
  <c r="BM112" i="1" s="1"/>
  <c r="BN112" i="1" s="1"/>
  <c r="BG112" i="1"/>
  <c r="BJ112" i="1" s="1"/>
  <c r="BC112" i="1"/>
  <c r="BA112" i="1"/>
  <c r="AW112" i="1"/>
  <c r="AQ112" i="1"/>
  <c r="BD112" i="1" s="1"/>
  <c r="AL112" i="1"/>
  <c r="AJ112" i="1"/>
  <c r="AB112" i="1"/>
  <c r="AA112" i="1"/>
  <c r="Z112" i="1"/>
  <c r="S112" i="1"/>
  <c r="Q112" i="1"/>
  <c r="CZ111" i="1"/>
  <c r="CY111" i="1"/>
  <c r="CW111" i="1"/>
  <c r="BL111" i="1"/>
  <c r="BK111" i="1"/>
  <c r="BJ111" i="1"/>
  <c r="BI111" i="1"/>
  <c r="BM111" i="1" s="1"/>
  <c r="BN111" i="1" s="1"/>
  <c r="BG111" i="1"/>
  <c r="BH111" i="1" s="1"/>
  <c r="BC111" i="1"/>
  <c r="AZ111" i="1"/>
  <c r="AW111" i="1"/>
  <c r="AQ111" i="1"/>
  <c r="BD111" i="1" s="1"/>
  <c r="AL111" i="1"/>
  <c r="AJ111" i="1" s="1"/>
  <c r="AB111" i="1"/>
  <c r="AA111" i="1"/>
  <c r="Z111" i="1" s="1"/>
  <c r="S111" i="1"/>
  <c r="Q111" i="1"/>
  <c r="M111" i="1"/>
  <c r="CZ110" i="1"/>
  <c r="CY110" i="1"/>
  <c r="CX110" i="1"/>
  <c r="AY110" i="1" s="1"/>
  <c r="BA110" i="1" s="1"/>
  <c r="CW110" i="1"/>
  <c r="BL110" i="1"/>
  <c r="BK110" i="1"/>
  <c r="BG110" i="1"/>
  <c r="BJ110" i="1" s="1"/>
  <c r="BC110" i="1"/>
  <c r="AW110" i="1"/>
  <c r="AQ110" i="1"/>
  <c r="BD110" i="1" s="1"/>
  <c r="AL110" i="1"/>
  <c r="AJ110" i="1" s="1"/>
  <c r="L110" i="1" s="1"/>
  <c r="K110" i="1" s="1"/>
  <c r="AB110" i="1"/>
  <c r="AA110" i="1"/>
  <c r="Z110" i="1" s="1"/>
  <c r="V110" i="1"/>
  <c r="W110" i="1" s="1"/>
  <c r="X110" i="1" s="1"/>
  <c r="S110" i="1"/>
  <c r="N110" i="1"/>
  <c r="M110" i="1"/>
  <c r="AZ110" i="1" s="1"/>
  <c r="CZ109" i="1"/>
  <c r="CY109" i="1"/>
  <c r="CW109" i="1"/>
  <c r="BL109" i="1"/>
  <c r="BK109" i="1"/>
  <c r="BG109" i="1"/>
  <c r="BD109" i="1"/>
  <c r="BC109" i="1"/>
  <c r="AW109" i="1"/>
  <c r="AQ109" i="1"/>
  <c r="AL109" i="1"/>
  <c r="AJ109" i="1" s="1"/>
  <c r="AB109" i="1"/>
  <c r="AA109" i="1"/>
  <c r="Z109" i="1" s="1"/>
  <c r="S109" i="1"/>
  <c r="CZ108" i="1"/>
  <c r="CY108" i="1"/>
  <c r="CW108" i="1"/>
  <c r="CX108" i="1" s="1"/>
  <c r="AY108" i="1" s="1"/>
  <c r="BA108" i="1" s="1"/>
  <c r="BL108" i="1"/>
  <c r="BK108" i="1"/>
  <c r="BJ108" i="1"/>
  <c r="BI108" i="1"/>
  <c r="BM108" i="1" s="1"/>
  <c r="BN108" i="1" s="1"/>
  <c r="BG108" i="1"/>
  <c r="BH108" i="1" s="1"/>
  <c r="BD108" i="1"/>
  <c r="BC108" i="1"/>
  <c r="AW108" i="1"/>
  <c r="AQ108" i="1"/>
  <c r="AL108" i="1"/>
  <c r="AJ108" i="1" s="1"/>
  <c r="AB108" i="1"/>
  <c r="AA108" i="1"/>
  <c r="Z108" i="1" s="1"/>
  <c r="S108" i="1"/>
  <c r="CZ107" i="1"/>
  <c r="CY107" i="1"/>
  <c r="CX107" i="1"/>
  <c r="AY107" i="1" s="1"/>
  <c r="CW107" i="1"/>
  <c r="BL107" i="1"/>
  <c r="BK107" i="1"/>
  <c r="BI107" i="1"/>
  <c r="BM107" i="1" s="1"/>
  <c r="BN107" i="1" s="1"/>
  <c r="BH107" i="1"/>
  <c r="BG107" i="1"/>
  <c r="BJ107" i="1" s="1"/>
  <c r="BC107" i="1"/>
  <c r="AW107" i="1"/>
  <c r="BA107" i="1" s="1"/>
  <c r="AQ107" i="1"/>
  <c r="BD107" i="1" s="1"/>
  <c r="AL107" i="1"/>
  <c r="AJ107" i="1"/>
  <c r="L107" i="1" s="1"/>
  <c r="K107" i="1" s="1"/>
  <c r="AD107" i="1"/>
  <c r="AB107" i="1"/>
  <c r="AA107" i="1"/>
  <c r="Z107" i="1"/>
  <c r="V107" i="1"/>
  <c r="S107" i="1"/>
  <c r="Q107" i="1"/>
  <c r="N107" i="1"/>
  <c r="M107" i="1"/>
  <c r="AZ107" i="1" s="1"/>
  <c r="CZ106" i="1"/>
  <c r="CY106" i="1"/>
  <c r="CW106" i="1"/>
  <c r="CX106" i="1" s="1"/>
  <c r="AY106" i="1" s="1"/>
  <c r="BA106" i="1" s="1"/>
  <c r="BL106" i="1"/>
  <c r="BK106" i="1"/>
  <c r="BG106" i="1"/>
  <c r="BJ106" i="1" s="1"/>
  <c r="BD106" i="1"/>
  <c r="BC106" i="1"/>
  <c r="AW106" i="1"/>
  <c r="AQ106" i="1"/>
  <c r="AL106" i="1"/>
  <c r="AJ106" i="1" s="1"/>
  <c r="AB106" i="1"/>
  <c r="AA106" i="1"/>
  <c r="S106" i="1"/>
  <c r="CZ105" i="1"/>
  <c r="CY105" i="1"/>
  <c r="CW105" i="1"/>
  <c r="CX105" i="1" s="1"/>
  <c r="AY105" i="1" s="1"/>
  <c r="BA105" i="1" s="1"/>
  <c r="BM105" i="1"/>
  <c r="BN105" i="1" s="1"/>
  <c r="BL105" i="1"/>
  <c r="BK105" i="1"/>
  <c r="BI105" i="1"/>
  <c r="BG105" i="1"/>
  <c r="BJ105" i="1" s="1"/>
  <c r="BC105" i="1"/>
  <c r="AW105" i="1"/>
  <c r="AQ105" i="1"/>
  <c r="BD105" i="1" s="1"/>
  <c r="AL105" i="1"/>
  <c r="AJ105" i="1"/>
  <c r="AB105" i="1"/>
  <c r="AA105" i="1"/>
  <c r="Z105" i="1" s="1"/>
  <c r="V105" i="1"/>
  <c r="S105" i="1"/>
  <c r="CZ104" i="1"/>
  <c r="CY104" i="1"/>
  <c r="CW104" i="1"/>
  <c r="CX104" i="1" s="1"/>
  <c r="AY104" i="1" s="1"/>
  <c r="BA104" i="1" s="1"/>
  <c r="BL104" i="1"/>
  <c r="BK104" i="1"/>
  <c r="BJ104" i="1"/>
  <c r="BI104" i="1"/>
  <c r="BM104" i="1" s="1"/>
  <c r="BN104" i="1" s="1"/>
  <c r="BG104" i="1"/>
  <c r="BH104" i="1" s="1"/>
  <c r="BC104" i="1"/>
  <c r="AW104" i="1"/>
  <c r="AQ104" i="1"/>
  <c r="BD104" i="1" s="1"/>
  <c r="AL104" i="1"/>
  <c r="AJ104" i="1" s="1"/>
  <c r="AB104" i="1"/>
  <c r="AA104" i="1"/>
  <c r="Z104" i="1" s="1"/>
  <c r="S104" i="1"/>
  <c r="Q104" i="1"/>
  <c r="CZ103" i="1"/>
  <c r="CY103" i="1"/>
  <c r="CX103" i="1" s="1"/>
  <c r="AY103" i="1" s="1"/>
  <c r="CW103" i="1"/>
  <c r="BL103" i="1"/>
  <c r="BK103" i="1"/>
  <c r="BI103" i="1"/>
  <c r="BM103" i="1" s="1"/>
  <c r="BN103" i="1" s="1"/>
  <c r="BH103" i="1"/>
  <c r="BG103" i="1"/>
  <c r="BJ103" i="1" s="1"/>
  <c r="BC103" i="1"/>
  <c r="AW103" i="1"/>
  <c r="AQ103" i="1"/>
  <c r="BD103" i="1" s="1"/>
  <c r="AL103" i="1"/>
  <c r="AK103" i="1"/>
  <c r="AJ103" i="1"/>
  <c r="L103" i="1" s="1"/>
  <c r="K103" i="1" s="1"/>
  <c r="AB103" i="1"/>
  <c r="AA103" i="1"/>
  <c r="Z103" i="1" s="1"/>
  <c r="V103" i="1"/>
  <c r="S103" i="1"/>
  <c r="Q103" i="1"/>
  <c r="N103" i="1"/>
  <c r="M103" i="1"/>
  <c r="AZ103" i="1" s="1"/>
  <c r="CZ102" i="1"/>
  <c r="CY102" i="1"/>
  <c r="CW102" i="1"/>
  <c r="BL102" i="1"/>
  <c r="BK102" i="1"/>
  <c r="BG102" i="1"/>
  <c r="BC102" i="1"/>
  <c r="AW102" i="1"/>
  <c r="AQ102" i="1"/>
  <c r="BD102" i="1" s="1"/>
  <c r="AL102" i="1"/>
  <c r="AJ102" i="1" s="1"/>
  <c r="AB102" i="1"/>
  <c r="AA102" i="1"/>
  <c r="Z102" i="1" s="1"/>
  <c r="S102" i="1"/>
  <c r="M102" i="1"/>
  <c r="AZ102" i="1" s="1"/>
  <c r="CZ101" i="1"/>
  <c r="CY101" i="1"/>
  <c r="CW101" i="1"/>
  <c r="CX101" i="1" s="1"/>
  <c r="BL101" i="1"/>
  <c r="BK101" i="1"/>
  <c r="BG101" i="1"/>
  <c r="BC101" i="1"/>
  <c r="AY101" i="1"/>
  <c r="BA101" i="1" s="1"/>
  <c r="AW101" i="1"/>
  <c r="AQ101" i="1"/>
  <c r="BD101" i="1" s="1"/>
  <c r="AL101" i="1"/>
  <c r="AK101" i="1"/>
  <c r="AJ101" i="1"/>
  <c r="AB101" i="1"/>
  <c r="AA101" i="1"/>
  <c r="Z101" i="1" s="1"/>
  <c r="S101" i="1"/>
  <c r="Q101" i="1"/>
  <c r="CZ100" i="1"/>
  <c r="CY100" i="1"/>
  <c r="CW100" i="1"/>
  <c r="BM100" i="1"/>
  <c r="BN100" i="1" s="1"/>
  <c r="BL100" i="1"/>
  <c r="BK100" i="1"/>
  <c r="BI100" i="1"/>
  <c r="BG100" i="1"/>
  <c r="BH100" i="1" s="1"/>
  <c r="BC100" i="1"/>
  <c r="AW100" i="1"/>
  <c r="AQ100" i="1"/>
  <c r="BD100" i="1" s="1"/>
  <c r="AL100" i="1"/>
  <c r="AJ100" i="1" s="1"/>
  <c r="N100" i="1" s="1"/>
  <c r="AB100" i="1"/>
  <c r="AA100" i="1"/>
  <c r="Z100" i="1" s="1"/>
  <c r="S100" i="1"/>
  <c r="Q100" i="1"/>
  <c r="M100" i="1"/>
  <c r="AZ100" i="1" s="1"/>
  <c r="L100" i="1"/>
  <c r="K100" i="1" s="1"/>
  <c r="CZ99" i="1"/>
  <c r="CY99" i="1"/>
  <c r="CX99" i="1" s="1"/>
  <c r="AY99" i="1" s="1"/>
  <c r="CW99" i="1"/>
  <c r="BL99" i="1"/>
  <c r="BK99" i="1"/>
  <c r="BG99" i="1"/>
  <c r="BC99" i="1"/>
  <c r="AW99" i="1"/>
  <c r="AQ99" i="1"/>
  <c r="BD99" i="1" s="1"/>
  <c r="AL99" i="1"/>
  <c r="AK99" i="1"/>
  <c r="AJ99" i="1"/>
  <c r="L99" i="1" s="1"/>
  <c r="K99" i="1" s="1"/>
  <c r="AB99" i="1"/>
  <c r="AA99" i="1"/>
  <c r="Z99" i="1"/>
  <c r="V99" i="1"/>
  <c r="S99" i="1"/>
  <c r="N99" i="1"/>
  <c r="CZ98" i="1"/>
  <c r="CY98" i="1"/>
  <c r="CW98" i="1"/>
  <c r="BL98" i="1"/>
  <c r="BK98" i="1"/>
  <c r="BG98" i="1"/>
  <c r="BH98" i="1" s="1"/>
  <c r="BD98" i="1"/>
  <c r="BC98" i="1"/>
  <c r="AW98" i="1"/>
  <c r="AQ98" i="1"/>
  <c r="AL98" i="1"/>
  <c r="AJ98" i="1" s="1"/>
  <c r="N98" i="1" s="1"/>
  <c r="AB98" i="1"/>
  <c r="AA98" i="1"/>
  <c r="Z98" i="1" s="1"/>
  <c r="S98" i="1"/>
  <c r="CZ97" i="1"/>
  <c r="CY97" i="1"/>
  <c r="CW97" i="1"/>
  <c r="CX97" i="1" s="1"/>
  <c r="AY97" i="1" s="1"/>
  <c r="BA97" i="1" s="1"/>
  <c r="BL97" i="1"/>
  <c r="BK97" i="1"/>
  <c r="BI97" i="1"/>
  <c r="BM97" i="1" s="1"/>
  <c r="BN97" i="1" s="1"/>
  <c r="BH97" i="1"/>
  <c r="BG97" i="1"/>
  <c r="BJ97" i="1" s="1"/>
  <c r="BC97" i="1"/>
  <c r="AW97" i="1"/>
  <c r="AQ97" i="1"/>
  <c r="BD97" i="1" s="1"/>
  <c r="AL97" i="1"/>
  <c r="AK97" i="1"/>
  <c r="AJ97" i="1"/>
  <c r="AB97" i="1"/>
  <c r="AA97" i="1"/>
  <c r="Z97" i="1" s="1"/>
  <c r="V97" i="1"/>
  <c r="S97" i="1"/>
  <c r="Q97" i="1"/>
  <c r="N97" i="1"/>
  <c r="M97" i="1"/>
  <c r="AZ97" i="1" s="1"/>
  <c r="BB97" i="1" s="1"/>
  <c r="L97" i="1"/>
  <c r="K97" i="1" s="1"/>
  <c r="CZ96" i="1"/>
  <c r="CY96" i="1"/>
  <c r="CW96" i="1"/>
  <c r="BL96" i="1"/>
  <c r="BK96" i="1"/>
  <c r="BG96" i="1"/>
  <c r="BC96" i="1"/>
  <c r="AW96" i="1"/>
  <c r="AQ96" i="1"/>
  <c r="BD96" i="1" s="1"/>
  <c r="AL96" i="1"/>
  <c r="AJ96" i="1" s="1"/>
  <c r="AB96" i="1"/>
  <c r="AA96" i="1"/>
  <c r="Z96" i="1" s="1"/>
  <c r="S96" i="1"/>
  <c r="CZ95" i="1"/>
  <c r="CY95" i="1"/>
  <c r="CW95" i="1"/>
  <c r="CX95" i="1" s="1"/>
  <c r="AY95" i="1" s="1"/>
  <c r="BL95" i="1"/>
  <c r="BK95" i="1"/>
  <c r="BJ95" i="1"/>
  <c r="BI95" i="1"/>
  <c r="BM95" i="1" s="1"/>
  <c r="BN95" i="1" s="1"/>
  <c r="BH95" i="1"/>
  <c r="BG95" i="1"/>
  <c r="BC95" i="1"/>
  <c r="AW95" i="1"/>
  <c r="BA95" i="1" s="1"/>
  <c r="AQ95" i="1"/>
  <c r="BD95" i="1" s="1"/>
  <c r="AL95" i="1"/>
  <c r="AJ95" i="1"/>
  <c r="L95" i="1" s="1"/>
  <c r="K95" i="1" s="1"/>
  <c r="AD95" i="1"/>
  <c r="AB95" i="1"/>
  <c r="AA95" i="1"/>
  <c r="Z95" i="1"/>
  <c r="V95" i="1"/>
  <c r="S95" i="1"/>
  <c r="Q95" i="1"/>
  <c r="N95" i="1"/>
  <c r="M95" i="1"/>
  <c r="AZ95" i="1" s="1"/>
  <c r="CZ94" i="1"/>
  <c r="CY94" i="1"/>
  <c r="CW94" i="1"/>
  <c r="CX94" i="1" s="1"/>
  <c r="AY94" i="1" s="1"/>
  <c r="BA94" i="1" s="1"/>
  <c r="BN94" i="1"/>
  <c r="BL94" i="1"/>
  <c r="BK94" i="1"/>
  <c r="BI94" i="1"/>
  <c r="BM94" i="1" s="1"/>
  <c r="BG94" i="1"/>
  <c r="BJ94" i="1" s="1"/>
  <c r="BD94" i="1"/>
  <c r="BC94" i="1"/>
  <c r="AW94" i="1"/>
  <c r="AQ94" i="1"/>
  <c r="AL94" i="1"/>
  <c r="AJ94" i="1" s="1"/>
  <c r="AB94" i="1"/>
  <c r="AA94" i="1"/>
  <c r="S94" i="1"/>
  <c r="CZ93" i="1"/>
  <c r="CY93" i="1"/>
  <c r="CW93" i="1"/>
  <c r="CX93" i="1" s="1"/>
  <c r="AY93" i="1" s="1"/>
  <c r="BA93" i="1" s="1"/>
  <c r="BL93" i="1"/>
  <c r="BK93" i="1"/>
  <c r="BG93" i="1"/>
  <c r="BJ93" i="1" s="1"/>
  <c r="BC93" i="1"/>
  <c r="AW93" i="1"/>
  <c r="AQ93" i="1"/>
  <c r="BD93" i="1" s="1"/>
  <c r="AL93" i="1"/>
  <c r="AJ93" i="1"/>
  <c r="AB93" i="1"/>
  <c r="AA93" i="1"/>
  <c r="Z93" i="1"/>
  <c r="S93" i="1"/>
  <c r="CZ92" i="1"/>
  <c r="CY92" i="1"/>
  <c r="CW92" i="1"/>
  <c r="CX92" i="1" s="1"/>
  <c r="AY92" i="1" s="1"/>
  <c r="BA92" i="1" s="1"/>
  <c r="BM92" i="1"/>
  <c r="BN92" i="1" s="1"/>
  <c r="BL92" i="1"/>
  <c r="BK92" i="1"/>
  <c r="BJ92" i="1"/>
  <c r="BI92" i="1"/>
  <c r="BG92" i="1"/>
  <c r="BH92" i="1" s="1"/>
  <c r="BC92" i="1"/>
  <c r="AW92" i="1"/>
  <c r="AQ92" i="1"/>
  <c r="BD92" i="1" s="1"/>
  <c r="AL92" i="1"/>
  <c r="AJ92" i="1" s="1"/>
  <c r="AB92" i="1"/>
  <c r="AA92" i="1"/>
  <c r="Z92" i="1" s="1"/>
  <c r="S92" i="1"/>
  <c r="CZ91" i="1"/>
  <c r="CY91" i="1"/>
  <c r="CX91" i="1"/>
  <c r="AY91" i="1" s="1"/>
  <c r="CW91" i="1"/>
  <c r="BL91" i="1"/>
  <c r="BK91" i="1"/>
  <c r="BH91" i="1"/>
  <c r="BG91" i="1"/>
  <c r="BJ91" i="1" s="1"/>
  <c r="BC91" i="1"/>
  <c r="AW91" i="1"/>
  <c r="BA91" i="1" s="1"/>
  <c r="AQ91" i="1"/>
  <c r="BD91" i="1" s="1"/>
  <c r="AL91" i="1"/>
  <c r="AJ91" i="1"/>
  <c r="L91" i="1" s="1"/>
  <c r="K91" i="1" s="1"/>
  <c r="AD91" i="1"/>
  <c r="AB91" i="1"/>
  <c r="AA91" i="1"/>
  <c r="Z91" i="1"/>
  <c r="V91" i="1"/>
  <c r="S91" i="1"/>
  <c r="Q91" i="1"/>
  <c r="N91" i="1"/>
  <c r="M91" i="1"/>
  <c r="AZ91" i="1" s="1"/>
  <c r="BB91" i="1" s="1"/>
  <c r="CZ90" i="1"/>
  <c r="CY90" i="1"/>
  <c r="CW90" i="1"/>
  <c r="CX90" i="1" s="1"/>
  <c r="AY90" i="1" s="1"/>
  <c r="BA90" i="1" s="1"/>
  <c r="BL90" i="1"/>
  <c r="BK90" i="1"/>
  <c r="BI90" i="1"/>
  <c r="BM90" i="1" s="1"/>
  <c r="BN90" i="1" s="1"/>
  <c r="BG90" i="1"/>
  <c r="BJ90" i="1" s="1"/>
  <c r="BD90" i="1"/>
  <c r="BC90" i="1"/>
  <c r="AW90" i="1"/>
  <c r="AQ90" i="1"/>
  <c r="AL90" i="1"/>
  <c r="AJ90" i="1" s="1"/>
  <c r="AB90" i="1"/>
  <c r="AA90" i="1"/>
  <c r="Z90" i="1" s="1"/>
  <c r="S90" i="1"/>
  <c r="CZ89" i="1"/>
  <c r="CY89" i="1"/>
  <c r="CW89" i="1"/>
  <c r="CX89" i="1" s="1"/>
  <c r="AY89" i="1" s="1"/>
  <c r="BA89" i="1" s="1"/>
  <c r="BL89" i="1"/>
  <c r="BK89" i="1"/>
  <c r="BG89" i="1"/>
  <c r="BJ89" i="1" s="1"/>
  <c r="BC89" i="1"/>
  <c r="AW89" i="1"/>
  <c r="AQ89" i="1"/>
  <c r="BD89" i="1" s="1"/>
  <c r="AL89" i="1"/>
  <c r="AJ89" i="1"/>
  <c r="AB89" i="1"/>
  <c r="AA89" i="1"/>
  <c r="Z89" i="1"/>
  <c r="S89" i="1"/>
  <c r="CZ88" i="1"/>
  <c r="CY88" i="1"/>
  <c r="CW88" i="1"/>
  <c r="CX88" i="1" s="1"/>
  <c r="AY88" i="1" s="1"/>
  <c r="BA88" i="1" s="1"/>
  <c r="BM88" i="1"/>
  <c r="BN88" i="1" s="1"/>
  <c r="BL88" i="1"/>
  <c r="BK88" i="1"/>
  <c r="BJ88" i="1"/>
  <c r="BI88" i="1"/>
  <c r="BG88" i="1"/>
  <c r="BH88" i="1" s="1"/>
  <c r="BC88" i="1"/>
  <c r="AW88" i="1"/>
  <c r="AQ88" i="1"/>
  <c r="BD88" i="1" s="1"/>
  <c r="AL88" i="1"/>
  <c r="AJ88" i="1" s="1"/>
  <c r="AB88" i="1"/>
  <c r="AA88" i="1"/>
  <c r="Z88" i="1" s="1"/>
  <c r="S88" i="1"/>
  <c r="CZ87" i="1"/>
  <c r="CY87" i="1"/>
  <c r="CX87" i="1"/>
  <c r="AY87" i="1" s="1"/>
  <c r="CW87" i="1"/>
  <c r="BL87" i="1"/>
  <c r="BK87" i="1"/>
  <c r="BH87" i="1"/>
  <c r="BG87" i="1"/>
  <c r="BJ87" i="1" s="1"/>
  <c r="BC87" i="1"/>
  <c r="AW87" i="1"/>
  <c r="BA87" i="1" s="1"/>
  <c r="AQ87" i="1"/>
  <c r="BD87" i="1" s="1"/>
  <c r="AL87" i="1"/>
  <c r="AJ87" i="1"/>
  <c r="L87" i="1" s="1"/>
  <c r="K87" i="1" s="1"/>
  <c r="AD87" i="1" s="1"/>
  <c r="AB87" i="1"/>
  <c r="AA87" i="1"/>
  <c r="Z87" i="1"/>
  <c r="V87" i="1"/>
  <c r="S87" i="1"/>
  <c r="Q87" i="1"/>
  <c r="N87" i="1"/>
  <c r="M87" i="1"/>
  <c r="AZ87" i="1" s="1"/>
  <c r="BB87" i="1" s="1"/>
  <c r="CZ86" i="1"/>
  <c r="CY86" i="1"/>
  <c r="CW86" i="1"/>
  <c r="CX86" i="1" s="1"/>
  <c r="BL86" i="1"/>
  <c r="BK86" i="1"/>
  <c r="BI86" i="1"/>
  <c r="BM86" i="1" s="1"/>
  <c r="BN86" i="1" s="1"/>
  <c r="BG86" i="1"/>
  <c r="BJ86" i="1" s="1"/>
  <c r="BD86" i="1"/>
  <c r="BC86" i="1"/>
  <c r="AY86" i="1"/>
  <c r="BA86" i="1" s="1"/>
  <c r="AW86" i="1"/>
  <c r="AQ86" i="1"/>
  <c r="AL86" i="1"/>
  <c r="AJ86" i="1" s="1"/>
  <c r="AB86" i="1"/>
  <c r="AA86" i="1"/>
  <c r="S86" i="1"/>
  <c r="L86" i="1"/>
  <c r="K86" i="1" s="1"/>
  <c r="AD86" i="1" s="1"/>
  <c r="CZ85" i="1"/>
  <c r="CY85" i="1"/>
  <c r="CW85" i="1"/>
  <c r="BL85" i="1"/>
  <c r="BK85" i="1"/>
  <c r="BG85" i="1"/>
  <c r="BC85" i="1"/>
  <c r="AW85" i="1"/>
  <c r="AQ85" i="1"/>
  <c r="BD85" i="1" s="1"/>
  <c r="AL85" i="1"/>
  <c r="AJ85" i="1"/>
  <c r="AB85" i="1"/>
  <c r="AA85" i="1"/>
  <c r="Z85" i="1"/>
  <c r="S85" i="1"/>
  <c r="M85" i="1"/>
  <c r="AZ85" i="1" s="1"/>
  <c r="CZ84" i="1"/>
  <c r="CY84" i="1"/>
  <c r="CW84" i="1"/>
  <c r="CX84" i="1" s="1"/>
  <c r="AY84" i="1" s="1"/>
  <c r="BA84" i="1" s="1"/>
  <c r="BM84" i="1"/>
  <c r="BN84" i="1" s="1"/>
  <c r="BL84" i="1"/>
  <c r="BK84" i="1"/>
  <c r="BJ84" i="1"/>
  <c r="BI84" i="1"/>
  <c r="BG84" i="1"/>
  <c r="BH84" i="1" s="1"/>
  <c r="BC84" i="1"/>
  <c r="AW84" i="1"/>
  <c r="AQ84" i="1"/>
  <c r="BD84" i="1" s="1"/>
  <c r="AL84" i="1"/>
  <c r="AJ84" i="1" s="1"/>
  <c r="AK84" i="1" s="1"/>
  <c r="AB84" i="1"/>
  <c r="AA84" i="1"/>
  <c r="Z84" i="1" s="1"/>
  <c r="S84" i="1"/>
  <c r="CZ83" i="1"/>
  <c r="CY83" i="1"/>
  <c r="CW83" i="1"/>
  <c r="CX83" i="1" s="1"/>
  <c r="AY83" i="1" s="1"/>
  <c r="BL83" i="1"/>
  <c r="BK83" i="1"/>
  <c r="BG83" i="1"/>
  <c r="BC83" i="1"/>
  <c r="AW83" i="1"/>
  <c r="BA83" i="1" s="1"/>
  <c r="AQ83" i="1"/>
  <c r="BD83" i="1" s="1"/>
  <c r="AL83" i="1"/>
  <c r="AJ83" i="1"/>
  <c r="L83" i="1" s="1"/>
  <c r="K83" i="1" s="1"/>
  <c r="AB83" i="1"/>
  <c r="AA83" i="1"/>
  <c r="Z83" i="1"/>
  <c r="S83" i="1"/>
  <c r="Q83" i="1"/>
  <c r="N83" i="1"/>
  <c r="M83" i="1"/>
  <c r="AZ83" i="1" s="1"/>
  <c r="CZ82" i="1"/>
  <c r="CY82" i="1"/>
  <c r="CW82" i="1"/>
  <c r="BL82" i="1"/>
  <c r="BK82" i="1"/>
  <c r="BG82" i="1"/>
  <c r="BD82" i="1"/>
  <c r="BC82" i="1"/>
  <c r="AW82" i="1"/>
  <c r="AQ82" i="1"/>
  <c r="AL82" i="1"/>
  <c r="AJ82" i="1" s="1"/>
  <c r="AK82" i="1"/>
  <c r="AB82" i="1"/>
  <c r="AA82" i="1"/>
  <c r="Z82" i="1" s="1"/>
  <c r="S82" i="1"/>
  <c r="M82" i="1"/>
  <c r="AZ82" i="1" s="1"/>
  <c r="CZ81" i="1"/>
  <c r="CY81" i="1"/>
  <c r="CW81" i="1"/>
  <c r="BL81" i="1"/>
  <c r="BK81" i="1"/>
  <c r="BG81" i="1"/>
  <c r="BC81" i="1"/>
  <c r="AW81" i="1"/>
  <c r="AQ81" i="1"/>
  <c r="BD81" i="1" s="1"/>
  <c r="AL81" i="1"/>
  <c r="AJ81" i="1"/>
  <c r="AB81" i="1"/>
  <c r="AA81" i="1"/>
  <c r="Z81" i="1" s="1"/>
  <c r="S81" i="1"/>
  <c r="Q81" i="1"/>
  <c r="CZ80" i="1"/>
  <c r="CY80" i="1"/>
  <c r="CW80" i="1"/>
  <c r="BM80" i="1"/>
  <c r="BN80" i="1" s="1"/>
  <c r="BL80" i="1"/>
  <c r="BK80" i="1"/>
  <c r="BI80" i="1"/>
  <c r="BG80" i="1"/>
  <c r="BH80" i="1" s="1"/>
  <c r="BC80" i="1"/>
  <c r="AW80" i="1"/>
  <c r="AQ80" i="1"/>
  <c r="BD80" i="1" s="1"/>
  <c r="AL80" i="1"/>
  <c r="AJ80" i="1" s="1"/>
  <c r="N80" i="1" s="1"/>
  <c r="AB80" i="1"/>
  <c r="AA80" i="1"/>
  <c r="Z80" i="1" s="1"/>
  <c r="S80" i="1"/>
  <c r="L80" i="1"/>
  <c r="K80" i="1"/>
  <c r="CZ79" i="1"/>
  <c r="CY79" i="1"/>
  <c r="CW79" i="1"/>
  <c r="CX79" i="1" s="1"/>
  <c r="AY79" i="1" s="1"/>
  <c r="BL79" i="1"/>
  <c r="BK79" i="1"/>
  <c r="BI79" i="1"/>
  <c r="BM79" i="1" s="1"/>
  <c r="BN79" i="1" s="1"/>
  <c r="BH79" i="1"/>
  <c r="BG79" i="1"/>
  <c r="BJ79" i="1" s="1"/>
  <c r="BC79" i="1"/>
  <c r="AW79" i="1"/>
  <c r="BA79" i="1" s="1"/>
  <c r="AQ79" i="1"/>
  <c r="BD79" i="1" s="1"/>
  <c r="AL79" i="1"/>
  <c r="AJ79" i="1"/>
  <c r="L79" i="1" s="1"/>
  <c r="K79" i="1" s="1"/>
  <c r="AD79" i="1"/>
  <c r="AB79" i="1"/>
  <c r="AA79" i="1"/>
  <c r="Z79" i="1"/>
  <c r="V79" i="1"/>
  <c r="S79" i="1"/>
  <c r="N79" i="1"/>
  <c r="CZ78" i="1"/>
  <c r="CY78" i="1"/>
  <c r="CW78" i="1"/>
  <c r="CX78" i="1" s="1"/>
  <c r="AY78" i="1" s="1"/>
  <c r="BL78" i="1"/>
  <c r="BK78" i="1"/>
  <c r="BG78" i="1"/>
  <c r="BJ78" i="1" s="1"/>
  <c r="BD78" i="1"/>
  <c r="BC78" i="1"/>
  <c r="AW78" i="1"/>
  <c r="AQ78" i="1"/>
  <c r="AL78" i="1"/>
  <c r="AJ78" i="1" s="1"/>
  <c r="AB78" i="1"/>
  <c r="AA78" i="1"/>
  <c r="Z78" i="1" s="1"/>
  <c r="S78" i="1"/>
  <c r="L78" i="1"/>
  <c r="K78" i="1" s="1"/>
  <c r="AD78" i="1" s="1"/>
  <c r="CZ77" i="1"/>
  <c r="CY77" i="1"/>
  <c r="CX77" i="1"/>
  <c r="AY77" i="1" s="1"/>
  <c r="CW77" i="1"/>
  <c r="BL77" i="1"/>
  <c r="BK77" i="1"/>
  <c r="BH77" i="1"/>
  <c r="BG77" i="1"/>
  <c r="BJ77" i="1" s="1"/>
  <c r="BC77" i="1"/>
  <c r="AW77" i="1"/>
  <c r="BA77" i="1" s="1"/>
  <c r="AQ77" i="1"/>
  <c r="BD77" i="1" s="1"/>
  <c r="AL77" i="1"/>
  <c r="AJ77" i="1"/>
  <c r="AB77" i="1"/>
  <c r="AA77" i="1"/>
  <c r="Z77" i="1"/>
  <c r="V77" i="1"/>
  <c r="S77" i="1"/>
  <c r="CZ76" i="1"/>
  <c r="CY76" i="1"/>
  <c r="CW76" i="1"/>
  <c r="CX76" i="1" s="1"/>
  <c r="AY76" i="1" s="1"/>
  <c r="BA76" i="1" s="1"/>
  <c r="BL76" i="1"/>
  <c r="BK76" i="1"/>
  <c r="BJ76" i="1"/>
  <c r="BI76" i="1"/>
  <c r="BM76" i="1" s="1"/>
  <c r="BN76" i="1" s="1"/>
  <c r="BG76" i="1"/>
  <c r="BH76" i="1" s="1"/>
  <c r="BD76" i="1"/>
  <c r="BC76" i="1"/>
  <c r="AW76" i="1"/>
  <c r="AQ76" i="1"/>
  <c r="AL76" i="1"/>
  <c r="AJ76" i="1" s="1"/>
  <c r="AB76" i="1"/>
  <c r="AA76" i="1"/>
  <c r="Z76" i="1" s="1"/>
  <c r="S76" i="1"/>
  <c r="CZ75" i="1"/>
  <c r="CY75" i="1"/>
  <c r="CX75" i="1"/>
  <c r="AY75" i="1" s="1"/>
  <c r="CW75" i="1"/>
  <c r="BL75" i="1"/>
  <c r="BK75" i="1"/>
  <c r="BI75" i="1"/>
  <c r="BM75" i="1" s="1"/>
  <c r="BN75" i="1" s="1"/>
  <c r="BH75" i="1"/>
  <c r="BG75" i="1"/>
  <c r="BJ75" i="1" s="1"/>
  <c r="BC75" i="1"/>
  <c r="AW75" i="1"/>
  <c r="BA75" i="1" s="1"/>
  <c r="AQ75" i="1"/>
  <c r="BD75" i="1" s="1"/>
  <c r="AL75" i="1"/>
  <c r="AJ75" i="1"/>
  <c r="L75" i="1" s="1"/>
  <c r="K75" i="1" s="1"/>
  <c r="AD75" i="1"/>
  <c r="AB75" i="1"/>
  <c r="AA75" i="1"/>
  <c r="Z75" i="1"/>
  <c r="V75" i="1"/>
  <c r="S75" i="1"/>
  <c r="N75" i="1"/>
  <c r="CZ74" i="1"/>
  <c r="CY74" i="1"/>
  <c r="CW74" i="1"/>
  <c r="CX74" i="1" s="1"/>
  <c r="AY74" i="1" s="1"/>
  <c r="BA74" i="1" s="1"/>
  <c r="BL74" i="1"/>
  <c r="BK74" i="1"/>
  <c r="BG74" i="1"/>
  <c r="BJ74" i="1" s="1"/>
  <c r="BD74" i="1"/>
  <c r="BC74" i="1"/>
  <c r="AW74" i="1"/>
  <c r="AQ74" i="1"/>
  <c r="AL74" i="1"/>
  <c r="AJ74" i="1" s="1"/>
  <c r="AB74" i="1"/>
  <c r="AA74" i="1"/>
  <c r="S74" i="1"/>
  <c r="CZ73" i="1"/>
  <c r="CY73" i="1"/>
  <c r="CX73" i="1"/>
  <c r="AY73" i="1" s="1"/>
  <c r="CW73" i="1"/>
  <c r="BL73" i="1"/>
  <c r="BK73" i="1"/>
  <c r="BH73" i="1"/>
  <c r="BG73" i="1"/>
  <c r="BJ73" i="1" s="1"/>
  <c r="BC73" i="1"/>
  <c r="AW73" i="1"/>
  <c r="BA73" i="1" s="1"/>
  <c r="AQ73" i="1"/>
  <c r="BD73" i="1" s="1"/>
  <c r="AL73" i="1"/>
  <c r="AJ73" i="1"/>
  <c r="AB73" i="1"/>
  <c r="AA73" i="1"/>
  <c r="Z73" i="1"/>
  <c r="V73" i="1"/>
  <c r="S73" i="1"/>
  <c r="CZ72" i="1"/>
  <c r="CY72" i="1"/>
  <c r="CW72" i="1"/>
  <c r="CX72" i="1" s="1"/>
  <c r="AY72" i="1" s="1"/>
  <c r="BA72" i="1" s="1"/>
  <c r="BN72" i="1"/>
  <c r="BM72" i="1"/>
  <c r="BL72" i="1"/>
  <c r="BK72" i="1"/>
  <c r="BJ72" i="1"/>
  <c r="BI72" i="1"/>
  <c r="BG72" i="1"/>
  <c r="BH72" i="1" s="1"/>
  <c r="BD72" i="1"/>
  <c r="BC72" i="1"/>
  <c r="AW72" i="1"/>
  <c r="AQ72" i="1"/>
  <c r="AL72" i="1"/>
  <c r="AJ72" i="1" s="1"/>
  <c r="AB72" i="1"/>
  <c r="AA72" i="1"/>
  <c r="Z72" i="1" s="1"/>
  <c r="S72" i="1"/>
  <c r="CZ71" i="1"/>
  <c r="CY71" i="1"/>
  <c r="CX71" i="1"/>
  <c r="AY71" i="1" s="1"/>
  <c r="CW71" i="1"/>
  <c r="BL71" i="1"/>
  <c r="BK71" i="1"/>
  <c r="BI71" i="1"/>
  <c r="BM71" i="1" s="1"/>
  <c r="BN71" i="1" s="1"/>
  <c r="BH71" i="1"/>
  <c r="BG71" i="1"/>
  <c r="BJ71" i="1" s="1"/>
  <c r="BC71" i="1"/>
  <c r="AW71" i="1"/>
  <c r="BA71" i="1" s="1"/>
  <c r="AQ71" i="1"/>
  <c r="BD71" i="1" s="1"/>
  <c r="AL71" i="1"/>
  <c r="AJ71" i="1"/>
  <c r="L71" i="1" s="1"/>
  <c r="K71" i="1" s="1"/>
  <c r="AD71" i="1"/>
  <c r="AB71" i="1"/>
  <c r="AA71" i="1"/>
  <c r="Z71" i="1"/>
  <c r="V71" i="1"/>
  <c r="S71" i="1"/>
  <c r="N71" i="1"/>
  <c r="CZ70" i="1"/>
  <c r="CY70" i="1"/>
  <c r="CW70" i="1"/>
  <c r="CX70" i="1" s="1"/>
  <c r="AY70" i="1" s="1"/>
  <c r="BN70" i="1"/>
  <c r="BL70" i="1"/>
  <c r="BK70" i="1"/>
  <c r="BJ70" i="1"/>
  <c r="BG70" i="1"/>
  <c r="BI70" i="1" s="1"/>
  <c r="BM70" i="1" s="1"/>
  <c r="BD70" i="1"/>
  <c r="BC70" i="1"/>
  <c r="AW70" i="1"/>
  <c r="BA70" i="1" s="1"/>
  <c r="AQ70" i="1"/>
  <c r="AL70" i="1"/>
  <c r="AJ70" i="1" s="1"/>
  <c r="AB70" i="1"/>
  <c r="AA70" i="1"/>
  <c r="S70" i="1"/>
  <c r="CZ69" i="1"/>
  <c r="CY69" i="1"/>
  <c r="CX69" i="1"/>
  <c r="AY69" i="1" s="1"/>
  <c r="CW69" i="1"/>
  <c r="BL69" i="1"/>
  <c r="BK69" i="1"/>
  <c r="BH69" i="1"/>
  <c r="BG69" i="1"/>
  <c r="BJ69" i="1" s="1"/>
  <c r="BC69" i="1"/>
  <c r="AW69" i="1"/>
  <c r="AQ69" i="1"/>
  <c r="BD69" i="1" s="1"/>
  <c r="AL69" i="1"/>
  <c r="AJ69" i="1"/>
  <c r="AB69" i="1"/>
  <c r="AA69" i="1"/>
  <c r="Z69" i="1"/>
  <c r="V69" i="1"/>
  <c r="S69" i="1"/>
  <c r="CZ68" i="1"/>
  <c r="CY68" i="1"/>
  <c r="CW68" i="1"/>
  <c r="CX68" i="1" s="1"/>
  <c r="AY68" i="1" s="1"/>
  <c r="BA68" i="1" s="1"/>
  <c r="BN68" i="1"/>
  <c r="BM68" i="1"/>
  <c r="BL68" i="1"/>
  <c r="BK68" i="1"/>
  <c r="BJ68" i="1"/>
  <c r="BI68" i="1"/>
  <c r="BG68" i="1"/>
  <c r="BH68" i="1" s="1"/>
  <c r="BD68" i="1"/>
  <c r="BC68" i="1"/>
  <c r="AW68" i="1"/>
  <c r="AQ68" i="1"/>
  <c r="AL68" i="1"/>
  <c r="AJ68" i="1" s="1"/>
  <c r="AB68" i="1"/>
  <c r="AA68" i="1"/>
  <c r="Z68" i="1" s="1"/>
  <c r="S68" i="1"/>
  <c r="CZ67" i="1"/>
  <c r="CY67" i="1"/>
  <c r="CX67" i="1"/>
  <c r="AY67" i="1" s="1"/>
  <c r="CW67" i="1"/>
  <c r="BL67" i="1"/>
  <c r="BK67" i="1"/>
  <c r="BI67" i="1"/>
  <c r="BM67" i="1" s="1"/>
  <c r="BN67" i="1" s="1"/>
  <c r="BH67" i="1"/>
  <c r="BG67" i="1"/>
  <c r="BJ67" i="1" s="1"/>
  <c r="BC67" i="1"/>
  <c r="AW67" i="1"/>
  <c r="BA67" i="1" s="1"/>
  <c r="AQ67" i="1"/>
  <c r="BD67" i="1" s="1"/>
  <c r="AL67" i="1"/>
  <c r="AJ67" i="1"/>
  <c r="L67" i="1" s="1"/>
  <c r="K67" i="1" s="1"/>
  <c r="AD67" i="1" s="1"/>
  <c r="AB67" i="1"/>
  <c r="AA67" i="1"/>
  <c r="Z67" i="1"/>
  <c r="V67" i="1"/>
  <c r="S67" i="1"/>
  <c r="N67" i="1"/>
  <c r="CZ66" i="1"/>
  <c r="CY66" i="1"/>
  <c r="CW66" i="1"/>
  <c r="BL66" i="1"/>
  <c r="BK66" i="1"/>
  <c r="BJ66" i="1"/>
  <c r="BG66" i="1"/>
  <c r="BD66" i="1"/>
  <c r="BC66" i="1"/>
  <c r="AZ66" i="1"/>
  <c r="AW66" i="1"/>
  <c r="AQ66" i="1"/>
  <c r="AL66" i="1"/>
  <c r="AJ66" i="1" s="1"/>
  <c r="AB66" i="1"/>
  <c r="AA66" i="1"/>
  <c r="Z66" i="1" s="1"/>
  <c r="S66" i="1"/>
  <c r="M66" i="1"/>
  <c r="L66" i="1"/>
  <c r="K66" i="1" s="1"/>
  <c r="AD66" i="1" s="1"/>
  <c r="CZ65" i="1"/>
  <c r="CY65" i="1"/>
  <c r="CX65" i="1"/>
  <c r="AY65" i="1" s="1"/>
  <c r="CW65" i="1"/>
  <c r="BL65" i="1"/>
  <c r="BK65" i="1"/>
  <c r="BG65" i="1"/>
  <c r="BC65" i="1"/>
  <c r="BA65" i="1"/>
  <c r="AW65" i="1"/>
  <c r="AQ65" i="1"/>
  <c r="BD65" i="1" s="1"/>
  <c r="AL65" i="1"/>
  <c r="AJ65" i="1"/>
  <c r="AB65" i="1"/>
  <c r="AA65" i="1"/>
  <c r="Z65" i="1" s="1"/>
  <c r="V65" i="1"/>
  <c r="S65" i="1"/>
  <c r="CZ64" i="1"/>
  <c r="CY64" i="1"/>
  <c r="CW64" i="1"/>
  <c r="BL64" i="1"/>
  <c r="BK64" i="1"/>
  <c r="BJ64" i="1"/>
  <c r="BI64" i="1"/>
  <c r="BM64" i="1" s="1"/>
  <c r="BN64" i="1" s="1"/>
  <c r="BG64" i="1"/>
  <c r="BH64" i="1" s="1"/>
  <c r="BD64" i="1"/>
  <c r="BC64" i="1"/>
  <c r="AW64" i="1"/>
  <c r="AQ64" i="1"/>
  <c r="AL64" i="1"/>
  <c r="AJ64" i="1" s="1"/>
  <c r="AB64" i="1"/>
  <c r="AA64" i="1"/>
  <c r="Z64" i="1" s="1"/>
  <c r="S64" i="1"/>
  <c r="L64" i="1"/>
  <c r="K64" i="1" s="1"/>
  <c r="CZ63" i="1"/>
  <c r="CY63" i="1"/>
  <c r="CW63" i="1"/>
  <c r="CX63" i="1" s="1"/>
  <c r="AY63" i="1" s="1"/>
  <c r="BB63" i="1" s="1"/>
  <c r="BL63" i="1"/>
  <c r="BK63" i="1"/>
  <c r="BI63" i="1"/>
  <c r="BM63" i="1" s="1"/>
  <c r="BN63" i="1" s="1"/>
  <c r="BH63" i="1"/>
  <c r="BG63" i="1"/>
  <c r="BJ63" i="1" s="1"/>
  <c r="BC63" i="1"/>
  <c r="AW63" i="1"/>
  <c r="AQ63" i="1"/>
  <c r="BD63" i="1" s="1"/>
  <c r="AL63" i="1"/>
  <c r="AJ63" i="1"/>
  <c r="AB63" i="1"/>
  <c r="AA63" i="1"/>
  <c r="Z63" i="1"/>
  <c r="S63" i="1"/>
  <c r="Q63" i="1"/>
  <c r="N63" i="1"/>
  <c r="M63" i="1"/>
  <c r="AZ63" i="1" s="1"/>
  <c r="CZ62" i="1"/>
  <c r="CY62" i="1"/>
  <c r="CW62" i="1"/>
  <c r="BL62" i="1"/>
  <c r="BK62" i="1"/>
  <c r="BG62" i="1"/>
  <c r="BH62" i="1" s="1"/>
  <c r="BD62" i="1"/>
  <c r="BC62" i="1"/>
  <c r="AZ62" i="1"/>
  <c r="AW62" i="1"/>
  <c r="AQ62" i="1"/>
  <c r="AL62" i="1"/>
  <c r="AJ62" i="1" s="1"/>
  <c r="N62" i="1" s="1"/>
  <c r="AK62" i="1"/>
  <c r="AB62" i="1"/>
  <c r="AA62" i="1"/>
  <c r="S62" i="1"/>
  <c r="Q62" i="1"/>
  <c r="M62" i="1"/>
  <c r="L62" i="1"/>
  <c r="K62" i="1" s="1"/>
  <c r="CZ61" i="1"/>
  <c r="CY61" i="1"/>
  <c r="CX61" i="1" s="1"/>
  <c r="AY61" i="1" s="1"/>
  <c r="BA61" i="1" s="1"/>
  <c r="CW61" i="1"/>
  <c r="BL61" i="1"/>
  <c r="BK61" i="1"/>
  <c r="BH61" i="1"/>
  <c r="BG61" i="1"/>
  <c r="BJ61" i="1" s="1"/>
  <c r="BC61" i="1"/>
  <c r="AW61" i="1"/>
  <c r="AQ61" i="1"/>
  <c r="BD61" i="1" s="1"/>
  <c r="AL61" i="1"/>
  <c r="AJ61" i="1"/>
  <c r="AK61" i="1" s="1"/>
  <c r="AB61" i="1"/>
  <c r="Z61" i="1" s="1"/>
  <c r="AA61" i="1"/>
  <c r="V61" i="1"/>
  <c r="S61" i="1"/>
  <c r="Q61" i="1"/>
  <c r="N61" i="1"/>
  <c r="M61" i="1"/>
  <c r="AZ61" i="1" s="1"/>
  <c r="L61" i="1"/>
  <c r="K61" i="1" s="1"/>
  <c r="CZ60" i="1"/>
  <c r="CY60" i="1"/>
  <c r="CX60" i="1" s="1"/>
  <c r="AY60" i="1" s="1"/>
  <c r="CW60" i="1"/>
  <c r="BM60" i="1"/>
  <c r="BN60" i="1" s="1"/>
  <c r="BL60" i="1"/>
  <c r="BK60" i="1"/>
  <c r="BI60" i="1"/>
  <c r="BH60" i="1"/>
  <c r="BG60" i="1"/>
  <c r="BJ60" i="1" s="1"/>
  <c r="BD60" i="1"/>
  <c r="BC60" i="1"/>
  <c r="AW60" i="1"/>
  <c r="BA60" i="1" s="1"/>
  <c r="AQ60" i="1"/>
  <c r="AL60" i="1"/>
  <c r="AK60" i="1"/>
  <c r="AJ60" i="1"/>
  <c r="Q60" i="1" s="1"/>
  <c r="AB60" i="1"/>
  <c r="AA60" i="1"/>
  <c r="Z60" i="1" s="1"/>
  <c r="V60" i="1"/>
  <c r="S60" i="1"/>
  <c r="CZ59" i="1"/>
  <c r="CY59" i="1"/>
  <c r="CW59" i="1"/>
  <c r="CX59" i="1" s="1"/>
  <c r="AY59" i="1" s="1"/>
  <c r="BA59" i="1" s="1"/>
  <c r="BL59" i="1"/>
  <c r="BK59" i="1"/>
  <c r="BG59" i="1"/>
  <c r="BI59" i="1" s="1"/>
  <c r="BM59" i="1" s="1"/>
  <c r="BN59" i="1" s="1"/>
  <c r="BC59" i="1"/>
  <c r="AW59" i="1"/>
  <c r="AQ59" i="1"/>
  <c r="BD59" i="1" s="1"/>
  <c r="AL59" i="1"/>
  <c r="AJ59" i="1" s="1"/>
  <c r="AB59" i="1"/>
  <c r="Z59" i="1" s="1"/>
  <c r="AA59" i="1"/>
  <c r="S59" i="1"/>
  <c r="CZ58" i="1"/>
  <c r="CY58" i="1"/>
  <c r="CX58" i="1" s="1"/>
  <c r="AY58" i="1" s="1"/>
  <c r="CW58" i="1"/>
  <c r="BL58" i="1"/>
  <c r="BK58" i="1"/>
  <c r="BJ58" i="1"/>
  <c r="BI58" i="1"/>
  <c r="BM58" i="1" s="1"/>
  <c r="BN58" i="1" s="1"/>
  <c r="BH58" i="1"/>
  <c r="BG58" i="1"/>
  <c r="BD58" i="1"/>
  <c r="BC58" i="1"/>
  <c r="AW58" i="1"/>
  <c r="AQ58" i="1"/>
  <c r="AL58" i="1"/>
  <c r="AK58" i="1"/>
  <c r="AJ58" i="1"/>
  <c r="M58" i="1" s="1"/>
  <c r="AZ58" i="1" s="1"/>
  <c r="AB58" i="1"/>
  <c r="AA58" i="1"/>
  <c r="Z58" i="1" s="1"/>
  <c r="V58" i="1"/>
  <c r="S58" i="1"/>
  <c r="N58" i="1"/>
  <c r="CZ57" i="1"/>
  <c r="CY57" i="1"/>
  <c r="CW57" i="1"/>
  <c r="BL57" i="1"/>
  <c r="BK57" i="1"/>
  <c r="BG57" i="1"/>
  <c r="BC57" i="1"/>
  <c r="AW57" i="1"/>
  <c r="AQ57" i="1"/>
  <c r="BD57" i="1" s="1"/>
  <c r="AL57" i="1"/>
  <c r="AJ57" i="1" s="1"/>
  <c r="AB57" i="1"/>
  <c r="Z57" i="1" s="1"/>
  <c r="AA57" i="1"/>
  <c r="S57" i="1"/>
  <c r="M57" i="1"/>
  <c r="AZ57" i="1" s="1"/>
  <c r="CZ56" i="1"/>
  <c r="CY56" i="1"/>
  <c r="CW56" i="1"/>
  <c r="CX56" i="1" s="1"/>
  <c r="AY56" i="1" s="1"/>
  <c r="BM56" i="1"/>
  <c r="BN56" i="1" s="1"/>
  <c r="BL56" i="1"/>
  <c r="BK56" i="1"/>
  <c r="BI56" i="1"/>
  <c r="BG56" i="1"/>
  <c r="BJ56" i="1" s="1"/>
  <c r="BC56" i="1"/>
  <c r="AW56" i="1"/>
  <c r="BA56" i="1" s="1"/>
  <c r="AQ56" i="1"/>
  <c r="BD56" i="1" s="1"/>
  <c r="AL56" i="1"/>
  <c r="AK56" i="1"/>
  <c r="AJ56" i="1"/>
  <c r="Q56" i="1" s="1"/>
  <c r="AB56" i="1"/>
  <c r="AA56" i="1"/>
  <c r="Z56" i="1" s="1"/>
  <c r="V56" i="1"/>
  <c r="S56" i="1"/>
  <c r="CZ55" i="1"/>
  <c r="CY55" i="1"/>
  <c r="CW55" i="1"/>
  <c r="CX55" i="1" s="1"/>
  <c r="AY55" i="1" s="1"/>
  <c r="BA55" i="1" s="1"/>
  <c r="BL55" i="1"/>
  <c r="BK55" i="1"/>
  <c r="BG55" i="1"/>
  <c r="BI55" i="1" s="1"/>
  <c r="BM55" i="1" s="1"/>
  <c r="BN55" i="1" s="1"/>
  <c r="BC55" i="1"/>
  <c r="AW55" i="1"/>
  <c r="AQ55" i="1"/>
  <c r="BD55" i="1" s="1"/>
  <c r="AL55" i="1"/>
  <c r="AJ55" i="1" s="1"/>
  <c r="AB55" i="1"/>
  <c r="Z55" i="1" s="1"/>
  <c r="AA55" i="1"/>
  <c r="S55" i="1"/>
  <c r="Q55" i="1"/>
  <c r="CZ54" i="1"/>
  <c r="CY54" i="1"/>
  <c r="CX54" i="1" s="1"/>
  <c r="CW54" i="1"/>
  <c r="BL54" i="1"/>
  <c r="BK54" i="1"/>
  <c r="BJ54" i="1"/>
  <c r="BI54" i="1"/>
  <c r="BM54" i="1" s="1"/>
  <c r="BN54" i="1" s="1"/>
  <c r="BH54" i="1"/>
  <c r="BG54" i="1"/>
  <c r="BD54" i="1"/>
  <c r="BC54" i="1"/>
  <c r="AY54" i="1"/>
  <c r="AW54" i="1"/>
  <c r="AQ54" i="1"/>
  <c r="AL54" i="1"/>
  <c r="AK54" i="1"/>
  <c r="AJ54" i="1"/>
  <c r="M54" i="1" s="1"/>
  <c r="AZ54" i="1" s="1"/>
  <c r="BB54" i="1" s="1"/>
  <c r="AB54" i="1"/>
  <c r="AA54" i="1"/>
  <c r="Z54" i="1" s="1"/>
  <c r="V54" i="1"/>
  <c r="S54" i="1"/>
  <c r="Q54" i="1"/>
  <c r="N54" i="1"/>
  <c r="CZ53" i="1"/>
  <c r="CY53" i="1"/>
  <c r="CW53" i="1"/>
  <c r="BL53" i="1"/>
  <c r="BK53" i="1"/>
  <c r="BG53" i="1"/>
  <c r="BC53" i="1"/>
  <c r="AW53" i="1"/>
  <c r="AQ53" i="1"/>
  <c r="BD53" i="1" s="1"/>
  <c r="AL53" i="1"/>
  <c r="AJ53" i="1" s="1"/>
  <c r="M53" i="1" s="1"/>
  <c r="AZ53" i="1" s="1"/>
  <c r="AB53" i="1"/>
  <c r="Z53" i="1" s="1"/>
  <c r="AA53" i="1"/>
  <c r="S53" i="1"/>
  <c r="CZ52" i="1"/>
  <c r="CY52" i="1"/>
  <c r="CW52" i="1"/>
  <c r="CX52" i="1" s="1"/>
  <c r="AY52" i="1" s="1"/>
  <c r="BM52" i="1"/>
  <c r="BN52" i="1" s="1"/>
  <c r="BL52" i="1"/>
  <c r="BK52" i="1"/>
  <c r="BI52" i="1"/>
  <c r="BG52" i="1"/>
  <c r="BJ52" i="1" s="1"/>
  <c r="BC52" i="1"/>
  <c r="AW52" i="1"/>
  <c r="BA52" i="1" s="1"/>
  <c r="AQ52" i="1"/>
  <c r="BD52" i="1" s="1"/>
  <c r="AL52" i="1"/>
  <c r="AK52" i="1"/>
  <c r="AJ52" i="1"/>
  <c r="Q52" i="1" s="1"/>
  <c r="AB52" i="1"/>
  <c r="AA52" i="1"/>
  <c r="Z52" i="1" s="1"/>
  <c r="S52" i="1"/>
  <c r="M52" i="1"/>
  <c r="AZ52" i="1" s="1"/>
  <c r="BB52" i="1" s="1"/>
  <c r="CZ51" i="1"/>
  <c r="CY51" i="1"/>
  <c r="CW51" i="1"/>
  <c r="CX51" i="1" s="1"/>
  <c r="AY51" i="1" s="1"/>
  <c r="BA51" i="1" s="1"/>
  <c r="BL51" i="1"/>
  <c r="BK51" i="1"/>
  <c r="BG51" i="1"/>
  <c r="BI51" i="1" s="1"/>
  <c r="BM51" i="1" s="1"/>
  <c r="BN51" i="1" s="1"/>
  <c r="BC51" i="1"/>
  <c r="AW51" i="1"/>
  <c r="AQ51" i="1"/>
  <c r="BD51" i="1" s="1"/>
  <c r="AL51" i="1"/>
  <c r="AJ51" i="1" s="1"/>
  <c r="AB51" i="1"/>
  <c r="AA51" i="1"/>
  <c r="Z51" i="1" s="1"/>
  <c r="S51" i="1"/>
  <c r="CZ50" i="1"/>
  <c r="CY50" i="1"/>
  <c r="CX50" i="1" s="1"/>
  <c r="CW50" i="1"/>
  <c r="BL50" i="1"/>
  <c r="BK50" i="1"/>
  <c r="BJ50" i="1"/>
  <c r="BI50" i="1"/>
  <c r="BM50" i="1" s="1"/>
  <c r="BN50" i="1" s="1"/>
  <c r="BH50" i="1"/>
  <c r="BG50" i="1"/>
  <c r="BC50" i="1"/>
  <c r="AY50" i="1"/>
  <c r="BA50" i="1" s="1"/>
  <c r="AW50" i="1"/>
  <c r="AQ50" i="1"/>
  <c r="BD50" i="1" s="1"/>
  <c r="AL50" i="1"/>
  <c r="AK50" i="1"/>
  <c r="AJ50" i="1"/>
  <c r="M50" i="1" s="1"/>
  <c r="AZ50" i="1" s="1"/>
  <c r="AB50" i="1"/>
  <c r="AA50" i="1"/>
  <c r="Z50" i="1" s="1"/>
  <c r="V50" i="1"/>
  <c r="S50" i="1"/>
  <c r="Q50" i="1"/>
  <c r="N50" i="1"/>
  <c r="CZ49" i="1"/>
  <c r="CY49" i="1"/>
  <c r="CW49" i="1"/>
  <c r="BL49" i="1"/>
  <c r="BK49" i="1"/>
  <c r="BG49" i="1"/>
  <c r="BC49" i="1"/>
  <c r="AW49" i="1"/>
  <c r="AQ49" i="1"/>
  <c r="BD49" i="1" s="1"/>
  <c r="AL49" i="1"/>
  <c r="AJ49" i="1" s="1"/>
  <c r="AB49" i="1"/>
  <c r="Z49" i="1" s="1"/>
  <c r="AA49" i="1"/>
  <c r="S49" i="1"/>
  <c r="Q49" i="1"/>
  <c r="M49" i="1"/>
  <c r="AZ49" i="1" s="1"/>
  <c r="CZ48" i="1"/>
  <c r="CY48" i="1"/>
  <c r="CW48" i="1"/>
  <c r="BM48" i="1"/>
  <c r="BN48" i="1" s="1"/>
  <c r="BL48" i="1"/>
  <c r="BK48" i="1"/>
  <c r="BI48" i="1"/>
  <c r="BG48" i="1"/>
  <c r="BJ48" i="1" s="1"/>
  <c r="BC48" i="1"/>
  <c r="AW48" i="1"/>
  <c r="AQ48" i="1"/>
  <c r="BD48" i="1" s="1"/>
  <c r="AL48" i="1"/>
  <c r="AK48" i="1"/>
  <c r="AJ48" i="1"/>
  <c r="Q48" i="1" s="1"/>
  <c r="AB48" i="1"/>
  <c r="AA48" i="1"/>
  <c r="Z48" i="1" s="1"/>
  <c r="S48" i="1"/>
  <c r="N48" i="1"/>
  <c r="M48" i="1"/>
  <c r="AZ48" i="1" s="1"/>
  <c r="CZ47" i="1"/>
  <c r="CY47" i="1"/>
  <c r="CW47" i="1"/>
  <c r="BL47" i="1"/>
  <c r="BK47" i="1"/>
  <c r="BG47" i="1"/>
  <c r="BC47" i="1"/>
  <c r="AW47" i="1"/>
  <c r="AQ47" i="1"/>
  <c r="BD47" i="1" s="1"/>
  <c r="AL47" i="1"/>
  <c r="AJ47" i="1" s="1"/>
  <c r="M47" i="1" s="1"/>
  <c r="AZ47" i="1" s="1"/>
  <c r="AK47" i="1"/>
  <c r="AB47" i="1"/>
  <c r="AA47" i="1"/>
  <c r="Z47" i="1" s="1"/>
  <c r="S47" i="1"/>
  <c r="Q47" i="1"/>
  <c r="CZ46" i="1"/>
  <c r="CY46" i="1"/>
  <c r="CX46" i="1" s="1"/>
  <c r="CW46" i="1"/>
  <c r="BL46" i="1"/>
  <c r="BK46" i="1"/>
  <c r="BJ46" i="1"/>
  <c r="BI46" i="1"/>
  <c r="BM46" i="1" s="1"/>
  <c r="BN46" i="1" s="1"/>
  <c r="BH46" i="1"/>
  <c r="BG46" i="1"/>
  <c r="BC46" i="1"/>
  <c r="AY46" i="1"/>
  <c r="BA46" i="1" s="1"/>
  <c r="AW46" i="1"/>
  <c r="AQ46" i="1"/>
  <c r="BD46" i="1" s="1"/>
  <c r="AL46" i="1"/>
  <c r="AK46" i="1"/>
  <c r="AJ46" i="1"/>
  <c r="M46" i="1" s="1"/>
  <c r="AZ46" i="1" s="1"/>
  <c r="AB46" i="1"/>
  <c r="AA46" i="1"/>
  <c r="Z46" i="1" s="1"/>
  <c r="V46" i="1"/>
  <c r="S46" i="1"/>
  <c r="Q46" i="1"/>
  <c r="N46" i="1"/>
  <c r="CZ45" i="1"/>
  <c r="CY45" i="1"/>
  <c r="CW45" i="1"/>
  <c r="BL45" i="1"/>
  <c r="BK45" i="1"/>
  <c r="BG45" i="1"/>
  <c r="BH45" i="1" s="1"/>
  <c r="BD45" i="1"/>
  <c r="BC45" i="1"/>
  <c r="AW45" i="1"/>
  <c r="AQ45" i="1"/>
  <c r="AL45" i="1"/>
  <c r="AJ45" i="1" s="1"/>
  <c r="AK45" i="1" s="1"/>
  <c r="AB45" i="1"/>
  <c r="AA45" i="1"/>
  <c r="S45" i="1"/>
  <c r="Q45" i="1"/>
  <c r="N45" i="1"/>
  <c r="M45" i="1"/>
  <c r="AZ45" i="1" s="1"/>
  <c r="CZ44" i="1"/>
  <c r="CY44" i="1"/>
  <c r="CX44" i="1" s="1"/>
  <c r="AY44" i="1" s="1"/>
  <c r="CW44" i="1"/>
  <c r="BL44" i="1"/>
  <c r="BK44" i="1"/>
  <c r="BJ44" i="1"/>
  <c r="BI44" i="1"/>
  <c r="BM44" i="1" s="1"/>
  <c r="BN44" i="1" s="1"/>
  <c r="BH44" i="1"/>
  <c r="BG44" i="1"/>
  <c r="BD44" i="1"/>
  <c r="BC44" i="1"/>
  <c r="AW44" i="1"/>
  <c r="AQ44" i="1"/>
  <c r="AL44" i="1"/>
  <c r="AJ44" i="1" s="1"/>
  <c r="AB44" i="1"/>
  <c r="AA44" i="1"/>
  <c r="Z44" i="1" s="1"/>
  <c r="V44" i="1"/>
  <c r="S44" i="1"/>
  <c r="CZ43" i="1"/>
  <c r="CY43" i="1"/>
  <c r="CW43" i="1"/>
  <c r="BL43" i="1"/>
  <c r="BK43" i="1"/>
  <c r="BG43" i="1"/>
  <c r="BC43" i="1"/>
  <c r="AW43" i="1"/>
  <c r="AQ43" i="1"/>
  <c r="BD43" i="1" s="1"/>
  <c r="AL43" i="1"/>
  <c r="AJ43" i="1"/>
  <c r="AK43" i="1" s="1"/>
  <c r="AB43" i="1"/>
  <c r="AA43" i="1"/>
  <c r="Z43" i="1"/>
  <c r="S43" i="1"/>
  <c r="Q43" i="1"/>
  <c r="N43" i="1"/>
  <c r="M43" i="1"/>
  <c r="AZ43" i="1" s="1"/>
  <c r="CZ42" i="1"/>
  <c r="V42" i="1" s="1"/>
  <c r="CY42" i="1"/>
  <c r="CX42" i="1" s="1"/>
  <c r="AY42" i="1" s="1"/>
  <c r="CW42" i="1"/>
  <c r="BM42" i="1"/>
  <c r="BN42" i="1" s="1"/>
  <c r="BL42" i="1"/>
  <c r="BK42" i="1"/>
  <c r="BJ42" i="1"/>
  <c r="BI42" i="1"/>
  <c r="BH42" i="1"/>
  <c r="BG42" i="1"/>
  <c r="BD42" i="1"/>
  <c r="BC42" i="1"/>
  <c r="AW42" i="1"/>
  <c r="AQ42" i="1"/>
  <c r="AL42" i="1"/>
  <c r="AJ42" i="1" s="1"/>
  <c r="AK42" i="1" s="1"/>
  <c r="AB42" i="1"/>
  <c r="AA42" i="1"/>
  <c r="Z42" i="1" s="1"/>
  <c r="S42" i="1"/>
  <c r="CZ41" i="1"/>
  <c r="CY41" i="1"/>
  <c r="CW41" i="1"/>
  <c r="CX41" i="1" s="1"/>
  <c r="AY41" i="1" s="1"/>
  <c r="BA41" i="1" s="1"/>
  <c r="BL41" i="1"/>
  <c r="BK41" i="1"/>
  <c r="BG41" i="1"/>
  <c r="BI41" i="1" s="1"/>
  <c r="BM41" i="1" s="1"/>
  <c r="BN41" i="1" s="1"/>
  <c r="BC41" i="1"/>
  <c r="AW41" i="1"/>
  <c r="AQ41" i="1"/>
  <c r="BD41" i="1" s="1"/>
  <c r="AL41" i="1"/>
  <c r="AJ41" i="1"/>
  <c r="L41" i="1" s="1"/>
  <c r="K41" i="1" s="1"/>
  <c r="AB41" i="1"/>
  <c r="AA41" i="1"/>
  <c r="Z41" i="1"/>
  <c r="S41" i="1"/>
  <c r="Q41" i="1"/>
  <c r="N41" i="1"/>
  <c r="M41" i="1"/>
  <c r="AZ41" i="1" s="1"/>
  <c r="CZ40" i="1"/>
  <c r="V40" i="1" s="1"/>
  <c r="CY40" i="1"/>
  <c r="CX40" i="1" s="1"/>
  <c r="AY40" i="1" s="1"/>
  <c r="CW40" i="1"/>
  <c r="BL40" i="1"/>
  <c r="BK40" i="1"/>
  <c r="BJ40" i="1"/>
  <c r="BI40" i="1"/>
  <c r="BM40" i="1" s="1"/>
  <c r="BN40" i="1" s="1"/>
  <c r="BH40" i="1"/>
  <c r="BG40" i="1"/>
  <c r="BD40" i="1"/>
  <c r="BC40" i="1"/>
  <c r="AW40" i="1"/>
  <c r="AQ40" i="1"/>
  <c r="AL40" i="1"/>
  <c r="AJ40" i="1" s="1"/>
  <c r="AB40" i="1"/>
  <c r="AA40" i="1"/>
  <c r="Z40" i="1" s="1"/>
  <c r="S40" i="1"/>
  <c r="CZ39" i="1"/>
  <c r="CY39" i="1"/>
  <c r="CW39" i="1"/>
  <c r="BL39" i="1"/>
  <c r="BK39" i="1"/>
  <c r="BG39" i="1"/>
  <c r="BC39" i="1"/>
  <c r="AW39" i="1"/>
  <c r="AQ39" i="1"/>
  <c r="BD39" i="1" s="1"/>
  <c r="AL39" i="1"/>
  <c r="AJ39" i="1"/>
  <c r="AK39" i="1" s="1"/>
  <c r="AB39" i="1"/>
  <c r="AA39" i="1"/>
  <c r="Z39" i="1"/>
  <c r="S39" i="1"/>
  <c r="Q39" i="1"/>
  <c r="M39" i="1"/>
  <c r="AZ39" i="1" s="1"/>
  <c r="CZ38" i="1"/>
  <c r="V38" i="1" s="1"/>
  <c r="CY38" i="1"/>
  <c r="CX38" i="1" s="1"/>
  <c r="CW38" i="1"/>
  <c r="BL38" i="1"/>
  <c r="BK38" i="1"/>
  <c r="BJ38" i="1"/>
  <c r="BI38" i="1"/>
  <c r="BM38" i="1" s="1"/>
  <c r="BN38" i="1" s="1"/>
  <c r="BH38" i="1"/>
  <c r="BG38" i="1"/>
  <c r="BD38" i="1"/>
  <c r="BC38" i="1"/>
  <c r="AY38" i="1"/>
  <c r="AW38" i="1"/>
  <c r="BA38" i="1" s="1"/>
  <c r="AQ38" i="1"/>
  <c r="AL38" i="1"/>
  <c r="AJ38" i="1" s="1"/>
  <c r="AK38" i="1" s="1"/>
  <c r="AB38" i="1"/>
  <c r="AA38" i="1"/>
  <c r="Z38" i="1" s="1"/>
  <c r="S38" i="1"/>
  <c r="CZ37" i="1"/>
  <c r="CY37" i="1"/>
  <c r="CW37" i="1"/>
  <c r="BL37" i="1"/>
  <c r="BK37" i="1"/>
  <c r="BG37" i="1"/>
  <c r="BC37" i="1"/>
  <c r="AW37" i="1"/>
  <c r="AQ37" i="1"/>
  <c r="BD37" i="1" s="1"/>
  <c r="AL37" i="1"/>
  <c r="AJ37" i="1"/>
  <c r="L37" i="1" s="1"/>
  <c r="K37" i="1" s="1"/>
  <c r="AB37" i="1"/>
  <c r="AA37" i="1"/>
  <c r="Z37" i="1"/>
  <c r="S37" i="1"/>
  <c r="Q37" i="1"/>
  <c r="N37" i="1"/>
  <c r="M37" i="1"/>
  <c r="AZ37" i="1" s="1"/>
  <c r="CZ36" i="1"/>
  <c r="V36" i="1" s="1"/>
  <c r="CY36" i="1"/>
  <c r="CX36" i="1" s="1"/>
  <c r="AY36" i="1" s="1"/>
  <c r="CW36" i="1"/>
  <c r="BL36" i="1"/>
  <c r="BK36" i="1"/>
  <c r="BJ36" i="1"/>
  <c r="BI36" i="1"/>
  <c r="BM36" i="1" s="1"/>
  <c r="BN36" i="1" s="1"/>
  <c r="BH36" i="1"/>
  <c r="BG36" i="1"/>
  <c r="BD36" i="1"/>
  <c r="BC36" i="1"/>
  <c r="AW36" i="1"/>
  <c r="AQ36" i="1"/>
  <c r="AL36" i="1"/>
  <c r="AJ36" i="1" s="1"/>
  <c r="AB36" i="1"/>
  <c r="AA36" i="1"/>
  <c r="Z36" i="1" s="1"/>
  <c r="S36" i="1"/>
  <c r="CZ35" i="1"/>
  <c r="CY35" i="1"/>
  <c r="CW35" i="1"/>
  <c r="BL35" i="1"/>
  <c r="BK35" i="1"/>
  <c r="BG35" i="1"/>
  <c r="BC35" i="1"/>
  <c r="AW35" i="1"/>
  <c r="AQ35" i="1"/>
  <c r="BD35" i="1" s="1"/>
  <c r="AL35" i="1"/>
  <c r="AJ35" i="1"/>
  <c r="AB35" i="1"/>
  <c r="AA35" i="1"/>
  <c r="Z35" i="1"/>
  <c r="S35" i="1"/>
  <c r="Q35" i="1"/>
  <c r="M35" i="1"/>
  <c r="AZ35" i="1" s="1"/>
  <c r="CZ34" i="1"/>
  <c r="V34" i="1" s="1"/>
  <c r="CY34" i="1"/>
  <c r="CX34" i="1" s="1"/>
  <c r="CW34" i="1"/>
  <c r="BL34" i="1"/>
  <c r="BK34" i="1"/>
  <c r="BJ34" i="1"/>
  <c r="BI34" i="1"/>
  <c r="BM34" i="1" s="1"/>
  <c r="BN34" i="1" s="1"/>
  <c r="BH34" i="1"/>
  <c r="BG34" i="1"/>
  <c r="BD34" i="1"/>
  <c r="BC34" i="1"/>
  <c r="AY34" i="1"/>
  <c r="AW34" i="1"/>
  <c r="BA34" i="1" s="1"/>
  <c r="AQ34" i="1"/>
  <c r="AL34" i="1"/>
  <c r="AJ34" i="1" s="1"/>
  <c r="AK34" i="1"/>
  <c r="AB34" i="1"/>
  <c r="AA34" i="1"/>
  <c r="Z34" i="1" s="1"/>
  <c r="S34" i="1"/>
  <c r="CZ33" i="1"/>
  <c r="CY33" i="1"/>
  <c r="CX33" i="1"/>
  <c r="AY33" i="1" s="1"/>
  <c r="BA33" i="1" s="1"/>
  <c r="CW33" i="1"/>
  <c r="V33" i="1" s="1"/>
  <c r="BL33" i="1"/>
  <c r="BK33" i="1"/>
  <c r="BH33" i="1"/>
  <c r="BG33" i="1"/>
  <c r="BC33" i="1"/>
  <c r="AW33" i="1"/>
  <c r="AQ33" i="1"/>
  <c r="BD33" i="1" s="1"/>
  <c r="AL33" i="1"/>
  <c r="AJ33" i="1"/>
  <c r="AB33" i="1"/>
  <c r="AA33" i="1"/>
  <c r="Z33" i="1"/>
  <c r="S33" i="1"/>
  <c r="Q33" i="1"/>
  <c r="N33" i="1"/>
  <c r="M33" i="1"/>
  <c r="AZ33" i="1" s="1"/>
  <c r="CZ32" i="1"/>
  <c r="V32" i="1" s="1"/>
  <c r="CY32" i="1"/>
  <c r="CX32" i="1" s="1"/>
  <c r="CW32" i="1"/>
  <c r="BM32" i="1"/>
  <c r="BN32" i="1" s="1"/>
  <c r="BL32" i="1"/>
  <c r="BK32" i="1"/>
  <c r="BJ32" i="1"/>
  <c r="BI32" i="1"/>
  <c r="BH32" i="1"/>
  <c r="BG32" i="1"/>
  <c r="BD32" i="1"/>
  <c r="BC32" i="1"/>
  <c r="AY32" i="1"/>
  <c r="AW32" i="1"/>
  <c r="AQ32" i="1"/>
  <c r="AL32" i="1"/>
  <c r="AJ32" i="1" s="1"/>
  <c r="AK32" i="1" s="1"/>
  <c r="AB32" i="1"/>
  <c r="AA32" i="1"/>
  <c r="S32" i="1"/>
  <c r="L32" i="1"/>
  <c r="K32" i="1" s="1"/>
  <c r="CZ31" i="1"/>
  <c r="CY31" i="1"/>
  <c r="CX31" i="1"/>
  <c r="AY31" i="1" s="1"/>
  <c r="CW31" i="1"/>
  <c r="BL31" i="1"/>
  <c r="BK31" i="1"/>
  <c r="BH31" i="1"/>
  <c r="BG31" i="1"/>
  <c r="BC31" i="1"/>
  <c r="BA31" i="1"/>
  <c r="AW31" i="1"/>
  <c r="AQ31" i="1"/>
  <c r="BD31" i="1" s="1"/>
  <c r="AL31" i="1"/>
  <c r="AJ31" i="1"/>
  <c r="AB31" i="1"/>
  <c r="AA31" i="1"/>
  <c r="Z31" i="1"/>
  <c r="V31" i="1"/>
  <c r="S31" i="1"/>
  <c r="CZ30" i="1"/>
  <c r="V30" i="1" s="1"/>
  <c r="CY30" i="1"/>
  <c r="CX30" i="1" s="1"/>
  <c r="AY30" i="1" s="1"/>
  <c r="CW30" i="1"/>
  <c r="BL30" i="1"/>
  <c r="BK30" i="1"/>
  <c r="BJ30" i="1"/>
  <c r="BI30" i="1"/>
  <c r="BM30" i="1" s="1"/>
  <c r="BN30" i="1" s="1"/>
  <c r="BH30" i="1"/>
  <c r="BG30" i="1"/>
  <c r="BD30" i="1"/>
  <c r="BC30" i="1"/>
  <c r="AW30" i="1"/>
  <c r="AQ30" i="1"/>
  <c r="AL30" i="1"/>
  <c r="AJ30" i="1" s="1"/>
  <c r="L30" i="1" s="1"/>
  <c r="K30" i="1" s="1"/>
  <c r="AB30" i="1"/>
  <c r="AA30" i="1"/>
  <c r="S30" i="1"/>
  <c r="CZ29" i="1"/>
  <c r="CY29" i="1"/>
  <c r="CX29" i="1"/>
  <c r="AY29" i="1" s="1"/>
  <c r="BA29" i="1" s="1"/>
  <c r="CW29" i="1"/>
  <c r="V29" i="1" s="1"/>
  <c r="BL29" i="1"/>
  <c r="BK29" i="1"/>
  <c r="BH29" i="1"/>
  <c r="BG29" i="1"/>
  <c r="BC29" i="1"/>
  <c r="AW29" i="1"/>
  <c r="AQ29" i="1"/>
  <c r="BD29" i="1" s="1"/>
  <c r="AL29" i="1"/>
  <c r="AJ29" i="1"/>
  <c r="AB29" i="1"/>
  <c r="AA29" i="1"/>
  <c r="Z29" i="1"/>
  <c r="S29" i="1"/>
  <c r="Q29" i="1"/>
  <c r="N29" i="1"/>
  <c r="CZ28" i="1"/>
  <c r="CY28" i="1"/>
  <c r="CX28" i="1" s="1"/>
  <c r="AY28" i="1" s="1"/>
  <c r="CW28" i="1"/>
  <c r="BM28" i="1"/>
  <c r="BN28" i="1" s="1"/>
  <c r="BL28" i="1"/>
  <c r="BK28" i="1"/>
  <c r="BJ28" i="1"/>
  <c r="BI28" i="1"/>
  <c r="BH28" i="1"/>
  <c r="BG28" i="1"/>
  <c r="BD28" i="1"/>
  <c r="BC28" i="1"/>
  <c r="AW28" i="1"/>
  <c r="AQ28" i="1"/>
  <c r="AL28" i="1"/>
  <c r="AJ28" i="1"/>
  <c r="AB28" i="1"/>
  <c r="AA28" i="1"/>
  <c r="Z28" i="1"/>
  <c r="V28" i="1"/>
  <c r="S28" i="1"/>
  <c r="CZ27" i="1"/>
  <c r="V27" i="1" s="1"/>
  <c r="CY27" i="1"/>
  <c r="CW27" i="1"/>
  <c r="CX27" i="1" s="1"/>
  <c r="AY27" i="1" s="1"/>
  <c r="BL27" i="1"/>
  <c r="BK27" i="1"/>
  <c r="BJ27" i="1"/>
  <c r="BI27" i="1"/>
  <c r="BM27" i="1" s="1"/>
  <c r="BN27" i="1" s="1"/>
  <c r="BH27" i="1"/>
  <c r="BG27" i="1"/>
  <c r="BC27" i="1"/>
  <c r="AW27" i="1"/>
  <c r="AQ27" i="1"/>
  <c r="BD27" i="1" s="1"/>
  <c r="AL27" i="1"/>
  <c r="AJ27" i="1" s="1"/>
  <c r="AB27" i="1"/>
  <c r="AA27" i="1"/>
  <c r="Z27" i="1" s="1"/>
  <c r="S27" i="1"/>
  <c r="CZ26" i="1"/>
  <c r="CY26" i="1"/>
  <c r="CW26" i="1"/>
  <c r="CX26" i="1" s="1"/>
  <c r="AY26" i="1" s="1"/>
  <c r="BL26" i="1"/>
  <c r="BK26" i="1"/>
  <c r="BG26" i="1"/>
  <c r="BJ26" i="1" s="1"/>
  <c r="BC26" i="1"/>
  <c r="AW26" i="1"/>
  <c r="AQ26" i="1"/>
  <c r="BD26" i="1" s="1"/>
  <c r="AL26" i="1"/>
  <c r="AJ26" i="1" s="1"/>
  <c r="AB26" i="1"/>
  <c r="Z26" i="1" s="1"/>
  <c r="AA26" i="1"/>
  <c r="S26" i="1"/>
  <c r="CZ25" i="1"/>
  <c r="V25" i="1" s="1"/>
  <c r="CY25" i="1"/>
  <c r="CW25" i="1"/>
  <c r="CX25" i="1" s="1"/>
  <c r="AY25" i="1" s="1"/>
  <c r="BA25" i="1" s="1"/>
  <c r="BM25" i="1"/>
  <c r="BN25" i="1" s="1"/>
  <c r="BL25" i="1"/>
  <c r="BK25" i="1"/>
  <c r="BJ25" i="1"/>
  <c r="BI25" i="1"/>
  <c r="BG25" i="1"/>
  <c r="BH25" i="1" s="1"/>
  <c r="BD25" i="1"/>
  <c r="BC25" i="1"/>
  <c r="AW25" i="1"/>
  <c r="AQ25" i="1"/>
  <c r="AL25" i="1"/>
  <c r="AJ25" i="1" s="1"/>
  <c r="AB25" i="1"/>
  <c r="AA25" i="1"/>
  <c r="Z25" i="1" s="1"/>
  <c r="S25" i="1"/>
  <c r="CZ24" i="1"/>
  <c r="CY24" i="1"/>
  <c r="CW24" i="1"/>
  <c r="CX24" i="1" s="1"/>
  <c r="AY24" i="1" s="1"/>
  <c r="BA24" i="1" s="1"/>
  <c r="BL24" i="1"/>
  <c r="BK24" i="1"/>
  <c r="BJ24" i="1"/>
  <c r="BG24" i="1"/>
  <c r="BI24" i="1" s="1"/>
  <c r="BM24" i="1" s="1"/>
  <c r="BN24" i="1" s="1"/>
  <c r="BC24" i="1"/>
  <c r="AW24" i="1"/>
  <c r="AQ24" i="1"/>
  <c r="BD24" i="1" s="1"/>
  <c r="AL24" i="1"/>
  <c r="AJ24" i="1"/>
  <c r="N24" i="1" s="1"/>
  <c r="AB24" i="1"/>
  <c r="AA24" i="1"/>
  <c r="Z24" i="1"/>
  <c r="S24" i="1"/>
  <c r="Q24" i="1"/>
  <c r="CZ23" i="1"/>
  <c r="V23" i="1" s="1"/>
  <c r="CY23" i="1"/>
  <c r="CX23" i="1" s="1"/>
  <c r="AY23" i="1" s="1"/>
  <c r="CW23" i="1"/>
  <c r="BL23" i="1"/>
  <c r="BK23" i="1"/>
  <c r="BJ23" i="1"/>
  <c r="BI23" i="1"/>
  <c r="BM23" i="1" s="1"/>
  <c r="BN23" i="1" s="1"/>
  <c r="BH23" i="1"/>
  <c r="BG23" i="1"/>
  <c r="BC23" i="1"/>
  <c r="AW23" i="1"/>
  <c r="BA23" i="1" s="1"/>
  <c r="AQ23" i="1"/>
  <c r="BD23" i="1" s="1"/>
  <c r="AL23" i="1"/>
  <c r="AJ23" i="1" s="1"/>
  <c r="AB23" i="1"/>
  <c r="AA23" i="1"/>
  <c r="Z23" i="1" s="1"/>
  <c r="S23" i="1"/>
  <c r="CZ22" i="1"/>
  <c r="CY22" i="1"/>
  <c r="CW22" i="1"/>
  <c r="CX22" i="1" s="1"/>
  <c r="AY22" i="1" s="1"/>
  <c r="BL22" i="1"/>
  <c r="BK22" i="1"/>
  <c r="BG22" i="1"/>
  <c r="BJ22" i="1" s="1"/>
  <c r="BC22" i="1"/>
  <c r="AW22" i="1"/>
  <c r="AQ22" i="1"/>
  <c r="BD22" i="1" s="1"/>
  <c r="AL22" i="1"/>
  <c r="AJ22" i="1" s="1"/>
  <c r="AB22" i="1"/>
  <c r="Z22" i="1" s="1"/>
  <c r="AA22" i="1"/>
  <c r="S22" i="1"/>
  <c r="CZ21" i="1"/>
  <c r="CY21" i="1"/>
  <c r="CW21" i="1"/>
  <c r="CX21" i="1" s="1"/>
  <c r="AY21" i="1" s="1"/>
  <c r="BA21" i="1" s="1"/>
  <c r="BM21" i="1"/>
  <c r="BN21" i="1" s="1"/>
  <c r="BL21" i="1"/>
  <c r="BK21" i="1"/>
  <c r="BJ21" i="1"/>
  <c r="BI21" i="1"/>
  <c r="BG21" i="1"/>
  <c r="BH21" i="1" s="1"/>
  <c r="BD21" i="1"/>
  <c r="BC21" i="1"/>
  <c r="AW21" i="1"/>
  <c r="AQ21" i="1"/>
  <c r="AL21" i="1"/>
  <c r="AJ21" i="1" s="1"/>
  <c r="AB21" i="1"/>
  <c r="AA21" i="1"/>
  <c r="Z21" i="1" s="1"/>
  <c r="S21" i="1"/>
  <c r="CZ20" i="1"/>
  <c r="CY20" i="1"/>
  <c r="CW20" i="1"/>
  <c r="CX20" i="1" s="1"/>
  <c r="AY20" i="1" s="1"/>
  <c r="BA20" i="1" s="1"/>
  <c r="BL20" i="1"/>
  <c r="BK20" i="1"/>
  <c r="BJ20" i="1"/>
  <c r="BG20" i="1"/>
  <c r="BI20" i="1" s="1"/>
  <c r="BM20" i="1" s="1"/>
  <c r="BN20" i="1" s="1"/>
  <c r="BC20" i="1"/>
  <c r="AW20" i="1"/>
  <c r="AQ20" i="1"/>
  <c r="BD20" i="1" s="1"/>
  <c r="AL20" i="1"/>
  <c r="AJ20" i="1"/>
  <c r="N20" i="1" s="1"/>
  <c r="AB20" i="1"/>
  <c r="AA20" i="1"/>
  <c r="Z20" i="1"/>
  <c r="S20" i="1"/>
  <c r="Q20" i="1"/>
  <c r="CZ19" i="1"/>
  <c r="V19" i="1" s="1"/>
  <c r="CY19" i="1"/>
  <c r="CX19" i="1" s="1"/>
  <c r="AY19" i="1" s="1"/>
  <c r="CW19" i="1"/>
  <c r="BL19" i="1"/>
  <c r="BK19" i="1"/>
  <c r="BJ19" i="1"/>
  <c r="BI19" i="1"/>
  <c r="BM19" i="1" s="1"/>
  <c r="BN19" i="1" s="1"/>
  <c r="BH19" i="1"/>
  <c r="BG19" i="1"/>
  <c r="BC19" i="1"/>
  <c r="AW19" i="1"/>
  <c r="AQ19" i="1"/>
  <c r="BD19" i="1" s="1"/>
  <c r="AL19" i="1"/>
  <c r="AJ19" i="1" s="1"/>
  <c r="AB19" i="1"/>
  <c r="AA19" i="1"/>
  <c r="Z19" i="1" s="1"/>
  <c r="S19" i="1"/>
  <c r="CZ18" i="1"/>
  <c r="CY18" i="1"/>
  <c r="CW18" i="1"/>
  <c r="CX18" i="1" s="1"/>
  <c r="AY18" i="1" s="1"/>
  <c r="BL18" i="1"/>
  <c r="BK18" i="1"/>
  <c r="BG18" i="1"/>
  <c r="BJ18" i="1" s="1"/>
  <c r="BC18" i="1"/>
  <c r="AW18" i="1"/>
  <c r="AQ18" i="1"/>
  <c r="BD18" i="1" s="1"/>
  <c r="AL18" i="1"/>
  <c r="AJ18" i="1" s="1"/>
  <c r="AB18" i="1"/>
  <c r="AA18" i="1"/>
  <c r="Z18" i="1" s="1"/>
  <c r="S18" i="1"/>
  <c r="CZ17" i="1"/>
  <c r="CY17" i="1"/>
  <c r="CW17" i="1"/>
  <c r="CX17" i="1" s="1"/>
  <c r="AY17" i="1" s="1"/>
  <c r="BA17" i="1" s="1"/>
  <c r="BM17" i="1"/>
  <c r="BN17" i="1" s="1"/>
  <c r="BL17" i="1"/>
  <c r="BK17" i="1"/>
  <c r="BJ17" i="1"/>
  <c r="BI17" i="1"/>
  <c r="BG17" i="1"/>
  <c r="BH17" i="1" s="1"/>
  <c r="BD17" i="1"/>
  <c r="BC17" i="1"/>
  <c r="AW17" i="1"/>
  <c r="AQ17" i="1"/>
  <c r="AL17" i="1"/>
  <c r="AJ17" i="1" s="1"/>
  <c r="AB17" i="1"/>
  <c r="AA17" i="1"/>
  <c r="Z17" i="1" s="1"/>
  <c r="S17" i="1"/>
  <c r="Q25" i="1" l="1"/>
  <c r="AK25" i="1"/>
  <c r="N25" i="1"/>
  <c r="M25" i="1"/>
  <c r="AZ25" i="1" s="1"/>
  <c r="BB25" i="1" s="1"/>
  <c r="L25" i="1"/>
  <c r="K25" i="1" s="1"/>
  <c r="M23" i="1"/>
  <c r="AZ23" i="1" s="1"/>
  <c r="BB23" i="1" s="1"/>
  <c r="L23" i="1"/>
  <c r="K23" i="1" s="1"/>
  <c r="AK23" i="1"/>
  <c r="Q23" i="1"/>
  <c r="N23" i="1"/>
  <c r="W29" i="1"/>
  <c r="X29" i="1" s="1"/>
  <c r="AD32" i="1"/>
  <c r="W32" i="1"/>
  <c r="X32" i="1" s="1"/>
  <c r="T32" i="1"/>
  <c r="R32" i="1" s="1"/>
  <c r="U32" i="1" s="1"/>
  <c r="Q21" i="1"/>
  <c r="N21" i="1"/>
  <c r="AK21" i="1"/>
  <c r="M21" i="1"/>
  <c r="AZ21" i="1" s="1"/>
  <c r="BB21" i="1" s="1"/>
  <c r="L21" i="1"/>
  <c r="K21" i="1" s="1"/>
  <c r="AK26" i="1"/>
  <c r="Q26" i="1"/>
  <c r="M26" i="1"/>
  <c r="AZ26" i="1" s="1"/>
  <c r="BB26" i="1" s="1"/>
  <c r="N26" i="1"/>
  <c r="L26" i="1"/>
  <c r="K26" i="1" s="1"/>
  <c r="Q17" i="1"/>
  <c r="AK17" i="1"/>
  <c r="N17" i="1"/>
  <c r="M17" i="1"/>
  <c r="AZ17" i="1" s="1"/>
  <c r="BB17" i="1" s="1"/>
  <c r="L17" i="1"/>
  <c r="K17" i="1" s="1"/>
  <c r="BA19" i="1"/>
  <c r="AK22" i="1"/>
  <c r="M22" i="1"/>
  <c r="AZ22" i="1" s="1"/>
  <c r="BB22" i="1" s="1"/>
  <c r="Q22" i="1"/>
  <c r="N22" i="1"/>
  <c r="L22" i="1"/>
  <c r="K22" i="1" s="1"/>
  <c r="W27" i="1"/>
  <c r="X27" i="1" s="1"/>
  <c r="AK18" i="1"/>
  <c r="M18" i="1"/>
  <c r="AZ18" i="1" s="1"/>
  <c r="BB18" i="1" s="1"/>
  <c r="Q18" i="1"/>
  <c r="N18" i="1"/>
  <c r="L18" i="1"/>
  <c r="K18" i="1" s="1"/>
  <c r="W23" i="1"/>
  <c r="X23" i="1" s="1"/>
  <c r="BA26" i="1"/>
  <c r="AE30" i="1"/>
  <c r="W33" i="1"/>
  <c r="X33" i="1" s="1"/>
  <c r="BA27" i="1"/>
  <c r="BA22" i="1"/>
  <c r="BA18" i="1"/>
  <c r="M19" i="1"/>
  <c r="AZ19" i="1" s="1"/>
  <c r="BB19" i="1" s="1"/>
  <c r="L19" i="1"/>
  <c r="K19" i="1" s="1"/>
  <c r="AK19" i="1"/>
  <c r="Q19" i="1"/>
  <c r="N19" i="1"/>
  <c r="M27" i="1"/>
  <c r="AZ27" i="1" s="1"/>
  <c r="BB27" i="1" s="1"/>
  <c r="L27" i="1"/>
  <c r="K27" i="1" s="1"/>
  <c r="AK27" i="1"/>
  <c r="Q27" i="1"/>
  <c r="N27" i="1"/>
  <c r="AD30" i="1"/>
  <c r="T30" i="1"/>
  <c r="R30" i="1" s="1"/>
  <c r="U30" i="1" s="1"/>
  <c r="O30" i="1" s="1"/>
  <c r="P30" i="1" s="1"/>
  <c r="W30" i="1"/>
  <c r="X30" i="1" s="1"/>
  <c r="AK30" i="1"/>
  <c r="BJ31" i="1"/>
  <c r="BI31" i="1"/>
  <c r="BM31" i="1" s="1"/>
  <c r="BN31" i="1" s="1"/>
  <c r="Z32" i="1"/>
  <c r="M36" i="1"/>
  <c r="AZ36" i="1" s="1"/>
  <c r="BB36" i="1" s="1"/>
  <c r="L36" i="1"/>
  <c r="K36" i="1" s="1"/>
  <c r="Q36" i="1"/>
  <c r="N36" i="1"/>
  <c r="M40" i="1"/>
  <c r="AZ40" i="1" s="1"/>
  <c r="BB40" i="1" s="1"/>
  <c r="L40" i="1"/>
  <c r="K40" i="1" s="1"/>
  <c r="AK40" i="1"/>
  <c r="Q40" i="1"/>
  <c r="N40" i="1"/>
  <c r="AD41" i="1"/>
  <c r="BB43" i="1"/>
  <c r="BB47" i="1"/>
  <c r="AK31" i="1"/>
  <c r="L31" i="1"/>
  <c r="K31" i="1" s="1"/>
  <c r="Q42" i="1"/>
  <c r="N42" i="1"/>
  <c r="M42" i="1"/>
  <c r="AZ42" i="1" s="1"/>
  <c r="BB42" i="1" s="1"/>
  <c r="L42" i="1"/>
  <c r="K42" i="1" s="1"/>
  <c r="Q125" i="1"/>
  <c r="N125" i="1"/>
  <c r="M125" i="1"/>
  <c r="AZ125" i="1" s="1"/>
  <c r="BB125" i="1" s="1"/>
  <c r="AK125" i="1"/>
  <c r="L125" i="1"/>
  <c r="K125" i="1" s="1"/>
  <c r="V18" i="1"/>
  <c r="BH18" i="1"/>
  <c r="V22" i="1"/>
  <c r="BH22" i="1"/>
  <c r="V26" i="1"/>
  <c r="BH26" i="1"/>
  <c r="M28" i="1"/>
  <c r="AZ28" i="1" s="1"/>
  <c r="BB28" i="1" s="1"/>
  <c r="Q28" i="1"/>
  <c r="BB33" i="1"/>
  <c r="BJ35" i="1"/>
  <c r="BI35" i="1"/>
  <c r="BM35" i="1" s="1"/>
  <c r="BN35" i="1" s="1"/>
  <c r="BH35" i="1"/>
  <c r="BA36" i="1"/>
  <c r="BA40" i="1"/>
  <c r="BB45" i="1"/>
  <c r="BI18" i="1"/>
  <c r="BM18" i="1" s="1"/>
  <c r="BN18" i="1" s="1"/>
  <c r="AK20" i="1"/>
  <c r="BI22" i="1"/>
  <c r="BM22" i="1" s="1"/>
  <c r="BN22" i="1" s="1"/>
  <c r="AK24" i="1"/>
  <c r="BI26" i="1"/>
  <c r="BM26" i="1" s="1"/>
  <c r="BN26" i="1" s="1"/>
  <c r="L28" i="1"/>
  <c r="K28" i="1" s="1"/>
  <c r="W28" i="1" s="1"/>
  <c r="X28" i="1" s="1"/>
  <c r="AK28" i="1"/>
  <c r="AE29" i="1"/>
  <c r="BA30" i="1"/>
  <c r="M31" i="1"/>
  <c r="AZ31" i="1" s="1"/>
  <c r="BB31" i="1" s="1"/>
  <c r="AK35" i="1"/>
  <c r="N35" i="1"/>
  <c r="L35" i="1"/>
  <c r="K35" i="1" s="1"/>
  <c r="AD37" i="1"/>
  <c r="BA42" i="1"/>
  <c r="M44" i="1"/>
  <c r="AZ44" i="1" s="1"/>
  <c r="BB44" i="1" s="1"/>
  <c r="L44" i="1"/>
  <c r="K44" i="1" s="1"/>
  <c r="AK44" i="1"/>
  <c r="Q44" i="1"/>
  <c r="N44" i="1"/>
  <c r="BI37" i="1"/>
  <c r="BM37" i="1" s="1"/>
  <c r="BN37" i="1" s="1"/>
  <c r="BH37" i="1"/>
  <c r="BJ37" i="1"/>
  <c r="CX43" i="1"/>
  <c r="AY43" i="1" s="1"/>
  <c r="BA43" i="1" s="1"/>
  <c r="V43" i="1"/>
  <c r="V17" i="1"/>
  <c r="L20" i="1"/>
  <c r="K20" i="1" s="1"/>
  <c r="V21" i="1"/>
  <c r="L24" i="1"/>
  <c r="K24" i="1" s="1"/>
  <c r="N28" i="1"/>
  <c r="BI29" i="1"/>
  <c r="BM29" i="1" s="1"/>
  <c r="BN29" i="1" s="1"/>
  <c r="BJ29" i="1"/>
  <c r="Z30" i="1"/>
  <c r="N31" i="1"/>
  <c r="BI33" i="1"/>
  <c r="BM33" i="1" s="1"/>
  <c r="BN33" i="1" s="1"/>
  <c r="BJ33" i="1"/>
  <c r="CX37" i="1"/>
  <c r="AY37" i="1" s="1"/>
  <c r="BA37" i="1" s="1"/>
  <c r="V37" i="1"/>
  <c r="BJ39" i="1"/>
  <c r="BI39" i="1"/>
  <c r="BM39" i="1" s="1"/>
  <c r="BN39" i="1" s="1"/>
  <c r="BH39" i="1"/>
  <c r="M20" i="1"/>
  <c r="AZ20" i="1" s="1"/>
  <c r="BB20" i="1" s="1"/>
  <c r="M24" i="1"/>
  <c r="AZ24" i="1" s="1"/>
  <c r="BB24" i="1" s="1"/>
  <c r="L29" i="1"/>
  <c r="K29" i="1" s="1"/>
  <c r="AK29" i="1"/>
  <c r="Q31" i="1"/>
  <c r="M32" i="1"/>
  <c r="AZ32" i="1" s="1"/>
  <c r="BB32" i="1" s="1"/>
  <c r="Q32" i="1"/>
  <c r="N32" i="1"/>
  <c r="L33" i="1"/>
  <c r="K33" i="1" s="1"/>
  <c r="AK33" i="1"/>
  <c r="CX35" i="1"/>
  <c r="AY35" i="1" s="1"/>
  <c r="BA35" i="1" s="1"/>
  <c r="V35" i="1"/>
  <c r="AE42" i="1"/>
  <c r="BA44" i="1"/>
  <c r="N76" i="1"/>
  <c r="M76" i="1"/>
  <c r="AZ76" i="1" s="1"/>
  <c r="BB76" i="1" s="1"/>
  <c r="L76" i="1"/>
  <c r="K76" i="1" s="1"/>
  <c r="AK76" i="1"/>
  <c r="Q76" i="1"/>
  <c r="V20" i="1"/>
  <c r="BH20" i="1"/>
  <c r="V24" i="1"/>
  <c r="BH24" i="1"/>
  <c r="BA28" i="1"/>
  <c r="BJ43" i="1"/>
  <c r="BI43" i="1"/>
  <c r="BM43" i="1" s="1"/>
  <c r="BN43" i="1" s="1"/>
  <c r="BH43" i="1"/>
  <c r="N72" i="1"/>
  <c r="M72" i="1"/>
  <c r="AZ72" i="1" s="1"/>
  <c r="BB72" i="1" s="1"/>
  <c r="L72" i="1"/>
  <c r="K72" i="1" s="1"/>
  <c r="AK72" i="1"/>
  <c r="Q72" i="1"/>
  <c r="Q30" i="1"/>
  <c r="N30" i="1"/>
  <c r="M30" i="1"/>
  <c r="AZ30" i="1" s="1"/>
  <c r="BB30" i="1" s="1"/>
  <c r="M29" i="1"/>
  <c r="AZ29" i="1" s="1"/>
  <c r="BB29" i="1" s="1"/>
  <c r="BA32" i="1"/>
  <c r="Q34" i="1"/>
  <c r="N34" i="1"/>
  <c r="M34" i="1"/>
  <c r="AZ34" i="1" s="1"/>
  <c r="BB34" i="1" s="1"/>
  <c r="L34" i="1"/>
  <c r="K34" i="1" s="1"/>
  <c r="AK36" i="1"/>
  <c r="Q38" i="1"/>
  <c r="N38" i="1"/>
  <c r="M38" i="1"/>
  <c r="AZ38" i="1" s="1"/>
  <c r="BB38" i="1" s="1"/>
  <c r="L38" i="1"/>
  <c r="K38" i="1" s="1"/>
  <c r="CX39" i="1"/>
  <c r="AY39" i="1" s="1"/>
  <c r="BA39" i="1" s="1"/>
  <c r="V39" i="1"/>
  <c r="BB41" i="1"/>
  <c r="W42" i="1"/>
  <c r="X42" i="1" s="1"/>
  <c r="L39" i="1"/>
  <c r="K39" i="1" s="1"/>
  <c r="BJ41" i="1"/>
  <c r="L43" i="1"/>
  <c r="K43" i="1" s="1"/>
  <c r="Z45" i="1"/>
  <c r="BJ45" i="1"/>
  <c r="N55" i="1"/>
  <c r="M55" i="1"/>
  <c r="AZ55" i="1" s="1"/>
  <c r="BB55" i="1" s="1"/>
  <c r="L55" i="1"/>
  <c r="K55" i="1" s="1"/>
  <c r="AK55" i="1"/>
  <c r="BJ57" i="1"/>
  <c r="BI57" i="1"/>
  <c r="BM57" i="1" s="1"/>
  <c r="BN57" i="1" s="1"/>
  <c r="BH57" i="1"/>
  <c r="BJ65" i="1"/>
  <c r="BI65" i="1"/>
  <c r="BM65" i="1" s="1"/>
  <c r="BN65" i="1" s="1"/>
  <c r="BH65" i="1"/>
  <c r="N39" i="1"/>
  <c r="N47" i="1"/>
  <c r="L47" i="1"/>
  <c r="K47" i="1" s="1"/>
  <c r="N51" i="1"/>
  <c r="M51" i="1"/>
  <c r="AZ51" i="1" s="1"/>
  <c r="BB51" i="1" s="1"/>
  <c r="L51" i="1"/>
  <c r="K51" i="1" s="1"/>
  <c r="AK51" i="1"/>
  <c r="BJ53" i="1"/>
  <c r="BI53" i="1"/>
  <c r="BM53" i="1" s="1"/>
  <c r="BN53" i="1" s="1"/>
  <c r="BH53" i="1"/>
  <c r="BA58" i="1"/>
  <c r="BA63" i="1"/>
  <c r="L65" i="1"/>
  <c r="K65" i="1" s="1"/>
  <c r="W65" i="1" s="1"/>
  <c r="X65" i="1" s="1"/>
  <c r="Q65" i="1"/>
  <c r="N65" i="1"/>
  <c r="M65" i="1"/>
  <c r="AZ65" i="1" s="1"/>
  <c r="BB65" i="1" s="1"/>
  <c r="AK65" i="1"/>
  <c r="AK37" i="1"/>
  <c r="AK41" i="1"/>
  <c r="CX47" i="1"/>
  <c r="AY47" i="1" s="1"/>
  <c r="BA47" i="1" s="1"/>
  <c r="V47" i="1"/>
  <c r="BA48" i="1"/>
  <c r="CX48" i="1"/>
  <c r="AY48" i="1" s="1"/>
  <c r="CX57" i="1"/>
  <c r="AY57" i="1" s="1"/>
  <c r="BA57" i="1" s="1"/>
  <c r="V57" i="1"/>
  <c r="W61" i="1"/>
  <c r="X61" i="1" s="1"/>
  <c r="AD62" i="1"/>
  <c r="L45" i="1"/>
  <c r="K45" i="1" s="1"/>
  <c r="CX45" i="1"/>
  <c r="AY45" i="1" s="1"/>
  <c r="BA45" i="1" s="1"/>
  <c r="V45" i="1"/>
  <c r="BJ49" i="1"/>
  <c r="BI49" i="1"/>
  <c r="BM49" i="1" s="1"/>
  <c r="BN49" i="1" s="1"/>
  <c r="BH49" i="1"/>
  <c r="BB50" i="1"/>
  <c r="Q51" i="1"/>
  <c r="AK57" i="1"/>
  <c r="Q57" i="1"/>
  <c r="N57" i="1"/>
  <c r="L57" i="1"/>
  <c r="K57" i="1" s="1"/>
  <c r="AD64" i="1"/>
  <c r="Q70" i="1"/>
  <c r="N70" i="1"/>
  <c r="M70" i="1"/>
  <c r="AZ70" i="1" s="1"/>
  <c r="BB70" i="1" s="1"/>
  <c r="AK70" i="1"/>
  <c r="L70" i="1"/>
  <c r="K70" i="1" s="1"/>
  <c r="BB46" i="1"/>
  <c r="CX53" i="1"/>
  <c r="AY53" i="1" s="1"/>
  <c r="BA53" i="1" s="1"/>
  <c r="V53" i="1"/>
  <c r="BA54" i="1"/>
  <c r="N59" i="1"/>
  <c r="M59" i="1"/>
  <c r="AZ59" i="1" s="1"/>
  <c r="BB59" i="1" s="1"/>
  <c r="L59" i="1"/>
  <c r="K59" i="1" s="1"/>
  <c r="AK59" i="1"/>
  <c r="AD61" i="1"/>
  <c r="V41" i="1"/>
  <c r="BH41" i="1"/>
  <c r="BB49" i="1"/>
  <c r="AK53" i="1"/>
  <c r="Q53" i="1"/>
  <c r="N53" i="1"/>
  <c r="L53" i="1"/>
  <c r="K53" i="1" s="1"/>
  <c r="BB58" i="1"/>
  <c r="BB61" i="1"/>
  <c r="BB62" i="1"/>
  <c r="BI45" i="1"/>
  <c r="BM45" i="1" s="1"/>
  <c r="BN45" i="1" s="1"/>
  <c r="BI47" i="1"/>
  <c r="BM47" i="1" s="1"/>
  <c r="BN47" i="1" s="1"/>
  <c r="BH47" i="1"/>
  <c r="BJ47" i="1"/>
  <c r="BB48" i="1"/>
  <c r="AK49" i="1"/>
  <c r="N49" i="1"/>
  <c r="L49" i="1"/>
  <c r="K49" i="1" s="1"/>
  <c r="CX49" i="1"/>
  <c r="AY49" i="1" s="1"/>
  <c r="BA49" i="1" s="1"/>
  <c r="V49" i="1"/>
  <c r="Q59" i="1"/>
  <c r="BA69" i="1"/>
  <c r="W77" i="1"/>
  <c r="X77" i="1" s="1"/>
  <c r="BJ51" i="1"/>
  <c r="BJ55" i="1"/>
  <c r="BJ59" i="1"/>
  <c r="N64" i="1"/>
  <c r="M64" i="1"/>
  <c r="AZ64" i="1" s="1"/>
  <c r="CX66" i="1"/>
  <c r="AY66" i="1" s="1"/>
  <c r="BA66" i="1" s="1"/>
  <c r="V66" i="1"/>
  <c r="N68" i="1"/>
  <c r="M68" i="1"/>
  <c r="AZ68" i="1" s="1"/>
  <c r="BB68" i="1" s="1"/>
  <c r="L68" i="1"/>
  <c r="K68" i="1" s="1"/>
  <c r="AK68" i="1"/>
  <c r="Q68" i="1"/>
  <c r="W71" i="1"/>
  <c r="X71" i="1" s="1"/>
  <c r="T71" i="1" s="1"/>
  <c r="R71" i="1" s="1"/>
  <c r="U71" i="1" s="1"/>
  <c r="O71" i="1" s="1"/>
  <c r="P71" i="1" s="1"/>
  <c r="Z74" i="1"/>
  <c r="W75" i="1"/>
  <c r="X75" i="1" s="1"/>
  <c r="Q78" i="1"/>
  <c r="N78" i="1"/>
  <c r="M78" i="1"/>
  <c r="AZ78" i="1" s="1"/>
  <c r="BB78" i="1" s="1"/>
  <c r="AK78" i="1"/>
  <c r="AD80" i="1"/>
  <c r="L48" i="1"/>
  <c r="K48" i="1" s="1"/>
  <c r="L52" i="1"/>
  <c r="K52" i="1" s="1"/>
  <c r="L56" i="1"/>
  <c r="K56" i="1" s="1"/>
  <c r="L60" i="1"/>
  <c r="K60" i="1" s="1"/>
  <c r="BI61" i="1"/>
  <c r="BM61" i="1" s="1"/>
  <c r="BN61" i="1" s="1"/>
  <c r="Q74" i="1"/>
  <c r="N74" i="1"/>
  <c r="M74" i="1"/>
  <c r="AZ74" i="1" s="1"/>
  <c r="BB74" i="1" s="1"/>
  <c r="AK74" i="1"/>
  <c r="BA78" i="1"/>
  <c r="M56" i="1"/>
  <c r="AZ56" i="1" s="1"/>
  <c r="BB56" i="1" s="1"/>
  <c r="Q58" i="1"/>
  <c r="M60" i="1"/>
  <c r="AZ60" i="1" s="1"/>
  <c r="BB60" i="1" s="1"/>
  <c r="CX62" i="1"/>
  <c r="AY62" i="1" s="1"/>
  <c r="BA62" i="1" s="1"/>
  <c r="V62" i="1"/>
  <c r="BI66" i="1"/>
  <c r="BM66" i="1" s="1"/>
  <c r="BN66" i="1" s="1"/>
  <c r="BH66" i="1"/>
  <c r="T79" i="1"/>
  <c r="R79" i="1" s="1"/>
  <c r="U79" i="1" s="1"/>
  <c r="O79" i="1" s="1"/>
  <c r="P79" i="1" s="1"/>
  <c r="BJ83" i="1"/>
  <c r="BI83" i="1"/>
  <c r="BM83" i="1" s="1"/>
  <c r="BN83" i="1" s="1"/>
  <c r="BH83" i="1"/>
  <c r="BB85" i="1"/>
  <c r="Q94" i="1"/>
  <c r="N94" i="1"/>
  <c r="M94" i="1"/>
  <c r="AZ94" i="1" s="1"/>
  <c r="BB94" i="1" s="1"/>
  <c r="AK94" i="1"/>
  <c r="L94" i="1"/>
  <c r="K94" i="1" s="1"/>
  <c r="V48" i="1"/>
  <c r="BH48" i="1"/>
  <c r="N52" i="1"/>
  <c r="V52" i="1"/>
  <c r="BH52" i="1"/>
  <c r="N56" i="1"/>
  <c r="BH56" i="1"/>
  <c r="N60" i="1"/>
  <c r="Q64" i="1"/>
  <c r="T67" i="1"/>
  <c r="R67" i="1" s="1"/>
  <c r="U67" i="1" s="1"/>
  <c r="O67" i="1" s="1"/>
  <c r="P67" i="1" s="1"/>
  <c r="BI62" i="1"/>
  <c r="BM62" i="1" s="1"/>
  <c r="BN62" i="1" s="1"/>
  <c r="V63" i="1"/>
  <c r="Q66" i="1"/>
  <c r="N66" i="1"/>
  <c r="AK66" i="1"/>
  <c r="L74" i="1"/>
  <c r="K74" i="1" s="1"/>
  <c r="T75" i="1"/>
  <c r="R75" i="1" s="1"/>
  <c r="U75" i="1" s="1"/>
  <c r="O75" i="1" s="1"/>
  <c r="P75" i="1" s="1"/>
  <c r="N77" i="1"/>
  <c r="M77" i="1"/>
  <c r="AZ77" i="1" s="1"/>
  <c r="BB77" i="1" s="1"/>
  <c r="L77" i="1"/>
  <c r="K77" i="1" s="1"/>
  <c r="AK77" i="1"/>
  <c r="Q77" i="1"/>
  <c r="BJ99" i="1"/>
  <c r="BI99" i="1"/>
  <c r="BM99" i="1" s="1"/>
  <c r="BN99" i="1" s="1"/>
  <c r="BH99" i="1"/>
  <c r="L46" i="1"/>
  <c r="K46" i="1" s="1"/>
  <c r="L50" i="1"/>
  <c r="K50" i="1" s="1"/>
  <c r="V51" i="1"/>
  <c r="BH51" i="1"/>
  <c r="L54" i="1"/>
  <c r="K54" i="1" s="1"/>
  <c r="V55" i="1"/>
  <c r="BH55" i="1"/>
  <c r="L58" i="1"/>
  <c r="K58" i="1" s="1"/>
  <c r="V59" i="1"/>
  <c r="BH59" i="1"/>
  <c r="BJ62" i="1"/>
  <c r="N69" i="1"/>
  <c r="M69" i="1"/>
  <c r="AZ69" i="1" s="1"/>
  <c r="BB69" i="1" s="1"/>
  <c r="L69" i="1"/>
  <c r="K69" i="1" s="1"/>
  <c r="W69" i="1" s="1"/>
  <c r="X69" i="1" s="1"/>
  <c r="AK69" i="1"/>
  <c r="Q69" i="1"/>
  <c r="W79" i="1"/>
  <c r="X79" i="1" s="1"/>
  <c r="Z62" i="1"/>
  <c r="L63" i="1"/>
  <c r="K63" i="1" s="1"/>
  <c r="AK63" i="1"/>
  <c r="AK64" i="1"/>
  <c r="CX64" i="1"/>
  <c r="AY64" i="1" s="1"/>
  <c r="BA64" i="1" s="1"/>
  <c r="W67" i="1"/>
  <c r="X67" i="1" s="1"/>
  <c r="Z70" i="1"/>
  <c r="N73" i="1"/>
  <c r="M73" i="1"/>
  <c r="AZ73" i="1" s="1"/>
  <c r="BB73" i="1" s="1"/>
  <c r="L73" i="1"/>
  <c r="K73" i="1" s="1"/>
  <c r="W73" i="1" s="1"/>
  <c r="X73" i="1" s="1"/>
  <c r="AK73" i="1"/>
  <c r="Q73" i="1"/>
  <c r="BJ82" i="1"/>
  <c r="BH82" i="1"/>
  <c r="BI82" i="1"/>
  <c r="BM82" i="1" s="1"/>
  <c r="BN82" i="1" s="1"/>
  <c r="M67" i="1"/>
  <c r="AZ67" i="1" s="1"/>
  <c r="BB67" i="1" s="1"/>
  <c r="M71" i="1"/>
  <c r="AZ71" i="1" s="1"/>
  <c r="BB71" i="1" s="1"/>
  <c r="M75" i="1"/>
  <c r="AZ75" i="1" s="1"/>
  <c r="BB75" i="1" s="1"/>
  <c r="M79" i="1"/>
  <c r="AZ79" i="1" s="1"/>
  <c r="BB79" i="1" s="1"/>
  <c r="V83" i="1"/>
  <c r="BJ85" i="1"/>
  <c r="BI85" i="1"/>
  <c r="BM85" i="1" s="1"/>
  <c r="BN85" i="1" s="1"/>
  <c r="BH85" i="1"/>
  <c r="W87" i="1"/>
  <c r="X87" i="1" s="1"/>
  <c r="T87" i="1" s="1"/>
  <c r="R87" i="1" s="1"/>
  <c r="U87" i="1" s="1"/>
  <c r="O87" i="1" s="1"/>
  <c r="P87" i="1" s="1"/>
  <c r="N88" i="1"/>
  <c r="M88" i="1"/>
  <c r="AZ88" i="1" s="1"/>
  <c r="BB88" i="1" s="1"/>
  <c r="L88" i="1"/>
  <c r="K88" i="1" s="1"/>
  <c r="AK88" i="1"/>
  <c r="Q88" i="1"/>
  <c r="N93" i="1"/>
  <c r="M93" i="1"/>
  <c r="AZ93" i="1" s="1"/>
  <c r="BB93" i="1" s="1"/>
  <c r="L93" i="1"/>
  <c r="K93" i="1" s="1"/>
  <c r="AK93" i="1"/>
  <c r="Q93" i="1"/>
  <c r="N96" i="1"/>
  <c r="AK96" i="1"/>
  <c r="Q96" i="1"/>
  <c r="M96" i="1"/>
  <c r="AZ96" i="1" s="1"/>
  <c r="L96" i="1"/>
  <c r="K96" i="1" s="1"/>
  <c r="BB83" i="1"/>
  <c r="N85" i="1"/>
  <c r="L85" i="1"/>
  <c r="K85" i="1" s="1"/>
  <c r="AK85" i="1"/>
  <c r="Q85" i="1"/>
  <c r="W95" i="1"/>
  <c r="X95" i="1" s="1"/>
  <c r="T97" i="1"/>
  <c r="R97" i="1" s="1"/>
  <c r="U97" i="1" s="1"/>
  <c r="O97" i="1" s="1"/>
  <c r="P97" i="1" s="1"/>
  <c r="AD97" i="1"/>
  <c r="V70" i="1"/>
  <c r="BH70" i="1"/>
  <c r="V74" i="1"/>
  <c r="BH74" i="1"/>
  <c r="V78" i="1"/>
  <c r="BH78" i="1"/>
  <c r="M80" i="1"/>
  <c r="AZ80" i="1" s="1"/>
  <c r="AK80" i="1"/>
  <c r="CX80" i="1"/>
  <c r="AY80" i="1" s="1"/>
  <c r="BA80" i="1" s="1"/>
  <c r="V80" i="1"/>
  <c r="CX81" i="1"/>
  <c r="AY81" i="1" s="1"/>
  <c r="BA81" i="1" s="1"/>
  <c r="V81" i="1"/>
  <c r="Q82" i="1"/>
  <c r="N82" i="1"/>
  <c r="CX85" i="1"/>
  <c r="AY85" i="1" s="1"/>
  <c r="BA85" i="1" s="1"/>
  <c r="V85" i="1"/>
  <c r="Z86" i="1"/>
  <c r="N89" i="1"/>
  <c r="M89" i="1"/>
  <c r="AZ89" i="1" s="1"/>
  <c r="BB89" i="1" s="1"/>
  <c r="L89" i="1"/>
  <c r="K89" i="1" s="1"/>
  <c r="AK89" i="1"/>
  <c r="Q89" i="1"/>
  <c r="AD99" i="1"/>
  <c r="Q67" i="1"/>
  <c r="Q71" i="1"/>
  <c r="BI74" i="1"/>
  <c r="BM74" i="1" s="1"/>
  <c r="BN74" i="1" s="1"/>
  <c r="Q75" i="1"/>
  <c r="BI78" i="1"/>
  <c r="BM78" i="1" s="1"/>
  <c r="BN78" i="1" s="1"/>
  <c r="Q79" i="1"/>
  <c r="N84" i="1"/>
  <c r="M84" i="1"/>
  <c r="AZ84" i="1" s="1"/>
  <c r="BB84" i="1" s="1"/>
  <c r="L84" i="1"/>
  <c r="K84" i="1" s="1"/>
  <c r="Q84" i="1"/>
  <c r="Q90" i="1"/>
  <c r="N90" i="1"/>
  <c r="M90" i="1"/>
  <c r="AZ90" i="1" s="1"/>
  <c r="BB90" i="1" s="1"/>
  <c r="AK90" i="1"/>
  <c r="BH96" i="1"/>
  <c r="BJ96" i="1"/>
  <c r="BI96" i="1"/>
  <c r="BM96" i="1" s="1"/>
  <c r="BN96" i="1" s="1"/>
  <c r="N104" i="1"/>
  <c r="M104" i="1"/>
  <c r="AZ104" i="1" s="1"/>
  <c r="BB104" i="1" s="1"/>
  <c r="L104" i="1"/>
  <c r="K104" i="1" s="1"/>
  <c r="AK104" i="1"/>
  <c r="Q106" i="1"/>
  <c r="N106" i="1"/>
  <c r="M106" i="1"/>
  <c r="AZ106" i="1" s="1"/>
  <c r="BB106" i="1" s="1"/>
  <c r="AK106" i="1"/>
  <c r="L106" i="1"/>
  <c r="K106" i="1" s="1"/>
  <c r="W107" i="1"/>
  <c r="X107" i="1" s="1"/>
  <c r="T107" i="1" s="1"/>
  <c r="R107" i="1" s="1"/>
  <c r="U107" i="1" s="1"/>
  <c r="O107" i="1" s="1"/>
  <c r="P107" i="1" s="1"/>
  <c r="N81" i="1"/>
  <c r="L81" i="1"/>
  <c r="K81" i="1" s="1"/>
  <c r="W91" i="1"/>
  <c r="X91" i="1" s="1"/>
  <c r="T91" i="1" s="1"/>
  <c r="R91" i="1" s="1"/>
  <c r="U91" i="1" s="1"/>
  <c r="O91" i="1" s="1"/>
  <c r="P91" i="1" s="1"/>
  <c r="N92" i="1"/>
  <c r="M92" i="1"/>
  <c r="AZ92" i="1" s="1"/>
  <c r="BB92" i="1" s="1"/>
  <c r="L92" i="1"/>
  <c r="K92" i="1" s="1"/>
  <c r="AK92" i="1"/>
  <c r="Q92" i="1"/>
  <c r="AK67" i="1"/>
  <c r="BI69" i="1"/>
  <c r="BM69" i="1" s="1"/>
  <c r="BN69" i="1" s="1"/>
  <c r="AK71" i="1"/>
  <c r="BI73" i="1"/>
  <c r="BM73" i="1" s="1"/>
  <c r="BN73" i="1" s="1"/>
  <c r="AK75" i="1"/>
  <c r="BI77" i="1"/>
  <c r="BM77" i="1" s="1"/>
  <c r="BN77" i="1" s="1"/>
  <c r="AK79" i="1"/>
  <c r="Q80" i="1"/>
  <c r="BJ80" i="1"/>
  <c r="AK81" i="1"/>
  <c r="BJ81" i="1"/>
  <c r="BH81" i="1"/>
  <c r="Q86" i="1"/>
  <c r="N86" i="1"/>
  <c r="M86" i="1"/>
  <c r="AZ86" i="1" s="1"/>
  <c r="BB86" i="1" s="1"/>
  <c r="AK86" i="1"/>
  <c r="BB95" i="1"/>
  <c r="AE99" i="1"/>
  <c r="V64" i="1"/>
  <c r="V68" i="1"/>
  <c r="V72" i="1"/>
  <c r="V76" i="1"/>
  <c r="M81" i="1"/>
  <c r="AZ81" i="1" s="1"/>
  <c r="BB81" i="1" s="1"/>
  <c r="BI81" i="1"/>
  <c r="BM81" i="1" s="1"/>
  <c r="BN81" i="1" s="1"/>
  <c r="L82" i="1"/>
  <c r="K82" i="1" s="1"/>
  <c r="CX82" i="1"/>
  <c r="AY82" i="1" s="1"/>
  <c r="BA82" i="1" s="1"/>
  <c r="V82" i="1"/>
  <c r="AD83" i="1"/>
  <c r="L90" i="1"/>
  <c r="K90" i="1" s="1"/>
  <c r="Z94" i="1"/>
  <c r="BA99" i="1"/>
  <c r="AD100" i="1"/>
  <c r="CX96" i="1"/>
  <c r="AY96" i="1" s="1"/>
  <c r="BA96" i="1" s="1"/>
  <c r="V96" i="1"/>
  <c r="Q102" i="1"/>
  <c r="N102" i="1"/>
  <c r="T103" i="1"/>
  <c r="R103" i="1" s="1"/>
  <c r="U103" i="1" s="1"/>
  <c r="O103" i="1" s="1"/>
  <c r="P103" i="1" s="1"/>
  <c r="BI87" i="1"/>
  <c r="BM87" i="1" s="1"/>
  <c r="BN87" i="1" s="1"/>
  <c r="BI91" i="1"/>
  <c r="BM91" i="1" s="1"/>
  <c r="BN91" i="1" s="1"/>
  <c r="L98" i="1"/>
  <c r="K98" i="1" s="1"/>
  <c r="Q99" i="1"/>
  <c r="CX102" i="1"/>
  <c r="AY102" i="1" s="1"/>
  <c r="BA102" i="1" s="1"/>
  <c r="V102" i="1"/>
  <c r="N108" i="1"/>
  <c r="M108" i="1"/>
  <c r="AZ108" i="1" s="1"/>
  <c r="BB108" i="1" s="1"/>
  <c r="L108" i="1"/>
  <c r="K108" i="1" s="1"/>
  <c r="AK108" i="1"/>
  <c r="Q108" i="1"/>
  <c r="W114" i="1"/>
  <c r="X114" i="1" s="1"/>
  <c r="V86" i="1"/>
  <c r="BH86" i="1"/>
  <c r="V90" i="1"/>
  <c r="BH90" i="1"/>
  <c r="V94" i="1"/>
  <c r="BH94" i="1"/>
  <c r="M98" i="1"/>
  <c r="AZ98" i="1" s="1"/>
  <c r="BB98" i="1" s="1"/>
  <c r="AK98" i="1"/>
  <c r="CX98" i="1"/>
  <c r="AY98" i="1" s="1"/>
  <c r="BA98" i="1" s="1"/>
  <c r="V98" i="1"/>
  <c r="CX100" i="1"/>
  <c r="AY100" i="1" s="1"/>
  <c r="BA100" i="1" s="1"/>
  <c r="V100" i="1"/>
  <c r="W103" i="1"/>
  <c r="X103" i="1" s="1"/>
  <c r="AF110" i="1"/>
  <c r="AG110" i="1" s="1"/>
  <c r="Y110" i="1"/>
  <c r="AC110" i="1" s="1"/>
  <c r="BA103" i="1"/>
  <c r="N109" i="1"/>
  <c r="M109" i="1"/>
  <c r="AZ109" i="1" s="1"/>
  <c r="L109" i="1"/>
  <c r="K109" i="1" s="1"/>
  <c r="AK109" i="1"/>
  <c r="Q109" i="1"/>
  <c r="V89" i="1"/>
  <c r="BH89" i="1"/>
  <c r="V93" i="1"/>
  <c r="BH93" i="1"/>
  <c r="W97" i="1"/>
  <c r="X97" i="1" s="1"/>
  <c r="BI98" i="1"/>
  <c r="BM98" i="1" s="1"/>
  <c r="BN98" i="1" s="1"/>
  <c r="AK100" i="1"/>
  <c r="N101" i="1"/>
  <c r="L101" i="1"/>
  <c r="K101" i="1" s="1"/>
  <c r="BJ102" i="1"/>
  <c r="BI102" i="1"/>
  <c r="BM102" i="1" s="1"/>
  <c r="BN102" i="1" s="1"/>
  <c r="BH102" i="1"/>
  <c r="BB103" i="1"/>
  <c r="BB107" i="1"/>
  <c r="AK83" i="1"/>
  <c r="AK87" i="1"/>
  <c r="BI89" i="1"/>
  <c r="BM89" i="1" s="1"/>
  <c r="BN89" i="1" s="1"/>
  <c r="AK91" i="1"/>
  <c r="BI93" i="1"/>
  <c r="BM93" i="1" s="1"/>
  <c r="BN93" i="1" s="1"/>
  <c r="AK95" i="1"/>
  <c r="Q98" i="1"/>
  <c r="BJ98" i="1"/>
  <c r="BJ101" i="1"/>
  <c r="BH101" i="1"/>
  <c r="AD103" i="1"/>
  <c r="N105" i="1"/>
  <c r="M105" i="1"/>
  <c r="AZ105" i="1" s="1"/>
  <c r="BB105" i="1" s="1"/>
  <c r="L105" i="1"/>
  <c r="K105" i="1" s="1"/>
  <c r="AK105" i="1"/>
  <c r="Q105" i="1"/>
  <c r="AE110" i="1"/>
  <c r="V84" i="1"/>
  <c r="V88" i="1"/>
  <c r="V92" i="1"/>
  <c r="M99" i="1"/>
  <c r="AZ99" i="1" s="1"/>
  <c r="BB99" i="1" s="1"/>
  <c r="W99" i="1"/>
  <c r="X99" i="1" s="1"/>
  <c r="BJ100" i="1"/>
  <c r="M101" i="1"/>
  <c r="AZ101" i="1" s="1"/>
  <c r="BB101" i="1" s="1"/>
  <c r="BI101" i="1"/>
  <c r="BM101" i="1" s="1"/>
  <c r="BN101" i="1" s="1"/>
  <c r="L102" i="1"/>
  <c r="K102" i="1" s="1"/>
  <c r="AK102" i="1"/>
  <c r="Z106" i="1"/>
  <c r="T110" i="1"/>
  <c r="R110" i="1" s="1"/>
  <c r="U110" i="1" s="1"/>
  <c r="O110" i="1" s="1"/>
  <c r="P110" i="1" s="1"/>
  <c r="AD110" i="1"/>
  <c r="CX109" i="1"/>
  <c r="AY109" i="1" s="1"/>
  <c r="BA109" i="1" s="1"/>
  <c r="V109" i="1"/>
  <c r="CX111" i="1"/>
  <c r="AY111" i="1" s="1"/>
  <c r="BA111" i="1" s="1"/>
  <c r="V111" i="1"/>
  <c r="L114" i="1"/>
  <c r="K114" i="1" s="1"/>
  <c r="AK114" i="1"/>
  <c r="Q114" i="1"/>
  <c r="N116" i="1"/>
  <c r="M116" i="1"/>
  <c r="AZ116" i="1" s="1"/>
  <c r="BB116" i="1" s="1"/>
  <c r="L116" i="1"/>
  <c r="K116" i="1" s="1"/>
  <c r="AK116" i="1"/>
  <c r="Q116" i="1"/>
  <c r="Z117" i="1"/>
  <c r="Z121" i="1"/>
  <c r="BJ109" i="1"/>
  <c r="BH109" i="1"/>
  <c r="Q113" i="1"/>
  <c r="N113" i="1"/>
  <c r="M113" i="1"/>
  <c r="AZ113" i="1" s="1"/>
  <c r="BB113" i="1" s="1"/>
  <c r="BA114" i="1"/>
  <c r="Q117" i="1"/>
  <c r="N117" i="1"/>
  <c r="M117" i="1"/>
  <c r="AZ117" i="1" s="1"/>
  <c r="BB117" i="1" s="1"/>
  <c r="AK117" i="1"/>
  <c r="Q121" i="1"/>
  <c r="N121" i="1"/>
  <c r="M121" i="1"/>
  <c r="AZ121" i="1" s="1"/>
  <c r="BB121" i="1" s="1"/>
  <c r="AK121" i="1"/>
  <c r="AD123" i="1"/>
  <c r="V106" i="1"/>
  <c r="BH106" i="1"/>
  <c r="BI109" i="1"/>
  <c r="BM109" i="1" s="1"/>
  <c r="BN109" i="1" s="1"/>
  <c r="AK110" i="1"/>
  <c r="BH110" i="1"/>
  <c r="L126" i="1"/>
  <c r="K126" i="1" s="1"/>
  <c r="AK126" i="1"/>
  <c r="Q126" i="1"/>
  <c r="M126" i="1"/>
  <c r="AZ126" i="1" s="1"/>
  <c r="BB126" i="1" s="1"/>
  <c r="BI106" i="1"/>
  <c r="BM106" i="1" s="1"/>
  <c r="BN106" i="1" s="1"/>
  <c r="BB110" i="1"/>
  <c r="BI110" i="1"/>
  <c r="BM110" i="1" s="1"/>
  <c r="BN110" i="1" s="1"/>
  <c r="N111" i="1"/>
  <c r="L111" i="1"/>
  <c r="K111" i="1" s="1"/>
  <c r="AK111" i="1"/>
  <c r="L113" i="1"/>
  <c r="K113" i="1" s="1"/>
  <c r="BJ114" i="1"/>
  <c r="BI114" i="1"/>
  <c r="BM114" i="1" s="1"/>
  <c r="BN114" i="1" s="1"/>
  <c r="L118" i="1"/>
  <c r="K118" i="1" s="1"/>
  <c r="AK118" i="1"/>
  <c r="Q118" i="1"/>
  <c r="M118" i="1"/>
  <c r="AZ118" i="1" s="1"/>
  <c r="BB118" i="1" s="1"/>
  <c r="L122" i="1"/>
  <c r="K122" i="1" s="1"/>
  <c r="W122" i="1" s="1"/>
  <c r="X122" i="1" s="1"/>
  <c r="AK122" i="1"/>
  <c r="Q122" i="1"/>
  <c r="M122" i="1"/>
  <c r="AZ122" i="1" s="1"/>
  <c r="BB122" i="1" s="1"/>
  <c r="N128" i="1"/>
  <c r="M128" i="1"/>
  <c r="AZ128" i="1" s="1"/>
  <c r="BB128" i="1" s="1"/>
  <c r="L128" i="1"/>
  <c r="K128" i="1" s="1"/>
  <c r="AK128" i="1"/>
  <c r="Q128" i="1"/>
  <c r="V101" i="1"/>
  <c r="BH105" i="1"/>
  <c r="N112" i="1"/>
  <c r="M112" i="1"/>
  <c r="AZ112" i="1" s="1"/>
  <c r="BB112" i="1" s="1"/>
  <c r="L112" i="1"/>
  <c r="K112" i="1" s="1"/>
  <c r="AK112" i="1"/>
  <c r="BH114" i="1"/>
  <c r="N115" i="1"/>
  <c r="M115" i="1"/>
  <c r="AZ115" i="1" s="1"/>
  <c r="BB115" i="1" s="1"/>
  <c r="L115" i="1"/>
  <c r="K115" i="1" s="1"/>
  <c r="AK115" i="1"/>
  <c r="Q115" i="1"/>
  <c r="L117" i="1"/>
  <c r="K117" i="1" s="1"/>
  <c r="L121" i="1"/>
  <c r="K121" i="1" s="1"/>
  <c r="N126" i="1"/>
  <c r="AK107" i="1"/>
  <c r="N124" i="1"/>
  <c r="M124" i="1"/>
  <c r="AZ124" i="1" s="1"/>
  <c r="BB124" i="1" s="1"/>
  <c r="L124" i="1"/>
  <c r="K124" i="1" s="1"/>
  <c r="AK124" i="1"/>
  <c r="Q124" i="1"/>
  <c r="V104" i="1"/>
  <c r="V108" i="1"/>
  <c r="Q110" i="1"/>
  <c r="Z113" i="1"/>
  <c r="M114" i="1"/>
  <c r="AZ114" i="1" s="1"/>
  <c r="BB114" i="1" s="1"/>
  <c r="N120" i="1"/>
  <c r="M120" i="1"/>
  <c r="AZ120" i="1" s="1"/>
  <c r="BB120" i="1" s="1"/>
  <c r="L120" i="1"/>
  <c r="K120" i="1" s="1"/>
  <c r="AK120" i="1"/>
  <c r="Q120" i="1"/>
  <c r="BB123" i="1"/>
  <c r="Z125" i="1"/>
  <c r="BI118" i="1"/>
  <c r="BM118" i="1" s="1"/>
  <c r="BN118" i="1" s="1"/>
  <c r="V113" i="1"/>
  <c r="BH113" i="1"/>
  <c r="V117" i="1"/>
  <c r="BH117" i="1"/>
  <c r="V121" i="1"/>
  <c r="BH121" i="1"/>
  <c r="V125" i="1"/>
  <c r="BH125" i="1"/>
  <c r="BI113" i="1"/>
  <c r="BM113" i="1" s="1"/>
  <c r="BN113" i="1" s="1"/>
  <c r="BI117" i="1"/>
  <c r="BM117" i="1" s="1"/>
  <c r="BN117" i="1" s="1"/>
  <c r="BI121" i="1"/>
  <c r="BM121" i="1" s="1"/>
  <c r="BN121" i="1" s="1"/>
  <c r="BI125" i="1"/>
  <c r="BM125" i="1" s="1"/>
  <c r="BN125" i="1" s="1"/>
  <c r="AK127" i="1"/>
  <c r="V112" i="1"/>
  <c r="BH112" i="1"/>
  <c r="V116" i="1"/>
  <c r="BH116" i="1"/>
  <c r="V120" i="1"/>
  <c r="BH120" i="1"/>
  <c r="V124" i="1"/>
  <c r="BH124" i="1"/>
  <c r="L127" i="1"/>
  <c r="K127" i="1" s="1"/>
  <c r="BH128" i="1"/>
  <c r="M127" i="1"/>
  <c r="AZ127" i="1" s="1"/>
  <c r="BB127" i="1" s="1"/>
  <c r="BI128" i="1"/>
  <c r="BM128" i="1" s="1"/>
  <c r="BN128" i="1" s="1"/>
  <c r="V115" i="1"/>
  <c r="V119" i="1"/>
  <c r="V123" i="1"/>
  <c r="Y122" i="1" l="1"/>
  <c r="AC122" i="1" s="1"/>
  <c r="AF122" i="1"/>
  <c r="AE122" i="1"/>
  <c r="AF65" i="1"/>
  <c r="Y65" i="1"/>
  <c r="AC65" i="1" s="1"/>
  <c r="AE65" i="1"/>
  <c r="Y28" i="1"/>
  <c r="AC28" i="1" s="1"/>
  <c r="AF28" i="1"/>
  <c r="AG28" i="1" s="1"/>
  <c r="AE28" i="1"/>
  <c r="AF69" i="1"/>
  <c r="Y69" i="1"/>
  <c r="AC69" i="1" s="1"/>
  <c r="AE69" i="1"/>
  <c r="AF73" i="1"/>
  <c r="Y73" i="1"/>
  <c r="AC73" i="1" s="1"/>
  <c r="AE73" i="1"/>
  <c r="W116" i="1"/>
  <c r="X116" i="1" s="1"/>
  <c r="W111" i="1"/>
  <c r="X111" i="1" s="1"/>
  <c r="W88" i="1"/>
  <c r="X88" i="1" s="1"/>
  <c r="W93" i="1"/>
  <c r="X93" i="1" s="1"/>
  <c r="AD82" i="1"/>
  <c r="W78" i="1"/>
  <c r="X78" i="1" s="1"/>
  <c r="W63" i="1"/>
  <c r="X63" i="1" s="1"/>
  <c r="AD47" i="1"/>
  <c r="T47" i="1"/>
  <c r="R47" i="1" s="1"/>
  <c r="U47" i="1" s="1"/>
  <c r="O47" i="1" s="1"/>
  <c r="P47" i="1" s="1"/>
  <c r="W113" i="1"/>
  <c r="X113" i="1" s="1"/>
  <c r="AD117" i="1"/>
  <c r="AD128" i="1"/>
  <c r="AD111" i="1"/>
  <c r="T111" i="1"/>
  <c r="R111" i="1" s="1"/>
  <c r="U111" i="1" s="1"/>
  <c r="O111" i="1" s="1"/>
  <c r="P111" i="1" s="1"/>
  <c r="T126" i="1"/>
  <c r="R126" i="1" s="1"/>
  <c r="U126" i="1" s="1"/>
  <c r="O126" i="1" s="1"/>
  <c r="P126" i="1" s="1"/>
  <c r="AD126" i="1"/>
  <c r="T114" i="1"/>
  <c r="R114" i="1" s="1"/>
  <c r="U114" i="1" s="1"/>
  <c r="O114" i="1" s="1"/>
  <c r="P114" i="1" s="1"/>
  <c r="AD114" i="1"/>
  <c r="W92" i="1"/>
  <c r="X92" i="1" s="1"/>
  <c r="W86" i="1"/>
  <c r="X86" i="1" s="1"/>
  <c r="AD106" i="1"/>
  <c r="T58" i="1"/>
  <c r="R58" i="1" s="1"/>
  <c r="U58" i="1" s="1"/>
  <c r="O58" i="1" s="1"/>
  <c r="P58" i="1" s="1"/>
  <c r="AD58" i="1"/>
  <c r="W58" i="1"/>
  <c r="X58" i="1" s="1"/>
  <c r="AD94" i="1"/>
  <c r="W66" i="1"/>
  <c r="X66" i="1" s="1"/>
  <c r="AF77" i="1"/>
  <c r="Y77" i="1"/>
  <c r="AC77" i="1" s="1"/>
  <c r="AD59" i="1"/>
  <c r="AD57" i="1"/>
  <c r="Y61" i="1"/>
  <c r="AC61" i="1" s="1"/>
  <c r="AF61" i="1"/>
  <c r="AG61" i="1" s="1"/>
  <c r="AE61" i="1"/>
  <c r="AD72" i="1"/>
  <c r="T29" i="1"/>
  <c r="R29" i="1" s="1"/>
  <c r="U29" i="1" s="1"/>
  <c r="O29" i="1" s="1"/>
  <c r="P29" i="1" s="1"/>
  <c r="AD29" i="1"/>
  <c r="W21" i="1"/>
  <c r="X21" i="1" s="1"/>
  <c r="T31" i="1"/>
  <c r="R31" i="1" s="1"/>
  <c r="U31" i="1" s="1"/>
  <c r="O31" i="1" s="1"/>
  <c r="P31" i="1" s="1"/>
  <c r="AD31" i="1"/>
  <c r="AD21" i="1"/>
  <c r="AD112" i="1"/>
  <c r="T112" i="1"/>
  <c r="R112" i="1" s="1"/>
  <c r="U112" i="1" s="1"/>
  <c r="O112" i="1" s="1"/>
  <c r="P112" i="1" s="1"/>
  <c r="Y95" i="1"/>
  <c r="AC95" i="1" s="1"/>
  <c r="AF95" i="1"/>
  <c r="AG95" i="1" s="1"/>
  <c r="AE95" i="1"/>
  <c r="AD127" i="1"/>
  <c r="T127" i="1"/>
  <c r="R127" i="1" s="1"/>
  <c r="U127" i="1" s="1"/>
  <c r="O127" i="1" s="1"/>
  <c r="P127" i="1" s="1"/>
  <c r="T33" i="1"/>
  <c r="R33" i="1" s="1"/>
  <c r="U33" i="1" s="1"/>
  <c r="O33" i="1" s="1"/>
  <c r="P33" i="1" s="1"/>
  <c r="AD33" i="1"/>
  <c r="W17" i="1"/>
  <c r="X17" i="1" s="1"/>
  <c r="AF29" i="1"/>
  <c r="AG29" i="1" s="1"/>
  <c r="Y29" i="1"/>
  <c r="AC29" i="1" s="1"/>
  <c r="W112" i="1"/>
  <c r="X112" i="1" s="1"/>
  <c r="W128" i="1"/>
  <c r="X128" i="1" s="1"/>
  <c r="T128" i="1" s="1"/>
  <c r="R128" i="1" s="1"/>
  <c r="U128" i="1" s="1"/>
  <c r="O128" i="1" s="1"/>
  <c r="P128" i="1" s="1"/>
  <c r="W127" i="1"/>
  <c r="X127" i="1" s="1"/>
  <c r="AD116" i="1"/>
  <c r="BB111" i="1"/>
  <c r="AD101" i="1"/>
  <c r="W89" i="1"/>
  <c r="X89" i="1" s="1"/>
  <c r="BB102" i="1"/>
  <c r="W74" i="1"/>
  <c r="X74" i="1" s="1"/>
  <c r="AD88" i="1"/>
  <c r="T88" i="1"/>
  <c r="R88" i="1" s="1"/>
  <c r="U88" i="1" s="1"/>
  <c r="O88" i="1" s="1"/>
  <c r="P88" i="1" s="1"/>
  <c r="W83" i="1"/>
  <c r="X83" i="1" s="1"/>
  <c r="T63" i="1"/>
  <c r="R63" i="1" s="1"/>
  <c r="U63" i="1" s="1"/>
  <c r="O63" i="1" s="1"/>
  <c r="P63" i="1" s="1"/>
  <c r="AD63" i="1"/>
  <c r="AD54" i="1"/>
  <c r="W54" i="1"/>
  <c r="X54" i="1" s="1"/>
  <c r="AD74" i="1"/>
  <c r="W60" i="1"/>
  <c r="X60" i="1" s="1"/>
  <c r="T60" i="1" s="1"/>
  <c r="R60" i="1" s="1"/>
  <c r="U60" i="1" s="1"/>
  <c r="O60" i="1" s="1"/>
  <c r="P60" i="1" s="1"/>
  <c r="AD60" i="1"/>
  <c r="BB64" i="1"/>
  <c r="W45" i="1"/>
  <c r="X45" i="1" s="1"/>
  <c r="W43" i="1"/>
  <c r="X43" i="1" s="1"/>
  <c r="AD35" i="1"/>
  <c r="W22" i="1"/>
  <c r="X22" i="1" s="1"/>
  <c r="BB37" i="1"/>
  <c r="AD26" i="1"/>
  <c r="T26" i="1"/>
  <c r="R26" i="1" s="1"/>
  <c r="U26" i="1" s="1"/>
  <c r="O26" i="1" s="1"/>
  <c r="P26" i="1" s="1"/>
  <c r="Y114" i="1"/>
  <c r="AC114" i="1" s="1"/>
  <c r="AF114" i="1"/>
  <c r="W102" i="1"/>
  <c r="X102" i="1" s="1"/>
  <c r="T40" i="1"/>
  <c r="R40" i="1" s="1"/>
  <c r="U40" i="1" s="1"/>
  <c r="O40" i="1" s="1"/>
  <c r="P40" i="1" s="1"/>
  <c r="AD40" i="1"/>
  <c r="W125" i="1"/>
  <c r="X125" i="1" s="1"/>
  <c r="W104" i="1"/>
  <c r="X104" i="1" s="1"/>
  <c r="AD102" i="1"/>
  <c r="T102" i="1"/>
  <c r="R102" i="1" s="1"/>
  <c r="U102" i="1" s="1"/>
  <c r="O102" i="1" s="1"/>
  <c r="P102" i="1" s="1"/>
  <c r="T95" i="1"/>
  <c r="R95" i="1" s="1"/>
  <c r="U95" i="1" s="1"/>
  <c r="O95" i="1" s="1"/>
  <c r="P95" i="1" s="1"/>
  <c r="BB66" i="1"/>
  <c r="AD43" i="1"/>
  <c r="T43" i="1"/>
  <c r="R43" i="1" s="1"/>
  <c r="U43" i="1" s="1"/>
  <c r="O43" i="1" s="1"/>
  <c r="P43" i="1" s="1"/>
  <c r="W40" i="1"/>
  <c r="X40" i="1" s="1"/>
  <c r="AD25" i="1"/>
  <c r="AD115" i="1"/>
  <c r="W123" i="1"/>
  <c r="X123" i="1" s="1"/>
  <c r="W124" i="1"/>
  <c r="X124" i="1" s="1"/>
  <c r="W121" i="1"/>
  <c r="X121" i="1" s="1"/>
  <c r="W126" i="1"/>
  <c r="X126" i="1" s="1"/>
  <c r="W109" i="1"/>
  <c r="X109" i="1" s="1"/>
  <c r="Y103" i="1"/>
  <c r="AC103" i="1" s="1"/>
  <c r="AF103" i="1"/>
  <c r="AG103" i="1" s="1"/>
  <c r="AE103" i="1"/>
  <c r="W94" i="1"/>
  <c r="X94" i="1" s="1"/>
  <c r="T94" i="1" s="1"/>
  <c r="R94" i="1" s="1"/>
  <c r="U94" i="1" s="1"/>
  <c r="O94" i="1" s="1"/>
  <c r="P94" i="1" s="1"/>
  <c r="AD98" i="1"/>
  <c r="W96" i="1"/>
  <c r="X96" i="1" s="1"/>
  <c r="AD90" i="1"/>
  <c r="W76" i="1"/>
  <c r="X76" i="1" s="1"/>
  <c r="AD81" i="1"/>
  <c r="AD84" i="1"/>
  <c r="T84" i="1"/>
  <c r="R84" i="1" s="1"/>
  <c r="U84" i="1" s="1"/>
  <c r="O84" i="1" s="1"/>
  <c r="P84" i="1" s="1"/>
  <c r="W80" i="1"/>
  <c r="X80" i="1" s="1"/>
  <c r="BB100" i="1"/>
  <c r="BB82" i="1"/>
  <c r="W52" i="1"/>
  <c r="X52" i="1" s="1"/>
  <c r="W56" i="1"/>
  <c r="X56" i="1" s="1"/>
  <c r="AD56" i="1"/>
  <c r="T56" i="1"/>
  <c r="R56" i="1" s="1"/>
  <c r="U56" i="1" s="1"/>
  <c r="O56" i="1" s="1"/>
  <c r="P56" i="1" s="1"/>
  <c r="W41" i="1"/>
  <c r="X41" i="1" s="1"/>
  <c r="AD39" i="1"/>
  <c r="BB39" i="1"/>
  <c r="AD34" i="1"/>
  <c r="W34" i="1"/>
  <c r="X34" i="1" s="1"/>
  <c r="W24" i="1"/>
  <c r="X24" i="1" s="1"/>
  <c r="T44" i="1"/>
  <c r="R44" i="1" s="1"/>
  <c r="U44" i="1" s="1"/>
  <c r="O44" i="1" s="1"/>
  <c r="P44" i="1" s="1"/>
  <c r="AD44" i="1"/>
  <c r="W44" i="1"/>
  <c r="X44" i="1" s="1"/>
  <c r="AD42" i="1"/>
  <c r="T42" i="1"/>
  <c r="R42" i="1" s="1"/>
  <c r="U42" i="1" s="1"/>
  <c r="O42" i="1" s="1"/>
  <c r="P42" i="1" s="1"/>
  <c r="T19" i="1"/>
  <c r="R19" i="1" s="1"/>
  <c r="U19" i="1" s="1"/>
  <c r="O19" i="1" s="1"/>
  <c r="P19" i="1" s="1"/>
  <c r="AD19" i="1"/>
  <c r="W19" i="1"/>
  <c r="X19" i="1" s="1"/>
  <c r="BB35" i="1"/>
  <c r="W108" i="1"/>
  <c r="X108" i="1" s="1"/>
  <c r="Y91" i="1"/>
  <c r="AC91" i="1" s="1"/>
  <c r="AF91" i="1"/>
  <c r="AE91" i="1"/>
  <c r="AD73" i="1"/>
  <c r="T73" i="1"/>
  <c r="R73" i="1" s="1"/>
  <c r="U73" i="1" s="1"/>
  <c r="O73" i="1" s="1"/>
  <c r="P73" i="1" s="1"/>
  <c r="Y71" i="1"/>
  <c r="AC71" i="1" s="1"/>
  <c r="AF71" i="1"/>
  <c r="AE71" i="1"/>
  <c r="W55" i="1"/>
  <c r="X55" i="1" s="1"/>
  <c r="W39" i="1"/>
  <c r="X39" i="1" s="1"/>
  <c r="T39" i="1" s="1"/>
  <c r="R39" i="1" s="1"/>
  <c r="U39" i="1" s="1"/>
  <c r="O39" i="1" s="1"/>
  <c r="P39" i="1" s="1"/>
  <c r="W119" i="1"/>
  <c r="X119" i="1" s="1"/>
  <c r="W101" i="1"/>
  <c r="X101" i="1" s="1"/>
  <c r="W100" i="1"/>
  <c r="X100" i="1" s="1"/>
  <c r="AD108" i="1"/>
  <c r="W72" i="1"/>
  <c r="X72" i="1" s="1"/>
  <c r="W70" i="1"/>
  <c r="X70" i="1" s="1"/>
  <c r="AD93" i="1"/>
  <c r="T93" i="1"/>
  <c r="R93" i="1" s="1"/>
  <c r="U93" i="1" s="1"/>
  <c r="O93" i="1" s="1"/>
  <c r="P93" i="1" s="1"/>
  <c r="Y67" i="1"/>
  <c r="AC67" i="1" s="1"/>
  <c r="AF67" i="1"/>
  <c r="AE67" i="1"/>
  <c r="Y79" i="1"/>
  <c r="AC79" i="1" s="1"/>
  <c r="AF79" i="1"/>
  <c r="AE79" i="1"/>
  <c r="W51" i="1"/>
  <c r="X51" i="1" s="1"/>
  <c r="AD52" i="1"/>
  <c r="T52" i="1"/>
  <c r="R52" i="1" s="1"/>
  <c r="U52" i="1" s="1"/>
  <c r="O52" i="1" s="1"/>
  <c r="P52" i="1" s="1"/>
  <c r="AE77" i="1"/>
  <c r="AD68" i="1"/>
  <c r="BB57" i="1"/>
  <c r="T61" i="1"/>
  <c r="R61" i="1" s="1"/>
  <c r="U61" i="1" s="1"/>
  <c r="O61" i="1" s="1"/>
  <c r="P61" i="1" s="1"/>
  <c r="W53" i="1"/>
  <c r="X53" i="1" s="1"/>
  <c r="AD45" i="1"/>
  <c r="AD55" i="1"/>
  <c r="T55" i="1"/>
  <c r="R55" i="1" s="1"/>
  <c r="U55" i="1" s="1"/>
  <c r="O55" i="1" s="1"/>
  <c r="P55" i="1" s="1"/>
  <c r="BB53" i="1"/>
  <c r="AD38" i="1"/>
  <c r="W38" i="1"/>
  <c r="X38" i="1" s="1"/>
  <c r="T38" i="1" s="1"/>
  <c r="R38" i="1" s="1"/>
  <c r="U38" i="1" s="1"/>
  <c r="O38" i="1" s="1"/>
  <c r="P38" i="1" s="1"/>
  <c r="AD28" i="1"/>
  <c r="T28" i="1"/>
  <c r="R28" i="1" s="1"/>
  <c r="U28" i="1" s="1"/>
  <c r="O28" i="1" s="1"/>
  <c r="P28" i="1" s="1"/>
  <c r="W18" i="1"/>
  <c r="X18" i="1" s="1"/>
  <c r="W31" i="1"/>
  <c r="X31" i="1" s="1"/>
  <c r="T27" i="1"/>
  <c r="R27" i="1" s="1"/>
  <c r="U27" i="1" s="1"/>
  <c r="O27" i="1" s="1"/>
  <c r="P27" i="1" s="1"/>
  <c r="AD27" i="1"/>
  <c r="AE23" i="1"/>
  <c r="Y23" i="1"/>
  <c r="AC23" i="1" s="1"/>
  <c r="AF23" i="1"/>
  <c r="AD17" i="1"/>
  <c r="T17" i="1"/>
  <c r="R17" i="1" s="1"/>
  <c r="U17" i="1" s="1"/>
  <c r="O17" i="1" s="1"/>
  <c r="P17" i="1" s="1"/>
  <c r="AD89" i="1"/>
  <c r="T89" i="1"/>
  <c r="R89" i="1" s="1"/>
  <c r="U89" i="1" s="1"/>
  <c r="O89" i="1" s="1"/>
  <c r="P89" i="1" s="1"/>
  <c r="AD69" i="1"/>
  <c r="T69" i="1"/>
  <c r="R69" i="1" s="1"/>
  <c r="U69" i="1" s="1"/>
  <c r="O69" i="1" s="1"/>
  <c r="P69" i="1" s="1"/>
  <c r="AD49" i="1"/>
  <c r="AD113" i="1"/>
  <c r="T113" i="1"/>
  <c r="R113" i="1" s="1"/>
  <c r="U113" i="1" s="1"/>
  <c r="O113" i="1" s="1"/>
  <c r="P113" i="1" s="1"/>
  <c r="AF99" i="1"/>
  <c r="AG99" i="1" s="1"/>
  <c r="Y99" i="1"/>
  <c r="AC99" i="1" s="1"/>
  <c r="Y107" i="1"/>
  <c r="AC107" i="1" s="1"/>
  <c r="AF107" i="1"/>
  <c r="AG107" i="1" s="1"/>
  <c r="AE107" i="1"/>
  <c r="AD96" i="1"/>
  <c r="Y87" i="1"/>
  <c r="AC87" i="1" s="1"/>
  <c r="AF87" i="1"/>
  <c r="AE87" i="1"/>
  <c r="T50" i="1"/>
  <c r="R50" i="1" s="1"/>
  <c r="U50" i="1" s="1"/>
  <c r="O50" i="1" s="1"/>
  <c r="P50" i="1" s="1"/>
  <c r="AD50" i="1"/>
  <c r="W50" i="1"/>
  <c r="X50" i="1" s="1"/>
  <c r="W62" i="1"/>
  <c r="X62" i="1" s="1"/>
  <c r="AD48" i="1"/>
  <c r="Y75" i="1"/>
  <c r="AC75" i="1" s="1"/>
  <c r="AF75" i="1"/>
  <c r="AE75" i="1"/>
  <c r="AD53" i="1"/>
  <c r="W47" i="1"/>
  <c r="X47" i="1" s="1"/>
  <c r="T65" i="1"/>
  <c r="R65" i="1" s="1"/>
  <c r="U65" i="1" s="1"/>
  <c r="O65" i="1" s="1"/>
  <c r="P65" i="1" s="1"/>
  <c r="AD65" i="1"/>
  <c r="AD51" i="1"/>
  <c r="T51" i="1"/>
  <c r="R51" i="1" s="1"/>
  <c r="U51" i="1" s="1"/>
  <c r="O51" i="1" s="1"/>
  <c r="P51" i="1" s="1"/>
  <c r="W20" i="1"/>
  <c r="X20" i="1" s="1"/>
  <c r="W37" i="1"/>
  <c r="X37" i="1" s="1"/>
  <c r="AD125" i="1"/>
  <c r="T36" i="1"/>
  <c r="R36" i="1" s="1"/>
  <c r="U36" i="1" s="1"/>
  <c r="O36" i="1" s="1"/>
  <c r="P36" i="1" s="1"/>
  <c r="AD36" i="1"/>
  <c r="W25" i="1"/>
  <c r="X25" i="1" s="1"/>
  <c r="T25" i="1" s="1"/>
  <c r="R25" i="1" s="1"/>
  <c r="U25" i="1" s="1"/>
  <c r="O25" i="1" s="1"/>
  <c r="P25" i="1" s="1"/>
  <c r="W36" i="1"/>
  <c r="X36" i="1" s="1"/>
  <c r="AE27" i="1"/>
  <c r="Y27" i="1"/>
  <c r="AC27" i="1" s="1"/>
  <c r="AF27" i="1"/>
  <c r="O32" i="1"/>
  <c r="P32" i="1" s="1"/>
  <c r="T23" i="1"/>
  <c r="R23" i="1" s="1"/>
  <c r="U23" i="1" s="1"/>
  <c r="O23" i="1" s="1"/>
  <c r="P23" i="1" s="1"/>
  <c r="AD23" i="1"/>
  <c r="AD70" i="1"/>
  <c r="T70" i="1"/>
  <c r="R70" i="1" s="1"/>
  <c r="U70" i="1" s="1"/>
  <c r="O70" i="1" s="1"/>
  <c r="P70" i="1" s="1"/>
  <c r="W57" i="1"/>
  <c r="X57" i="1" s="1"/>
  <c r="T57" i="1" s="1"/>
  <c r="R57" i="1" s="1"/>
  <c r="U57" i="1" s="1"/>
  <c r="O57" i="1" s="1"/>
  <c r="P57" i="1" s="1"/>
  <c r="AD76" i="1"/>
  <c r="T76" i="1"/>
  <c r="R76" i="1" s="1"/>
  <c r="U76" i="1" s="1"/>
  <c r="O76" i="1" s="1"/>
  <c r="P76" i="1" s="1"/>
  <c r="AD20" i="1"/>
  <c r="T20" i="1"/>
  <c r="R20" i="1" s="1"/>
  <c r="U20" i="1" s="1"/>
  <c r="O20" i="1" s="1"/>
  <c r="P20" i="1" s="1"/>
  <c r="W26" i="1"/>
  <c r="X26" i="1" s="1"/>
  <c r="AF33" i="1"/>
  <c r="AG33" i="1" s="1"/>
  <c r="Y33" i="1"/>
  <c r="AC33" i="1" s="1"/>
  <c r="AD120" i="1"/>
  <c r="AD118" i="1"/>
  <c r="W84" i="1"/>
  <c r="X84" i="1" s="1"/>
  <c r="W81" i="1"/>
  <c r="X81" i="1" s="1"/>
  <c r="T81" i="1" s="1"/>
  <c r="R81" i="1" s="1"/>
  <c r="U81" i="1" s="1"/>
  <c r="O81" i="1" s="1"/>
  <c r="P81" i="1" s="1"/>
  <c r="W115" i="1"/>
  <c r="X115" i="1" s="1"/>
  <c r="W120" i="1"/>
  <c r="X120" i="1" s="1"/>
  <c r="T120" i="1" s="1"/>
  <c r="R120" i="1" s="1"/>
  <c r="U120" i="1" s="1"/>
  <c r="O120" i="1" s="1"/>
  <c r="P120" i="1" s="1"/>
  <c r="W117" i="1"/>
  <c r="X117" i="1" s="1"/>
  <c r="T117" i="1" s="1"/>
  <c r="R117" i="1" s="1"/>
  <c r="U117" i="1" s="1"/>
  <c r="O117" i="1" s="1"/>
  <c r="P117" i="1" s="1"/>
  <c r="T122" i="1"/>
  <c r="R122" i="1" s="1"/>
  <c r="U122" i="1" s="1"/>
  <c r="O122" i="1" s="1"/>
  <c r="P122" i="1" s="1"/>
  <c r="AD122" i="1"/>
  <c r="W106" i="1"/>
  <c r="X106" i="1" s="1"/>
  <c r="W118" i="1"/>
  <c r="X118" i="1" s="1"/>
  <c r="AD109" i="1"/>
  <c r="T109" i="1"/>
  <c r="R109" i="1" s="1"/>
  <c r="U109" i="1" s="1"/>
  <c r="O109" i="1" s="1"/>
  <c r="P109" i="1" s="1"/>
  <c r="W90" i="1"/>
  <c r="X90" i="1" s="1"/>
  <c r="W68" i="1"/>
  <c r="X68" i="1" s="1"/>
  <c r="AD92" i="1"/>
  <c r="T92" i="1"/>
  <c r="R92" i="1" s="1"/>
  <c r="U92" i="1" s="1"/>
  <c r="O92" i="1" s="1"/>
  <c r="P92" i="1" s="1"/>
  <c r="AD104" i="1"/>
  <c r="T104" i="1"/>
  <c r="R104" i="1" s="1"/>
  <c r="U104" i="1" s="1"/>
  <c r="O104" i="1" s="1"/>
  <c r="P104" i="1" s="1"/>
  <c r="T99" i="1"/>
  <c r="R99" i="1" s="1"/>
  <c r="U99" i="1" s="1"/>
  <c r="O99" i="1" s="1"/>
  <c r="P99" i="1" s="1"/>
  <c r="W85" i="1"/>
  <c r="X85" i="1" s="1"/>
  <c r="T85" i="1" s="1"/>
  <c r="R85" i="1" s="1"/>
  <c r="U85" i="1" s="1"/>
  <c r="O85" i="1" s="1"/>
  <c r="P85" i="1" s="1"/>
  <c r="AD85" i="1"/>
  <c r="AD124" i="1"/>
  <c r="T124" i="1"/>
  <c r="R124" i="1" s="1"/>
  <c r="U124" i="1" s="1"/>
  <c r="O124" i="1" s="1"/>
  <c r="P124" i="1" s="1"/>
  <c r="AD121" i="1"/>
  <c r="T121" i="1"/>
  <c r="R121" i="1" s="1"/>
  <c r="U121" i="1" s="1"/>
  <c r="O121" i="1" s="1"/>
  <c r="P121" i="1" s="1"/>
  <c r="W105" i="1"/>
  <c r="X105" i="1" s="1"/>
  <c r="T105" i="1" s="1"/>
  <c r="R105" i="1" s="1"/>
  <c r="U105" i="1" s="1"/>
  <c r="O105" i="1" s="1"/>
  <c r="P105" i="1" s="1"/>
  <c r="AD105" i="1"/>
  <c r="AF97" i="1"/>
  <c r="Y97" i="1"/>
  <c r="AC97" i="1" s="1"/>
  <c r="AE97" i="1"/>
  <c r="BB109" i="1"/>
  <c r="W98" i="1"/>
  <c r="X98" i="1" s="1"/>
  <c r="T98" i="1" s="1"/>
  <c r="R98" i="1" s="1"/>
  <c r="U98" i="1" s="1"/>
  <c r="O98" i="1" s="1"/>
  <c r="P98" i="1" s="1"/>
  <c r="AE114" i="1"/>
  <c r="W82" i="1"/>
  <c r="X82" i="1" s="1"/>
  <c r="W64" i="1"/>
  <c r="X64" i="1" s="1"/>
  <c r="BB80" i="1"/>
  <c r="BB96" i="1"/>
  <c r="W59" i="1"/>
  <c r="X59" i="1" s="1"/>
  <c r="T59" i="1" s="1"/>
  <c r="R59" i="1" s="1"/>
  <c r="U59" i="1" s="1"/>
  <c r="O59" i="1" s="1"/>
  <c r="P59" i="1" s="1"/>
  <c r="AD46" i="1"/>
  <c r="W46" i="1"/>
  <c r="X46" i="1" s="1"/>
  <c r="T46" i="1" s="1"/>
  <c r="R46" i="1" s="1"/>
  <c r="U46" i="1" s="1"/>
  <c r="O46" i="1" s="1"/>
  <c r="P46" i="1" s="1"/>
  <c r="AD77" i="1"/>
  <c r="T77" i="1"/>
  <c r="R77" i="1" s="1"/>
  <c r="U77" i="1" s="1"/>
  <c r="O77" i="1" s="1"/>
  <c r="P77" i="1" s="1"/>
  <c r="W48" i="1"/>
  <c r="X48" i="1" s="1"/>
  <c r="T48" i="1" s="1"/>
  <c r="R48" i="1" s="1"/>
  <c r="U48" i="1" s="1"/>
  <c r="O48" i="1" s="1"/>
  <c r="P48" i="1" s="1"/>
  <c r="W49" i="1"/>
  <c r="X49" i="1" s="1"/>
  <c r="Y42" i="1"/>
  <c r="AC42" i="1" s="1"/>
  <c r="AF42" i="1"/>
  <c r="AG42" i="1" s="1"/>
  <c r="W35" i="1"/>
  <c r="X35" i="1" s="1"/>
  <c r="AD24" i="1"/>
  <c r="T24" i="1"/>
  <c r="R24" i="1" s="1"/>
  <c r="U24" i="1" s="1"/>
  <c r="O24" i="1" s="1"/>
  <c r="P24" i="1" s="1"/>
  <c r="AE33" i="1"/>
  <c r="Y30" i="1"/>
  <c r="AC30" i="1" s="1"/>
  <c r="AF30" i="1"/>
  <c r="AG30" i="1" s="1"/>
  <c r="AD18" i="1"/>
  <c r="T18" i="1"/>
  <c r="R18" i="1" s="1"/>
  <c r="U18" i="1" s="1"/>
  <c r="O18" i="1" s="1"/>
  <c r="P18" i="1" s="1"/>
  <c r="AD22" i="1"/>
  <c r="T22" i="1"/>
  <c r="R22" i="1" s="1"/>
  <c r="U22" i="1" s="1"/>
  <c r="O22" i="1" s="1"/>
  <c r="P22" i="1" s="1"/>
  <c r="Y32" i="1"/>
  <c r="AC32" i="1" s="1"/>
  <c r="AF32" i="1"/>
  <c r="AG32" i="1" s="1"/>
  <c r="AE32" i="1"/>
  <c r="Y53" i="1" l="1"/>
  <c r="AC53" i="1" s="1"/>
  <c r="AF53" i="1"/>
  <c r="AE53" i="1"/>
  <c r="Y34" i="1"/>
  <c r="AC34" i="1" s="1"/>
  <c r="AF34" i="1"/>
  <c r="AE34" i="1"/>
  <c r="AF124" i="1"/>
  <c r="AG124" i="1" s="1"/>
  <c r="Y124" i="1"/>
  <c r="AC124" i="1" s="1"/>
  <c r="AE124" i="1"/>
  <c r="Y125" i="1"/>
  <c r="AC125" i="1" s="1"/>
  <c r="AF125" i="1"/>
  <c r="AG125" i="1" s="1"/>
  <c r="AE125" i="1"/>
  <c r="Y66" i="1"/>
  <c r="AC66" i="1" s="1"/>
  <c r="AF66" i="1"/>
  <c r="AG66" i="1" s="1"/>
  <c r="T66" i="1"/>
  <c r="R66" i="1" s="1"/>
  <c r="U66" i="1" s="1"/>
  <c r="O66" i="1" s="1"/>
  <c r="P66" i="1" s="1"/>
  <c r="AE66" i="1"/>
  <c r="AF116" i="1"/>
  <c r="Y116" i="1"/>
  <c r="AC116" i="1" s="1"/>
  <c r="AE116" i="1"/>
  <c r="AG75" i="1"/>
  <c r="Y100" i="1"/>
  <c r="AC100" i="1" s="1"/>
  <c r="AF100" i="1"/>
  <c r="AE100" i="1"/>
  <c r="T100" i="1"/>
  <c r="R100" i="1" s="1"/>
  <c r="U100" i="1" s="1"/>
  <c r="O100" i="1" s="1"/>
  <c r="P100" i="1" s="1"/>
  <c r="AG91" i="1"/>
  <c r="Y96" i="1"/>
  <c r="AC96" i="1" s="1"/>
  <c r="AF96" i="1"/>
  <c r="AG96" i="1" s="1"/>
  <c r="AE96" i="1"/>
  <c r="Y54" i="1"/>
  <c r="AC54" i="1" s="1"/>
  <c r="AF54" i="1"/>
  <c r="AE54" i="1"/>
  <c r="Y21" i="1"/>
  <c r="AC21" i="1" s="1"/>
  <c r="AF21" i="1"/>
  <c r="AE21" i="1"/>
  <c r="Y86" i="1"/>
  <c r="AC86" i="1" s="1"/>
  <c r="AF86" i="1"/>
  <c r="AE86" i="1"/>
  <c r="T86" i="1"/>
  <c r="R86" i="1" s="1"/>
  <c r="U86" i="1" s="1"/>
  <c r="O86" i="1" s="1"/>
  <c r="P86" i="1" s="1"/>
  <c r="Y82" i="1"/>
  <c r="AC82" i="1" s="1"/>
  <c r="AF82" i="1"/>
  <c r="AG82" i="1" s="1"/>
  <c r="AE82" i="1"/>
  <c r="Y115" i="1"/>
  <c r="AC115" i="1" s="1"/>
  <c r="AF115" i="1"/>
  <c r="AG115" i="1" s="1"/>
  <c r="AE115" i="1"/>
  <c r="T125" i="1"/>
  <c r="R125" i="1" s="1"/>
  <c r="U125" i="1" s="1"/>
  <c r="O125" i="1" s="1"/>
  <c r="P125" i="1" s="1"/>
  <c r="AF51" i="1"/>
  <c r="AG51" i="1" s="1"/>
  <c r="Y51" i="1"/>
  <c r="AC51" i="1" s="1"/>
  <c r="AE51" i="1"/>
  <c r="AF55" i="1"/>
  <c r="Y55" i="1"/>
  <c r="AC55" i="1" s="1"/>
  <c r="AE55" i="1"/>
  <c r="Y56" i="1"/>
  <c r="AC56" i="1" s="1"/>
  <c r="AF56" i="1"/>
  <c r="AE56" i="1"/>
  <c r="Y109" i="1"/>
  <c r="AC109" i="1" s="1"/>
  <c r="AF109" i="1"/>
  <c r="AG109" i="1" s="1"/>
  <c r="AE109" i="1"/>
  <c r="Y74" i="1"/>
  <c r="AC74" i="1" s="1"/>
  <c r="AF74" i="1"/>
  <c r="AG74" i="1" s="1"/>
  <c r="AE74" i="1"/>
  <c r="T116" i="1"/>
  <c r="R116" i="1" s="1"/>
  <c r="U116" i="1" s="1"/>
  <c r="O116" i="1" s="1"/>
  <c r="P116" i="1" s="1"/>
  <c r="Y17" i="1"/>
  <c r="AC17" i="1" s="1"/>
  <c r="AF17" i="1"/>
  <c r="AG17" i="1" s="1"/>
  <c r="AE17" i="1"/>
  <c r="AF93" i="1"/>
  <c r="Y93" i="1"/>
  <c r="AC93" i="1" s="1"/>
  <c r="AE93" i="1"/>
  <c r="T34" i="1"/>
  <c r="R34" i="1" s="1"/>
  <c r="U34" i="1" s="1"/>
  <c r="O34" i="1" s="1"/>
  <c r="P34" i="1" s="1"/>
  <c r="Y45" i="1"/>
  <c r="AC45" i="1" s="1"/>
  <c r="AF45" i="1"/>
  <c r="AE45" i="1"/>
  <c r="Y106" i="1"/>
  <c r="AC106" i="1" s="1"/>
  <c r="AF106" i="1"/>
  <c r="AE106" i="1"/>
  <c r="Y68" i="1"/>
  <c r="AC68" i="1" s="1"/>
  <c r="AF68" i="1"/>
  <c r="AE68" i="1"/>
  <c r="AG27" i="1"/>
  <c r="AG87" i="1"/>
  <c r="AF31" i="1"/>
  <c r="AG31" i="1" s="1"/>
  <c r="Y31" i="1"/>
  <c r="AC31" i="1" s="1"/>
  <c r="AE31" i="1"/>
  <c r="Y70" i="1"/>
  <c r="AC70" i="1" s="1"/>
  <c r="AF70" i="1"/>
  <c r="AE70" i="1"/>
  <c r="Y108" i="1"/>
  <c r="AC108" i="1" s="1"/>
  <c r="AE108" i="1"/>
  <c r="AF108" i="1"/>
  <c r="Y44" i="1"/>
  <c r="AC44" i="1" s="1"/>
  <c r="AF44" i="1"/>
  <c r="AE44" i="1"/>
  <c r="Y52" i="1"/>
  <c r="AC52" i="1" s="1"/>
  <c r="AF52" i="1"/>
  <c r="AE52" i="1"/>
  <c r="T115" i="1"/>
  <c r="R115" i="1" s="1"/>
  <c r="U115" i="1" s="1"/>
  <c r="O115" i="1" s="1"/>
  <c r="P115" i="1" s="1"/>
  <c r="Y22" i="1"/>
  <c r="AC22" i="1" s="1"/>
  <c r="AF22" i="1"/>
  <c r="AE22" i="1"/>
  <c r="T54" i="1"/>
  <c r="R54" i="1" s="1"/>
  <c r="U54" i="1" s="1"/>
  <c r="O54" i="1" s="1"/>
  <c r="P54" i="1" s="1"/>
  <c r="Y92" i="1"/>
  <c r="AC92" i="1" s="1"/>
  <c r="AF92" i="1"/>
  <c r="AE92" i="1"/>
  <c r="AF63" i="1"/>
  <c r="AG63" i="1" s="1"/>
  <c r="Y63" i="1"/>
  <c r="AC63" i="1" s="1"/>
  <c r="AE63" i="1"/>
  <c r="Y88" i="1"/>
  <c r="AC88" i="1" s="1"/>
  <c r="AF88" i="1"/>
  <c r="AG88" i="1" s="1"/>
  <c r="AE88" i="1"/>
  <c r="AG73" i="1"/>
  <c r="AF35" i="1"/>
  <c r="AG35" i="1" s="1"/>
  <c r="Y35" i="1"/>
  <c r="AC35" i="1" s="1"/>
  <c r="AE35" i="1"/>
  <c r="AF46" i="1"/>
  <c r="Y46" i="1"/>
  <c r="AC46" i="1" s="1"/>
  <c r="AE46" i="1"/>
  <c r="Y123" i="1"/>
  <c r="AC123" i="1" s="1"/>
  <c r="AE123" i="1"/>
  <c r="AF123" i="1"/>
  <c r="AG123" i="1" s="1"/>
  <c r="T123" i="1"/>
  <c r="R123" i="1" s="1"/>
  <c r="U123" i="1" s="1"/>
  <c r="O123" i="1" s="1"/>
  <c r="P123" i="1" s="1"/>
  <c r="AG97" i="1"/>
  <c r="AF49" i="1"/>
  <c r="AE49" i="1"/>
  <c r="Y49" i="1"/>
  <c r="AC49" i="1" s="1"/>
  <c r="Y57" i="1"/>
  <c r="AC57" i="1" s="1"/>
  <c r="AF57" i="1"/>
  <c r="AE57" i="1"/>
  <c r="Y18" i="1"/>
  <c r="AC18" i="1" s="1"/>
  <c r="AF18" i="1"/>
  <c r="AG18" i="1" s="1"/>
  <c r="AE18" i="1"/>
  <c r="T68" i="1"/>
  <c r="R68" i="1" s="1"/>
  <c r="U68" i="1" s="1"/>
  <c r="O68" i="1" s="1"/>
  <c r="P68" i="1" s="1"/>
  <c r="AG79" i="1"/>
  <c r="AF101" i="1"/>
  <c r="Y101" i="1"/>
  <c r="AC101" i="1" s="1"/>
  <c r="AE101" i="1"/>
  <c r="AG71" i="1"/>
  <c r="Y126" i="1"/>
  <c r="AC126" i="1" s="1"/>
  <c r="AF126" i="1"/>
  <c r="AE126" i="1"/>
  <c r="Y102" i="1"/>
  <c r="AC102" i="1" s="1"/>
  <c r="AF102" i="1"/>
  <c r="AE102" i="1"/>
  <c r="Y127" i="1"/>
  <c r="AC127" i="1" s="1"/>
  <c r="AF127" i="1"/>
  <c r="AG127" i="1" s="1"/>
  <c r="AE127" i="1"/>
  <c r="Y58" i="1"/>
  <c r="AC58" i="1" s="1"/>
  <c r="AF58" i="1"/>
  <c r="AE58" i="1"/>
  <c r="AG65" i="1"/>
  <c r="AF120" i="1"/>
  <c r="Y120" i="1"/>
  <c r="AC120" i="1" s="1"/>
  <c r="AE120" i="1"/>
  <c r="Y48" i="1"/>
  <c r="AC48" i="1" s="1"/>
  <c r="AF48" i="1"/>
  <c r="AE48" i="1"/>
  <c r="AF59" i="1"/>
  <c r="AG59" i="1" s="1"/>
  <c r="Y59" i="1"/>
  <c r="AC59" i="1" s="1"/>
  <c r="AE59" i="1"/>
  <c r="Y98" i="1"/>
  <c r="AC98" i="1" s="1"/>
  <c r="AE98" i="1"/>
  <c r="AF98" i="1"/>
  <c r="AF105" i="1"/>
  <c r="Y105" i="1"/>
  <c r="AC105" i="1" s="1"/>
  <c r="AE105" i="1"/>
  <c r="AF85" i="1"/>
  <c r="Y85" i="1"/>
  <c r="AC85" i="1" s="1"/>
  <c r="AE85" i="1"/>
  <c r="Y90" i="1"/>
  <c r="AC90" i="1" s="1"/>
  <c r="AF90" i="1"/>
  <c r="AG90" i="1" s="1"/>
  <c r="AE90" i="1"/>
  <c r="AF81" i="1"/>
  <c r="AG81" i="1" s="1"/>
  <c r="Y81" i="1"/>
  <c r="AC81" i="1" s="1"/>
  <c r="AE81" i="1"/>
  <c r="AF37" i="1"/>
  <c r="Y37" i="1"/>
  <c r="AC37" i="1" s="1"/>
  <c r="AE37" i="1"/>
  <c r="T37" i="1"/>
  <c r="R37" i="1" s="1"/>
  <c r="U37" i="1" s="1"/>
  <c r="O37" i="1" s="1"/>
  <c r="P37" i="1" s="1"/>
  <c r="AF47" i="1"/>
  <c r="Y47" i="1"/>
  <c r="AC47" i="1" s="1"/>
  <c r="AE47" i="1"/>
  <c r="Y62" i="1"/>
  <c r="AC62" i="1" s="1"/>
  <c r="AF62" i="1"/>
  <c r="T62" i="1"/>
  <c r="R62" i="1" s="1"/>
  <c r="U62" i="1" s="1"/>
  <c r="O62" i="1" s="1"/>
  <c r="P62" i="1" s="1"/>
  <c r="AE62" i="1"/>
  <c r="T96" i="1"/>
  <c r="R96" i="1" s="1"/>
  <c r="U96" i="1" s="1"/>
  <c r="O96" i="1" s="1"/>
  <c r="P96" i="1" s="1"/>
  <c r="Y72" i="1"/>
  <c r="AC72" i="1" s="1"/>
  <c r="AF72" i="1"/>
  <c r="AE72" i="1"/>
  <c r="Y119" i="1"/>
  <c r="AC119" i="1" s="1"/>
  <c r="AE119" i="1"/>
  <c r="AF119" i="1"/>
  <c r="AG119" i="1" s="1"/>
  <c r="T119" i="1"/>
  <c r="R119" i="1" s="1"/>
  <c r="U119" i="1" s="1"/>
  <c r="O119" i="1" s="1"/>
  <c r="P119" i="1" s="1"/>
  <c r="Y76" i="1"/>
  <c r="AC76" i="1" s="1"/>
  <c r="AF76" i="1"/>
  <c r="AE76" i="1"/>
  <c r="Y94" i="1"/>
  <c r="AC94" i="1" s="1"/>
  <c r="AF94" i="1"/>
  <c r="AE94" i="1"/>
  <c r="Y121" i="1"/>
  <c r="AC121" i="1" s="1"/>
  <c r="AF121" i="1"/>
  <c r="AG121" i="1" s="1"/>
  <c r="AE121" i="1"/>
  <c r="T35" i="1"/>
  <c r="R35" i="1" s="1"/>
  <c r="U35" i="1" s="1"/>
  <c r="O35" i="1" s="1"/>
  <c r="P35" i="1" s="1"/>
  <c r="AF128" i="1"/>
  <c r="AG128" i="1" s="1"/>
  <c r="Y128" i="1"/>
  <c r="AC128" i="1" s="1"/>
  <c r="AE128" i="1"/>
  <c r="T21" i="1"/>
  <c r="R21" i="1" s="1"/>
  <c r="U21" i="1" s="1"/>
  <c r="O21" i="1" s="1"/>
  <c r="P21" i="1" s="1"/>
  <c r="T72" i="1"/>
  <c r="R72" i="1" s="1"/>
  <c r="U72" i="1" s="1"/>
  <c r="O72" i="1" s="1"/>
  <c r="P72" i="1" s="1"/>
  <c r="Y78" i="1"/>
  <c r="AC78" i="1" s="1"/>
  <c r="AF78" i="1"/>
  <c r="AG78" i="1" s="1"/>
  <c r="T78" i="1"/>
  <c r="R78" i="1" s="1"/>
  <c r="U78" i="1" s="1"/>
  <c r="O78" i="1" s="1"/>
  <c r="P78" i="1" s="1"/>
  <c r="AE78" i="1"/>
  <c r="Y111" i="1"/>
  <c r="AC111" i="1" s="1"/>
  <c r="AF111" i="1"/>
  <c r="AE111" i="1"/>
  <c r="Y38" i="1"/>
  <c r="AC38" i="1" s="1"/>
  <c r="AF38" i="1"/>
  <c r="AG38" i="1" s="1"/>
  <c r="AE38" i="1"/>
  <c r="AF64" i="1"/>
  <c r="AE64" i="1"/>
  <c r="Y64" i="1"/>
  <c r="AC64" i="1" s="1"/>
  <c r="T64" i="1"/>
  <c r="R64" i="1" s="1"/>
  <c r="U64" i="1" s="1"/>
  <c r="O64" i="1" s="1"/>
  <c r="P64" i="1" s="1"/>
  <c r="Y117" i="1"/>
  <c r="AC117" i="1" s="1"/>
  <c r="AF117" i="1"/>
  <c r="AE117" i="1"/>
  <c r="Y84" i="1"/>
  <c r="AC84" i="1" s="1"/>
  <c r="AF84" i="1"/>
  <c r="AE84" i="1"/>
  <c r="Y26" i="1"/>
  <c r="AC26" i="1" s="1"/>
  <c r="AF26" i="1"/>
  <c r="AE26" i="1"/>
  <c r="Y36" i="1"/>
  <c r="AC36" i="1" s="1"/>
  <c r="AF36" i="1"/>
  <c r="AG36" i="1" s="1"/>
  <c r="AE36" i="1"/>
  <c r="T53" i="1"/>
  <c r="R53" i="1" s="1"/>
  <c r="U53" i="1" s="1"/>
  <c r="O53" i="1" s="1"/>
  <c r="P53" i="1" s="1"/>
  <c r="T49" i="1"/>
  <c r="R49" i="1" s="1"/>
  <c r="U49" i="1" s="1"/>
  <c r="O49" i="1" s="1"/>
  <c r="P49" i="1" s="1"/>
  <c r="AG23" i="1"/>
  <c r="T45" i="1"/>
  <c r="R45" i="1" s="1"/>
  <c r="U45" i="1" s="1"/>
  <c r="O45" i="1" s="1"/>
  <c r="P45" i="1" s="1"/>
  <c r="Y19" i="1"/>
  <c r="AC19" i="1" s="1"/>
  <c r="AE19" i="1"/>
  <c r="AF19" i="1"/>
  <c r="AG19" i="1" s="1"/>
  <c r="AG114" i="1"/>
  <c r="Y60" i="1"/>
  <c r="AC60" i="1" s="1"/>
  <c r="AF60" i="1"/>
  <c r="AE60" i="1"/>
  <c r="AF83" i="1"/>
  <c r="Y83" i="1"/>
  <c r="AC83" i="1" s="1"/>
  <c r="AE83" i="1"/>
  <c r="T83" i="1"/>
  <c r="R83" i="1" s="1"/>
  <c r="U83" i="1" s="1"/>
  <c r="O83" i="1" s="1"/>
  <c r="P83" i="1" s="1"/>
  <c r="AF89" i="1"/>
  <c r="AG89" i="1" s="1"/>
  <c r="Y89" i="1"/>
  <c r="AC89" i="1" s="1"/>
  <c r="AE89" i="1"/>
  <c r="AG69" i="1"/>
  <c r="AG122" i="1"/>
  <c r="Y118" i="1"/>
  <c r="AC118" i="1" s="1"/>
  <c r="AF118" i="1"/>
  <c r="AE118" i="1"/>
  <c r="T118" i="1"/>
  <c r="R118" i="1" s="1"/>
  <c r="U118" i="1" s="1"/>
  <c r="O118" i="1" s="1"/>
  <c r="P118" i="1" s="1"/>
  <c r="Y25" i="1"/>
  <c r="AC25" i="1" s="1"/>
  <c r="AF25" i="1"/>
  <c r="AE25" i="1"/>
  <c r="AE20" i="1"/>
  <c r="Y20" i="1"/>
  <c r="AC20" i="1" s="1"/>
  <c r="AF20" i="1"/>
  <c r="AG20" i="1" s="1"/>
  <c r="Y50" i="1"/>
  <c r="AC50" i="1" s="1"/>
  <c r="AF50" i="1"/>
  <c r="AG50" i="1" s="1"/>
  <c r="AE50" i="1"/>
  <c r="AG67" i="1"/>
  <c r="T108" i="1"/>
  <c r="R108" i="1" s="1"/>
  <c r="U108" i="1" s="1"/>
  <c r="O108" i="1" s="1"/>
  <c r="P108" i="1" s="1"/>
  <c r="Y39" i="1"/>
  <c r="AC39" i="1" s="1"/>
  <c r="AF39" i="1"/>
  <c r="AE39" i="1"/>
  <c r="AE24" i="1"/>
  <c r="Y24" i="1"/>
  <c r="AC24" i="1" s="1"/>
  <c r="AF24" i="1"/>
  <c r="AE41" i="1"/>
  <c r="AF41" i="1"/>
  <c r="AG41" i="1" s="1"/>
  <c r="Y41" i="1"/>
  <c r="AC41" i="1" s="1"/>
  <c r="T41" i="1"/>
  <c r="R41" i="1" s="1"/>
  <c r="U41" i="1" s="1"/>
  <c r="O41" i="1" s="1"/>
  <c r="P41" i="1" s="1"/>
  <c r="Y80" i="1"/>
  <c r="AC80" i="1" s="1"/>
  <c r="AE80" i="1"/>
  <c r="AF80" i="1"/>
  <c r="T80" i="1"/>
  <c r="R80" i="1" s="1"/>
  <c r="U80" i="1" s="1"/>
  <c r="O80" i="1" s="1"/>
  <c r="P80" i="1" s="1"/>
  <c r="T90" i="1"/>
  <c r="R90" i="1" s="1"/>
  <c r="U90" i="1" s="1"/>
  <c r="O90" i="1" s="1"/>
  <c r="P90" i="1" s="1"/>
  <c r="Y40" i="1"/>
  <c r="AC40" i="1" s="1"/>
  <c r="AF40" i="1"/>
  <c r="AE40" i="1"/>
  <c r="AE104" i="1"/>
  <c r="AF104" i="1"/>
  <c r="AG104" i="1" s="1"/>
  <c r="Y104" i="1"/>
  <c r="AC104" i="1" s="1"/>
  <c r="Y43" i="1"/>
  <c r="AC43" i="1" s="1"/>
  <c r="AF43" i="1"/>
  <c r="AE43" i="1"/>
  <c r="T74" i="1"/>
  <c r="R74" i="1" s="1"/>
  <c r="U74" i="1" s="1"/>
  <c r="O74" i="1" s="1"/>
  <c r="P74" i="1" s="1"/>
  <c r="T101" i="1"/>
  <c r="R101" i="1" s="1"/>
  <c r="U101" i="1" s="1"/>
  <c r="O101" i="1" s="1"/>
  <c r="P101" i="1" s="1"/>
  <c r="AF112" i="1"/>
  <c r="AG112" i="1" s="1"/>
  <c r="Y112" i="1"/>
  <c r="AC112" i="1" s="1"/>
  <c r="AE112" i="1"/>
  <c r="AG77" i="1"/>
  <c r="T106" i="1"/>
  <c r="R106" i="1" s="1"/>
  <c r="U106" i="1" s="1"/>
  <c r="O106" i="1" s="1"/>
  <c r="P106" i="1" s="1"/>
  <c r="Y113" i="1"/>
  <c r="AC113" i="1" s="1"/>
  <c r="AF113" i="1"/>
  <c r="AE113" i="1"/>
  <c r="T82" i="1"/>
  <c r="R82" i="1" s="1"/>
  <c r="U82" i="1" s="1"/>
  <c r="O82" i="1" s="1"/>
  <c r="P82" i="1" s="1"/>
  <c r="AG118" i="1" l="1"/>
  <c r="AG80" i="1"/>
  <c r="AG98" i="1"/>
  <c r="AG108" i="1"/>
  <c r="AG100" i="1"/>
  <c r="AG39" i="1"/>
  <c r="AG62" i="1"/>
  <c r="AG37" i="1"/>
  <c r="AG120" i="1"/>
  <c r="AG57" i="1"/>
  <c r="AG92" i="1"/>
  <c r="AG52" i="1"/>
  <c r="AG56" i="1"/>
  <c r="AG34" i="1"/>
  <c r="AG54" i="1"/>
  <c r="AG113" i="1"/>
  <c r="AG40" i="1"/>
  <c r="AG83" i="1"/>
  <c r="AG26" i="1"/>
  <c r="AG111" i="1"/>
  <c r="AG94" i="1"/>
  <c r="AG85" i="1"/>
  <c r="AG102" i="1"/>
  <c r="AG101" i="1"/>
  <c r="AG70" i="1"/>
  <c r="AG68" i="1"/>
  <c r="AG86" i="1"/>
  <c r="AG45" i="1"/>
  <c r="AG25" i="1"/>
  <c r="AG60" i="1"/>
  <c r="AG72" i="1"/>
  <c r="AG58" i="1"/>
  <c r="AG44" i="1"/>
  <c r="AG53" i="1"/>
  <c r="AG117" i="1"/>
  <c r="AG43" i="1"/>
  <c r="AG24" i="1"/>
  <c r="AG84" i="1"/>
  <c r="AG64" i="1"/>
  <c r="AG76" i="1"/>
  <c r="AG47" i="1"/>
  <c r="AG105" i="1"/>
  <c r="AG48" i="1"/>
  <c r="AG126" i="1"/>
  <c r="AG49" i="1"/>
  <c r="AG46" i="1"/>
  <c r="AG22" i="1"/>
  <c r="AG106" i="1"/>
  <c r="AG93" i="1"/>
  <c r="AG55" i="1"/>
  <c r="AG21" i="1"/>
  <c r="AG116" i="1"/>
</calcChain>
</file>

<file path=xl/sharedStrings.xml><?xml version="1.0" encoding="utf-8"?>
<sst xmlns="http://schemas.openxmlformats.org/spreadsheetml/2006/main" count="2842" uniqueCount="988">
  <si>
    <t>File opened</t>
  </si>
  <si>
    <t>2023-08-31 09:20:50</t>
  </si>
  <si>
    <t>Console s/n</t>
  </si>
  <si>
    <t>68C-812063</t>
  </si>
  <si>
    <t>Console ver</t>
  </si>
  <si>
    <t>Bluestem v.2.1.08</t>
  </si>
  <si>
    <t>Scripts ver</t>
  </si>
  <si>
    <t>2022.05  2.1.08, Aug 2022</t>
  </si>
  <si>
    <t>Head s/n</t>
  </si>
  <si>
    <t>68H-712053</t>
  </si>
  <si>
    <t>Head ver</t>
  </si>
  <si>
    <t>1.4.22</t>
  </si>
  <si>
    <t>Head cal</t>
  </si>
  <si>
    <t>{"oxygen": "21", "co2azero": "0.895067", "co2aspan1": "1.00205", "co2aspan2": "-0.0349916", "co2aspan2a": "0.31071", "co2aspan2b": "0.307968", "co2aspanconc1": "2473", "co2aspanconc2": "301.4", "co2bzero": "0.938312", "co2bspan1": "1.00239", "co2bspan2": "-0.0370803", "co2bspan2a": "0.307851", "co2bspan2b": "0.305073", "co2bspanconc1": "2473", "co2bspanconc2": "301.4", "h2oazero": "1.03913", "h2oaspan1": "1.01365", "h2oaspan2": "0", "h2oaspan2a": "0.0728135", "h2oaspan2b": "0.0738075", "h2oaspanconc1": "12.42", "h2oaspanconc2": "0", "h2obzero": "1.04933", "h2obspan1": "0.997188", "h2obspan2": "0", "h2obspan2a": "0.0725159", "h2obspan2b": "0.072312", "h2obspanconc1": "12.42", "h2obspanconc2": "0", "tazero": "0.0634346", "tbzero": "0.156763", "flowmeterzero": "1.01393", "flowazero": "0.29105", "flowbzero": "0.31419", "chamberpressurezero": "2.66326", "ssa_ref": "32350", "ssb_ref": "32257.4"}</t>
  </si>
  <si>
    <t>CO2 rangematch</t>
  </si>
  <si>
    <t>Sat Aug 26 10:17</t>
  </si>
  <si>
    <t>H2O rangematch</t>
  </si>
  <si>
    <t>Sat Aug 26 10:25</t>
  </si>
  <si>
    <t>Chamber type</t>
  </si>
  <si>
    <t>6800-01A</t>
  </si>
  <si>
    <t>Chamber s/n</t>
  </si>
  <si>
    <t>MPF-281812</t>
  </si>
  <si>
    <t>Chamber rev</t>
  </si>
  <si>
    <t>0</t>
  </si>
  <si>
    <t>Chamber cal</t>
  </si>
  <si>
    <t>Fluorometer</t>
  </si>
  <si>
    <t>Flr. Version</t>
  </si>
  <si>
    <t>09:20:50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</si>
  <si>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</si>
  <si>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</si>
  <si>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</si>
  <si>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</si>
  <si>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</si>
  <si>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</si>
  <si>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</si>
  <si>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</si>
  <si>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</si>
  <si>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</si>
  <si>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</si>
  <si>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</si>
  <si>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</si>
  <si>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</si>
  <si>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</si>
  <si>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</si>
  <si>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</si>
  <si>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</si>
  <si>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</si>
  <si>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</si>
  <si>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</si>
  <si>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</si>
  <si>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</si>
  <si>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</si>
  <si>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</si>
  <si>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</si>
  <si>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</si>
  <si>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</si>
  <si>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</si>
  <si>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</si>
  <si>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</si>
  <si>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</si>
  <si>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</si>
  <si>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</si>
  <si>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</si>
  <si>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</si>
  <si>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</si>
  <si>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</si>
  <si>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</si>
  <si>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</si>
  <si>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</si>
  <si>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</si>
  <si>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</si>
  <si>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</si>
  <si>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</si>
  <si>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</si>
  <si>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</si>
  <si>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</si>
  <si>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</si>
  <si>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</si>
  <si>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</si>
  <si>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</si>
  <si>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</si>
  <si>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3.59642 88.139 384.712 625.596 862.717 1053.62 1213.7 1340.54</t>
  </si>
  <si>
    <t>Fs_true</t>
  </si>
  <si>
    <t>0.126234 100.895 403.201 601.368 800.625 1001.52 1200.88 1401.28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</si>
  <si>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</si>
  <si>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</si>
  <si>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</si>
  <si>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</si>
  <si>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</si>
  <si>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</si>
  <si>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</si>
  <si>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</si>
  <si>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</si>
  <si>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</si>
  <si>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</si>
  <si>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</si>
  <si>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</si>
  <si>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</si>
  <si>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</si>
  <si>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</si>
  <si>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</si>
  <si>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</si>
  <si>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</si>
  <si>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</si>
  <si>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</si>
  <si>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</si>
  <si>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</si>
  <si>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</si>
  <si>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</si>
  <si>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</si>
  <si>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</si>
  <si>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</si>
  <si>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</si>
  <si>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</si>
  <si>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</si>
  <si>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</si>
  <si>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</si>
  <si>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</si>
  <si>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</si>
  <si>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</si>
  <si>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</si>
  <si>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</si>
  <si>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</si>
  <si>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</si>
  <si>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</si>
  <si>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</si>
  <si>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</si>
  <si>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</si>
  <si>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</si>
  <si>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</si>
  <si>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</si>
  <si>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</si>
  <si>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</si>
  <si>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</si>
  <si>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</si>
  <si>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</si>
  <si>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</si>
  <si>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</si>
  <si>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</si>
  <si>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</si>
  <si>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</si>
  <si>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</si>
  <si>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</si>
  <si>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</si>
  <si>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</si>
  <si>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</si>
  <si>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</si>
  <si>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</si>
  <si>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</si>
  <si>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</si>
  <si>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</si>
  <si>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</si>
  <si>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</si>
  <si>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</si>
  <si>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</si>
  <si>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</si>
  <si>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</si>
  <si>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</si>
  <si>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</si>
  <si>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</si>
  <si>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</si>
  <si>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</si>
  <si>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</si>
  <si>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</si>
  <si>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</si>
  <si>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</si>
  <si>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</si>
  <si>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</si>
  <si>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</si>
  <si>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</si>
  <si>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</si>
  <si>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</si>
  <si>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</si>
  <si>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</si>
  <si>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</si>
  <si>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</si>
  <si>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</si>
  <si>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</si>
  <si>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</si>
  <si>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</si>
  <si>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</si>
  <si>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</si>
  <si>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</si>
  <si>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</si>
  <si>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</si>
  <si>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</si>
  <si>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</si>
  <si>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</si>
  <si>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</si>
  <si>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</si>
  <si>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</si>
  <si>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</si>
  <si>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</si>
  <si>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</si>
  <si>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</si>
  <si>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</si>
  <si>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</si>
  <si>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</si>
  <si>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</si>
  <si>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</si>
  <si>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</si>
  <si>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</si>
  <si>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</si>
  <si>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</si>
  <si>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</si>
  <si>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</si>
  <si>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</si>
  <si>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</si>
  <si>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</si>
  <si>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</si>
  <si>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</si>
  <si>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</si>
  <si>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</si>
  <si>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</si>
  <si>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</si>
  <si>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</si>
  <si>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</si>
  <si>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</si>
  <si>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</si>
  <si>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</si>
  <si>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</si>
  <si>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</si>
  <si>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</si>
  <si>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</si>
  <si>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</si>
  <si>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</si>
  <si>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</si>
  <si>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</si>
  <si>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</si>
  <si>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</si>
  <si>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</si>
  <si>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</si>
  <si>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</si>
  <si>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</si>
  <si>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</si>
  <si>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</si>
  <si>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</si>
  <si>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</si>
  <si>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</si>
  <si>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</si>
  <si>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</si>
  <si>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</si>
  <si>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</si>
  <si>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</si>
  <si>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</si>
  <si>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</si>
  <si>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</si>
  <si>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</si>
  <si>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</si>
  <si>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</si>
  <si>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</si>
  <si>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</si>
  <si>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</si>
  <si>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</si>
  <si>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</si>
  <si>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</si>
  <si>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</si>
  <si>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</si>
  <si>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</si>
  <si>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</si>
  <si>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</si>
  <si>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</si>
  <si>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</si>
  <si>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</si>
  <si>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</si>
  <si>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</si>
  <si>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</si>
  <si>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</si>
  <si>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</si>
  <si>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</si>
  <si>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</si>
  <si>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</si>
  <si>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</si>
  <si>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</si>
  <si>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</si>
  <si>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</si>
  <si>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</si>
  <si>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</si>
  <si>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</si>
  <si>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</si>
  <si>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</si>
  <si>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</si>
  <si>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</si>
  <si>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</si>
  <si>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</si>
  <si>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</si>
  <si>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</si>
  <si>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</si>
  <si>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</si>
  <si>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</si>
  <si>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</si>
  <si>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</si>
  <si>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</si>
  <si>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</si>
  <si>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</si>
  <si>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</si>
  <si>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</si>
  <si>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</si>
  <si>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</si>
  <si>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</si>
  <si>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</si>
  <si>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</si>
  <si>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</si>
  <si>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</si>
  <si>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</si>
  <si>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</si>
  <si>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</si>
  <si>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</si>
  <si>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</si>
  <si>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</si>
  <si>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</si>
  <si>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</si>
  <si>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</si>
  <si>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</si>
  <si>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</si>
  <si>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</si>
  <si>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</si>
  <si>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</si>
  <si>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</si>
  <si>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</si>
  <si>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</si>
  <si>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</si>
  <si>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</si>
  <si>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</si>
  <si>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</si>
  <si>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</si>
  <si>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</si>
  <si>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</si>
  <si>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</si>
  <si>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</si>
  <si>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</si>
  <si>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</si>
  <si>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</si>
  <si>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</si>
  <si>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</si>
  <si>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</si>
  <si>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</si>
  <si>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</si>
  <si>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</si>
  <si>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</si>
  <si>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</si>
  <si>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</si>
  <si>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</si>
  <si>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</si>
  <si>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</si>
  <si>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</si>
  <si>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</si>
  <si>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</si>
  <si>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</si>
  <si>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</si>
  <si>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</si>
  <si>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</si>
  <si>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</si>
  <si>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</si>
  <si>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</si>
  <si>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</si>
  <si>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</si>
  <si>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</si>
  <si>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</si>
  <si>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</si>
  <si>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</si>
  <si>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</si>
  <si>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</si>
  <si>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</si>
  <si>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</si>
  <si>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</si>
  <si>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</si>
  <si>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</si>
  <si>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</si>
  <si>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</si>
  <si>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</si>
  <si>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</si>
  <si>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</si>
  <si>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</si>
  <si>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</si>
  <si>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</si>
  <si>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</si>
  <si>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</si>
  <si>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</si>
  <si>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</si>
  <si>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</si>
  <si>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</si>
  <si>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</si>
  <si>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</si>
  <si>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</si>
  <si>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</si>
  <si>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</si>
  <si>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</si>
  <si>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</si>
  <si>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</si>
  <si>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</si>
  <si>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</si>
  <si>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</si>
  <si>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</si>
  <si>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</si>
  <si>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</si>
  <si>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</si>
  <si>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</si>
  <si>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</si>
  <si>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</si>
  <si>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</si>
  <si>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</si>
  <si>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</si>
  <si>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</si>
  <si>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</si>
  <si>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</si>
  <si>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</si>
  <si>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</si>
  <si>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</si>
  <si>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</si>
  <si>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</si>
  <si>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20230831 09:59:39</t>
  </si>
  <si>
    <t>09:59:39</t>
  </si>
  <si>
    <t>none</t>
  </si>
  <si>
    <t>hn1a</t>
  </si>
  <si>
    <t>3</t>
  </si>
  <si>
    <t>2</t>
  </si>
  <si>
    <t>RECT-12243-20210724-05_20_30</t>
  </si>
  <si>
    <t>MPF-5688-20230831-09_58_51</t>
  </si>
  <si>
    <t>DARK-5689-20230831-09_58_58</t>
  </si>
  <si>
    <t>0: Broadleaf</t>
  </si>
  <si>
    <t>10:00:20</t>
  </si>
  <si>
    <t>2/2</t>
  </si>
  <si>
    <t>11111111</t>
  </si>
  <si>
    <t>oooooooo</t>
  </si>
  <si>
    <t>off</t>
  </si>
  <si>
    <t>20230831 10:02:24</t>
  </si>
  <si>
    <t>10:02:24</t>
  </si>
  <si>
    <t>MPF-5690-20230831-10_01_36</t>
  </si>
  <si>
    <t>DARK-5691-20230831-10_01_43</t>
  </si>
  <si>
    <t>10:01:31</t>
  </si>
  <si>
    <t>20230831 10:05:28</t>
  </si>
  <si>
    <t>10:05:28</t>
  </si>
  <si>
    <t>MPF-5692-20230831-10_04_40</t>
  </si>
  <si>
    <t>DARK-5693-20230831-10_04_47</t>
  </si>
  <si>
    <t>10:04:24</t>
  </si>
  <si>
    <t>20230831 10:07:49</t>
  </si>
  <si>
    <t>10:07:49</t>
  </si>
  <si>
    <t>MPF-5694-20230831-10_07_01</t>
  </si>
  <si>
    <t>DARK-5695-20230831-10_07_08</t>
  </si>
  <si>
    <t>10:07:12</t>
  </si>
  <si>
    <t>20230831 10:10:01</t>
  </si>
  <si>
    <t>10:10:01</t>
  </si>
  <si>
    <t>MPF-5696-20230831-10_09_13</t>
  </si>
  <si>
    <t>DARK-5697-20230831-10_09_20</t>
  </si>
  <si>
    <t>10:09:28</t>
  </si>
  <si>
    <t>20230831 10:11:55</t>
  </si>
  <si>
    <t>10:11:55</t>
  </si>
  <si>
    <t>MPF-5698-20230831-10_11_06</t>
  </si>
  <si>
    <t>DARK-5699-20230831-10_11_13</t>
  </si>
  <si>
    <t>10:11:22</t>
  </si>
  <si>
    <t>20230831 10:13:53</t>
  </si>
  <si>
    <t>10:13:53</t>
  </si>
  <si>
    <t>MPF-5700-20230831-10_13_04</t>
  </si>
  <si>
    <t>DARK-5701-20230831-10_13_11</t>
  </si>
  <si>
    <t>10:13:19</t>
  </si>
  <si>
    <t>20230831 10:17:02</t>
  </si>
  <si>
    <t>10:17:02</t>
  </si>
  <si>
    <t>MPF-5702-20230831-10_16_14</t>
  </si>
  <si>
    <t>DARK-5703-20230831-10_16_21</t>
  </si>
  <si>
    <t>10:15:40</t>
  </si>
  <si>
    <t>1/2</t>
  </si>
  <si>
    <t>20230831 10:20:12</t>
  </si>
  <si>
    <t>10:20:12</t>
  </si>
  <si>
    <t>MPF-5704-20230831-10_19_23</t>
  </si>
  <si>
    <t>DARK-5705-20230831-10_19_30</t>
  </si>
  <si>
    <t>10:18:22</t>
  </si>
  <si>
    <t>20230831 10:22:01</t>
  </si>
  <si>
    <t>10:22:01</t>
  </si>
  <si>
    <t>MPF-5706-20230831-10_21_13</t>
  </si>
  <si>
    <t>DARK-5707-20230831-10_21_20</t>
  </si>
  <si>
    <t>10:21:30</t>
  </si>
  <si>
    <t>20230831 10:23:51</t>
  </si>
  <si>
    <t>10:23:51</t>
  </si>
  <si>
    <t>MPF-5708-20230831-10_23_02</t>
  </si>
  <si>
    <t>DARK-5709-20230831-10_23_09</t>
  </si>
  <si>
    <t>10:23:18</t>
  </si>
  <si>
    <t>20230831 10:25:50</t>
  </si>
  <si>
    <t>10:25:50</t>
  </si>
  <si>
    <t>MPF-5710-20230831-10_25_01</t>
  </si>
  <si>
    <t>DARK-5711-20230831-10_25_08</t>
  </si>
  <si>
    <t>10:25:16</t>
  </si>
  <si>
    <t>20230831 10:28:28</t>
  </si>
  <si>
    <t>10:28:28</t>
  </si>
  <si>
    <t>MPF-5712-20230831-10_27_40</t>
  </si>
  <si>
    <t>DARK-5713-20230831-10_27_47</t>
  </si>
  <si>
    <t>10:27:34</t>
  </si>
  <si>
    <t>20230831 10:30:28</t>
  </si>
  <si>
    <t>10:30:28</t>
  </si>
  <si>
    <t>MPF-5714-20230831-10_29_39</t>
  </si>
  <si>
    <t>DARK-5715-20230831-10_29_46</t>
  </si>
  <si>
    <t>10:29:54</t>
  </si>
  <si>
    <t>20230831 11:10:22</t>
  </si>
  <si>
    <t>11:10:22</t>
  </si>
  <si>
    <t>zg5b</t>
  </si>
  <si>
    <t>MPF-5716-20230831-11_09_34</t>
  </si>
  <si>
    <t>DARK-5717-20230831-11_09_41</t>
  </si>
  <si>
    <t>11:09:53</t>
  </si>
  <si>
    <t>20230831 11:12:11</t>
  </si>
  <si>
    <t>11:12:11</t>
  </si>
  <si>
    <t>MPF-5718-20230831-11_11_22</t>
  </si>
  <si>
    <t>DARK-5719-20230831-11_11_30</t>
  </si>
  <si>
    <t>11:11:39</t>
  </si>
  <si>
    <t>20230831 11:14:12</t>
  </si>
  <si>
    <t>11:14:12</t>
  </si>
  <si>
    <t>MPF-5720-20230831-11_13_23</t>
  </si>
  <si>
    <t>DARK-5721-20230831-11_13_30</t>
  </si>
  <si>
    <t>11:13:24</t>
  </si>
  <si>
    <t>20230831 11:16:01</t>
  </si>
  <si>
    <t>11:16:01</t>
  </si>
  <si>
    <t>MPF-5722-20230831-11_15_12</t>
  </si>
  <si>
    <t>DARK-5723-20230831-11_15_19</t>
  </si>
  <si>
    <t>11:15:30</t>
  </si>
  <si>
    <t>20230831 11:17:41</t>
  </si>
  <si>
    <t>11:17:41</t>
  </si>
  <si>
    <t>MPF-5724-20230831-11_16_53</t>
  </si>
  <si>
    <t>DARK-5725-20230831-11_17_00</t>
  </si>
  <si>
    <t>11:17:11</t>
  </si>
  <si>
    <t>20230831 11:19:23</t>
  </si>
  <si>
    <t>11:19:23</t>
  </si>
  <si>
    <t>MPF-5726-20230831-11_18_35</t>
  </si>
  <si>
    <t>DARK-5727-20230831-11_18_42</t>
  </si>
  <si>
    <t>11:18:54</t>
  </si>
  <si>
    <t>20230831 11:21:04</t>
  </si>
  <si>
    <t>11:21:04</t>
  </si>
  <si>
    <t>MPF-5728-20230831-11_20_16</t>
  </si>
  <si>
    <t>DARK-5729-20230831-11_20_23</t>
  </si>
  <si>
    <t>11:20:36</t>
  </si>
  <si>
    <t>20230831 11:24:14</t>
  </si>
  <si>
    <t>11:24:14</t>
  </si>
  <si>
    <t>MPF-5730-20230831-11_23_25</t>
  </si>
  <si>
    <t>DARK-5731-20230831-11_23_32</t>
  </si>
  <si>
    <t>11:22:29</t>
  </si>
  <si>
    <t>20230831 11:26:33</t>
  </si>
  <si>
    <t>11:26:33</t>
  </si>
  <si>
    <t>MPF-5732-20230831-11_25_45</t>
  </si>
  <si>
    <t>DARK-5733-20230831-11_25_52</t>
  </si>
  <si>
    <t>11:25:43</t>
  </si>
  <si>
    <t>20230831 11:28:13</t>
  </si>
  <si>
    <t>11:28:13</t>
  </si>
  <si>
    <t>MPF-5734-20230831-11_27_24</t>
  </si>
  <si>
    <t>DARK-5735-20230831-11_27_31</t>
  </si>
  <si>
    <t>11:27:43</t>
  </si>
  <si>
    <t>20230831 11:30:09</t>
  </si>
  <si>
    <t>11:30:09</t>
  </si>
  <si>
    <t>MPF-5736-20230831-11_29_20</t>
  </si>
  <si>
    <t>DARK-5737-20230831-11_29_27</t>
  </si>
  <si>
    <t>11:29:37</t>
  </si>
  <si>
    <t>20230831 11:31:48</t>
  </si>
  <si>
    <t>11:31:48</t>
  </si>
  <si>
    <t>MPF-5738-20230831-11_31_00</t>
  </si>
  <si>
    <t>DARK-5739-20230831-11_31_07</t>
  </si>
  <si>
    <t>11:31:19</t>
  </si>
  <si>
    <t>20230831 11:33:34</t>
  </si>
  <si>
    <t>11:33:34</t>
  </si>
  <si>
    <t>MPF-5740-20230831-11_32_45</t>
  </si>
  <si>
    <t>DARK-5741-20230831-11_32_52</t>
  </si>
  <si>
    <t>11:33:05</t>
  </si>
  <si>
    <t>20230831 11:35:44</t>
  </si>
  <si>
    <t>11:35:44</t>
  </si>
  <si>
    <t>MPF-5742-20230831-11_34_56</t>
  </si>
  <si>
    <t>DARK-5743-20230831-11_35_03</t>
  </si>
  <si>
    <t>11:35:13</t>
  </si>
  <si>
    <t>20230831 12:02:52</t>
  </si>
  <si>
    <t>12:02:52</t>
  </si>
  <si>
    <t>wt</t>
  </si>
  <si>
    <t>MPF-5744-20230831-12_02_03</t>
  </si>
  <si>
    <t>DARK-5745-20230831-12_02_11</t>
  </si>
  <si>
    <t>12:02:21</t>
  </si>
  <si>
    <t>20230831 12:05:40</t>
  </si>
  <si>
    <t>12:05:40</t>
  </si>
  <si>
    <t>MPF-5746-20230831-12_04_51</t>
  </si>
  <si>
    <t>DARK-5747-20230831-12_04_59</t>
  </si>
  <si>
    <t>12:04:15</t>
  </si>
  <si>
    <t>20230831 12:08:07</t>
  </si>
  <si>
    <t>12:08:07</t>
  </si>
  <si>
    <t>MPF-5748-20230831-12_07_18</t>
  </si>
  <si>
    <t>DARK-5749-20230831-12_07_26</t>
  </si>
  <si>
    <t>12:06:55</t>
  </si>
  <si>
    <t>20230831 12:10:13</t>
  </si>
  <si>
    <t>12:10:13</t>
  </si>
  <si>
    <t>MPF-5750-20230831-12_09_24</t>
  </si>
  <si>
    <t>DARK-5751-20230831-12_09_32</t>
  </si>
  <si>
    <t>12:09:41</t>
  </si>
  <si>
    <t>20230831 12:12:08</t>
  </si>
  <si>
    <t>12:12:08</t>
  </si>
  <si>
    <t>MPF-5752-20230831-12_11_20</t>
  </si>
  <si>
    <t>DARK-5753-20230831-12_11_27</t>
  </si>
  <si>
    <t>12:11:38</t>
  </si>
  <si>
    <t>20230831 12:14:02</t>
  </si>
  <si>
    <t>12:14:02</t>
  </si>
  <si>
    <t>MPF-5754-20230831-12_13_14</t>
  </si>
  <si>
    <t>DARK-5755-20230831-12_13_21</t>
  </si>
  <si>
    <t>12:13:32</t>
  </si>
  <si>
    <t>20230831 12:15:44</t>
  </si>
  <si>
    <t>12:15:44</t>
  </si>
  <si>
    <t>MPF-5756-20230831-12_14_55</t>
  </si>
  <si>
    <t>DARK-5757-20230831-12_15_03</t>
  </si>
  <si>
    <t>12:15:15</t>
  </si>
  <si>
    <t>20230831 12:18:53</t>
  </si>
  <si>
    <t>12:18:53</t>
  </si>
  <si>
    <t>MPF-5758-20230831-12_18_05</t>
  </si>
  <si>
    <t>DARK-5759-20230831-12_18_12</t>
  </si>
  <si>
    <t>12:17:26</t>
  </si>
  <si>
    <t>20230831 12:21:46</t>
  </si>
  <si>
    <t>12:21:46</t>
  </si>
  <si>
    <t>MPF-5760-20230831-12_20_57</t>
  </si>
  <si>
    <t>DARK-5761-20230831-12_21_05</t>
  </si>
  <si>
    <t>12:20:09</t>
  </si>
  <si>
    <t>20230831 12:23:41</t>
  </si>
  <si>
    <t>12:23:41</t>
  </si>
  <si>
    <t>MPF-5762-20230831-12_22_52</t>
  </si>
  <si>
    <t>DARK-5763-20230831-12_23_00</t>
  </si>
  <si>
    <t>12:23:11</t>
  </si>
  <si>
    <t>20230831 12:25:25</t>
  </si>
  <si>
    <t>12:25:25</t>
  </si>
  <si>
    <t>MPF-5764-20230831-12_24_37</t>
  </si>
  <si>
    <t>DARK-5765-20230831-12_24_44</t>
  </si>
  <si>
    <t>12:24:55</t>
  </si>
  <si>
    <t>20230831 12:27:09</t>
  </si>
  <si>
    <t>12:27:09</t>
  </si>
  <si>
    <t>MPF-5766-20230831-12_26_21</t>
  </si>
  <si>
    <t>DARK-5767-20230831-12_26_28</t>
  </si>
  <si>
    <t>12:26:39</t>
  </si>
  <si>
    <t>20230831 12:29:37</t>
  </si>
  <si>
    <t>12:29:37</t>
  </si>
  <si>
    <t>MPF-5768-20230831-12_28_48</t>
  </si>
  <si>
    <t>DARK-5769-20230831-12_28_56</t>
  </si>
  <si>
    <t>12:28:54</t>
  </si>
  <si>
    <t>20230831 12:32:14</t>
  </si>
  <si>
    <t>12:32:14</t>
  </si>
  <si>
    <t>MPF-5770-20230831-12_31_26</t>
  </si>
  <si>
    <t>DARK-5771-20230831-12_31_33</t>
  </si>
  <si>
    <t>12:31:37</t>
  </si>
  <si>
    <t>20230831 12:53:07</t>
  </si>
  <si>
    <t>12:53:07</t>
  </si>
  <si>
    <t>4</t>
  </si>
  <si>
    <t>MPF-5772-20230831-12_52_19</t>
  </si>
  <si>
    <t>DARK-5773-20230831-12_52_26</t>
  </si>
  <si>
    <t>12:52:38</t>
  </si>
  <si>
    <t>20230831 12:56:17</t>
  </si>
  <si>
    <t>12:56:17</t>
  </si>
  <si>
    <t>MPF-5774-20230831-12_55_28</t>
  </si>
  <si>
    <t>DARK-5775-20230831-12_55_36</t>
  </si>
  <si>
    <t>12:54:17</t>
  </si>
  <si>
    <t>20230831 12:58:05</t>
  </si>
  <si>
    <t>12:58:05</t>
  </si>
  <si>
    <t>MPF-5776-20230831-12_57_16</t>
  </si>
  <si>
    <t>DARK-5777-20230831-12_57_24</t>
  </si>
  <si>
    <t>12:57:36</t>
  </si>
  <si>
    <t>20230831 12:59:58</t>
  </si>
  <si>
    <t>12:59:58</t>
  </si>
  <si>
    <t>MPF-5778-20230831-12_59_09</t>
  </si>
  <si>
    <t>DARK-5779-20230831-12_59_17</t>
  </si>
  <si>
    <t>12:59:28</t>
  </si>
  <si>
    <t>20230831 13:02:05</t>
  </si>
  <si>
    <t>13:02:05</t>
  </si>
  <si>
    <t>MPF-5780-20230831-13_01_17</t>
  </si>
  <si>
    <t>DARK-5781-20230831-13_01_24</t>
  </si>
  <si>
    <t>13:01:36</t>
  </si>
  <si>
    <t>20230831 13:03:47</t>
  </si>
  <si>
    <t>13:03:47</t>
  </si>
  <si>
    <t>MPF-5782-20230831-13_02_58</t>
  </si>
  <si>
    <t>DARK-5783-20230831-13_03_06</t>
  </si>
  <si>
    <t>13:03:18</t>
  </si>
  <si>
    <t>20230831 13:05:26</t>
  </si>
  <si>
    <t>13:05:26</t>
  </si>
  <si>
    <t>MPF-5784-20230831-13_04_38</t>
  </si>
  <si>
    <t>DARK-5785-20230831-13_04_45</t>
  </si>
  <si>
    <t>13:04:53</t>
  </si>
  <si>
    <t>20230831 13:08:36</t>
  </si>
  <si>
    <t>13:08:36</t>
  </si>
  <si>
    <t>MPF-5786-20230831-13_07_47</t>
  </si>
  <si>
    <t>DARK-5787-20230831-13_07_55</t>
  </si>
  <si>
    <t>13:06:51</t>
  </si>
  <si>
    <t>20230831 13:11:06</t>
  </si>
  <si>
    <t>13:11:06</t>
  </si>
  <si>
    <t>MPF-5788-20230831-13_10_17</t>
  </si>
  <si>
    <t>DARK-5789-20230831-13_10_25</t>
  </si>
  <si>
    <t>13:09:44</t>
  </si>
  <si>
    <t>20230831 13:13:01</t>
  </si>
  <si>
    <t>13:13:01</t>
  </si>
  <si>
    <t>MPF-5790-20230831-13_12_13</t>
  </si>
  <si>
    <t>DARK-5791-20230831-13_12_20</t>
  </si>
  <si>
    <t>13:12:33</t>
  </si>
  <si>
    <t>20230831 13:14:57</t>
  </si>
  <si>
    <t>13:14:57</t>
  </si>
  <si>
    <t>MPF-5792-20230831-13_14_09</t>
  </si>
  <si>
    <t>DARK-5793-20230831-13_14_16</t>
  </si>
  <si>
    <t>13:14:27</t>
  </si>
  <si>
    <t>20230831 13:16:43</t>
  </si>
  <si>
    <t>13:16:43</t>
  </si>
  <si>
    <t>MPF-5794-20230831-13_15_54</t>
  </si>
  <si>
    <t>DARK-5795-20230831-13_16_02</t>
  </si>
  <si>
    <t>13:16:12</t>
  </si>
  <si>
    <t>20230831 13:18:35</t>
  </si>
  <si>
    <t>13:18:35</t>
  </si>
  <si>
    <t>MPF-5796-20230831-13_17_46</t>
  </si>
  <si>
    <t>DARK-5797-20230831-13_17_54</t>
  </si>
  <si>
    <t>13:18:04</t>
  </si>
  <si>
    <t>20230831 13:20:15</t>
  </si>
  <si>
    <t>13:20:15</t>
  </si>
  <si>
    <t>MPF-5798-20230831-13_19_26</t>
  </si>
  <si>
    <t>DARK-5799-20230831-13_19_34</t>
  </si>
  <si>
    <t>13:20:55</t>
  </si>
  <si>
    <t>20230831 13:55:00</t>
  </si>
  <si>
    <t>13:55:00</t>
  </si>
  <si>
    <t>5</t>
  </si>
  <si>
    <t>MPF-5800-20230831-13_54_11</t>
  </si>
  <si>
    <t>DARK-5801-20230831-13_54_19</t>
  </si>
  <si>
    <t>13:54:26</t>
  </si>
  <si>
    <t>20230831 13:56:42</t>
  </si>
  <si>
    <t>13:56:42</t>
  </si>
  <si>
    <t>MPF-5802-20230831-13_55_54</t>
  </si>
  <si>
    <t>DARK-5803-20230831-13_56_01</t>
  </si>
  <si>
    <t>13:56:06</t>
  </si>
  <si>
    <t>20230831 13:59:03</t>
  </si>
  <si>
    <t>13:59:03</t>
  </si>
  <si>
    <t>MPF-5804-20230831-13_58_15</t>
  </si>
  <si>
    <t>DARK-5805-20230831-13_58_22</t>
  </si>
  <si>
    <t>13:58:09</t>
  </si>
  <si>
    <t>20230831 14:01:17</t>
  </si>
  <si>
    <t>14:01:17</t>
  </si>
  <si>
    <t>MPF-5806-20230831-14_00_29</t>
  </si>
  <si>
    <t>DARK-5807-20230831-14_00_36</t>
  </si>
  <si>
    <t>14:00:13</t>
  </si>
  <si>
    <t>20230831 14:03:10</t>
  </si>
  <si>
    <t>14:03:10</t>
  </si>
  <si>
    <t>MPF-5808-20230831-14_02_22</t>
  </si>
  <si>
    <t>DARK-5809-20230831-14_02_29</t>
  </si>
  <si>
    <t>14:02:38</t>
  </si>
  <si>
    <t>20230831 14:05:02</t>
  </si>
  <si>
    <t>14:05:02</t>
  </si>
  <si>
    <t>MPF-5810-20230831-14_04_14</t>
  </si>
  <si>
    <t>DARK-5811-20230831-14_04_21</t>
  </si>
  <si>
    <t>14:04:28</t>
  </si>
  <si>
    <t>20230831 14:06:57</t>
  </si>
  <si>
    <t>14:06:57</t>
  </si>
  <si>
    <t>MPF-5812-20230831-14_06_09</t>
  </si>
  <si>
    <t>DARK-5813-20230831-14_06_16</t>
  </si>
  <si>
    <t>14:06:27</t>
  </si>
  <si>
    <t>20230831 14:10:06</t>
  </si>
  <si>
    <t>14:10:06</t>
  </si>
  <si>
    <t>MPF-5814-20230831-14_09_18</t>
  </si>
  <si>
    <t>DARK-5815-20230831-14_09_25</t>
  </si>
  <si>
    <t>14:08:42</t>
  </si>
  <si>
    <t>20230831 14:12:19</t>
  </si>
  <si>
    <t>14:12:19</t>
  </si>
  <si>
    <t>MPF-5816-20230831-14_11_30</t>
  </si>
  <si>
    <t>DARK-5817-20230831-14_11_38</t>
  </si>
  <si>
    <t>14:11:51</t>
  </si>
  <si>
    <t>20230831 14:14:05</t>
  </si>
  <si>
    <t>14:14:05</t>
  </si>
  <si>
    <t>MPF-5818-20230831-14_13_17</t>
  </si>
  <si>
    <t>DARK-5819-20230831-14_13_24</t>
  </si>
  <si>
    <t>14:13:35</t>
  </si>
  <si>
    <t>20230831 14:15:53</t>
  </si>
  <si>
    <t>14:15:53</t>
  </si>
  <si>
    <t>MPF-5820-20230831-14_15_05</t>
  </si>
  <si>
    <t>DARK-5821-20230831-14_15_12</t>
  </si>
  <si>
    <t>14:15:24</t>
  </si>
  <si>
    <t>20230831 14:17:39</t>
  </si>
  <si>
    <t>14:17:39</t>
  </si>
  <si>
    <t>MPF-5822-20230831-14_16_51</t>
  </si>
  <si>
    <t>DARK-5823-20230831-14_16_58</t>
  </si>
  <si>
    <t>14:17:07</t>
  </si>
  <si>
    <t>20230831 14:20:17</t>
  </si>
  <si>
    <t>14:20:17</t>
  </si>
  <si>
    <t>MPF-5824-20230831-14_19_29</t>
  </si>
  <si>
    <t>DARK-5825-20230831-14_19_36</t>
  </si>
  <si>
    <t>14:19:48</t>
  </si>
  <si>
    <t>20230831 14:22:55</t>
  </si>
  <si>
    <t>14:22:55</t>
  </si>
  <si>
    <t>MPF-5826-20230831-14_22_07</t>
  </si>
  <si>
    <t>DARK-5827-20230831-14_22_14</t>
  </si>
  <si>
    <t>14:22:26</t>
  </si>
  <si>
    <t>20230831 14:53:50</t>
  </si>
  <si>
    <t>14:53:50</t>
  </si>
  <si>
    <t>zg12a</t>
  </si>
  <si>
    <t>6</t>
  </si>
  <si>
    <t>MPF-5828-20230831-14_53_02</t>
  </si>
  <si>
    <t>DARK-5829-20230831-14_53_09</t>
  </si>
  <si>
    <t>14:53:21</t>
  </si>
  <si>
    <t>20230831 14:55:36</t>
  </si>
  <si>
    <t>14:55:36</t>
  </si>
  <si>
    <t>MPF-5830-20230831-14_54_48</t>
  </si>
  <si>
    <t>DARK-5831-20230831-14_54_55</t>
  </si>
  <si>
    <t>14:55:10</t>
  </si>
  <si>
    <t>20230831 14:58:04</t>
  </si>
  <si>
    <t>14:58:04</t>
  </si>
  <si>
    <t>MPF-5832-20230831-14_57_16</t>
  </si>
  <si>
    <t>DARK-5833-20230831-14_57_23</t>
  </si>
  <si>
    <t>14:58:31</t>
  </si>
  <si>
    <t>20230831 15:00:38</t>
  </si>
  <si>
    <t>15:00:38</t>
  </si>
  <si>
    <t>MPF-5834-20230831-14_59_50</t>
  </si>
  <si>
    <t>DARK-5835-20230831-14_59_57</t>
  </si>
  <si>
    <t>15:00:10</t>
  </si>
  <si>
    <t>20230831 15:02:30</t>
  </si>
  <si>
    <t>15:02:30</t>
  </si>
  <si>
    <t>MPF-5836-20230831-15_01_42</t>
  </si>
  <si>
    <t>DARK-5837-20230831-15_01_49</t>
  </si>
  <si>
    <t>15:01:59</t>
  </si>
  <si>
    <t>20230831 15:04:10</t>
  </si>
  <si>
    <t>15:04:10</t>
  </si>
  <si>
    <t>MPF-5838-20230831-15_03_22</t>
  </si>
  <si>
    <t>DARK-5839-20230831-15_03_29</t>
  </si>
  <si>
    <t>15:03:42</t>
  </si>
  <si>
    <t>20230831 15:05:56</t>
  </si>
  <si>
    <t>15:05:56</t>
  </si>
  <si>
    <t>MPF-5840-20230831-15_05_08</t>
  </si>
  <si>
    <t>DARK-5841-20230831-15_05_15</t>
  </si>
  <si>
    <t>15:05:29</t>
  </si>
  <si>
    <t>20230831 15:09:06</t>
  </si>
  <si>
    <t>15:09:06</t>
  </si>
  <si>
    <t>MPF-5842-20230831-15_08_18</t>
  </si>
  <si>
    <t>DARK-5843-20230831-15_08_25</t>
  </si>
  <si>
    <t>15:07:16</t>
  </si>
  <si>
    <t>20230831 15:12:03</t>
  </si>
  <si>
    <t>15:12:03</t>
  </si>
  <si>
    <t>MPF-5844-20230831-15_11_15</t>
  </si>
  <si>
    <t>DARK-5845-20230831-15_11_22</t>
  </si>
  <si>
    <t>15:10:19</t>
  </si>
  <si>
    <t>20230831 15:13:44</t>
  </si>
  <si>
    <t>15:13:44</t>
  </si>
  <si>
    <t>MPF-5846-20230831-15_12_56</t>
  </si>
  <si>
    <t>DARK-5847-20230831-15_13_03</t>
  </si>
  <si>
    <t>15:13:15</t>
  </si>
  <si>
    <t>20230831 15:15:34</t>
  </si>
  <si>
    <t>15:15:34</t>
  </si>
  <si>
    <t>MPF-5848-20230831-15_14_46</t>
  </si>
  <si>
    <t>DARK-5849-20230831-15_14_53</t>
  </si>
  <si>
    <t>15:15:01</t>
  </si>
  <si>
    <t>20230831 15:17:26</t>
  </si>
  <si>
    <t>15:17:26</t>
  </si>
  <si>
    <t>MPF-5850-20230831-15_16_38</t>
  </si>
  <si>
    <t>DARK-5851-20230831-15_16_45</t>
  </si>
  <si>
    <t>15:16:54</t>
  </si>
  <si>
    <t>20230831 15:19:08</t>
  </si>
  <si>
    <t>15:19:08</t>
  </si>
  <si>
    <t>MPF-5852-20230831-15_18_20</t>
  </si>
  <si>
    <t>DARK-5853-20230831-15_18_27</t>
  </si>
  <si>
    <t>15:18:32</t>
  </si>
  <si>
    <t>20230831 15:21:40</t>
  </si>
  <si>
    <t>15:21:40</t>
  </si>
  <si>
    <t>MPF-5854-20230831-15_20_52</t>
  </si>
  <si>
    <t>DARK-5855-20230831-15_20_59</t>
  </si>
  <si>
    <t>15:21:04</t>
  </si>
  <si>
    <t>20230831 15:45:42</t>
  </si>
  <si>
    <t>15:45:42</t>
  </si>
  <si>
    <t>MPF-5856-20230831-15_44_54</t>
  </si>
  <si>
    <t>DARK-5857-20230831-15_45_02</t>
  </si>
  <si>
    <t>15:45:08</t>
  </si>
  <si>
    <t>20230831 15:47:33</t>
  </si>
  <si>
    <t>15:47:33</t>
  </si>
  <si>
    <t>MPF-5858-20230831-15_46_45</t>
  </si>
  <si>
    <t>DARK-5859-20230831-15_46_52</t>
  </si>
  <si>
    <t>15:46:58</t>
  </si>
  <si>
    <t>20230831 15:49:45</t>
  </si>
  <si>
    <t>15:49:45</t>
  </si>
  <si>
    <t>MPF-5860-20230831-15_48_57</t>
  </si>
  <si>
    <t>DARK-5861-20230831-15_49_05</t>
  </si>
  <si>
    <t>15:49:03</t>
  </si>
  <si>
    <t>20230831 15:51:34</t>
  </si>
  <si>
    <t>15:51:34</t>
  </si>
  <si>
    <t>MPF-5862-20230831-15_50_46</t>
  </si>
  <si>
    <t>DARK-5863-20230831-15_50_53</t>
  </si>
  <si>
    <t>15:50:59</t>
  </si>
  <si>
    <t>20230831 15:53:35</t>
  </si>
  <si>
    <t>15:53:35</t>
  </si>
  <si>
    <t>MPF-5864-20230831-15_52_47</t>
  </si>
  <si>
    <t>DARK-5865-20230831-15_52_55</t>
  </si>
  <si>
    <t>15:53:04</t>
  </si>
  <si>
    <t>20230831 15:55:34</t>
  </si>
  <si>
    <t>15:55:34</t>
  </si>
  <si>
    <t>MPF-5866-20230831-15_54_46</t>
  </si>
  <si>
    <t>DARK-5867-20230831-15_54_53</t>
  </si>
  <si>
    <t>15:55:03</t>
  </si>
  <si>
    <t>20230831 15:57:24</t>
  </si>
  <si>
    <t>15:57:24</t>
  </si>
  <si>
    <t>MPF-5868-20230831-15_56_36</t>
  </si>
  <si>
    <t>DARK-5869-20230831-15_56_43</t>
  </si>
  <si>
    <t>15:56:52</t>
  </si>
  <si>
    <t>20230831 16:00:21</t>
  </si>
  <si>
    <t>16:00:21</t>
  </si>
  <si>
    <t>MPF-5870-20230831-15_59_33</t>
  </si>
  <si>
    <t>DARK-5871-20230831-15_59_41</t>
  </si>
  <si>
    <t>15:58:50</t>
  </si>
  <si>
    <t>20230831 16:03:31</t>
  </si>
  <si>
    <t>16:03:31</t>
  </si>
  <si>
    <t>MPF-5872-20230831-16_02_43</t>
  </si>
  <si>
    <t>DARK-5873-20230831-16_02_50</t>
  </si>
  <si>
    <t>16:02:02</t>
  </si>
  <si>
    <t>20230831 16:05:23</t>
  </si>
  <si>
    <t>16:05:23</t>
  </si>
  <si>
    <t>MPF-5874-20230831-16_04_35</t>
  </si>
  <si>
    <t>DARK-5875-20230831-16_04_42</t>
  </si>
  <si>
    <t>16:04:49</t>
  </si>
  <si>
    <t>20230831 16:07:30</t>
  </si>
  <si>
    <t>16:07:30</t>
  </si>
  <si>
    <t>MPF-5876-20230831-16_06_42</t>
  </si>
  <si>
    <t>DARK-5877-20230831-16_06_50</t>
  </si>
  <si>
    <t>16:06:56</t>
  </si>
  <si>
    <t>20230831 16:09:45</t>
  </si>
  <si>
    <t>16:09:45</t>
  </si>
  <si>
    <t>MPF-5878-20230831-16_08_57</t>
  </si>
  <si>
    <t>DARK-5879-20230831-16_09_04</t>
  </si>
  <si>
    <t>16:08:59</t>
  </si>
  <si>
    <t>20230831 16:11:48</t>
  </si>
  <si>
    <t>16:11:48</t>
  </si>
  <si>
    <t>MPF-5880-20230831-16_11_00</t>
  </si>
  <si>
    <t>DARK-5881-20230831-16_11_07</t>
  </si>
  <si>
    <t>16:11:01</t>
  </si>
  <si>
    <t>20230831 16:13:54</t>
  </si>
  <si>
    <t>16:13:54</t>
  </si>
  <si>
    <t>MPF-5882-20230831-16_13_06</t>
  </si>
  <si>
    <t>DARK-5883-20230831-16_13_14</t>
  </si>
  <si>
    <t>16:13:20</t>
  </si>
  <si>
    <t>20230831 16:57:28</t>
  </si>
  <si>
    <t>16:57:28</t>
  </si>
  <si>
    <t>MPF-5884-20230831-16_56_40</t>
  </si>
  <si>
    <t>DARK-5885-20230831-16_56_48</t>
  </si>
  <si>
    <t>16:57:01</t>
  </si>
  <si>
    <t>20230831 16:59:17</t>
  </si>
  <si>
    <t>16:59:17</t>
  </si>
  <si>
    <t>MPF-5886-20230831-16_58_29</t>
  </si>
  <si>
    <t>DARK-5887-20230831-16_58_37</t>
  </si>
  <si>
    <t>16:58:50</t>
  </si>
  <si>
    <t>20230831 17:01:35</t>
  </si>
  <si>
    <t>17:01:35</t>
  </si>
  <si>
    <t>MPF-5888-20230831-17_00_47</t>
  </si>
  <si>
    <t>DARK-5889-20230831-17_00_55</t>
  </si>
  <si>
    <t>17:00:31</t>
  </si>
  <si>
    <t>20230831 17:03:47</t>
  </si>
  <si>
    <t>17:03:47</t>
  </si>
  <si>
    <t>MPF-5890-20230831-17_02_59</t>
  </si>
  <si>
    <t>DARK-5891-20230831-17_03_07</t>
  </si>
  <si>
    <t>17:03:04</t>
  </si>
  <si>
    <t>20230831 17:05:32</t>
  </si>
  <si>
    <t>17:05:32</t>
  </si>
  <si>
    <t>MPF-5892-20230831-17_04_44</t>
  </si>
  <si>
    <t>DARK-5893-20230831-17_04_51</t>
  </si>
  <si>
    <t>17:05:02</t>
  </si>
  <si>
    <t>20230831 17:07:31</t>
  </si>
  <si>
    <t>17:07:31</t>
  </si>
  <si>
    <t>MPF-5894-20230831-17_06_43</t>
  </si>
  <si>
    <t>DARK-5895-20230831-17_06_51</t>
  </si>
  <si>
    <t>17:06:59</t>
  </si>
  <si>
    <t>20230831 17:09:57</t>
  </si>
  <si>
    <t>17:09:57</t>
  </si>
  <si>
    <t>MPF-5896-20230831-17_09_09</t>
  </si>
  <si>
    <t>DARK-5897-20230831-17_09_16</t>
  </si>
  <si>
    <t>17:09:26</t>
  </si>
  <si>
    <t>20230831 17:13:06</t>
  </si>
  <si>
    <t>17:13:06</t>
  </si>
  <si>
    <t>MPF-5898-20230831-17_12_18</t>
  </si>
  <si>
    <t>DARK-5899-20230831-17_12_26</t>
  </si>
  <si>
    <t>17:11:16</t>
  </si>
  <si>
    <t>20230831 17:16:16</t>
  </si>
  <si>
    <t>17:16:16</t>
  </si>
  <si>
    <t>MPF-5900-20230831-17_15_28</t>
  </si>
  <si>
    <t>DARK-5901-20230831-17_15_35</t>
  </si>
  <si>
    <t>17:14:20</t>
  </si>
  <si>
    <t>20230831 17:17:59</t>
  </si>
  <si>
    <t>17:17:59</t>
  </si>
  <si>
    <t>MPF-5902-20230831-17_17_11</t>
  </si>
  <si>
    <t>DARK-5903-20230831-17_17_19</t>
  </si>
  <si>
    <t>17:17:31</t>
  </si>
  <si>
    <t>20230831 17:19:43</t>
  </si>
  <si>
    <t>17:19:43</t>
  </si>
  <si>
    <t>MPF-5904-20230831-17_18_55</t>
  </si>
  <si>
    <t>DARK-5905-20230831-17_19_02</t>
  </si>
  <si>
    <t>17:19:14</t>
  </si>
  <si>
    <t>20230831 17:21:26</t>
  </si>
  <si>
    <t>17:21:26</t>
  </si>
  <si>
    <t>MPF-5906-20230831-17_20_38</t>
  </si>
  <si>
    <t>DARK-5907-20230831-17_20_45</t>
  </si>
  <si>
    <t>17:20:58</t>
  </si>
  <si>
    <t>20230831 17:23:22</t>
  </si>
  <si>
    <t>17:23:22</t>
  </si>
  <si>
    <t>MPF-5908-20230831-17_22_34</t>
  </si>
  <si>
    <t>DARK-5909-20230831-17_22_41</t>
  </si>
  <si>
    <t>17:22:53</t>
  </si>
  <si>
    <t>20230831 17:25:23</t>
  </si>
  <si>
    <t>17:25:23</t>
  </si>
  <si>
    <t>MPF-5910-20230831-17_24_35</t>
  </si>
  <si>
    <t>DARK-5911-20230831-17_24_42</t>
  </si>
  <si>
    <t>17:24:50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</si>
</sst>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28"/>
  <sheetViews>
    <sheetView tabSelected="1" topLeftCell="A32" workbookViewId="0">
      <selection activeCell="I59" sqref="I59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1693493979.5999999</v>
      </c>
      <c r="C17">
        <v>0</v>
      </c>
      <c r="D17" t="s">
        <v>411</v>
      </c>
      <c r="E17" t="s">
        <v>412</v>
      </c>
      <c r="F17" t="s">
        <v>413</v>
      </c>
      <c r="G17" t="s">
        <v>414</v>
      </c>
      <c r="H17" t="s">
        <v>415</v>
      </c>
      <c r="I17" t="s">
        <v>416</v>
      </c>
      <c r="J17">
        <v>1693493979.5999999</v>
      </c>
      <c r="K17">
        <f t="shared" ref="K17:K48" si="0">(L17)/1000</f>
        <v>3.5891343424212696E-3</v>
      </c>
      <c r="L17">
        <f t="shared" ref="L17:L48" si="1">1000*DL17*AJ17*(DH17-DI17)/(100*DA17*(1000-AJ17*DH17))</f>
        <v>3.5891343424212696</v>
      </c>
      <c r="M17">
        <f t="shared" ref="M17:M48" si="2">DL17*AJ17*(DG17-DF17*(1000-AJ17*DI17)/(1000-AJ17*DH17))/(100*DA17)</f>
        <v>42.70457263243248</v>
      </c>
      <c r="N17">
        <f t="shared" ref="N17:N48" si="3">DF17 - IF(AJ17&gt;1, M17*DA17*100/(AL17*DT17), 0)</f>
        <v>347.08</v>
      </c>
      <c r="O17">
        <f t="shared" ref="O17:O48" si="4">((U17-K17/2)*N17-M17)/(U17+K17/2)</f>
        <v>53.438323100058383</v>
      </c>
      <c r="P17">
        <f t="shared" ref="P17:P48" si="5">O17*(DM17+DN17)/1000</f>
        <v>5.3266459414438083</v>
      </c>
      <c r="Q17">
        <f t="shared" ref="Q17:Q48" si="6">(DF17 - IF(AJ17&gt;1, M17*DA17*100/(AL17*DT17), 0))*(DM17+DN17)/1000</f>
        <v>34.596375149996</v>
      </c>
      <c r="R17">
        <f t="shared" ref="R17:R48" si="7">2/((1/T17-1/S17)+SIGN(T17)*SQRT((1/T17-1/S17)*(1/T17-1/S17) + 4*DB17/((DB17+1)*(DB17+1))*(2*1/T17*1/S17-1/S17*1/S17)))</f>
        <v>0.24602438162985057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2.9308947553127211</v>
      </c>
      <c r="T17">
        <f t="shared" ref="T17:T48" si="9">K17*(1000-(1000*0.61365*EXP(17.502*X17/(240.97+X17))/(DM17+DN17)+DH17)/2)/(1000*0.61365*EXP(17.502*X17/(240.97+X17))/(DM17+DN17)-DH17)</f>
        <v>0.2351000864877125</v>
      </c>
      <c r="U17">
        <f t="shared" ref="U17:U48" si="10">1/((DB17+1)/(R17/1.6)+1/(S17/1.37)) + DB17/((DB17+1)/(R17/1.6) + DB17/(S17/1.37))</f>
        <v>0.14787863264155338</v>
      </c>
      <c r="V17">
        <f t="shared" ref="V17:V48" si="11">(CW17*CZ17)</f>
        <v>344.32190065825824</v>
      </c>
      <c r="W17">
        <f t="shared" ref="W17:W48" si="12">(DO17+(V17+2*0.95*0.0000000567*(((DO17+$B$7)+273)^4-(DO17+273)^4)-44100*K17)/(1.84*29.3*S17+8*0.95*0.0000000567*(DO17+273)^3))</f>
        <v>31.600985640735292</v>
      </c>
      <c r="X17">
        <f t="shared" ref="X17:X48" si="13">($C$7*DP17+$D$7*DQ17+$E$7*W17)</f>
        <v>30.096900000000002</v>
      </c>
      <c r="Y17">
        <f t="shared" ref="Y17:Y48" si="14">0.61365*EXP(17.502*X17/(240.97+X17))</f>
        <v>4.2842204150034471</v>
      </c>
      <c r="Z17">
        <f t="shared" ref="Z17:Z48" si="15">(AA17/AB17*100)</f>
        <v>64.218498627167264</v>
      </c>
      <c r="AA17">
        <f t="shared" ref="AA17:AA48" si="16">DH17*(DM17+DN17)/1000</f>
        <v>2.81669197220686</v>
      </c>
      <c r="AB17">
        <f t="shared" ref="AB17:AB48" si="17">0.61365*EXP(17.502*DO17/(240.97+DO17))</f>
        <v>4.3861068577135418</v>
      </c>
      <c r="AC17">
        <f t="shared" ref="AC17:AC48" si="18">(Y17-DH17*(DM17+DN17)/1000)</f>
        <v>1.4675284427965871</v>
      </c>
      <c r="AD17">
        <f t="shared" ref="AD17:AD48" si="19">(-K17*44100)</f>
        <v>-158.28082450077798</v>
      </c>
      <c r="AE17">
        <f t="shared" ref="AE17:AE48" si="20">2*29.3*S17*0.92*(DO17-X17)</f>
        <v>64.800064239656791</v>
      </c>
      <c r="AF17">
        <f t="shared" ref="AF17:AF48" si="21">2*0.95*0.0000000567*(((DO17+$B$7)+273)^4-(X17+273)^4)</f>
        <v>4.9307414062280701</v>
      </c>
      <c r="AG17">
        <f t="shared" ref="AG17:AG48" si="22">V17+AF17+AD17+AE17</f>
        <v>255.77188180336515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52295.446458532744</v>
      </c>
      <c r="AM17" t="s">
        <v>417</v>
      </c>
      <c r="AN17">
        <v>10238.9</v>
      </c>
      <c r="AO17">
        <v>302.21199999999999</v>
      </c>
      <c r="AP17">
        <v>4052.3</v>
      </c>
      <c r="AQ17">
        <f t="shared" ref="AQ17:AQ48" si="26">1-AO17/AP17</f>
        <v>0.92542210596451402</v>
      </c>
      <c r="AR17">
        <v>-0.32343011824092421</v>
      </c>
      <c r="AS17" t="s">
        <v>418</v>
      </c>
      <c r="AT17">
        <v>10502.4</v>
      </c>
      <c r="AU17">
        <v>720.13424000000009</v>
      </c>
      <c r="AV17">
        <v>1065.8943527716519</v>
      </c>
      <c r="AW17">
        <f t="shared" ref="AW17:AW48" si="27">1-AU17/AV17</f>
        <v>0.32438497480784056</v>
      </c>
      <c r="AX17">
        <v>0.5</v>
      </c>
      <c r="AY17">
        <f t="shared" ref="AY17:AY48" si="28">CX17</f>
        <v>1512.9747003291293</v>
      </c>
      <c r="AZ17">
        <f t="shared" ref="AZ17:AZ48" si="29">M17</f>
        <v>42.70457263243248</v>
      </c>
      <c r="BA17">
        <f t="shared" ref="BA17:BA48" si="30">AW17*AX17*AY17</f>
        <v>245.39313002558237</v>
      </c>
      <c r="BB17">
        <f t="shared" ref="BB17:BB48" si="31">(AZ17-AR17)/AY17</f>
        <v>2.8439340552960456E-2</v>
      </c>
      <c r="BC17">
        <f t="shared" ref="BC17:BC48" si="32">(AP17-AV17)/AV17</f>
        <v>2.8017839098807293</v>
      </c>
      <c r="BD17">
        <f t="shared" ref="BD17:BD48" si="33">AO17/(AQ17+AO17/AV17)</f>
        <v>249.97867086234922</v>
      </c>
      <c r="BE17" t="s">
        <v>419</v>
      </c>
      <c r="BF17">
        <v>566.89</v>
      </c>
      <c r="BG17">
        <f t="shared" ref="BG17:BG48" si="34">IF(BF17&lt;&gt;0, BF17, BD17)</f>
        <v>566.89</v>
      </c>
      <c r="BH17">
        <f t="shared" ref="BH17:BH48" si="35">1-BG17/AV17</f>
        <v>0.46815554606710108</v>
      </c>
      <c r="BI17">
        <f t="shared" ref="BI17:BI48" si="36">(AV17-AU17)/(AV17-BG17)</f>
        <v>0.69289999345932396</v>
      </c>
      <c r="BJ17">
        <f t="shared" ref="BJ17:BJ48" si="37">(AP17-AV17)/(AP17-BG17)</f>
        <v>0.85683051555723655</v>
      </c>
      <c r="BK17">
        <f t="shared" ref="BK17:BK48" si="38">(AV17-AU17)/(AV17-AO17)</f>
        <v>0.45275383347117532</v>
      </c>
      <c r="BL17">
        <f t="shared" ref="BL17:BL48" si="39">(AP17-AV17)/(AP17-AO17)</f>
        <v>0.79635615143653915</v>
      </c>
      <c r="BM17">
        <f t="shared" ref="BM17:BM48" si="40">(BI17*BG17/AU17)</f>
        <v>0.54545118878413024</v>
      </c>
      <c r="BN17">
        <f t="shared" ref="BN17:BN48" si="41">(1-BM17)</f>
        <v>0.45454881121586976</v>
      </c>
      <c r="BO17">
        <v>5688</v>
      </c>
      <c r="BP17">
        <v>290.00000000000011</v>
      </c>
      <c r="BQ17">
        <v>967.78</v>
      </c>
      <c r="BR17">
        <v>145</v>
      </c>
      <c r="BS17">
        <v>10502.4</v>
      </c>
      <c r="BT17">
        <v>965.6</v>
      </c>
      <c r="BU17">
        <v>2.1800000000000002</v>
      </c>
      <c r="BV17">
        <v>300.00000000000011</v>
      </c>
      <c r="BW17">
        <v>38.200000000000003</v>
      </c>
      <c r="BX17">
        <v>1065.8943527716519</v>
      </c>
      <c r="BY17">
        <v>1.1204462051493851</v>
      </c>
      <c r="BZ17">
        <v>-105.3295717837845</v>
      </c>
      <c r="CA17">
        <v>0.96240660714135584</v>
      </c>
      <c r="CB17">
        <v>0.9976678281248631</v>
      </c>
      <c r="CC17">
        <v>-1.1388141713014459E-2</v>
      </c>
      <c r="CD17">
        <v>289.99999999999989</v>
      </c>
      <c r="CE17">
        <v>957.63</v>
      </c>
      <c r="CF17">
        <v>655</v>
      </c>
      <c r="CG17">
        <v>10467.799999999999</v>
      </c>
      <c r="CH17">
        <v>965.27</v>
      </c>
      <c r="CI17">
        <v>-7.64</v>
      </c>
      <c r="CW17">
        <f t="shared" ref="CW17:CW48" si="42">$B$11*DU17+$C$11*DV17+$F$11*EG17*(1-EJ17)</f>
        <v>1799.75</v>
      </c>
      <c r="CX17">
        <f t="shared" ref="CX17:CX48" si="43">CW17*CY17</f>
        <v>1512.9747003291293</v>
      </c>
      <c r="CY17">
        <f t="shared" ref="CY17:CY48" si="44">($B$11*$D$9+$C$11*$D$9+$F$11*((ET17+EL17)/MAX(ET17+EL17+EU17, 0.1)*$I$9+EU17/MAX(ET17+EL17+EU17, 0.1)*$J$9))/($B$11+$C$11+$F$11)</f>
        <v>0.84065825827427654</v>
      </c>
      <c r="CZ17">
        <f t="shared" ref="CZ17:CZ48" si="45">($B$11*$K$9+$C$11*$K$9+$F$11*((ET17+EL17)/MAX(ET17+EL17+EU17, 0.1)*$P$9+EU17/MAX(ET17+EL17+EU17, 0.1)*$Q$9))/($B$11+$C$11+$F$11)</f>
        <v>0.191316516548553</v>
      </c>
      <c r="DA17">
        <v>6</v>
      </c>
      <c r="DB17">
        <v>0.5</v>
      </c>
      <c r="DC17" t="s">
        <v>420</v>
      </c>
      <c r="DD17">
        <v>2</v>
      </c>
      <c r="DE17">
        <v>1693493979.5999999</v>
      </c>
      <c r="DF17">
        <v>347.08</v>
      </c>
      <c r="DG17">
        <v>399.80200000000002</v>
      </c>
      <c r="DH17">
        <v>28.2578</v>
      </c>
      <c r="DI17">
        <v>24.074000000000002</v>
      </c>
      <c r="DJ17">
        <v>349.38200000000001</v>
      </c>
      <c r="DK17">
        <v>27.710799999999999</v>
      </c>
      <c r="DL17">
        <v>500.17399999999998</v>
      </c>
      <c r="DM17">
        <v>99.578800000000001</v>
      </c>
      <c r="DN17">
        <v>9.9588700000000002E-2</v>
      </c>
      <c r="DO17">
        <v>30.507000000000001</v>
      </c>
      <c r="DP17">
        <v>30.096900000000002</v>
      </c>
      <c r="DQ17">
        <v>999.9</v>
      </c>
      <c r="DR17">
        <v>0</v>
      </c>
      <c r="DS17">
        <v>0</v>
      </c>
      <c r="DT17">
        <v>10050</v>
      </c>
      <c r="DU17">
        <v>0</v>
      </c>
      <c r="DV17">
        <v>1526.4</v>
      </c>
      <c r="DW17">
        <v>-52.743099999999998</v>
      </c>
      <c r="DX17">
        <v>357.20499999999998</v>
      </c>
      <c r="DY17">
        <v>409.66500000000002</v>
      </c>
      <c r="DZ17">
        <v>4.3290800000000003</v>
      </c>
      <c r="EA17">
        <v>399.80200000000002</v>
      </c>
      <c r="EB17">
        <v>24.074000000000002</v>
      </c>
      <c r="EC17">
        <v>2.8283399999999999</v>
      </c>
      <c r="ED17">
        <v>2.3972600000000002</v>
      </c>
      <c r="EE17">
        <v>23.0504</v>
      </c>
      <c r="EF17">
        <v>20.345300000000002</v>
      </c>
      <c r="EG17">
        <v>1799.75</v>
      </c>
      <c r="EH17">
        <v>0.97799499999999995</v>
      </c>
      <c r="EI17">
        <v>2.2005E-2</v>
      </c>
      <c r="EJ17">
        <v>0</v>
      </c>
      <c r="EK17">
        <v>719.93499999999995</v>
      </c>
      <c r="EL17">
        <v>4.9995000000000003</v>
      </c>
      <c r="EM17">
        <v>13721.7</v>
      </c>
      <c r="EN17">
        <v>16657.5</v>
      </c>
      <c r="EO17">
        <v>43.936999999999998</v>
      </c>
      <c r="EP17">
        <v>45.25</v>
      </c>
      <c r="EQ17">
        <v>44.75</v>
      </c>
      <c r="ER17">
        <v>44.186999999999998</v>
      </c>
      <c r="ES17">
        <v>45.5</v>
      </c>
      <c r="ET17">
        <v>1755.26</v>
      </c>
      <c r="EU17">
        <v>39.49</v>
      </c>
      <c r="EV17">
        <v>0</v>
      </c>
      <c r="EW17">
        <v>1693493955.5999999</v>
      </c>
      <c r="EX17">
        <v>0</v>
      </c>
      <c r="EY17">
        <v>720.13424000000009</v>
      </c>
      <c r="EZ17">
        <v>-2.288615391573968</v>
      </c>
      <c r="FA17">
        <v>-26.138461507678439</v>
      </c>
      <c r="FB17">
        <v>13726.2</v>
      </c>
      <c r="FC17">
        <v>15</v>
      </c>
      <c r="FD17">
        <v>1693494020.0999999</v>
      </c>
      <c r="FE17" t="s">
        <v>421</v>
      </c>
      <c r="FF17">
        <v>1693494013.5999999</v>
      </c>
      <c r="FG17">
        <v>1693494020.0999999</v>
      </c>
      <c r="FH17">
        <v>2</v>
      </c>
      <c r="FI17">
        <v>9.9000000000000005E-2</v>
      </c>
      <c r="FJ17">
        <v>-1.7999999999999999E-2</v>
      </c>
      <c r="FK17">
        <v>-2.302</v>
      </c>
      <c r="FL17">
        <v>0.54700000000000004</v>
      </c>
      <c r="FM17">
        <v>399</v>
      </c>
      <c r="FN17">
        <v>26</v>
      </c>
      <c r="FO17">
        <v>0.24</v>
      </c>
      <c r="FP17">
        <v>0.08</v>
      </c>
      <c r="FQ17">
        <v>42.814604721463901</v>
      </c>
      <c r="FR17">
        <v>0.16764842276495451</v>
      </c>
      <c r="FS17">
        <v>8.8120306679539157E-2</v>
      </c>
      <c r="FT17">
        <v>1</v>
      </c>
      <c r="FU17">
        <v>0.25345734533524378</v>
      </c>
      <c r="FV17">
        <v>4.559099074604963E-2</v>
      </c>
      <c r="FW17">
        <v>3.3441575272120851E-3</v>
      </c>
      <c r="FX17">
        <v>1</v>
      </c>
      <c r="FY17">
        <v>2</v>
      </c>
      <c r="FZ17">
        <v>2</v>
      </c>
      <c r="GA17" t="s">
        <v>422</v>
      </c>
      <c r="GB17">
        <v>2.9763299999999999</v>
      </c>
      <c r="GC17">
        <v>2.8117200000000002</v>
      </c>
      <c r="GD17">
        <v>8.8896199999999995E-2</v>
      </c>
      <c r="GE17">
        <v>9.7699099999999997E-2</v>
      </c>
      <c r="GF17">
        <v>0.13553000000000001</v>
      </c>
      <c r="GG17">
        <v>0.121112</v>
      </c>
      <c r="GH17">
        <v>27057</v>
      </c>
      <c r="GI17">
        <v>24879.599999999999</v>
      </c>
      <c r="GJ17">
        <v>26668</v>
      </c>
      <c r="GK17">
        <v>25984.2</v>
      </c>
      <c r="GL17">
        <v>31335.1</v>
      </c>
      <c r="GM17">
        <v>32165.8</v>
      </c>
      <c r="GN17">
        <v>37797.699999999997</v>
      </c>
      <c r="GO17">
        <v>38449.599999999999</v>
      </c>
      <c r="GP17">
        <v>2.0609000000000002</v>
      </c>
      <c r="GQ17">
        <v>2.1219000000000001</v>
      </c>
      <c r="GR17">
        <v>0.11602</v>
      </c>
      <c r="GS17">
        <v>0</v>
      </c>
      <c r="GT17">
        <v>28.206199999999999</v>
      </c>
      <c r="GU17">
        <v>999.9</v>
      </c>
      <c r="GV17">
        <v>55.9</v>
      </c>
      <c r="GW17">
        <v>33.299999999999997</v>
      </c>
      <c r="GX17">
        <v>28.842500000000001</v>
      </c>
      <c r="GY17">
        <v>60.869199999999999</v>
      </c>
      <c r="GZ17">
        <v>14.4351</v>
      </c>
      <c r="HA17">
        <v>1</v>
      </c>
      <c r="HB17">
        <v>-0.196077</v>
      </c>
      <c r="HC17">
        <v>-0.91132899999999994</v>
      </c>
      <c r="HD17">
        <v>20.252800000000001</v>
      </c>
      <c r="HE17">
        <v>5.2107000000000001</v>
      </c>
      <c r="HF17">
        <v>11.9261</v>
      </c>
      <c r="HG17">
        <v>4.9893999999999998</v>
      </c>
      <c r="HH17">
        <v>3.2919999999999998</v>
      </c>
      <c r="HI17">
        <v>9999</v>
      </c>
      <c r="HJ17">
        <v>9999</v>
      </c>
      <c r="HK17">
        <v>9999</v>
      </c>
      <c r="HL17">
        <v>999.9</v>
      </c>
      <c r="HM17">
        <v>1.87073</v>
      </c>
      <c r="HN17">
        <v>1.8768899999999999</v>
      </c>
      <c r="HO17">
        <v>1.87469</v>
      </c>
      <c r="HP17">
        <v>1.8729100000000001</v>
      </c>
      <c r="HQ17">
        <v>1.8733900000000001</v>
      </c>
      <c r="HR17">
        <v>1.8708400000000001</v>
      </c>
      <c r="HS17">
        <v>1.8767</v>
      </c>
      <c r="HT17">
        <v>1.8757600000000001</v>
      </c>
      <c r="HU17">
        <v>5</v>
      </c>
      <c r="HV17">
        <v>0</v>
      </c>
      <c r="HW17">
        <v>0</v>
      </c>
      <c r="HX17">
        <v>0</v>
      </c>
      <c r="HY17" t="s">
        <v>423</v>
      </c>
      <c r="HZ17" t="s">
        <v>424</v>
      </c>
      <c r="IA17" t="s">
        <v>425</v>
      </c>
      <c r="IB17" t="s">
        <v>425</v>
      </c>
      <c r="IC17" t="s">
        <v>425</v>
      </c>
      <c r="ID17" t="s">
        <v>425</v>
      </c>
      <c r="IE17">
        <v>0</v>
      </c>
      <c r="IF17">
        <v>100</v>
      </c>
      <c r="IG17">
        <v>100</v>
      </c>
      <c r="IH17">
        <v>-2.302</v>
      </c>
      <c r="II17">
        <v>0.54700000000000004</v>
      </c>
      <c r="IJ17">
        <v>-1.5973688860586031</v>
      </c>
      <c r="IK17">
        <v>-2.677719669153116E-3</v>
      </c>
      <c r="IL17">
        <v>1.9353498771248068E-6</v>
      </c>
      <c r="IM17">
        <v>-6.1862177325538213E-10</v>
      </c>
      <c r="IN17">
        <v>9.1761470746594659E-2</v>
      </c>
      <c r="IO17">
        <v>-1.5299015507423901E-2</v>
      </c>
      <c r="IP17">
        <v>1.742162107778985E-3</v>
      </c>
      <c r="IQ17">
        <v>-1.472690239905804E-5</v>
      </c>
      <c r="IR17">
        <v>3</v>
      </c>
      <c r="IS17">
        <v>2255</v>
      </c>
      <c r="IT17">
        <v>2</v>
      </c>
      <c r="IU17">
        <v>41</v>
      </c>
      <c r="IV17">
        <v>28.9</v>
      </c>
      <c r="IW17">
        <v>28.9</v>
      </c>
      <c r="IX17">
        <v>0.95214799999999999</v>
      </c>
      <c r="IY17">
        <v>2.4633799999999999</v>
      </c>
      <c r="IZ17">
        <v>1.5991200000000001</v>
      </c>
      <c r="JA17">
        <v>2.2814899999999998</v>
      </c>
      <c r="JB17">
        <v>1.5502899999999999</v>
      </c>
      <c r="JC17">
        <v>2.3645</v>
      </c>
      <c r="JD17">
        <v>40.502000000000002</v>
      </c>
      <c r="JE17">
        <v>23.780999999999999</v>
      </c>
      <c r="JF17">
        <v>18</v>
      </c>
      <c r="JG17">
        <v>507.54</v>
      </c>
      <c r="JH17">
        <v>515.65700000000004</v>
      </c>
      <c r="JI17">
        <v>29.361000000000001</v>
      </c>
      <c r="JJ17">
        <v>25.090199999999999</v>
      </c>
      <c r="JK17">
        <v>30.000299999999999</v>
      </c>
      <c r="JL17">
        <v>24.965</v>
      </c>
      <c r="JM17">
        <v>24.897300000000001</v>
      </c>
      <c r="JN17">
        <v>19.0991</v>
      </c>
      <c r="JO17">
        <v>0</v>
      </c>
      <c r="JP17">
        <v>100</v>
      </c>
      <c r="JQ17">
        <v>29.368099999999998</v>
      </c>
      <c r="JR17">
        <v>400</v>
      </c>
      <c r="JS17">
        <v>25.711300000000001</v>
      </c>
      <c r="JT17">
        <v>99.638000000000005</v>
      </c>
      <c r="JU17">
        <v>99.874399999999994</v>
      </c>
    </row>
    <row r="18" spans="1:281" x14ac:dyDescent="0.25">
      <c r="A18">
        <v>2</v>
      </c>
      <c r="B18">
        <v>1693494144.5999999</v>
      </c>
      <c r="C18">
        <v>165</v>
      </c>
      <c r="D18" t="s">
        <v>426</v>
      </c>
      <c r="E18" t="s">
        <v>427</v>
      </c>
      <c r="F18" t="s">
        <v>413</v>
      </c>
      <c r="G18" t="s">
        <v>414</v>
      </c>
      <c r="H18" t="s">
        <v>415</v>
      </c>
      <c r="I18" t="s">
        <v>416</v>
      </c>
      <c r="J18">
        <v>1693494144.5999999</v>
      </c>
      <c r="K18">
        <f t="shared" si="0"/>
        <v>3.8443703848872789E-3</v>
      </c>
      <c r="L18">
        <f t="shared" si="1"/>
        <v>3.844370384887279</v>
      </c>
      <c r="M18">
        <f t="shared" si="2"/>
        <v>34.762060120417431</v>
      </c>
      <c r="N18">
        <f t="shared" si="3"/>
        <v>256.99099999999999</v>
      </c>
      <c r="O18">
        <f t="shared" si="4"/>
        <v>40.475225724425933</v>
      </c>
      <c r="P18">
        <f t="shared" si="5"/>
        <v>4.034668652633159</v>
      </c>
      <c r="Q18">
        <f t="shared" si="6"/>
        <v>25.617486083175002</v>
      </c>
      <c r="R18">
        <f t="shared" si="7"/>
        <v>0.2726546367679607</v>
      </c>
      <c r="S18">
        <f t="shared" si="8"/>
        <v>2.9230876587191847</v>
      </c>
      <c r="T18">
        <f t="shared" si="9"/>
        <v>0.2592725780624926</v>
      </c>
      <c r="U18">
        <f t="shared" si="10"/>
        <v>0.16319293784934708</v>
      </c>
      <c r="V18">
        <f t="shared" si="11"/>
        <v>344.35988749455197</v>
      </c>
      <c r="W18">
        <f t="shared" si="12"/>
        <v>31.419356626863689</v>
      </c>
      <c r="X18">
        <f t="shared" si="13"/>
        <v>30.0093</v>
      </c>
      <c r="Y18">
        <f t="shared" si="14"/>
        <v>4.262726167958145</v>
      </c>
      <c r="Z18">
        <f t="shared" si="15"/>
        <v>65.128419419562789</v>
      </c>
      <c r="AA18">
        <f t="shared" si="16"/>
        <v>2.8373206722300002</v>
      </c>
      <c r="AB18">
        <f t="shared" si="17"/>
        <v>4.35650165859506</v>
      </c>
      <c r="AC18">
        <f t="shared" si="18"/>
        <v>1.4254054957281448</v>
      </c>
      <c r="AD18">
        <f t="shared" si="19"/>
        <v>-169.53673397352901</v>
      </c>
      <c r="AE18">
        <f t="shared" si="20"/>
        <v>59.78945700449605</v>
      </c>
      <c r="AF18">
        <f t="shared" si="21"/>
        <v>4.5569833469215677</v>
      </c>
      <c r="AG18">
        <f t="shared" si="22"/>
        <v>239.1695938724406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52093.127068537979</v>
      </c>
      <c r="AM18" t="s">
        <v>417</v>
      </c>
      <c r="AN18">
        <v>10238.9</v>
      </c>
      <c r="AO18">
        <v>302.21199999999999</v>
      </c>
      <c r="AP18">
        <v>4052.3</v>
      </c>
      <c r="AQ18">
        <f t="shared" si="26"/>
        <v>0.92542210596451402</v>
      </c>
      <c r="AR18">
        <v>-0.32343011824092421</v>
      </c>
      <c r="AS18" t="s">
        <v>428</v>
      </c>
      <c r="AT18">
        <v>10506.1</v>
      </c>
      <c r="AU18">
        <v>692.69969230769232</v>
      </c>
      <c r="AV18">
        <v>971.28180744690189</v>
      </c>
      <c r="AW18">
        <f t="shared" si="27"/>
        <v>0.28681903954475041</v>
      </c>
      <c r="AX18">
        <v>0.5</v>
      </c>
      <c r="AY18">
        <f t="shared" si="28"/>
        <v>1513.1426937472759</v>
      </c>
      <c r="AZ18">
        <f t="shared" si="29"/>
        <v>34.762060120417431</v>
      </c>
      <c r="BA18">
        <f t="shared" si="30"/>
        <v>216.99906705737504</v>
      </c>
      <c r="BB18">
        <f t="shared" si="31"/>
        <v>2.3187165614744269E-2</v>
      </c>
      <c r="BC18">
        <f t="shared" si="32"/>
        <v>3.1721156197209344</v>
      </c>
      <c r="BD18">
        <f t="shared" si="33"/>
        <v>244.39544279255747</v>
      </c>
      <c r="BE18" t="s">
        <v>429</v>
      </c>
      <c r="BF18">
        <v>551.16999999999996</v>
      </c>
      <c r="BG18">
        <f t="shared" si="34"/>
        <v>551.16999999999996</v>
      </c>
      <c r="BH18">
        <f t="shared" si="35"/>
        <v>0.43253338446768819</v>
      </c>
      <c r="BI18">
        <f t="shared" si="36"/>
        <v>0.66311422388293539</v>
      </c>
      <c r="BJ18">
        <f t="shared" si="37"/>
        <v>0.88000679567828055</v>
      </c>
      <c r="BK18">
        <f t="shared" si="38"/>
        <v>0.41637227093275786</v>
      </c>
      <c r="BL18">
        <f t="shared" si="39"/>
        <v>0.82158557147274891</v>
      </c>
      <c r="BM18">
        <f t="shared" si="40"/>
        <v>0.52762931878885544</v>
      </c>
      <c r="BN18">
        <f t="shared" si="41"/>
        <v>0.47237068121114456</v>
      </c>
      <c r="BO18">
        <v>5690</v>
      </c>
      <c r="BP18">
        <v>290.00000000000011</v>
      </c>
      <c r="BQ18">
        <v>891.23</v>
      </c>
      <c r="BR18">
        <v>115</v>
      </c>
      <c r="BS18">
        <v>10506.1</v>
      </c>
      <c r="BT18">
        <v>889.82</v>
      </c>
      <c r="BU18">
        <v>1.41</v>
      </c>
      <c r="BV18">
        <v>300.00000000000011</v>
      </c>
      <c r="BW18">
        <v>38.200000000000003</v>
      </c>
      <c r="BX18">
        <v>971.28180744690189</v>
      </c>
      <c r="BY18">
        <v>0.97567574241795607</v>
      </c>
      <c r="BZ18">
        <v>-85.589256351477616</v>
      </c>
      <c r="CA18">
        <v>0.83781677093362372</v>
      </c>
      <c r="CB18">
        <v>0.99732419795757143</v>
      </c>
      <c r="CC18">
        <v>-1.138477063403783E-2</v>
      </c>
      <c r="CD18">
        <v>289.99999999999989</v>
      </c>
      <c r="CE18">
        <v>884.34</v>
      </c>
      <c r="CF18">
        <v>675</v>
      </c>
      <c r="CG18">
        <v>10462.799999999999</v>
      </c>
      <c r="CH18">
        <v>889.48</v>
      </c>
      <c r="CI18">
        <v>-5.14</v>
      </c>
      <c r="CW18">
        <f t="shared" si="42"/>
        <v>1799.95</v>
      </c>
      <c r="CX18">
        <f t="shared" si="43"/>
        <v>1513.1426937472759</v>
      </c>
      <c r="CY18">
        <f t="shared" si="44"/>
        <v>0.84065818147574978</v>
      </c>
      <c r="CZ18">
        <f t="shared" si="45"/>
        <v>0.19131636295149976</v>
      </c>
      <c r="DA18">
        <v>6</v>
      </c>
      <c r="DB18">
        <v>0.5</v>
      </c>
      <c r="DC18" t="s">
        <v>420</v>
      </c>
      <c r="DD18">
        <v>2</v>
      </c>
      <c r="DE18">
        <v>1693494144.5999999</v>
      </c>
      <c r="DF18">
        <v>256.99099999999999</v>
      </c>
      <c r="DG18">
        <v>299.88400000000001</v>
      </c>
      <c r="DH18">
        <v>28.4636</v>
      </c>
      <c r="DI18">
        <v>23.982399999999998</v>
      </c>
      <c r="DJ18">
        <v>258.96600000000001</v>
      </c>
      <c r="DK18">
        <v>27.812799999999999</v>
      </c>
      <c r="DL18">
        <v>500.08199999999999</v>
      </c>
      <c r="DM18">
        <v>99.582300000000004</v>
      </c>
      <c r="DN18">
        <v>0.10012500000000001</v>
      </c>
      <c r="DO18">
        <v>30.3887</v>
      </c>
      <c r="DP18">
        <v>30.0093</v>
      </c>
      <c r="DQ18">
        <v>999.9</v>
      </c>
      <c r="DR18">
        <v>0</v>
      </c>
      <c r="DS18">
        <v>0</v>
      </c>
      <c r="DT18">
        <v>10005</v>
      </c>
      <c r="DU18">
        <v>0</v>
      </c>
      <c r="DV18">
        <v>1558.54</v>
      </c>
      <c r="DW18">
        <v>-42.892899999999997</v>
      </c>
      <c r="DX18">
        <v>264.52</v>
      </c>
      <c r="DY18">
        <v>307.25299999999999</v>
      </c>
      <c r="DZ18">
        <v>4.4811100000000001</v>
      </c>
      <c r="EA18">
        <v>299.88400000000001</v>
      </c>
      <c r="EB18">
        <v>23.982399999999998</v>
      </c>
      <c r="EC18">
        <v>2.83447</v>
      </c>
      <c r="ED18">
        <v>2.3882300000000001</v>
      </c>
      <c r="EE18">
        <v>23.086200000000002</v>
      </c>
      <c r="EF18">
        <v>20.284199999999998</v>
      </c>
      <c r="EG18">
        <v>1799.95</v>
      </c>
      <c r="EH18">
        <v>0.97800200000000004</v>
      </c>
      <c r="EI18">
        <v>2.1997900000000001E-2</v>
      </c>
      <c r="EJ18">
        <v>0</v>
      </c>
      <c r="EK18">
        <v>692.41399999999999</v>
      </c>
      <c r="EL18">
        <v>4.9995000000000003</v>
      </c>
      <c r="EM18">
        <v>13307.6</v>
      </c>
      <c r="EN18">
        <v>16659.400000000001</v>
      </c>
      <c r="EO18">
        <v>44.25</v>
      </c>
      <c r="EP18">
        <v>45.561999999999998</v>
      </c>
      <c r="EQ18">
        <v>45.061999999999998</v>
      </c>
      <c r="ER18">
        <v>44.5</v>
      </c>
      <c r="ES18">
        <v>45.811999999999998</v>
      </c>
      <c r="ET18">
        <v>1755.47</v>
      </c>
      <c r="EU18">
        <v>39.49</v>
      </c>
      <c r="EV18">
        <v>0</v>
      </c>
      <c r="EW18">
        <v>163.20000004768369</v>
      </c>
      <c r="EX18">
        <v>0</v>
      </c>
      <c r="EY18">
        <v>692.69969230769232</v>
      </c>
      <c r="EZ18">
        <v>-1.079111124430661</v>
      </c>
      <c r="FA18">
        <v>-5.4119657683841158</v>
      </c>
      <c r="FB18">
        <v>13308.311538461539</v>
      </c>
      <c r="FC18">
        <v>15</v>
      </c>
      <c r="FD18">
        <v>1693494091.5999999</v>
      </c>
      <c r="FE18" t="s">
        <v>430</v>
      </c>
      <c r="FF18">
        <v>1693494091.5999999</v>
      </c>
      <c r="FG18">
        <v>1693494083.0999999</v>
      </c>
      <c r="FH18">
        <v>3</v>
      </c>
      <c r="FI18">
        <v>9.8000000000000004E-2</v>
      </c>
      <c r="FJ18">
        <v>-2.8000000000000001E-2</v>
      </c>
      <c r="FK18">
        <v>-2.0499999999999998</v>
      </c>
      <c r="FL18">
        <v>0.52600000000000002</v>
      </c>
      <c r="FM18">
        <v>300</v>
      </c>
      <c r="FN18">
        <v>25</v>
      </c>
      <c r="FO18">
        <v>0.09</v>
      </c>
      <c r="FP18">
        <v>7.0000000000000007E-2</v>
      </c>
      <c r="FQ18">
        <v>34.956021785361003</v>
      </c>
      <c r="FR18">
        <v>0.23006622256372691</v>
      </c>
      <c r="FS18">
        <v>6.7070661841098778E-2</v>
      </c>
      <c r="FT18">
        <v>1</v>
      </c>
      <c r="FU18">
        <v>0.26293036928389241</v>
      </c>
      <c r="FV18">
        <v>4.1384597119955208E-2</v>
      </c>
      <c r="FW18">
        <v>4.0327109192284756E-3</v>
      </c>
      <c r="FX18">
        <v>1</v>
      </c>
      <c r="FY18">
        <v>2</v>
      </c>
      <c r="FZ18">
        <v>2</v>
      </c>
      <c r="GA18" t="s">
        <v>422</v>
      </c>
      <c r="GB18">
        <v>2.9759099999999998</v>
      </c>
      <c r="GC18">
        <v>2.8118599999999998</v>
      </c>
      <c r="GD18">
        <v>6.9556800000000002E-2</v>
      </c>
      <c r="GE18">
        <v>7.7734600000000001E-2</v>
      </c>
      <c r="GF18">
        <v>0.13584399999999999</v>
      </c>
      <c r="GG18">
        <v>0.120766</v>
      </c>
      <c r="GH18">
        <v>27630.2</v>
      </c>
      <c r="GI18">
        <v>25420.5</v>
      </c>
      <c r="GJ18">
        <v>26667.7</v>
      </c>
      <c r="GK18">
        <v>25975.4</v>
      </c>
      <c r="GL18">
        <v>31322.1</v>
      </c>
      <c r="GM18">
        <v>32165.3</v>
      </c>
      <c r="GN18">
        <v>37796.6</v>
      </c>
      <c r="GO18">
        <v>38435.300000000003</v>
      </c>
      <c r="GP18">
        <v>2.0592000000000001</v>
      </c>
      <c r="GQ18">
        <v>2.1147</v>
      </c>
      <c r="GR18">
        <v>0.11003</v>
      </c>
      <c r="GS18">
        <v>0</v>
      </c>
      <c r="GT18">
        <v>28.216100000000001</v>
      </c>
      <c r="GU18">
        <v>999.9</v>
      </c>
      <c r="GV18">
        <v>55.3</v>
      </c>
      <c r="GW18">
        <v>33.700000000000003</v>
      </c>
      <c r="GX18">
        <v>29.180700000000002</v>
      </c>
      <c r="GY18">
        <v>60.899299999999997</v>
      </c>
      <c r="GZ18">
        <v>14.899800000000001</v>
      </c>
      <c r="HA18">
        <v>1</v>
      </c>
      <c r="HB18">
        <v>-0.185478</v>
      </c>
      <c r="HC18">
        <v>-1.6738900000000001</v>
      </c>
      <c r="HD18">
        <v>20.246200000000002</v>
      </c>
      <c r="HE18">
        <v>5.2100999999999997</v>
      </c>
      <c r="HF18">
        <v>11.9261</v>
      </c>
      <c r="HG18">
        <v>4.9893999999999998</v>
      </c>
      <c r="HH18">
        <v>3.2919999999999998</v>
      </c>
      <c r="HI18">
        <v>9999</v>
      </c>
      <c r="HJ18">
        <v>9999</v>
      </c>
      <c r="HK18">
        <v>9999</v>
      </c>
      <c r="HL18">
        <v>999.9</v>
      </c>
      <c r="HM18">
        <v>1.87073</v>
      </c>
      <c r="HN18">
        <v>1.8769199999999999</v>
      </c>
      <c r="HO18">
        <v>1.87469</v>
      </c>
      <c r="HP18">
        <v>1.87286</v>
      </c>
      <c r="HQ18">
        <v>1.8733900000000001</v>
      </c>
      <c r="HR18">
        <v>1.8708100000000001</v>
      </c>
      <c r="HS18">
        <v>1.8766799999999999</v>
      </c>
      <c r="HT18">
        <v>1.8757600000000001</v>
      </c>
      <c r="HU18">
        <v>5</v>
      </c>
      <c r="HV18">
        <v>0</v>
      </c>
      <c r="HW18">
        <v>0</v>
      </c>
      <c r="HX18">
        <v>0</v>
      </c>
      <c r="HY18" t="s">
        <v>423</v>
      </c>
      <c r="HZ18" t="s">
        <v>424</v>
      </c>
      <c r="IA18" t="s">
        <v>425</v>
      </c>
      <c r="IB18" t="s">
        <v>425</v>
      </c>
      <c r="IC18" t="s">
        <v>425</v>
      </c>
      <c r="ID18" t="s">
        <v>425</v>
      </c>
      <c r="IE18">
        <v>0</v>
      </c>
      <c r="IF18">
        <v>100</v>
      </c>
      <c r="IG18">
        <v>100</v>
      </c>
      <c r="IH18">
        <v>-1.9750000000000001</v>
      </c>
      <c r="II18">
        <v>0.65080000000000005</v>
      </c>
      <c r="IJ18">
        <v>-1.4008563989784339</v>
      </c>
      <c r="IK18">
        <v>-2.677719669153116E-3</v>
      </c>
      <c r="IL18">
        <v>1.9353498771248068E-6</v>
      </c>
      <c r="IM18">
        <v>-6.1862177325538213E-10</v>
      </c>
      <c r="IN18">
        <v>4.548132094952026E-2</v>
      </c>
      <c r="IO18">
        <v>-1.5299015507423901E-2</v>
      </c>
      <c r="IP18">
        <v>1.742162107778985E-3</v>
      </c>
      <c r="IQ18">
        <v>-1.472690239905804E-5</v>
      </c>
      <c r="IR18">
        <v>3</v>
      </c>
      <c r="IS18">
        <v>2255</v>
      </c>
      <c r="IT18">
        <v>2</v>
      </c>
      <c r="IU18">
        <v>41</v>
      </c>
      <c r="IV18">
        <v>0.9</v>
      </c>
      <c r="IW18">
        <v>1</v>
      </c>
      <c r="IX18">
        <v>0.76171900000000003</v>
      </c>
      <c r="IY18">
        <v>2.4841299999999999</v>
      </c>
      <c r="IZ18">
        <v>1.5991200000000001</v>
      </c>
      <c r="JA18">
        <v>2.2802699999999998</v>
      </c>
      <c r="JB18">
        <v>1.5502899999999999</v>
      </c>
      <c r="JC18">
        <v>2.4328599999999998</v>
      </c>
      <c r="JD18">
        <v>40.8093</v>
      </c>
      <c r="JE18">
        <v>23.807300000000001</v>
      </c>
      <c r="JF18">
        <v>18</v>
      </c>
      <c r="JG18">
        <v>507.60500000000002</v>
      </c>
      <c r="JH18">
        <v>511.97399999999999</v>
      </c>
      <c r="JI18">
        <v>29.5275</v>
      </c>
      <c r="JJ18">
        <v>25.2257</v>
      </c>
      <c r="JK18">
        <v>30.000399999999999</v>
      </c>
      <c r="JL18">
        <v>25.086300000000001</v>
      </c>
      <c r="JM18">
        <v>25.003499999999999</v>
      </c>
      <c r="JN18">
        <v>15.2727</v>
      </c>
      <c r="JO18">
        <v>21.2789</v>
      </c>
      <c r="JP18">
        <v>99.217299999999994</v>
      </c>
      <c r="JQ18">
        <v>29.511500000000002</v>
      </c>
      <c r="JR18">
        <v>300</v>
      </c>
      <c r="JS18">
        <v>23.5808</v>
      </c>
      <c r="JT18">
        <v>99.6357</v>
      </c>
      <c r="JU18">
        <v>99.8386</v>
      </c>
    </row>
    <row r="19" spans="1:281" x14ac:dyDescent="0.25">
      <c r="A19">
        <v>3</v>
      </c>
      <c r="B19">
        <v>1693494328.5999999</v>
      </c>
      <c r="C19">
        <v>349</v>
      </c>
      <c r="D19" t="s">
        <v>431</v>
      </c>
      <c r="E19" t="s">
        <v>432</v>
      </c>
      <c r="F19" t="s">
        <v>413</v>
      </c>
      <c r="G19" t="s">
        <v>414</v>
      </c>
      <c r="H19" t="s">
        <v>415</v>
      </c>
      <c r="I19" t="s">
        <v>416</v>
      </c>
      <c r="J19">
        <v>1693494328.5999999</v>
      </c>
      <c r="K19">
        <f t="shared" si="0"/>
        <v>4.9079342865304279E-3</v>
      </c>
      <c r="L19">
        <f t="shared" si="1"/>
        <v>4.9079342865304278</v>
      </c>
      <c r="M19">
        <f t="shared" si="2"/>
        <v>25.146733458536502</v>
      </c>
      <c r="N19">
        <f t="shared" si="3"/>
        <v>168.83199999999999</v>
      </c>
      <c r="O19">
        <f t="shared" si="4"/>
        <v>46.463115200446218</v>
      </c>
      <c r="P19">
        <f t="shared" si="5"/>
        <v>4.6318990380606762</v>
      </c>
      <c r="Q19">
        <f t="shared" si="6"/>
        <v>16.8308296811392</v>
      </c>
      <c r="R19">
        <f t="shared" si="7"/>
        <v>0.35497620312211459</v>
      </c>
      <c r="S19">
        <f t="shared" si="8"/>
        <v>2.9289104456273449</v>
      </c>
      <c r="T19">
        <f t="shared" si="9"/>
        <v>0.33269005612634445</v>
      </c>
      <c r="U19">
        <f t="shared" si="10"/>
        <v>0.20981690434950767</v>
      </c>
      <c r="V19">
        <f t="shared" si="11"/>
        <v>344.35550065802579</v>
      </c>
      <c r="W19">
        <f t="shared" si="12"/>
        <v>31.241470875031883</v>
      </c>
      <c r="X19">
        <f t="shared" si="13"/>
        <v>30.008900000000001</v>
      </c>
      <c r="Y19">
        <f t="shared" si="14"/>
        <v>4.2626282366619623</v>
      </c>
      <c r="Z19">
        <f t="shared" si="15"/>
        <v>64.917789361858141</v>
      </c>
      <c r="AA19">
        <f t="shared" si="16"/>
        <v>2.8443994496132499</v>
      </c>
      <c r="AB19">
        <f t="shared" si="17"/>
        <v>4.3815408342978035</v>
      </c>
      <c r="AC19">
        <f t="shared" si="18"/>
        <v>1.4182287870487125</v>
      </c>
      <c r="AD19">
        <f t="shared" si="19"/>
        <v>-216.43990203599188</v>
      </c>
      <c r="AE19">
        <f t="shared" si="20"/>
        <v>75.777851231443123</v>
      </c>
      <c r="AF19">
        <f t="shared" si="21"/>
        <v>5.7669363853036257</v>
      </c>
      <c r="AG19">
        <f t="shared" si="22"/>
        <v>209.46038623878064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52242.187654135138</v>
      </c>
      <c r="AM19" t="s">
        <v>417</v>
      </c>
      <c r="AN19">
        <v>10238.9</v>
      </c>
      <c r="AO19">
        <v>302.21199999999999</v>
      </c>
      <c r="AP19">
        <v>4052.3</v>
      </c>
      <c r="AQ19">
        <f t="shared" si="26"/>
        <v>0.92542210596451402</v>
      </c>
      <c r="AR19">
        <v>-0.32343011824092421</v>
      </c>
      <c r="AS19" t="s">
        <v>433</v>
      </c>
      <c r="AT19">
        <v>10482.5</v>
      </c>
      <c r="AU19">
        <v>686.03275999999994</v>
      </c>
      <c r="AV19">
        <v>886.89310419913772</v>
      </c>
      <c r="AW19">
        <f t="shared" si="27"/>
        <v>0.22647638508872403</v>
      </c>
      <c r="AX19">
        <v>0.5</v>
      </c>
      <c r="AY19">
        <f t="shared" si="28"/>
        <v>1513.125600329013</v>
      </c>
      <c r="AZ19">
        <f t="shared" si="29"/>
        <v>25.146733458536502</v>
      </c>
      <c r="BA19">
        <f t="shared" si="30"/>
        <v>171.34360807386014</v>
      </c>
      <c r="BB19">
        <f t="shared" si="31"/>
        <v>1.6832815181528363E-2</v>
      </c>
      <c r="BC19">
        <f t="shared" si="32"/>
        <v>3.5690962989944737</v>
      </c>
      <c r="BD19">
        <f t="shared" si="33"/>
        <v>238.68093775584666</v>
      </c>
      <c r="BE19" t="s">
        <v>434</v>
      </c>
      <c r="BF19">
        <v>540.9</v>
      </c>
      <c r="BG19">
        <f t="shared" si="34"/>
        <v>540.9</v>
      </c>
      <c r="BH19">
        <f t="shared" si="35"/>
        <v>0.39011815805194316</v>
      </c>
      <c r="BI19">
        <f t="shared" si="36"/>
        <v>0.58053279606269781</v>
      </c>
      <c r="BJ19">
        <f t="shared" si="37"/>
        <v>0.90146576744343065</v>
      </c>
      <c r="BK19">
        <f t="shared" si="38"/>
        <v>0.34353828566815858</v>
      </c>
      <c r="BL19">
        <f t="shared" si="39"/>
        <v>0.84408869759879301</v>
      </c>
      <c r="BM19">
        <f t="shared" si="40"/>
        <v>0.45771894244571248</v>
      </c>
      <c r="BN19">
        <f t="shared" si="41"/>
        <v>0.54228105755428757</v>
      </c>
      <c r="BO19">
        <v>5692</v>
      </c>
      <c r="BP19">
        <v>290.00000000000011</v>
      </c>
      <c r="BQ19">
        <v>829.22</v>
      </c>
      <c r="BR19">
        <v>225</v>
      </c>
      <c r="BS19">
        <v>10482.5</v>
      </c>
      <c r="BT19">
        <v>828.2</v>
      </c>
      <c r="BU19">
        <v>1.02</v>
      </c>
      <c r="BV19">
        <v>300.00000000000011</v>
      </c>
      <c r="BW19">
        <v>38.200000000000003</v>
      </c>
      <c r="BX19">
        <v>886.89310419913772</v>
      </c>
      <c r="BY19">
        <v>0.95257680660098765</v>
      </c>
      <c r="BZ19">
        <v>-61.524234012146138</v>
      </c>
      <c r="CA19">
        <v>0.81777916496722169</v>
      </c>
      <c r="CB19">
        <v>0.9950774000093412</v>
      </c>
      <c r="CC19">
        <v>-1.1381967519466071E-2</v>
      </c>
      <c r="CD19">
        <v>289.99999999999989</v>
      </c>
      <c r="CE19">
        <v>825.38</v>
      </c>
      <c r="CF19">
        <v>755</v>
      </c>
      <c r="CG19">
        <v>10453.5</v>
      </c>
      <c r="CH19">
        <v>828.04</v>
      </c>
      <c r="CI19">
        <v>-2.66</v>
      </c>
      <c r="CW19">
        <f t="shared" si="42"/>
        <v>1799.93</v>
      </c>
      <c r="CX19">
        <f t="shared" si="43"/>
        <v>1513.125600329013</v>
      </c>
      <c r="CY19">
        <f t="shared" si="44"/>
        <v>0.84065802577267612</v>
      </c>
      <c r="CZ19">
        <f t="shared" si="45"/>
        <v>0.19131605154535219</v>
      </c>
      <c r="DA19">
        <v>6</v>
      </c>
      <c r="DB19">
        <v>0.5</v>
      </c>
      <c r="DC19" t="s">
        <v>420</v>
      </c>
      <c r="DD19">
        <v>2</v>
      </c>
      <c r="DE19">
        <v>1693494328.5999999</v>
      </c>
      <c r="DF19">
        <v>168.83199999999999</v>
      </c>
      <c r="DG19">
        <v>199.99600000000001</v>
      </c>
      <c r="DH19">
        <v>28.532499999999999</v>
      </c>
      <c r="DI19">
        <v>22.812200000000001</v>
      </c>
      <c r="DJ19">
        <v>170.39599999999999</v>
      </c>
      <c r="DK19">
        <v>27.9193</v>
      </c>
      <c r="DL19">
        <v>500.10300000000001</v>
      </c>
      <c r="DM19">
        <v>99.590100000000007</v>
      </c>
      <c r="DN19">
        <v>9.9708099999999994E-2</v>
      </c>
      <c r="DO19">
        <v>30.488800000000001</v>
      </c>
      <c r="DP19">
        <v>30.008900000000001</v>
      </c>
      <c r="DQ19">
        <v>999.9</v>
      </c>
      <c r="DR19">
        <v>0</v>
      </c>
      <c r="DS19">
        <v>0</v>
      </c>
      <c r="DT19">
        <v>10037.5</v>
      </c>
      <c r="DU19">
        <v>0</v>
      </c>
      <c r="DV19">
        <v>1556.06</v>
      </c>
      <c r="DW19">
        <v>-31.164300000000001</v>
      </c>
      <c r="DX19">
        <v>173.791</v>
      </c>
      <c r="DY19">
        <v>204.66499999999999</v>
      </c>
      <c r="DZ19">
        <v>5.7202400000000004</v>
      </c>
      <c r="EA19">
        <v>199.99600000000001</v>
      </c>
      <c r="EB19">
        <v>22.812200000000001</v>
      </c>
      <c r="EC19">
        <v>2.8415499999999998</v>
      </c>
      <c r="ED19">
        <v>2.2718699999999998</v>
      </c>
      <c r="EE19">
        <v>23.127500000000001</v>
      </c>
      <c r="EF19">
        <v>19.478400000000001</v>
      </c>
      <c r="EG19">
        <v>1799.93</v>
      </c>
      <c r="EH19">
        <v>0.97800600000000004</v>
      </c>
      <c r="EI19">
        <v>2.1994300000000001E-2</v>
      </c>
      <c r="EJ19">
        <v>0</v>
      </c>
      <c r="EK19">
        <v>685.91899999999998</v>
      </c>
      <c r="EL19">
        <v>4.9995000000000003</v>
      </c>
      <c r="EM19">
        <v>13200.6</v>
      </c>
      <c r="EN19">
        <v>16659.099999999999</v>
      </c>
      <c r="EO19">
        <v>44.561999999999998</v>
      </c>
      <c r="EP19">
        <v>45.936999999999998</v>
      </c>
      <c r="EQ19">
        <v>45.436999999999998</v>
      </c>
      <c r="ER19">
        <v>44.811999999999998</v>
      </c>
      <c r="ES19">
        <v>46.061999999999998</v>
      </c>
      <c r="ET19">
        <v>1755.45</v>
      </c>
      <c r="EU19">
        <v>39.479999999999997</v>
      </c>
      <c r="EV19">
        <v>0</v>
      </c>
      <c r="EW19">
        <v>181.79999995231631</v>
      </c>
      <c r="EX19">
        <v>0</v>
      </c>
      <c r="EY19">
        <v>686.03275999999994</v>
      </c>
      <c r="EZ19">
        <v>-0.69207693074336596</v>
      </c>
      <c r="FA19">
        <v>0.86153833638264032</v>
      </c>
      <c r="FB19">
        <v>13194.16</v>
      </c>
      <c r="FC19">
        <v>15</v>
      </c>
      <c r="FD19">
        <v>1693494264.0999999</v>
      </c>
      <c r="FE19" t="s">
        <v>435</v>
      </c>
      <c r="FF19">
        <v>1693494244.5999999</v>
      </c>
      <c r="FG19">
        <v>1693494264.0999999</v>
      </c>
      <c r="FH19">
        <v>4</v>
      </c>
      <c r="FI19">
        <v>0.24</v>
      </c>
      <c r="FJ19">
        <v>-4.2999999999999997E-2</v>
      </c>
      <c r="FK19">
        <v>-1.627</v>
      </c>
      <c r="FL19">
        <v>0.38700000000000001</v>
      </c>
      <c r="FM19">
        <v>200</v>
      </c>
      <c r="FN19">
        <v>23</v>
      </c>
      <c r="FO19">
        <v>0.13</v>
      </c>
      <c r="FP19">
        <v>0.05</v>
      </c>
      <c r="FQ19">
        <v>25.075752235364849</v>
      </c>
      <c r="FR19">
        <v>0.27140874925729602</v>
      </c>
      <c r="FS19">
        <v>0.1092755314958325</v>
      </c>
      <c r="FT19">
        <v>1</v>
      </c>
      <c r="FU19">
        <v>0.35662463840854008</v>
      </c>
      <c r="FV19">
        <v>-4.5920613349472027E-2</v>
      </c>
      <c r="FW19">
        <v>3.9768673885660607E-3</v>
      </c>
      <c r="FX19">
        <v>1</v>
      </c>
      <c r="FY19">
        <v>2</v>
      </c>
      <c r="FZ19">
        <v>2</v>
      </c>
      <c r="GA19" t="s">
        <v>422</v>
      </c>
      <c r="GB19">
        <v>2.9758599999999999</v>
      </c>
      <c r="GC19">
        <v>2.8117399999999999</v>
      </c>
      <c r="GD19">
        <v>4.8166199999999999E-2</v>
      </c>
      <c r="GE19">
        <v>5.49954E-2</v>
      </c>
      <c r="GF19">
        <v>0.136184</v>
      </c>
      <c r="GG19">
        <v>0.11659899999999999</v>
      </c>
      <c r="GH19">
        <v>28266.400000000001</v>
      </c>
      <c r="GI19">
        <v>26046.2</v>
      </c>
      <c r="GJ19">
        <v>26669.3</v>
      </c>
      <c r="GK19">
        <v>25975.3</v>
      </c>
      <c r="GL19">
        <v>31309.7</v>
      </c>
      <c r="GM19">
        <v>32316.5</v>
      </c>
      <c r="GN19">
        <v>37797.4</v>
      </c>
      <c r="GO19">
        <v>38435.4</v>
      </c>
      <c r="GP19">
        <v>2.0583999999999998</v>
      </c>
      <c r="GQ19">
        <v>2.1069</v>
      </c>
      <c r="GR19">
        <v>0.10202799999999999</v>
      </c>
      <c r="GS19">
        <v>0</v>
      </c>
      <c r="GT19">
        <v>28.346299999999999</v>
      </c>
      <c r="GU19">
        <v>999.9</v>
      </c>
      <c r="GV19">
        <v>54.7</v>
      </c>
      <c r="GW19">
        <v>34.200000000000003</v>
      </c>
      <c r="GX19">
        <v>29.674399999999999</v>
      </c>
      <c r="GY19">
        <v>61.039200000000001</v>
      </c>
      <c r="GZ19">
        <v>15.0761</v>
      </c>
      <c r="HA19">
        <v>1</v>
      </c>
      <c r="HB19">
        <v>-0.176118</v>
      </c>
      <c r="HC19">
        <v>-1.2251099999999999</v>
      </c>
      <c r="HD19">
        <v>20.249600000000001</v>
      </c>
      <c r="HE19">
        <v>5.2095000000000002</v>
      </c>
      <c r="HF19">
        <v>11.9261</v>
      </c>
      <c r="HG19">
        <v>4.9889999999999999</v>
      </c>
      <c r="HH19">
        <v>3.2919999999999998</v>
      </c>
      <c r="HI19">
        <v>9999</v>
      </c>
      <c r="HJ19">
        <v>9999</v>
      </c>
      <c r="HK19">
        <v>9999</v>
      </c>
      <c r="HL19">
        <v>999.9</v>
      </c>
      <c r="HM19">
        <v>1.8707100000000001</v>
      </c>
      <c r="HN19">
        <v>1.87683</v>
      </c>
      <c r="HO19">
        <v>1.8746799999999999</v>
      </c>
      <c r="HP19">
        <v>1.87286</v>
      </c>
      <c r="HQ19">
        <v>1.8733299999999999</v>
      </c>
      <c r="HR19">
        <v>1.87077</v>
      </c>
      <c r="HS19">
        <v>1.8766799999999999</v>
      </c>
      <c r="HT19">
        <v>1.8757600000000001</v>
      </c>
      <c r="HU19">
        <v>5</v>
      </c>
      <c r="HV19">
        <v>0</v>
      </c>
      <c r="HW19">
        <v>0</v>
      </c>
      <c r="HX19">
        <v>0</v>
      </c>
      <c r="HY19" t="s">
        <v>423</v>
      </c>
      <c r="HZ19" t="s">
        <v>424</v>
      </c>
      <c r="IA19" t="s">
        <v>425</v>
      </c>
      <c r="IB19" t="s">
        <v>425</v>
      </c>
      <c r="IC19" t="s">
        <v>425</v>
      </c>
      <c r="ID19" t="s">
        <v>425</v>
      </c>
      <c r="IE19">
        <v>0</v>
      </c>
      <c r="IF19">
        <v>100</v>
      </c>
      <c r="IG19">
        <v>100</v>
      </c>
      <c r="IH19">
        <v>-1.5640000000000001</v>
      </c>
      <c r="II19">
        <v>0.61319999999999997</v>
      </c>
      <c r="IJ19">
        <v>-1.1608727987784531</v>
      </c>
      <c r="IK19">
        <v>-2.677719669153116E-3</v>
      </c>
      <c r="IL19">
        <v>1.9353498771248068E-6</v>
      </c>
      <c r="IM19">
        <v>-6.1862177325538213E-10</v>
      </c>
      <c r="IN19">
        <v>2.8382708663171048E-3</v>
      </c>
      <c r="IO19">
        <v>-1.5299015507423901E-2</v>
      </c>
      <c r="IP19">
        <v>1.742162107778985E-3</v>
      </c>
      <c r="IQ19">
        <v>-1.472690239905804E-5</v>
      </c>
      <c r="IR19">
        <v>3</v>
      </c>
      <c r="IS19">
        <v>2255</v>
      </c>
      <c r="IT19">
        <v>2</v>
      </c>
      <c r="IU19">
        <v>41</v>
      </c>
      <c r="IV19">
        <v>1.4</v>
      </c>
      <c r="IW19">
        <v>1.1000000000000001</v>
      </c>
      <c r="IX19">
        <v>0.56152299999999999</v>
      </c>
      <c r="IY19">
        <v>2.49878</v>
      </c>
      <c r="IZ19">
        <v>1.5991200000000001</v>
      </c>
      <c r="JA19">
        <v>2.2802699999999998</v>
      </c>
      <c r="JB19">
        <v>1.5502899999999999</v>
      </c>
      <c r="JC19">
        <v>2.3962400000000001</v>
      </c>
      <c r="JD19">
        <v>41.3001</v>
      </c>
      <c r="JE19">
        <v>23.842300000000002</v>
      </c>
      <c r="JF19">
        <v>18</v>
      </c>
      <c r="JG19">
        <v>508.05799999999999</v>
      </c>
      <c r="JH19">
        <v>508.06200000000001</v>
      </c>
      <c r="JI19">
        <v>29.0215</v>
      </c>
      <c r="JJ19">
        <v>25.364000000000001</v>
      </c>
      <c r="JK19">
        <v>30</v>
      </c>
      <c r="JL19">
        <v>25.189800000000002</v>
      </c>
      <c r="JM19">
        <v>25.125</v>
      </c>
      <c r="JN19">
        <v>11.2783</v>
      </c>
      <c r="JO19">
        <v>32.403599999999997</v>
      </c>
      <c r="JP19">
        <v>98.869299999999996</v>
      </c>
      <c r="JQ19">
        <v>29.016999999999999</v>
      </c>
      <c r="JR19">
        <v>200</v>
      </c>
      <c r="JS19">
        <v>22.8308</v>
      </c>
      <c r="JT19">
        <v>99.639499999999998</v>
      </c>
      <c r="JU19">
        <v>99.838700000000003</v>
      </c>
    </row>
    <row r="20" spans="1:281" x14ac:dyDescent="0.25">
      <c r="A20">
        <v>4</v>
      </c>
      <c r="B20">
        <v>1693494469.5999999</v>
      </c>
      <c r="C20">
        <v>490</v>
      </c>
      <c r="D20" t="s">
        <v>436</v>
      </c>
      <c r="E20" t="s">
        <v>437</v>
      </c>
      <c r="F20" t="s">
        <v>413</v>
      </c>
      <c r="G20" t="s">
        <v>414</v>
      </c>
      <c r="H20" t="s">
        <v>415</v>
      </c>
      <c r="I20" t="s">
        <v>416</v>
      </c>
      <c r="J20">
        <v>1693494469.5999999</v>
      </c>
      <c r="K20">
        <f t="shared" si="0"/>
        <v>5.351770138831478E-3</v>
      </c>
      <c r="L20">
        <f t="shared" si="1"/>
        <v>5.351770138831478</v>
      </c>
      <c r="M20">
        <f t="shared" si="2"/>
        <v>15.867123431734228</v>
      </c>
      <c r="N20">
        <f t="shared" si="3"/>
        <v>100.139</v>
      </c>
      <c r="O20">
        <f t="shared" si="4"/>
        <v>30.680979173618695</v>
      </c>
      <c r="P20">
        <f t="shared" si="5"/>
        <v>3.0585104580651783</v>
      </c>
      <c r="Q20">
        <f t="shared" si="6"/>
        <v>9.9826076940706994</v>
      </c>
      <c r="R20">
        <f t="shared" si="7"/>
        <v>0.39762022966109395</v>
      </c>
      <c r="S20">
        <f t="shared" si="8"/>
        <v>2.9236362973408712</v>
      </c>
      <c r="T20">
        <f t="shared" si="9"/>
        <v>0.36983594720631835</v>
      </c>
      <c r="U20">
        <f t="shared" si="10"/>
        <v>0.23348178464979585</v>
      </c>
      <c r="V20">
        <f t="shared" si="11"/>
        <v>344.36620065834086</v>
      </c>
      <c r="W20">
        <f t="shared" si="12"/>
        <v>31.087849219293496</v>
      </c>
      <c r="X20">
        <f t="shared" si="13"/>
        <v>29.963999999999999</v>
      </c>
      <c r="Y20">
        <f t="shared" si="14"/>
        <v>4.2516479037218291</v>
      </c>
      <c r="Z20">
        <f t="shared" si="15"/>
        <v>65.434847083997568</v>
      </c>
      <c r="AA20">
        <f t="shared" si="16"/>
        <v>2.86056304300689</v>
      </c>
      <c r="AB20">
        <f t="shared" si="17"/>
        <v>4.3716202764787315</v>
      </c>
      <c r="AC20">
        <f t="shared" si="18"/>
        <v>1.3910848607149391</v>
      </c>
      <c r="AD20">
        <f t="shared" si="19"/>
        <v>-236.01306312246817</v>
      </c>
      <c r="AE20">
        <f t="shared" si="20"/>
        <v>76.47677764619975</v>
      </c>
      <c r="AF20">
        <f t="shared" si="21"/>
        <v>5.8281896173061911</v>
      </c>
      <c r="AG20">
        <f t="shared" si="22"/>
        <v>190.65810479937863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52098.517029986731</v>
      </c>
      <c r="AM20" t="s">
        <v>417</v>
      </c>
      <c r="AN20">
        <v>10238.9</v>
      </c>
      <c r="AO20">
        <v>302.21199999999999</v>
      </c>
      <c r="AP20">
        <v>4052.3</v>
      </c>
      <c r="AQ20">
        <f t="shared" si="26"/>
        <v>0.92542210596451402</v>
      </c>
      <c r="AR20">
        <v>-0.32343011824092421</v>
      </c>
      <c r="AS20" t="s">
        <v>438</v>
      </c>
      <c r="AT20">
        <v>10478.9</v>
      </c>
      <c r="AU20">
        <v>691.29303846153857</v>
      </c>
      <c r="AV20">
        <v>827.33360367757359</v>
      </c>
      <c r="AW20">
        <f t="shared" si="27"/>
        <v>0.16443253919739542</v>
      </c>
      <c r="AX20">
        <v>0.5</v>
      </c>
      <c r="AY20">
        <f t="shared" si="28"/>
        <v>1513.1682003291703</v>
      </c>
      <c r="AZ20">
        <f t="shared" si="29"/>
        <v>15.867123431734228</v>
      </c>
      <c r="BA20">
        <f t="shared" si="30"/>
        <v>124.40704470643929</v>
      </c>
      <c r="BB20">
        <f t="shared" si="31"/>
        <v>1.0699771212779324E-2</v>
      </c>
      <c r="BC20">
        <f t="shared" si="32"/>
        <v>3.8980241851499273</v>
      </c>
      <c r="BD20">
        <f t="shared" si="33"/>
        <v>234.14464505023682</v>
      </c>
      <c r="BE20" t="s">
        <v>439</v>
      </c>
      <c r="BF20">
        <v>542.04</v>
      </c>
      <c r="BG20">
        <f t="shared" si="34"/>
        <v>542.04</v>
      </c>
      <c r="BH20">
        <f t="shared" si="35"/>
        <v>0.34483502472209204</v>
      </c>
      <c r="BI20">
        <f t="shared" si="36"/>
        <v>0.47684407733789269</v>
      </c>
      <c r="BJ20">
        <f t="shared" si="37"/>
        <v>0.91872579134378263</v>
      </c>
      <c r="BK20">
        <f t="shared" si="38"/>
        <v>0.25906487995029126</v>
      </c>
      <c r="BL20">
        <f t="shared" si="39"/>
        <v>0.85997085836983733</v>
      </c>
      <c r="BM20">
        <f t="shared" si="40"/>
        <v>0.37389146035008386</v>
      </c>
      <c r="BN20">
        <f t="shared" si="41"/>
        <v>0.6261085396499162</v>
      </c>
      <c r="BO20">
        <v>5694</v>
      </c>
      <c r="BP20">
        <v>290.00000000000011</v>
      </c>
      <c r="BQ20">
        <v>792.06</v>
      </c>
      <c r="BR20">
        <v>235</v>
      </c>
      <c r="BS20">
        <v>10478.9</v>
      </c>
      <c r="BT20">
        <v>791.04</v>
      </c>
      <c r="BU20">
        <v>1.02</v>
      </c>
      <c r="BV20">
        <v>300.00000000000011</v>
      </c>
      <c r="BW20">
        <v>38.200000000000003</v>
      </c>
      <c r="BX20">
        <v>827.33360367757359</v>
      </c>
      <c r="BY20">
        <v>0.74052001650461352</v>
      </c>
      <c r="BZ20">
        <v>-38.033987000585753</v>
      </c>
      <c r="CA20">
        <v>0.63559862586930826</v>
      </c>
      <c r="CB20">
        <v>0.99224114820373166</v>
      </c>
      <c r="CC20">
        <v>-1.137965272525028E-2</v>
      </c>
      <c r="CD20">
        <v>289.99999999999989</v>
      </c>
      <c r="CE20">
        <v>789.7</v>
      </c>
      <c r="CF20">
        <v>645</v>
      </c>
      <c r="CG20">
        <v>10460.799999999999</v>
      </c>
      <c r="CH20">
        <v>790.98</v>
      </c>
      <c r="CI20">
        <v>-1.28</v>
      </c>
      <c r="CW20">
        <f t="shared" si="42"/>
        <v>1799.98</v>
      </c>
      <c r="CX20">
        <f t="shared" si="43"/>
        <v>1513.1682003291703</v>
      </c>
      <c r="CY20">
        <f t="shared" si="44"/>
        <v>0.8406583408311038</v>
      </c>
      <c r="CZ20">
        <f t="shared" si="45"/>
        <v>0.19131668166220783</v>
      </c>
      <c r="DA20">
        <v>6</v>
      </c>
      <c r="DB20">
        <v>0.5</v>
      </c>
      <c r="DC20" t="s">
        <v>420</v>
      </c>
      <c r="DD20">
        <v>2</v>
      </c>
      <c r="DE20">
        <v>1693494469.5999999</v>
      </c>
      <c r="DF20">
        <v>100.139</v>
      </c>
      <c r="DG20">
        <v>119.82599999999999</v>
      </c>
      <c r="DH20">
        <v>28.6953</v>
      </c>
      <c r="DI20">
        <v>22.456399999999999</v>
      </c>
      <c r="DJ20">
        <v>101.57899999999999</v>
      </c>
      <c r="DK20">
        <v>28.086400000000001</v>
      </c>
      <c r="DL20">
        <v>499.91500000000002</v>
      </c>
      <c r="DM20">
        <v>99.5886</v>
      </c>
      <c r="DN20">
        <v>9.8911299999999994E-2</v>
      </c>
      <c r="DO20">
        <v>30.449200000000001</v>
      </c>
      <c r="DP20">
        <v>29.963999999999999</v>
      </c>
      <c r="DQ20">
        <v>999.9</v>
      </c>
      <c r="DR20">
        <v>0</v>
      </c>
      <c r="DS20">
        <v>0</v>
      </c>
      <c r="DT20">
        <v>10007.5</v>
      </c>
      <c r="DU20">
        <v>0</v>
      </c>
      <c r="DV20">
        <v>1584.89</v>
      </c>
      <c r="DW20">
        <v>-19.686299999999999</v>
      </c>
      <c r="DX20">
        <v>103.098</v>
      </c>
      <c r="DY20">
        <v>122.578</v>
      </c>
      <c r="DZ20">
        <v>6.23895</v>
      </c>
      <c r="EA20">
        <v>119.82599999999999</v>
      </c>
      <c r="EB20">
        <v>22.456399999999999</v>
      </c>
      <c r="EC20">
        <v>2.8577300000000001</v>
      </c>
      <c r="ED20">
        <v>2.2364000000000002</v>
      </c>
      <c r="EE20">
        <v>23.221399999999999</v>
      </c>
      <c r="EF20">
        <v>19.2255</v>
      </c>
      <c r="EG20">
        <v>1799.98</v>
      </c>
      <c r="EH20">
        <v>0.97799199999999997</v>
      </c>
      <c r="EI20">
        <v>2.2008199999999999E-2</v>
      </c>
      <c r="EJ20">
        <v>0</v>
      </c>
      <c r="EK20">
        <v>690.79899999999998</v>
      </c>
      <c r="EL20">
        <v>4.9995000000000003</v>
      </c>
      <c r="EM20">
        <v>13326</v>
      </c>
      <c r="EN20">
        <v>16659.599999999999</v>
      </c>
      <c r="EO20">
        <v>44.875</v>
      </c>
      <c r="EP20">
        <v>46.311999999999998</v>
      </c>
      <c r="EQ20">
        <v>45.686999999999998</v>
      </c>
      <c r="ER20">
        <v>45.186999999999998</v>
      </c>
      <c r="ES20">
        <v>46.375</v>
      </c>
      <c r="ET20">
        <v>1755.48</v>
      </c>
      <c r="EU20">
        <v>39.5</v>
      </c>
      <c r="EV20">
        <v>0</v>
      </c>
      <c r="EW20">
        <v>139.20000004768369</v>
      </c>
      <c r="EX20">
        <v>0</v>
      </c>
      <c r="EY20">
        <v>691.29303846153857</v>
      </c>
      <c r="EZ20">
        <v>-0.3451965757376082</v>
      </c>
      <c r="FA20">
        <v>7.5179487198612911</v>
      </c>
      <c r="FB20">
        <v>13330.134615384621</v>
      </c>
      <c r="FC20">
        <v>15</v>
      </c>
      <c r="FD20">
        <v>1693494432.0999999</v>
      </c>
      <c r="FE20" t="s">
        <v>440</v>
      </c>
      <c r="FF20">
        <v>1693494422.0999999</v>
      </c>
      <c r="FG20">
        <v>1693494432.0999999</v>
      </c>
      <c r="FH20">
        <v>5</v>
      </c>
      <c r="FI20">
        <v>-2.5999999999999999E-2</v>
      </c>
      <c r="FJ20">
        <v>-1.2E-2</v>
      </c>
      <c r="FK20">
        <v>-1.4850000000000001</v>
      </c>
      <c r="FL20">
        <v>0.35799999999999998</v>
      </c>
      <c r="FM20">
        <v>120</v>
      </c>
      <c r="FN20">
        <v>23</v>
      </c>
      <c r="FO20">
        <v>0.22</v>
      </c>
      <c r="FP20">
        <v>0.03</v>
      </c>
      <c r="FQ20">
        <v>15.898501518504251</v>
      </c>
      <c r="FR20">
        <v>0.65478662993548375</v>
      </c>
      <c r="FS20">
        <v>6.4043374754100393E-2</v>
      </c>
      <c r="FT20">
        <v>1</v>
      </c>
      <c r="FU20">
        <v>0.41466336264848441</v>
      </c>
      <c r="FV20">
        <v>-2.4962750649561199E-2</v>
      </c>
      <c r="FW20">
        <v>5.4763722363373032E-3</v>
      </c>
      <c r="FX20">
        <v>1</v>
      </c>
      <c r="FY20">
        <v>2</v>
      </c>
      <c r="FZ20">
        <v>2</v>
      </c>
      <c r="GA20" t="s">
        <v>422</v>
      </c>
      <c r="GB20">
        <v>2.97525</v>
      </c>
      <c r="GC20">
        <v>2.81067</v>
      </c>
      <c r="GD20">
        <v>2.9650699999999999E-2</v>
      </c>
      <c r="GE20">
        <v>3.4316300000000001E-2</v>
      </c>
      <c r="GF20">
        <v>0.13671800000000001</v>
      </c>
      <c r="GG20">
        <v>0.11529</v>
      </c>
      <c r="GH20">
        <v>28814</v>
      </c>
      <c r="GI20">
        <v>26610.7</v>
      </c>
      <c r="GJ20">
        <v>26667.7</v>
      </c>
      <c r="GK20">
        <v>25970.6</v>
      </c>
      <c r="GL20">
        <v>31287.1</v>
      </c>
      <c r="GM20">
        <v>32358</v>
      </c>
      <c r="GN20">
        <v>37794.699999999997</v>
      </c>
      <c r="GO20">
        <v>38429.300000000003</v>
      </c>
      <c r="GP20">
        <v>2.0569999999999999</v>
      </c>
      <c r="GQ20">
        <v>2.1017000000000001</v>
      </c>
      <c r="GR20">
        <v>8.98838E-2</v>
      </c>
      <c r="GS20">
        <v>0</v>
      </c>
      <c r="GT20">
        <v>28.499400000000001</v>
      </c>
      <c r="GU20">
        <v>999.9</v>
      </c>
      <c r="GV20">
        <v>54.3</v>
      </c>
      <c r="GW20">
        <v>34.4</v>
      </c>
      <c r="GX20">
        <v>29.7882</v>
      </c>
      <c r="GY20">
        <v>61.3992</v>
      </c>
      <c r="GZ20">
        <v>15.272399999999999</v>
      </c>
      <c r="HA20">
        <v>1</v>
      </c>
      <c r="HB20">
        <v>-0.16547799999999999</v>
      </c>
      <c r="HC20">
        <v>-2.1714899999999999</v>
      </c>
      <c r="HD20">
        <v>20.236499999999999</v>
      </c>
      <c r="HE20">
        <v>5.2053099999999999</v>
      </c>
      <c r="HF20">
        <v>11.9261</v>
      </c>
      <c r="HG20">
        <v>4.9884000000000004</v>
      </c>
      <c r="HH20">
        <v>3.2909000000000002</v>
      </c>
      <c r="HI20">
        <v>9999</v>
      </c>
      <c r="HJ20">
        <v>9999</v>
      </c>
      <c r="HK20">
        <v>9999</v>
      </c>
      <c r="HL20">
        <v>999.9</v>
      </c>
      <c r="HM20">
        <v>1.87073</v>
      </c>
      <c r="HN20">
        <v>1.87683</v>
      </c>
      <c r="HO20">
        <v>1.87469</v>
      </c>
      <c r="HP20">
        <v>1.87286</v>
      </c>
      <c r="HQ20">
        <v>1.8733500000000001</v>
      </c>
      <c r="HR20">
        <v>1.87076</v>
      </c>
      <c r="HS20">
        <v>1.8766799999999999</v>
      </c>
      <c r="HT20">
        <v>1.8757600000000001</v>
      </c>
      <c r="HU20">
        <v>5</v>
      </c>
      <c r="HV20">
        <v>0</v>
      </c>
      <c r="HW20">
        <v>0</v>
      </c>
      <c r="HX20">
        <v>0</v>
      </c>
      <c r="HY20" t="s">
        <v>423</v>
      </c>
      <c r="HZ20" t="s">
        <v>424</v>
      </c>
      <c r="IA20" t="s">
        <v>425</v>
      </c>
      <c r="IB20" t="s">
        <v>425</v>
      </c>
      <c r="IC20" t="s">
        <v>425</v>
      </c>
      <c r="ID20" t="s">
        <v>425</v>
      </c>
      <c r="IE20">
        <v>0</v>
      </c>
      <c r="IF20">
        <v>100</v>
      </c>
      <c r="IG20">
        <v>100</v>
      </c>
      <c r="IH20">
        <v>-1.44</v>
      </c>
      <c r="II20">
        <v>0.6089</v>
      </c>
      <c r="IJ20">
        <v>-1.187180298860673</v>
      </c>
      <c r="IK20">
        <v>-2.677719669153116E-3</v>
      </c>
      <c r="IL20">
        <v>1.9353498771248068E-6</v>
      </c>
      <c r="IM20">
        <v>-6.1862177325538213E-10</v>
      </c>
      <c r="IN20">
        <v>-9.3704667194600133E-3</v>
      </c>
      <c r="IO20">
        <v>-1.5299015507423901E-2</v>
      </c>
      <c r="IP20">
        <v>1.742162107778985E-3</v>
      </c>
      <c r="IQ20">
        <v>-1.472690239905804E-5</v>
      </c>
      <c r="IR20">
        <v>3</v>
      </c>
      <c r="IS20">
        <v>2255</v>
      </c>
      <c r="IT20">
        <v>2</v>
      </c>
      <c r="IU20">
        <v>41</v>
      </c>
      <c r="IV20">
        <v>0.8</v>
      </c>
      <c r="IW20">
        <v>0.6</v>
      </c>
      <c r="IX20">
        <v>0.397949</v>
      </c>
      <c r="IY20">
        <v>2.52441</v>
      </c>
      <c r="IZ20">
        <v>1.6003400000000001</v>
      </c>
      <c r="JA20">
        <v>2.2802699999999998</v>
      </c>
      <c r="JB20">
        <v>1.5502899999999999</v>
      </c>
      <c r="JC20">
        <v>2.2814899999999998</v>
      </c>
      <c r="JD20">
        <v>41.560499999999998</v>
      </c>
      <c r="JE20">
        <v>23.8598</v>
      </c>
      <c r="JF20">
        <v>18</v>
      </c>
      <c r="JG20">
        <v>508.14</v>
      </c>
      <c r="JH20">
        <v>505.791</v>
      </c>
      <c r="JI20">
        <v>28.407900000000001</v>
      </c>
      <c r="JJ20">
        <v>25.490400000000001</v>
      </c>
      <c r="JK20">
        <v>30.0017</v>
      </c>
      <c r="JL20">
        <v>25.293500000000002</v>
      </c>
      <c r="JM20">
        <v>25.240500000000001</v>
      </c>
      <c r="JN20">
        <v>7.9985900000000001</v>
      </c>
      <c r="JO20">
        <v>32.973999999999997</v>
      </c>
      <c r="JP20">
        <v>98.8369</v>
      </c>
      <c r="JQ20">
        <v>28.577100000000002</v>
      </c>
      <c r="JR20">
        <v>120</v>
      </c>
      <c r="JS20">
        <v>22.5549</v>
      </c>
      <c r="JT20">
        <v>99.632800000000003</v>
      </c>
      <c r="JU20">
        <v>99.822000000000003</v>
      </c>
    </row>
    <row r="21" spans="1:281" x14ac:dyDescent="0.25">
      <c r="A21">
        <v>5</v>
      </c>
      <c r="B21">
        <v>1693494601.5999999</v>
      </c>
      <c r="C21">
        <v>622</v>
      </c>
      <c r="D21" t="s">
        <v>441</v>
      </c>
      <c r="E21" t="s">
        <v>442</v>
      </c>
      <c r="F21" t="s">
        <v>413</v>
      </c>
      <c r="G21" t="s">
        <v>414</v>
      </c>
      <c r="H21" t="s">
        <v>415</v>
      </c>
      <c r="I21" t="s">
        <v>416</v>
      </c>
      <c r="J21">
        <v>1693494601.5999999</v>
      </c>
      <c r="K21">
        <f t="shared" si="0"/>
        <v>5.8737911180434341E-3</v>
      </c>
      <c r="L21">
        <f t="shared" si="1"/>
        <v>5.8737911180434343</v>
      </c>
      <c r="M21">
        <f t="shared" si="2"/>
        <v>9.8666518359288862</v>
      </c>
      <c r="N21">
        <f t="shared" si="3"/>
        <v>57.765300000000003</v>
      </c>
      <c r="O21">
        <f t="shared" si="4"/>
        <v>18.279856287793859</v>
      </c>
      <c r="P21">
        <f t="shared" si="5"/>
        <v>1.8223373908245892</v>
      </c>
      <c r="Q21">
        <f t="shared" si="6"/>
        <v>5.758681273248901</v>
      </c>
      <c r="R21">
        <f t="shared" si="7"/>
        <v>0.43777705642875087</v>
      </c>
      <c r="S21">
        <f t="shared" si="8"/>
        <v>2.9284823455387587</v>
      </c>
      <c r="T21">
        <f t="shared" si="9"/>
        <v>0.40440093316681303</v>
      </c>
      <c r="U21">
        <f t="shared" si="10"/>
        <v>0.25553691611667262</v>
      </c>
      <c r="V21">
        <f t="shared" si="11"/>
        <v>344.39850065827869</v>
      </c>
      <c r="W21">
        <f t="shared" si="12"/>
        <v>31.041244537477532</v>
      </c>
      <c r="X21">
        <f t="shared" si="13"/>
        <v>29.989599999999999</v>
      </c>
      <c r="Y21">
        <f t="shared" si="14"/>
        <v>4.2579053806818408</v>
      </c>
      <c r="Z21">
        <f t="shared" si="15"/>
        <v>65.124087742366569</v>
      </c>
      <c r="AA21">
        <f t="shared" si="16"/>
        <v>2.8616305281649996</v>
      </c>
      <c r="AB21">
        <f t="shared" si="17"/>
        <v>4.3941199445061274</v>
      </c>
      <c r="AC21">
        <f t="shared" si="18"/>
        <v>1.3962748525168411</v>
      </c>
      <c r="AD21">
        <f t="shared" si="19"/>
        <v>-259.03418830571542</v>
      </c>
      <c r="AE21">
        <f t="shared" si="20"/>
        <v>86.723670878828557</v>
      </c>
      <c r="AF21">
        <f t="shared" si="21"/>
        <v>6.6019199985324191</v>
      </c>
      <c r="AG21">
        <f t="shared" si="22"/>
        <v>178.68990322992425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52221.360503556141</v>
      </c>
      <c r="AM21" t="s">
        <v>417</v>
      </c>
      <c r="AN21">
        <v>10238.9</v>
      </c>
      <c r="AO21">
        <v>302.21199999999999</v>
      </c>
      <c r="AP21">
        <v>4052.3</v>
      </c>
      <c r="AQ21">
        <f t="shared" si="26"/>
        <v>0.92542210596451402</v>
      </c>
      <c r="AR21">
        <v>-0.32343011824092421</v>
      </c>
      <c r="AS21" t="s">
        <v>443</v>
      </c>
      <c r="AT21">
        <v>10481</v>
      </c>
      <c r="AU21">
        <v>696.33659999999986</v>
      </c>
      <c r="AV21">
        <v>785.3428152936757</v>
      </c>
      <c r="AW21">
        <f t="shared" si="27"/>
        <v>0.11333421985963199</v>
      </c>
      <c r="AX21">
        <v>0.5</v>
      </c>
      <c r="AY21">
        <f t="shared" si="28"/>
        <v>1513.3110003291392</v>
      </c>
      <c r="AZ21">
        <f t="shared" si="29"/>
        <v>9.8666518359288862</v>
      </c>
      <c r="BA21">
        <f t="shared" si="30"/>
        <v>85.754960813651138</v>
      </c>
      <c r="BB21">
        <f t="shared" si="31"/>
        <v>6.7336337024930812E-3</v>
      </c>
      <c r="BC21">
        <f t="shared" si="32"/>
        <v>4.15991223334062</v>
      </c>
      <c r="BD21">
        <f t="shared" si="33"/>
        <v>230.65436720064102</v>
      </c>
      <c r="BE21" t="s">
        <v>444</v>
      </c>
      <c r="BF21">
        <v>549.80999999999995</v>
      </c>
      <c r="BG21">
        <f t="shared" si="34"/>
        <v>549.80999999999995</v>
      </c>
      <c r="BH21">
        <f t="shared" si="35"/>
        <v>0.29991082964908677</v>
      </c>
      <c r="BI21">
        <f t="shared" si="36"/>
        <v>0.37789305572006093</v>
      </c>
      <c r="BJ21">
        <f t="shared" si="37"/>
        <v>0.93275275153000414</v>
      </c>
      <c r="BK21">
        <f t="shared" si="38"/>
        <v>0.18422798231069684</v>
      </c>
      <c r="BL21">
        <f t="shared" si="39"/>
        <v>0.87116813917602043</v>
      </c>
      <c r="BM21">
        <f t="shared" si="40"/>
        <v>0.29837492523794773</v>
      </c>
      <c r="BN21">
        <f t="shared" si="41"/>
        <v>0.70162507476205227</v>
      </c>
      <c r="BO21">
        <v>5696</v>
      </c>
      <c r="BP21">
        <v>290.00000000000011</v>
      </c>
      <c r="BQ21">
        <v>763.44</v>
      </c>
      <c r="BR21">
        <v>215</v>
      </c>
      <c r="BS21">
        <v>10481</v>
      </c>
      <c r="BT21">
        <v>762.89</v>
      </c>
      <c r="BU21">
        <v>0.55000000000000004</v>
      </c>
      <c r="BV21">
        <v>300.00000000000011</v>
      </c>
      <c r="BW21">
        <v>38.200000000000003</v>
      </c>
      <c r="BX21">
        <v>785.3428152936757</v>
      </c>
      <c r="BY21">
        <v>0.84108258225743993</v>
      </c>
      <c r="BZ21">
        <v>-23.530016827354419</v>
      </c>
      <c r="CA21">
        <v>0.72182623287935077</v>
      </c>
      <c r="CB21">
        <v>0.97432659709375746</v>
      </c>
      <c r="CC21">
        <v>-1.137823781979978E-2</v>
      </c>
      <c r="CD21">
        <v>289.99999999999989</v>
      </c>
      <c r="CE21">
        <v>760.98</v>
      </c>
      <c r="CF21">
        <v>705</v>
      </c>
      <c r="CG21">
        <v>10453.9</v>
      </c>
      <c r="CH21">
        <v>762.83</v>
      </c>
      <c r="CI21">
        <v>-1.85</v>
      </c>
      <c r="CW21">
        <f t="shared" si="42"/>
        <v>1800.15</v>
      </c>
      <c r="CX21">
        <f t="shared" si="43"/>
        <v>1513.3110003291392</v>
      </c>
      <c r="CY21">
        <f t="shared" si="44"/>
        <v>0.8406582786596335</v>
      </c>
      <c r="CZ21">
        <f t="shared" si="45"/>
        <v>0.19131655731926711</v>
      </c>
      <c r="DA21">
        <v>6</v>
      </c>
      <c r="DB21">
        <v>0.5</v>
      </c>
      <c r="DC21" t="s">
        <v>420</v>
      </c>
      <c r="DD21">
        <v>2</v>
      </c>
      <c r="DE21">
        <v>1693494601.5999999</v>
      </c>
      <c r="DF21">
        <v>57.765300000000003</v>
      </c>
      <c r="DG21">
        <v>70.000600000000006</v>
      </c>
      <c r="DH21">
        <v>28.704999999999998</v>
      </c>
      <c r="DI21">
        <v>21.865400000000001</v>
      </c>
      <c r="DJ21">
        <v>59.237099999999998</v>
      </c>
      <c r="DK21">
        <v>28.117000000000001</v>
      </c>
      <c r="DL21">
        <v>500.48399999999998</v>
      </c>
      <c r="DM21">
        <v>99.590599999999995</v>
      </c>
      <c r="DN21">
        <v>0.100413</v>
      </c>
      <c r="DO21">
        <v>30.538900000000002</v>
      </c>
      <c r="DP21">
        <v>29.989599999999999</v>
      </c>
      <c r="DQ21">
        <v>999.9</v>
      </c>
      <c r="DR21">
        <v>0</v>
      </c>
      <c r="DS21">
        <v>0</v>
      </c>
      <c r="DT21">
        <v>10035</v>
      </c>
      <c r="DU21">
        <v>0</v>
      </c>
      <c r="DV21">
        <v>1641.58</v>
      </c>
      <c r="DW21">
        <v>-12.235300000000001</v>
      </c>
      <c r="DX21">
        <v>59.4724</v>
      </c>
      <c r="DY21">
        <v>71.565399999999997</v>
      </c>
      <c r="DZ21">
        <v>6.8396400000000002</v>
      </c>
      <c r="EA21">
        <v>70.000600000000006</v>
      </c>
      <c r="EB21">
        <v>21.865400000000001</v>
      </c>
      <c r="EC21">
        <v>2.8587500000000001</v>
      </c>
      <c r="ED21">
        <v>2.1775899999999999</v>
      </c>
      <c r="EE21">
        <v>23.2273</v>
      </c>
      <c r="EF21">
        <v>18.798400000000001</v>
      </c>
      <c r="EG21">
        <v>1800.15</v>
      </c>
      <c r="EH21">
        <v>0.97799499999999995</v>
      </c>
      <c r="EI21">
        <v>2.2004699999999999E-2</v>
      </c>
      <c r="EJ21">
        <v>0</v>
      </c>
      <c r="EK21">
        <v>696.53499999999997</v>
      </c>
      <c r="EL21">
        <v>4.9995000000000003</v>
      </c>
      <c r="EM21">
        <v>13454.3</v>
      </c>
      <c r="EN21">
        <v>16661.099999999999</v>
      </c>
      <c r="EO21">
        <v>45.061999999999998</v>
      </c>
      <c r="EP21">
        <v>46.5</v>
      </c>
      <c r="EQ21">
        <v>45.936999999999998</v>
      </c>
      <c r="ER21">
        <v>45.375</v>
      </c>
      <c r="ES21">
        <v>46.561999999999998</v>
      </c>
      <c r="ET21">
        <v>1755.65</v>
      </c>
      <c r="EU21">
        <v>39.5</v>
      </c>
      <c r="EV21">
        <v>0</v>
      </c>
      <c r="EW21">
        <v>130.20000004768369</v>
      </c>
      <c r="EX21">
        <v>0</v>
      </c>
      <c r="EY21">
        <v>696.33659999999986</v>
      </c>
      <c r="EZ21">
        <v>-1.105307677879793</v>
      </c>
      <c r="FA21">
        <v>6.6538461413637338</v>
      </c>
      <c r="FB21">
        <v>13449.328</v>
      </c>
      <c r="FC21">
        <v>15</v>
      </c>
      <c r="FD21">
        <v>1693494568.0999999</v>
      </c>
      <c r="FE21" t="s">
        <v>445</v>
      </c>
      <c r="FF21">
        <v>1693494549.0999999</v>
      </c>
      <c r="FG21">
        <v>1693494568.0999999</v>
      </c>
      <c r="FH21">
        <v>6</v>
      </c>
      <c r="FI21">
        <v>-0.13300000000000001</v>
      </c>
      <c r="FJ21">
        <v>-2.1999999999999999E-2</v>
      </c>
      <c r="FK21">
        <v>-1.502</v>
      </c>
      <c r="FL21">
        <v>0.312</v>
      </c>
      <c r="FM21">
        <v>70</v>
      </c>
      <c r="FN21">
        <v>22</v>
      </c>
      <c r="FO21">
        <v>0.39</v>
      </c>
      <c r="FP21">
        <v>0.02</v>
      </c>
      <c r="FQ21">
        <v>9.8435810745378056</v>
      </c>
      <c r="FR21">
        <v>0.25860803498478607</v>
      </c>
      <c r="FS21">
        <v>6.0217323733240208E-2</v>
      </c>
      <c r="FT21">
        <v>1</v>
      </c>
      <c r="FU21">
        <v>0.44996195062228628</v>
      </c>
      <c r="FV21">
        <v>3.0116495077430409E-2</v>
      </c>
      <c r="FW21">
        <v>8.0783039022667268E-3</v>
      </c>
      <c r="FX21">
        <v>1</v>
      </c>
      <c r="FY21">
        <v>2</v>
      </c>
      <c r="FZ21">
        <v>2</v>
      </c>
      <c r="GA21" t="s">
        <v>422</v>
      </c>
      <c r="GB21">
        <v>2.9766300000000001</v>
      </c>
      <c r="GC21">
        <v>2.8124199999999999</v>
      </c>
      <c r="GD21">
        <v>1.7512300000000001E-2</v>
      </c>
      <c r="GE21">
        <v>2.0393000000000001E-2</v>
      </c>
      <c r="GF21">
        <v>0.13678899999999999</v>
      </c>
      <c r="GG21">
        <v>0.113126</v>
      </c>
      <c r="GH21">
        <v>29174.9</v>
      </c>
      <c r="GI21">
        <v>26992.799999999999</v>
      </c>
      <c r="GJ21">
        <v>26668.400000000001</v>
      </c>
      <c r="GK21">
        <v>25969.7</v>
      </c>
      <c r="GL21">
        <v>31284.6</v>
      </c>
      <c r="GM21">
        <v>32434.5</v>
      </c>
      <c r="GN21">
        <v>37794.699999999997</v>
      </c>
      <c r="GO21">
        <v>38427.1</v>
      </c>
      <c r="GP21">
        <v>2.0558999999999998</v>
      </c>
      <c r="GQ21">
        <v>2.0960999999999999</v>
      </c>
      <c r="GR21">
        <v>9.7736699999999996E-2</v>
      </c>
      <c r="GS21">
        <v>0</v>
      </c>
      <c r="GT21">
        <v>28.396999999999998</v>
      </c>
      <c r="GU21">
        <v>999.9</v>
      </c>
      <c r="GV21">
        <v>53.9</v>
      </c>
      <c r="GW21">
        <v>34.6</v>
      </c>
      <c r="GX21">
        <v>29.8994</v>
      </c>
      <c r="GY21">
        <v>60.769300000000001</v>
      </c>
      <c r="GZ21">
        <v>15.3165</v>
      </c>
      <c r="HA21">
        <v>1</v>
      </c>
      <c r="HB21">
        <v>-0.15926799999999999</v>
      </c>
      <c r="HC21">
        <v>-0.88525100000000001</v>
      </c>
      <c r="HD21">
        <v>20.252099999999999</v>
      </c>
      <c r="HE21">
        <v>5.2100999999999997</v>
      </c>
      <c r="HF21">
        <v>11.9261</v>
      </c>
      <c r="HG21">
        <v>4.9892000000000003</v>
      </c>
      <c r="HH21">
        <v>3.2919</v>
      </c>
      <c r="HI21">
        <v>9999</v>
      </c>
      <c r="HJ21">
        <v>9999</v>
      </c>
      <c r="HK21">
        <v>9999</v>
      </c>
      <c r="HL21">
        <v>999.9</v>
      </c>
      <c r="HM21">
        <v>1.87073</v>
      </c>
      <c r="HN21">
        <v>1.87683</v>
      </c>
      <c r="HO21">
        <v>1.8746</v>
      </c>
      <c r="HP21">
        <v>1.87286</v>
      </c>
      <c r="HQ21">
        <v>1.8733500000000001</v>
      </c>
      <c r="HR21">
        <v>1.87076</v>
      </c>
      <c r="HS21">
        <v>1.8766700000000001</v>
      </c>
      <c r="HT21">
        <v>1.8757600000000001</v>
      </c>
      <c r="HU21">
        <v>5</v>
      </c>
      <c r="HV21">
        <v>0</v>
      </c>
      <c r="HW21">
        <v>0</v>
      </c>
      <c r="HX21">
        <v>0</v>
      </c>
      <c r="HY21" t="s">
        <v>423</v>
      </c>
      <c r="HZ21" t="s">
        <v>424</v>
      </c>
      <c r="IA21" t="s">
        <v>425</v>
      </c>
      <c r="IB21" t="s">
        <v>425</v>
      </c>
      <c r="IC21" t="s">
        <v>425</v>
      </c>
      <c r="ID21" t="s">
        <v>425</v>
      </c>
      <c r="IE21">
        <v>0</v>
      </c>
      <c r="IF21">
        <v>100</v>
      </c>
      <c r="IG21">
        <v>100</v>
      </c>
      <c r="IH21">
        <v>-1.472</v>
      </c>
      <c r="II21">
        <v>0.58799999999999997</v>
      </c>
      <c r="IJ21">
        <v>-1.3199197391885129</v>
      </c>
      <c r="IK21">
        <v>-2.677719669153116E-3</v>
      </c>
      <c r="IL21">
        <v>1.9353498771248068E-6</v>
      </c>
      <c r="IM21">
        <v>-6.1862177325538213E-10</v>
      </c>
      <c r="IN21">
        <v>-3.1693091616998632E-2</v>
      </c>
      <c r="IO21">
        <v>-1.5299015507423901E-2</v>
      </c>
      <c r="IP21">
        <v>1.742162107778985E-3</v>
      </c>
      <c r="IQ21">
        <v>-1.472690239905804E-5</v>
      </c>
      <c r="IR21">
        <v>3</v>
      </c>
      <c r="IS21">
        <v>2255</v>
      </c>
      <c r="IT21">
        <v>2</v>
      </c>
      <c r="IU21">
        <v>41</v>
      </c>
      <c r="IV21">
        <v>0.9</v>
      </c>
      <c r="IW21">
        <v>0.6</v>
      </c>
      <c r="IX21">
        <v>0.29418899999999998</v>
      </c>
      <c r="IY21">
        <v>2.5366200000000001</v>
      </c>
      <c r="IZ21">
        <v>1.5991200000000001</v>
      </c>
      <c r="JA21">
        <v>2.2790499999999998</v>
      </c>
      <c r="JB21">
        <v>1.5502899999999999</v>
      </c>
      <c r="JC21">
        <v>2.3535200000000001</v>
      </c>
      <c r="JD21">
        <v>41.586599999999997</v>
      </c>
      <c r="JE21">
        <v>23.886099999999999</v>
      </c>
      <c r="JF21">
        <v>18</v>
      </c>
      <c r="JG21">
        <v>508.452</v>
      </c>
      <c r="JH21">
        <v>503.13499999999999</v>
      </c>
      <c r="JI21">
        <v>28.990600000000001</v>
      </c>
      <c r="JJ21">
        <v>25.599900000000002</v>
      </c>
      <c r="JK21">
        <v>30.000299999999999</v>
      </c>
      <c r="JL21">
        <v>25.401800000000001</v>
      </c>
      <c r="JM21">
        <v>25.342199999999998</v>
      </c>
      <c r="JN21">
        <v>5.9424900000000003</v>
      </c>
      <c r="JO21">
        <v>34.280799999999999</v>
      </c>
      <c r="JP21">
        <v>98.788600000000002</v>
      </c>
      <c r="JQ21">
        <v>29.006900000000002</v>
      </c>
      <c r="JR21">
        <v>70</v>
      </c>
      <c r="JS21">
        <v>22.080400000000001</v>
      </c>
      <c r="JT21">
        <v>99.633899999999997</v>
      </c>
      <c r="JU21">
        <v>99.817099999999996</v>
      </c>
    </row>
    <row r="22" spans="1:281" x14ac:dyDescent="0.25">
      <c r="A22">
        <v>6</v>
      </c>
      <c r="B22">
        <v>1693494715.0999999</v>
      </c>
      <c r="C22">
        <v>735.5</v>
      </c>
      <c r="D22" t="s">
        <v>446</v>
      </c>
      <c r="E22" t="s">
        <v>447</v>
      </c>
      <c r="F22" t="s">
        <v>413</v>
      </c>
      <c r="G22" t="s">
        <v>414</v>
      </c>
      <c r="H22" t="s">
        <v>415</v>
      </c>
      <c r="I22" t="s">
        <v>416</v>
      </c>
      <c r="J22">
        <v>1693494715.0999999</v>
      </c>
      <c r="K22">
        <f t="shared" si="0"/>
        <v>5.9864170282796347E-3</v>
      </c>
      <c r="L22">
        <f t="shared" si="1"/>
        <v>5.986417028279635</v>
      </c>
      <c r="M22">
        <f t="shared" si="2"/>
        <v>4.4871617114780298</v>
      </c>
      <c r="N22">
        <f t="shared" si="3"/>
        <v>24.465299999999999</v>
      </c>
      <c r="O22">
        <f t="shared" si="4"/>
        <v>6.9515708307987252</v>
      </c>
      <c r="P22">
        <f t="shared" si="5"/>
        <v>0.69301301425947182</v>
      </c>
      <c r="Q22">
        <f t="shared" si="6"/>
        <v>2.4389841822001799</v>
      </c>
      <c r="R22">
        <f t="shared" si="7"/>
        <v>0.44881403009176701</v>
      </c>
      <c r="S22">
        <f t="shared" si="8"/>
        <v>2.9337379612824988</v>
      </c>
      <c r="T22">
        <f t="shared" si="9"/>
        <v>0.41386333489595817</v>
      </c>
      <c r="U22">
        <f t="shared" si="10"/>
        <v>0.2615775836475</v>
      </c>
      <c r="V22">
        <f t="shared" si="11"/>
        <v>344.34150065838838</v>
      </c>
      <c r="W22">
        <f t="shared" si="12"/>
        <v>31.040084259508042</v>
      </c>
      <c r="X22">
        <f t="shared" si="13"/>
        <v>29.984300000000001</v>
      </c>
      <c r="Y22">
        <f t="shared" si="14"/>
        <v>4.2566092289852859</v>
      </c>
      <c r="Z22">
        <f t="shared" si="15"/>
        <v>65.117229712341867</v>
      </c>
      <c r="AA22">
        <f t="shared" si="16"/>
        <v>2.8661127164358806</v>
      </c>
      <c r="AB22">
        <f t="shared" si="17"/>
        <v>4.4014659854189979</v>
      </c>
      <c r="AC22">
        <f t="shared" si="18"/>
        <v>1.3904965125494053</v>
      </c>
      <c r="AD22">
        <f t="shared" si="19"/>
        <v>-264.00099094713187</v>
      </c>
      <c r="AE22">
        <f t="shared" si="20"/>
        <v>92.335956949504933</v>
      </c>
      <c r="AF22">
        <f t="shared" si="21"/>
        <v>7.0173984014424571</v>
      </c>
      <c r="AG22">
        <f t="shared" si="22"/>
        <v>179.69386506220388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52366.388780679154</v>
      </c>
      <c r="AM22" t="s">
        <v>417</v>
      </c>
      <c r="AN22">
        <v>10238.9</v>
      </c>
      <c r="AO22">
        <v>302.21199999999999</v>
      </c>
      <c r="AP22">
        <v>4052.3</v>
      </c>
      <c r="AQ22">
        <f t="shared" si="26"/>
        <v>0.92542210596451402</v>
      </c>
      <c r="AR22">
        <v>-0.32343011824092421</v>
      </c>
      <c r="AS22" t="s">
        <v>448</v>
      </c>
      <c r="AT22">
        <v>10484.1</v>
      </c>
      <c r="AU22">
        <v>702.88873076923073</v>
      </c>
      <c r="AV22">
        <v>761.3996529765966</v>
      </c>
      <c r="AW22">
        <f t="shared" si="27"/>
        <v>7.6846531225256975E-2</v>
      </c>
      <c r="AX22">
        <v>0.5</v>
      </c>
      <c r="AY22">
        <f t="shared" si="28"/>
        <v>1513.0590003291941</v>
      </c>
      <c r="AZ22">
        <f t="shared" si="29"/>
        <v>4.4871617114780298</v>
      </c>
      <c r="BA22">
        <f t="shared" si="30"/>
        <v>58.136667857226762</v>
      </c>
      <c r="BB22">
        <f t="shared" si="31"/>
        <v>3.1793815235706736E-3</v>
      </c>
      <c r="BC22">
        <f t="shared" si="32"/>
        <v>4.3221721131051751</v>
      </c>
      <c r="BD22">
        <f t="shared" si="33"/>
        <v>228.54360014819395</v>
      </c>
      <c r="BE22" t="s">
        <v>449</v>
      </c>
      <c r="BF22">
        <v>565.84</v>
      </c>
      <c r="BG22">
        <f t="shared" si="34"/>
        <v>565.84</v>
      </c>
      <c r="BH22">
        <f t="shared" si="35"/>
        <v>0.25684231955199954</v>
      </c>
      <c r="BI22">
        <f t="shared" si="36"/>
        <v>0.29919731047164472</v>
      </c>
      <c r="BJ22">
        <f t="shared" si="37"/>
        <v>0.94390882070162963</v>
      </c>
      <c r="BK22">
        <f t="shared" si="38"/>
        <v>0.12742268183406052</v>
      </c>
      <c r="BL22">
        <f t="shared" si="39"/>
        <v>0.8775528326331018</v>
      </c>
      <c r="BM22">
        <f t="shared" si="40"/>
        <v>0.24086003765062292</v>
      </c>
      <c r="BN22">
        <f t="shared" si="41"/>
        <v>0.75913996234937708</v>
      </c>
      <c r="BO22">
        <v>5698</v>
      </c>
      <c r="BP22">
        <v>290.00000000000011</v>
      </c>
      <c r="BQ22">
        <v>746.97</v>
      </c>
      <c r="BR22">
        <v>195</v>
      </c>
      <c r="BS22">
        <v>10484.1</v>
      </c>
      <c r="BT22">
        <v>745.76</v>
      </c>
      <c r="BU22">
        <v>1.21</v>
      </c>
      <c r="BV22">
        <v>300.00000000000011</v>
      </c>
      <c r="BW22">
        <v>38.200000000000003</v>
      </c>
      <c r="BX22">
        <v>761.3996529765966</v>
      </c>
      <c r="BY22">
        <v>0.84933655229483473</v>
      </c>
      <c r="BZ22">
        <v>-16.399475464236559</v>
      </c>
      <c r="CA22">
        <v>0.72888250966226886</v>
      </c>
      <c r="CB22">
        <v>0.9475877719206427</v>
      </c>
      <c r="CC22">
        <v>-1.1377920133481651E-2</v>
      </c>
      <c r="CD22">
        <v>289.99999999999989</v>
      </c>
      <c r="CE22">
        <v>743.67</v>
      </c>
      <c r="CF22">
        <v>695</v>
      </c>
      <c r="CG22">
        <v>10454.299999999999</v>
      </c>
      <c r="CH22">
        <v>745.71</v>
      </c>
      <c r="CI22">
        <v>-2.04</v>
      </c>
      <c r="CW22">
        <f t="shared" si="42"/>
        <v>1799.85</v>
      </c>
      <c r="CX22">
        <f t="shared" si="43"/>
        <v>1513.0590003291941</v>
      </c>
      <c r="CY22">
        <f t="shared" si="44"/>
        <v>0.84065838838191742</v>
      </c>
      <c r="CZ22">
        <f t="shared" si="45"/>
        <v>0.19131677676383499</v>
      </c>
      <c r="DA22">
        <v>6</v>
      </c>
      <c r="DB22">
        <v>0.5</v>
      </c>
      <c r="DC22" t="s">
        <v>420</v>
      </c>
      <c r="DD22">
        <v>2</v>
      </c>
      <c r="DE22">
        <v>1693494715.0999999</v>
      </c>
      <c r="DF22">
        <v>24.465299999999999</v>
      </c>
      <c r="DG22">
        <v>30.0228</v>
      </c>
      <c r="DH22">
        <v>28.7498</v>
      </c>
      <c r="DI22">
        <v>21.776199999999999</v>
      </c>
      <c r="DJ22">
        <v>25.933199999999999</v>
      </c>
      <c r="DK22">
        <v>28.159400000000002</v>
      </c>
      <c r="DL22">
        <v>500.25599999999997</v>
      </c>
      <c r="DM22">
        <v>99.5916</v>
      </c>
      <c r="DN22">
        <v>9.9970600000000007E-2</v>
      </c>
      <c r="DO22">
        <v>30.568100000000001</v>
      </c>
      <c r="DP22">
        <v>29.984300000000001</v>
      </c>
      <c r="DQ22">
        <v>999.9</v>
      </c>
      <c r="DR22">
        <v>0</v>
      </c>
      <c r="DS22">
        <v>0</v>
      </c>
      <c r="DT22">
        <v>10065</v>
      </c>
      <c r="DU22">
        <v>0</v>
      </c>
      <c r="DV22">
        <v>1618.71</v>
      </c>
      <c r="DW22">
        <v>-5.5574700000000004</v>
      </c>
      <c r="DX22">
        <v>25.189499999999999</v>
      </c>
      <c r="DY22">
        <v>30.691199999999998</v>
      </c>
      <c r="DZ22">
        <v>6.9735699999999996</v>
      </c>
      <c r="EA22">
        <v>30.0228</v>
      </c>
      <c r="EB22">
        <v>21.776199999999999</v>
      </c>
      <c r="EC22">
        <v>2.8632399999999998</v>
      </c>
      <c r="ED22">
        <v>2.16873</v>
      </c>
      <c r="EE22">
        <v>23.253299999999999</v>
      </c>
      <c r="EF22">
        <v>18.7332</v>
      </c>
      <c r="EG22">
        <v>1799.85</v>
      </c>
      <c r="EH22">
        <v>0.97799199999999997</v>
      </c>
      <c r="EI22">
        <v>2.2008199999999999E-2</v>
      </c>
      <c r="EJ22">
        <v>0</v>
      </c>
      <c r="EK22">
        <v>702.81399999999996</v>
      </c>
      <c r="EL22">
        <v>4.9995000000000003</v>
      </c>
      <c r="EM22">
        <v>13546.5</v>
      </c>
      <c r="EN22">
        <v>16658.400000000001</v>
      </c>
      <c r="EO22">
        <v>45.125</v>
      </c>
      <c r="EP22">
        <v>46.561999999999998</v>
      </c>
      <c r="EQ22">
        <v>46</v>
      </c>
      <c r="ER22">
        <v>45.436999999999998</v>
      </c>
      <c r="ES22">
        <v>46.625</v>
      </c>
      <c r="ET22">
        <v>1755.35</v>
      </c>
      <c r="EU22">
        <v>39.5</v>
      </c>
      <c r="EV22">
        <v>0</v>
      </c>
      <c r="EW22">
        <v>111.6000001430511</v>
      </c>
      <c r="EX22">
        <v>0</v>
      </c>
      <c r="EY22">
        <v>702.88873076923073</v>
      </c>
      <c r="EZ22">
        <v>-0.26758975443606892</v>
      </c>
      <c r="FA22">
        <v>-12.953846061396669</v>
      </c>
      <c r="FB22">
        <v>13550.44230769231</v>
      </c>
      <c r="FC22">
        <v>15</v>
      </c>
      <c r="FD22">
        <v>1693494682.0999999</v>
      </c>
      <c r="FE22" t="s">
        <v>450</v>
      </c>
      <c r="FF22">
        <v>1693494670.0999999</v>
      </c>
      <c r="FG22">
        <v>1693494682.0999999</v>
      </c>
      <c r="FH22">
        <v>7</v>
      </c>
      <c r="FI22">
        <v>-0.08</v>
      </c>
      <c r="FJ22">
        <v>0</v>
      </c>
      <c r="FK22">
        <v>-1.482</v>
      </c>
      <c r="FL22">
        <v>0.308</v>
      </c>
      <c r="FM22">
        <v>30</v>
      </c>
      <c r="FN22">
        <v>22</v>
      </c>
      <c r="FO22">
        <v>0.75</v>
      </c>
      <c r="FP22">
        <v>0.03</v>
      </c>
      <c r="FQ22">
        <v>4.4157376498357994</v>
      </c>
      <c r="FR22">
        <v>-0.15045497527095439</v>
      </c>
      <c r="FS22">
        <v>7.1367578515168367E-2</v>
      </c>
      <c r="FT22">
        <v>1</v>
      </c>
      <c r="FU22">
        <v>0.46132399503765292</v>
      </c>
      <c r="FV22">
        <v>3.4138320718460862E-4</v>
      </c>
      <c r="FW22">
        <v>8.2356098391321575E-3</v>
      </c>
      <c r="FX22">
        <v>1</v>
      </c>
      <c r="FY22">
        <v>2</v>
      </c>
      <c r="FZ22">
        <v>2</v>
      </c>
      <c r="GA22" t="s">
        <v>422</v>
      </c>
      <c r="GB22">
        <v>2.9759899999999999</v>
      </c>
      <c r="GC22">
        <v>2.81223</v>
      </c>
      <c r="GD22">
        <v>7.70165E-3</v>
      </c>
      <c r="GE22">
        <v>8.8021999999999996E-3</v>
      </c>
      <c r="GF22">
        <v>0.13691400000000001</v>
      </c>
      <c r="GG22">
        <v>0.112786</v>
      </c>
      <c r="GH22">
        <v>29467.9</v>
      </c>
      <c r="GI22">
        <v>27311.7</v>
      </c>
      <c r="GJ22">
        <v>26670.1</v>
      </c>
      <c r="GK22">
        <v>25969.5</v>
      </c>
      <c r="GL22">
        <v>31281.4</v>
      </c>
      <c r="GM22">
        <v>32445.4</v>
      </c>
      <c r="GN22">
        <v>37797</v>
      </c>
      <c r="GO22">
        <v>38426.1</v>
      </c>
      <c r="GP22">
        <v>2.0545</v>
      </c>
      <c r="GQ22">
        <v>2.0933000000000002</v>
      </c>
      <c r="GR22">
        <v>9.8735100000000006E-2</v>
      </c>
      <c r="GS22">
        <v>0</v>
      </c>
      <c r="GT22">
        <v>28.375399999999999</v>
      </c>
      <c r="GU22">
        <v>999.9</v>
      </c>
      <c r="GV22">
        <v>53.7</v>
      </c>
      <c r="GW22">
        <v>34.700000000000003</v>
      </c>
      <c r="GX22">
        <v>29.953700000000001</v>
      </c>
      <c r="GY22">
        <v>60.859299999999998</v>
      </c>
      <c r="GZ22">
        <v>14.8438</v>
      </c>
      <c r="HA22">
        <v>1</v>
      </c>
      <c r="HB22">
        <v>-0.155833</v>
      </c>
      <c r="HC22">
        <v>-1.15926</v>
      </c>
      <c r="HD22">
        <v>20.249500000000001</v>
      </c>
      <c r="HE22">
        <v>5.2077099999999996</v>
      </c>
      <c r="HF22">
        <v>11.9261</v>
      </c>
      <c r="HG22">
        <v>4.9885999999999999</v>
      </c>
      <c r="HH22">
        <v>3.2911999999999999</v>
      </c>
      <c r="HI22">
        <v>9999</v>
      </c>
      <c r="HJ22">
        <v>9999</v>
      </c>
      <c r="HK22">
        <v>9999</v>
      </c>
      <c r="HL22">
        <v>999.9</v>
      </c>
      <c r="HM22">
        <v>1.8707100000000001</v>
      </c>
      <c r="HN22">
        <v>1.8768499999999999</v>
      </c>
      <c r="HO22">
        <v>1.8746400000000001</v>
      </c>
      <c r="HP22">
        <v>1.87286</v>
      </c>
      <c r="HQ22">
        <v>1.87338</v>
      </c>
      <c r="HR22">
        <v>1.87079</v>
      </c>
      <c r="HS22">
        <v>1.8766799999999999</v>
      </c>
      <c r="HT22">
        <v>1.8757600000000001</v>
      </c>
      <c r="HU22">
        <v>5</v>
      </c>
      <c r="HV22">
        <v>0</v>
      </c>
      <c r="HW22">
        <v>0</v>
      </c>
      <c r="HX22">
        <v>0</v>
      </c>
      <c r="HY22" t="s">
        <v>423</v>
      </c>
      <c r="HZ22" t="s">
        <v>424</v>
      </c>
      <c r="IA22" t="s">
        <v>425</v>
      </c>
      <c r="IB22" t="s">
        <v>425</v>
      </c>
      <c r="IC22" t="s">
        <v>425</v>
      </c>
      <c r="ID22" t="s">
        <v>425</v>
      </c>
      <c r="IE22">
        <v>0</v>
      </c>
      <c r="IF22">
        <v>100</v>
      </c>
      <c r="IG22">
        <v>100</v>
      </c>
      <c r="IH22">
        <v>-1.468</v>
      </c>
      <c r="II22">
        <v>0.59040000000000004</v>
      </c>
      <c r="IJ22">
        <v>-1.399740943399659</v>
      </c>
      <c r="IK22">
        <v>-2.677719669153116E-3</v>
      </c>
      <c r="IL22">
        <v>1.9353498771248068E-6</v>
      </c>
      <c r="IM22">
        <v>-6.1862177325538213E-10</v>
      </c>
      <c r="IN22">
        <v>-3.1409323835192397E-2</v>
      </c>
      <c r="IO22">
        <v>-1.5299015507423901E-2</v>
      </c>
      <c r="IP22">
        <v>1.742162107778985E-3</v>
      </c>
      <c r="IQ22">
        <v>-1.472690239905804E-5</v>
      </c>
      <c r="IR22">
        <v>3</v>
      </c>
      <c r="IS22">
        <v>2255</v>
      </c>
      <c r="IT22">
        <v>2</v>
      </c>
      <c r="IU22">
        <v>41</v>
      </c>
      <c r="IV22">
        <v>0.8</v>
      </c>
      <c r="IW22">
        <v>0.6</v>
      </c>
      <c r="IX22">
        <v>0.21362300000000001</v>
      </c>
      <c r="IY22">
        <v>2.5610400000000002</v>
      </c>
      <c r="IZ22">
        <v>1.6003400000000001</v>
      </c>
      <c r="JA22">
        <v>2.2790499999999998</v>
      </c>
      <c r="JB22">
        <v>1.5502899999999999</v>
      </c>
      <c r="JC22">
        <v>2.33765</v>
      </c>
      <c r="JD22">
        <v>41.612699999999997</v>
      </c>
      <c r="JE22">
        <v>23.868600000000001</v>
      </c>
      <c r="JF22">
        <v>18</v>
      </c>
      <c r="JG22">
        <v>508.14499999999998</v>
      </c>
      <c r="JH22">
        <v>501.90899999999999</v>
      </c>
      <c r="JI22">
        <v>29.148800000000001</v>
      </c>
      <c r="JJ22">
        <v>25.6431</v>
      </c>
      <c r="JK22">
        <v>30.0002</v>
      </c>
      <c r="JL22">
        <v>25.463699999999999</v>
      </c>
      <c r="JM22">
        <v>25.403700000000001</v>
      </c>
      <c r="JN22">
        <v>4.3195499999999996</v>
      </c>
      <c r="JO22">
        <v>34.9221</v>
      </c>
      <c r="JP22">
        <v>98.872799999999998</v>
      </c>
      <c r="JQ22">
        <v>29.1678</v>
      </c>
      <c r="JR22">
        <v>30</v>
      </c>
      <c r="JS22">
        <v>21.946400000000001</v>
      </c>
      <c r="JT22">
        <v>99.64</v>
      </c>
      <c r="JU22">
        <v>99.815299999999993</v>
      </c>
    </row>
    <row r="23" spans="1:281" x14ac:dyDescent="0.25">
      <c r="A23">
        <v>7</v>
      </c>
      <c r="B23">
        <v>1693494833.0999999</v>
      </c>
      <c r="C23">
        <v>853.5</v>
      </c>
      <c r="D23" t="s">
        <v>451</v>
      </c>
      <c r="E23" t="s">
        <v>452</v>
      </c>
      <c r="F23" t="s">
        <v>413</v>
      </c>
      <c r="G23" t="s">
        <v>414</v>
      </c>
      <c r="H23" t="s">
        <v>415</v>
      </c>
      <c r="I23" t="s">
        <v>416</v>
      </c>
      <c r="J23">
        <v>1693494833.0999999</v>
      </c>
      <c r="K23">
        <f t="shared" si="0"/>
        <v>6.052270548608683E-3</v>
      </c>
      <c r="L23">
        <f t="shared" si="1"/>
        <v>6.052270548608683</v>
      </c>
      <c r="M23">
        <f t="shared" si="2"/>
        <v>1.5996976115782235</v>
      </c>
      <c r="N23">
        <f t="shared" si="3"/>
        <v>8.1156400000000009</v>
      </c>
      <c r="O23">
        <f t="shared" si="4"/>
        <v>1.9903969196975688</v>
      </c>
      <c r="P23">
        <f t="shared" si="5"/>
        <v>0.19843003936444428</v>
      </c>
      <c r="Q23">
        <f t="shared" si="6"/>
        <v>0.80907820381492013</v>
      </c>
      <c r="R23">
        <f t="shared" si="7"/>
        <v>0.45727799426431859</v>
      </c>
      <c r="S23">
        <f t="shared" si="8"/>
        <v>2.9311572921017421</v>
      </c>
      <c r="T23">
        <f t="shared" si="9"/>
        <v>0.42102442117957511</v>
      </c>
      <c r="U23">
        <f t="shared" si="10"/>
        <v>0.26615757530129691</v>
      </c>
      <c r="V23">
        <f t="shared" si="11"/>
        <v>344.35100065837014</v>
      </c>
      <c r="W23">
        <f t="shared" si="12"/>
        <v>31.076534077769466</v>
      </c>
      <c r="X23">
        <f t="shared" si="13"/>
        <v>30.016300000000001</v>
      </c>
      <c r="Y23">
        <f t="shared" si="14"/>
        <v>4.2644402830727453</v>
      </c>
      <c r="Z23">
        <f t="shared" si="15"/>
        <v>65.295578450796796</v>
      </c>
      <c r="AA23">
        <f t="shared" si="16"/>
        <v>2.8827032384667999</v>
      </c>
      <c r="AB23">
        <f t="shared" si="17"/>
        <v>4.4148521337306912</v>
      </c>
      <c r="AC23">
        <f t="shared" si="18"/>
        <v>1.3817370446059454</v>
      </c>
      <c r="AD23">
        <f t="shared" si="19"/>
        <v>-266.90513119364294</v>
      </c>
      <c r="AE23">
        <f t="shared" si="20"/>
        <v>95.589051463539349</v>
      </c>
      <c r="AF23">
        <f t="shared" si="21"/>
        <v>7.274086148069423</v>
      </c>
      <c r="AG23">
        <f t="shared" si="22"/>
        <v>180.309007076336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52283.598788878386</v>
      </c>
      <c r="AM23" t="s">
        <v>417</v>
      </c>
      <c r="AN23">
        <v>10238.9</v>
      </c>
      <c r="AO23">
        <v>302.21199999999999</v>
      </c>
      <c r="AP23">
        <v>4052.3</v>
      </c>
      <c r="AQ23">
        <f t="shared" si="26"/>
        <v>0.92542210596451402</v>
      </c>
      <c r="AR23">
        <v>-0.32343011824092421</v>
      </c>
      <c r="AS23" t="s">
        <v>453</v>
      </c>
      <c r="AT23">
        <v>10500.7</v>
      </c>
      <c r="AU23">
        <v>706.21480769230766</v>
      </c>
      <c r="AV23">
        <v>753.6259928673071</v>
      </c>
      <c r="AW23">
        <f t="shared" si="27"/>
        <v>6.291076160286746E-2</v>
      </c>
      <c r="AX23">
        <v>0.5</v>
      </c>
      <c r="AY23">
        <f t="shared" si="28"/>
        <v>1513.1010003291851</v>
      </c>
      <c r="AZ23">
        <f t="shared" si="29"/>
        <v>1.5996976115782235</v>
      </c>
      <c r="BA23">
        <f t="shared" si="30"/>
        <v>47.595168156384823</v>
      </c>
      <c r="BB23">
        <f t="shared" si="31"/>
        <v>1.2709843753991033E-3</v>
      </c>
      <c r="BC23">
        <f t="shared" si="32"/>
        <v>4.3770703748981479</v>
      </c>
      <c r="BD23">
        <f t="shared" si="33"/>
        <v>227.83817237055089</v>
      </c>
      <c r="BE23" t="s">
        <v>454</v>
      </c>
      <c r="BF23">
        <v>576.11</v>
      </c>
      <c r="BG23">
        <f t="shared" si="34"/>
        <v>576.11</v>
      </c>
      <c r="BH23">
        <f t="shared" si="35"/>
        <v>0.2355491909082319</v>
      </c>
      <c r="BI23">
        <f t="shared" si="36"/>
        <v>0.2670812043985199</v>
      </c>
      <c r="BJ23">
        <f t="shared" si="37"/>
        <v>0.9489337484811512</v>
      </c>
      <c r="BK23">
        <f t="shared" si="38"/>
        <v>0.10502816909562646</v>
      </c>
      <c r="BL23">
        <f t="shared" si="39"/>
        <v>0.87962576001754966</v>
      </c>
      <c r="BM23">
        <f t="shared" si="40"/>
        <v>0.21787726763875853</v>
      </c>
      <c r="BN23">
        <f t="shared" si="41"/>
        <v>0.78212273236124141</v>
      </c>
      <c r="BO23">
        <v>5700</v>
      </c>
      <c r="BP23">
        <v>290.00000000000011</v>
      </c>
      <c r="BQ23">
        <v>740.58</v>
      </c>
      <c r="BR23">
        <v>115</v>
      </c>
      <c r="BS23">
        <v>10500.7</v>
      </c>
      <c r="BT23">
        <v>739.71</v>
      </c>
      <c r="BU23">
        <v>0.87</v>
      </c>
      <c r="BV23">
        <v>300.00000000000011</v>
      </c>
      <c r="BW23">
        <v>38.200000000000003</v>
      </c>
      <c r="BX23">
        <v>753.6259928673071</v>
      </c>
      <c r="BY23">
        <v>0.8304991267134163</v>
      </c>
      <c r="BZ23">
        <v>-14.613911253523</v>
      </c>
      <c r="CA23">
        <v>0.71272224927260663</v>
      </c>
      <c r="CB23">
        <v>0.93755974267179765</v>
      </c>
      <c r="CC23">
        <v>-1.137793748609566E-2</v>
      </c>
      <c r="CD23">
        <v>289.99999999999989</v>
      </c>
      <c r="CE23">
        <v>738.38</v>
      </c>
      <c r="CF23">
        <v>675</v>
      </c>
      <c r="CG23">
        <v>10456.299999999999</v>
      </c>
      <c r="CH23">
        <v>739.65</v>
      </c>
      <c r="CI23">
        <v>-1.27</v>
      </c>
      <c r="CW23">
        <f t="shared" si="42"/>
        <v>1799.9</v>
      </c>
      <c r="CX23">
        <f t="shared" si="43"/>
        <v>1513.1010003291851</v>
      </c>
      <c r="CY23">
        <f t="shared" si="44"/>
        <v>0.84065837009233013</v>
      </c>
      <c r="CZ23">
        <f t="shared" si="45"/>
        <v>0.19131674018466033</v>
      </c>
      <c r="DA23">
        <v>6</v>
      </c>
      <c r="DB23">
        <v>0.5</v>
      </c>
      <c r="DC23" t="s">
        <v>420</v>
      </c>
      <c r="DD23">
        <v>2</v>
      </c>
      <c r="DE23">
        <v>1693494833.0999999</v>
      </c>
      <c r="DF23">
        <v>8.1156400000000009</v>
      </c>
      <c r="DG23">
        <v>10.093400000000001</v>
      </c>
      <c r="DH23">
        <v>28.915600000000001</v>
      </c>
      <c r="DI23">
        <v>21.8658</v>
      </c>
      <c r="DJ23">
        <v>9.5956899999999994</v>
      </c>
      <c r="DK23">
        <v>28.322600000000001</v>
      </c>
      <c r="DL23">
        <v>500.20699999999999</v>
      </c>
      <c r="DM23">
        <v>99.593699999999998</v>
      </c>
      <c r="DN23">
        <v>0.10000299999999999</v>
      </c>
      <c r="DO23">
        <v>30.621200000000002</v>
      </c>
      <c r="DP23">
        <v>30.016300000000001</v>
      </c>
      <c r="DQ23">
        <v>999.9</v>
      </c>
      <c r="DR23">
        <v>0</v>
      </c>
      <c r="DS23">
        <v>0</v>
      </c>
      <c r="DT23">
        <v>10050</v>
      </c>
      <c r="DU23">
        <v>0</v>
      </c>
      <c r="DV23">
        <v>1639.2</v>
      </c>
      <c r="DW23">
        <v>-1.9777100000000001</v>
      </c>
      <c r="DX23">
        <v>8.3573000000000004</v>
      </c>
      <c r="DY23">
        <v>10.319000000000001</v>
      </c>
      <c r="DZ23">
        <v>7.0498599999999998</v>
      </c>
      <c r="EA23">
        <v>10.093400000000001</v>
      </c>
      <c r="EB23">
        <v>21.8658</v>
      </c>
      <c r="EC23">
        <v>2.87981</v>
      </c>
      <c r="ED23">
        <v>2.1776900000000001</v>
      </c>
      <c r="EE23">
        <v>23.3489</v>
      </c>
      <c r="EF23">
        <v>18.799099999999999</v>
      </c>
      <c r="EG23">
        <v>1799.9</v>
      </c>
      <c r="EH23">
        <v>0.97799199999999997</v>
      </c>
      <c r="EI23">
        <v>2.2008199999999999E-2</v>
      </c>
      <c r="EJ23">
        <v>0</v>
      </c>
      <c r="EK23">
        <v>706.10199999999998</v>
      </c>
      <c r="EL23">
        <v>4.9995000000000003</v>
      </c>
      <c r="EM23">
        <v>13611.6</v>
      </c>
      <c r="EN23">
        <v>16658.8</v>
      </c>
      <c r="EO23">
        <v>45.186999999999998</v>
      </c>
      <c r="EP23">
        <v>46.5</v>
      </c>
      <c r="EQ23">
        <v>46.061999999999998</v>
      </c>
      <c r="ER23">
        <v>45.375</v>
      </c>
      <c r="ES23">
        <v>46.686999999999998</v>
      </c>
      <c r="ET23">
        <v>1755.4</v>
      </c>
      <c r="EU23">
        <v>39.5</v>
      </c>
      <c r="EV23">
        <v>0</v>
      </c>
      <c r="EW23">
        <v>116</v>
      </c>
      <c r="EX23">
        <v>0</v>
      </c>
      <c r="EY23">
        <v>706.21480769230766</v>
      </c>
      <c r="EZ23">
        <v>-0.83729914855244358</v>
      </c>
      <c r="FA23">
        <v>-20.358974283095382</v>
      </c>
      <c r="FB23">
        <v>13613.01923076923</v>
      </c>
      <c r="FC23">
        <v>15</v>
      </c>
      <c r="FD23">
        <v>1693494799.5999999</v>
      </c>
      <c r="FE23" t="s">
        <v>455</v>
      </c>
      <c r="FF23">
        <v>1693494781.5999999</v>
      </c>
      <c r="FG23">
        <v>1693494799.5999999</v>
      </c>
      <c r="FH23">
        <v>8</v>
      </c>
      <c r="FI23">
        <v>-5.5E-2</v>
      </c>
      <c r="FJ23">
        <v>-5.0000000000000001E-3</v>
      </c>
      <c r="FK23">
        <v>-1.4850000000000001</v>
      </c>
      <c r="FL23">
        <v>0.29699999999999999</v>
      </c>
      <c r="FM23">
        <v>10</v>
      </c>
      <c r="FN23">
        <v>22</v>
      </c>
      <c r="FO23">
        <v>0.67</v>
      </c>
      <c r="FP23">
        <v>0.03</v>
      </c>
      <c r="FQ23">
        <v>1.4884897675175439</v>
      </c>
      <c r="FR23">
        <v>0.2470584949536018</v>
      </c>
      <c r="FS23">
        <v>5.5463646707662857E-2</v>
      </c>
      <c r="FT23">
        <v>1</v>
      </c>
      <c r="FU23">
        <v>0.46702744609438912</v>
      </c>
      <c r="FV23">
        <v>-5.8332362552982828E-3</v>
      </c>
      <c r="FW23">
        <v>7.6867023449813032E-3</v>
      </c>
      <c r="FX23">
        <v>1</v>
      </c>
      <c r="FY23">
        <v>2</v>
      </c>
      <c r="FZ23">
        <v>2</v>
      </c>
      <c r="GA23" t="s">
        <v>422</v>
      </c>
      <c r="GB23">
        <v>2.9758300000000002</v>
      </c>
      <c r="GC23">
        <v>2.8121399999999999</v>
      </c>
      <c r="GD23">
        <v>2.8499699999999998E-3</v>
      </c>
      <c r="GE23">
        <v>2.95933E-3</v>
      </c>
      <c r="GF23">
        <v>0.13745499999999999</v>
      </c>
      <c r="GG23">
        <v>0.11310199999999999</v>
      </c>
      <c r="GH23">
        <v>29612.6</v>
      </c>
      <c r="GI23">
        <v>27471.200000000001</v>
      </c>
      <c r="GJ23">
        <v>26670.799999999999</v>
      </c>
      <c r="GK23">
        <v>25968.1</v>
      </c>
      <c r="GL23">
        <v>31261.5</v>
      </c>
      <c r="GM23">
        <v>32431.9</v>
      </c>
      <c r="GN23">
        <v>37797.599999999999</v>
      </c>
      <c r="GO23">
        <v>38424.400000000001</v>
      </c>
      <c r="GP23">
        <v>2.0541999999999998</v>
      </c>
      <c r="GQ23">
        <v>2.0905</v>
      </c>
      <c r="GR23">
        <v>9.6172099999999996E-2</v>
      </c>
      <c r="GS23">
        <v>0</v>
      </c>
      <c r="GT23">
        <v>28.449200000000001</v>
      </c>
      <c r="GU23">
        <v>999.9</v>
      </c>
      <c r="GV23">
        <v>53.4</v>
      </c>
      <c r="GW23">
        <v>34.799999999999997</v>
      </c>
      <c r="GX23">
        <v>29.950600000000001</v>
      </c>
      <c r="GY23">
        <v>60.999200000000002</v>
      </c>
      <c r="GZ23">
        <v>14.787699999999999</v>
      </c>
      <c r="HA23">
        <v>1</v>
      </c>
      <c r="HB23">
        <v>-0.154116</v>
      </c>
      <c r="HC23">
        <v>-0.699542</v>
      </c>
      <c r="HD23">
        <v>20.253</v>
      </c>
      <c r="HE23">
        <v>5.2095000000000002</v>
      </c>
      <c r="HF23">
        <v>11.9261</v>
      </c>
      <c r="HG23">
        <v>4.9889999999999999</v>
      </c>
      <c r="HH23">
        <v>3.2917999999999998</v>
      </c>
      <c r="HI23">
        <v>9999</v>
      </c>
      <c r="HJ23">
        <v>9999</v>
      </c>
      <c r="HK23">
        <v>9999</v>
      </c>
      <c r="HL23">
        <v>999.9</v>
      </c>
      <c r="HM23">
        <v>1.8706499999999999</v>
      </c>
      <c r="HN23">
        <v>1.87683</v>
      </c>
      <c r="HO23">
        <v>1.8745499999999999</v>
      </c>
      <c r="HP23">
        <v>1.87286</v>
      </c>
      <c r="HQ23">
        <v>1.8733200000000001</v>
      </c>
      <c r="HR23">
        <v>1.87073</v>
      </c>
      <c r="HS23">
        <v>1.8766099999999999</v>
      </c>
      <c r="HT23">
        <v>1.87565</v>
      </c>
      <c r="HU23">
        <v>5</v>
      </c>
      <c r="HV23">
        <v>0</v>
      </c>
      <c r="HW23">
        <v>0</v>
      </c>
      <c r="HX23">
        <v>0</v>
      </c>
      <c r="HY23" t="s">
        <v>423</v>
      </c>
      <c r="HZ23" t="s">
        <v>424</v>
      </c>
      <c r="IA23" t="s">
        <v>425</v>
      </c>
      <c r="IB23" t="s">
        <v>425</v>
      </c>
      <c r="IC23" t="s">
        <v>425</v>
      </c>
      <c r="ID23" t="s">
        <v>425</v>
      </c>
      <c r="IE23">
        <v>0</v>
      </c>
      <c r="IF23">
        <v>100</v>
      </c>
      <c r="IG23">
        <v>100</v>
      </c>
      <c r="IH23">
        <v>-1.48</v>
      </c>
      <c r="II23">
        <v>0.59299999999999997</v>
      </c>
      <c r="IJ23">
        <v>-1.454533096812846</v>
      </c>
      <c r="IK23">
        <v>-2.677719669153116E-3</v>
      </c>
      <c r="IL23">
        <v>1.9353498771248068E-6</v>
      </c>
      <c r="IM23">
        <v>-6.1862177325538213E-10</v>
      </c>
      <c r="IN23">
        <v>-3.6557757118018341E-2</v>
      </c>
      <c r="IO23">
        <v>-1.5299015507423901E-2</v>
      </c>
      <c r="IP23">
        <v>1.742162107778985E-3</v>
      </c>
      <c r="IQ23">
        <v>-1.472690239905804E-5</v>
      </c>
      <c r="IR23">
        <v>3</v>
      </c>
      <c r="IS23">
        <v>2255</v>
      </c>
      <c r="IT23">
        <v>2</v>
      </c>
      <c r="IU23">
        <v>41</v>
      </c>
      <c r="IV23">
        <v>0.9</v>
      </c>
      <c r="IW23">
        <v>0.6</v>
      </c>
      <c r="IX23">
        <v>0.17456099999999999</v>
      </c>
      <c r="IY23">
        <v>2.5769000000000002</v>
      </c>
      <c r="IZ23">
        <v>1.5991200000000001</v>
      </c>
      <c r="JA23">
        <v>2.2778299999999998</v>
      </c>
      <c r="JB23">
        <v>1.5502899999999999</v>
      </c>
      <c r="JC23">
        <v>2.36084</v>
      </c>
      <c r="JD23">
        <v>41.612699999999997</v>
      </c>
      <c r="JE23">
        <v>23.921099999999999</v>
      </c>
      <c r="JF23">
        <v>18</v>
      </c>
      <c r="JG23">
        <v>508.36900000000003</v>
      </c>
      <c r="JH23">
        <v>500.53199999999998</v>
      </c>
      <c r="JI23">
        <v>28.875</v>
      </c>
      <c r="JJ23">
        <v>25.677600000000002</v>
      </c>
      <c r="JK23">
        <v>30</v>
      </c>
      <c r="JL23">
        <v>25.508700000000001</v>
      </c>
      <c r="JM23">
        <v>25.449200000000001</v>
      </c>
      <c r="JN23">
        <v>3.5360200000000002</v>
      </c>
      <c r="JO23">
        <v>34.915100000000002</v>
      </c>
      <c r="JP23">
        <v>98.740799999999993</v>
      </c>
      <c r="JQ23">
        <v>28.8599</v>
      </c>
      <c r="JR23">
        <v>10</v>
      </c>
      <c r="JS23">
        <v>21.974699999999999</v>
      </c>
      <c r="JT23">
        <v>99.642099999999999</v>
      </c>
      <c r="JU23">
        <v>99.810500000000005</v>
      </c>
    </row>
    <row r="24" spans="1:281" x14ac:dyDescent="0.25">
      <c r="A24">
        <v>8</v>
      </c>
      <c r="B24">
        <v>1693495022.5999999</v>
      </c>
      <c r="C24">
        <v>1043</v>
      </c>
      <c r="D24" t="s">
        <v>456</v>
      </c>
      <c r="E24" t="s">
        <v>457</v>
      </c>
      <c r="F24" t="s">
        <v>413</v>
      </c>
      <c r="G24" t="s">
        <v>414</v>
      </c>
      <c r="H24" t="s">
        <v>415</v>
      </c>
      <c r="I24" t="s">
        <v>416</v>
      </c>
      <c r="J24">
        <v>1693495022.5999999</v>
      </c>
      <c r="K24">
        <f t="shared" si="0"/>
        <v>5.7669567467451104E-3</v>
      </c>
      <c r="L24">
        <f t="shared" si="1"/>
        <v>5.7669567467451106</v>
      </c>
      <c r="M24">
        <f t="shared" si="2"/>
        <v>40.520839354562263</v>
      </c>
      <c r="N24">
        <f t="shared" si="3"/>
        <v>348.79599999999999</v>
      </c>
      <c r="O24">
        <f t="shared" si="4"/>
        <v>182.18075837298505</v>
      </c>
      <c r="P24">
        <f t="shared" si="5"/>
        <v>18.161879668283891</v>
      </c>
      <c r="Q24">
        <f t="shared" si="6"/>
        <v>34.772009060415201</v>
      </c>
      <c r="R24">
        <f t="shared" si="7"/>
        <v>0.43209100279922613</v>
      </c>
      <c r="S24">
        <f t="shared" si="8"/>
        <v>2.9206229541184641</v>
      </c>
      <c r="T24">
        <f t="shared" si="9"/>
        <v>0.39946122553028918</v>
      </c>
      <c r="U24">
        <f t="shared" si="10"/>
        <v>0.25238927089414576</v>
      </c>
      <c r="V24">
        <f t="shared" si="11"/>
        <v>344.38780065796362</v>
      </c>
      <c r="W24">
        <f t="shared" si="12"/>
        <v>31.197783976322626</v>
      </c>
      <c r="X24">
        <f t="shared" si="13"/>
        <v>30.0396</v>
      </c>
      <c r="Y24">
        <f t="shared" si="14"/>
        <v>4.2701501658543304</v>
      </c>
      <c r="Z24">
        <f t="shared" si="15"/>
        <v>65.123260441868638</v>
      </c>
      <c r="AA24">
        <f t="shared" si="16"/>
        <v>2.88255086176214</v>
      </c>
      <c r="AB24">
        <f t="shared" si="17"/>
        <v>4.4262999766960514</v>
      </c>
      <c r="AC24">
        <f t="shared" si="18"/>
        <v>1.3875993040921903</v>
      </c>
      <c r="AD24">
        <f t="shared" si="19"/>
        <v>-254.32279253145936</v>
      </c>
      <c r="AE24">
        <f t="shared" si="20"/>
        <v>98.709558025956127</v>
      </c>
      <c r="AF24">
        <f t="shared" si="21"/>
        <v>7.541200404920545</v>
      </c>
      <c r="AG24">
        <f t="shared" si="22"/>
        <v>196.31576655738093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51975.477886104265</v>
      </c>
      <c r="AM24" t="s">
        <v>417</v>
      </c>
      <c r="AN24">
        <v>10238.9</v>
      </c>
      <c r="AO24">
        <v>302.21199999999999</v>
      </c>
      <c r="AP24">
        <v>4052.3</v>
      </c>
      <c r="AQ24">
        <f t="shared" si="26"/>
        <v>0.92542210596451402</v>
      </c>
      <c r="AR24">
        <v>-0.32343011824092421</v>
      </c>
      <c r="AS24" t="s">
        <v>458</v>
      </c>
      <c r="AT24">
        <v>10492.6</v>
      </c>
      <c r="AU24">
        <v>694.60553846153857</v>
      </c>
      <c r="AV24">
        <v>1006.126248626026</v>
      </c>
      <c r="AW24">
        <f t="shared" si="27"/>
        <v>0.30962387731152285</v>
      </c>
      <c r="AX24">
        <v>0.5</v>
      </c>
      <c r="AY24">
        <f t="shared" si="28"/>
        <v>1513.2684003289817</v>
      </c>
      <c r="AZ24">
        <f t="shared" si="29"/>
        <v>40.520839354562263</v>
      </c>
      <c r="BA24">
        <f t="shared" si="30"/>
        <v>234.27201476143253</v>
      </c>
      <c r="BB24">
        <f t="shared" si="31"/>
        <v>2.6990763478523517E-2</v>
      </c>
      <c r="BC24">
        <f t="shared" si="32"/>
        <v>3.0276257632020367</v>
      </c>
      <c r="BD24">
        <f t="shared" si="33"/>
        <v>246.54388217103781</v>
      </c>
      <c r="BE24" t="s">
        <v>459</v>
      </c>
      <c r="BF24">
        <v>556.59</v>
      </c>
      <c r="BG24">
        <f t="shared" si="34"/>
        <v>556.59</v>
      </c>
      <c r="BH24">
        <f t="shared" si="35"/>
        <v>0.44679904658080061</v>
      </c>
      <c r="BI24">
        <f t="shared" si="36"/>
        <v>0.6929824037919684</v>
      </c>
      <c r="BJ24">
        <f t="shared" si="37"/>
        <v>0.87140344919171608</v>
      </c>
      <c r="BK24">
        <f t="shared" si="38"/>
        <v>0.44255491456885038</v>
      </c>
      <c r="BL24">
        <f t="shared" si="39"/>
        <v>0.81229393853530207</v>
      </c>
      <c r="BM24">
        <f t="shared" si="40"/>
        <v>0.55528937615565666</v>
      </c>
      <c r="BN24">
        <f t="shared" si="41"/>
        <v>0.44471062384434334</v>
      </c>
      <c r="BO24">
        <v>5702</v>
      </c>
      <c r="BP24">
        <v>290.00000000000011</v>
      </c>
      <c r="BQ24">
        <v>907.84</v>
      </c>
      <c r="BR24">
        <v>165</v>
      </c>
      <c r="BS24">
        <v>10492.6</v>
      </c>
      <c r="BT24">
        <v>906.76</v>
      </c>
      <c r="BU24">
        <v>1.08</v>
      </c>
      <c r="BV24">
        <v>300.00000000000011</v>
      </c>
      <c r="BW24">
        <v>38.200000000000003</v>
      </c>
      <c r="BX24">
        <v>1006.126248626026</v>
      </c>
      <c r="BY24">
        <v>0.9731191491900234</v>
      </c>
      <c r="BZ24">
        <v>-104.2613748774492</v>
      </c>
      <c r="CA24">
        <v>0.83531173307057549</v>
      </c>
      <c r="CB24">
        <v>0.99820597510745224</v>
      </c>
      <c r="CC24">
        <v>-1.1381394660734149E-2</v>
      </c>
      <c r="CD24">
        <v>289.99999999999989</v>
      </c>
      <c r="CE24">
        <v>889.63</v>
      </c>
      <c r="CF24">
        <v>645</v>
      </c>
      <c r="CG24">
        <v>10461.6</v>
      </c>
      <c r="CH24">
        <v>906.47</v>
      </c>
      <c r="CI24">
        <v>-16.84</v>
      </c>
      <c r="CW24">
        <f t="shared" si="42"/>
        <v>1800.1</v>
      </c>
      <c r="CX24">
        <f t="shared" si="43"/>
        <v>1513.2684003289817</v>
      </c>
      <c r="CY24">
        <f t="shared" si="44"/>
        <v>0.84065796362923273</v>
      </c>
      <c r="CZ24">
        <f t="shared" si="45"/>
        <v>0.19131592725846544</v>
      </c>
      <c r="DA24">
        <v>6</v>
      </c>
      <c r="DB24">
        <v>0.5</v>
      </c>
      <c r="DC24" t="s">
        <v>420</v>
      </c>
      <c r="DD24">
        <v>2</v>
      </c>
      <c r="DE24">
        <v>1693495022.5999999</v>
      </c>
      <c r="DF24">
        <v>348.79599999999999</v>
      </c>
      <c r="DG24">
        <v>399.82</v>
      </c>
      <c r="DH24">
        <v>28.9147</v>
      </c>
      <c r="DI24">
        <v>22.196400000000001</v>
      </c>
      <c r="DJ24">
        <v>350.98899999999998</v>
      </c>
      <c r="DK24">
        <v>28.324400000000001</v>
      </c>
      <c r="DL24">
        <v>500.14499999999998</v>
      </c>
      <c r="DM24">
        <v>99.5916</v>
      </c>
      <c r="DN24">
        <v>9.9936200000000003E-2</v>
      </c>
      <c r="DO24">
        <v>30.666499999999999</v>
      </c>
      <c r="DP24">
        <v>30.0396</v>
      </c>
      <c r="DQ24">
        <v>999.9</v>
      </c>
      <c r="DR24">
        <v>0</v>
      </c>
      <c r="DS24">
        <v>0</v>
      </c>
      <c r="DT24">
        <v>9990</v>
      </c>
      <c r="DU24">
        <v>0</v>
      </c>
      <c r="DV24">
        <v>1695.97</v>
      </c>
      <c r="DW24">
        <v>-51.024299999999997</v>
      </c>
      <c r="DX24">
        <v>359.18099999999998</v>
      </c>
      <c r="DY24">
        <v>408.89600000000002</v>
      </c>
      <c r="DZ24">
        <v>6.7183200000000003</v>
      </c>
      <c r="EA24">
        <v>399.82</v>
      </c>
      <c r="EB24">
        <v>22.196400000000001</v>
      </c>
      <c r="EC24">
        <v>2.8796599999999999</v>
      </c>
      <c r="ED24">
        <v>2.2105800000000002</v>
      </c>
      <c r="EE24">
        <v>23.347999999999999</v>
      </c>
      <c r="EF24">
        <v>19.039200000000001</v>
      </c>
      <c r="EG24">
        <v>1800.1</v>
      </c>
      <c r="EH24">
        <v>0.97800900000000002</v>
      </c>
      <c r="EI24">
        <v>2.1990699999999998E-2</v>
      </c>
      <c r="EJ24">
        <v>0</v>
      </c>
      <c r="EK24">
        <v>694.27499999999998</v>
      </c>
      <c r="EL24">
        <v>4.9995000000000003</v>
      </c>
      <c r="EM24">
        <v>13434.6</v>
      </c>
      <c r="EN24">
        <v>16660.8</v>
      </c>
      <c r="EO24">
        <v>45.186999999999998</v>
      </c>
      <c r="EP24">
        <v>46.436999999999998</v>
      </c>
      <c r="EQ24">
        <v>46</v>
      </c>
      <c r="ER24">
        <v>45.375</v>
      </c>
      <c r="ES24">
        <v>46.686999999999998</v>
      </c>
      <c r="ET24">
        <v>1755.62</v>
      </c>
      <c r="EU24">
        <v>39.479999999999997</v>
      </c>
      <c r="EV24">
        <v>0</v>
      </c>
      <c r="EW24">
        <v>187.4000000953674</v>
      </c>
      <c r="EX24">
        <v>0</v>
      </c>
      <c r="EY24">
        <v>694.60553846153857</v>
      </c>
      <c r="EZ24">
        <v>-4.7829059893575234</v>
      </c>
      <c r="FA24">
        <v>62.673504296937651</v>
      </c>
      <c r="FB24">
        <v>13430.553846153851</v>
      </c>
      <c r="FC24">
        <v>15</v>
      </c>
      <c r="FD24">
        <v>1693494940.0999999</v>
      </c>
      <c r="FE24" t="s">
        <v>460</v>
      </c>
      <c r="FF24">
        <v>1693494936.0999999</v>
      </c>
      <c r="FG24">
        <v>1693494940.0999999</v>
      </c>
      <c r="FH24">
        <v>9</v>
      </c>
      <c r="FI24">
        <v>-1.0999999999999999E-2</v>
      </c>
      <c r="FJ24">
        <v>-3.0000000000000001E-3</v>
      </c>
      <c r="FK24">
        <v>-2.2690000000000001</v>
      </c>
      <c r="FL24">
        <v>0.29799999999999999</v>
      </c>
      <c r="FM24">
        <v>400</v>
      </c>
      <c r="FN24">
        <v>22</v>
      </c>
      <c r="FO24">
        <v>0.19</v>
      </c>
      <c r="FP24">
        <v>0.03</v>
      </c>
      <c r="FQ24">
        <v>40.151892714879082</v>
      </c>
      <c r="FR24">
        <v>3.2934372713107072</v>
      </c>
      <c r="FS24">
        <v>0.24810389283402209</v>
      </c>
      <c r="FT24">
        <v>0</v>
      </c>
      <c r="FU24">
        <v>0.43132167458382148</v>
      </c>
      <c r="FV24">
        <v>4.167464741392261E-3</v>
      </c>
      <c r="FW24">
        <v>6.9702512748686209E-4</v>
      </c>
      <c r="FX24">
        <v>1</v>
      </c>
      <c r="FY24">
        <v>1</v>
      </c>
      <c r="FZ24">
        <v>2</v>
      </c>
      <c r="GA24" t="s">
        <v>461</v>
      </c>
      <c r="GB24">
        <v>2.97567</v>
      </c>
      <c r="GC24">
        <v>2.8115399999999999</v>
      </c>
      <c r="GD24">
        <v>8.9098800000000006E-2</v>
      </c>
      <c r="GE24">
        <v>9.7548899999999994E-2</v>
      </c>
      <c r="GF24">
        <v>0.13744799999999999</v>
      </c>
      <c r="GG24">
        <v>0.114288</v>
      </c>
      <c r="GH24">
        <v>27055.1</v>
      </c>
      <c r="GI24">
        <v>24864.6</v>
      </c>
      <c r="GJ24">
        <v>26674.2</v>
      </c>
      <c r="GK24">
        <v>25967.200000000001</v>
      </c>
      <c r="GL24">
        <v>31273.1</v>
      </c>
      <c r="GM24">
        <v>32394.7</v>
      </c>
      <c r="GN24">
        <v>37803.199999999997</v>
      </c>
      <c r="GO24">
        <v>38423.599999999999</v>
      </c>
      <c r="GP24">
        <v>2.0541</v>
      </c>
      <c r="GQ24">
        <v>2.0901999999999998</v>
      </c>
      <c r="GR24">
        <v>9.5725099999999994E-2</v>
      </c>
      <c r="GS24">
        <v>0</v>
      </c>
      <c r="GT24">
        <v>28.479900000000001</v>
      </c>
      <c r="GU24">
        <v>999.9</v>
      </c>
      <c r="GV24">
        <v>53</v>
      </c>
      <c r="GW24">
        <v>35</v>
      </c>
      <c r="GX24">
        <v>30.060600000000001</v>
      </c>
      <c r="GY24">
        <v>61.179299999999998</v>
      </c>
      <c r="GZ24">
        <v>14.8157</v>
      </c>
      <c r="HA24">
        <v>1</v>
      </c>
      <c r="HB24">
        <v>-0.15284600000000001</v>
      </c>
      <c r="HC24">
        <v>-0.75233099999999997</v>
      </c>
      <c r="HD24">
        <v>20.252700000000001</v>
      </c>
      <c r="HE24">
        <v>5.2112999999999996</v>
      </c>
      <c r="HF24">
        <v>11.9261</v>
      </c>
      <c r="HG24">
        <v>4.9897999999999998</v>
      </c>
      <c r="HH24">
        <v>3.2919999999999998</v>
      </c>
      <c r="HI24">
        <v>9999</v>
      </c>
      <c r="HJ24">
        <v>9999</v>
      </c>
      <c r="HK24">
        <v>9999</v>
      </c>
      <c r="HL24">
        <v>999.9</v>
      </c>
      <c r="HM24">
        <v>1.8705700000000001</v>
      </c>
      <c r="HN24">
        <v>1.8767</v>
      </c>
      <c r="HO24">
        <v>1.8745400000000001</v>
      </c>
      <c r="HP24">
        <v>1.8727199999999999</v>
      </c>
      <c r="HQ24">
        <v>1.8732500000000001</v>
      </c>
      <c r="HR24">
        <v>1.8707100000000001</v>
      </c>
      <c r="HS24">
        <v>1.87653</v>
      </c>
      <c r="HT24">
        <v>1.87561</v>
      </c>
      <c r="HU24">
        <v>5</v>
      </c>
      <c r="HV24">
        <v>0</v>
      </c>
      <c r="HW24">
        <v>0</v>
      </c>
      <c r="HX24">
        <v>0</v>
      </c>
      <c r="HY24" t="s">
        <v>423</v>
      </c>
      <c r="HZ24" t="s">
        <v>424</v>
      </c>
      <c r="IA24" t="s">
        <v>425</v>
      </c>
      <c r="IB24" t="s">
        <v>425</v>
      </c>
      <c r="IC24" t="s">
        <v>425</v>
      </c>
      <c r="ID24" t="s">
        <v>425</v>
      </c>
      <c r="IE24">
        <v>0</v>
      </c>
      <c r="IF24">
        <v>100</v>
      </c>
      <c r="IG24">
        <v>100</v>
      </c>
      <c r="IH24">
        <v>-2.1930000000000001</v>
      </c>
      <c r="II24">
        <v>0.59030000000000005</v>
      </c>
      <c r="IJ24">
        <v>-1.4649395363930231</v>
      </c>
      <c r="IK24">
        <v>-2.677719669153116E-3</v>
      </c>
      <c r="IL24">
        <v>1.9353498771248068E-6</v>
      </c>
      <c r="IM24">
        <v>-6.1862177325538213E-10</v>
      </c>
      <c r="IN24">
        <v>-3.9387151465542281E-2</v>
      </c>
      <c r="IO24">
        <v>-1.5299015507423901E-2</v>
      </c>
      <c r="IP24">
        <v>1.742162107778985E-3</v>
      </c>
      <c r="IQ24">
        <v>-1.472690239905804E-5</v>
      </c>
      <c r="IR24">
        <v>3</v>
      </c>
      <c r="IS24">
        <v>2255</v>
      </c>
      <c r="IT24">
        <v>2</v>
      </c>
      <c r="IU24">
        <v>41</v>
      </c>
      <c r="IV24">
        <v>1.4</v>
      </c>
      <c r="IW24">
        <v>1.4</v>
      </c>
      <c r="IX24">
        <v>0.95581099999999997</v>
      </c>
      <c r="IY24">
        <v>2.5146500000000001</v>
      </c>
      <c r="IZ24">
        <v>1.5991200000000001</v>
      </c>
      <c r="JA24">
        <v>2.2766099999999998</v>
      </c>
      <c r="JB24">
        <v>1.5502899999999999</v>
      </c>
      <c r="JC24">
        <v>2.4157700000000002</v>
      </c>
      <c r="JD24">
        <v>41.326099999999997</v>
      </c>
      <c r="JE24">
        <v>23.9299</v>
      </c>
      <c r="JF24">
        <v>18</v>
      </c>
      <c r="JG24">
        <v>508.62</v>
      </c>
      <c r="JH24">
        <v>500.69299999999998</v>
      </c>
      <c r="JI24">
        <v>29.0044</v>
      </c>
      <c r="JJ24">
        <v>25.692699999999999</v>
      </c>
      <c r="JK24">
        <v>30.0001</v>
      </c>
      <c r="JL24">
        <v>25.542899999999999</v>
      </c>
      <c r="JM24">
        <v>25.486699999999999</v>
      </c>
      <c r="JN24">
        <v>19.167400000000001</v>
      </c>
      <c r="JO24">
        <v>33.590899999999998</v>
      </c>
      <c r="JP24">
        <v>94.507599999999996</v>
      </c>
      <c r="JQ24">
        <v>28.991800000000001</v>
      </c>
      <c r="JR24">
        <v>400</v>
      </c>
      <c r="JS24">
        <v>22.1509</v>
      </c>
      <c r="JT24">
        <v>99.656000000000006</v>
      </c>
      <c r="JU24">
        <v>99.807699999999997</v>
      </c>
    </row>
    <row r="25" spans="1:281" x14ac:dyDescent="0.25">
      <c r="A25">
        <v>9</v>
      </c>
      <c r="B25">
        <v>1693495212.0999999</v>
      </c>
      <c r="C25">
        <v>1232.5</v>
      </c>
      <c r="D25" t="s">
        <v>462</v>
      </c>
      <c r="E25" t="s">
        <v>463</v>
      </c>
      <c r="F25" t="s">
        <v>413</v>
      </c>
      <c r="G25" t="s">
        <v>414</v>
      </c>
      <c r="H25" t="s">
        <v>415</v>
      </c>
      <c r="I25" t="s">
        <v>416</v>
      </c>
      <c r="J25">
        <v>1693495212.0999999</v>
      </c>
      <c r="K25">
        <f t="shared" si="0"/>
        <v>5.6549590718547194E-3</v>
      </c>
      <c r="L25">
        <f t="shared" si="1"/>
        <v>5.6549590718547194</v>
      </c>
      <c r="M25">
        <f t="shared" si="2"/>
        <v>45.41573420338122</v>
      </c>
      <c r="N25">
        <f t="shared" si="3"/>
        <v>343.245</v>
      </c>
      <c r="O25">
        <f t="shared" si="4"/>
        <v>152.33717654586599</v>
      </c>
      <c r="P25">
        <f t="shared" si="5"/>
        <v>15.186086084921648</v>
      </c>
      <c r="Q25">
        <f t="shared" si="6"/>
        <v>34.217176899359998</v>
      </c>
      <c r="R25">
        <f t="shared" si="7"/>
        <v>0.41900947782528003</v>
      </c>
      <c r="S25">
        <f t="shared" si="8"/>
        <v>2.9209838116486431</v>
      </c>
      <c r="T25">
        <f t="shared" si="9"/>
        <v>0.38825367616489498</v>
      </c>
      <c r="U25">
        <f t="shared" si="10"/>
        <v>0.24523344208144962</v>
      </c>
      <c r="V25">
        <f t="shared" si="11"/>
        <v>344.32260065792121</v>
      </c>
      <c r="W25">
        <f t="shared" si="12"/>
        <v>31.142403426015942</v>
      </c>
      <c r="X25">
        <f t="shared" si="13"/>
        <v>30.0077</v>
      </c>
      <c r="Y25">
        <f t="shared" si="14"/>
        <v>4.262334454537787</v>
      </c>
      <c r="Z25">
        <f t="shared" si="15"/>
        <v>64.976586152785529</v>
      </c>
      <c r="AA25">
        <f t="shared" si="16"/>
        <v>2.8622624364671996</v>
      </c>
      <c r="AB25">
        <f t="shared" si="17"/>
        <v>4.4050674341937475</v>
      </c>
      <c r="AC25">
        <f t="shared" si="18"/>
        <v>1.4000720180705875</v>
      </c>
      <c r="AD25">
        <f t="shared" si="19"/>
        <v>-249.38369506879312</v>
      </c>
      <c r="AE25">
        <f t="shared" si="20"/>
        <v>90.501502747044867</v>
      </c>
      <c r="AF25">
        <f t="shared" si="21"/>
        <v>6.9093024687001998</v>
      </c>
      <c r="AG25">
        <f t="shared" si="22"/>
        <v>192.34971080487318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52000.060305816383</v>
      </c>
      <c r="AM25" t="s">
        <v>417</v>
      </c>
      <c r="AN25">
        <v>10238.9</v>
      </c>
      <c r="AO25">
        <v>302.21199999999999</v>
      </c>
      <c r="AP25">
        <v>4052.3</v>
      </c>
      <c r="AQ25">
        <f t="shared" si="26"/>
        <v>0.92542210596451402</v>
      </c>
      <c r="AR25">
        <v>-0.32343011824092421</v>
      </c>
      <c r="AS25" t="s">
        <v>464</v>
      </c>
      <c r="AT25">
        <v>10499.2</v>
      </c>
      <c r="AU25">
        <v>712.69208000000003</v>
      </c>
      <c r="AV25">
        <v>1061.8433803475441</v>
      </c>
      <c r="AW25">
        <f t="shared" si="27"/>
        <v>0.32881619531617357</v>
      </c>
      <c r="AX25">
        <v>0.5</v>
      </c>
      <c r="AY25">
        <f t="shared" si="28"/>
        <v>1512.9825003289607</v>
      </c>
      <c r="AZ25">
        <f t="shared" si="29"/>
        <v>45.41573420338122</v>
      </c>
      <c r="BA25">
        <f t="shared" si="30"/>
        <v>248.7465746690601</v>
      </c>
      <c r="BB25">
        <f t="shared" si="31"/>
        <v>3.0231125813865851E-2</v>
      </c>
      <c r="BC25">
        <f t="shared" si="32"/>
        <v>2.8162878584539199</v>
      </c>
      <c r="BD25">
        <f t="shared" si="33"/>
        <v>249.75520963892768</v>
      </c>
      <c r="BE25" t="s">
        <v>465</v>
      </c>
      <c r="BF25">
        <v>565.47</v>
      </c>
      <c r="BG25">
        <f t="shared" si="34"/>
        <v>565.47</v>
      </c>
      <c r="BH25">
        <f t="shared" si="35"/>
        <v>0.46746383650767764</v>
      </c>
      <c r="BI25">
        <f t="shared" si="36"/>
        <v>0.70340456231371629</v>
      </c>
      <c r="BJ25">
        <f t="shared" si="37"/>
        <v>0.85764336651125983</v>
      </c>
      <c r="BK25">
        <f t="shared" si="38"/>
        <v>0.45963253938746118</v>
      </c>
      <c r="BL25">
        <f t="shared" si="39"/>
        <v>0.79743638540014417</v>
      </c>
      <c r="BM25">
        <f t="shared" si="40"/>
        <v>0.55810102148397267</v>
      </c>
      <c r="BN25">
        <f t="shared" si="41"/>
        <v>0.44189897851602733</v>
      </c>
      <c r="BO25">
        <v>5704</v>
      </c>
      <c r="BP25">
        <v>290.00000000000011</v>
      </c>
      <c r="BQ25">
        <v>962.62</v>
      </c>
      <c r="BR25">
        <v>135</v>
      </c>
      <c r="BS25">
        <v>10499.2</v>
      </c>
      <c r="BT25">
        <v>959.24</v>
      </c>
      <c r="BU25">
        <v>3.38</v>
      </c>
      <c r="BV25">
        <v>300.00000000000011</v>
      </c>
      <c r="BW25">
        <v>38.200000000000003</v>
      </c>
      <c r="BX25">
        <v>1061.8433803475441</v>
      </c>
      <c r="BY25">
        <v>1.057665413092618</v>
      </c>
      <c r="BZ25">
        <v>-107.7283079838805</v>
      </c>
      <c r="CA25">
        <v>0.90790632304634922</v>
      </c>
      <c r="CB25">
        <v>0.9980151961695557</v>
      </c>
      <c r="CC25">
        <v>-1.138189988876529E-2</v>
      </c>
      <c r="CD25">
        <v>289.99999999999989</v>
      </c>
      <c r="CE25">
        <v>949.87</v>
      </c>
      <c r="CF25">
        <v>685</v>
      </c>
      <c r="CG25">
        <v>10458.1</v>
      </c>
      <c r="CH25">
        <v>958.83</v>
      </c>
      <c r="CI25">
        <v>-8.9600000000000009</v>
      </c>
      <c r="CW25">
        <f t="shared" si="42"/>
        <v>1799.76</v>
      </c>
      <c r="CX25">
        <f t="shared" si="43"/>
        <v>1512.9825003289607</v>
      </c>
      <c r="CY25">
        <f t="shared" si="44"/>
        <v>0.84065792123892114</v>
      </c>
      <c r="CZ25">
        <f t="shared" si="45"/>
        <v>0.19131584247784217</v>
      </c>
      <c r="DA25">
        <v>6</v>
      </c>
      <c r="DB25">
        <v>0.5</v>
      </c>
      <c r="DC25" t="s">
        <v>420</v>
      </c>
      <c r="DD25">
        <v>2</v>
      </c>
      <c r="DE25">
        <v>1693495212.0999999</v>
      </c>
      <c r="DF25">
        <v>343.245</v>
      </c>
      <c r="DG25">
        <v>400.04199999999997</v>
      </c>
      <c r="DH25">
        <v>28.712399999999999</v>
      </c>
      <c r="DI25">
        <v>22.1249</v>
      </c>
      <c r="DJ25">
        <v>345.41800000000001</v>
      </c>
      <c r="DK25">
        <v>28.128299999999999</v>
      </c>
      <c r="DL25">
        <v>500.274</v>
      </c>
      <c r="DM25">
        <v>99.587199999999996</v>
      </c>
      <c r="DN25">
        <v>0.10012799999999999</v>
      </c>
      <c r="DO25">
        <v>30.5824</v>
      </c>
      <c r="DP25">
        <v>30.0077</v>
      </c>
      <c r="DQ25">
        <v>999.9</v>
      </c>
      <c r="DR25">
        <v>0</v>
      </c>
      <c r="DS25">
        <v>0</v>
      </c>
      <c r="DT25">
        <v>9992.5</v>
      </c>
      <c r="DU25">
        <v>0</v>
      </c>
      <c r="DV25">
        <v>1655.8</v>
      </c>
      <c r="DW25">
        <v>-56.797199999999997</v>
      </c>
      <c r="DX25">
        <v>353.392</v>
      </c>
      <c r="DY25">
        <v>409.09300000000002</v>
      </c>
      <c r="DZ25">
        <v>6.5874699999999997</v>
      </c>
      <c r="EA25">
        <v>400.04199999999997</v>
      </c>
      <c r="EB25">
        <v>22.1249</v>
      </c>
      <c r="EC25">
        <v>2.8593899999999999</v>
      </c>
      <c r="ED25">
        <v>2.20336</v>
      </c>
      <c r="EE25">
        <v>23.231000000000002</v>
      </c>
      <c r="EF25">
        <v>18.986799999999999</v>
      </c>
      <c r="EG25">
        <v>1799.76</v>
      </c>
      <c r="EH25">
        <v>0.97800600000000004</v>
      </c>
      <c r="EI25">
        <v>2.1994300000000001E-2</v>
      </c>
      <c r="EJ25">
        <v>0</v>
      </c>
      <c r="EK25">
        <v>713.596</v>
      </c>
      <c r="EL25">
        <v>4.9995000000000003</v>
      </c>
      <c r="EM25">
        <v>13752.6</v>
      </c>
      <c r="EN25">
        <v>16657.599999999999</v>
      </c>
      <c r="EO25">
        <v>45.25</v>
      </c>
      <c r="EP25">
        <v>46.561999999999998</v>
      </c>
      <c r="EQ25">
        <v>46.061999999999998</v>
      </c>
      <c r="ER25">
        <v>45.5</v>
      </c>
      <c r="ES25">
        <v>46.686999999999998</v>
      </c>
      <c r="ET25">
        <v>1755.29</v>
      </c>
      <c r="EU25">
        <v>39.47</v>
      </c>
      <c r="EV25">
        <v>0</v>
      </c>
      <c r="EW25">
        <v>187.39999985694891</v>
      </c>
      <c r="EX25">
        <v>0</v>
      </c>
      <c r="EY25">
        <v>712.69208000000003</v>
      </c>
      <c r="EZ25">
        <v>9.4416923284340459</v>
      </c>
      <c r="FA25">
        <v>178.60000034051569</v>
      </c>
      <c r="FB25">
        <v>13734.5</v>
      </c>
      <c r="FC25">
        <v>15</v>
      </c>
      <c r="FD25">
        <v>1693495102.5999999</v>
      </c>
      <c r="FE25" t="s">
        <v>466</v>
      </c>
      <c r="FF25">
        <v>1693495091.0999999</v>
      </c>
      <c r="FG25">
        <v>1693495102.5999999</v>
      </c>
      <c r="FH25">
        <v>10</v>
      </c>
      <c r="FI25">
        <v>1.2E-2</v>
      </c>
      <c r="FJ25">
        <v>3.0000000000000001E-3</v>
      </c>
      <c r="FK25">
        <v>-2.2570000000000001</v>
      </c>
      <c r="FL25">
        <v>0.30499999999999999</v>
      </c>
      <c r="FM25">
        <v>400</v>
      </c>
      <c r="FN25">
        <v>22</v>
      </c>
      <c r="FO25">
        <v>0.12</v>
      </c>
      <c r="FP25">
        <v>0.05</v>
      </c>
      <c r="FQ25">
        <v>45.199946090409199</v>
      </c>
      <c r="FR25">
        <v>1.2923584484899879</v>
      </c>
      <c r="FS25">
        <v>0.1178165578325403</v>
      </c>
      <c r="FT25">
        <v>0</v>
      </c>
      <c r="FU25">
        <v>0.42014441890112758</v>
      </c>
      <c r="FV25">
        <v>-2.260753483324935E-2</v>
      </c>
      <c r="FW25">
        <v>1.740639340772147E-3</v>
      </c>
      <c r="FX25">
        <v>1</v>
      </c>
      <c r="FY25">
        <v>1</v>
      </c>
      <c r="FZ25">
        <v>2</v>
      </c>
      <c r="GA25" t="s">
        <v>461</v>
      </c>
      <c r="GB25">
        <v>2.9759500000000001</v>
      </c>
      <c r="GC25">
        <v>2.81176</v>
      </c>
      <c r="GD25">
        <v>8.7961999999999999E-2</v>
      </c>
      <c r="GE25">
        <v>9.7576700000000002E-2</v>
      </c>
      <c r="GF25">
        <v>0.136767</v>
      </c>
      <c r="GG25">
        <v>0.11401500000000001</v>
      </c>
      <c r="GH25">
        <v>27093.7</v>
      </c>
      <c r="GI25">
        <v>24862.2</v>
      </c>
      <c r="GJ25">
        <v>26679.200000000001</v>
      </c>
      <c r="GK25">
        <v>25965.7</v>
      </c>
      <c r="GL25">
        <v>31303.4</v>
      </c>
      <c r="GM25">
        <v>32401.9</v>
      </c>
      <c r="GN25">
        <v>37808.5</v>
      </c>
      <c r="GO25">
        <v>38420.1</v>
      </c>
      <c r="GP25">
        <v>2.0539000000000001</v>
      </c>
      <c r="GQ25">
        <v>2.0884999999999998</v>
      </c>
      <c r="GR25">
        <v>8.5830699999999996E-2</v>
      </c>
      <c r="GS25">
        <v>0</v>
      </c>
      <c r="GT25">
        <v>28.609300000000001</v>
      </c>
      <c r="GU25">
        <v>999.9</v>
      </c>
      <c r="GV25">
        <v>52.7</v>
      </c>
      <c r="GW25">
        <v>35.1</v>
      </c>
      <c r="GX25">
        <v>30.056000000000001</v>
      </c>
      <c r="GY25">
        <v>61.049300000000002</v>
      </c>
      <c r="GZ25">
        <v>15.4968</v>
      </c>
      <c r="HA25">
        <v>1</v>
      </c>
      <c r="HB25">
        <v>-0.150671</v>
      </c>
      <c r="HC25">
        <v>-0.60433599999999998</v>
      </c>
      <c r="HD25">
        <v>20.253499999999999</v>
      </c>
      <c r="HE25">
        <v>5.2107000000000001</v>
      </c>
      <c r="HF25">
        <v>11.9267</v>
      </c>
      <c r="HG25">
        <v>4.9893999999999998</v>
      </c>
      <c r="HH25">
        <v>3.2919999999999998</v>
      </c>
      <c r="HI25">
        <v>9999</v>
      </c>
      <c r="HJ25">
        <v>9999</v>
      </c>
      <c r="HK25">
        <v>9999</v>
      </c>
      <c r="HL25">
        <v>999.9</v>
      </c>
      <c r="HM25">
        <v>1.8705700000000001</v>
      </c>
      <c r="HN25">
        <v>1.8767</v>
      </c>
      <c r="HO25">
        <v>1.8745400000000001</v>
      </c>
      <c r="HP25">
        <v>1.8727100000000001</v>
      </c>
      <c r="HQ25">
        <v>1.87317</v>
      </c>
      <c r="HR25">
        <v>1.87059</v>
      </c>
      <c r="HS25">
        <v>1.87653</v>
      </c>
      <c r="HT25">
        <v>1.87561</v>
      </c>
      <c r="HU25">
        <v>5</v>
      </c>
      <c r="HV25">
        <v>0</v>
      </c>
      <c r="HW25">
        <v>0</v>
      </c>
      <c r="HX25">
        <v>0</v>
      </c>
      <c r="HY25" t="s">
        <v>423</v>
      </c>
      <c r="HZ25" t="s">
        <v>424</v>
      </c>
      <c r="IA25" t="s">
        <v>425</v>
      </c>
      <c r="IB25" t="s">
        <v>425</v>
      </c>
      <c r="IC25" t="s">
        <v>425</v>
      </c>
      <c r="ID25" t="s">
        <v>425</v>
      </c>
      <c r="IE25">
        <v>0</v>
      </c>
      <c r="IF25">
        <v>100</v>
      </c>
      <c r="IG25">
        <v>100</v>
      </c>
      <c r="IH25">
        <v>-2.173</v>
      </c>
      <c r="II25">
        <v>0.58409999999999995</v>
      </c>
      <c r="IJ25">
        <v>-1.453303482140099</v>
      </c>
      <c r="IK25">
        <v>-2.677719669153116E-3</v>
      </c>
      <c r="IL25">
        <v>1.9353498771248068E-6</v>
      </c>
      <c r="IM25">
        <v>-6.1862177325538213E-10</v>
      </c>
      <c r="IN25">
        <v>-3.6225360240467297E-2</v>
      </c>
      <c r="IO25">
        <v>-1.5299015507423901E-2</v>
      </c>
      <c r="IP25">
        <v>1.742162107778985E-3</v>
      </c>
      <c r="IQ25">
        <v>-1.472690239905804E-5</v>
      </c>
      <c r="IR25">
        <v>3</v>
      </c>
      <c r="IS25">
        <v>2255</v>
      </c>
      <c r="IT25">
        <v>2</v>
      </c>
      <c r="IU25">
        <v>41</v>
      </c>
      <c r="IV25">
        <v>2</v>
      </c>
      <c r="IW25">
        <v>1.8</v>
      </c>
      <c r="IX25">
        <v>0.95703099999999997</v>
      </c>
      <c r="IY25">
        <v>2.52563</v>
      </c>
      <c r="IZ25">
        <v>1.5991200000000001</v>
      </c>
      <c r="JA25">
        <v>2.2753899999999998</v>
      </c>
      <c r="JB25">
        <v>1.5502899999999999</v>
      </c>
      <c r="JC25">
        <v>2.2558600000000002</v>
      </c>
      <c r="JD25">
        <v>41.0154</v>
      </c>
      <c r="JE25">
        <v>23.921099999999999</v>
      </c>
      <c r="JF25">
        <v>18</v>
      </c>
      <c r="JG25">
        <v>508.81</v>
      </c>
      <c r="JH25">
        <v>499.93900000000002</v>
      </c>
      <c r="JI25">
        <v>28.602599999999999</v>
      </c>
      <c r="JJ25">
        <v>25.733899999999998</v>
      </c>
      <c r="JK25">
        <v>30.000299999999999</v>
      </c>
      <c r="JL25">
        <v>25.577300000000001</v>
      </c>
      <c r="JM25">
        <v>25.5229</v>
      </c>
      <c r="JN25">
        <v>19.177600000000002</v>
      </c>
      <c r="JO25">
        <v>34.155999999999999</v>
      </c>
      <c r="JP25">
        <v>90.7363</v>
      </c>
      <c r="JQ25">
        <v>28.593599999999999</v>
      </c>
      <c r="JR25">
        <v>400</v>
      </c>
      <c r="JS25">
        <v>22.169</v>
      </c>
      <c r="JT25">
        <v>99.671899999999994</v>
      </c>
      <c r="JU25">
        <v>99.8001</v>
      </c>
    </row>
    <row r="26" spans="1:281" x14ac:dyDescent="0.25">
      <c r="A26">
        <v>10</v>
      </c>
      <c r="B26">
        <v>1693495321.5</v>
      </c>
      <c r="C26">
        <v>1341.900000095367</v>
      </c>
      <c r="D26" t="s">
        <v>467</v>
      </c>
      <c r="E26" t="s">
        <v>468</v>
      </c>
      <c r="F26" t="s">
        <v>413</v>
      </c>
      <c r="G26" t="s">
        <v>414</v>
      </c>
      <c r="H26" t="s">
        <v>415</v>
      </c>
      <c r="I26" t="s">
        <v>416</v>
      </c>
      <c r="J26">
        <v>1693495321.5</v>
      </c>
      <c r="K26">
        <f t="shared" si="0"/>
        <v>5.6825891537823402E-3</v>
      </c>
      <c r="L26">
        <f t="shared" si="1"/>
        <v>5.6825891537823399</v>
      </c>
      <c r="M26">
        <f t="shared" si="2"/>
        <v>47.467868403096084</v>
      </c>
      <c r="N26">
        <f t="shared" si="3"/>
        <v>439.89800000000002</v>
      </c>
      <c r="O26">
        <f t="shared" si="4"/>
        <v>240.75075613111619</v>
      </c>
      <c r="P26">
        <f t="shared" si="5"/>
        <v>23.999823114039469</v>
      </c>
      <c r="Q26">
        <f t="shared" si="6"/>
        <v>43.852299190578606</v>
      </c>
      <c r="R26">
        <f t="shared" si="7"/>
        <v>0.42418550773202962</v>
      </c>
      <c r="S26">
        <f t="shared" si="8"/>
        <v>2.9205561287468726</v>
      </c>
      <c r="T26">
        <f t="shared" si="9"/>
        <v>0.39269150889187293</v>
      </c>
      <c r="U26">
        <f t="shared" si="10"/>
        <v>0.2480666619478033</v>
      </c>
      <c r="V26">
        <f t="shared" si="11"/>
        <v>344.3586006583555</v>
      </c>
      <c r="W26">
        <f t="shared" si="12"/>
        <v>31.110813276841569</v>
      </c>
      <c r="X26">
        <f t="shared" si="13"/>
        <v>30.001200000000001</v>
      </c>
      <c r="Y26">
        <f t="shared" si="14"/>
        <v>4.2607434413339513</v>
      </c>
      <c r="Z26">
        <f t="shared" si="15"/>
        <v>65.239159639356927</v>
      </c>
      <c r="AA26">
        <f t="shared" si="16"/>
        <v>2.86977170482389</v>
      </c>
      <c r="AB26">
        <f t="shared" si="17"/>
        <v>4.3988483614565732</v>
      </c>
      <c r="AC26">
        <f t="shared" si="18"/>
        <v>1.3909717365100613</v>
      </c>
      <c r="AD26">
        <f t="shared" si="19"/>
        <v>-250.6021816818012</v>
      </c>
      <c r="AE26">
        <f t="shared" si="20"/>
        <v>87.622606750235249</v>
      </c>
      <c r="AF26">
        <f t="shared" si="21"/>
        <v>6.6894611657985736</v>
      </c>
      <c r="AG26">
        <f t="shared" si="22"/>
        <v>188.06848689258811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51992.122861626405</v>
      </c>
      <c r="AM26" t="s">
        <v>417</v>
      </c>
      <c r="AN26">
        <v>10238.9</v>
      </c>
      <c r="AO26">
        <v>302.21199999999999</v>
      </c>
      <c r="AP26">
        <v>4052.3</v>
      </c>
      <c r="AQ26">
        <f t="shared" si="26"/>
        <v>0.92542210596451402</v>
      </c>
      <c r="AR26">
        <v>-0.32343011824092421</v>
      </c>
      <c r="AS26" t="s">
        <v>469</v>
      </c>
      <c r="AT26">
        <v>10500.8</v>
      </c>
      <c r="AU26">
        <v>731.78991999999994</v>
      </c>
      <c r="AV26">
        <v>1114.19379434034</v>
      </c>
      <c r="AW26">
        <f t="shared" si="27"/>
        <v>0.34321127642498028</v>
      </c>
      <c r="AX26">
        <v>0.5</v>
      </c>
      <c r="AY26">
        <f t="shared" si="28"/>
        <v>1513.1346003291778</v>
      </c>
      <c r="AZ26">
        <f t="shared" si="29"/>
        <v>47.467868403096084</v>
      </c>
      <c r="BA26">
        <f t="shared" si="30"/>
        <v>259.66242879088975</v>
      </c>
      <c r="BB26">
        <f t="shared" si="31"/>
        <v>3.1584300901545806E-2</v>
      </c>
      <c r="BC26">
        <f t="shared" si="32"/>
        <v>2.6369795098339872</v>
      </c>
      <c r="BD26">
        <f t="shared" si="33"/>
        <v>252.54617386880398</v>
      </c>
      <c r="BE26" t="s">
        <v>470</v>
      </c>
      <c r="BF26">
        <v>572.29</v>
      </c>
      <c r="BG26">
        <f t="shared" si="34"/>
        <v>572.29</v>
      </c>
      <c r="BH26">
        <f t="shared" si="35"/>
        <v>0.48636403926587557</v>
      </c>
      <c r="BI26">
        <f t="shared" si="36"/>
        <v>0.70566746041304362</v>
      </c>
      <c r="BJ26">
        <f t="shared" si="37"/>
        <v>0.84428096633620597</v>
      </c>
      <c r="BK26">
        <f t="shared" si="38"/>
        <v>0.47095129103357269</v>
      </c>
      <c r="BL26">
        <f t="shared" si="39"/>
        <v>0.78347660259163521</v>
      </c>
      <c r="BM26">
        <f t="shared" si="40"/>
        <v>0.55186115561660198</v>
      </c>
      <c r="BN26">
        <f t="shared" si="41"/>
        <v>0.44813884438339802</v>
      </c>
      <c r="BO26">
        <v>5706</v>
      </c>
      <c r="BP26">
        <v>290.00000000000011</v>
      </c>
      <c r="BQ26">
        <v>1007.44</v>
      </c>
      <c r="BR26">
        <v>125</v>
      </c>
      <c r="BS26">
        <v>10500.8</v>
      </c>
      <c r="BT26">
        <v>1003.9</v>
      </c>
      <c r="BU26">
        <v>3.54</v>
      </c>
      <c r="BV26">
        <v>300.00000000000011</v>
      </c>
      <c r="BW26">
        <v>38.200000000000003</v>
      </c>
      <c r="BX26">
        <v>1114.19379434034</v>
      </c>
      <c r="BY26">
        <v>1.4613925790549229</v>
      </c>
      <c r="BZ26">
        <v>-115.82035087926199</v>
      </c>
      <c r="CA26">
        <v>1.254377992171714</v>
      </c>
      <c r="CB26">
        <v>0.99672643396086991</v>
      </c>
      <c r="CC26">
        <v>-1.138135928809789E-2</v>
      </c>
      <c r="CD26">
        <v>289.99999999999989</v>
      </c>
      <c r="CE26">
        <v>994.67</v>
      </c>
      <c r="CF26">
        <v>675</v>
      </c>
      <c r="CG26">
        <v>10458.299999999999</v>
      </c>
      <c r="CH26">
        <v>1003.45</v>
      </c>
      <c r="CI26">
        <v>-8.7799999999999994</v>
      </c>
      <c r="CW26">
        <f t="shared" si="42"/>
        <v>1799.94</v>
      </c>
      <c r="CX26">
        <f t="shared" si="43"/>
        <v>1513.1346003291778</v>
      </c>
      <c r="CY26">
        <f t="shared" si="44"/>
        <v>0.84065835546139189</v>
      </c>
      <c r="CZ26">
        <f t="shared" si="45"/>
        <v>0.19131671092278379</v>
      </c>
      <c r="DA26">
        <v>6</v>
      </c>
      <c r="DB26">
        <v>0.5</v>
      </c>
      <c r="DC26" t="s">
        <v>420</v>
      </c>
      <c r="DD26">
        <v>2</v>
      </c>
      <c r="DE26">
        <v>1693495321.5</v>
      </c>
      <c r="DF26">
        <v>439.89800000000002</v>
      </c>
      <c r="DG26">
        <v>499.851</v>
      </c>
      <c r="DH26">
        <v>28.787700000000001</v>
      </c>
      <c r="DI26">
        <v>22.165800000000001</v>
      </c>
      <c r="DJ26">
        <v>442.15600000000001</v>
      </c>
      <c r="DK26">
        <v>28.208600000000001</v>
      </c>
      <c r="DL26">
        <v>500.06799999999998</v>
      </c>
      <c r="DM26">
        <v>99.587800000000001</v>
      </c>
      <c r="DN26">
        <v>9.9625699999999998E-2</v>
      </c>
      <c r="DO26">
        <v>30.557700000000001</v>
      </c>
      <c r="DP26">
        <v>30.001200000000001</v>
      </c>
      <c r="DQ26">
        <v>999.9</v>
      </c>
      <c r="DR26">
        <v>0</v>
      </c>
      <c r="DS26">
        <v>0</v>
      </c>
      <c r="DT26">
        <v>9990</v>
      </c>
      <c r="DU26">
        <v>0</v>
      </c>
      <c r="DV26">
        <v>1645.25</v>
      </c>
      <c r="DW26">
        <v>-59.953000000000003</v>
      </c>
      <c r="DX26">
        <v>452.93700000000001</v>
      </c>
      <c r="DY26">
        <v>511.18200000000002</v>
      </c>
      <c r="DZ26">
        <v>6.6219099999999997</v>
      </c>
      <c r="EA26">
        <v>499.851</v>
      </c>
      <c r="EB26">
        <v>22.165800000000001</v>
      </c>
      <c r="EC26">
        <v>2.8669099999999998</v>
      </c>
      <c r="ED26">
        <v>2.2074500000000001</v>
      </c>
      <c r="EE26">
        <v>23.2745</v>
      </c>
      <c r="EF26">
        <v>19.016500000000001</v>
      </c>
      <c r="EG26">
        <v>1799.94</v>
      </c>
      <c r="EH26">
        <v>0.97799199999999997</v>
      </c>
      <c r="EI26">
        <v>2.2008199999999999E-2</v>
      </c>
      <c r="EJ26">
        <v>0</v>
      </c>
      <c r="EK26">
        <v>732.46199999999999</v>
      </c>
      <c r="EL26">
        <v>4.9995000000000003</v>
      </c>
      <c r="EM26">
        <v>14093.8</v>
      </c>
      <c r="EN26">
        <v>16659.2</v>
      </c>
      <c r="EO26">
        <v>45.375</v>
      </c>
      <c r="EP26">
        <v>46.75</v>
      </c>
      <c r="EQ26">
        <v>46.25</v>
      </c>
      <c r="ER26">
        <v>45.686999999999998</v>
      </c>
      <c r="ES26">
        <v>46.875</v>
      </c>
      <c r="ET26">
        <v>1755.44</v>
      </c>
      <c r="EU26">
        <v>39.5</v>
      </c>
      <c r="EV26">
        <v>0</v>
      </c>
      <c r="EW26">
        <v>107.6000001430511</v>
      </c>
      <c r="EX26">
        <v>0</v>
      </c>
      <c r="EY26">
        <v>731.78991999999994</v>
      </c>
      <c r="EZ26">
        <v>3.8346922918530302</v>
      </c>
      <c r="FA26">
        <v>77.907692194898175</v>
      </c>
      <c r="FB26">
        <v>14085.164000000001</v>
      </c>
      <c r="FC26">
        <v>15</v>
      </c>
      <c r="FD26">
        <v>1693495290</v>
      </c>
      <c r="FE26" t="s">
        <v>471</v>
      </c>
      <c r="FF26">
        <v>1693495281</v>
      </c>
      <c r="FG26">
        <v>1693495290</v>
      </c>
      <c r="FH26">
        <v>11</v>
      </c>
      <c r="FI26">
        <v>5.3999999999999999E-2</v>
      </c>
      <c r="FJ26">
        <v>-8.9999999999999993E-3</v>
      </c>
      <c r="FK26">
        <v>-2.3340000000000001</v>
      </c>
      <c r="FL26">
        <v>0.29899999999999999</v>
      </c>
      <c r="FM26">
        <v>500</v>
      </c>
      <c r="FN26">
        <v>22</v>
      </c>
      <c r="FO26">
        <v>0.1</v>
      </c>
      <c r="FP26">
        <v>0.04</v>
      </c>
      <c r="FQ26">
        <v>47.529203868487272</v>
      </c>
      <c r="FR26">
        <v>0.3783228962486761</v>
      </c>
      <c r="FS26">
        <v>0.1487981283121593</v>
      </c>
      <c r="FT26">
        <v>1</v>
      </c>
      <c r="FU26">
        <v>0.43198744707866182</v>
      </c>
      <c r="FV26">
        <v>-2.7586859827758371E-2</v>
      </c>
      <c r="FW26">
        <v>5.2935965470040846E-3</v>
      </c>
      <c r="FX26">
        <v>1</v>
      </c>
      <c r="FY26">
        <v>2</v>
      </c>
      <c r="FZ26">
        <v>2</v>
      </c>
      <c r="GA26" t="s">
        <v>422</v>
      </c>
      <c r="GB26">
        <v>2.9753400000000001</v>
      </c>
      <c r="GC26">
        <v>2.8112300000000001</v>
      </c>
      <c r="GD26">
        <v>0.106458</v>
      </c>
      <c r="GE26">
        <v>0.115329</v>
      </c>
      <c r="GF26">
        <v>0.137019</v>
      </c>
      <c r="GG26">
        <v>0.114148</v>
      </c>
      <c r="GH26">
        <v>26543.200000000001</v>
      </c>
      <c r="GI26">
        <v>24368.2</v>
      </c>
      <c r="GJ26">
        <v>26678.2</v>
      </c>
      <c r="GK26">
        <v>25960.5</v>
      </c>
      <c r="GL26">
        <v>31294.6</v>
      </c>
      <c r="GM26">
        <v>32391.599999999999</v>
      </c>
      <c r="GN26">
        <v>37806.800000000003</v>
      </c>
      <c r="GO26">
        <v>38412.1</v>
      </c>
      <c r="GP26">
        <v>2.0510999999999999</v>
      </c>
      <c r="GQ26">
        <v>2.0859999999999999</v>
      </c>
      <c r="GR26">
        <v>8.6933399999999994E-2</v>
      </c>
      <c r="GS26">
        <v>0</v>
      </c>
      <c r="GT26">
        <v>28.584900000000001</v>
      </c>
      <c r="GU26">
        <v>999.9</v>
      </c>
      <c r="GV26">
        <v>52.5</v>
      </c>
      <c r="GW26">
        <v>35.200000000000003</v>
      </c>
      <c r="GX26">
        <v>30.108799999999999</v>
      </c>
      <c r="GY26">
        <v>61.159300000000002</v>
      </c>
      <c r="GZ26">
        <v>15.5288</v>
      </c>
      <c r="HA26">
        <v>1</v>
      </c>
      <c r="HB26">
        <v>-0.14393300000000001</v>
      </c>
      <c r="HC26">
        <v>-0.56949899999999998</v>
      </c>
      <c r="HD26">
        <v>20.252600000000001</v>
      </c>
      <c r="HE26">
        <v>5.2035099999999996</v>
      </c>
      <c r="HF26">
        <v>11.9261</v>
      </c>
      <c r="HG26">
        <v>4.9874000000000001</v>
      </c>
      <c r="HH26">
        <v>3.2906</v>
      </c>
      <c r="HI26">
        <v>9999</v>
      </c>
      <c r="HJ26">
        <v>9999</v>
      </c>
      <c r="HK26">
        <v>9999</v>
      </c>
      <c r="HL26">
        <v>999.9</v>
      </c>
      <c r="HM26">
        <v>1.8705499999999999</v>
      </c>
      <c r="HN26">
        <v>1.8766799999999999</v>
      </c>
      <c r="HO26">
        <v>1.87453</v>
      </c>
      <c r="HP26">
        <v>1.8727100000000001</v>
      </c>
      <c r="HQ26">
        <v>1.87317</v>
      </c>
      <c r="HR26">
        <v>1.8705700000000001</v>
      </c>
      <c r="HS26">
        <v>1.87653</v>
      </c>
      <c r="HT26">
        <v>1.87561</v>
      </c>
      <c r="HU26">
        <v>5</v>
      </c>
      <c r="HV26">
        <v>0</v>
      </c>
      <c r="HW26">
        <v>0</v>
      </c>
      <c r="HX26">
        <v>0</v>
      </c>
      <c r="HY26" t="s">
        <v>423</v>
      </c>
      <c r="HZ26" t="s">
        <v>424</v>
      </c>
      <c r="IA26" t="s">
        <v>425</v>
      </c>
      <c r="IB26" t="s">
        <v>425</v>
      </c>
      <c r="IC26" t="s">
        <v>425</v>
      </c>
      <c r="ID26" t="s">
        <v>425</v>
      </c>
      <c r="IE26">
        <v>0</v>
      </c>
      <c r="IF26">
        <v>100</v>
      </c>
      <c r="IG26">
        <v>100</v>
      </c>
      <c r="IH26">
        <v>-2.258</v>
      </c>
      <c r="II26">
        <v>0.57909999999999995</v>
      </c>
      <c r="IJ26">
        <v>-1.3990562351741691</v>
      </c>
      <c r="IK26">
        <v>-2.677719669153116E-3</v>
      </c>
      <c r="IL26">
        <v>1.9353498771248068E-6</v>
      </c>
      <c r="IM26">
        <v>-6.1862177325538213E-10</v>
      </c>
      <c r="IN26">
        <v>-4.5014866135954727E-2</v>
      </c>
      <c r="IO26">
        <v>-1.5299015507423901E-2</v>
      </c>
      <c r="IP26">
        <v>1.742162107778985E-3</v>
      </c>
      <c r="IQ26">
        <v>-1.472690239905804E-5</v>
      </c>
      <c r="IR26">
        <v>3</v>
      </c>
      <c r="IS26">
        <v>2255</v>
      </c>
      <c r="IT26">
        <v>2</v>
      </c>
      <c r="IU26">
        <v>41</v>
      </c>
      <c r="IV26">
        <v>0.7</v>
      </c>
      <c r="IW26">
        <v>0.5</v>
      </c>
      <c r="IX26">
        <v>1.1425799999999999</v>
      </c>
      <c r="IY26">
        <v>2.52075</v>
      </c>
      <c r="IZ26">
        <v>1.6003400000000001</v>
      </c>
      <c r="JA26">
        <v>2.2741699999999998</v>
      </c>
      <c r="JB26">
        <v>1.5502899999999999</v>
      </c>
      <c r="JC26">
        <v>2.2522000000000002</v>
      </c>
      <c r="JD26">
        <v>41.0154</v>
      </c>
      <c r="JE26">
        <v>23.921099999999999</v>
      </c>
      <c r="JF26">
        <v>18</v>
      </c>
      <c r="JG26">
        <v>507.65100000000001</v>
      </c>
      <c r="JH26">
        <v>498.88799999999998</v>
      </c>
      <c r="JI26">
        <v>28.625299999999999</v>
      </c>
      <c r="JJ26">
        <v>25.8123</v>
      </c>
      <c r="JK26">
        <v>30.000399999999999</v>
      </c>
      <c r="JL26">
        <v>25.6418</v>
      </c>
      <c r="JM26">
        <v>25.5825</v>
      </c>
      <c r="JN26">
        <v>22.907299999999999</v>
      </c>
      <c r="JO26">
        <v>34.344700000000003</v>
      </c>
      <c r="JP26">
        <v>89.144499999999994</v>
      </c>
      <c r="JQ26">
        <v>28.620699999999999</v>
      </c>
      <c r="JR26">
        <v>500</v>
      </c>
      <c r="JS26">
        <v>22.227799999999998</v>
      </c>
      <c r="JT26">
        <v>99.667599999999993</v>
      </c>
      <c r="JU26">
        <v>99.779600000000002</v>
      </c>
    </row>
    <row r="27" spans="1:281" x14ac:dyDescent="0.25">
      <c r="A27">
        <v>11</v>
      </c>
      <c r="B27">
        <v>1693495431</v>
      </c>
      <c r="C27">
        <v>1451.400000095367</v>
      </c>
      <c r="D27" t="s">
        <v>472</v>
      </c>
      <c r="E27" t="s">
        <v>473</v>
      </c>
      <c r="F27" t="s">
        <v>413</v>
      </c>
      <c r="G27" t="s">
        <v>414</v>
      </c>
      <c r="H27" t="s">
        <v>415</v>
      </c>
      <c r="I27" t="s">
        <v>416</v>
      </c>
      <c r="J27">
        <v>1693495431</v>
      </c>
      <c r="K27">
        <f t="shared" si="0"/>
        <v>5.6836500741763865E-3</v>
      </c>
      <c r="L27">
        <f t="shared" si="1"/>
        <v>5.6836500741763869</v>
      </c>
      <c r="M27">
        <f t="shared" si="2"/>
        <v>48.12068107472637</v>
      </c>
      <c r="N27">
        <f t="shared" si="3"/>
        <v>637.76199999999994</v>
      </c>
      <c r="O27">
        <f t="shared" si="4"/>
        <v>429.93408929719027</v>
      </c>
      <c r="P27">
        <f t="shared" si="5"/>
        <v>42.859594266069351</v>
      </c>
      <c r="Q27">
        <f t="shared" si="6"/>
        <v>63.577700021414792</v>
      </c>
      <c r="R27">
        <f t="shared" si="7"/>
        <v>0.42066836962132509</v>
      </c>
      <c r="S27">
        <f t="shared" si="8"/>
        <v>2.9205913002096837</v>
      </c>
      <c r="T27">
        <f t="shared" si="9"/>
        <v>0.38967437049621101</v>
      </c>
      <c r="U27">
        <f t="shared" si="10"/>
        <v>0.24614059959657147</v>
      </c>
      <c r="V27">
        <f t="shared" si="11"/>
        <v>344.40230065827137</v>
      </c>
      <c r="W27">
        <f t="shared" si="12"/>
        <v>31.099993078279262</v>
      </c>
      <c r="X27">
        <f t="shared" si="13"/>
        <v>30.006599999999999</v>
      </c>
      <c r="Y27">
        <f t="shared" si="14"/>
        <v>4.2620651697587233</v>
      </c>
      <c r="Z27">
        <f t="shared" si="15"/>
        <v>65.056759007499679</v>
      </c>
      <c r="AA27">
        <f t="shared" si="16"/>
        <v>2.8599806725461399</v>
      </c>
      <c r="AB27">
        <f t="shared" si="17"/>
        <v>4.3961314952938926</v>
      </c>
      <c r="AC27">
        <f t="shared" si="18"/>
        <v>1.4020844972125834</v>
      </c>
      <c r="AD27">
        <f t="shared" si="19"/>
        <v>-250.64896827117866</v>
      </c>
      <c r="AE27">
        <f t="shared" si="20"/>
        <v>85.072892290981798</v>
      </c>
      <c r="AF27">
        <f t="shared" si="21"/>
        <v>6.4945537519288807</v>
      </c>
      <c r="AG27">
        <f t="shared" si="22"/>
        <v>185.3207784300034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51995.016890902596</v>
      </c>
      <c r="AM27" t="s">
        <v>417</v>
      </c>
      <c r="AN27">
        <v>10238.9</v>
      </c>
      <c r="AO27">
        <v>302.21199999999999</v>
      </c>
      <c r="AP27">
        <v>4052.3</v>
      </c>
      <c r="AQ27">
        <f t="shared" si="26"/>
        <v>0.92542210596451402</v>
      </c>
      <c r="AR27">
        <v>-0.32343011824092421</v>
      </c>
      <c r="AS27" t="s">
        <v>474</v>
      </c>
      <c r="AT27">
        <v>10500.4</v>
      </c>
      <c r="AU27">
        <v>737.68638461538467</v>
      </c>
      <c r="AV27">
        <v>1135.2899328283161</v>
      </c>
      <c r="AW27">
        <f t="shared" si="27"/>
        <v>0.35022203290607257</v>
      </c>
      <c r="AX27">
        <v>0.5</v>
      </c>
      <c r="AY27">
        <f t="shared" si="28"/>
        <v>1513.3278003291357</v>
      </c>
      <c r="AZ27">
        <f t="shared" si="29"/>
        <v>48.12068107472637</v>
      </c>
      <c r="BA27">
        <f t="shared" si="30"/>
        <v>265.00036934227251</v>
      </c>
      <c r="BB27">
        <f t="shared" si="31"/>
        <v>3.2011644260041425E-2</v>
      </c>
      <c r="BC27">
        <f t="shared" si="32"/>
        <v>2.5693965768767266</v>
      </c>
      <c r="BD27">
        <f t="shared" si="33"/>
        <v>253.61436776627261</v>
      </c>
      <c r="BE27" t="s">
        <v>475</v>
      </c>
      <c r="BF27">
        <v>576.37</v>
      </c>
      <c r="BG27">
        <f t="shared" si="34"/>
        <v>576.37</v>
      </c>
      <c r="BH27">
        <f t="shared" si="35"/>
        <v>0.49231470892716755</v>
      </c>
      <c r="BI27">
        <f t="shared" si="36"/>
        <v>0.71137836541439581</v>
      </c>
      <c r="BJ27">
        <f t="shared" si="37"/>
        <v>0.83920276506479818</v>
      </c>
      <c r="BK27">
        <f t="shared" si="38"/>
        <v>0.47727053201740621</v>
      </c>
      <c r="BL27">
        <f t="shared" si="39"/>
        <v>0.77785109767335703</v>
      </c>
      <c r="BM27">
        <f t="shared" si="40"/>
        <v>0.55581498726951595</v>
      </c>
      <c r="BN27">
        <f t="shared" si="41"/>
        <v>0.44418501273048405</v>
      </c>
      <c r="BO27">
        <v>5708</v>
      </c>
      <c r="BP27">
        <v>290.00000000000011</v>
      </c>
      <c r="BQ27">
        <v>1025.48</v>
      </c>
      <c r="BR27">
        <v>125</v>
      </c>
      <c r="BS27">
        <v>10500.4</v>
      </c>
      <c r="BT27">
        <v>1021.1</v>
      </c>
      <c r="BU27">
        <v>4.38</v>
      </c>
      <c r="BV27">
        <v>300.00000000000011</v>
      </c>
      <c r="BW27">
        <v>38.200000000000003</v>
      </c>
      <c r="BX27">
        <v>1135.2899328283161</v>
      </c>
      <c r="BY27">
        <v>1.330299496616989</v>
      </c>
      <c r="BZ27">
        <v>-119.9040530774313</v>
      </c>
      <c r="CA27">
        <v>1.1418082550477779</v>
      </c>
      <c r="CB27">
        <v>0.9974673489910848</v>
      </c>
      <c r="CC27">
        <v>-1.1380809343715241E-2</v>
      </c>
      <c r="CD27">
        <v>289.99999999999989</v>
      </c>
      <c r="CE27">
        <v>1011.43</v>
      </c>
      <c r="CF27">
        <v>665</v>
      </c>
      <c r="CG27">
        <v>10458.799999999999</v>
      </c>
      <c r="CH27">
        <v>1020.65</v>
      </c>
      <c r="CI27">
        <v>-9.2200000000000006</v>
      </c>
      <c r="CW27">
        <f t="shared" si="42"/>
        <v>1800.17</v>
      </c>
      <c r="CX27">
        <f t="shared" si="43"/>
        <v>1513.3278003291357</v>
      </c>
      <c r="CY27">
        <f t="shared" si="44"/>
        <v>0.84065827134611493</v>
      </c>
      <c r="CZ27">
        <f t="shared" si="45"/>
        <v>0.19131654269222981</v>
      </c>
      <c r="DA27">
        <v>6</v>
      </c>
      <c r="DB27">
        <v>0.5</v>
      </c>
      <c r="DC27" t="s">
        <v>420</v>
      </c>
      <c r="DD27">
        <v>2</v>
      </c>
      <c r="DE27">
        <v>1693495431</v>
      </c>
      <c r="DF27">
        <v>637.76199999999994</v>
      </c>
      <c r="DG27">
        <v>699.89400000000001</v>
      </c>
      <c r="DH27">
        <v>28.6891</v>
      </c>
      <c r="DI27">
        <v>22.060400000000001</v>
      </c>
      <c r="DJ27">
        <v>640.30499999999995</v>
      </c>
      <c r="DK27">
        <v>28.118500000000001</v>
      </c>
      <c r="DL27">
        <v>499.69900000000001</v>
      </c>
      <c r="DM27">
        <v>99.589799999999997</v>
      </c>
      <c r="DN27">
        <v>9.8955399999999999E-2</v>
      </c>
      <c r="DO27">
        <v>30.546900000000001</v>
      </c>
      <c r="DP27">
        <v>30.006599999999999</v>
      </c>
      <c r="DQ27">
        <v>999.9</v>
      </c>
      <c r="DR27">
        <v>0</v>
      </c>
      <c r="DS27">
        <v>0</v>
      </c>
      <c r="DT27">
        <v>9990</v>
      </c>
      <c r="DU27">
        <v>0</v>
      </c>
      <c r="DV27">
        <v>1677.81</v>
      </c>
      <c r="DW27">
        <v>-62.131300000000003</v>
      </c>
      <c r="DX27">
        <v>656.6</v>
      </c>
      <c r="DY27">
        <v>715.68200000000002</v>
      </c>
      <c r="DZ27">
        <v>6.6287399999999996</v>
      </c>
      <c r="EA27">
        <v>699.89400000000001</v>
      </c>
      <c r="EB27">
        <v>22.060400000000001</v>
      </c>
      <c r="EC27">
        <v>2.8571399999999998</v>
      </c>
      <c r="ED27">
        <v>2.19699</v>
      </c>
      <c r="EE27">
        <v>23.218</v>
      </c>
      <c r="EF27">
        <v>18.9404</v>
      </c>
      <c r="EG27">
        <v>1800.17</v>
      </c>
      <c r="EH27">
        <v>0.97799499999999995</v>
      </c>
      <c r="EI27">
        <v>2.2004599999999999E-2</v>
      </c>
      <c r="EJ27">
        <v>0</v>
      </c>
      <c r="EK27">
        <v>737.84900000000005</v>
      </c>
      <c r="EL27">
        <v>4.9995000000000003</v>
      </c>
      <c r="EM27">
        <v>14218.5</v>
      </c>
      <c r="EN27">
        <v>16661.400000000001</v>
      </c>
      <c r="EO27">
        <v>45.375</v>
      </c>
      <c r="EP27">
        <v>46.875</v>
      </c>
      <c r="EQ27">
        <v>46.25</v>
      </c>
      <c r="ER27">
        <v>45.686999999999998</v>
      </c>
      <c r="ES27">
        <v>46.875</v>
      </c>
      <c r="ET27">
        <v>1755.67</v>
      </c>
      <c r="EU27">
        <v>39.5</v>
      </c>
      <c r="EV27">
        <v>0</v>
      </c>
      <c r="EW27">
        <v>107.5999999046326</v>
      </c>
      <c r="EX27">
        <v>0</v>
      </c>
      <c r="EY27">
        <v>737.68638461538467</v>
      </c>
      <c r="EZ27">
        <v>1.368547004885063</v>
      </c>
      <c r="FA27">
        <v>38.714529722978178</v>
      </c>
      <c r="FB27">
        <v>14209.74615384615</v>
      </c>
      <c r="FC27">
        <v>15</v>
      </c>
      <c r="FD27">
        <v>1693495398.5</v>
      </c>
      <c r="FE27" t="s">
        <v>476</v>
      </c>
      <c r="FF27">
        <v>1693495397.5</v>
      </c>
      <c r="FG27">
        <v>1693495398.5</v>
      </c>
      <c r="FH27">
        <v>12</v>
      </c>
      <c r="FI27">
        <v>-0.06</v>
      </c>
      <c r="FJ27">
        <v>-4.0000000000000001E-3</v>
      </c>
      <c r="FK27">
        <v>-2.6</v>
      </c>
      <c r="FL27">
        <v>0.29699999999999999</v>
      </c>
      <c r="FM27">
        <v>700</v>
      </c>
      <c r="FN27">
        <v>22</v>
      </c>
      <c r="FO27">
        <v>7.0000000000000007E-2</v>
      </c>
      <c r="FP27">
        <v>0.05</v>
      </c>
      <c r="FQ27">
        <v>48.202158664991899</v>
      </c>
      <c r="FR27">
        <v>-0.56407563731099752</v>
      </c>
      <c r="FS27">
        <v>0.17662220940674039</v>
      </c>
      <c r="FT27">
        <v>1</v>
      </c>
      <c r="FU27">
        <v>0.43516561918582108</v>
      </c>
      <c r="FV27">
        <v>2.135686941085724E-3</v>
      </c>
      <c r="FW27">
        <v>8.2831684756563256E-3</v>
      </c>
      <c r="FX27">
        <v>1</v>
      </c>
      <c r="FY27">
        <v>2</v>
      </c>
      <c r="FZ27">
        <v>2</v>
      </c>
      <c r="GA27" t="s">
        <v>422</v>
      </c>
      <c r="GB27">
        <v>2.9743200000000001</v>
      </c>
      <c r="GC27">
        <v>2.8105600000000002</v>
      </c>
      <c r="GD27">
        <v>0.13919799999999999</v>
      </c>
      <c r="GE27">
        <v>0.146398</v>
      </c>
      <c r="GF27">
        <v>0.13669799999999999</v>
      </c>
      <c r="GG27">
        <v>0.11375200000000001</v>
      </c>
      <c r="GH27">
        <v>25572.1</v>
      </c>
      <c r="GI27">
        <v>23508.6</v>
      </c>
      <c r="GJ27">
        <v>26679.3</v>
      </c>
      <c r="GK27">
        <v>25955.9</v>
      </c>
      <c r="GL27">
        <v>31309.8</v>
      </c>
      <c r="GM27">
        <v>32402.5</v>
      </c>
      <c r="GN27">
        <v>37806.6</v>
      </c>
      <c r="GO27">
        <v>38405</v>
      </c>
      <c r="GP27">
        <v>2.0495999999999999</v>
      </c>
      <c r="GQ27">
        <v>2.0853999999999999</v>
      </c>
      <c r="GR27">
        <v>9.2655399999999999E-2</v>
      </c>
      <c r="GS27">
        <v>0</v>
      </c>
      <c r="GT27">
        <v>28.4969</v>
      </c>
      <c r="GU27">
        <v>999.9</v>
      </c>
      <c r="GV27">
        <v>52.1</v>
      </c>
      <c r="GW27">
        <v>35.4</v>
      </c>
      <c r="GX27">
        <v>30.212800000000001</v>
      </c>
      <c r="GY27">
        <v>61.1693</v>
      </c>
      <c r="GZ27">
        <v>14.9239</v>
      </c>
      <c r="HA27">
        <v>1</v>
      </c>
      <c r="HB27">
        <v>-0.13764199999999999</v>
      </c>
      <c r="HC27">
        <v>-0.61850799999999995</v>
      </c>
      <c r="HD27">
        <v>20.251200000000001</v>
      </c>
      <c r="HE27">
        <v>5.1969200000000004</v>
      </c>
      <c r="HF27">
        <v>11.9261</v>
      </c>
      <c r="HG27">
        <v>4.9855999999999998</v>
      </c>
      <c r="HH27">
        <v>3.2892000000000001</v>
      </c>
      <c r="HI27">
        <v>9999</v>
      </c>
      <c r="HJ27">
        <v>9999</v>
      </c>
      <c r="HK27">
        <v>9999</v>
      </c>
      <c r="HL27">
        <v>999.9</v>
      </c>
      <c r="HM27">
        <v>1.8705499999999999</v>
      </c>
      <c r="HN27">
        <v>1.8766799999999999</v>
      </c>
      <c r="HO27">
        <v>1.8745400000000001</v>
      </c>
      <c r="HP27">
        <v>1.8727199999999999</v>
      </c>
      <c r="HQ27">
        <v>1.8732200000000001</v>
      </c>
      <c r="HR27">
        <v>1.8706499999999999</v>
      </c>
      <c r="HS27">
        <v>1.8765099999999999</v>
      </c>
      <c r="HT27">
        <v>1.87561</v>
      </c>
      <c r="HU27">
        <v>5</v>
      </c>
      <c r="HV27">
        <v>0</v>
      </c>
      <c r="HW27">
        <v>0</v>
      </c>
      <c r="HX27">
        <v>0</v>
      </c>
      <c r="HY27" t="s">
        <v>423</v>
      </c>
      <c r="HZ27" t="s">
        <v>424</v>
      </c>
      <c r="IA27" t="s">
        <v>425</v>
      </c>
      <c r="IB27" t="s">
        <v>425</v>
      </c>
      <c r="IC27" t="s">
        <v>425</v>
      </c>
      <c r="ID27" t="s">
        <v>425</v>
      </c>
      <c r="IE27">
        <v>0</v>
      </c>
      <c r="IF27">
        <v>100</v>
      </c>
      <c r="IG27">
        <v>100</v>
      </c>
      <c r="IH27">
        <v>-2.5430000000000001</v>
      </c>
      <c r="II27">
        <v>0.5706</v>
      </c>
      <c r="IJ27">
        <v>-1.4593101813150049</v>
      </c>
      <c r="IK27">
        <v>-2.677719669153116E-3</v>
      </c>
      <c r="IL27">
        <v>1.9353498771248068E-6</v>
      </c>
      <c r="IM27">
        <v>-6.1862177325538213E-10</v>
      </c>
      <c r="IN27">
        <v>-4.9173687949423277E-2</v>
      </c>
      <c r="IO27">
        <v>-1.5299015507423901E-2</v>
      </c>
      <c r="IP27">
        <v>1.742162107778985E-3</v>
      </c>
      <c r="IQ27">
        <v>-1.472690239905804E-5</v>
      </c>
      <c r="IR27">
        <v>3</v>
      </c>
      <c r="IS27">
        <v>2255</v>
      </c>
      <c r="IT27">
        <v>2</v>
      </c>
      <c r="IU27">
        <v>41</v>
      </c>
      <c r="IV27">
        <v>0.6</v>
      </c>
      <c r="IW27">
        <v>0.5</v>
      </c>
      <c r="IX27">
        <v>1.50024</v>
      </c>
      <c r="IY27">
        <v>2.49878</v>
      </c>
      <c r="IZ27">
        <v>1.5991200000000001</v>
      </c>
      <c r="JA27">
        <v>2.2741699999999998</v>
      </c>
      <c r="JB27">
        <v>1.5502899999999999</v>
      </c>
      <c r="JC27">
        <v>2.4047900000000002</v>
      </c>
      <c r="JD27">
        <v>41.041200000000003</v>
      </c>
      <c r="JE27">
        <v>23.9299</v>
      </c>
      <c r="JF27">
        <v>18</v>
      </c>
      <c r="JG27">
        <v>507.24400000000003</v>
      </c>
      <c r="JH27">
        <v>499.07299999999998</v>
      </c>
      <c r="JI27">
        <v>28.756900000000002</v>
      </c>
      <c r="JJ27">
        <v>25.883900000000001</v>
      </c>
      <c r="JK27">
        <v>30.000399999999999</v>
      </c>
      <c r="JL27">
        <v>25.7</v>
      </c>
      <c r="JM27">
        <v>25.643599999999999</v>
      </c>
      <c r="JN27">
        <v>30.053899999999999</v>
      </c>
      <c r="JO27">
        <v>33.766399999999997</v>
      </c>
      <c r="JP27">
        <v>87.314599999999999</v>
      </c>
      <c r="JQ27">
        <v>28.759</v>
      </c>
      <c r="JR27">
        <v>700</v>
      </c>
      <c r="JS27">
        <v>22.288699999999999</v>
      </c>
      <c r="JT27">
        <v>99.6691</v>
      </c>
      <c r="JU27">
        <v>99.761499999999998</v>
      </c>
    </row>
    <row r="28" spans="1:281" x14ac:dyDescent="0.25">
      <c r="A28">
        <v>12</v>
      </c>
      <c r="B28">
        <v>1693495550</v>
      </c>
      <c r="C28">
        <v>1570.400000095367</v>
      </c>
      <c r="D28" t="s">
        <v>477</v>
      </c>
      <c r="E28" t="s">
        <v>478</v>
      </c>
      <c r="F28" t="s">
        <v>413</v>
      </c>
      <c r="G28" t="s">
        <v>414</v>
      </c>
      <c r="H28" t="s">
        <v>415</v>
      </c>
      <c r="I28" t="s">
        <v>416</v>
      </c>
      <c r="J28">
        <v>1693495550</v>
      </c>
      <c r="K28">
        <f t="shared" si="0"/>
        <v>5.4393529369513452E-3</v>
      </c>
      <c r="L28">
        <f t="shared" si="1"/>
        <v>5.4393529369513454</v>
      </c>
      <c r="M28">
        <f t="shared" si="2"/>
        <v>48.15258102528059</v>
      </c>
      <c r="N28">
        <f t="shared" si="3"/>
        <v>836.75300000000004</v>
      </c>
      <c r="O28">
        <f t="shared" si="4"/>
        <v>615.53528455411106</v>
      </c>
      <c r="P28">
        <f t="shared" si="5"/>
        <v>61.36141804649592</v>
      </c>
      <c r="Q28">
        <f t="shared" si="6"/>
        <v>83.414146878441016</v>
      </c>
      <c r="R28">
        <f t="shared" si="7"/>
        <v>0.40132912669599929</v>
      </c>
      <c r="S28">
        <f t="shared" si="8"/>
        <v>2.9231773919644519</v>
      </c>
      <c r="T28">
        <f t="shared" si="9"/>
        <v>0.37303975489735197</v>
      </c>
      <c r="U28">
        <f t="shared" si="10"/>
        <v>0.23552514857685453</v>
      </c>
      <c r="V28">
        <f t="shared" si="11"/>
        <v>344.38900065829694</v>
      </c>
      <c r="W28">
        <f t="shared" si="12"/>
        <v>31.097793838829311</v>
      </c>
      <c r="X28">
        <f t="shared" si="13"/>
        <v>30.003499999999999</v>
      </c>
      <c r="Y28">
        <f t="shared" si="14"/>
        <v>4.2613063560585509</v>
      </c>
      <c r="Z28">
        <f t="shared" si="15"/>
        <v>65.292539333914462</v>
      </c>
      <c r="AA28">
        <f t="shared" si="16"/>
        <v>2.8596569821317002</v>
      </c>
      <c r="AB28">
        <f t="shared" si="17"/>
        <v>4.3797607066667235</v>
      </c>
      <c r="AC28">
        <f t="shared" si="18"/>
        <v>1.4016493739268507</v>
      </c>
      <c r="AD28">
        <f t="shared" si="19"/>
        <v>-239.87546451955433</v>
      </c>
      <c r="AE28">
        <f t="shared" si="20"/>
        <v>75.361613175482134</v>
      </c>
      <c r="AF28">
        <f t="shared" si="21"/>
        <v>5.7461522360557407</v>
      </c>
      <c r="AG28">
        <f t="shared" si="22"/>
        <v>185.62130155028052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52079.830543092641</v>
      </c>
      <c r="AM28" t="s">
        <v>417</v>
      </c>
      <c r="AN28">
        <v>10238.9</v>
      </c>
      <c r="AO28">
        <v>302.21199999999999</v>
      </c>
      <c r="AP28">
        <v>4052.3</v>
      </c>
      <c r="AQ28">
        <f t="shared" si="26"/>
        <v>0.92542210596451402</v>
      </c>
      <c r="AR28">
        <v>-0.32343011824092421</v>
      </c>
      <c r="AS28" t="s">
        <v>479</v>
      </c>
      <c r="AT28">
        <v>10497.8</v>
      </c>
      <c r="AU28">
        <v>736.70738461538463</v>
      </c>
      <c r="AV28">
        <v>1139.6077890587139</v>
      </c>
      <c r="AW28">
        <f t="shared" si="27"/>
        <v>0.35354304201107156</v>
      </c>
      <c r="AX28">
        <v>0.5</v>
      </c>
      <c r="AY28">
        <f t="shared" si="28"/>
        <v>1513.2690003291482</v>
      </c>
      <c r="AZ28">
        <f t="shared" si="29"/>
        <v>48.15258102528059</v>
      </c>
      <c r="BA28">
        <f t="shared" si="30"/>
        <v>267.50286287871018</v>
      </c>
      <c r="BB28">
        <f t="shared" si="31"/>
        <v>3.2033968271984417E-2</v>
      </c>
      <c r="BC28">
        <f t="shared" si="32"/>
        <v>2.5558725018430186</v>
      </c>
      <c r="BD28">
        <f t="shared" si="33"/>
        <v>253.82921087863321</v>
      </c>
      <c r="BE28" t="s">
        <v>480</v>
      </c>
      <c r="BF28">
        <v>574.87</v>
      </c>
      <c r="BG28">
        <f t="shared" si="34"/>
        <v>574.87</v>
      </c>
      <c r="BH28">
        <f t="shared" si="35"/>
        <v>0.495554518388447</v>
      </c>
      <c r="BI28">
        <f t="shared" si="36"/>
        <v>0.71342915641411253</v>
      </c>
      <c r="BJ28">
        <f t="shared" si="37"/>
        <v>0.83759909212875194</v>
      </c>
      <c r="BK28">
        <f t="shared" si="38"/>
        <v>0.48113497787732484</v>
      </c>
      <c r="BL28">
        <f t="shared" si="39"/>
        <v>0.77669969636480163</v>
      </c>
      <c r="BM28">
        <f t="shared" si="40"/>
        <v>0.55670545417689599</v>
      </c>
      <c r="BN28">
        <f t="shared" si="41"/>
        <v>0.44329454582310401</v>
      </c>
      <c r="BO28">
        <v>5710</v>
      </c>
      <c r="BP28">
        <v>290.00000000000011</v>
      </c>
      <c r="BQ28">
        <v>1028.17</v>
      </c>
      <c r="BR28">
        <v>135</v>
      </c>
      <c r="BS28">
        <v>10497.8</v>
      </c>
      <c r="BT28">
        <v>1024.31</v>
      </c>
      <c r="BU28">
        <v>3.86</v>
      </c>
      <c r="BV28">
        <v>300.00000000000011</v>
      </c>
      <c r="BW28">
        <v>38.200000000000003</v>
      </c>
      <c r="BX28">
        <v>1139.6077890587139</v>
      </c>
      <c r="BY28">
        <v>1.3954592909929591</v>
      </c>
      <c r="BZ28">
        <v>-121.0419169526387</v>
      </c>
      <c r="CA28">
        <v>1.197683485702431</v>
      </c>
      <c r="CB28">
        <v>0.99726610628249046</v>
      </c>
      <c r="CC28">
        <v>-1.138032035595106E-2</v>
      </c>
      <c r="CD28">
        <v>289.99999999999989</v>
      </c>
      <c r="CE28">
        <v>1014.67</v>
      </c>
      <c r="CF28">
        <v>685</v>
      </c>
      <c r="CG28">
        <v>10456.4</v>
      </c>
      <c r="CH28">
        <v>1023.85</v>
      </c>
      <c r="CI28">
        <v>-9.18</v>
      </c>
      <c r="CW28">
        <f t="shared" si="42"/>
        <v>1800.1</v>
      </c>
      <c r="CX28">
        <f t="shared" si="43"/>
        <v>1513.2690003291482</v>
      </c>
      <c r="CY28">
        <f t="shared" si="44"/>
        <v>0.84065829694414107</v>
      </c>
      <c r="CZ28">
        <f t="shared" si="45"/>
        <v>0.19131659388828229</v>
      </c>
      <c r="DA28">
        <v>6</v>
      </c>
      <c r="DB28">
        <v>0.5</v>
      </c>
      <c r="DC28" t="s">
        <v>420</v>
      </c>
      <c r="DD28">
        <v>2</v>
      </c>
      <c r="DE28">
        <v>1693495550</v>
      </c>
      <c r="DF28">
        <v>836.75300000000004</v>
      </c>
      <c r="DG28">
        <v>899.97400000000005</v>
      </c>
      <c r="DH28">
        <v>28.6861</v>
      </c>
      <c r="DI28">
        <v>22.348500000000001</v>
      </c>
      <c r="DJ28">
        <v>839.48</v>
      </c>
      <c r="DK28">
        <v>28.117799999999999</v>
      </c>
      <c r="DL28">
        <v>500.18799999999999</v>
      </c>
      <c r="DM28">
        <v>99.587400000000002</v>
      </c>
      <c r="DN28">
        <v>0.100497</v>
      </c>
      <c r="DO28">
        <v>30.4817</v>
      </c>
      <c r="DP28">
        <v>30.003499999999999</v>
      </c>
      <c r="DQ28">
        <v>999.9</v>
      </c>
      <c r="DR28">
        <v>0</v>
      </c>
      <c r="DS28">
        <v>0</v>
      </c>
      <c r="DT28">
        <v>10005</v>
      </c>
      <c r="DU28">
        <v>0</v>
      </c>
      <c r="DV28">
        <v>1705.98</v>
      </c>
      <c r="DW28">
        <v>-63.220500000000001</v>
      </c>
      <c r="DX28">
        <v>861.46500000000003</v>
      </c>
      <c r="DY28">
        <v>920.54600000000005</v>
      </c>
      <c r="DZ28">
        <v>6.3376599999999996</v>
      </c>
      <c r="EA28">
        <v>899.97400000000005</v>
      </c>
      <c r="EB28">
        <v>22.348500000000001</v>
      </c>
      <c r="EC28">
        <v>2.8567800000000001</v>
      </c>
      <c r="ED28">
        <v>2.2256200000000002</v>
      </c>
      <c r="EE28">
        <v>23.215900000000001</v>
      </c>
      <c r="EF28">
        <v>19.148</v>
      </c>
      <c r="EG28">
        <v>1800.1</v>
      </c>
      <c r="EH28">
        <v>0.97799499999999995</v>
      </c>
      <c r="EI28">
        <v>2.2004599999999999E-2</v>
      </c>
      <c r="EJ28">
        <v>0</v>
      </c>
      <c r="EK28">
        <v>736.54</v>
      </c>
      <c r="EL28">
        <v>4.9995000000000003</v>
      </c>
      <c r="EM28">
        <v>14207.7</v>
      </c>
      <c r="EN28">
        <v>16660.7</v>
      </c>
      <c r="EO28">
        <v>45.375</v>
      </c>
      <c r="EP28">
        <v>46.75</v>
      </c>
      <c r="EQ28">
        <v>46.311999999999998</v>
      </c>
      <c r="ER28">
        <v>45.686999999999998</v>
      </c>
      <c r="ES28">
        <v>46.875</v>
      </c>
      <c r="ET28">
        <v>1755.6</v>
      </c>
      <c r="EU28">
        <v>39.5</v>
      </c>
      <c r="EV28">
        <v>0</v>
      </c>
      <c r="EW28">
        <v>117.19999980926509</v>
      </c>
      <c r="EX28">
        <v>0</v>
      </c>
      <c r="EY28">
        <v>736.70738461538463</v>
      </c>
      <c r="EZ28">
        <v>-0.1670427419072168</v>
      </c>
      <c r="FA28">
        <v>76.92991492193471</v>
      </c>
      <c r="FB28">
        <v>14163.223076923079</v>
      </c>
      <c r="FC28">
        <v>15</v>
      </c>
      <c r="FD28">
        <v>1693495516.5</v>
      </c>
      <c r="FE28" t="s">
        <v>481</v>
      </c>
      <c r="FF28">
        <v>1693495516.5</v>
      </c>
      <c r="FG28">
        <v>1693495513.5</v>
      </c>
      <c r="FH28">
        <v>13</v>
      </c>
      <c r="FI28">
        <v>-1.7999999999999999E-2</v>
      </c>
      <c r="FJ28">
        <v>-2E-3</v>
      </c>
      <c r="FK28">
        <v>-2.7719999999999998</v>
      </c>
      <c r="FL28">
        <v>0.29799999999999999</v>
      </c>
      <c r="FM28">
        <v>900</v>
      </c>
      <c r="FN28">
        <v>22</v>
      </c>
      <c r="FO28">
        <v>0.12</v>
      </c>
      <c r="FP28">
        <v>0.04</v>
      </c>
      <c r="FQ28">
        <v>48.055023212046748</v>
      </c>
      <c r="FR28">
        <v>-2.8744462632018221E-2</v>
      </c>
      <c r="FS28">
        <v>0.19435287477955959</v>
      </c>
      <c r="FT28">
        <v>1</v>
      </c>
      <c r="FU28">
        <v>0.4134303226367565</v>
      </c>
      <c r="FV28">
        <v>-2.8725793251143161E-2</v>
      </c>
      <c r="FW28">
        <v>4.0676037249496094E-3</v>
      </c>
      <c r="FX28">
        <v>1</v>
      </c>
      <c r="FY28">
        <v>2</v>
      </c>
      <c r="FZ28">
        <v>2</v>
      </c>
      <c r="GA28" t="s">
        <v>422</v>
      </c>
      <c r="GB28">
        <v>2.9755699999999998</v>
      </c>
      <c r="GC28">
        <v>2.8122400000000001</v>
      </c>
      <c r="GD28">
        <v>0.167375</v>
      </c>
      <c r="GE28">
        <v>0.173322</v>
      </c>
      <c r="GF28">
        <v>0.136682</v>
      </c>
      <c r="GG28">
        <v>0.114782</v>
      </c>
      <c r="GH28">
        <v>24736.3</v>
      </c>
      <c r="GI28">
        <v>22767.9</v>
      </c>
      <c r="GJ28">
        <v>26679.9</v>
      </c>
      <c r="GK28">
        <v>25956.2</v>
      </c>
      <c r="GL28">
        <v>31313.7</v>
      </c>
      <c r="GM28">
        <v>32366.7</v>
      </c>
      <c r="GN28">
        <v>37807.9</v>
      </c>
      <c r="GO28">
        <v>38404.9</v>
      </c>
      <c r="GP28">
        <v>2.0495999999999999</v>
      </c>
      <c r="GQ28">
        <v>2.0842999999999998</v>
      </c>
      <c r="GR28">
        <v>8.9079099999999994E-2</v>
      </c>
      <c r="GS28">
        <v>0</v>
      </c>
      <c r="GT28">
        <v>28.552099999999999</v>
      </c>
      <c r="GU28">
        <v>999.9</v>
      </c>
      <c r="GV28">
        <v>51.5</v>
      </c>
      <c r="GW28">
        <v>35.5</v>
      </c>
      <c r="GX28">
        <v>30.029199999999999</v>
      </c>
      <c r="GY28">
        <v>61.149299999999997</v>
      </c>
      <c r="GZ28">
        <v>14.5473</v>
      </c>
      <c r="HA28">
        <v>1</v>
      </c>
      <c r="HB28">
        <v>-0.137073</v>
      </c>
      <c r="HC28">
        <v>-0.14838799999999999</v>
      </c>
      <c r="HD28">
        <v>20.254300000000001</v>
      </c>
      <c r="HE28">
        <v>5.2100999999999997</v>
      </c>
      <c r="HF28">
        <v>11.9261</v>
      </c>
      <c r="HG28">
        <v>4.9893999999999998</v>
      </c>
      <c r="HH28">
        <v>3.2917000000000001</v>
      </c>
      <c r="HI28">
        <v>9999</v>
      </c>
      <c r="HJ28">
        <v>9999</v>
      </c>
      <c r="HK28">
        <v>9999</v>
      </c>
      <c r="HL28">
        <v>999.9</v>
      </c>
      <c r="HM28">
        <v>1.8705700000000001</v>
      </c>
      <c r="HN28">
        <v>1.8766799999999999</v>
      </c>
      <c r="HO28">
        <v>1.8745400000000001</v>
      </c>
      <c r="HP28">
        <v>1.8727199999999999</v>
      </c>
      <c r="HQ28">
        <v>1.87323</v>
      </c>
      <c r="HR28">
        <v>1.87063</v>
      </c>
      <c r="HS28">
        <v>1.87653</v>
      </c>
      <c r="HT28">
        <v>1.87561</v>
      </c>
      <c r="HU28">
        <v>5</v>
      </c>
      <c r="HV28">
        <v>0</v>
      </c>
      <c r="HW28">
        <v>0</v>
      </c>
      <c r="HX28">
        <v>0</v>
      </c>
      <c r="HY28" t="s">
        <v>423</v>
      </c>
      <c r="HZ28" t="s">
        <v>424</v>
      </c>
      <c r="IA28" t="s">
        <v>425</v>
      </c>
      <c r="IB28" t="s">
        <v>425</v>
      </c>
      <c r="IC28" t="s">
        <v>425</v>
      </c>
      <c r="ID28" t="s">
        <v>425</v>
      </c>
      <c r="IE28">
        <v>0</v>
      </c>
      <c r="IF28">
        <v>100</v>
      </c>
      <c r="IG28">
        <v>100</v>
      </c>
      <c r="IH28">
        <v>-2.7269999999999999</v>
      </c>
      <c r="II28">
        <v>0.56830000000000003</v>
      </c>
      <c r="IJ28">
        <v>-1.476882971260155</v>
      </c>
      <c r="IK28">
        <v>-2.677719669153116E-3</v>
      </c>
      <c r="IL28">
        <v>1.9353498771248068E-6</v>
      </c>
      <c r="IM28">
        <v>-6.1862177325538213E-10</v>
      </c>
      <c r="IN28">
        <v>-5.1520213203933241E-2</v>
      </c>
      <c r="IO28">
        <v>-1.5299015507423901E-2</v>
      </c>
      <c r="IP28">
        <v>1.742162107778985E-3</v>
      </c>
      <c r="IQ28">
        <v>-1.472690239905804E-5</v>
      </c>
      <c r="IR28">
        <v>3</v>
      </c>
      <c r="IS28">
        <v>2255</v>
      </c>
      <c r="IT28">
        <v>2</v>
      </c>
      <c r="IU28">
        <v>41</v>
      </c>
      <c r="IV28">
        <v>0.6</v>
      </c>
      <c r="IW28">
        <v>0.6</v>
      </c>
      <c r="IX28">
        <v>1.8444799999999999</v>
      </c>
      <c r="IY28">
        <v>2.49756</v>
      </c>
      <c r="IZ28">
        <v>1.5991200000000001</v>
      </c>
      <c r="JA28">
        <v>2.2729499999999998</v>
      </c>
      <c r="JB28">
        <v>1.5502899999999999</v>
      </c>
      <c r="JC28">
        <v>2.4377399999999998</v>
      </c>
      <c r="JD28">
        <v>41.170499999999997</v>
      </c>
      <c r="JE28">
        <v>23.9299</v>
      </c>
      <c r="JF28">
        <v>18</v>
      </c>
      <c r="JG28">
        <v>507.54</v>
      </c>
      <c r="JH28">
        <v>498.64600000000002</v>
      </c>
      <c r="JI28">
        <v>27.877500000000001</v>
      </c>
      <c r="JJ28">
        <v>25.907</v>
      </c>
      <c r="JK28">
        <v>30.0001</v>
      </c>
      <c r="JL28">
        <v>25.732399999999998</v>
      </c>
      <c r="JM28">
        <v>25.6736</v>
      </c>
      <c r="JN28">
        <v>36.941400000000002</v>
      </c>
      <c r="JO28">
        <v>32.537100000000002</v>
      </c>
      <c r="JP28">
        <v>85.539299999999997</v>
      </c>
      <c r="JQ28">
        <v>27.883900000000001</v>
      </c>
      <c r="JR28">
        <v>900</v>
      </c>
      <c r="JS28">
        <v>22.51</v>
      </c>
      <c r="JT28">
        <v>99.671999999999997</v>
      </c>
      <c r="JU28">
        <v>99.761700000000005</v>
      </c>
    </row>
    <row r="29" spans="1:281" x14ac:dyDescent="0.25">
      <c r="A29">
        <v>13</v>
      </c>
      <c r="B29">
        <v>1693495708.5</v>
      </c>
      <c r="C29">
        <v>1728.900000095367</v>
      </c>
      <c r="D29" t="s">
        <v>482</v>
      </c>
      <c r="E29" t="s">
        <v>483</v>
      </c>
      <c r="F29" t="s">
        <v>413</v>
      </c>
      <c r="G29" t="s">
        <v>414</v>
      </c>
      <c r="H29" t="s">
        <v>415</v>
      </c>
      <c r="I29" t="s">
        <v>416</v>
      </c>
      <c r="J29">
        <v>1693495708.5</v>
      </c>
      <c r="K29">
        <f t="shared" si="0"/>
        <v>5.2630513427231497E-3</v>
      </c>
      <c r="L29">
        <f t="shared" si="1"/>
        <v>5.2630513427231493</v>
      </c>
      <c r="M29">
        <f t="shared" si="2"/>
        <v>46.541268253837139</v>
      </c>
      <c r="N29">
        <f t="shared" si="3"/>
        <v>1136.99</v>
      </c>
      <c r="O29">
        <f t="shared" si="4"/>
        <v>907.91701658294619</v>
      </c>
      <c r="P29">
        <f t="shared" si="5"/>
        <v>90.505972001922814</v>
      </c>
      <c r="Q29">
        <f t="shared" si="6"/>
        <v>113.34117901409</v>
      </c>
      <c r="R29">
        <f t="shared" si="7"/>
        <v>0.38529201355930531</v>
      </c>
      <c r="S29">
        <f t="shared" si="8"/>
        <v>2.92313692441537</v>
      </c>
      <c r="T29">
        <f t="shared" si="9"/>
        <v>0.35913904825044818</v>
      </c>
      <c r="U29">
        <f t="shared" si="10"/>
        <v>0.22666354097720745</v>
      </c>
      <c r="V29">
        <f t="shared" si="11"/>
        <v>344.32000065826196</v>
      </c>
      <c r="W29">
        <f t="shared" si="12"/>
        <v>31.034778000483858</v>
      </c>
      <c r="X29">
        <f t="shared" si="13"/>
        <v>29.900099999999998</v>
      </c>
      <c r="Y29">
        <f t="shared" si="14"/>
        <v>4.2360636121551316</v>
      </c>
      <c r="Z29">
        <f t="shared" si="15"/>
        <v>64.948353999576128</v>
      </c>
      <c r="AA29">
        <f t="shared" si="16"/>
        <v>2.8269651989398996</v>
      </c>
      <c r="AB29">
        <f t="shared" si="17"/>
        <v>4.3526356325494397</v>
      </c>
      <c r="AC29">
        <f t="shared" si="18"/>
        <v>1.409098413215232</v>
      </c>
      <c r="AD29">
        <f t="shared" si="19"/>
        <v>-232.10056421409089</v>
      </c>
      <c r="AE29">
        <f t="shared" si="20"/>
        <v>74.556849887862796</v>
      </c>
      <c r="AF29">
        <f t="shared" si="21"/>
        <v>5.6789128541424825</v>
      </c>
      <c r="AG29">
        <f t="shared" si="22"/>
        <v>192.45519918617634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52097.253420835317</v>
      </c>
      <c r="AM29" t="s">
        <v>417</v>
      </c>
      <c r="AN29">
        <v>10238.9</v>
      </c>
      <c r="AO29">
        <v>302.21199999999999</v>
      </c>
      <c r="AP29">
        <v>4052.3</v>
      </c>
      <c r="AQ29">
        <f t="shared" si="26"/>
        <v>0.92542210596451402</v>
      </c>
      <c r="AR29">
        <v>-0.32343011824092421</v>
      </c>
      <c r="AS29" t="s">
        <v>484</v>
      </c>
      <c r="AT29">
        <v>10496</v>
      </c>
      <c r="AU29">
        <v>732.88292000000001</v>
      </c>
      <c r="AV29">
        <v>1133.5539977533649</v>
      </c>
      <c r="AW29">
        <f t="shared" si="27"/>
        <v>0.35346448298666899</v>
      </c>
      <c r="AX29">
        <v>0.5</v>
      </c>
      <c r="AY29">
        <f t="shared" si="28"/>
        <v>1512.9663003291307</v>
      </c>
      <c r="AZ29">
        <f t="shared" si="29"/>
        <v>46.541268253837139</v>
      </c>
      <c r="BA29">
        <f t="shared" si="30"/>
        <v>267.38992556104478</v>
      </c>
      <c r="BB29">
        <f t="shared" si="31"/>
        <v>3.0975374905497309E-2</v>
      </c>
      <c r="BC29">
        <f t="shared" si="32"/>
        <v>2.5748627838033409</v>
      </c>
      <c r="BD29">
        <f t="shared" si="33"/>
        <v>253.5276349123111</v>
      </c>
      <c r="BE29" t="s">
        <v>485</v>
      </c>
      <c r="BF29">
        <v>574.27</v>
      </c>
      <c r="BG29">
        <f t="shared" si="34"/>
        <v>574.27</v>
      </c>
      <c r="BH29">
        <f t="shared" si="35"/>
        <v>0.49338981544931415</v>
      </c>
      <c r="BI29">
        <f t="shared" si="36"/>
        <v>0.71640003891199167</v>
      </c>
      <c r="BJ29">
        <f t="shared" si="37"/>
        <v>0.83919517722579595</v>
      </c>
      <c r="BK29">
        <f t="shared" si="38"/>
        <v>0.48195697900039497</v>
      </c>
      <c r="BL29">
        <f t="shared" si="39"/>
        <v>0.77831400283050289</v>
      </c>
      <c r="BM29">
        <f t="shared" si="40"/>
        <v>0.56135439797940634</v>
      </c>
      <c r="BN29">
        <f t="shared" si="41"/>
        <v>0.43864560202059366</v>
      </c>
      <c r="BO29">
        <v>5712</v>
      </c>
      <c r="BP29">
        <v>290.00000000000011</v>
      </c>
      <c r="BQ29">
        <v>1024.3599999999999</v>
      </c>
      <c r="BR29">
        <v>135</v>
      </c>
      <c r="BS29">
        <v>10496</v>
      </c>
      <c r="BT29">
        <v>1020.34</v>
      </c>
      <c r="BU29">
        <v>4.0199999999999996</v>
      </c>
      <c r="BV29">
        <v>300.00000000000011</v>
      </c>
      <c r="BW29">
        <v>38.200000000000003</v>
      </c>
      <c r="BX29">
        <v>1133.5539977533649</v>
      </c>
      <c r="BY29">
        <v>1.493252384678454</v>
      </c>
      <c r="BZ29">
        <v>-118.8344675143429</v>
      </c>
      <c r="CA29">
        <v>1.2813916158152909</v>
      </c>
      <c r="CB29">
        <v>0.99675492060535731</v>
      </c>
      <c r="CC29">
        <v>-1.137843692992214E-2</v>
      </c>
      <c r="CD29">
        <v>289.99999999999989</v>
      </c>
      <c r="CE29">
        <v>1011.53</v>
      </c>
      <c r="CF29">
        <v>655</v>
      </c>
      <c r="CG29">
        <v>10457.5</v>
      </c>
      <c r="CH29">
        <v>1019.92</v>
      </c>
      <c r="CI29">
        <v>-8.39</v>
      </c>
      <c r="CW29">
        <f t="shared" si="42"/>
        <v>1799.74</v>
      </c>
      <c r="CX29">
        <f t="shared" si="43"/>
        <v>1512.9663003291307</v>
      </c>
      <c r="CY29">
        <f t="shared" si="44"/>
        <v>0.84065826193179616</v>
      </c>
      <c r="CZ29">
        <f t="shared" si="45"/>
        <v>0.19131652386359249</v>
      </c>
      <c r="DA29">
        <v>6</v>
      </c>
      <c r="DB29">
        <v>0.5</v>
      </c>
      <c r="DC29" t="s">
        <v>420</v>
      </c>
      <c r="DD29">
        <v>2</v>
      </c>
      <c r="DE29">
        <v>1693495708.5</v>
      </c>
      <c r="DF29">
        <v>1136.99</v>
      </c>
      <c r="DG29">
        <v>1199.99</v>
      </c>
      <c r="DH29">
        <v>28.358899999999998</v>
      </c>
      <c r="DI29">
        <v>22.225300000000001</v>
      </c>
      <c r="DJ29">
        <v>1139.92</v>
      </c>
      <c r="DK29">
        <v>27.808599999999998</v>
      </c>
      <c r="DL29">
        <v>500.24099999999999</v>
      </c>
      <c r="DM29">
        <v>99.585099999999997</v>
      </c>
      <c r="DN29">
        <v>0.100191</v>
      </c>
      <c r="DO29">
        <v>30.373200000000001</v>
      </c>
      <c r="DP29">
        <v>29.900099999999998</v>
      </c>
      <c r="DQ29">
        <v>999.9</v>
      </c>
      <c r="DR29">
        <v>0</v>
      </c>
      <c r="DS29">
        <v>0</v>
      </c>
      <c r="DT29">
        <v>10005</v>
      </c>
      <c r="DU29">
        <v>0</v>
      </c>
      <c r="DV29">
        <v>1045.1300000000001</v>
      </c>
      <c r="DW29">
        <v>-62.997100000000003</v>
      </c>
      <c r="DX29">
        <v>1170.17</v>
      </c>
      <c r="DY29">
        <v>1227.26</v>
      </c>
      <c r="DZ29">
        <v>6.13361</v>
      </c>
      <c r="EA29">
        <v>1199.99</v>
      </c>
      <c r="EB29">
        <v>22.225300000000001</v>
      </c>
      <c r="EC29">
        <v>2.8241299999999998</v>
      </c>
      <c r="ED29">
        <v>2.2133099999999999</v>
      </c>
      <c r="EE29">
        <v>23.0258</v>
      </c>
      <c r="EF29">
        <v>19.059000000000001</v>
      </c>
      <c r="EG29">
        <v>1799.74</v>
      </c>
      <c r="EH29">
        <v>0.97799499999999995</v>
      </c>
      <c r="EI29">
        <v>2.2004599999999999E-2</v>
      </c>
      <c r="EJ29">
        <v>0</v>
      </c>
      <c r="EK29">
        <v>732.44399999999996</v>
      </c>
      <c r="EL29">
        <v>4.9995000000000003</v>
      </c>
      <c r="EM29">
        <v>13771.1</v>
      </c>
      <c r="EN29">
        <v>16657.400000000001</v>
      </c>
      <c r="EO29">
        <v>45.436999999999998</v>
      </c>
      <c r="EP29">
        <v>46.625</v>
      </c>
      <c r="EQ29">
        <v>46.375</v>
      </c>
      <c r="ER29">
        <v>45.625</v>
      </c>
      <c r="ES29">
        <v>46.936999999999998</v>
      </c>
      <c r="ET29">
        <v>1755.25</v>
      </c>
      <c r="EU29">
        <v>39.49</v>
      </c>
      <c r="EV29">
        <v>0</v>
      </c>
      <c r="EW29">
        <v>156.60000014305109</v>
      </c>
      <c r="EX29">
        <v>0</v>
      </c>
      <c r="EY29">
        <v>732.88292000000001</v>
      </c>
      <c r="EZ29">
        <v>-0.92784616539437359</v>
      </c>
      <c r="FA29">
        <v>-1783.9692253517071</v>
      </c>
      <c r="FB29">
        <v>13986.38</v>
      </c>
      <c r="FC29">
        <v>15</v>
      </c>
      <c r="FD29">
        <v>1693495654.5</v>
      </c>
      <c r="FE29" t="s">
        <v>486</v>
      </c>
      <c r="FF29">
        <v>1693495654.5</v>
      </c>
      <c r="FG29">
        <v>1693495652.5</v>
      </c>
      <c r="FH29">
        <v>14</v>
      </c>
      <c r="FI29">
        <v>-3.0000000000000001E-3</v>
      </c>
      <c r="FJ29">
        <v>-3.0000000000000001E-3</v>
      </c>
      <c r="FK29">
        <v>-2.976</v>
      </c>
      <c r="FL29">
        <v>0.28699999999999998</v>
      </c>
      <c r="FM29">
        <v>1200</v>
      </c>
      <c r="FN29">
        <v>22</v>
      </c>
      <c r="FO29">
        <v>0.17</v>
      </c>
      <c r="FP29">
        <v>0.04</v>
      </c>
      <c r="FQ29">
        <v>46.50497911559227</v>
      </c>
      <c r="FR29">
        <v>-0.15080292094683551</v>
      </c>
      <c r="FS29">
        <v>0.19371881095349661</v>
      </c>
      <c r="FT29">
        <v>1</v>
      </c>
      <c r="FU29">
        <v>0.38581636419467569</v>
      </c>
      <c r="FV29">
        <v>8.8292528133270941E-3</v>
      </c>
      <c r="FW29">
        <v>9.5231619527148196E-4</v>
      </c>
      <c r="FX29">
        <v>1</v>
      </c>
      <c r="FY29">
        <v>2</v>
      </c>
      <c r="FZ29">
        <v>2</v>
      </c>
      <c r="GA29" t="s">
        <v>422</v>
      </c>
      <c r="GB29">
        <v>2.97567</v>
      </c>
      <c r="GC29">
        <v>2.8119399999999999</v>
      </c>
      <c r="GD29">
        <v>0.20408699999999999</v>
      </c>
      <c r="GE29">
        <v>0.208513</v>
      </c>
      <c r="GF29">
        <v>0.13561300000000001</v>
      </c>
      <c r="GG29">
        <v>0.11432299999999999</v>
      </c>
      <c r="GH29">
        <v>23650.3</v>
      </c>
      <c r="GI29">
        <v>21798</v>
      </c>
      <c r="GJ29">
        <v>26684.1</v>
      </c>
      <c r="GK29">
        <v>25954.1</v>
      </c>
      <c r="GL29">
        <v>31360.7</v>
      </c>
      <c r="GM29">
        <v>32383.599999999999</v>
      </c>
      <c r="GN29">
        <v>37812.199999999997</v>
      </c>
      <c r="GO29">
        <v>38401.9</v>
      </c>
      <c r="GP29">
        <v>2.0497000000000001</v>
      </c>
      <c r="GQ29">
        <v>2.0840000000000001</v>
      </c>
      <c r="GR29">
        <v>0.112429</v>
      </c>
      <c r="GS29">
        <v>0</v>
      </c>
      <c r="GT29">
        <v>28.067399999999999</v>
      </c>
      <c r="GU29">
        <v>999.9</v>
      </c>
      <c r="GV29">
        <v>50.8</v>
      </c>
      <c r="GW29">
        <v>35.700000000000003</v>
      </c>
      <c r="GX29">
        <v>29.948899999999998</v>
      </c>
      <c r="GY29">
        <v>60.799399999999999</v>
      </c>
      <c r="GZ29">
        <v>15.4207</v>
      </c>
      <c r="HA29">
        <v>1</v>
      </c>
      <c r="HB29">
        <v>-0.131799</v>
      </c>
      <c r="HC29">
        <v>-1.8415999999999999</v>
      </c>
      <c r="HD29">
        <v>20.2439</v>
      </c>
      <c r="HE29">
        <v>5.2107000000000001</v>
      </c>
      <c r="HF29">
        <v>11.9261</v>
      </c>
      <c r="HG29">
        <v>4.9896000000000003</v>
      </c>
      <c r="HH29">
        <v>3.2917999999999998</v>
      </c>
      <c r="HI29">
        <v>9999</v>
      </c>
      <c r="HJ29">
        <v>9999</v>
      </c>
      <c r="HK29">
        <v>9999</v>
      </c>
      <c r="HL29">
        <v>999.9</v>
      </c>
      <c r="HM29">
        <v>1.8705700000000001</v>
      </c>
      <c r="HN29">
        <v>1.8767</v>
      </c>
      <c r="HO29">
        <v>1.8745400000000001</v>
      </c>
      <c r="HP29">
        <v>1.8727100000000001</v>
      </c>
      <c r="HQ29">
        <v>1.8732</v>
      </c>
      <c r="HR29">
        <v>1.8706499999999999</v>
      </c>
      <c r="HS29">
        <v>1.87653</v>
      </c>
      <c r="HT29">
        <v>1.87561</v>
      </c>
      <c r="HU29">
        <v>5</v>
      </c>
      <c r="HV29">
        <v>0</v>
      </c>
      <c r="HW29">
        <v>0</v>
      </c>
      <c r="HX29">
        <v>0</v>
      </c>
      <c r="HY29" t="s">
        <v>423</v>
      </c>
      <c r="HZ29" t="s">
        <v>424</v>
      </c>
      <c r="IA29" t="s">
        <v>425</v>
      </c>
      <c r="IB29" t="s">
        <v>425</v>
      </c>
      <c r="IC29" t="s">
        <v>425</v>
      </c>
      <c r="ID29" t="s">
        <v>425</v>
      </c>
      <c r="IE29">
        <v>0</v>
      </c>
      <c r="IF29">
        <v>100</v>
      </c>
      <c r="IG29">
        <v>100</v>
      </c>
      <c r="IH29">
        <v>-2.93</v>
      </c>
      <c r="II29">
        <v>0.55030000000000001</v>
      </c>
      <c r="IJ29">
        <v>-1.478921193551078</v>
      </c>
      <c r="IK29">
        <v>-2.677719669153116E-3</v>
      </c>
      <c r="IL29">
        <v>1.9353498771248068E-6</v>
      </c>
      <c r="IM29">
        <v>-6.1862177325538213E-10</v>
      </c>
      <c r="IN29">
        <v>-5.4708115729020727E-2</v>
      </c>
      <c r="IO29">
        <v>-1.5299015507423901E-2</v>
      </c>
      <c r="IP29">
        <v>1.742162107778985E-3</v>
      </c>
      <c r="IQ29">
        <v>-1.472690239905804E-5</v>
      </c>
      <c r="IR29">
        <v>3</v>
      </c>
      <c r="IS29">
        <v>2255</v>
      </c>
      <c r="IT29">
        <v>2</v>
      </c>
      <c r="IU29">
        <v>41</v>
      </c>
      <c r="IV29">
        <v>0.9</v>
      </c>
      <c r="IW29">
        <v>0.9</v>
      </c>
      <c r="IX29">
        <v>2.34131</v>
      </c>
      <c r="IY29">
        <v>2.50366</v>
      </c>
      <c r="IZ29">
        <v>1.5991200000000001</v>
      </c>
      <c r="JA29">
        <v>2.2729499999999998</v>
      </c>
      <c r="JB29">
        <v>1.5502899999999999</v>
      </c>
      <c r="JC29">
        <v>2.2570800000000002</v>
      </c>
      <c r="JD29">
        <v>41.222299999999997</v>
      </c>
      <c r="JE29">
        <v>23.912400000000002</v>
      </c>
      <c r="JF29">
        <v>18</v>
      </c>
      <c r="JG29">
        <v>508.05599999999998</v>
      </c>
      <c r="JH29">
        <v>498.892</v>
      </c>
      <c r="JI29">
        <v>29.339500000000001</v>
      </c>
      <c r="JJ29">
        <v>25.942900000000002</v>
      </c>
      <c r="JK29">
        <v>30.0002</v>
      </c>
      <c r="JL29">
        <v>25.7822</v>
      </c>
      <c r="JM29">
        <v>25.720300000000002</v>
      </c>
      <c r="JN29">
        <v>46.8675</v>
      </c>
      <c r="JO29">
        <v>32.753399999999999</v>
      </c>
      <c r="JP29">
        <v>82.437399999999997</v>
      </c>
      <c r="JQ29">
        <v>29.3706</v>
      </c>
      <c r="JR29">
        <v>1200</v>
      </c>
      <c r="JS29">
        <v>22.2529</v>
      </c>
      <c r="JT29">
        <v>99.685199999999995</v>
      </c>
      <c r="JU29">
        <v>99.753900000000002</v>
      </c>
    </row>
    <row r="30" spans="1:281" x14ac:dyDescent="0.25">
      <c r="A30">
        <v>14</v>
      </c>
      <c r="B30">
        <v>1693495828</v>
      </c>
      <c r="C30">
        <v>1848.400000095367</v>
      </c>
      <c r="D30" t="s">
        <v>487</v>
      </c>
      <c r="E30" t="s">
        <v>488</v>
      </c>
      <c r="F30" t="s">
        <v>413</v>
      </c>
      <c r="G30" t="s">
        <v>414</v>
      </c>
      <c r="H30" t="s">
        <v>415</v>
      </c>
      <c r="I30" t="s">
        <v>416</v>
      </c>
      <c r="J30">
        <v>1693495828</v>
      </c>
      <c r="K30">
        <f t="shared" si="0"/>
        <v>5.1810574636565014E-3</v>
      </c>
      <c r="L30">
        <f t="shared" si="1"/>
        <v>5.1810574636565017</v>
      </c>
      <c r="M30">
        <f t="shared" si="2"/>
        <v>45.65341760368424</v>
      </c>
      <c r="N30">
        <f t="shared" si="3"/>
        <v>1436.09</v>
      </c>
      <c r="O30">
        <f t="shared" si="4"/>
        <v>1198.9578238171614</v>
      </c>
      <c r="P30">
        <f t="shared" si="5"/>
        <v>119.51821018071311</v>
      </c>
      <c r="Q30">
        <f t="shared" si="6"/>
        <v>143.15675084546999</v>
      </c>
      <c r="R30">
        <f t="shared" si="7"/>
        <v>0.37570492336865408</v>
      </c>
      <c r="S30">
        <f t="shared" si="8"/>
        <v>2.9147926024045354</v>
      </c>
      <c r="T30">
        <f t="shared" si="9"/>
        <v>0.35072592326884244</v>
      </c>
      <c r="U30">
        <f t="shared" si="10"/>
        <v>0.22130942137755361</v>
      </c>
      <c r="V30">
        <f t="shared" si="11"/>
        <v>344.39030065812665</v>
      </c>
      <c r="W30">
        <f t="shared" si="12"/>
        <v>31.159078226052106</v>
      </c>
      <c r="X30">
        <f t="shared" si="13"/>
        <v>30.075900000000001</v>
      </c>
      <c r="Y30">
        <f t="shared" si="14"/>
        <v>4.2790590961183321</v>
      </c>
      <c r="Z30">
        <f t="shared" si="15"/>
        <v>65.310825129432274</v>
      </c>
      <c r="AA30">
        <f t="shared" si="16"/>
        <v>2.8591974561309002</v>
      </c>
      <c r="AB30">
        <f t="shared" si="17"/>
        <v>4.3778308580002996</v>
      </c>
      <c r="AC30">
        <f t="shared" si="18"/>
        <v>1.419861639987432</v>
      </c>
      <c r="AD30">
        <f t="shared" si="19"/>
        <v>-228.48463414725171</v>
      </c>
      <c r="AE30">
        <f t="shared" si="20"/>
        <v>62.558349144649661</v>
      </c>
      <c r="AF30">
        <f t="shared" si="21"/>
        <v>4.785183926229621</v>
      </c>
      <c r="AG30">
        <f t="shared" si="22"/>
        <v>183.2491995817542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51842.299879168553</v>
      </c>
      <c r="AM30" t="s">
        <v>417</v>
      </c>
      <c r="AN30">
        <v>10238.9</v>
      </c>
      <c r="AO30">
        <v>302.21199999999999</v>
      </c>
      <c r="AP30">
        <v>4052.3</v>
      </c>
      <c r="AQ30">
        <f t="shared" si="26"/>
        <v>0.92542210596451402</v>
      </c>
      <c r="AR30">
        <v>-0.32343011824092421</v>
      </c>
      <c r="AS30" t="s">
        <v>489</v>
      </c>
      <c r="AT30">
        <v>10496.3</v>
      </c>
      <c r="AU30">
        <v>730.50272000000007</v>
      </c>
      <c r="AV30">
        <v>1134.4782175831051</v>
      </c>
      <c r="AW30">
        <f t="shared" si="27"/>
        <v>0.35608924994940439</v>
      </c>
      <c r="AX30">
        <v>0.5</v>
      </c>
      <c r="AY30">
        <f t="shared" si="28"/>
        <v>1513.2771003290634</v>
      </c>
      <c r="AZ30">
        <f t="shared" si="29"/>
        <v>45.65341760368424</v>
      </c>
      <c r="BA30">
        <f t="shared" si="30"/>
        <v>269.43085381089287</v>
      </c>
      <c r="BB30">
        <f t="shared" si="31"/>
        <v>3.0382305865810998E-2</v>
      </c>
      <c r="BC30">
        <f t="shared" si="32"/>
        <v>2.5719504677956966</v>
      </c>
      <c r="BD30">
        <f t="shared" si="33"/>
        <v>253.57383753787792</v>
      </c>
      <c r="BE30" t="s">
        <v>490</v>
      </c>
      <c r="BF30">
        <v>573.19000000000005</v>
      </c>
      <c r="BG30">
        <f t="shared" si="34"/>
        <v>573.19000000000005</v>
      </c>
      <c r="BH30">
        <f t="shared" si="35"/>
        <v>0.49475451258894565</v>
      </c>
      <c r="BI30">
        <f t="shared" si="36"/>
        <v>0.71972916039929502</v>
      </c>
      <c r="BJ30">
        <f t="shared" si="37"/>
        <v>0.83866902236977126</v>
      </c>
      <c r="BK30">
        <f t="shared" si="38"/>
        <v>0.4853921606433178</v>
      </c>
      <c r="BL30">
        <f t="shared" si="39"/>
        <v>0.77806754999266547</v>
      </c>
      <c r="BM30">
        <f t="shared" si="40"/>
        <v>0.56473651111014611</v>
      </c>
      <c r="BN30">
        <f t="shared" si="41"/>
        <v>0.43526348888985389</v>
      </c>
      <c r="BO30">
        <v>5714</v>
      </c>
      <c r="BP30">
        <v>290.00000000000011</v>
      </c>
      <c r="BQ30">
        <v>1022.35</v>
      </c>
      <c r="BR30">
        <v>135</v>
      </c>
      <c r="BS30">
        <v>10496.3</v>
      </c>
      <c r="BT30">
        <v>1019.91</v>
      </c>
      <c r="BU30">
        <v>2.44</v>
      </c>
      <c r="BV30">
        <v>300.00000000000011</v>
      </c>
      <c r="BW30">
        <v>38.200000000000003</v>
      </c>
      <c r="BX30">
        <v>1134.4782175831051</v>
      </c>
      <c r="BY30">
        <v>1.1582914980674739</v>
      </c>
      <c r="BZ30">
        <v>-120.2515806801606</v>
      </c>
      <c r="CA30">
        <v>0.99397805142650697</v>
      </c>
      <c r="CB30">
        <v>0.99809058648359761</v>
      </c>
      <c r="CC30">
        <v>-1.137880845383759E-2</v>
      </c>
      <c r="CD30">
        <v>289.99999999999989</v>
      </c>
      <c r="CE30">
        <v>1011.9</v>
      </c>
      <c r="CF30">
        <v>675</v>
      </c>
      <c r="CG30">
        <v>10455.799999999999</v>
      </c>
      <c r="CH30">
        <v>1019.47</v>
      </c>
      <c r="CI30">
        <v>-7.57</v>
      </c>
      <c r="CW30">
        <f t="shared" si="42"/>
        <v>1800.11</v>
      </c>
      <c r="CX30">
        <f t="shared" si="43"/>
        <v>1513.2771003290634</v>
      </c>
      <c r="CY30">
        <f t="shared" si="44"/>
        <v>0.84065812663063</v>
      </c>
      <c r="CZ30">
        <f t="shared" si="45"/>
        <v>0.19131625326125995</v>
      </c>
      <c r="DA30">
        <v>6</v>
      </c>
      <c r="DB30">
        <v>0.5</v>
      </c>
      <c r="DC30" t="s">
        <v>420</v>
      </c>
      <c r="DD30">
        <v>2</v>
      </c>
      <c r="DE30">
        <v>1693495828</v>
      </c>
      <c r="DF30">
        <v>1436.09</v>
      </c>
      <c r="DG30">
        <v>1499.76</v>
      </c>
      <c r="DH30">
        <v>28.682300000000001</v>
      </c>
      <c r="DI30">
        <v>22.647400000000001</v>
      </c>
      <c r="DJ30">
        <v>1439.24</v>
      </c>
      <c r="DK30">
        <v>28.1172</v>
      </c>
      <c r="DL30">
        <v>500.33499999999998</v>
      </c>
      <c r="DM30">
        <v>99.584400000000002</v>
      </c>
      <c r="DN30">
        <v>0.10068299999999999</v>
      </c>
      <c r="DO30">
        <v>30.474</v>
      </c>
      <c r="DP30">
        <v>30.075900000000001</v>
      </c>
      <c r="DQ30">
        <v>999.9</v>
      </c>
      <c r="DR30">
        <v>0</v>
      </c>
      <c r="DS30">
        <v>0</v>
      </c>
      <c r="DT30">
        <v>9957.5</v>
      </c>
      <c r="DU30">
        <v>0</v>
      </c>
      <c r="DV30">
        <v>1718.5</v>
      </c>
      <c r="DW30">
        <v>-63.673699999999997</v>
      </c>
      <c r="DX30">
        <v>1478.5</v>
      </c>
      <c r="DY30">
        <v>1534.52</v>
      </c>
      <c r="DZ30">
        <v>6.0348600000000001</v>
      </c>
      <c r="EA30">
        <v>1499.76</v>
      </c>
      <c r="EB30">
        <v>22.647400000000001</v>
      </c>
      <c r="EC30">
        <v>2.8563100000000001</v>
      </c>
      <c r="ED30">
        <v>2.2553299999999998</v>
      </c>
      <c r="EE30">
        <v>23.213200000000001</v>
      </c>
      <c r="EF30">
        <v>19.360900000000001</v>
      </c>
      <c r="EG30">
        <v>1800.11</v>
      </c>
      <c r="EH30">
        <v>0.97799899999999995</v>
      </c>
      <c r="EI30">
        <v>2.2001199999999999E-2</v>
      </c>
      <c r="EJ30">
        <v>0</v>
      </c>
      <c r="EK30">
        <v>730.48699999999997</v>
      </c>
      <c r="EL30">
        <v>4.9995000000000003</v>
      </c>
      <c r="EM30">
        <v>14084.7</v>
      </c>
      <c r="EN30">
        <v>16660.8</v>
      </c>
      <c r="EO30">
        <v>45.5</v>
      </c>
      <c r="EP30">
        <v>46.811999999999998</v>
      </c>
      <c r="EQ30">
        <v>46.375</v>
      </c>
      <c r="ER30">
        <v>45.625</v>
      </c>
      <c r="ES30">
        <v>46.936999999999998</v>
      </c>
      <c r="ET30">
        <v>1755.62</v>
      </c>
      <c r="EU30">
        <v>39.49</v>
      </c>
      <c r="EV30">
        <v>0</v>
      </c>
      <c r="EW30">
        <v>117.7999999523163</v>
      </c>
      <c r="EX30">
        <v>0</v>
      </c>
      <c r="EY30">
        <v>730.50272000000007</v>
      </c>
      <c r="EZ30">
        <v>-0.1170769251923918</v>
      </c>
      <c r="FA30">
        <v>-31.78461542798081</v>
      </c>
      <c r="FB30">
        <v>14088.748</v>
      </c>
      <c r="FC30">
        <v>15</v>
      </c>
      <c r="FD30">
        <v>1693495794</v>
      </c>
      <c r="FE30" t="s">
        <v>491</v>
      </c>
      <c r="FF30">
        <v>1693495794</v>
      </c>
      <c r="FG30">
        <v>1693495652.5</v>
      </c>
      <c r="FH30">
        <v>15</v>
      </c>
      <c r="FI30">
        <v>1.9E-2</v>
      </c>
      <c r="FJ30">
        <v>-3.0000000000000001E-3</v>
      </c>
      <c r="FK30">
        <v>-3.2120000000000002</v>
      </c>
      <c r="FL30">
        <v>0.28699999999999998</v>
      </c>
      <c r="FM30">
        <v>1501</v>
      </c>
      <c r="FN30">
        <v>22</v>
      </c>
      <c r="FO30">
        <v>0.19</v>
      </c>
      <c r="FP30">
        <v>0.04</v>
      </c>
      <c r="FQ30">
        <v>45.724553529445693</v>
      </c>
      <c r="FR30">
        <v>-0.63968740859880457</v>
      </c>
      <c r="FS30">
        <v>0.18611953016898231</v>
      </c>
      <c r="FT30">
        <v>1</v>
      </c>
      <c r="FU30">
        <v>0.38395666784093369</v>
      </c>
      <c r="FV30">
        <v>-1.3799714993006669E-2</v>
      </c>
      <c r="FW30">
        <v>4.8624079659067686E-3</v>
      </c>
      <c r="FX30">
        <v>1</v>
      </c>
      <c r="FY30">
        <v>2</v>
      </c>
      <c r="FZ30">
        <v>2</v>
      </c>
      <c r="GA30" t="s">
        <v>422</v>
      </c>
      <c r="GB30">
        <v>2.97593</v>
      </c>
      <c r="GC30">
        <v>2.81203</v>
      </c>
      <c r="GD30">
        <v>0.23590800000000001</v>
      </c>
      <c r="GE30">
        <v>0.239291</v>
      </c>
      <c r="GF30">
        <v>0.13666600000000001</v>
      </c>
      <c r="GG30">
        <v>0.115843</v>
      </c>
      <c r="GH30">
        <v>22706.5</v>
      </c>
      <c r="GI30">
        <v>20951.7</v>
      </c>
      <c r="GJ30">
        <v>26684.6</v>
      </c>
      <c r="GK30">
        <v>25954.2</v>
      </c>
      <c r="GL30">
        <v>31324.400000000001</v>
      </c>
      <c r="GM30">
        <v>32329.7</v>
      </c>
      <c r="GN30">
        <v>37813.5</v>
      </c>
      <c r="GO30">
        <v>38401.300000000003</v>
      </c>
      <c r="GP30">
        <v>2.0488</v>
      </c>
      <c r="GQ30">
        <v>2.0857999999999999</v>
      </c>
      <c r="GR30">
        <v>0.106692</v>
      </c>
      <c r="GS30">
        <v>0</v>
      </c>
      <c r="GT30">
        <v>28.337299999999999</v>
      </c>
      <c r="GU30">
        <v>999.9</v>
      </c>
      <c r="GV30">
        <v>50.4</v>
      </c>
      <c r="GW30">
        <v>35.799999999999997</v>
      </c>
      <c r="GX30">
        <v>29.880600000000001</v>
      </c>
      <c r="GY30">
        <v>60.799399999999999</v>
      </c>
      <c r="GZ30">
        <v>14.355</v>
      </c>
      <c r="HA30">
        <v>1</v>
      </c>
      <c r="HB30">
        <v>-0.13497000000000001</v>
      </c>
      <c r="HC30">
        <v>0.58288700000000004</v>
      </c>
      <c r="HD30">
        <v>20.252600000000001</v>
      </c>
      <c r="HE30">
        <v>5.2095000000000002</v>
      </c>
      <c r="HF30">
        <v>11.9261</v>
      </c>
      <c r="HG30">
        <v>4.9892000000000003</v>
      </c>
      <c r="HH30">
        <v>3.2919</v>
      </c>
      <c r="HI30">
        <v>9999</v>
      </c>
      <c r="HJ30">
        <v>9999</v>
      </c>
      <c r="HK30">
        <v>9999</v>
      </c>
      <c r="HL30">
        <v>999.9</v>
      </c>
      <c r="HM30">
        <v>1.8705700000000001</v>
      </c>
      <c r="HN30">
        <v>1.8767100000000001</v>
      </c>
      <c r="HO30">
        <v>1.87453</v>
      </c>
      <c r="HP30">
        <v>1.8727100000000001</v>
      </c>
      <c r="HQ30">
        <v>1.8732500000000001</v>
      </c>
      <c r="HR30">
        <v>1.8706499999999999</v>
      </c>
      <c r="HS30">
        <v>1.8765099999999999</v>
      </c>
      <c r="HT30">
        <v>1.87561</v>
      </c>
      <c r="HU30">
        <v>5</v>
      </c>
      <c r="HV30">
        <v>0</v>
      </c>
      <c r="HW30">
        <v>0</v>
      </c>
      <c r="HX30">
        <v>0</v>
      </c>
      <c r="HY30" t="s">
        <v>423</v>
      </c>
      <c r="HZ30" t="s">
        <v>424</v>
      </c>
      <c r="IA30" t="s">
        <v>425</v>
      </c>
      <c r="IB30" t="s">
        <v>425</v>
      </c>
      <c r="IC30" t="s">
        <v>425</v>
      </c>
      <c r="ID30" t="s">
        <v>425</v>
      </c>
      <c r="IE30">
        <v>0</v>
      </c>
      <c r="IF30">
        <v>100</v>
      </c>
      <c r="IG30">
        <v>100</v>
      </c>
      <c r="IH30">
        <v>-3.15</v>
      </c>
      <c r="II30">
        <v>0.56510000000000005</v>
      </c>
      <c r="IJ30">
        <v>-1.4586148230318281</v>
      </c>
      <c r="IK30">
        <v>-2.677719669153116E-3</v>
      </c>
      <c r="IL30">
        <v>1.9353498771248068E-6</v>
      </c>
      <c r="IM30">
        <v>-6.1862177325538213E-10</v>
      </c>
      <c r="IN30">
        <v>-5.4708115729020727E-2</v>
      </c>
      <c r="IO30">
        <v>-1.5299015507423901E-2</v>
      </c>
      <c r="IP30">
        <v>1.742162107778985E-3</v>
      </c>
      <c r="IQ30">
        <v>-1.472690239905804E-5</v>
      </c>
      <c r="IR30">
        <v>3</v>
      </c>
      <c r="IS30">
        <v>2255</v>
      </c>
      <c r="IT30">
        <v>2</v>
      </c>
      <c r="IU30">
        <v>41</v>
      </c>
      <c r="IV30">
        <v>0.6</v>
      </c>
      <c r="IW30">
        <v>2.9</v>
      </c>
      <c r="IX30">
        <v>2.8186</v>
      </c>
      <c r="IY30">
        <v>2.5</v>
      </c>
      <c r="IZ30">
        <v>1.5991200000000001</v>
      </c>
      <c r="JA30">
        <v>2.2717299999999998</v>
      </c>
      <c r="JB30">
        <v>1.5502899999999999</v>
      </c>
      <c r="JC30">
        <v>2.3278799999999999</v>
      </c>
      <c r="JD30">
        <v>41.3001</v>
      </c>
      <c r="JE30">
        <v>23.921099999999999</v>
      </c>
      <c r="JF30">
        <v>18</v>
      </c>
      <c r="JG30">
        <v>507.39400000000001</v>
      </c>
      <c r="JH30">
        <v>500.02499999999998</v>
      </c>
      <c r="JI30">
        <v>27.4787</v>
      </c>
      <c r="JJ30">
        <v>25.926500000000001</v>
      </c>
      <c r="JK30">
        <v>30.0002</v>
      </c>
      <c r="JL30">
        <v>25.7714</v>
      </c>
      <c r="JM30">
        <v>25.7179</v>
      </c>
      <c r="JN30">
        <v>56.402299999999997</v>
      </c>
      <c r="JO30">
        <v>31.477900000000002</v>
      </c>
      <c r="JP30">
        <v>81.108000000000004</v>
      </c>
      <c r="JQ30">
        <v>27.4664</v>
      </c>
      <c r="JR30">
        <v>1500</v>
      </c>
      <c r="JS30">
        <v>22.750900000000001</v>
      </c>
      <c r="JT30">
        <v>99.687899999999999</v>
      </c>
      <c r="JU30">
        <v>99.753100000000003</v>
      </c>
    </row>
    <row r="31" spans="1:281" x14ac:dyDescent="0.25">
      <c r="A31">
        <v>15</v>
      </c>
      <c r="B31">
        <v>1693498222.5999999</v>
      </c>
      <c r="C31">
        <v>4243</v>
      </c>
      <c r="D31" t="s">
        <v>492</v>
      </c>
      <c r="E31" t="s">
        <v>493</v>
      </c>
      <c r="F31" t="s">
        <v>413</v>
      </c>
      <c r="G31" t="s">
        <v>494</v>
      </c>
      <c r="H31" t="s">
        <v>416</v>
      </c>
      <c r="I31" t="s">
        <v>416</v>
      </c>
      <c r="J31">
        <v>1693498222.5999999</v>
      </c>
      <c r="K31">
        <f t="shared" si="0"/>
        <v>3.8423184863651126E-3</v>
      </c>
      <c r="L31">
        <f t="shared" si="1"/>
        <v>3.8423184863651128</v>
      </c>
      <c r="M31">
        <f t="shared" si="2"/>
        <v>38.360970692162134</v>
      </c>
      <c r="N31">
        <f t="shared" si="3"/>
        <v>352.45100000000002</v>
      </c>
      <c r="O31">
        <f t="shared" si="4"/>
        <v>110.57722303873311</v>
      </c>
      <c r="P31">
        <f t="shared" si="5"/>
        <v>11.022602535527316</v>
      </c>
      <c r="Q31">
        <f t="shared" si="6"/>
        <v>35.133160152595998</v>
      </c>
      <c r="R31">
        <f t="shared" si="7"/>
        <v>0.27106778393192082</v>
      </c>
      <c r="S31">
        <f t="shared" si="8"/>
        <v>2.920455887461471</v>
      </c>
      <c r="T31">
        <f t="shared" si="9"/>
        <v>0.25782568178586712</v>
      </c>
      <c r="U31">
        <f t="shared" si="10"/>
        <v>0.16227687902270149</v>
      </c>
      <c r="V31">
        <f t="shared" si="11"/>
        <v>344.39720065844898</v>
      </c>
      <c r="W31">
        <f t="shared" si="12"/>
        <v>31.366812811671632</v>
      </c>
      <c r="X31">
        <f t="shared" si="13"/>
        <v>30.016200000000001</v>
      </c>
      <c r="Y31">
        <f t="shared" si="14"/>
        <v>4.2644157914851979</v>
      </c>
      <c r="Z31">
        <f t="shared" si="15"/>
        <v>65.20262844781233</v>
      </c>
      <c r="AA31">
        <f t="shared" si="16"/>
        <v>2.8317476008491997</v>
      </c>
      <c r="AB31">
        <f t="shared" si="17"/>
        <v>4.3429960850668898</v>
      </c>
      <c r="AC31">
        <f t="shared" si="18"/>
        <v>1.4326681906359982</v>
      </c>
      <c r="AD31">
        <f t="shared" si="19"/>
        <v>-169.44624524870147</v>
      </c>
      <c r="AE31">
        <f t="shared" si="20"/>
        <v>50.115576747274659</v>
      </c>
      <c r="AF31">
        <f t="shared" si="21"/>
        <v>3.8222146461303934</v>
      </c>
      <c r="AG31">
        <f t="shared" si="22"/>
        <v>228.88874680315257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52027.401768446412</v>
      </c>
      <c r="AM31" t="s">
        <v>417</v>
      </c>
      <c r="AN31">
        <v>10238.9</v>
      </c>
      <c r="AO31">
        <v>302.21199999999999</v>
      </c>
      <c r="AP31">
        <v>4052.3</v>
      </c>
      <c r="AQ31">
        <f t="shared" si="26"/>
        <v>0.92542210596451402</v>
      </c>
      <c r="AR31">
        <v>-0.32343011824092421</v>
      </c>
      <c r="AS31" t="s">
        <v>495</v>
      </c>
      <c r="AT31">
        <v>10477.6</v>
      </c>
      <c r="AU31">
        <v>700.80603999999994</v>
      </c>
      <c r="AV31">
        <v>1006.136139649229</v>
      </c>
      <c r="AW31">
        <f t="shared" si="27"/>
        <v>0.30346797775863299</v>
      </c>
      <c r="AX31">
        <v>0.5</v>
      </c>
      <c r="AY31">
        <f t="shared" si="28"/>
        <v>1513.3029003292245</v>
      </c>
      <c r="AZ31">
        <f t="shared" si="29"/>
        <v>38.360970692162134</v>
      </c>
      <c r="BA31">
        <f t="shared" si="30"/>
        <v>229.61948544959193</v>
      </c>
      <c r="BB31">
        <f t="shared" si="31"/>
        <v>2.5562893457738781E-2</v>
      </c>
      <c r="BC31">
        <f t="shared" si="32"/>
        <v>3.0275861688188246</v>
      </c>
      <c r="BD31">
        <f t="shared" si="33"/>
        <v>246.54447608221579</v>
      </c>
      <c r="BE31" t="s">
        <v>496</v>
      </c>
      <c r="BF31">
        <v>560.75</v>
      </c>
      <c r="BG31">
        <f t="shared" si="34"/>
        <v>560.75</v>
      </c>
      <c r="BH31">
        <f t="shared" si="35"/>
        <v>0.44266985559678307</v>
      </c>
      <c r="BI31">
        <f t="shared" si="36"/>
        <v>0.68554019191009552</v>
      </c>
      <c r="BJ31">
        <f t="shared" si="37"/>
        <v>0.87243884817653228</v>
      </c>
      <c r="BK31">
        <f t="shared" si="38"/>
        <v>0.43375426761380492</v>
      </c>
      <c r="BL31">
        <f t="shared" si="39"/>
        <v>0.8122913009910091</v>
      </c>
      <c r="BM31">
        <f t="shared" si="40"/>
        <v>0.54853503062500164</v>
      </c>
      <c r="BN31">
        <f t="shared" si="41"/>
        <v>0.45146496937499836</v>
      </c>
      <c r="BO31">
        <v>5716</v>
      </c>
      <c r="BP31">
        <v>290.00000000000011</v>
      </c>
      <c r="BQ31">
        <v>918.85</v>
      </c>
      <c r="BR31">
        <v>195</v>
      </c>
      <c r="BS31">
        <v>10477.6</v>
      </c>
      <c r="BT31">
        <v>918.3</v>
      </c>
      <c r="BU31">
        <v>0.55000000000000004</v>
      </c>
      <c r="BV31">
        <v>300.00000000000011</v>
      </c>
      <c r="BW31">
        <v>38.299999999999997</v>
      </c>
      <c r="BX31">
        <v>1006.136139649229</v>
      </c>
      <c r="BY31">
        <v>0.95489371151689417</v>
      </c>
      <c r="BZ31">
        <v>-92.036390387782021</v>
      </c>
      <c r="CA31">
        <v>0.81880079084975932</v>
      </c>
      <c r="CB31">
        <v>0.9977887696089196</v>
      </c>
      <c r="CC31">
        <v>-1.137164471635152E-2</v>
      </c>
      <c r="CD31">
        <v>289.99999999999989</v>
      </c>
      <c r="CE31">
        <v>909.16</v>
      </c>
      <c r="CF31">
        <v>655</v>
      </c>
      <c r="CG31">
        <v>10449.200000000001</v>
      </c>
      <c r="CH31">
        <v>918.06</v>
      </c>
      <c r="CI31">
        <v>-8.9</v>
      </c>
      <c r="CW31">
        <f t="shared" si="42"/>
        <v>1800.14</v>
      </c>
      <c r="CX31">
        <f t="shared" si="43"/>
        <v>1513.3029003292245</v>
      </c>
      <c r="CY31">
        <f t="shared" si="44"/>
        <v>0.84065844897020481</v>
      </c>
      <c r="CZ31">
        <f t="shared" si="45"/>
        <v>0.19131689794040962</v>
      </c>
      <c r="DA31">
        <v>6</v>
      </c>
      <c r="DB31">
        <v>0.5</v>
      </c>
      <c r="DC31" t="s">
        <v>420</v>
      </c>
      <c r="DD31">
        <v>2</v>
      </c>
      <c r="DE31">
        <v>1693498222.5999999</v>
      </c>
      <c r="DF31">
        <v>352.45100000000002</v>
      </c>
      <c r="DG31">
        <v>400.072</v>
      </c>
      <c r="DH31">
        <v>28.407699999999998</v>
      </c>
      <c r="DI31">
        <v>23.9314</v>
      </c>
      <c r="DJ31">
        <v>354.67500000000001</v>
      </c>
      <c r="DK31">
        <v>27.872699999999998</v>
      </c>
      <c r="DL31">
        <v>500.39100000000002</v>
      </c>
      <c r="DM31">
        <v>99.582099999999997</v>
      </c>
      <c r="DN31">
        <v>0.100296</v>
      </c>
      <c r="DO31">
        <v>30.334499999999998</v>
      </c>
      <c r="DP31">
        <v>30.016200000000001</v>
      </c>
      <c r="DQ31">
        <v>999.9</v>
      </c>
      <c r="DR31">
        <v>0</v>
      </c>
      <c r="DS31">
        <v>0</v>
      </c>
      <c r="DT31">
        <v>9990</v>
      </c>
      <c r="DU31">
        <v>0</v>
      </c>
      <c r="DV31">
        <v>1791.35</v>
      </c>
      <c r="DW31">
        <v>-47.621099999999998</v>
      </c>
      <c r="DX31">
        <v>362.75599999999997</v>
      </c>
      <c r="DY31">
        <v>409.88099999999997</v>
      </c>
      <c r="DZ31">
        <v>4.4763000000000002</v>
      </c>
      <c r="EA31">
        <v>400.072</v>
      </c>
      <c r="EB31">
        <v>23.9314</v>
      </c>
      <c r="EC31">
        <v>2.8289</v>
      </c>
      <c r="ED31">
        <v>2.38314</v>
      </c>
      <c r="EE31">
        <v>23.053699999999999</v>
      </c>
      <c r="EF31">
        <v>20.249700000000001</v>
      </c>
      <c r="EG31">
        <v>1800.14</v>
      </c>
      <c r="EH31">
        <v>0.97799199999999997</v>
      </c>
      <c r="EI31">
        <v>2.2007800000000001E-2</v>
      </c>
      <c r="EJ31">
        <v>0</v>
      </c>
      <c r="EK31">
        <v>700.26099999999997</v>
      </c>
      <c r="EL31">
        <v>4.9995000000000003</v>
      </c>
      <c r="EM31">
        <v>13863.2</v>
      </c>
      <c r="EN31">
        <v>16661</v>
      </c>
      <c r="EO31">
        <v>47.5</v>
      </c>
      <c r="EP31">
        <v>49.061999999999998</v>
      </c>
      <c r="EQ31">
        <v>48.436999999999998</v>
      </c>
      <c r="ER31">
        <v>47.811999999999998</v>
      </c>
      <c r="ES31">
        <v>48.875</v>
      </c>
      <c r="ET31">
        <v>1755.63</v>
      </c>
      <c r="EU31">
        <v>39.51</v>
      </c>
      <c r="EV31">
        <v>0</v>
      </c>
      <c r="EW31">
        <v>2392.7999999523158</v>
      </c>
      <c r="EX31">
        <v>0</v>
      </c>
      <c r="EY31">
        <v>700.80603999999994</v>
      </c>
      <c r="EZ31">
        <v>-0.25330769398239078</v>
      </c>
      <c r="FA31">
        <v>3167.4615380152791</v>
      </c>
      <c r="FB31">
        <v>13662.164000000001</v>
      </c>
      <c r="FC31">
        <v>15</v>
      </c>
      <c r="FD31">
        <v>1693498193.0999999</v>
      </c>
      <c r="FE31" t="s">
        <v>497</v>
      </c>
      <c r="FF31">
        <v>1693498186.0999999</v>
      </c>
      <c r="FG31">
        <v>1693498193.0999999</v>
      </c>
      <c r="FH31">
        <v>20</v>
      </c>
      <c r="FI31">
        <v>0.23499999999999999</v>
      </c>
      <c r="FJ31">
        <v>3.0000000000000001E-3</v>
      </c>
      <c r="FK31">
        <v>-2.2949999999999999</v>
      </c>
      <c r="FL31">
        <v>0.34699999999999998</v>
      </c>
      <c r="FM31">
        <v>400</v>
      </c>
      <c r="FN31">
        <v>24</v>
      </c>
      <c r="FO31">
        <v>0.12</v>
      </c>
      <c r="FP31">
        <v>0.05</v>
      </c>
      <c r="FQ31">
        <v>38.304683975416893</v>
      </c>
      <c r="FR31">
        <v>-0.13153083373430541</v>
      </c>
      <c r="FS31">
        <v>8.5733933773642426E-2</v>
      </c>
      <c r="FT31">
        <v>1</v>
      </c>
      <c r="FU31">
        <v>0.27712753219366237</v>
      </c>
      <c r="FV31">
        <v>1.307007313309747E-2</v>
      </c>
      <c r="FW31">
        <v>5.3992517901404026E-3</v>
      </c>
      <c r="FX31">
        <v>1</v>
      </c>
      <c r="FY31">
        <v>2</v>
      </c>
      <c r="FZ31">
        <v>2</v>
      </c>
      <c r="GA31" t="s">
        <v>422</v>
      </c>
      <c r="GB31">
        <v>2.9739499999999999</v>
      </c>
      <c r="GC31">
        <v>2.8119100000000001</v>
      </c>
      <c r="GD31">
        <v>8.9207599999999998E-2</v>
      </c>
      <c r="GE31">
        <v>9.69439E-2</v>
      </c>
      <c r="GF31">
        <v>0.135076</v>
      </c>
      <c r="GG31">
        <v>0.119715</v>
      </c>
      <c r="GH31">
        <v>27006.400000000001</v>
      </c>
      <c r="GI31">
        <v>24743</v>
      </c>
      <c r="GJ31">
        <v>26638.799999999999</v>
      </c>
      <c r="GK31">
        <v>25834.9</v>
      </c>
      <c r="GL31">
        <v>31329.7</v>
      </c>
      <c r="GM31">
        <v>32043.5</v>
      </c>
      <c r="GN31">
        <v>37734.9</v>
      </c>
      <c r="GO31">
        <v>38237.300000000003</v>
      </c>
      <c r="GP31">
        <v>2.0129999999999999</v>
      </c>
      <c r="GQ31">
        <v>2.0754000000000001</v>
      </c>
      <c r="GR31">
        <v>6.0379500000000003E-2</v>
      </c>
      <c r="GS31">
        <v>0</v>
      </c>
      <c r="GT31">
        <v>29.032800000000002</v>
      </c>
      <c r="GU31">
        <v>999.9</v>
      </c>
      <c r="GV31">
        <v>57.4</v>
      </c>
      <c r="GW31">
        <v>32.6</v>
      </c>
      <c r="GX31">
        <v>28.470800000000001</v>
      </c>
      <c r="GY31">
        <v>61.4788</v>
      </c>
      <c r="GZ31">
        <v>13.4415</v>
      </c>
      <c r="HA31">
        <v>1</v>
      </c>
      <c r="HB31">
        <v>5.34146E-2</v>
      </c>
      <c r="HC31">
        <v>0.66461899999999996</v>
      </c>
      <c r="HD31">
        <v>20.3065</v>
      </c>
      <c r="HE31">
        <v>5.2095000000000002</v>
      </c>
      <c r="HF31">
        <v>11.9321</v>
      </c>
      <c r="HG31">
        <v>4.9893999999999998</v>
      </c>
      <c r="HH31">
        <v>3.2909999999999999</v>
      </c>
      <c r="HI31">
        <v>9999</v>
      </c>
      <c r="HJ31">
        <v>9999</v>
      </c>
      <c r="HK31">
        <v>9999</v>
      </c>
      <c r="HL31">
        <v>999.9</v>
      </c>
      <c r="HM31">
        <v>1.8696999999999999</v>
      </c>
      <c r="HN31">
        <v>1.8760699999999999</v>
      </c>
      <c r="HO31">
        <v>1.8738300000000001</v>
      </c>
      <c r="HP31">
        <v>1.8721000000000001</v>
      </c>
      <c r="HQ31">
        <v>1.87253</v>
      </c>
      <c r="HR31">
        <v>1.8699600000000001</v>
      </c>
      <c r="HS31">
        <v>1.87592</v>
      </c>
      <c r="HT31">
        <v>1.8748499999999999</v>
      </c>
      <c r="HU31">
        <v>5</v>
      </c>
      <c r="HV31">
        <v>0</v>
      </c>
      <c r="HW31">
        <v>0</v>
      </c>
      <c r="HX31">
        <v>0</v>
      </c>
      <c r="HY31" t="s">
        <v>423</v>
      </c>
      <c r="HZ31" t="s">
        <v>424</v>
      </c>
      <c r="IA31" t="s">
        <v>425</v>
      </c>
      <c r="IB31" t="s">
        <v>425</v>
      </c>
      <c r="IC31" t="s">
        <v>425</v>
      </c>
      <c r="ID31" t="s">
        <v>425</v>
      </c>
      <c r="IE31">
        <v>0</v>
      </c>
      <c r="IF31">
        <v>100</v>
      </c>
      <c r="IG31">
        <v>100</v>
      </c>
      <c r="IH31">
        <v>-2.2240000000000002</v>
      </c>
      <c r="II31">
        <v>0.53500000000000003</v>
      </c>
      <c r="IJ31">
        <v>-1.4904997581813371</v>
      </c>
      <c r="IK31">
        <v>-2.677719669153116E-3</v>
      </c>
      <c r="IL31">
        <v>1.9353498771248068E-6</v>
      </c>
      <c r="IM31">
        <v>-6.1862177325538213E-10</v>
      </c>
      <c r="IN31">
        <v>-7.3124237510446749E-2</v>
      </c>
      <c r="IO31">
        <v>-1.5299015507423901E-2</v>
      </c>
      <c r="IP31">
        <v>1.742162107778985E-3</v>
      </c>
      <c r="IQ31">
        <v>-1.472690239905804E-5</v>
      </c>
      <c r="IR31">
        <v>3</v>
      </c>
      <c r="IS31">
        <v>2255</v>
      </c>
      <c r="IT31">
        <v>2</v>
      </c>
      <c r="IU31">
        <v>41</v>
      </c>
      <c r="IV31">
        <v>0.6</v>
      </c>
      <c r="IW31">
        <v>0.5</v>
      </c>
      <c r="IX31">
        <v>0.96557599999999999</v>
      </c>
      <c r="IY31">
        <v>2.4902299999999999</v>
      </c>
      <c r="IZ31">
        <v>1.5991200000000001</v>
      </c>
      <c r="JA31">
        <v>2.2729499999999998</v>
      </c>
      <c r="JB31">
        <v>1.5502899999999999</v>
      </c>
      <c r="JC31">
        <v>2.20459</v>
      </c>
      <c r="JD31">
        <v>35.059399999999997</v>
      </c>
      <c r="JE31">
        <v>15.962</v>
      </c>
      <c r="JF31">
        <v>18</v>
      </c>
      <c r="JG31">
        <v>506.12</v>
      </c>
      <c r="JH31">
        <v>515.52099999999996</v>
      </c>
      <c r="JI31">
        <v>26.989100000000001</v>
      </c>
      <c r="JJ31">
        <v>28.271999999999998</v>
      </c>
      <c r="JK31">
        <v>30.0002</v>
      </c>
      <c r="JL31">
        <v>28.164899999999999</v>
      </c>
      <c r="JM31">
        <v>28.126100000000001</v>
      </c>
      <c r="JN31">
        <v>19.352900000000002</v>
      </c>
      <c r="JO31">
        <v>26.283300000000001</v>
      </c>
      <c r="JP31">
        <v>100</v>
      </c>
      <c r="JQ31">
        <v>26.994299999999999</v>
      </c>
      <c r="JR31">
        <v>400</v>
      </c>
      <c r="JS31">
        <v>23.995799999999999</v>
      </c>
      <c r="JT31">
        <v>99.495699999999999</v>
      </c>
      <c r="JU31">
        <v>99.313900000000004</v>
      </c>
    </row>
    <row r="32" spans="1:281" x14ac:dyDescent="0.25">
      <c r="A32">
        <v>16</v>
      </c>
      <c r="B32">
        <v>1693498331.0999999</v>
      </c>
      <c r="C32">
        <v>4351.5</v>
      </c>
      <c r="D32" t="s">
        <v>498</v>
      </c>
      <c r="E32" t="s">
        <v>499</v>
      </c>
      <c r="F32" t="s">
        <v>413</v>
      </c>
      <c r="G32" t="s">
        <v>494</v>
      </c>
      <c r="H32" t="s">
        <v>416</v>
      </c>
      <c r="I32" t="s">
        <v>416</v>
      </c>
      <c r="J32">
        <v>1693498331.0999999</v>
      </c>
      <c r="K32">
        <f t="shared" si="0"/>
        <v>3.8271777769931406E-3</v>
      </c>
      <c r="L32">
        <f t="shared" si="1"/>
        <v>3.8271777769931408</v>
      </c>
      <c r="M32">
        <f t="shared" si="2"/>
        <v>29.88643317442861</v>
      </c>
      <c r="N32">
        <f t="shared" si="3"/>
        <v>263.02</v>
      </c>
      <c r="O32">
        <f t="shared" si="4"/>
        <v>78.435309993086506</v>
      </c>
      <c r="P32">
        <f t="shared" si="5"/>
        <v>7.8184909972052168</v>
      </c>
      <c r="Q32">
        <f t="shared" si="6"/>
        <v>26.218032443119995</v>
      </c>
      <c r="R32">
        <f t="shared" si="7"/>
        <v>0.27659530569347179</v>
      </c>
      <c r="S32">
        <f t="shared" si="8"/>
        <v>2.9234972873769114</v>
      </c>
      <c r="T32">
        <f t="shared" si="9"/>
        <v>0.26283594283520872</v>
      </c>
      <c r="U32">
        <f t="shared" si="10"/>
        <v>0.16545163231254817</v>
      </c>
      <c r="V32">
        <f t="shared" si="11"/>
        <v>344.35480065836282</v>
      </c>
      <c r="W32">
        <f t="shared" si="12"/>
        <v>31.303648925226629</v>
      </c>
      <c r="X32">
        <f t="shared" si="13"/>
        <v>29.946100000000001</v>
      </c>
      <c r="Y32">
        <f t="shared" si="14"/>
        <v>4.2472773210602481</v>
      </c>
      <c r="Z32">
        <f t="shared" si="15"/>
        <v>65.812752344695554</v>
      </c>
      <c r="AA32">
        <f t="shared" si="16"/>
        <v>2.8474705078203999</v>
      </c>
      <c r="AB32">
        <f t="shared" si="17"/>
        <v>4.326624258026345</v>
      </c>
      <c r="AC32">
        <f t="shared" si="18"/>
        <v>1.3998068132398482</v>
      </c>
      <c r="AD32">
        <f t="shared" si="19"/>
        <v>-168.7785399653975</v>
      </c>
      <c r="AE32">
        <f t="shared" si="20"/>
        <v>50.829736406652849</v>
      </c>
      <c r="AF32">
        <f t="shared" si="21"/>
        <v>3.870043939771826</v>
      </c>
      <c r="AG32">
        <f t="shared" si="22"/>
        <v>230.27604103939001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52125.407060264042</v>
      </c>
      <c r="AM32" t="s">
        <v>417</v>
      </c>
      <c r="AN32">
        <v>10238.9</v>
      </c>
      <c r="AO32">
        <v>302.21199999999999</v>
      </c>
      <c r="AP32">
        <v>4052.3</v>
      </c>
      <c r="AQ32">
        <f t="shared" si="26"/>
        <v>0.92542210596451402</v>
      </c>
      <c r="AR32">
        <v>-0.32343011824092421</v>
      </c>
      <c r="AS32" t="s">
        <v>500</v>
      </c>
      <c r="AT32">
        <v>10465.4</v>
      </c>
      <c r="AU32">
        <v>673.07472000000007</v>
      </c>
      <c r="AV32">
        <v>908.90748833766622</v>
      </c>
      <c r="AW32">
        <f t="shared" si="27"/>
        <v>0.25946839624898377</v>
      </c>
      <c r="AX32">
        <v>0.5</v>
      </c>
      <c r="AY32">
        <f t="shared" si="28"/>
        <v>1513.1178003291814</v>
      </c>
      <c r="AZ32">
        <f t="shared" si="29"/>
        <v>29.88643317442861</v>
      </c>
      <c r="BA32">
        <f t="shared" si="30"/>
        <v>196.30312449360136</v>
      </c>
      <c r="BB32">
        <f t="shared" si="31"/>
        <v>1.9965308243745018E-2</v>
      </c>
      <c r="BC32">
        <f t="shared" si="32"/>
        <v>3.4584295453560387</v>
      </c>
      <c r="BD32">
        <f t="shared" si="33"/>
        <v>240.2469356479173</v>
      </c>
      <c r="BE32" t="s">
        <v>501</v>
      </c>
      <c r="BF32">
        <v>543.98</v>
      </c>
      <c r="BG32">
        <f t="shared" si="34"/>
        <v>543.98</v>
      </c>
      <c r="BH32">
        <f t="shared" si="35"/>
        <v>0.4015012451983373</v>
      </c>
      <c r="BI32">
        <f t="shared" si="36"/>
        <v>0.64624555802014805</v>
      </c>
      <c r="BJ32">
        <f t="shared" si="37"/>
        <v>0.89598226833992733</v>
      </c>
      <c r="BK32">
        <f t="shared" si="38"/>
        <v>0.38871686516714227</v>
      </c>
      <c r="BL32">
        <f t="shared" si="39"/>
        <v>0.83821833291974324</v>
      </c>
      <c r="BM32">
        <f t="shared" si="40"/>
        <v>0.52229663097701862</v>
      </c>
      <c r="BN32">
        <f t="shared" si="41"/>
        <v>0.47770336902298138</v>
      </c>
      <c r="BO32">
        <v>5718</v>
      </c>
      <c r="BP32">
        <v>290.00000000000011</v>
      </c>
      <c r="BQ32">
        <v>843.47</v>
      </c>
      <c r="BR32">
        <v>255</v>
      </c>
      <c r="BS32">
        <v>10465.4</v>
      </c>
      <c r="BT32">
        <v>842.74</v>
      </c>
      <c r="BU32">
        <v>0.73</v>
      </c>
      <c r="BV32">
        <v>300.00000000000011</v>
      </c>
      <c r="BW32">
        <v>38.299999999999997</v>
      </c>
      <c r="BX32">
        <v>908.90748833766622</v>
      </c>
      <c r="BY32">
        <v>1.1931040042687591</v>
      </c>
      <c r="BZ32">
        <v>-69.2453857799552</v>
      </c>
      <c r="CA32">
        <v>1.022899044744598</v>
      </c>
      <c r="CB32">
        <v>0.99392709581190952</v>
      </c>
      <c r="CC32">
        <v>-1.136968765294773E-2</v>
      </c>
      <c r="CD32">
        <v>289.99999999999989</v>
      </c>
      <c r="CE32">
        <v>837.92</v>
      </c>
      <c r="CF32">
        <v>665</v>
      </c>
      <c r="CG32">
        <v>10446.6</v>
      </c>
      <c r="CH32">
        <v>842.62</v>
      </c>
      <c r="CI32">
        <v>-4.7</v>
      </c>
      <c r="CW32">
        <f t="shared" si="42"/>
        <v>1799.92</v>
      </c>
      <c r="CX32">
        <f t="shared" si="43"/>
        <v>1513.1178003291814</v>
      </c>
      <c r="CY32">
        <f t="shared" si="44"/>
        <v>0.84065836277677974</v>
      </c>
      <c r="CZ32">
        <f t="shared" si="45"/>
        <v>0.1913167255535595</v>
      </c>
      <c r="DA32">
        <v>6</v>
      </c>
      <c r="DB32">
        <v>0.5</v>
      </c>
      <c r="DC32" t="s">
        <v>420</v>
      </c>
      <c r="DD32">
        <v>2</v>
      </c>
      <c r="DE32">
        <v>1693498331.0999999</v>
      </c>
      <c r="DF32">
        <v>263.02</v>
      </c>
      <c r="DG32">
        <v>300.089</v>
      </c>
      <c r="DH32">
        <v>28.565899999999999</v>
      </c>
      <c r="DI32">
        <v>24.104800000000001</v>
      </c>
      <c r="DJ32">
        <v>265</v>
      </c>
      <c r="DK32">
        <v>28.0246</v>
      </c>
      <c r="DL32">
        <v>500.036</v>
      </c>
      <c r="DM32">
        <v>99.580699999999993</v>
      </c>
      <c r="DN32">
        <v>0.10005600000000001</v>
      </c>
      <c r="DO32">
        <v>30.268599999999999</v>
      </c>
      <c r="DP32">
        <v>29.946100000000001</v>
      </c>
      <c r="DQ32">
        <v>999.9</v>
      </c>
      <c r="DR32">
        <v>0</v>
      </c>
      <c r="DS32">
        <v>0</v>
      </c>
      <c r="DT32">
        <v>10007.5</v>
      </c>
      <c r="DU32">
        <v>0</v>
      </c>
      <c r="DV32">
        <v>1394.78</v>
      </c>
      <c r="DW32">
        <v>-37.069600000000001</v>
      </c>
      <c r="DX32">
        <v>270.75400000000002</v>
      </c>
      <c r="DY32">
        <v>307.50200000000001</v>
      </c>
      <c r="DZ32">
        <v>4.4611599999999996</v>
      </c>
      <c r="EA32">
        <v>300.089</v>
      </c>
      <c r="EB32">
        <v>24.104800000000001</v>
      </c>
      <c r="EC32">
        <v>2.8446099999999999</v>
      </c>
      <c r="ED32">
        <v>2.4003700000000001</v>
      </c>
      <c r="EE32">
        <v>23.145299999999999</v>
      </c>
      <c r="EF32">
        <v>20.366299999999999</v>
      </c>
      <c r="EG32">
        <v>1799.92</v>
      </c>
      <c r="EH32">
        <v>0.97799199999999997</v>
      </c>
      <c r="EI32">
        <v>2.2007800000000001E-2</v>
      </c>
      <c r="EJ32">
        <v>0</v>
      </c>
      <c r="EK32">
        <v>672.21299999999997</v>
      </c>
      <c r="EL32">
        <v>4.9995000000000003</v>
      </c>
      <c r="EM32">
        <v>13019.5</v>
      </c>
      <c r="EN32">
        <v>16659</v>
      </c>
      <c r="EO32">
        <v>47.625</v>
      </c>
      <c r="EP32">
        <v>49.186999999999998</v>
      </c>
      <c r="EQ32">
        <v>48.561999999999998</v>
      </c>
      <c r="ER32">
        <v>47.875</v>
      </c>
      <c r="ES32">
        <v>49</v>
      </c>
      <c r="ET32">
        <v>1755.42</v>
      </c>
      <c r="EU32">
        <v>39.5</v>
      </c>
      <c r="EV32">
        <v>0</v>
      </c>
      <c r="EW32">
        <v>106.7999999523163</v>
      </c>
      <c r="EX32">
        <v>0</v>
      </c>
      <c r="EY32">
        <v>673.07472000000007</v>
      </c>
      <c r="EZ32">
        <v>-2.8190000211265311</v>
      </c>
      <c r="FA32">
        <v>-663.20000020665111</v>
      </c>
      <c r="FB32">
        <v>13129.08</v>
      </c>
      <c r="FC32">
        <v>15</v>
      </c>
      <c r="FD32">
        <v>1693498299.0999999</v>
      </c>
      <c r="FE32" t="s">
        <v>502</v>
      </c>
      <c r="FF32">
        <v>1693498290.0999999</v>
      </c>
      <c r="FG32">
        <v>1693498299.0999999</v>
      </c>
      <c r="FH32">
        <v>21</v>
      </c>
      <c r="FI32">
        <v>9.6000000000000002E-2</v>
      </c>
      <c r="FJ32">
        <v>-1E-3</v>
      </c>
      <c r="FK32">
        <v>-2.044</v>
      </c>
      <c r="FL32">
        <v>0.34300000000000003</v>
      </c>
      <c r="FM32">
        <v>300</v>
      </c>
      <c r="FN32">
        <v>24</v>
      </c>
      <c r="FO32">
        <v>0.13</v>
      </c>
      <c r="FP32">
        <v>0.05</v>
      </c>
      <c r="FQ32">
        <v>29.87393798606924</v>
      </c>
      <c r="FR32">
        <v>0.21863608580260571</v>
      </c>
      <c r="FS32">
        <v>9.3421843421729059E-2</v>
      </c>
      <c r="FT32">
        <v>1</v>
      </c>
      <c r="FU32">
        <v>0.2717321749365777</v>
      </c>
      <c r="FV32">
        <v>3.2229073390346072E-2</v>
      </c>
      <c r="FW32">
        <v>3.5817689457985388E-3</v>
      </c>
      <c r="FX32">
        <v>1</v>
      </c>
      <c r="FY32">
        <v>2</v>
      </c>
      <c r="FZ32">
        <v>2</v>
      </c>
      <c r="GA32" t="s">
        <v>422</v>
      </c>
      <c r="GB32">
        <v>2.97302</v>
      </c>
      <c r="GC32">
        <v>2.8118099999999999</v>
      </c>
      <c r="GD32">
        <v>7.0302400000000001E-2</v>
      </c>
      <c r="GE32">
        <v>7.7107999999999996E-2</v>
      </c>
      <c r="GF32">
        <v>0.135577</v>
      </c>
      <c r="GG32">
        <v>0.120306</v>
      </c>
      <c r="GH32">
        <v>27568.799999999999</v>
      </c>
      <c r="GI32">
        <v>25286.5</v>
      </c>
      <c r="GJ32">
        <v>26640.6</v>
      </c>
      <c r="GK32">
        <v>25834.9</v>
      </c>
      <c r="GL32">
        <v>31311.4</v>
      </c>
      <c r="GM32">
        <v>32020.5</v>
      </c>
      <c r="GN32">
        <v>37736.9</v>
      </c>
      <c r="GO32">
        <v>38237.300000000003</v>
      </c>
      <c r="GP32">
        <v>2.0131000000000001</v>
      </c>
      <c r="GQ32">
        <v>2.0760000000000001</v>
      </c>
      <c r="GR32">
        <v>5.1245100000000002E-2</v>
      </c>
      <c r="GS32">
        <v>0</v>
      </c>
      <c r="GT32">
        <v>29.111499999999999</v>
      </c>
      <c r="GU32">
        <v>999.9</v>
      </c>
      <c r="GV32">
        <v>57.7</v>
      </c>
      <c r="GW32">
        <v>32.4</v>
      </c>
      <c r="GX32">
        <v>28.302299999999999</v>
      </c>
      <c r="GY32">
        <v>61.348799999999997</v>
      </c>
      <c r="GZ32">
        <v>13.4054</v>
      </c>
      <c r="HA32">
        <v>1</v>
      </c>
      <c r="HB32">
        <v>5.2012200000000001E-2</v>
      </c>
      <c r="HC32">
        <v>-7.4389999999999998E-2</v>
      </c>
      <c r="HD32">
        <v>20.3078</v>
      </c>
      <c r="HE32">
        <v>5.2059100000000003</v>
      </c>
      <c r="HF32">
        <v>11.9321</v>
      </c>
      <c r="HG32">
        <v>4.9889999999999999</v>
      </c>
      <c r="HH32">
        <v>3.2909999999999999</v>
      </c>
      <c r="HI32">
        <v>9999</v>
      </c>
      <c r="HJ32">
        <v>9999</v>
      </c>
      <c r="HK32">
        <v>9999</v>
      </c>
      <c r="HL32">
        <v>999.9</v>
      </c>
      <c r="HM32">
        <v>1.8696900000000001</v>
      </c>
      <c r="HN32">
        <v>1.8760699999999999</v>
      </c>
      <c r="HO32">
        <v>1.8737900000000001</v>
      </c>
      <c r="HP32">
        <v>1.8721000000000001</v>
      </c>
      <c r="HQ32">
        <v>1.87256</v>
      </c>
      <c r="HR32">
        <v>1.8699600000000001</v>
      </c>
      <c r="HS32">
        <v>1.87592</v>
      </c>
      <c r="HT32">
        <v>1.8748800000000001</v>
      </c>
      <c r="HU32">
        <v>5</v>
      </c>
      <c r="HV32">
        <v>0</v>
      </c>
      <c r="HW32">
        <v>0</v>
      </c>
      <c r="HX32">
        <v>0</v>
      </c>
      <c r="HY32" t="s">
        <v>423</v>
      </c>
      <c r="HZ32" t="s">
        <v>424</v>
      </c>
      <c r="IA32" t="s">
        <v>425</v>
      </c>
      <c r="IB32" t="s">
        <v>425</v>
      </c>
      <c r="IC32" t="s">
        <v>425</v>
      </c>
      <c r="ID32" t="s">
        <v>425</v>
      </c>
      <c r="IE32">
        <v>0</v>
      </c>
      <c r="IF32">
        <v>100</v>
      </c>
      <c r="IG32">
        <v>100</v>
      </c>
      <c r="IH32">
        <v>-1.98</v>
      </c>
      <c r="II32">
        <v>0.5413</v>
      </c>
      <c r="IJ32">
        <v>-1.3946042060064121</v>
      </c>
      <c r="IK32">
        <v>-2.677719669153116E-3</v>
      </c>
      <c r="IL32">
        <v>1.9353498771248068E-6</v>
      </c>
      <c r="IM32">
        <v>-6.1862177325538213E-10</v>
      </c>
      <c r="IN32">
        <v>-7.4069349076592378E-2</v>
      </c>
      <c r="IO32">
        <v>-1.5299015507423901E-2</v>
      </c>
      <c r="IP32">
        <v>1.742162107778985E-3</v>
      </c>
      <c r="IQ32">
        <v>-1.472690239905804E-5</v>
      </c>
      <c r="IR32">
        <v>3</v>
      </c>
      <c r="IS32">
        <v>2255</v>
      </c>
      <c r="IT32">
        <v>2</v>
      </c>
      <c r="IU32">
        <v>41</v>
      </c>
      <c r="IV32">
        <v>0.7</v>
      </c>
      <c r="IW32">
        <v>0.5</v>
      </c>
      <c r="IX32">
        <v>0.77148399999999995</v>
      </c>
      <c r="IY32">
        <v>2.48047</v>
      </c>
      <c r="IZ32">
        <v>1.5991200000000001</v>
      </c>
      <c r="JA32">
        <v>2.2729499999999998</v>
      </c>
      <c r="JB32">
        <v>1.5502899999999999</v>
      </c>
      <c r="JC32">
        <v>2.4194300000000002</v>
      </c>
      <c r="JD32">
        <v>34.967399999999998</v>
      </c>
      <c r="JE32">
        <v>15.970800000000001</v>
      </c>
      <c r="JF32">
        <v>18</v>
      </c>
      <c r="JG32">
        <v>506.47300000000001</v>
      </c>
      <c r="JH32">
        <v>516.28399999999999</v>
      </c>
      <c r="JI32">
        <v>26.7484</v>
      </c>
      <c r="JJ32">
        <v>28.271999999999998</v>
      </c>
      <c r="JK32">
        <v>29.999600000000001</v>
      </c>
      <c r="JL32">
        <v>28.198499999999999</v>
      </c>
      <c r="JM32">
        <v>28.165099999999999</v>
      </c>
      <c r="JN32">
        <v>15.471399999999999</v>
      </c>
      <c r="JO32">
        <v>26.098199999999999</v>
      </c>
      <c r="JP32">
        <v>100</v>
      </c>
      <c r="JQ32">
        <v>26.8127</v>
      </c>
      <c r="JR32">
        <v>300</v>
      </c>
      <c r="JS32">
        <v>23.915400000000002</v>
      </c>
      <c r="JT32">
        <v>99.5017</v>
      </c>
      <c r="JU32">
        <v>99.313999999999993</v>
      </c>
    </row>
    <row r="33" spans="1:281" x14ac:dyDescent="0.25">
      <c r="A33">
        <v>17</v>
      </c>
      <c r="B33">
        <v>1693498452.0999999</v>
      </c>
      <c r="C33">
        <v>4472.5</v>
      </c>
      <c r="D33" t="s">
        <v>503</v>
      </c>
      <c r="E33" t="s">
        <v>504</v>
      </c>
      <c r="F33" t="s">
        <v>413</v>
      </c>
      <c r="G33" t="s">
        <v>494</v>
      </c>
      <c r="H33" t="s">
        <v>416</v>
      </c>
      <c r="I33" t="s">
        <v>416</v>
      </c>
      <c r="J33">
        <v>1693498452.0999999</v>
      </c>
      <c r="K33">
        <f t="shared" si="0"/>
        <v>3.9632550092902844E-3</v>
      </c>
      <c r="L33">
        <f t="shared" si="1"/>
        <v>3.9632550092902843</v>
      </c>
      <c r="M33">
        <f t="shared" si="2"/>
        <v>21.186344088780629</v>
      </c>
      <c r="N33">
        <f t="shared" si="3"/>
        <v>173.77099999999999</v>
      </c>
      <c r="O33">
        <f t="shared" si="4"/>
        <v>44.880926589204087</v>
      </c>
      <c r="P33">
        <f t="shared" si="5"/>
        <v>4.4739377532452931</v>
      </c>
      <c r="Q33">
        <f t="shared" si="6"/>
        <v>17.322294711851999</v>
      </c>
      <c r="R33">
        <f t="shared" si="7"/>
        <v>0.28064831834452203</v>
      </c>
      <c r="S33">
        <f t="shared" si="8"/>
        <v>2.9099407957339531</v>
      </c>
      <c r="T33">
        <f t="shared" si="9"/>
        <v>0.26643149362217333</v>
      </c>
      <c r="U33">
        <f t="shared" si="10"/>
        <v>0.16773697297500784</v>
      </c>
      <c r="V33">
        <f t="shared" si="11"/>
        <v>344.37000065833354</v>
      </c>
      <c r="W33">
        <f t="shared" si="12"/>
        <v>31.425679554258558</v>
      </c>
      <c r="X33">
        <f t="shared" si="13"/>
        <v>30.064900000000002</v>
      </c>
      <c r="Y33">
        <f t="shared" si="14"/>
        <v>4.2763577113559164</v>
      </c>
      <c r="Z33">
        <f t="shared" si="15"/>
        <v>65.215624579452481</v>
      </c>
      <c r="AA33">
        <f t="shared" si="16"/>
        <v>2.8464940956599998</v>
      </c>
      <c r="AB33">
        <f t="shared" si="17"/>
        <v>4.3647425199341665</v>
      </c>
      <c r="AC33">
        <f t="shared" si="18"/>
        <v>1.4298636156959166</v>
      </c>
      <c r="AD33">
        <f t="shared" si="19"/>
        <v>-174.77954590970154</v>
      </c>
      <c r="AE33">
        <f t="shared" si="20"/>
        <v>55.975043814484422</v>
      </c>
      <c r="AF33">
        <f t="shared" si="21"/>
        <v>4.2874126954279728</v>
      </c>
      <c r="AG33">
        <f t="shared" si="22"/>
        <v>229.8529112585444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51713.21972930395</v>
      </c>
      <c r="AM33" t="s">
        <v>417</v>
      </c>
      <c r="AN33">
        <v>10238.9</v>
      </c>
      <c r="AO33">
        <v>302.21199999999999</v>
      </c>
      <c r="AP33">
        <v>4052.3</v>
      </c>
      <c r="AQ33">
        <f t="shared" si="26"/>
        <v>0.92542210596451402</v>
      </c>
      <c r="AR33">
        <v>-0.32343011824092421</v>
      </c>
      <c r="AS33" t="s">
        <v>505</v>
      </c>
      <c r="AT33">
        <v>10462.200000000001</v>
      </c>
      <c r="AU33">
        <v>666.48368000000005</v>
      </c>
      <c r="AV33">
        <v>837.19970667159737</v>
      </c>
      <c r="AW33">
        <f t="shared" si="27"/>
        <v>0.20391314678107375</v>
      </c>
      <c r="AX33">
        <v>0.5</v>
      </c>
      <c r="AY33">
        <f t="shared" si="28"/>
        <v>1513.1850003291668</v>
      </c>
      <c r="AZ33">
        <f t="shared" si="29"/>
        <v>21.186344088780629</v>
      </c>
      <c r="BA33">
        <f t="shared" si="30"/>
        <v>154.27915753952027</v>
      </c>
      <c r="BB33">
        <f t="shared" si="31"/>
        <v>1.4214900492895767E-2</v>
      </c>
      <c r="BC33">
        <f t="shared" si="32"/>
        <v>3.8403026992334675</v>
      </c>
      <c r="BD33">
        <f t="shared" si="33"/>
        <v>234.92817435932309</v>
      </c>
      <c r="BE33" t="s">
        <v>506</v>
      </c>
      <c r="BF33">
        <v>533.89</v>
      </c>
      <c r="BG33">
        <f t="shared" si="34"/>
        <v>533.89</v>
      </c>
      <c r="BH33">
        <f t="shared" si="35"/>
        <v>0.36229074646651138</v>
      </c>
      <c r="BI33">
        <f t="shared" si="36"/>
        <v>0.56284392789458837</v>
      </c>
      <c r="BJ33">
        <f t="shared" si="37"/>
        <v>0.91379352984115048</v>
      </c>
      <c r="BK33">
        <f t="shared" si="38"/>
        <v>0.31910270935700485</v>
      </c>
      <c r="BL33">
        <f t="shared" si="39"/>
        <v>0.85733995930986218</v>
      </c>
      <c r="BM33">
        <f t="shared" si="40"/>
        <v>0.4508688714833074</v>
      </c>
      <c r="BN33">
        <f t="shared" si="41"/>
        <v>0.54913112851669266</v>
      </c>
      <c r="BO33">
        <v>5720</v>
      </c>
      <c r="BP33">
        <v>290.00000000000011</v>
      </c>
      <c r="BQ33">
        <v>791.28</v>
      </c>
      <c r="BR33">
        <v>265</v>
      </c>
      <c r="BS33">
        <v>10462.200000000001</v>
      </c>
      <c r="BT33">
        <v>791.14</v>
      </c>
      <c r="BU33">
        <v>0.14000000000000001</v>
      </c>
      <c r="BV33">
        <v>300.00000000000011</v>
      </c>
      <c r="BW33">
        <v>38.299999999999997</v>
      </c>
      <c r="BX33">
        <v>837.19970667159737</v>
      </c>
      <c r="BY33">
        <v>1.010146953931137</v>
      </c>
      <c r="BZ33">
        <v>-48.185695699645748</v>
      </c>
      <c r="CA33">
        <v>0.86589758228434888</v>
      </c>
      <c r="CB33">
        <v>0.99103922316854032</v>
      </c>
      <c r="CC33">
        <v>-1.1367548387096769E-2</v>
      </c>
      <c r="CD33">
        <v>289.99999999999989</v>
      </c>
      <c r="CE33">
        <v>788.13</v>
      </c>
      <c r="CF33">
        <v>725</v>
      </c>
      <c r="CG33">
        <v>10439</v>
      </c>
      <c r="CH33">
        <v>791.04</v>
      </c>
      <c r="CI33">
        <v>-2.91</v>
      </c>
      <c r="CW33">
        <f t="shared" si="42"/>
        <v>1800</v>
      </c>
      <c r="CX33">
        <f t="shared" si="43"/>
        <v>1513.1850003291668</v>
      </c>
      <c r="CY33">
        <f t="shared" si="44"/>
        <v>0.84065833351620378</v>
      </c>
      <c r="CZ33">
        <f t="shared" si="45"/>
        <v>0.19131666703240752</v>
      </c>
      <c r="DA33">
        <v>6</v>
      </c>
      <c r="DB33">
        <v>0.5</v>
      </c>
      <c r="DC33" t="s">
        <v>420</v>
      </c>
      <c r="DD33">
        <v>2</v>
      </c>
      <c r="DE33">
        <v>1693498452.0999999</v>
      </c>
      <c r="DF33">
        <v>173.77099999999999</v>
      </c>
      <c r="DG33">
        <v>200.00399999999999</v>
      </c>
      <c r="DH33">
        <v>28.555</v>
      </c>
      <c r="DI33">
        <v>23.937899999999999</v>
      </c>
      <c r="DJ33">
        <v>175.53299999999999</v>
      </c>
      <c r="DK33">
        <v>28.018599999999999</v>
      </c>
      <c r="DL33">
        <v>500.32499999999999</v>
      </c>
      <c r="DM33">
        <v>99.583500000000001</v>
      </c>
      <c r="DN33">
        <v>0.10111199999999999</v>
      </c>
      <c r="DO33">
        <v>30.421700000000001</v>
      </c>
      <c r="DP33">
        <v>30.064900000000002</v>
      </c>
      <c r="DQ33">
        <v>999.9</v>
      </c>
      <c r="DR33">
        <v>0</v>
      </c>
      <c r="DS33">
        <v>0</v>
      </c>
      <c r="DT33">
        <v>9930</v>
      </c>
      <c r="DU33">
        <v>0</v>
      </c>
      <c r="DV33">
        <v>1752.08</v>
      </c>
      <c r="DW33">
        <v>-26.2332</v>
      </c>
      <c r="DX33">
        <v>178.87899999999999</v>
      </c>
      <c r="DY33">
        <v>204.90899999999999</v>
      </c>
      <c r="DZ33">
        <v>4.6171600000000002</v>
      </c>
      <c r="EA33">
        <v>200.00399999999999</v>
      </c>
      <c r="EB33">
        <v>23.937899999999999</v>
      </c>
      <c r="EC33">
        <v>2.84361</v>
      </c>
      <c r="ED33">
        <v>2.3838200000000001</v>
      </c>
      <c r="EE33">
        <v>23.139500000000002</v>
      </c>
      <c r="EF33">
        <v>20.254300000000001</v>
      </c>
      <c r="EG33">
        <v>1800</v>
      </c>
      <c r="EH33">
        <v>0.97799599999999998</v>
      </c>
      <c r="EI33">
        <v>2.2004300000000001E-2</v>
      </c>
      <c r="EJ33">
        <v>0</v>
      </c>
      <c r="EK33">
        <v>666.26199999999994</v>
      </c>
      <c r="EL33">
        <v>4.9995000000000003</v>
      </c>
      <c r="EM33">
        <v>13164.8</v>
      </c>
      <c r="EN33">
        <v>16659.8</v>
      </c>
      <c r="EO33">
        <v>47.811999999999998</v>
      </c>
      <c r="EP33">
        <v>49.436999999999998</v>
      </c>
      <c r="EQ33">
        <v>48.75</v>
      </c>
      <c r="ER33">
        <v>48.186999999999998</v>
      </c>
      <c r="ES33">
        <v>49.186999999999998</v>
      </c>
      <c r="ET33">
        <v>1755.5</v>
      </c>
      <c r="EU33">
        <v>39.5</v>
      </c>
      <c r="EV33">
        <v>0</v>
      </c>
      <c r="EW33">
        <v>118.7999999523163</v>
      </c>
      <c r="EX33">
        <v>0</v>
      </c>
      <c r="EY33">
        <v>666.48368000000005</v>
      </c>
      <c r="EZ33">
        <v>-3.101615375495459</v>
      </c>
      <c r="FA33">
        <v>-30.76923079910636</v>
      </c>
      <c r="FB33">
        <v>13168.28</v>
      </c>
      <c r="FC33">
        <v>15</v>
      </c>
      <c r="FD33">
        <v>1693498404.0999999</v>
      </c>
      <c r="FE33" t="s">
        <v>507</v>
      </c>
      <c r="FF33">
        <v>1693498397.5999999</v>
      </c>
      <c r="FG33">
        <v>1693498404.0999999</v>
      </c>
      <c r="FH33">
        <v>22</v>
      </c>
      <c r="FI33">
        <v>4.5999999999999999E-2</v>
      </c>
      <c r="FJ33">
        <v>-5.0000000000000001E-3</v>
      </c>
      <c r="FK33">
        <v>-1.8149999999999999</v>
      </c>
      <c r="FL33">
        <v>0.33</v>
      </c>
      <c r="FM33">
        <v>200</v>
      </c>
      <c r="FN33">
        <v>24</v>
      </c>
      <c r="FO33">
        <v>0.21</v>
      </c>
      <c r="FP33">
        <v>0.06</v>
      </c>
      <c r="FQ33">
        <v>21.046111283702359</v>
      </c>
      <c r="FR33">
        <v>0.62968185039659264</v>
      </c>
      <c r="FS33">
        <v>7.8364407225150229E-2</v>
      </c>
      <c r="FT33">
        <v>1</v>
      </c>
      <c r="FU33">
        <v>0.28447382794632392</v>
      </c>
      <c r="FV33">
        <v>-1.6702692243532959E-2</v>
      </c>
      <c r="FW33">
        <v>1.576413293314089E-3</v>
      </c>
      <c r="FX33">
        <v>1</v>
      </c>
      <c r="FY33">
        <v>2</v>
      </c>
      <c r="FZ33">
        <v>2</v>
      </c>
      <c r="GA33" t="s">
        <v>422</v>
      </c>
      <c r="GB33">
        <v>2.9737100000000001</v>
      </c>
      <c r="GC33">
        <v>2.8121999999999998</v>
      </c>
      <c r="GD33">
        <v>4.90219E-2</v>
      </c>
      <c r="GE33">
        <v>5.4494099999999997E-2</v>
      </c>
      <c r="GF33">
        <v>0.135543</v>
      </c>
      <c r="GG33">
        <v>0.119711</v>
      </c>
      <c r="GH33">
        <v>28199.3</v>
      </c>
      <c r="GI33">
        <v>25903.599999999999</v>
      </c>
      <c r="GJ33">
        <v>26640.400000000001</v>
      </c>
      <c r="GK33">
        <v>25832.799999999999</v>
      </c>
      <c r="GL33">
        <v>31311.1</v>
      </c>
      <c r="GM33">
        <v>32038</v>
      </c>
      <c r="GN33">
        <v>37736.5</v>
      </c>
      <c r="GO33">
        <v>38234.199999999997</v>
      </c>
      <c r="GP33">
        <v>2.0131999999999999</v>
      </c>
      <c r="GQ33">
        <v>2.0764</v>
      </c>
      <c r="GR33">
        <v>5.2034900000000002E-2</v>
      </c>
      <c r="GS33">
        <v>0</v>
      </c>
      <c r="GT33">
        <v>29.217600000000001</v>
      </c>
      <c r="GU33">
        <v>999.9</v>
      </c>
      <c r="GV33">
        <v>57.9</v>
      </c>
      <c r="GW33">
        <v>32.299999999999997</v>
      </c>
      <c r="GX33">
        <v>28.241599999999998</v>
      </c>
      <c r="GY33">
        <v>61.7288</v>
      </c>
      <c r="GZ33">
        <v>13.7941</v>
      </c>
      <c r="HA33">
        <v>1</v>
      </c>
      <c r="HB33">
        <v>5.8902400000000001E-2</v>
      </c>
      <c r="HC33">
        <v>1.7907</v>
      </c>
      <c r="HD33">
        <v>20.296900000000001</v>
      </c>
      <c r="HE33">
        <v>5.2077099999999996</v>
      </c>
      <c r="HF33">
        <v>11.9321</v>
      </c>
      <c r="HG33">
        <v>4.9884000000000004</v>
      </c>
      <c r="HH33">
        <v>3.2904</v>
      </c>
      <c r="HI33">
        <v>9999</v>
      </c>
      <c r="HJ33">
        <v>9999</v>
      </c>
      <c r="HK33">
        <v>9999</v>
      </c>
      <c r="HL33">
        <v>999.9</v>
      </c>
      <c r="HM33">
        <v>1.86968</v>
      </c>
      <c r="HN33">
        <v>1.8760699999999999</v>
      </c>
      <c r="HO33">
        <v>1.8737900000000001</v>
      </c>
      <c r="HP33">
        <v>1.8721000000000001</v>
      </c>
      <c r="HQ33">
        <v>1.87253</v>
      </c>
      <c r="HR33">
        <v>1.8699600000000001</v>
      </c>
      <c r="HS33">
        <v>1.8758999999999999</v>
      </c>
      <c r="HT33">
        <v>1.8748499999999999</v>
      </c>
      <c r="HU33">
        <v>5</v>
      </c>
      <c r="HV33">
        <v>0</v>
      </c>
      <c r="HW33">
        <v>0</v>
      </c>
      <c r="HX33">
        <v>0</v>
      </c>
      <c r="HY33" t="s">
        <v>423</v>
      </c>
      <c r="HZ33" t="s">
        <v>424</v>
      </c>
      <c r="IA33" t="s">
        <v>425</v>
      </c>
      <c r="IB33" t="s">
        <v>425</v>
      </c>
      <c r="IC33" t="s">
        <v>425</v>
      </c>
      <c r="ID33" t="s">
        <v>425</v>
      </c>
      <c r="IE33">
        <v>0</v>
      </c>
      <c r="IF33">
        <v>100</v>
      </c>
      <c r="IG33">
        <v>100</v>
      </c>
      <c r="IH33">
        <v>-1.762</v>
      </c>
      <c r="II33">
        <v>0.53639999999999999</v>
      </c>
      <c r="IJ33">
        <v>-1.348538072373807</v>
      </c>
      <c r="IK33">
        <v>-2.677719669153116E-3</v>
      </c>
      <c r="IL33">
        <v>1.9353498771248068E-6</v>
      </c>
      <c r="IM33">
        <v>-6.1862177325538213E-10</v>
      </c>
      <c r="IN33">
        <v>-7.8591714340173313E-2</v>
      </c>
      <c r="IO33">
        <v>-1.5299015507423901E-2</v>
      </c>
      <c r="IP33">
        <v>1.742162107778985E-3</v>
      </c>
      <c r="IQ33">
        <v>-1.472690239905804E-5</v>
      </c>
      <c r="IR33">
        <v>3</v>
      </c>
      <c r="IS33">
        <v>2255</v>
      </c>
      <c r="IT33">
        <v>2</v>
      </c>
      <c r="IU33">
        <v>41</v>
      </c>
      <c r="IV33">
        <v>0.9</v>
      </c>
      <c r="IW33">
        <v>0.8</v>
      </c>
      <c r="IX33">
        <v>0.56884800000000002</v>
      </c>
      <c r="IY33">
        <v>2.4890099999999999</v>
      </c>
      <c r="IZ33">
        <v>1.5991200000000001</v>
      </c>
      <c r="JA33">
        <v>2.2729499999999998</v>
      </c>
      <c r="JB33">
        <v>1.5502899999999999</v>
      </c>
      <c r="JC33">
        <v>2.3120099999999999</v>
      </c>
      <c r="JD33">
        <v>34.898499999999999</v>
      </c>
      <c r="JE33">
        <v>15.9445</v>
      </c>
      <c r="JF33">
        <v>18</v>
      </c>
      <c r="JG33">
        <v>507.01299999999998</v>
      </c>
      <c r="JH33">
        <v>517.12400000000002</v>
      </c>
      <c r="JI33">
        <v>25.950800000000001</v>
      </c>
      <c r="JJ33">
        <v>28.322700000000001</v>
      </c>
      <c r="JK33">
        <v>30.000299999999999</v>
      </c>
      <c r="JL33">
        <v>28.253699999999998</v>
      </c>
      <c r="JM33">
        <v>28.227399999999999</v>
      </c>
      <c r="JN33">
        <v>11.4277</v>
      </c>
      <c r="JO33">
        <v>25.515899999999998</v>
      </c>
      <c r="JP33">
        <v>100</v>
      </c>
      <c r="JQ33">
        <v>25.9635</v>
      </c>
      <c r="JR33">
        <v>200</v>
      </c>
      <c r="JS33">
        <v>23.9877</v>
      </c>
      <c r="JT33">
        <v>99.500600000000006</v>
      </c>
      <c r="JU33">
        <v>99.305899999999994</v>
      </c>
    </row>
    <row r="34" spans="1:281" x14ac:dyDescent="0.25">
      <c r="A34">
        <v>18</v>
      </c>
      <c r="B34">
        <v>1693498561.0999999</v>
      </c>
      <c r="C34">
        <v>4581.5</v>
      </c>
      <c r="D34" t="s">
        <v>508</v>
      </c>
      <c r="E34" t="s">
        <v>509</v>
      </c>
      <c r="F34" t="s">
        <v>413</v>
      </c>
      <c r="G34" t="s">
        <v>494</v>
      </c>
      <c r="H34" t="s">
        <v>416</v>
      </c>
      <c r="I34" t="s">
        <v>416</v>
      </c>
      <c r="J34">
        <v>1693498561.0999999</v>
      </c>
      <c r="K34">
        <f t="shared" si="0"/>
        <v>4.5587874529522242E-3</v>
      </c>
      <c r="L34">
        <f t="shared" si="1"/>
        <v>4.5587874529522239</v>
      </c>
      <c r="M34">
        <f t="shared" si="2"/>
        <v>13.488548358221459</v>
      </c>
      <c r="N34">
        <f t="shared" si="3"/>
        <v>103.277</v>
      </c>
      <c r="O34">
        <f t="shared" si="4"/>
        <v>33.440862404445234</v>
      </c>
      <c r="P34">
        <f t="shared" si="5"/>
        <v>3.3337206432067426</v>
      </c>
      <c r="Q34">
        <f t="shared" si="6"/>
        <v>10.295687434864</v>
      </c>
      <c r="R34">
        <f t="shared" si="7"/>
        <v>0.33329589350525429</v>
      </c>
      <c r="S34">
        <f t="shared" si="8"/>
        <v>2.9153284230906489</v>
      </c>
      <c r="T34">
        <f t="shared" si="9"/>
        <v>0.31348167127979842</v>
      </c>
      <c r="U34">
        <f t="shared" si="10"/>
        <v>0.19760803892112427</v>
      </c>
      <c r="V34">
        <f t="shared" si="11"/>
        <v>344.39790065811201</v>
      </c>
      <c r="W34">
        <f t="shared" si="12"/>
        <v>31.05493796826585</v>
      </c>
      <c r="X34">
        <f t="shared" si="13"/>
        <v>29.8874</v>
      </c>
      <c r="Y34">
        <f t="shared" si="14"/>
        <v>4.23297220249811</v>
      </c>
      <c r="Z34">
        <f t="shared" si="15"/>
        <v>65.745438917465918</v>
      </c>
      <c r="AA34">
        <f t="shared" si="16"/>
        <v>2.8346262459007998</v>
      </c>
      <c r="AB34">
        <f t="shared" si="17"/>
        <v>4.3115177152581969</v>
      </c>
      <c r="AC34">
        <f t="shared" si="18"/>
        <v>1.3983459565973102</v>
      </c>
      <c r="AD34">
        <f t="shared" si="19"/>
        <v>-201.0425266751931</v>
      </c>
      <c r="AE34">
        <f t="shared" si="20"/>
        <v>50.32621373980129</v>
      </c>
      <c r="AF34">
        <f t="shared" si="21"/>
        <v>3.8401679340136372</v>
      </c>
      <c r="AG34">
        <f t="shared" si="22"/>
        <v>197.52175565673386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51903.223039529912</v>
      </c>
      <c r="AM34" t="s">
        <v>417</v>
      </c>
      <c r="AN34">
        <v>10238.9</v>
      </c>
      <c r="AO34">
        <v>302.21199999999999</v>
      </c>
      <c r="AP34">
        <v>4052.3</v>
      </c>
      <c r="AQ34">
        <f t="shared" si="26"/>
        <v>0.92542210596451402</v>
      </c>
      <c r="AR34">
        <v>-0.32343011824092421</v>
      </c>
      <c r="AS34" t="s">
        <v>510</v>
      </c>
      <c r="AT34">
        <v>10457.6</v>
      </c>
      <c r="AU34">
        <v>670.62296000000003</v>
      </c>
      <c r="AV34">
        <v>788.45219508021034</v>
      </c>
      <c r="AW34">
        <f t="shared" si="27"/>
        <v>0.14944372761651503</v>
      </c>
      <c r="AX34">
        <v>0.5</v>
      </c>
      <c r="AY34">
        <f t="shared" si="28"/>
        <v>1513.3107003290561</v>
      </c>
      <c r="AZ34">
        <f t="shared" si="29"/>
        <v>13.488548358221459</v>
      </c>
      <c r="BA34">
        <f t="shared" si="30"/>
        <v>113.07739604956653</v>
      </c>
      <c r="BB34">
        <f t="shared" si="31"/>
        <v>9.1269945249571622E-3</v>
      </c>
      <c r="BC34">
        <f t="shared" si="32"/>
        <v>4.1395633435807149</v>
      </c>
      <c r="BD34">
        <f t="shared" si="33"/>
        <v>230.92183148970165</v>
      </c>
      <c r="BE34" t="s">
        <v>511</v>
      </c>
      <c r="BF34">
        <v>538.76</v>
      </c>
      <c r="BG34">
        <f t="shared" si="34"/>
        <v>538.76</v>
      </c>
      <c r="BH34">
        <f t="shared" si="35"/>
        <v>0.31668653678465419</v>
      </c>
      <c r="BI34">
        <f t="shared" si="36"/>
        <v>0.47189795036388388</v>
      </c>
      <c r="BJ34">
        <f t="shared" si="37"/>
        <v>0.92893429558786578</v>
      </c>
      <c r="BK34">
        <f t="shared" si="38"/>
        <v>0.24232722072837512</v>
      </c>
      <c r="BL34">
        <f t="shared" si="39"/>
        <v>0.87033899069029563</v>
      </c>
      <c r="BM34">
        <f t="shared" si="40"/>
        <v>0.3791098052146113</v>
      </c>
      <c r="BN34">
        <f t="shared" si="41"/>
        <v>0.62089019478538865</v>
      </c>
      <c r="BO34">
        <v>5722</v>
      </c>
      <c r="BP34">
        <v>290.00000000000011</v>
      </c>
      <c r="BQ34">
        <v>758.98</v>
      </c>
      <c r="BR34">
        <v>295</v>
      </c>
      <c r="BS34">
        <v>10457.6</v>
      </c>
      <c r="BT34">
        <v>758.36</v>
      </c>
      <c r="BU34">
        <v>0.62</v>
      </c>
      <c r="BV34">
        <v>300.00000000000011</v>
      </c>
      <c r="BW34">
        <v>38.299999999999997</v>
      </c>
      <c r="BX34">
        <v>788.45219508021034</v>
      </c>
      <c r="BY34">
        <v>0.86310250612335959</v>
      </c>
      <c r="BZ34">
        <v>-31.466377114591911</v>
      </c>
      <c r="CA34">
        <v>0.73973425145151095</v>
      </c>
      <c r="CB34">
        <v>0.98476133266696908</v>
      </c>
      <c r="CC34">
        <v>-1.1365555061179091E-2</v>
      </c>
      <c r="CD34">
        <v>289.99999999999989</v>
      </c>
      <c r="CE34">
        <v>755.38</v>
      </c>
      <c r="CF34">
        <v>635</v>
      </c>
      <c r="CG34">
        <v>10446.299999999999</v>
      </c>
      <c r="CH34">
        <v>758.33</v>
      </c>
      <c r="CI34">
        <v>-2.95</v>
      </c>
      <c r="CW34">
        <f t="shared" si="42"/>
        <v>1800.15</v>
      </c>
      <c r="CX34">
        <f t="shared" si="43"/>
        <v>1513.3107003290561</v>
      </c>
      <c r="CY34">
        <f t="shared" si="44"/>
        <v>0.84065811200680829</v>
      </c>
      <c r="CZ34">
        <f t="shared" si="45"/>
        <v>0.19131622401361664</v>
      </c>
      <c r="DA34">
        <v>6</v>
      </c>
      <c r="DB34">
        <v>0.5</v>
      </c>
      <c r="DC34" t="s">
        <v>420</v>
      </c>
      <c r="DD34">
        <v>2</v>
      </c>
      <c r="DE34">
        <v>1693498561.0999999</v>
      </c>
      <c r="DF34">
        <v>103.277</v>
      </c>
      <c r="DG34">
        <v>120.027</v>
      </c>
      <c r="DH34">
        <v>28.4344</v>
      </c>
      <c r="DI34">
        <v>23.119800000000001</v>
      </c>
      <c r="DJ34">
        <v>104.779</v>
      </c>
      <c r="DK34">
        <v>27.914400000000001</v>
      </c>
      <c r="DL34">
        <v>500.03699999999998</v>
      </c>
      <c r="DM34">
        <v>99.5899</v>
      </c>
      <c r="DN34">
        <v>0.100132</v>
      </c>
      <c r="DO34">
        <v>30.207599999999999</v>
      </c>
      <c r="DP34">
        <v>29.8874</v>
      </c>
      <c r="DQ34">
        <v>999.9</v>
      </c>
      <c r="DR34">
        <v>0</v>
      </c>
      <c r="DS34">
        <v>0</v>
      </c>
      <c r="DT34">
        <v>9960</v>
      </c>
      <c r="DU34">
        <v>0</v>
      </c>
      <c r="DV34">
        <v>1711.79</v>
      </c>
      <c r="DW34">
        <v>-16.749500000000001</v>
      </c>
      <c r="DX34">
        <v>106.3</v>
      </c>
      <c r="DY34">
        <v>122.86799999999999</v>
      </c>
      <c r="DZ34">
        <v>5.3145899999999999</v>
      </c>
      <c r="EA34">
        <v>120.027</v>
      </c>
      <c r="EB34">
        <v>23.119800000000001</v>
      </c>
      <c r="EC34">
        <v>2.8317700000000001</v>
      </c>
      <c r="ED34">
        <v>2.3024900000000001</v>
      </c>
      <c r="EE34">
        <v>23.070499999999999</v>
      </c>
      <c r="EF34">
        <v>19.693899999999999</v>
      </c>
      <c r="EG34">
        <v>1800.15</v>
      </c>
      <c r="EH34">
        <v>0.97799899999999995</v>
      </c>
      <c r="EI34">
        <v>2.2000700000000002E-2</v>
      </c>
      <c r="EJ34">
        <v>0</v>
      </c>
      <c r="EK34">
        <v>670.20399999999995</v>
      </c>
      <c r="EL34">
        <v>4.9995000000000003</v>
      </c>
      <c r="EM34">
        <v>13228.9</v>
      </c>
      <c r="EN34">
        <v>16661.2</v>
      </c>
      <c r="EO34">
        <v>48</v>
      </c>
      <c r="EP34">
        <v>49.75</v>
      </c>
      <c r="EQ34">
        <v>49</v>
      </c>
      <c r="ER34">
        <v>48.436999999999998</v>
      </c>
      <c r="ES34">
        <v>49.375</v>
      </c>
      <c r="ET34">
        <v>1755.66</v>
      </c>
      <c r="EU34">
        <v>39.49</v>
      </c>
      <c r="EV34">
        <v>0</v>
      </c>
      <c r="EW34">
        <v>107</v>
      </c>
      <c r="EX34">
        <v>0</v>
      </c>
      <c r="EY34">
        <v>670.62296000000003</v>
      </c>
      <c r="EZ34">
        <v>-3.3213846106699032</v>
      </c>
      <c r="FA34">
        <v>-37.669230853348147</v>
      </c>
      <c r="FB34">
        <v>13227.98</v>
      </c>
      <c r="FC34">
        <v>15</v>
      </c>
      <c r="FD34">
        <v>1693498530.5999999</v>
      </c>
      <c r="FE34" t="s">
        <v>512</v>
      </c>
      <c r="FF34">
        <v>1693498525.5999999</v>
      </c>
      <c r="FG34">
        <v>1693498530.5999999</v>
      </c>
      <c r="FH34">
        <v>23</v>
      </c>
      <c r="FI34">
        <v>0.107</v>
      </c>
      <c r="FJ34">
        <v>-1.2E-2</v>
      </c>
      <c r="FK34">
        <v>-1.5389999999999999</v>
      </c>
      <c r="FL34">
        <v>0.30599999999999999</v>
      </c>
      <c r="FM34">
        <v>120</v>
      </c>
      <c r="FN34">
        <v>23</v>
      </c>
      <c r="FO34">
        <v>0.28000000000000003</v>
      </c>
      <c r="FP34">
        <v>0.03</v>
      </c>
      <c r="FQ34">
        <v>13.387865735799171</v>
      </c>
      <c r="FR34">
        <v>0.28015011682374302</v>
      </c>
      <c r="FS34">
        <v>5.4395949753473963E-2</v>
      </c>
      <c r="FT34">
        <v>1</v>
      </c>
      <c r="FU34">
        <v>0.3356612204450129</v>
      </c>
      <c r="FV34">
        <v>3.3093103865193492E-2</v>
      </c>
      <c r="FW34">
        <v>3.1610803860094841E-3</v>
      </c>
      <c r="FX34">
        <v>1</v>
      </c>
      <c r="FY34">
        <v>2</v>
      </c>
      <c r="FZ34">
        <v>2</v>
      </c>
      <c r="GA34" t="s">
        <v>422</v>
      </c>
      <c r="GB34">
        <v>2.9728500000000002</v>
      </c>
      <c r="GC34">
        <v>2.81148</v>
      </c>
      <c r="GD34">
        <v>3.0249700000000001E-2</v>
      </c>
      <c r="GE34">
        <v>3.4038400000000003E-2</v>
      </c>
      <c r="GF34">
        <v>0.13516900000000001</v>
      </c>
      <c r="GG34">
        <v>0.116822</v>
      </c>
      <c r="GH34">
        <v>28752.5</v>
      </c>
      <c r="GI34">
        <v>26461.599999999999</v>
      </c>
      <c r="GJ34">
        <v>26637.599999999999</v>
      </c>
      <c r="GK34">
        <v>25831</v>
      </c>
      <c r="GL34">
        <v>31321.1</v>
      </c>
      <c r="GM34">
        <v>32139.8</v>
      </c>
      <c r="GN34">
        <v>37732.199999999997</v>
      </c>
      <c r="GO34">
        <v>38231.699999999997</v>
      </c>
      <c r="GP34">
        <v>2.0118999999999998</v>
      </c>
      <c r="GQ34">
        <v>2.0733999999999999</v>
      </c>
      <c r="GR34">
        <v>3.4376999999999998E-2</v>
      </c>
      <c r="GS34">
        <v>0</v>
      </c>
      <c r="GT34">
        <v>29.3276</v>
      </c>
      <c r="GU34">
        <v>999.9</v>
      </c>
      <c r="GV34">
        <v>58.2</v>
      </c>
      <c r="GW34">
        <v>32.200000000000003</v>
      </c>
      <c r="GX34">
        <v>28.221900000000002</v>
      </c>
      <c r="GY34">
        <v>61.4788</v>
      </c>
      <c r="GZ34">
        <v>13.8942</v>
      </c>
      <c r="HA34">
        <v>1</v>
      </c>
      <c r="HB34">
        <v>6.4674800000000005E-2</v>
      </c>
      <c r="HC34">
        <v>0.70529399999999998</v>
      </c>
      <c r="HD34">
        <v>20.306000000000001</v>
      </c>
      <c r="HE34">
        <v>5.2107000000000001</v>
      </c>
      <c r="HF34">
        <v>11.9321</v>
      </c>
      <c r="HG34">
        <v>4.9875999999999996</v>
      </c>
      <c r="HH34">
        <v>3.2909999999999999</v>
      </c>
      <c r="HI34">
        <v>9999</v>
      </c>
      <c r="HJ34">
        <v>9999</v>
      </c>
      <c r="HK34">
        <v>9999</v>
      </c>
      <c r="HL34">
        <v>999.9</v>
      </c>
      <c r="HM34">
        <v>1.86972</v>
      </c>
      <c r="HN34">
        <v>1.8760699999999999</v>
      </c>
      <c r="HO34">
        <v>1.8737900000000001</v>
      </c>
      <c r="HP34">
        <v>1.8720399999999999</v>
      </c>
      <c r="HQ34">
        <v>1.8725000000000001</v>
      </c>
      <c r="HR34">
        <v>1.8699600000000001</v>
      </c>
      <c r="HS34">
        <v>1.8758999999999999</v>
      </c>
      <c r="HT34">
        <v>1.8748499999999999</v>
      </c>
      <c r="HU34">
        <v>5</v>
      </c>
      <c r="HV34">
        <v>0</v>
      </c>
      <c r="HW34">
        <v>0</v>
      </c>
      <c r="HX34">
        <v>0</v>
      </c>
      <c r="HY34" t="s">
        <v>423</v>
      </c>
      <c r="HZ34" t="s">
        <v>424</v>
      </c>
      <c r="IA34" t="s">
        <v>425</v>
      </c>
      <c r="IB34" t="s">
        <v>425</v>
      </c>
      <c r="IC34" t="s">
        <v>425</v>
      </c>
      <c r="ID34" t="s">
        <v>425</v>
      </c>
      <c r="IE34">
        <v>0</v>
      </c>
      <c r="IF34">
        <v>100</v>
      </c>
      <c r="IG34">
        <v>100</v>
      </c>
      <c r="IH34">
        <v>-1.502</v>
      </c>
      <c r="II34">
        <v>0.52</v>
      </c>
      <c r="IJ34">
        <v>-1.2413407929643581</v>
      </c>
      <c r="IK34">
        <v>-2.677719669153116E-3</v>
      </c>
      <c r="IL34">
        <v>1.9353498771248068E-6</v>
      </c>
      <c r="IM34">
        <v>-6.1862177325538213E-10</v>
      </c>
      <c r="IN34">
        <v>-9.0177803224223252E-2</v>
      </c>
      <c r="IO34">
        <v>-1.5299015507423901E-2</v>
      </c>
      <c r="IP34">
        <v>1.742162107778985E-3</v>
      </c>
      <c r="IQ34">
        <v>-1.472690239905804E-5</v>
      </c>
      <c r="IR34">
        <v>3</v>
      </c>
      <c r="IS34">
        <v>2255</v>
      </c>
      <c r="IT34">
        <v>2</v>
      </c>
      <c r="IU34">
        <v>41</v>
      </c>
      <c r="IV34">
        <v>0.6</v>
      </c>
      <c r="IW34">
        <v>0.5</v>
      </c>
      <c r="IX34">
        <v>0.40283200000000002</v>
      </c>
      <c r="IY34">
        <v>2.5</v>
      </c>
      <c r="IZ34">
        <v>1.5991200000000001</v>
      </c>
      <c r="JA34">
        <v>2.2741699999999998</v>
      </c>
      <c r="JB34">
        <v>1.5502899999999999</v>
      </c>
      <c r="JC34">
        <v>2.36938</v>
      </c>
      <c r="JD34">
        <v>34.829599999999999</v>
      </c>
      <c r="JE34">
        <v>15.9445</v>
      </c>
      <c r="JF34">
        <v>18</v>
      </c>
      <c r="JG34">
        <v>507.02600000000001</v>
      </c>
      <c r="JH34">
        <v>515.97400000000005</v>
      </c>
      <c r="JI34">
        <v>26.304099999999998</v>
      </c>
      <c r="JJ34">
        <v>28.432400000000001</v>
      </c>
      <c r="JK34">
        <v>30</v>
      </c>
      <c r="JL34">
        <v>28.3507</v>
      </c>
      <c r="JM34">
        <v>28.320599999999999</v>
      </c>
      <c r="JN34">
        <v>8.0999300000000005</v>
      </c>
      <c r="JO34">
        <v>28.216100000000001</v>
      </c>
      <c r="JP34">
        <v>100</v>
      </c>
      <c r="JQ34">
        <v>26.3489</v>
      </c>
      <c r="JR34">
        <v>120</v>
      </c>
      <c r="JS34">
        <v>23.113800000000001</v>
      </c>
      <c r="JT34">
        <v>99.489699999999999</v>
      </c>
      <c r="JU34">
        <v>99.299300000000002</v>
      </c>
    </row>
    <row r="35" spans="1:281" x14ac:dyDescent="0.25">
      <c r="A35">
        <v>19</v>
      </c>
      <c r="B35">
        <v>1693498661.5999999</v>
      </c>
      <c r="C35">
        <v>4682</v>
      </c>
      <c r="D35" t="s">
        <v>513</v>
      </c>
      <c r="E35" t="s">
        <v>514</v>
      </c>
      <c r="F35" t="s">
        <v>413</v>
      </c>
      <c r="G35" t="s">
        <v>494</v>
      </c>
      <c r="H35" t="s">
        <v>416</v>
      </c>
      <c r="I35" t="s">
        <v>416</v>
      </c>
      <c r="J35">
        <v>1693498661.5999999</v>
      </c>
      <c r="K35">
        <f t="shared" si="0"/>
        <v>4.7082767333529521E-3</v>
      </c>
      <c r="L35">
        <f t="shared" si="1"/>
        <v>4.7082767333529523</v>
      </c>
      <c r="M35">
        <f t="shared" si="2"/>
        <v>8.2671828619634429</v>
      </c>
      <c r="N35">
        <f t="shared" si="3"/>
        <v>59.710799999999999</v>
      </c>
      <c r="O35">
        <f t="shared" si="4"/>
        <v>17.864685914168668</v>
      </c>
      <c r="P35">
        <f t="shared" si="5"/>
        <v>1.7808785757715562</v>
      </c>
      <c r="Q35">
        <f t="shared" si="6"/>
        <v>5.952395971196041</v>
      </c>
      <c r="R35">
        <f t="shared" si="7"/>
        <v>0.34087915104465005</v>
      </c>
      <c r="S35">
        <f t="shared" si="8"/>
        <v>2.9310550997573817</v>
      </c>
      <c r="T35">
        <f t="shared" si="9"/>
        <v>0.3202869193391068</v>
      </c>
      <c r="U35">
        <f t="shared" si="10"/>
        <v>0.20192570981228999</v>
      </c>
      <c r="V35">
        <f t="shared" si="11"/>
        <v>344.32950065824366</v>
      </c>
      <c r="W35">
        <f t="shared" si="12"/>
        <v>31.202630770039711</v>
      </c>
      <c r="X35">
        <f t="shared" si="13"/>
        <v>29.9955</v>
      </c>
      <c r="Y35">
        <f t="shared" si="14"/>
        <v>4.2593486711021713</v>
      </c>
      <c r="Z35">
        <f t="shared" si="15"/>
        <v>65.29345115234257</v>
      </c>
      <c r="AA35">
        <f t="shared" si="16"/>
        <v>2.8461561749971702</v>
      </c>
      <c r="AB35">
        <f t="shared" si="17"/>
        <v>4.3590224207271921</v>
      </c>
      <c r="AC35">
        <f t="shared" si="18"/>
        <v>1.4131924961050011</v>
      </c>
      <c r="AD35">
        <f t="shared" si="19"/>
        <v>-207.63500394086518</v>
      </c>
      <c r="AE35">
        <f t="shared" si="20"/>
        <v>63.729079855624029</v>
      </c>
      <c r="AF35">
        <f t="shared" si="21"/>
        <v>4.8439584511525338</v>
      </c>
      <c r="AG35">
        <f t="shared" si="22"/>
        <v>205.26753502415508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52318.8771107414</v>
      </c>
      <c r="AM35" t="s">
        <v>417</v>
      </c>
      <c r="AN35">
        <v>10238.9</v>
      </c>
      <c r="AO35">
        <v>302.21199999999999</v>
      </c>
      <c r="AP35">
        <v>4052.3</v>
      </c>
      <c r="AQ35">
        <f t="shared" si="26"/>
        <v>0.92542210596451402</v>
      </c>
      <c r="AR35">
        <v>-0.32343011824092421</v>
      </c>
      <c r="AS35" t="s">
        <v>515</v>
      </c>
      <c r="AT35">
        <v>10464.799999999999</v>
      </c>
      <c r="AU35">
        <v>674.39820000000009</v>
      </c>
      <c r="AV35">
        <v>754.06096568672183</v>
      </c>
      <c r="AW35">
        <f t="shared" si="27"/>
        <v>0.10564499332513921</v>
      </c>
      <c r="AX35">
        <v>0.5</v>
      </c>
      <c r="AY35">
        <f t="shared" si="28"/>
        <v>1513.008300329122</v>
      </c>
      <c r="AZ35">
        <f t="shared" si="29"/>
        <v>8.2671828619634429</v>
      </c>
      <c r="BA35">
        <f t="shared" si="30"/>
        <v>79.920875894575161</v>
      </c>
      <c r="BB35">
        <f t="shared" si="31"/>
        <v>5.6778359896212513E-3</v>
      </c>
      <c r="BC35">
        <f t="shared" si="32"/>
        <v>4.3739686635411221</v>
      </c>
      <c r="BD35">
        <f t="shared" si="33"/>
        <v>227.87791242988041</v>
      </c>
      <c r="BE35" t="s">
        <v>516</v>
      </c>
      <c r="BF35">
        <v>541.64</v>
      </c>
      <c r="BG35">
        <f t="shared" si="34"/>
        <v>541.64</v>
      </c>
      <c r="BH35">
        <f t="shared" si="35"/>
        <v>0.28170264123573951</v>
      </c>
      <c r="BI35">
        <f t="shared" si="36"/>
        <v>0.37502308413477548</v>
      </c>
      <c r="BJ35">
        <f t="shared" si="37"/>
        <v>0.93949258381993073</v>
      </c>
      <c r="BK35">
        <f t="shared" si="38"/>
        <v>0.1763039682201108</v>
      </c>
      <c r="BL35">
        <f t="shared" si="39"/>
        <v>0.87950976998760511</v>
      </c>
      <c r="BM35">
        <f t="shared" si="40"/>
        <v>0.30119816940608646</v>
      </c>
      <c r="BN35">
        <f t="shared" si="41"/>
        <v>0.69880183059391354</v>
      </c>
      <c r="BO35">
        <v>5724</v>
      </c>
      <c r="BP35">
        <v>290.00000000000011</v>
      </c>
      <c r="BQ35">
        <v>734.77</v>
      </c>
      <c r="BR35">
        <v>235</v>
      </c>
      <c r="BS35">
        <v>10464.799999999999</v>
      </c>
      <c r="BT35">
        <v>734.21</v>
      </c>
      <c r="BU35">
        <v>0.56000000000000005</v>
      </c>
      <c r="BV35">
        <v>300.00000000000011</v>
      </c>
      <c r="BW35">
        <v>38.299999999999997</v>
      </c>
      <c r="BX35">
        <v>754.06096568672183</v>
      </c>
      <c r="BY35">
        <v>0.96311351840161508</v>
      </c>
      <c r="BZ35">
        <v>-20.778679725383888</v>
      </c>
      <c r="CA35">
        <v>0.82539621146718511</v>
      </c>
      <c r="CB35">
        <v>0.95768729394602503</v>
      </c>
      <c r="CC35">
        <v>-1.1365137041156839E-2</v>
      </c>
      <c r="CD35">
        <v>289.99999999999989</v>
      </c>
      <c r="CE35">
        <v>732.37</v>
      </c>
      <c r="CF35">
        <v>675</v>
      </c>
      <c r="CG35">
        <v>10441.299999999999</v>
      </c>
      <c r="CH35">
        <v>734.16</v>
      </c>
      <c r="CI35">
        <v>-1.79</v>
      </c>
      <c r="CW35">
        <f t="shared" si="42"/>
        <v>1799.79</v>
      </c>
      <c r="CX35">
        <f t="shared" si="43"/>
        <v>1513.008300329122</v>
      </c>
      <c r="CY35">
        <f t="shared" si="44"/>
        <v>0.84065824364460406</v>
      </c>
      <c r="CZ35">
        <f t="shared" si="45"/>
        <v>0.191316487289208</v>
      </c>
      <c r="DA35">
        <v>6</v>
      </c>
      <c r="DB35">
        <v>0.5</v>
      </c>
      <c r="DC35" t="s">
        <v>420</v>
      </c>
      <c r="DD35">
        <v>2</v>
      </c>
      <c r="DE35">
        <v>1693498661.5999999</v>
      </c>
      <c r="DF35">
        <v>59.710799999999999</v>
      </c>
      <c r="DG35">
        <v>69.962199999999996</v>
      </c>
      <c r="DH35">
        <v>28.550899999999999</v>
      </c>
      <c r="DI35">
        <v>23.065799999999999</v>
      </c>
      <c r="DJ35">
        <v>61.277099999999997</v>
      </c>
      <c r="DK35">
        <v>28.039400000000001</v>
      </c>
      <c r="DL35">
        <v>500.32100000000003</v>
      </c>
      <c r="DM35">
        <v>99.587900000000005</v>
      </c>
      <c r="DN35">
        <v>9.9191299999999996E-2</v>
      </c>
      <c r="DO35">
        <v>30.398800000000001</v>
      </c>
      <c r="DP35">
        <v>29.9955</v>
      </c>
      <c r="DQ35">
        <v>999.9</v>
      </c>
      <c r="DR35">
        <v>0</v>
      </c>
      <c r="DS35">
        <v>0</v>
      </c>
      <c r="DT35">
        <v>10050</v>
      </c>
      <c r="DU35">
        <v>0</v>
      </c>
      <c r="DV35">
        <v>1724.25</v>
      </c>
      <c r="DW35">
        <v>-10.2514</v>
      </c>
      <c r="DX35">
        <v>61.465699999999998</v>
      </c>
      <c r="DY35">
        <v>71.614000000000004</v>
      </c>
      <c r="DZ35">
        <v>5.4850899999999996</v>
      </c>
      <c r="EA35">
        <v>69.962199999999996</v>
      </c>
      <c r="EB35">
        <v>23.065799999999999</v>
      </c>
      <c r="EC35">
        <v>2.8433199999999998</v>
      </c>
      <c r="ED35">
        <v>2.2970700000000002</v>
      </c>
      <c r="EE35">
        <v>23.137799999999999</v>
      </c>
      <c r="EF35">
        <v>19.655899999999999</v>
      </c>
      <c r="EG35">
        <v>1799.79</v>
      </c>
      <c r="EH35">
        <v>0.97799599999999998</v>
      </c>
      <c r="EI35">
        <v>2.2004300000000001E-2</v>
      </c>
      <c r="EJ35">
        <v>0</v>
      </c>
      <c r="EK35">
        <v>674</v>
      </c>
      <c r="EL35">
        <v>4.9995000000000003</v>
      </c>
      <c r="EM35">
        <v>13290.4</v>
      </c>
      <c r="EN35">
        <v>16657.8</v>
      </c>
      <c r="EO35">
        <v>48.061999999999998</v>
      </c>
      <c r="EP35">
        <v>49.75</v>
      </c>
      <c r="EQ35">
        <v>49.061999999999998</v>
      </c>
      <c r="ER35">
        <v>48.436999999999998</v>
      </c>
      <c r="ES35">
        <v>49.436999999999998</v>
      </c>
      <c r="ET35">
        <v>1755.3</v>
      </c>
      <c r="EU35">
        <v>39.49</v>
      </c>
      <c r="EV35">
        <v>0</v>
      </c>
      <c r="EW35">
        <v>98.599999904632568</v>
      </c>
      <c r="EX35">
        <v>0</v>
      </c>
      <c r="EY35">
        <v>674.39820000000009</v>
      </c>
      <c r="EZ35">
        <v>-3.4245384514170278</v>
      </c>
      <c r="FA35">
        <v>-31.36923070517339</v>
      </c>
      <c r="FB35">
        <v>13297.892</v>
      </c>
      <c r="FC35">
        <v>15</v>
      </c>
      <c r="FD35">
        <v>1693498631.0999999</v>
      </c>
      <c r="FE35" t="s">
        <v>517</v>
      </c>
      <c r="FF35">
        <v>1693498619.5999999</v>
      </c>
      <c r="FG35">
        <v>1693498631.0999999</v>
      </c>
      <c r="FH35">
        <v>24</v>
      </c>
      <c r="FI35">
        <v>-0.16800000000000001</v>
      </c>
      <c r="FJ35">
        <v>-1.4E-2</v>
      </c>
      <c r="FK35">
        <v>-1.591</v>
      </c>
      <c r="FL35">
        <v>0.26700000000000002</v>
      </c>
      <c r="FM35">
        <v>70</v>
      </c>
      <c r="FN35">
        <v>23</v>
      </c>
      <c r="FO35">
        <v>0.34</v>
      </c>
      <c r="FP35">
        <v>0.03</v>
      </c>
      <c r="FQ35">
        <v>8.2987546193481894</v>
      </c>
      <c r="FR35">
        <v>4.7772673002387148E-2</v>
      </c>
      <c r="FS35">
        <v>2.8591743649639161E-2</v>
      </c>
      <c r="FT35">
        <v>1</v>
      </c>
      <c r="FU35">
        <v>0.33700124842130808</v>
      </c>
      <c r="FV35">
        <v>1.371613209419946E-2</v>
      </c>
      <c r="FW35">
        <v>2.0416426048648789E-3</v>
      </c>
      <c r="FX35">
        <v>1</v>
      </c>
      <c r="FY35">
        <v>2</v>
      </c>
      <c r="FZ35">
        <v>2</v>
      </c>
      <c r="GA35" t="s">
        <v>422</v>
      </c>
      <c r="GB35">
        <v>2.97356</v>
      </c>
      <c r="GC35">
        <v>2.8113299999999999</v>
      </c>
      <c r="GD35">
        <v>1.7927999999999999E-2</v>
      </c>
      <c r="GE35">
        <v>2.0179599999999999E-2</v>
      </c>
      <c r="GF35">
        <v>0.13556799999999999</v>
      </c>
      <c r="GG35">
        <v>0.11661100000000001</v>
      </c>
      <c r="GH35">
        <v>29122.2</v>
      </c>
      <c r="GI35">
        <v>26838.6</v>
      </c>
      <c r="GJ35">
        <v>26641.9</v>
      </c>
      <c r="GK35">
        <v>25828.799999999999</v>
      </c>
      <c r="GL35">
        <v>31309.5</v>
      </c>
      <c r="GM35">
        <v>32144.1</v>
      </c>
      <c r="GN35">
        <v>37736.6</v>
      </c>
      <c r="GO35">
        <v>38228.800000000003</v>
      </c>
      <c r="GP35">
        <v>2.0103</v>
      </c>
      <c r="GQ35">
        <v>2.0728</v>
      </c>
      <c r="GR35">
        <v>4.4256400000000001E-2</v>
      </c>
      <c r="GS35">
        <v>0</v>
      </c>
      <c r="GT35">
        <v>29.274899999999999</v>
      </c>
      <c r="GU35">
        <v>999.9</v>
      </c>
      <c r="GV35">
        <v>58.4</v>
      </c>
      <c r="GW35">
        <v>32.1</v>
      </c>
      <c r="GX35">
        <v>28.1614</v>
      </c>
      <c r="GY35">
        <v>61.318800000000003</v>
      </c>
      <c r="GZ35">
        <v>13.4696</v>
      </c>
      <c r="HA35">
        <v>1</v>
      </c>
      <c r="HB35">
        <v>6.9512199999999996E-2</v>
      </c>
      <c r="HC35">
        <v>0.78997799999999996</v>
      </c>
      <c r="HD35">
        <v>20.305599999999998</v>
      </c>
      <c r="HE35">
        <v>5.2107000000000001</v>
      </c>
      <c r="HF35">
        <v>11.9321</v>
      </c>
      <c r="HG35">
        <v>4.9880000000000004</v>
      </c>
      <c r="HH35">
        <v>3.2909999999999999</v>
      </c>
      <c r="HI35">
        <v>9999</v>
      </c>
      <c r="HJ35">
        <v>9999</v>
      </c>
      <c r="HK35">
        <v>9999</v>
      </c>
      <c r="HL35">
        <v>999.9</v>
      </c>
      <c r="HM35">
        <v>1.8696600000000001</v>
      </c>
      <c r="HN35">
        <v>1.8760699999999999</v>
      </c>
      <c r="HO35">
        <v>1.87378</v>
      </c>
      <c r="HP35">
        <v>1.8720699999999999</v>
      </c>
      <c r="HQ35">
        <v>1.8724799999999999</v>
      </c>
      <c r="HR35">
        <v>1.8699600000000001</v>
      </c>
      <c r="HS35">
        <v>1.87592</v>
      </c>
      <c r="HT35">
        <v>1.8748499999999999</v>
      </c>
      <c r="HU35">
        <v>5</v>
      </c>
      <c r="HV35">
        <v>0</v>
      </c>
      <c r="HW35">
        <v>0</v>
      </c>
      <c r="HX35">
        <v>0</v>
      </c>
      <c r="HY35" t="s">
        <v>423</v>
      </c>
      <c r="HZ35" t="s">
        <v>424</v>
      </c>
      <c r="IA35" t="s">
        <v>425</v>
      </c>
      <c r="IB35" t="s">
        <v>425</v>
      </c>
      <c r="IC35" t="s">
        <v>425</v>
      </c>
      <c r="ID35" t="s">
        <v>425</v>
      </c>
      <c r="IE35">
        <v>0</v>
      </c>
      <c r="IF35">
        <v>100</v>
      </c>
      <c r="IG35">
        <v>100</v>
      </c>
      <c r="IH35">
        <v>-1.5660000000000001</v>
      </c>
      <c r="II35">
        <v>0.51149999999999995</v>
      </c>
      <c r="IJ35">
        <v>-1.409415901849473</v>
      </c>
      <c r="IK35">
        <v>-2.677719669153116E-3</v>
      </c>
      <c r="IL35">
        <v>1.9353498771248068E-6</v>
      </c>
      <c r="IM35">
        <v>-6.1862177325538213E-10</v>
      </c>
      <c r="IN35">
        <v>-0.10456798325353429</v>
      </c>
      <c r="IO35">
        <v>-1.5299015507423901E-2</v>
      </c>
      <c r="IP35">
        <v>1.742162107778985E-3</v>
      </c>
      <c r="IQ35">
        <v>-1.472690239905804E-5</v>
      </c>
      <c r="IR35">
        <v>3</v>
      </c>
      <c r="IS35">
        <v>2255</v>
      </c>
      <c r="IT35">
        <v>2</v>
      </c>
      <c r="IU35">
        <v>41</v>
      </c>
      <c r="IV35">
        <v>0.7</v>
      </c>
      <c r="IW35">
        <v>0.5</v>
      </c>
      <c r="IX35">
        <v>0.299072</v>
      </c>
      <c r="IY35">
        <v>2.5293000000000001</v>
      </c>
      <c r="IZ35">
        <v>1.6003400000000001</v>
      </c>
      <c r="JA35">
        <v>2.2729499999999998</v>
      </c>
      <c r="JB35">
        <v>1.5502899999999999</v>
      </c>
      <c r="JC35">
        <v>2.2290000000000001</v>
      </c>
      <c r="JD35">
        <v>34.760800000000003</v>
      </c>
      <c r="JE35">
        <v>15.927</v>
      </c>
      <c r="JF35">
        <v>18</v>
      </c>
      <c r="JG35">
        <v>506.59</v>
      </c>
      <c r="JH35">
        <v>516.15899999999999</v>
      </c>
      <c r="JI35">
        <v>26.791799999999999</v>
      </c>
      <c r="JJ35">
        <v>28.487500000000001</v>
      </c>
      <c r="JK35">
        <v>29.9999</v>
      </c>
      <c r="JL35">
        <v>28.4176</v>
      </c>
      <c r="JM35">
        <v>28.384699999999999</v>
      </c>
      <c r="JN35">
        <v>6.0212899999999996</v>
      </c>
      <c r="JO35">
        <v>28.061800000000002</v>
      </c>
      <c r="JP35">
        <v>100</v>
      </c>
      <c r="JQ35">
        <v>26.819700000000001</v>
      </c>
      <c r="JR35">
        <v>70</v>
      </c>
      <c r="JS35">
        <v>23.055700000000002</v>
      </c>
      <c r="JT35">
        <v>99.503100000000003</v>
      </c>
      <c r="JU35">
        <v>99.291300000000007</v>
      </c>
    </row>
    <row r="36" spans="1:281" x14ac:dyDescent="0.25">
      <c r="A36">
        <v>20</v>
      </c>
      <c r="B36">
        <v>1693498763.5</v>
      </c>
      <c r="C36">
        <v>4783.9000000953674</v>
      </c>
      <c r="D36" t="s">
        <v>518</v>
      </c>
      <c r="E36" t="s">
        <v>519</v>
      </c>
      <c r="F36" t="s">
        <v>413</v>
      </c>
      <c r="G36" t="s">
        <v>494</v>
      </c>
      <c r="H36" t="s">
        <v>416</v>
      </c>
      <c r="I36" t="s">
        <v>416</v>
      </c>
      <c r="J36">
        <v>1693498763.5</v>
      </c>
      <c r="K36">
        <f t="shared" si="0"/>
        <v>4.8602779110101272E-3</v>
      </c>
      <c r="L36">
        <f t="shared" si="1"/>
        <v>4.8602779110101269</v>
      </c>
      <c r="M36">
        <f t="shared" si="2"/>
        <v>3.8249751289419276</v>
      </c>
      <c r="N36">
        <f t="shared" si="3"/>
        <v>25.246300000000002</v>
      </c>
      <c r="O36">
        <f t="shared" si="4"/>
        <v>6.6057365274629571</v>
      </c>
      <c r="P36">
        <f t="shared" si="5"/>
        <v>0.65847611340952084</v>
      </c>
      <c r="Q36">
        <f t="shared" si="6"/>
        <v>2.5166134666221001</v>
      </c>
      <c r="R36">
        <f t="shared" si="7"/>
        <v>0.35419756818766485</v>
      </c>
      <c r="S36">
        <f t="shared" si="8"/>
        <v>2.9204594047651296</v>
      </c>
      <c r="T36">
        <f t="shared" si="9"/>
        <v>0.33194591491189174</v>
      </c>
      <c r="U36">
        <f t="shared" si="10"/>
        <v>0.20934882196392951</v>
      </c>
      <c r="V36">
        <f t="shared" si="11"/>
        <v>344.38080065814489</v>
      </c>
      <c r="W36">
        <f t="shared" si="12"/>
        <v>31.191677674977193</v>
      </c>
      <c r="X36">
        <f t="shared" si="13"/>
        <v>30.007400000000001</v>
      </c>
      <c r="Y36">
        <f t="shared" si="14"/>
        <v>4.2622610117639477</v>
      </c>
      <c r="Z36">
        <f t="shared" si="15"/>
        <v>65.396635264637879</v>
      </c>
      <c r="AA36">
        <f t="shared" si="16"/>
        <v>2.8548360771530996</v>
      </c>
      <c r="AB36">
        <f t="shared" si="17"/>
        <v>4.3654173729283645</v>
      </c>
      <c r="AC36">
        <f t="shared" si="18"/>
        <v>1.4074249346108481</v>
      </c>
      <c r="AD36">
        <f t="shared" si="19"/>
        <v>-214.33825587554662</v>
      </c>
      <c r="AE36">
        <f t="shared" si="20"/>
        <v>65.655735698183619</v>
      </c>
      <c r="AF36">
        <f t="shared" si="21"/>
        <v>5.0094359093271095</v>
      </c>
      <c r="AG36">
        <f t="shared" si="22"/>
        <v>200.707716390109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52012.091307092152</v>
      </c>
      <c r="AM36" t="s">
        <v>417</v>
      </c>
      <c r="AN36">
        <v>10238.9</v>
      </c>
      <c r="AO36">
        <v>302.21199999999999</v>
      </c>
      <c r="AP36">
        <v>4052.3</v>
      </c>
      <c r="AQ36">
        <f t="shared" si="26"/>
        <v>0.92542210596451402</v>
      </c>
      <c r="AR36">
        <v>-0.32343011824092421</v>
      </c>
      <c r="AS36" t="s">
        <v>520</v>
      </c>
      <c r="AT36">
        <v>10484.9</v>
      </c>
      <c r="AU36">
        <v>678.97576923076929</v>
      </c>
      <c r="AV36">
        <v>733.68378824502952</v>
      </c>
      <c r="AW36">
        <f t="shared" si="27"/>
        <v>7.4566209436250142E-2</v>
      </c>
      <c r="AX36">
        <v>0.5</v>
      </c>
      <c r="AY36">
        <f t="shared" si="28"/>
        <v>1513.2351003290723</v>
      </c>
      <c r="AZ36">
        <f t="shared" si="29"/>
        <v>3.8249751289419276</v>
      </c>
      <c r="BA36">
        <f t="shared" si="30"/>
        <v>56.418102708711302</v>
      </c>
      <c r="BB36">
        <f t="shared" si="31"/>
        <v>2.7414148973155116E-3</v>
      </c>
      <c r="BC36">
        <f t="shared" si="32"/>
        <v>4.5232241258773014</v>
      </c>
      <c r="BD36">
        <f t="shared" si="33"/>
        <v>225.98119265055655</v>
      </c>
      <c r="BE36" t="s">
        <v>521</v>
      </c>
      <c r="BF36">
        <v>551.91</v>
      </c>
      <c r="BG36">
        <f t="shared" si="34"/>
        <v>551.91</v>
      </c>
      <c r="BH36">
        <f t="shared" si="35"/>
        <v>0.2477549472366456</v>
      </c>
      <c r="BI36">
        <f t="shared" si="36"/>
        <v>0.30096759022546349</v>
      </c>
      <c r="BJ36">
        <f t="shared" si="37"/>
        <v>0.94807041836908756</v>
      </c>
      <c r="BK36">
        <f t="shared" si="38"/>
        <v>0.1267939654566522</v>
      </c>
      <c r="BL36">
        <f t="shared" si="39"/>
        <v>0.88494355645920053</v>
      </c>
      <c r="BM36">
        <f t="shared" si="40"/>
        <v>0.24464352079827953</v>
      </c>
      <c r="BN36">
        <f t="shared" si="41"/>
        <v>0.75535647920172044</v>
      </c>
      <c r="BO36">
        <v>5726</v>
      </c>
      <c r="BP36">
        <v>290.00000000000011</v>
      </c>
      <c r="BQ36">
        <v>719.72</v>
      </c>
      <c r="BR36">
        <v>135</v>
      </c>
      <c r="BS36">
        <v>10484.9</v>
      </c>
      <c r="BT36">
        <v>718.93</v>
      </c>
      <c r="BU36">
        <v>0.79</v>
      </c>
      <c r="BV36">
        <v>300.00000000000011</v>
      </c>
      <c r="BW36">
        <v>38.299999999999997</v>
      </c>
      <c r="BX36">
        <v>733.68378824502952</v>
      </c>
      <c r="BY36">
        <v>1.0292492391591961</v>
      </c>
      <c r="BZ36">
        <v>-15.47187931390615</v>
      </c>
      <c r="CA36">
        <v>0.88205486500749841</v>
      </c>
      <c r="CB36">
        <v>0.91658646399921007</v>
      </c>
      <c r="CC36">
        <v>-1.1364420244716339E-2</v>
      </c>
      <c r="CD36">
        <v>289.99999999999989</v>
      </c>
      <c r="CE36">
        <v>717.6</v>
      </c>
      <c r="CF36">
        <v>675</v>
      </c>
      <c r="CG36">
        <v>10441</v>
      </c>
      <c r="CH36">
        <v>718.87</v>
      </c>
      <c r="CI36">
        <v>-1.27</v>
      </c>
      <c r="CW36">
        <f t="shared" si="42"/>
        <v>1800.06</v>
      </c>
      <c r="CX36">
        <f t="shared" si="43"/>
        <v>1513.2351003290723</v>
      </c>
      <c r="CY36">
        <f t="shared" si="44"/>
        <v>0.84065814491132096</v>
      </c>
      <c r="CZ36">
        <f t="shared" si="45"/>
        <v>0.19131628982264198</v>
      </c>
      <c r="DA36">
        <v>6</v>
      </c>
      <c r="DB36">
        <v>0.5</v>
      </c>
      <c r="DC36" t="s">
        <v>420</v>
      </c>
      <c r="DD36">
        <v>2</v>
      </c>
      <c r="DE36">
        <v>1693498763.5</v>
      </c>
      <c r="DF36">
        <v>25.246300000000002</v>
      </c>
      <c r="DG36">
        <v>29.978999999999999</v>
      </c>
      <c r="DH36">
        <v>28.639299999999999</v>
      </c>
      <c r="DI36">
        <v>22.979399999999998</v>
      </c>
      <c r="DJ36">
        <v>26.854800000000001</v>
      </c>
      <c r="DK36">
        <v>28.120200000000001</v>
      </c>
      <c r="DL36">
        <v>500.47699999999998</v>
      </c>
      <c r="DM36">
        <v>99.582300000000004</v>
      </c>
      <c r="DN36">
        <v>0.10016700000000001</v>
      </c>
      <c r="DO36">
        <v>30.424399999999999</v>
      </c>
      <c r="DP36">
        <v>30.007400000000001</v>
      </c>
      <c r="DQ36">
        <v>999.9</v>
      </c>
      <c r="DR36">
        <v>0</v>
      </c>
      <c r="DS36">
        <v>0</v>
      </c>
      <c r="DT36">
        <v>9990</v>
      </c>
      <c r="DU36">
        <v>0</v>
      </c>
      <c r="DV36">
        <v>1727.18</v>
      </c>
      <c r="DW36">
        <v>-4.73271</v>
      </c>
      <c r="DX36">
        <v>25.990600000000001</v>
      </c>
      <c r="DY36">
        <v>30.684100000000001</v>
      </c>
      <c r="DZ36">
        <v>5.6598600000000001</v>
      </c>
      <c r="EA36">
        <v>29.978999999999999</v>
      </c>
      <c r="EB36">
        <v>22.979399999999998</v>
      </c>
      <c r="EC36">
        <v>2.8519600000000001</v>
      </c>
      <c r="ED36">
        <v>2.2883399999999998</v>
      </c>
      <c r="EE36">
        <v>23.187999999999999</v>
      </c>
      <c r="EF36">
        <v>19.5946</v>
      </c>
      <c r="EG36">
        <v>1800.06</v>
      </c>
      <c r="EH36">
        <v>0.97799899999999995</v>
      </c>
      <c r="EI36">
        <v>2.2000700000000002E-2</v>
      </c>
      <c r="EJ36">
        <v>0</v>
      </c>
      <c r="EK36">
        <v>678.87300000000005</v>
      </c>
      <c r="EL36">
        <v>4.9995000000000003</v>
      </c>
      <c r="EM36">
        <v>13384.5</v>
      </c>
      <c r="EN36">
        <v>16660.400000000001</v>
      </c>
      <c r="EO36">
        <v>48.125</v>
      </c>
      <c r="EP36">
        <v>49.75</v>
      </c>
      <c r="EQ36">
        <v>49.125</v>
      </c>
      <c r="ER36">
        <v>48.5</v>
      </c>
      <c r="ES36">
        <v>49.5</v>
      </c>
      <c r="ET36">
        <v>1755.57</v>
      </c>
      <c r="EU36">
        <v>39.49</v>
      </c>
      <c r="EV36">
        <v>0</v>
      </c>
      <c r="EW36">
        <v>99.799999952316284</v>
      </c>
      <c r="EX36">
        <v>0</v>
      </c>
      <c r="EY36">
        <v>678.97576923076929</v>
      </c>
      <c r="EZ36">
        <v>-1.880888894080859</v>
      </c>
      <c r="FA36">
        <v>2.430769542544021</v>
      </c>
      <c r="FB36">
        <v>13385.23461538461</v>
      </c>
      <c r="FC36">
        <v>15</v>
      </c>
      <c r="FD36">
        <v>1693498734</v>
      </c>
      <c r="FE36" t="s">
        <v>522</v>
      </c>
      <c r="FF36">
        <v>1693498722.5</v>
      </c>
      <c r="FG36">
        <v>1693498734</v>
      </c>
      <c r="FH36">
        <v>25</v>
      </c>
      <c r="FI36">
        <v>-0.129</v>
      </c>
      <c r="FJ36">
        <v>4.0000000000000001E-3</v>
      </c>
      <c r="FK36">
        <v>-1.621</v>
      </c>
      <c r="FL36">
        <v>0.27700000000000002</v>
      </c>
      <c r="FM36">
        <v>30</v>
      </c>
      <c r="FN36">
        <v>23</v>
      </c>
      <c r="FO36">
        <v>0.95</v>
      </c>
      <c r="FP36">
        <v>0.05</v>
      </c>
      <c r="FQ36">
        <v>3.7712570494152828</v>
      </c>
      <c r="FR36">
        <v>0.1113436649694567</v>
      </c>
      <c r="FS36">
        <v>3.8456876759067768E-2</v>
      </c>
      <c r="FT36">
        <v>1</v>
      </c>
      <c r="FU36">
        <v>0.35910383772107468</v>
      </c>
      <c r="FV36">
        <v>2.5117609137611241E-3</v>
      </c>
      <c r="FW36">
        <v>5.3703488922419483E-3</v>
      </c>
      <c r="FX36">
        <v>1</v>
      </c>
      <c r="FY36">
        <v>2</v>
      </c>
      <c r="FZ36">
        <v>2</v>
      </c>
      <c r="GA36" t="s">
        <v>422</v>
      </c>
      <c r="GB36">
        <v>2.9739100000000001</v>
      </c>
      <c r="GC36">
        <v>2.8117800000000002</v>
      </c>
      <c r="GD36">
        <v>7.8943099999999999E-3</v>
      </c>
      <c r="GE36">
        <v>8.6997600000000008E-3</v>
      </c>
      <c r="GF36">
        <v>0.13580999999999999</v>
      </c>
      <c r="GG36">
        <v>0.11627899999999999</v>
      </c>
      <c r="GH36">
        <v>29416.7</v>
      </c>
      <c r="GI36">
        <v>27149.4</v>
      </c>
      <c r="GJ36">
        <v>26639.4</v>
      </c>
      <c r="GK36">
        <v>25825.7</v>
      </c>
      <c r="GL36">
        <v>31297.200000000001</v>
      </c>
      <c r="GM36">
        <v>32151.599999999999</v>
      </c>
      <c r="GN36">
        <v>37732.699999999997</v>
      </c>
      <c r="GO36">
        <v>38224.199999999997</v>
      </c>
      <c r="GP36">
        <v>2.0093999999999999</v>
      </c>
      <c r="GQ36">
        <v>2.0720000000000001</v>
      </c>
      <c r="GR36">
        <v>4.4986600000000002E-2</v>
      </c>
      <c r="GS36">
        <v>0</v>
      </c>
      <c r="GT36">
        <v>29.274899999999999</v>
      </c>
      <c r="GU36">
        <v>999.9</v>
      </c>
      <c r="GV36">
        <v>58.6</v>
      </c>
      <c r="GW36">
        <v>32</v>
      </c>
      <c r="GX36">
        <v>28.099900000000002</v>
      </c>
      <c r="GY36">
        <v>61.288800000000002</v>
      </c>
      <c r="GZ36">
        <v>12.7484</v>
      </c>
      <c r="HA36">
        <v>1</v>
      </c>
      <c r="HB36">
        <v>7.6382099999999994E-2</v>
      </c>
      <c r="HC36">
        <v>1.2418100000000001</v>
      </c>
      <c r="HD36">
        <v>20.302600000000002</v>
      </c>
      <c r="HE36">
        <v>5.2112999999999996</v>
      </c>
      <c r="HF36">
        <v>11.9321</v>
      </c>
      <c r="HG36">
        <v>4.9892000000000003</v>
      </c>
      <c r="HH36">
        <v>3.2909999999999999</v>
      </c>
      <c r="HI36">
        <v>9999</v>
      </c>
      <c r="HJ36">
        <v>9999</v>
      </c>
      <c r="HK36">
        <v>9999</v>
      </c>
      <c r="HL36">
        <v>999.9</v>
      </c>
      <c r="HM36">
        <v>1.8696600000000001</v>
      </c>
      <c r="HN36">
        <v>1.8760600000000001</v>
      </c>
      <c r="HO36">
        <v>1.8737900000000001</v>
      </c>
      <c r="HP36">
        <v>1.87208</v>
      </c>
      <c r="HQ36">
        <v>1.87253</v>
      </c>
      <c r="HR36">
        <v>1.8699600000000001</v>
      </c>
      <c r="HS36">
        <v>1.8758699999999999</v>
      </c>
      <c r="HT36">
        <v>1.8748499999999999</v>
      </c>
      <c r="HU36">
        <v>5</v>
      </c>
      <c r="HV36">
        <v>0</v>
      </c>
      <c r="HW36">
        <v>0</v>
      </c>
      <c r="HX36">
        <v>0</v>
      </c>
      <c r="HY36" t="s">
        <v>423</v>
      </c>
      <c r="HZ36" t="s">
        <v>424</v>
      </c>
      <c r="IA36" t="s">
        <v>425</v>
      </c>
      <c r="IB36" t="s">
        <v>425</v>
      </c>
      <c r="IC36" t="s">
        <v>425</v>
      </c>
      <c r="ID36" t="s">
        <v>425</v>
      </c>
      <c r="IE36">
        <v>0</v>
      </c>
      <c r="IF36">
        <v>100</v>
      </c>
      <c r="IG36">
        <v>100</v>
      </c>
      <c r="IH36">
        <v>-1.6080000000000001</v>
      </c>
      <c r="II36">
        <v>0.51910000000000001</v>
      </c>
      <c r="IJ36">
        <v>-1.5380514533029279</v>
      </c>
      <c r="IK36">
        <v>-2.677719669153116E-3</v>
      </c>
      <c r="IL36">
        <v>1.9353498771248068E-6</v>
      </c>
      <c r="IM36">
        <v>-6.1862177325538213E-10</v>
      </c>
      <c r="IN36">
        <v>-0.10091487410497391</v>
      </c>
      <c r="IO36">
        <v>-1.5299015507423901E-2</v>
      </c>
      <c r="IP36">
        <v>1.742162107778985E-3</v>
      </c>
      <c r="IQ36">
        <v>-1.472690239905804E-5</v>
      </c>
      <c r="IR36">
        <v>3</v>
      </c>
      <c r="IS36">
        <v>2255</v>
      </c>
      <c r="IT36">
        <v>2</v>
      </c>
      <c r="IU36">
        <v>41</v>
      </c>
      <c r="IV36">
        <v>0.7</v>
      </c>
      <c r="IW36">
        <v>0.5</v>
      </c>
      <c r="IX36">
        <v>0.21728500000000001</v>
      </c>
      <c r="IY36">
        <v>2.5402800000000001</v>
      </c>
      <c r="IZ36">
        <v>1.5991200000000001</v>
      </c>
      <c r="JA36">
        <v>2.2741699999999998</v>
      </c>
      <c r="JB36">
        <v>1.5502899999999999</v>
      </c>
      <c r="JC36">
        <v>2.31812</v>
      </c>
      <c r="JD36">
        <v>34.715000000000003</v>
      </c>
      <c r="JE36">
        <v>15.918200000000001</v>
      </c>
      <c r="JF36">
        <v>18</v>
      </c>
      <c r="JG36">
        <v>506.64600000000002</v>
      </c>
      <c r="JH36">
        <v>516.29499999999996</v>
      </c>
      <c r="JI36">
        <v>26.5443</v>
      </c>
      <c r="JJ36">
        <v>28.563099999999999</v>
      </c>
      <c r="JK36">
        <v>30.0001</v>
      </c>
      <c r="JL36">
        <v>28.490300000000001</v>
      </c>
      <c r="JM36">
        <v>28.457799999999999</v>
      </c>
      <c r="JN36">
        <v>4.3852500000000001</v>
      </c>
      <c r="JO36">
        <v>28.348299999999998</v>
      </c>
      <c r="JP36">
        <v>100</v>
      </c>
      <c r="JQ36">
        <v>26.557700000000001</v>
      </c>
      <c r="JR36">
        <v>30</v>
      </c>
      <c r="JS36">
        <v>22.957599999999999</v>
      </c>
      <c r="JT36">
        <v>99.493300000000005</v>
      </c>
      <c r="JU36">
        <v>99.279399999999995</v>
      </c>
    </row>
    <row r="37" spans="1:281" x14ac:dyDescent="0.25">
      <c r="A37">
        <v>21</v>
      </c>
      <c r="B37">
        <v>1693498864.5</v>
      </c>
      <c r="C37">
        <v>4884.9000000953674</v>
      </c>
      <c r="D37" t="s">
        <v>523</v>
      </c>
      <c r="E37" t="s">
        <v>524</v>
      </c>
      <c r="F37" t="s">
        <v>413</v>
      </c>
      <c r="G37" t="s">
        <v>494</v>
      </c>
      <c r="H37" t="s">
        <v>416</v>
      </c>
      <c r="I37" t="s">
        <v>416</v>
      </c>
      <c r="J37">
        <v>1693498864.5</v>
      </c>
      <c r="K37">
        <f t="shared" si="0"/>
        <v>5.0707907971609253E-3</v>
      </c>
      <c r="L37">
        <f t="shared" si="1"/>
        <v>5.0707907971609254</v>
      </c>
      <c r="M37">
        <f t="shared" si="2"/>
        <v>1.2359226931439395</v>
      </c>
      <c r="N37">
        <f t="shared" si="3"/>
        <v>8.4863599999999995</v>
      </c>
      <c r="O37">
        <f t="shared" si="4"/>
        <v>2.6715225857615752</v>
      </c>
      <c r="P37">
        <f t="shared" si="5"/>
        <v>0.26630676976517054</v>
      </c>
      <c r="Q37">
        <f t="shared" si="6"/>
        <v>0.84595021981447993</v>
      </c>
      <c r="R37">
        <f t="shared" si="7"/>
        <v>0.36867013399252779</v>
      </c>
      <c r="S37">
        <f t="shared" si="8"/>
        <v>2.9178443053488765</v>
      </c>
      <c r="T37">
        <f t="shared" si="9"/>
        <v>0.34460907439756205</v>
      </c>
      <c r="U37">
        <f t="shared" si="10"/>
        <v>0.21741146781063628</v>
      </c>
      <c r="V37">
        <f t="shared" si="11"/>
        <v>344.37510065815587</v>
      </c>
      <c r="W37">
        <f t="shared" si="12"/>
        <v>31.174843202293278</v>
      </c>
      <c r="X37">
        <f t="shared" si="13"/>
        <v>30.004999999999999</v>
      </c>
      <c r="Y37">
        <f t="shared" si="14"/>
        <v>4.2616735092747486</v>
      </c>
      <c r="Z37">
        <f t="shared" si="15"/>
        <v>65.081536982915395</v>
      </c>
      <c r="AA37">
        <f t="shared" si="16"/>
        <v>2.8471706094678</v>
      </c>
      <c r="AB37">
        <f t="shared" si="17"/>
        <v>4.3747746925755813</v>
      </c>
      <c r="AC37">
        <f t="shared" si="18"/>
        <v>1.4145028998069487</v>
      </c>
      <c r="AD37">
        <f t="shared" si="19"/>
        <v>-223.62187415479681</v>
      </c>
      <c r="AE37">
        <f t="shared" si="20"/>
        <v>71.857756376377864</v>
      </c>
      <c r="AF37">
        <f t="shared" si="21"/>
        <v>5.4885054427541107</v>
      </c>
      <c r="AG37">
        <f t="shared" si="22"/>
        <v>198.09948832249103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51931.220223178985</v>
      </c>
      <c r="AM37" t="s">
        <v>417</v>
      </c>
      <c r="AN37">
        <v>10238.9</v>
      </c>
      <c r="AO37">
        <v>302.21199999999999</v>
      </c>
      <c r="AP37">
        <v>4052.3</v>
      </c>
      <c r="AQ37">
        <f t="shared" si="26"/>
        <v>0.92542210596451402</v>
      </c>
      <c r="AR37">
        <v>-0.32343011824092421</v>
      </c>
      <c r="AS37" t="s">
        <v>525</v>
      </c>
      <c r="AT37">
        <v>10482.299999999999</v>
      </c>
      <c r="AU37">
        <v>681.38350000000003</v>
      </c>
      <c r="AV37">
        <v>727.05010172640027</v>
      </c>
      <c r="AW37">
        <f t="shared" si="27"/>
        <v>6.2810804397060993E-2</v>
      </c>
      <c r="AX37">
        <v>0.5</v>
      </c>
      <c r="AY37">
        <f t="shared" si="28"/>
        <v>1513.209900329078</v>
      </c>
      <c r="AZ37">
        <f t="shared" si="29"/>
        <v>1.2359226931439395</v>
      </c>
      <c r="BA37">
        <f t="shared" si="30"/>
        <v>47.522965530632938</v>
      </c>
      <c r="BB37">
        <f t="shared" si="31"/>
        <v>1.0304933975423707E-3</v>
      </c>
      <c r="BC37">
        <f t="shared" si="32"/>
        <v>4.5736186411056172</v>
      </c>
      <c r="BD37">
        <f t="shared" si="33"/>
        <v>225.34789557088092</v>
      </c>
      <c r="BE37" t="s">
        <v>526</v>
      </c>
      <c r="BF37">
        <v>557.23</v>
      </c>
      <c r="BG37">
        <f t="shared" si="34"/>
        <v>557.23</v>
      </c>
      <c r="BH37">
        <f t="shared" si="35"/>
        <v>0.23357413928305326</v>
      </c>
      <c r="BI37">
        <f t="shared" si="36"/>
        <v>0.26891163803431467</v>
      </c>
      <c r="BJ37">
        <f t="shared" si="37"/>
        <v>0.95141153060556716</v>
      </c>
      <c r="BK37">
        <f t="shared" si="38"/>
        <v>0.10749177519819059</v>
      </c>
      <c r="BL37">
        <f t="shared" si="39"/>
        <v>0.886712498019673</v>
      </c>
      <c r="BM37">
        <f t="shared" si="40"/>
        <v>0.21991379606618178</v>
      </c>
      <c r="BN37">
        <f t="shared" si="41"/>
        <v>0.78008620393381822</v>
      </c>
      <c r="BO37">
        <v>5728</v>
      </c>
      <c r="BP37">
        <v>290.00000000000011</v>
      </c>
      <c r="BQ37">
        <v>714.36</v>
      </c>
      <c r="BR37">
        <v>145</v>
      </c>
      <c r="BS37">
        <v>10482.299999999999</v>
      </c>
      <c r="BT37">
        <v>713.23</v>
      </c>
      <c r="BU37">
        <v>1.1299999999999999</v>
      </c>
      <c r="BV37">
        <v>300.00000000000011</v>
      </c>
      <c r="BW37">
        <v>38.299999999999997</v>
      </c>
      <c r="BX37">
        <v>727.05010172640027</v>
      </c>
      <c r="BY37">
        <v>0.86441757488398085</v>
      </c>
      <c r="BZ37">
        <v>-14.490709826959041</v>
      </c>
      <c r="CA37">
        <v>0.74077141688489645</v>
      </c>
      <c r="CB37">
        <v>0.93181675598525338</v>
      </c>
      <c r="CC37">
        <v>-1.1364420022246949E-2</v>
      </c>
      <c r="CD37">
        <v>289.99999999999989</v>
      </c>
      <c r="CE37">
        <v>711.84</v>
      </c>
      <c r="CF37">
        <v>705</v>
      </c>
      <c r="CG37">
        <v>10437.799999999999</v>
      </c>
      <c r="CH37">
        <v>713.17</v>
      </c>
      <c r="CI37">
        <v>-1.33</v>
      </c>
      <c r="CW37">
        <f t="shared" si="42"/>
        <v>1800.03</v>
      </c>
      <c r="CX37">
        <f t="shared" si="43"/>
        <v>1513.209900329078</v>
      </c>
      <c r="CY37">
        <f t="shared" si="44"/>
        <v>0.84065815588022308</v>
      </c>
      <c r="CZ37">
        <f t="shared" si="45"/>
        <v>0.19131631176044614</v>
      </c>
      <c r="DA37">
        <v>6</v>
      </c>
      <c r="DB37">
        <v>0.5</v>
      </c>
      <c r="DC37" t="s">
        <v>420</v>
      </c>
      <c r="DD37">
        <v>2</v>
      </c>
      <c r="DE37">
        <v>1693498864.5</v>
      </c>
      <c r="DF37">
        <v>8.4863599999999995</v>
      </c>
      <c r="DG37">
        <v>10.0206</v>
      </c>
      <c r="DH37">
        <v>28.562100000000001</v>
      </c>
      <c r="DI37">
        <v>22.652899999999999</v>
      </c>
      <c r="DJ37">
        <v>10.071199999999999</v>
      </c>
      <c r="DK37">
        <v>28.0517</v>
      </c>
      <c r="DL37">
        <v>500.16500000000002</v>
      </c>
      <c r="DM37">
        <v>99.583200000000005</v>
      </c>
      <c r="DN37">
        <v>0.100318</v>
      </c>
      <c r="DO37">
        <v>30.4618</v>
      </c>
      <c r="DP37">
        <v>30.004999999999999</v>
      </c>
      <c r="DQ37">
        <v>999.9</v>
      </c>
      <c r="DR37">
        <v>0</v>
      </c>
      <c r="DS37">
        <v>0</v>
      </c>
      <c r="DT37">
        <v>9975</v>
      </c>
      <c r="DU37">
        <v>0</v>
      </c>
      <c r="DV37">
        <v>1723.26</v>
      </c>
      <c r="DW37">
        <v>-1.5342</v>
      </c>
      <c r="DX37">
        <v>8.7358799999999999</v>
      </c>
      <c r="DY37">
        <v>10.252800000000001</v>
      </c>
      <c r="DZ37">
        <v>5.9092399999999996</v>
      </c>
      <c r="EA37">
        <v>10.0206</v>
      </c>
      <c r="EB37">
        <v>22.652899999999999</v>
      </c>
      <c r="EC37">
        <v>2.8443100000000001</v>
      </c>
      <c r="ED37">
        <v>2.2558500000000001</v>
      </c>
      <c r="EE37">
        <v>23.1435</v>
      </c>
      <c r="EF37">
        <v>19.3645</v>
      </c>
      <c r="EG37">
        <v>1800.03</v>
      </c>
      <c r="EH37">
        <v>0.97799899999999995</v>
      </c>
      <c r="EI37">
        <v>2.2000700000000002E-2</v>
      </c>
      <c r="EJ37">
        <v>0</v>
      </c>
      <c r="EK37">
        <v>681.41099999999994</v>
      </c>
      <c r="EL37">
        <v>4.9995000000000003</v>
      </c>
      <c r="EM37">
        <v>13419.6</v>
      </c>
      <c r="EN37">
        <v>16660.099999999999</v>
      </c>
      <c r="EO37">
        <v>48.186999999999998</v>
      </c>
      <c r="EP37">
        <v>49.75</v>
      </c>
      <c r="EQ37">
        <v>49.186999999999998</v>
      </c>
      <c r="ER37">
        <v>48.436999999999998</v>
      </c>
      <c r="ES37">
        <v>49.5</v>
      </c>
      <c r="ET37">
        <v>1755.54</v>
      </c>
      <c r="EU37">
        <v>39.49</v>
      </c>
      <c r="EV37">
        <v>0</v>
      </c>
      <c r="EW37">
        <v>99</v>
      </c>
      <c r="EX37">
        <v>0</v>
      </c>
      <c r="EY37">
        <v>681.38350000000003</v>
      </c>
      <c r="EZ37">
        <v>-1.384376066268604</v>
      </c>
      <c r="FA37">
        <v>-31.90427354750889</v>
      </c>
      <c r="FB37">
        <v>13423.676923076921</v>
      </c>
      <c r="FC37">
        <v>15</v>
      </c>
      <c r="FD37">
        <v>1693498836</v>
      </c>
      <c r="FE37" t="s">
        <v>527</v>
      </c>
      <c r="FF37">
        <v>1693498825</v>
      </c>
      <c r="FG37">
        <v>1693498836</v>
      </c>
      <c r="FH37">
        <v>26</v>
      </c>
      <c r="FI37">
        <v>-0.02</v>
      </c>
      <c r="FJ37">
        <v>-5.0000000000000001E-3</v>
      </c>
      <c r="FK37">
        <v>-1.589</v>
      </c>
      <c r="FL37">
        <v>0.26600000000000001</v>
      </c>
      <c r="FM37">
        <v>10</v>
      </c>
      <c r="FN37">
        <v>23</v>
      </c>
      <c r="FO37">
        <v>1.0900000000000001</v>
      </c>
      <c r="FP37">
        <v>0.04</v>
      </c>
      <c r="FQ37">
        <v>1.2492413247255321</v>
      </c>
      <c r="FR37">
        <v>-7.2632371442977295E-2</v>
      </c>
      <c r="FS37">
        <v>2.910865159371645E-2</v>
      </c>
      <c r="FT37">
        <v>1</v>
      </c>
      <c r="FU37">
        <v>0.37164978828144912</v>
      </c>
      <c r="FV37">
        <v>2.927447443923176E-2</v>
      </c>
      <c r="FW37">
        <v>5.7040039754111234E-3</v>
      </c>
      <c r="FX37">
        <v>1</v>
      </c>
      <c r="FY37">
        <v>2</v>
      </c>
      <c r="FZ37">
        <v>2</v>
      </c>
      <c r="GA37" t="s">
        <v>422</v>
      </c>
      <c r="GB37">
        <v>2.9730300000000001</v>
      </c>
      <c r="GC37">
        <v>2.8117999999999999</v>
      </c>
      <c r="GD37">
        <v>2.9608299999999998E-3</v>
      </c>
      <c r="GE37">
        <v>2.9078200000000002E-3</v>
      </c>
      <c r="GF37">
        <v>0.13556299999999999</v>
      </c>
      <c r="GG37">
        <v>0.115106</v>
      </c>
      <c r="GH37">
        <v>29565.8</v>
      </c>
      <c r="GI37">
        <v>27307</v>
      </c>
      <c r="GJ37">
        <v>26642.2</v>
      </c>
      <c r="GK37">
        <v>25825</v>
      </c>
      <c r="GL37">
        <v>31308.7</v>
      </c>
      <c r="GM37">
        <v>32192.7</v>
      </c>
      <c r="GN37">
        <v>37735.4</v>
      </c>
      <c r="GO37">
        <v>38222.699999999997</v>
      </c>
      <c r="GP37">
        <v>2.0097</v>
      </c>
      <c r="GQ37">
        <v>2.0714000000000001</v>
      </c>
      <c r="GR37">
        <v>4.6536300000000003E-2</v>
      </c>
      <c r="GS37">
        <v>0</v>
      </c>
      <c r="GT37">
        <v>29.247299999999999</v>
      </c>
      <c r="GU37">
        <v>999.9</v>
      </c>
      <c r="GV37">
        <v>58.8</v>
      </c>
      <c r="GW37">
        <v>31.9</v>
      </c>
      <c r="GX37">
        <v>28.036200000000001</v>
      </c>
      <c r="GY37">
        <v>61.418900000000001</v>
      </c>
      <c r="GZ37">
        <v>13.757999999999999</v>
      </c>
      <c r="HA37">
        <v>1</v>
      </c>
      <c r="HB37">
        <v>7.8821100000000005E-2</v>
      </c>
      <c r="HC37">
        <v>1.01736</v>
      </c>
      <c r="HD37">
        <v>20.304400000000001</v>
      </c>
      <c r="HE37">
        <v>5.2100999999999997</v>
      </c>
      <c r="HF37">
        <v>11.9321</v>
      </c>
      <c r="HG37">
        <v>4.9896000000000003</v>
      </c>
      <c r="HH37">
        <v>3.2909999999999999</v>
      </c>
      <c r="HI37">
        <v>9999</v>
      </c>
      <c r="HJ37">
        <v>9999</v>
      </c>
      <c r="HK37">
        <v>9999</v>
      </c>
      <c r="HL37">
        <v>999.9</v>
      </c>
      <c r="HM37">
        <v>1.8696600000000001</v>
      </c>
      <c r="HN37">
        <v>1.8760699999999999</v>
      </c>
      <c r="HO37">
        <v>1.87378</v>
      </c>
      <c r="HP37">
        <v>1.8721000000000001</v>
      </c>
      <c r="HQ37">
        <v>1.8724799999999999</v>
      </c>
      <c r="HR37">
        <v>1.8699600000000001</v>
      </c>
      <c r="HS37">
        <v>1.8758999999999999</v>
      </c>
      <c r="HT37">
        <v>1.8748499999999999</v>
      </c>
      <c r="HU37">
        <v>5</v>
      </c>
      <c r="HV37">
        <v>0</v>
      </c>
      <c r="HW37">
        <v>0</v>
      </c>
      <c r="HX37">
        <v>0</v>
      </c>
      <c r="HY37" t="s">
        <v>423</v>
      </c>
      <c r="HZ37" t="s">
        <v>424</v>
      </c>
      <c r="IA37" t="s">
        <v>425</v>
      </c>
      <c r="IB37" t="s">
        <v>425</v>
      </c>
      <c r="IC37" t="s">
        <v>425</v>
      </c>
      <c r="ID37" t="s">
        <v>425</v>
      </c>
      <c r="IE37">
        <v>0</v>
      </c>
      <c r="IF37">
        <v>100</v>
      </c>
      <c r="IG37">
        <v>100</v>
      </c>
      <c r="IH37">
        <v>-1.585</v>
      </c>
      <c r="II37">
        <v>0.51039999999999996</v>
      </c>
      <c r="IJ37">
        <v>-1.558106756799146</v>
      </c>
      <c r="IK37">
        <v>-2.677719669153116E-3</v>
      </c>
      <c r="IL37">
        <v>1.9353498771248068E-6</v>
      </c>
      <c r="IM37">
        <v>-6.1862177325538213E-10</v>
      </c>
      <c r="IN37">
        <v>-0.1061895715909343</v>
      </c>
      <c r="IO37">
        <v>-1.5299015507423901E-2</v>
      </c>
      <c r="IP37">
        <v>1.742162107778985E-3</v>
      </c>
      <c r="IQ37">
        <v>-1.472690239905804E-5</v>
      </c>
      <c r="IR37">
        <v>3</v>
      </c>
      <c r="IS37">
        <v>2255</v>
      </c>
      <c r="IT37">
        <v>2</v>
      </c>
      <c r="IU37">
        <v>41</v>
      </c>
      <c r="IV37">
        <v>0.7</v>
      </c>
      <c r="IW37">
        <v>0.5</v>
      </c>
      <c r="IX37">
        <v>0.17700199999999999</v>
      </c>
      <c r="IY37">
        <v>2.5500500000000001</v>
      </c>
      <c r="IZ37">
        <v>1.5991200000000001</v>
      </c>
      <c r="JA37">
        <v>2.2741699999999998</v>
      </c>
      <c r="JB37">
        <v>1.5502899999999999</v>
      </c>
      <c r="JC37">
        <v>2.34131</v>
      </c>
      <c r="JD37">
        <v>34.646299999999997</v>
      </c>
      <c r="JE37">
        <v>15.918200000000001</v>
      </c>
      <c r="JF37">
        <v>18</v>
      </c>
      <c r="JG37">
        <v>507.31599999999997</v>
      </c>
      <c r="JH37">
        <v>516.40200000000004</v>
      </c>
      <c r="JI37">
        <v>26.830200000000001</v>
      </c>
      <c r="JJ37">
        <v>28.611899999999999</v>
      </c>
      <c r="JK37">
        <v>30.0001</v>
      </c>
      <c r="JL37">
        <v>28.546099999999999</v>
      </c>
      <c r="JM37">
        <v>28.513400000000001</v>
      </c>
      <c r="JN37">
        <v>3.59613</v>
      </c>
      <c r="JO37">
        <v>28.9099</v>
      </c>
      <c r="JP37">
        <v>100</v>
      </c>
      <c r="JQ37">
        <v>26.832599999999999</v>
      </c>
      <c r="JR37">
        <v>10</v>
      </c>
      <c r="JS37">
        <v>22.808700000000002</v>
      </c>
      <c r="JT37">
        <v>99.5017</v>
      </c>
      <c r="JU37">
        <v>99.275899999999993</v>
      </c>
    </row>
    <row r="38" spans="1:281" x14ac:dyDescent="0.25">
      <c r="A38">
        <v>22</v>
      </c>
      <c r="B38">
        <v>1693499054</v>
      </c>
      <c r="C38">
        <v>5074.4000000953674</v>
      </c>
      <c r="D38" t="s">
        <v>528</v>
      </c>
      <c r="E38" t="s">
        <v>529</v>
      </c>
      <c r="F38" t="s">
        <v>413</v>
      </c>
      <c r="G38" t="s">
        <v>494</v>
      </c>
      <c r="H38" t="s">
        <v>416</v>
      </c>
      <c r="I38" t="s">
        <v>416</v>
      </c>
      <c r="J38">
        <v>1693499054</v>
      </c>
      <c r="K38">
        <f t="shared" si="0"/>
        <v>4.8577183985308693E-3</v>
      </c>
      <c r="L38">
        <f t="shared" si="1"/>
        <v>4.857718398530869</v>
      </c>
      <c r="M38">
        <f t="shared" si="2"/>
        <v>36.163290804863365</v>
      </c>
      <c r="N38">
        <f t="shared" si="3"/>
        <v>354.63900000000001</v>
      </c>
      <c r="O38">
        <f t="shared" si="4"/>
        <v>174.53218792079429</v>
      </c>
      <c r="P38">
        <f t="shared" si="5"/>
        <v>17.39905014448183</v>
      </c>
      <c r="Q38">
        <f t="shared" si="6"/>
        <v>35.353832537692796</v>
      </c>
      <c r="R38">
        <f t="shared" si="7"/>
        <v>0.3515959011685641</v>
      </c>
      <c r="S38">
        <f t="shared" si="8"/>
        <v>2.9284682566963469</v>
      </c>
      <c r="T38">
        <f t="shared" si="9"/>
        <v>0.32971506330472045</v>
      </c>
      <c r="U38">
        <f t="shared" si="10"/>
        <v>0.20792424606439772</v>
      </c>
      <c r="V38">
        <f t="shared" si="11"/>
        <v>344.36750065817051</v>
      </c>
      <c r="W38">
        <f t="shared" si="12"/>
        <v>31.223296274700342</v>
      </c>
      <c r="X38">
        <f t="shared" si="13"/>
        <v>30.005199999999999</v>
      </c>
      <c r="Y38">
        <f t="shared" si="14"/>
        <v>4.2617224651198287</v>
      </c>
      <c r="Z38">
        <f t="shared" si="15"/>
        <v>65.056112255226466</v>
      </c>
      <c r="AA38">
        <f t="shared" si="16"/>
        <v>2.8453415678783998</v>
      </c>
      <c r="AB38">
        <f t="shared" si="17"/>
        <v>4.3736729251751614</v>
      </c>
      <c r="AC38">
        <f t="shared" si="18"/>
        <v>1.4163808972414289</v>
      </c>
      <c r="AD38">
        <f t="shared" si="19"/>
        <v>-214.22538137521133</v>
      </c>
      <c r="AE38">
        <f t="shared" si="20"/>
        <v>71.393146372197279</v>
      </c>
      <c r="AF38">
        <f t="shared" si="21"/>
        <v>5.433122962320601</v>
      </c>
      <c r="AG38">
        <f t="shared" si="22"/>
        <v>206.9683886174771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52234.966070180322</v>
      </c>
      <c r="AM38" t="s">
        <v>417</v>
      </c>
      <c r="AN38">
        <v>10238.9</v>
      </c>
      <c r="AO38">
        <v>302.21199999999999</v>
      </c>
      <c r="AP38">
        <v>4052.3</v>
      </c>
      <c r="AQ38">
        <f t="shared" si="26"/>
        <v>0.92542210596451402</v>
      </c>
      <c r="AR38">
        <v>-0.32343011824092421</v>
      </c>
      <c r="AS38" t="s">
        <v>530</v>
      </c>
      <c r="AT38">
        <v>10466.799999999999</v>
      </c>
      <c r="AU38">
        <v>678.16388461538475</v>
      </c>
      <c r="AV38">
        <v>961.27382086445721</v>
      </c>
      <c r="AW38">
        <f t="shared" si="27"/>
        <v>0.29451539208097488</v>
      </c>
      <c r="AX38">
        <v>0.5</v>
      </c>
      <c r="AY38">
        <f t="shared" si="28"/>
        <v>1513.1763003290853</v>
      </c>
      <c r="AZ38">
        <f t="shared" si="29"/>
        <v>36.163290804863365</v>
      </c>
      <c r="BA38">
        <f t="shared" si="30"/>
        <v>222.82685568952976</v>
      </c>
      <c r="BB38">
        <f t="shared" si="31"/>
        <v>2.4112670093477648E-2</v>
      </c>
      <c r="BC38">
        <f t="shared" si="32"/>
        <v>3.2155522308470186</v>
      </c>
      <c r="BD38">
        <f t="shared" si="33"/>
        <v>243.75687894216736</v>
      </c>
      <c r="BE38" t="s">
        <v>531</v>
      </c>
      <c r="BF38">
        <v>548.99</v>
      </c>
      <c r="BG38">
        <f t="shared" si="34"/>
        <v>548.99</v>
      </c>
      <c r="BH38">
        <f t="shared" si="35"/>
        <v>0.428893216392492</v>
      </c>
      <c r="BI38">
        <f t="shared" si="36"/>
        <v>0.68668699066449168</v>
      </c>
      <c r="BJ38">
        <f t="shared" si="37"/>
        <v>0.88231591812758292</v>
      </c>
      <c r="BK38">
        <f t="shared" si="38"/>
        <v>0.42956506853595589</v>
      </c>
      <c r="BL38">
        <f t="shared" si="39"/>
        <v>0.82425430526844778</v>
      </c>
      <c r="BM38">
        <f t="shared" si="40"/>
        <v>0.55588965964871895</v>
      </c>
      <c r="BN38">
        <f t="shared" si="41"/>
        <v>0.44411034035128105</v>
      </c>
      <c r="BO38">
        <v>5730</v>
      </c>
      <c r="BP38">
        <v>290.00000000000011</v>
      </c>
      <c r="BQ38">
        <v>871.05</v>
      </c>
      <c r="BR38">
        <v>225</v>
      </c>
      <c r="BS38">
        <v>10466.799999999999</v>
      </c>
      <c r="BT38">
        <v>870.28</v>
      </c>
      <c r="BU38">
        <v>0.77</v>
      </c>
      <c r="BV38">
        <v>300.00000000000011</v>
      </c>
      <c r="BW38">
        <v>38.299999999999997</v>
      </c>
      <c r="BX38">
        <v>961.27382086445721</v>
      </c>
      <c r="BY38">
        <v>1.138877882335831</v>
      </c>
      <c r="BZ38">
        <v>-95.244818773903873</v>
      </c>
      <c r="CA38">
        <v>0.97603884455303769</v>
      </c>
      <c r="CB38">
        <v>0.99706819972519889</v>
      </c>
      <c r="CC38">
        <v>-1.1366482091212471E-2</v>
      </c>
      <c r="CD38">
        <v>289.99999999999989</v>
      </c>
      <c r="CE38">
        <v>852.16</v>
      </c>
      <c r="CF38">
        <v>625</v>
      </c>
      <c r="CG38">
        <v>10446.799999999999</v>
      </c>
      <c r="CH38">
        <v>870.1</v>
      </c>
      <c r="CI38">
        <v>-17.940000000000001</v>
      </c>
      <c r="CW38">
        <f t="shared" si="42"/>
        <v>1799.99</v>
      </c>
      <c r="CX38">
        <f t="shared" si="43"/>
        <v>1513.1763003290853</v>
      </c>
      <c r="CY38">
        <f t="shared" si="44"/>
        <v>0.84065817050599467</v>
      </c>
      <c r="CZ38">
        <f t="shared" si="45"/>
        <v>0.19131634101198924</v>
      </c>
      <c r="DA38">
        <v>6</v>
      </c>
      <c r="DB38">
        <v>0.5</v>
      </c>
      <c r="DC38" t="s">
        <v>420</v>
      </c>
      <c r="DD38">
        <v>2</v>
      </c>
      <c r="DE38">
        <v>1693499054</v>
      </c>
      <c r="DF38">
        <v>354.63900000000001</v>
      </c>
      <c r="DG38">
        <v>400.05500000000001</v>
      </c>
      <c r="DH38">
        <v>28.542000000000002</v>
      </c>
      <c r="DI38">
        <v>22.885000000000002</v>
      </c>
      <c r="DJ38">
        <v>356.875</v>
      </c>
      <c r="DK38">
        <v>28.040700000000001</v>
      </c>
      <c r="DL38">
        <v>500.52</v>
      </c>
      <c r="DM38">
        <v>99.589799999999997</v>
      </c>
      <c r="DN38">
        <v>9.9835199999999999E-2</v>
      </c>
      <c r="DO38">
        <v>30.4574</v>
      </c>
      <c r="DP38">
        <v>30.005199999999999</v>
      </c>
      <c r="DQ38">
        <v>999.9</v>
      </c>
      <c r="DR38">
        <v>0</v>
      </c>
      <c r="DS38">
        <v>0</v>
      </c>
      <c r="DT38">
        <v>10035</v>
      </c>
      <c r="DU38">
        <v>0</v>
      </c>
      <c r="DV38">
        <v>1722.95</v>
      </c>
      <c r="DW38">
        <v>-45.415999999999997</v>
      </c>
      <c r="DX38">
        <v>365.05900000000003</v>
      </c>
      <c r="DY38">
        <v>409.42500000000001</v>
      </c>
      <c r="DZ38">
        <v>5.6569200000000004</v>
      </c>
      <c r="EA38">
        <v>400.05500000000001</v>
      </c>
      <c r="EB38">
        <v>22.885000000000002</v>
      </c>
      <c r="EC38">
        <v>2.8424900000000002</v>
      </c>
      <c r="ED38">
        <v>2.2791199999999998</v>
      </c>
      <c r="EE38">
        <v>23.132899999999999</v>
      </c>
      <c r="EF38">
        <v>19.529499999999999</v>
      </c>
      <c r="EG38">
        <v>1799.99</v>
      </c>
      <c r="EH38">
        <v>0.97799899999999995</v>
      </c>
      <c r="EI38">
        <v>2.2000700000000002E-2</v>
      </c>
      <c r="EJ38">
        <v>0</v>
      </c>
      <c r="EK38">
        <v>678.11500000000001</v>
      </c>
      <c r="EL38">
        <v>4.9995000000000003</v>
      </c>
      <c r="EM38">
        <v>13380.2</v>
      </c>
      <c r="EN38">
        <v>16659.7</v>
      </c>
      <c r="EO38">
        <v>48.375</v>
      </c>
      <c r="EP38">
        <v>50</v>
      </c>
      <c r="EQ38">
        <v>49.311999999999998</v>
      </c>
      <c r="ER38">
        <v>48.75</v>
      </c>
      <c r="ES38">
        <v>49.686999999999998</v>
      </c>
      <c r="ET38">
        <v>1755.5</v>
      </c>
      <c r="EU38">
        <v>39.49</v>
      </c>
      <c r="EV38">
        <v>0</v>
      </c>
      <c r="EW38">
        <v>187.39999985694891</v>
      </c>
      <c r="EX38">
        <v>0</v>
      </c>
      <c r="EY38">
        <v>678.16388461538475</v>
      </c>
      <c r="EZ38">
        <v>-1.00386322919863</v>
      </c>
      <c r="FA38">
        <v>-26.33162401066124</v>
      </c>
      <c r="FB38">
        <v>13380.446153846149</v>
      </c>
      <c r="FC38">
        <v>15</v>
      </c>
      <c r="FD38">
        <v>1693498949</v>
      </c>
      <c r="FE38" t="s">
        <v>532</v>
      </c>
      <c r="FF38">
        <v>1693498949</v>
      </c>
      <c r="FG38">
        <v>1693498949</v>
      </c>
      <c r="FH38">
        <v>27</v>
      </c>
      <c r="FI38">
        <v>0.06</v>
      </c>
      <c r="FJ38">
        <v>-8.9999999999999993E-3</v>
      </c>
      <c r="FK38">
        <v>-2.3029999999999999</v>
      </c>
      <c r="FL38">
        <v>0.26</v>
      </c>
      <c r="FM38">
        <v>400</v>
      </c>
      <c r="FN38">
        <v>23</v>
      </c>
      <c r="FO38">
        <v>0.17</v>
      </c>
      <c r="FP38">
        <v>0.04</v>
      </c>
      <c r="FQ38">
        <v>35.613881835390188</v>
      </c>
      <c r="FR38">
        <v>2.980911853106869</v>
      </c>
      <c r="FS38">
        <v>0.23251294651791499</v>
      </c>
      <c r="FT38">
        <v>0</v>
      </c>
      <c r="FU38">
        <v>0.35215964747183931</v>
      </c>
      <c r="FV38">
        <v>-1.212462435976208E-2</v>
      </c>
      <c r="FW38">
        <v>1.645828593204291E-3</v>
      </c>
      <c r="FX38">
        <v>1</v>
      </c>
      <c r="FY38">
        <v>1</v>
      </c>
      <c r="FZ38">
        <v>2</v>
      </c>
      <c r="GA38" t="s">
        <v>461</v>
      </c>
      <c r="GB38">
        <v>2.97384</v>
      </c>
      <c r="GC38">
        <v>2.8118400000000001</v>
      </c>
      <c r="GD38">
        <v>8.9530200000000004E-2</v>
      </c>
      <c r="GE38">
        <v>9.6806600000000007E-2</v>
      </c>
      <c r="GF38">
        <v>0.13549</v>
      </c>
      <c r="GG38">
        <v>0.115899</v>
      </c>
      <c r="GH38">
        <v>26994.799999999999</v>
      </c>
      <c r="GI38">
        <v>24728.6</v>
      </c>
      <c r="GJ38">
        <v>26638.6</v>
      </c>
      <c r="GK38">
        <v>25818.3</v>
      </c>
      <c r="GL38">
        <v>31315.599999999999</v>
      </c>
      <c r="GM38">
        <v>32163.599999999999</v>
      </c>
      <c r="GN38">
        <v>37730.9</v>
      </c>
      <c r="GO38">
        <v>38214.1</v>
      </c>
      <c r="GP38">
        <v>2.0081000000000002</v>
      </c>
      <c r="GQ38">
        <v>2.0718000000000001</v>
      </c>
      <c r="GR38">
        <v>3.7252899999999999E-2</v>
      </c>
      <c r="GS38">
        <v>0</v>
      </c>
      <c r="GT38">
        <v>29.398700000000002</v>
      </c>
      <c r="GU38">
        <v>999.9</v>
      </c>
      <c r="GV38">
        <v>59.3</v>
      </c>
      <c r="GW38">
        <v>31.7</v>
      </c>
      <c r="GX38">
        <v>27.9559</v>
      </c>
      <c r="GY38">
        <v>61.468899999999998</v>
      </c>
      <c r="GZ38">
        <v>12.728400000000001</v>
      </c>
      <c r="HA38">
        <v>1</v>
      </c>
      <c r="HB38">
        <v>9.0884099999999995E-2</v>
      </c>
      <c r="HC38">
        <v>1.17666</v>
      </c>
      <c r="HD38">
        <v>20.3032</v>
      </c>
      <c r="HE38">
        <v>5.2059100000000003</v>
      </c>
      <c r="HF38">
        <v>11.9321</v>
      </c>
      <c r="HG38">
        <v>4.9889999999999999</v>
      </c>
      <c r="HH38">
        <v>3.2909999999999999</v>
      </c>
      <c r="HI38">
        <v>9999</v>
      </c>
      <c r="HJ38">
        <v>9999</v>
      </c>
      <c r="HK38">
        <v>9999</v>
      </c>
      <c r="HL38">
        <v>999.9</v>
      </c>
      <c r="HM38">
        <v>1.8696600000000001</v>
      </c>
      <c r="HN38">
        <v>1.8760600000000001</v>
      </c>
      <c r="HO38">
        <v>1.87378</v>
      </c>
      <c r="HP38">
        <v>1.8720399999999999</v>
      </c>
      <c r="HQ38">
        <v>1.8724799999999999</v>
      </c>
      <c r="HR38">
        <v>1.8699399999999999</v>
      </c>
      <c r="HS38">
        <v>1.8758699999999999</v>
      </c>
      <c r="HT38">
        <v>1.8748499999999999</v>
      </c>
      <c r="HU38">
        <v>5</v>
      </c>
      <c r="HV38">
        <v>0</v>
      </c>
      <c r="HW38">
        <v>0</v>
      </c>
      <c r="HX38">
        <v>0</v>
      </c>
      <c r="HY38" t="s">
        <v>423</v>
      </c>
      <c r="HZ38" t="s">
        <v>424</v>
      </c>
      <c r="IA38" t="s">
        <v>425</v>
      </c>
      <c r="IB38" t="s">
        <v>425</v>
      </c>
      <c r="IC38" t="s">
        <v>425</v>
      </c>
      <c r="ID38" t="s">
        <v>425</v>
      </c>
      <c r="IE38">
        <v>0</v>
      </c>
      <c r="IF38">
        <v>100</v>
      </c>
      <c r="IG38">
        <v>100</v>
      </c>
      <c r="IH38">
        <v>-2.2360000000000002</v>
      </c>
      <c r="II38">
        <v>0.50129999999999997</v>
      </c>
      <c r="IJ38">
        <v>-1.49823898484469</v>
      </c>
      <c r="IK38">
        <v>-2.677719669153116E-3</v>
      </c>
      <c r="IL38">
        <v>1.9353498771248068E-6</v>
      </c>
      <c r="IM38">
        <v>-6.1862177325538213E-10</v>
      </c>
      <c r="IN38">
        <v>-0.1148495656349651</v>
      </c>
      <c r="IO38">
        <v>-1.5299015507423901E-2</v>
      </c>
      <c r="IP38">
        <v>1.742162107778985E-3</v>
      </c>
      <c r="IQ38">
        <v>-1.472690239905804E-5</v>
      </c>
      <c r="IR38">
        <v>3</v>
      </c>
      <c r="IS38">
        <v>2255</v>
      </c>
      <c r="IT38">
        <v>2</v>
      </c>
      <c r="IU38">
        <v>41</v>
      </c>
      <c r="IV38">
        <v>1.8</v>
      </c>
      <c r="IW38">
        <v>1.8</v>
      </c>
      <c r="IX38">
        <v>0.96313499999999996</v>
      </c>
      <c r="IY38">
        <v>2.49146</v>
      </c>
      <c r="IZ38">
        <v>1.5991200000000001</v>
      </c>
      <c r="JA38">
        <v>2.2741699999999998</v>
      </c>
      <c r="JB38">
        <v>1.5502899999999999</v>
      </c>
      <c r="JC38">
        <v>2.3083499999999999</v>
      </c>
      <c r="JD38">
        <v>34.554900000000004</v>
      </c>
      <c r="JE38">
        <v>15.8832</v>
      </c>
      <c r="JF38">
        <v>18</v>
      </c>
      <c r="JG38">
        <v>507.51600000000002</v>
      </c>
      <c r="JH38">
        <v>518.00300000000004</v>
      </c>
      <c r="JI38">
        <v>26.5898</v>
      </c>
      <c r="JJ38">
        <v>28.767499999999998</v>
      </c>
      <c r="JK38">
        <v>30.000399999999999</v>
      </c>
      <c r="JL38">
        <v>28.6876</v>
      </c>
      <c r="JM38">
        <v>28.658899999999999</v>
      </c>
      <c r="JN38">
        <v>19.297899999999998</v>
      </c>
      <c r="JO38">
        <v>28.2728</v>
      </c>
      <c r="JP38">
        <v>100</v>
      </c>
      <c r="JQ38">
        <v>26.583600000000001</v>
      </c>
      <c r="JR38">
        <v>400</v>
      </c>
      <c r="JS38">
        <v>22.880700000000001</v>
      </c>
      <c r="JT38">
        <v>99.489099999999993</v>
      </c>
      <c r="JU38">
        <v>99.252099999999999</v>
      </c>
    </row>
    <row r="39" spans="1:281" x14ac:dyDescent="0.25">
      <c r="A39">
        <v>23</v>
      </c>
      <c r="B39">
        <v>1693499193.5</v>
      </c>
      <c r="C39">
        <v>5213.9000000953674</v>
      </c>
      <c r="D39" t="s">
        <v>533</v>
      </c>
      <c r="E39" t="s">
        <v>534</v>
      </c>
      <c r="F39" t="s">
        <v>413</v>
      </c>
      <c r="G39" t="s">
        <v>494</v>
      </c>
      <c r="H39" t="s">
        <v>416</v>
      </c>
      <c r="I39" t="s">
        <v>416</v>
      </c>
      <c r="J39">
        <v>1693499193.5</v>
      </c>
      <c r="K39">
        <f t="shared" si="0"/>
        <v>4.6242051379311658E-3</v>
      </c>
      <c r="L39">
        <f t="shared" si="1"/>
        <v>4.6242051379311659</v>
      </c>
      <c r="M39">
        <f t="shared" si="2"/>
        <v>40.321164725623362</v>
      </c>
      <c r="N39">
        <f t="shared" si="3"/>
        <v>349.81200000000001</v>
      </c>
      <c r="O39">
        <f t="shared" si="4"/>
        <v>138.46736133866281</v>
      </c>
      <c r="P39">
        <f t="shared" si="5"/>
        <v>13.803864838720134</v>
      </c>
      <c r="Q39">
        <f t="shared" si="6"/>
        <v>34.872893657243999</v>
      </c>
      <c r="R39">
        <f t="shared" si="7"/>
        <v>0.33063003723617429</v>
      </c>
      <c r="S39">
        <f t="shared" si="8"/>
        <v>2.9205965758879717</v>
      </c>
      <c r="T39">
        <f t="shared" si="9"/>
        <v>0.31115452369863356</v>
      </c>
      <c r="U39">
        <f t="shared" si="10"/>
        <v>0.19612570706261367</v>
      </c>
      <c r="V39">
        <f t="shared" si="11"/>
        <v>344.36560065817417</v>
      </c>
      <c r="W39">
        <f t="shared" si="12"/>
        <v>31.351220538695529</v>
      </c>
      <c r="X39">
        <f t="shared" si="13"/>
        <v>30.043700000000001</v>
      </c>
      <c r="Y39">
        <f t="shared" si="14"/>
        <v>4.2711555982276828</v>
      </c>
      <c r="Z39">
        <f t="shared" si="15"/>
        <v>64.748069963535926</v>
      </c>
      <c r="AA39">
        <f t="shared" si="16"/>
        <v>2.8424720045309999</v>
      </c>
      <c r="AB39">
        <f t="shared" si="17"/>
        <v>4.3900490101585898</v>
      </c>
      <c r="AC39">
        <f t="shared" si="18"/>
        <v>1.4286835936966829</v>
      </c>
      <c r="AD39">
        <f t="shared" si="19"/>
        <v>-203.92744658276442</v>
      </c>
      <c r="AE39">
        <f t="shared" si="20"/>
        <v>75.421042045051323</v>
      </c>
      <c r="AF39">
        <f t="shared" si="21"/>
        <v>5.7580773782763011</v>
      </c>
      <c r="AG39">
        <f t="shared" si="22"/>
        <v>221.6172734987374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51999.319116772444</v>
      </c>
      <c r="AM39" t="s">
        <v>417</v>
      </c>
      <c r="AN39">
        <v>10238.9</v>
      </c>
      <c r="AO39">
        <v>302.21199999999999</v>
      </c>
      <c r="AP39">
        <v>4052.3</v>
      </c>
      <c r="AQ39">
        <f t="shared" si="26"/>
        <v>0.92542210596451402</v>
      </c>
      <c r="AR39">
        <v>-0.32343011824092421</v>
      </c>
      <c r="AS39" t="s">
        <v>535</v>
      </c>
      <c r="AT39">
        <v>10483.299999999999</v>
      </c>
      <c r="AU39">
        <v>688.79680000000008</v>
      </c>
      <c r="AV39">
        <v>989.43949001253134</v>
      </c>
      <c r="AW39">
        <f t="shared" si="27"/>
        <v>0.3038515169924374</v>
      </c>
      <c r="AX39">
        <v>0.5</v>
      </c>
      <c r="AY39">
        <f t="shared" si="28"/>
        <v>1513.1679003290872</v>
      </c>
      <c r="AZ39">
        <f t="shared" si="29"/>
        <v>40.321164725623362</v>
      </c>
      <c r="BA39">
        <f t="shared" si="30"/>
        <v>229.88918098962722</v>
      </c>
      <c r="BB39">
        <f t="shared" si="31"/>
        <v>2.6860598110113758E-2</v>
      </c>
      <c r="BC39">
        <f t="shared" si="32"/>
        <v>3.095551108384281</v>
      </c>
      <c r="BD39">
        <f t="shared" si="33"/>
        <v>245.52920555147156</v>
      </c>
      <c r="BE39" t="s">
        <v>536</v>
      </c>
      <c r="BF39">
        <v>555.12</v>
      </c>
      <c r="BG39">
        <f t="shared" si="34"/>
        <v>555.12</v>
      </c>
      <c r="BH39">
        <f t="shared" si="35"/>
        <v>0.43895507951378676</v>
      </c>
      <c r="BI39">
        <f t="shared" si="36"/>
        <v>0.69221551628700084</v>
      </c>
      <c r="BJ39">
        <f t="shared" si="37"/>
        <v>0.87580865439796318</v>
      </c>
      <c r="BK39">
        <f t="shared" si="38"/>
        <v>0.43747186249352327</v>
      </c>
      <c r="BL39">
        <f t="shared" si="39"/>
        <v>0.81674363641265724</v>
      </c>
      <c r="BM39">
        <f t="shared" si="40"/>
        <v>0.55787523606561451</v>
      </c>
      <c r="BN39">
        <f t="shared" si="41"/>
        <v>0.44212476393438549</v>
      </c>
      <c r="BO39">
        <v>5732</v>
      </c>
      <c r="BP39">
        <v>290.00000000000011</v>
      </c>
      <c r="BQ39">
        <v>902.08</v>
      </c>
      <c r="BR39">
        <v>145</v>
      </c>
      <c r="BS39">
        <v>10483.299999999999</v>
      </c>
      <c r="BT39">
        <v>899.34</v>
      </c>
      <c r="BU39">
        <v>2.74</v>
      </c>
      <c r="BV39">
        <v>300.00000000000011</v>
      </c>
      <c r="BW39">
        <v>38.299999999999997</v>
      </c>
      <c r="BX39">
        <v>989.43949001253134</v>
      </c>
      <c r="BY39">
        <v>1.3765561102994199</v>
      </c>
      <c r="BZ39">
        <v>-94.452482059290901</v>
      </c>
      <c r="CA39">
        <v>1.1797335812813159</v>
      </c>
      <c r="CB39">
        <v>0.99565083157984735</v>
      </c>
      <c r="CC39">
        <v>-1.1366282981090121E-2</v>
      </c>
      <c r="CD39">
        <v>289.99999999999989</v>
      </c>
      <c r="CE39">
        <v>886.88</v>
      </c>
      <c r="CF39">
        <v>675</v>
      </c>
      <c r="CG39">
        <v>10441.4</v>
      </c>
      <c r="CH39">
        <v>898.98</v>
      </c>
      <c r="CI39">
        <v>-12.1</v>
      </c>
      <c r="CW39">
        <f t="shared" si="42"/>
        <v>1799.98</v>
      </c>
      <c r="CX39">
        <f t="shared" si="43"/>
        <v>1513.1679003290872</v>
      </c>
      <c r="CY39">
        <f t="shared" si="44"/>
        <v>0.84065817416253907</v>
      </c>
      <c r="CZ39">
        <f t="shared" si="45"/>
        <v>0.19131634832507816</v>
      </c>
      <c r="DA39">
        <v>6</v>
      </c>
      <c r="DB39">
        <v>0.5</v>
      </c>
      <c r="DC39" t="s">
        <v>420</v>
      </c>
      <c r="DD39">
        <v>2</v>
      </c>
      <c r="DE39">
        <v>1693499193.5</v>
      </c>
      <c r="DF39">
        <v>349.81200000000001</v>
      </c>
      <c r="DG39">
        <v>400.1</v>
      </c>
      <c r="DH39">
        <v>28.513000000000002</v>
      </c>
      <c r="DI39">
        <v>23.126300000000001</v>
      </c>
      <c r="DJ39">
        <v>352.08499999999998</v>
      </c>
      <c r="DK39">
        <v>28.017299999999999</v>
      </c>
      <c r="DL39">
        <v>500.38299999999998</v>
      </c>
      <c r="DM39">
        <v>99.590100000000007</v>
      </c>
      <c r="DN39">
        <v>0.100287</v>
      </c>
      <c r="DO39">
        <v>30.5227</v>
      </c>
      <c r="DP39">
        <v>30.043700000000001</v>
      </c>
      <c r="DQ39">
        <v>999.9</v>
      </c>
      <c r="DR39">
        <v>0</v>
      </c>
      <c r="DS39">
        <v>0</v>
      </c>
      <c r="DT39">
        <v>9990</v>
      </c>
      <c r="DU39">
        <v>0</v>
      </c>
      <c r="DV39">
        <v>1735.58</v>
      </c>
      <c r="DW39">
        <v>-50.288800000000002</v>
      </c>
      <c r="DX39">
        <v>360.07900000000001</v>
      </c>
      <c r="DY39">
        <v>409.572</v>
      </c>
      <c r="DZ39">
        <v>5.3867000000000003</v>
      </c>
      <c r="EA39">
        <v>400.1</v>
      </c>
      <c r="EB39">
        <v>23.126300000000001</v>
      </c>
      <c r="EC39">
        <v>2.83962</v>
      </c>
      <c r="ED39">
        <v>2.30315</v>
      </c>
      <c r="EE39">
        <v>23.116199999999999</v>
      </c>
      <c r="EF39">
        <v>19.698499999999999</v>
      </c>
      <c r="EG39">
        <v>1799.98</v>
      </c>
      <c r="EH39">
        <v>0.97799899999999995</v>
      </c>
      <c r="EI39">
        <v>2.2000700000000002E-2</v>
      </c>
      <c r="EJ39">
        <v>0</v>
      </c>
      <c r="EK39">
        <v>689.57299999999998</v>
      </c>
      <c r="EL39">
        <v>4.9995000000000003</v>
      </c>
      <c r="EM39">
        <v>13597.7</v>
      </c>
      <c r="EN39">
        <v>16659.599999999999</v>
      </c>
      <c r="EO39">
        <v>48.311999999999998</v>
      </c>
      <c r="EP39">
        <v>49.936999999999998</v>
      </c>
      <c r="EQ39">
        <v>49.311999999999998</v>
      </c>
      <c r="ER39">
        <v>48.561999999999998</v>
      </c>
      <c r="ES39">
        <v>49.625</v>
      </c>
      <c r="ET39">
        <v>1755.49</v>
      </c>
      <c r="EU39">
        <v>39.49</v>
      </c>
      <c r="EV39">
        <v>0</v>
      </c>
      <c r="EW39">
        <v>137.5999999046326</v>
      </c>
      <c r="EX39">
        <v>0</v>
      </c>
      <c r="EY39">
        <v>688.79680000000008</v>
      </c>
      <c r="EZ39">
        <v>5.9344615228511781</v>
      </c>
      <c r="FA39">
        <v>111.7923075553375</v>
      </c>
      <c r="FB39">
        <v>13585.876</v>
      </c>
      <c r="FC39">
        <v>15</v>
      </c>
      <c r="FD39">
        <v>1693499143</v>
      </c>
      <c r="FE39" t="s">
        <v>537</v>
      </c>
      <c r="FF39">
        <v>1693499143</v>
      </c>
      <c r="FG39">
        <v>1693499136.5</v>
      </c>
      <c r="FH39">
        <v>28</v>
      </c>
      <c r="FI39">
        <v>-4.4999999999999998E-2</v>
      </c>
      <c r="FJ39">
        <v>-4.0000000000000001E-3</v>
      </c>
      <c r="FK39">
        <v>-2.3479999999999999</v>
      </c>
      <c r="FL39">
        <v>0.247</v>
      </c>
      <c r="FM39">
        <v>400</v>
      </c>
      <c r="FN39">
        <v>23</v>
      </c>
      <c r="FO39">
        <v>0.16</v>
      </c>
      <c r="FP39">
        <v>0.05</v>
      </c>
      <c r="FQ39">
        <v>40.013350867955388</v>
      </c>
      <c r="FR39">
        <v>0.63922533417323213</v>
      </c>
      <c r="FS39">
        <v>9.0392998890653137E-2</v>
      </c>
      <c r="FT39">
        <v>1</v>
      </c>
      <c r="FU39">
        <v>0.34057224137593628</v>
      </c>
      <c r="FV39">
        <v>-2.7683461061863729E-2</v>
      </c>
      <c r="FW39">
        <v>2.183301147453299E-3</v>
      </c>
      <c r="FX39">
        <v>1</v>
      </c>
      <c r="FY39">
        <v>2</v>
      </c>
      <c r="FZ39">
        <v>2</v>
      </c>
      <c r="GA39" t="s">
        <v>422</v>
      </c>
      <c r="GB39">
        <v>2.9734600000000002</v>
      </c>
      <c r="GC39">
        <v>2.81189</v>
      </c>
      <c r="GD39">
        <v>8.8567000000000007E-2</v>
      </c>
      <c r="GE39">
        <v>9.6806199999999995E-2</v>
      </c>
      <c r="GF39">
        <v>0.13539799999999999</v>
      </c>
      <c r="GG39">
        <v>0.116742</v>
      </c>
      <c r="GH39">
        <v>27023.9</v>
      </c>
      <c r="GI39">
        <v>24726</v>
      </c>
      <c r="GJ39">
        <v>26639.3</v>
      </c>
      <c r="GK39">
        <v>25815.8</v>
      </c>
      <c r="GL39">
        <v>31319.9</v>
      </c>
      <c r="GM39">
        <v>32129.9</v>
      </c>
      <c r="GN39">
        <v>37731.599999999999</v>
      </c>
      <c r="GO39">
        <v>38210.400000000001</v>
      </c>
      <c r="GP39">
        <v>2.0062000000000002</v>
      </c>
      <c r="GQ39">
        <v>2.0739000000000001</v>
      </c>
      <c r="GR39">
        <v>4.49419E-2</v>
      </c>
      <c r="GS39">
        <v>0</v>
      </c>
      <c r="GT39">
        <v>29.312000000000001</v>
      </c>
      <c r="GU39">
        <v>999.9</v>
      </c>
      <c r="GV39">
        <v>59.5</v>
      </c>
      <c r="GW39">
        <v>31.6</v>
      </c>
      <c r="GX39">
        <v>27.888100000000001</v>
      </c>
      <c r="GY39">
        <v>61.4589</v>
      </c>
      <c r="GZ39">
        <v>12.848599999999999</v>
      </c>
      <c r="HA39">
        <v>1</v>
      </c>
      <c r="HB39">
        <v>9.3943100000000002E-2</v>
      </c>
      <c r="HC39">
        <v>1.31029</v>
      </c>
      <c r="HD39">
        <v>20.3019</v>
      </c>
      <c r="HE39">
        <v>5.2100999999999997</v>
      </c>
      <c r="HF39">
        <v>11.9321</v>
      </c>
      <c r="HG39">
        <v>4.9892000000000003</v>
      </c>
      <c r="HH39">
        <v>3.2909999999999999</v>
      </c>
      <c r="HI39">
        <v>9999</v>
      </c>
      <c r="HJ39">
        <v>9999</v>
      </c>
      <c r="HK39">
        <v>9999</v>
      </c>
      <c r="HL39">
        <v>999.9</v>
      </c>
      <c r="HM39">
        <v>1.8696600000000001</v>
      </c>
      <c r="HN39">
        <v>1.8760600000000001</v>
      </c>
      <c r="HO39">
        <v>1.8737900000000001</v>
      </c>
      <c r="HP39">
        <v>1.8720600000000001</v>
      </c>
      <c r="HQ39">
        <v>1.8724099999999999</v>
      </c>
      <c r="HR39">
        <v>1.86992</v>
      </c>
      <c r="HS39">
        <v>1.8758999999999999</v>
      </c>
      <c r="HT39">
        <v>1.8748499999999999</v>
      </c>
      <c r="HU39">
        <v>5</v>
      </c>
      <c r="HV39">
        <v>0</v>
      </c>
      <c r="HW39">
        <v>0</v>
      </c>
      <c r="HX39">
        <v>0</v>
      </c>
      <c r="HY39" t="s">
        <v>423</v>
      </c>
      <c r="HZ39" t="s">
        <v>424</v>
      </c>
      <c r="IA39" t="s">
        <v>425</v>
      </c>
      <c r="IB39" t="s">
        <v>425</v>
      </c>
      <c r="IC39" t="s">
        <v>425</v>
      </c>
      <c r="ID39" t="s">
        <v>425</v>
      </c>
      <c r="IE39">
        <v>0</v>
      </c>
      <c r="IF39">
        <v>100</v>
      </c>
      <c r="IG39">
        <v>100</v>
      </c>
      <c r="IH39">
        <v>-2.2730000000000001</v>
      </c>
      <c r="II39">
        <v>0.49569999999999997</v>
      </c>
      <c r="IJ39">
        <v>-1.543441629610466</v>
      </c>
      <c r="IK39">
        <v>-2.677719669153116E-3</v>
      </c>
      <c r="IL39">
        <v>1.9353498771248068E-6</v>
      </c>
      <c r="IM39">
        <v>-6.1862177325538213E-10</v>
      </c>
      <c r="IN39">
        <v>-0.1192947269995692</v>
      </c>
      <c r="IO39">
        <v>-1.5299015507423901E-2</v>
      </c>
      <c r="IP39">
        <v>1.742162107778985E-3</v>
      </c>
      <c r="IQ39">
        <v>-1.472690239905804E-5</v>
      </c>
      <c r="IR39">
        <v>3</v>
      </c>
      <c r="IS39">
        <v>2255</v>
      </c>
      <c r="IT39">
        <v>2</v>
      </c>
      <c r="IU39">
        <v>41</v>
      </c>
      <c r="IV39">
        <v>0.8</v>
      </c>
      <c r="IW39">
        <v>0.9</v>
      </c>
      <c r="IX39">
        <v>0.96191400000000005</v>
      </c>
      <c r="IY39">
        <v>2.49512</v>
      </c>
      <c r="IZ39">
        <v>1.6003400000000001</v>
      </c>
      <c r="JA39">
        <v>2.2741699999999998</v>
      </c>
      <c r="JB39">
        <v>1.5502899999999999</v>
      </c>
      <c r="JC39">
        <v>2.2790499999999998</v>
      </c>
      <c r="JD39">
        <v>34.486400000000003</v>
      </c>
      <c r="JE39">
        <v>15.8657</v>
      </c>
      <c r="JF39">
        <v>18</v>
      </c>
      <c r="JG39">
        <v>506.77199999999999</v>
      </c>
      <c r="JH39">
        <v>519.92100000000005</v>
      </c>
      <c r="JI39">
        <v>26.692499999999999</v>
      </c>
      <c r="JJ39">
        <v>28.8034</v>
      </c>
      <c r="JK39">
        <v>30</v>
      </c>
      <c r="JL39">
        <v>28.741399999999999</v>
      </c>
      <c r="JM39">
        <v>28.714200000000002</v>
      </c>
      <c r="JN39">
        <v>19.291899999999998</v>
      </c>
      <c r="JO39">
        <v>27.182400000000001</v>
      </c>
      <c r="JP39">
        <v>100</v>
      </c>
      <c r="JQ39">
        <v>26.6905</v>
      </c>
      <c r="JR39">
        <v>400</v>
      </c>
      <c r="JS39">
        <v>23.132100000000001</v>
      </c>
      <c r="JT39">
        <v>99.491299999999995</v>
      </c>
      <c r="JU39">
        <v>99.242599999999996</v>
      </c>
    </row>
    <row r="40" spans="1:281" x14ac:dyDescent="0.25">
      <c r="A40">
        <v>24</v>
      </c>
      <c r="B40">
        <v>1693499293</v>
      </c>
      <c r="C40">
        <v>5313.4000000953674</v>
      </c>
      <c r="D40" t="s">
        <v>538</v>
      </c>
      <c r="E40" t="s">
        <v>539</v>
      </c>
      <c r="F40" t="s">
        <v>413</v>
      </c>
      <c r="G40" t="s">
        <v>494</v>
      </c>
      <c r="H40" t="s">
        <v>416</v>
      </c>
      <c r="I40" t="s">
        <v>416</v>
      </c>
      <c r="J40">
        <v>1693499293</v>
      </c>
      <c r="K40">
        <f t="shared" si="0"/>
        <v>4.6668919887196663E-3</v>
      </c>
      <c r="L40">
        <f t="shared" si="1"/>
        <v>4.6668919887196667</v>
      </c>
      <c r="M40">
        <f t="shared" si="2"/>
        <v>43.875345592065592</v>
      </c>
      <c r="N40">
        <f t="shared" si="3"/>
        <v>444.80599999999998</v>
      </c>
      <c r="O40">
        <f t="shared" si="4"/>
        <v>219.71569055389301</v>
      </c>
      <c r="P40">
        <f t="shared" si="5"/>
        <v>21.903580605620981</v>
      </c>
      <c r="Q40">
        <f t="shared" si="6"/>
        <v>44.3429599875302</v>
      </c>
      <c r="R40">
        <f t="shared" si="7"/>
        <v>0.34059373721242064</v>
      </c>
      <c r="S40">
        <f t="shared" si="8"/>
        <v>2.9441890427694433</v>
      </c>
      <c r="T40">
        <f t="shared" si="9"/>
        <v>0.32012065540831725</v>
      </c>
      <c r="U40">
        <f t="shared" si="10"/>
        <v>0.20181220231486718</v>
      </c>
      <c r="V40">
        <f t="shared" si="11"/>
        <v>344.3599006581851</v>
      </c>
      <c r="W40">
        <f t="shared" si="12"/>
        <v>31.256537201425949</v>
      </c>
      <c r="X40">
        <f t="shared" si="13"/>
        <v>29.986799999999999</v>
      </c>
      <c r="Y40">
        <f t="shared" si="14"/>
        <v>4.2572205784432855</v>
      </c>
      <c r="Z40">
        <f t="shared" si="15"/>
        <v>65.339158424426387</v>
      </c>
      <c r="AA40">
        <f t="shared" si="16"/>
        <v>2.8557258614020302</v>
      </c>
      <c r="AB40">
        <f t="shared" si="17"/>
        <v>4.370619289051703</v>
      </c>
      <c r="AC40">
        <f t="shared" si="18"/>
        <v>1.4014947170412553</v>
      </c>
      <c r="AD40">
        <f t="shared" si="19"/>
        <v>-205.80993670253727</v>
      </c>
      <c r="AE40">
        <f t="shared" si="20"/>
        <v>72.76051165846377</v>
      </c>
      <c r="AF40">
        <f t="shared" si="21"/>
        <v>5.5067815805801246</v>
      </c>
      <c r="AG40">
        <f t="shared" si="22"/>
        <v>216.81725719469173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52686.592632654996</v>
      </c>
      <c r="AM40" t="s">
        <v>417</v>
      </c>
      <c r="AN40">
        <v>10238.9</v>
      </c>
      <c r="AO40">
        <v>302.21199999999999</v>
      </c>
      <c r="AP40">
        <v>4052.3</v>
      </c>
      <c r="AQ40">
        <f t="shared" si="26"/>
        <v>0.92542210596451402</v>
      </c>
      <c r="AR40">
        <v>-0.32343011824092421</v>
      </c>
      <c r="AS40" t="s">
        <v>540</v>
      </c>
      <c r="AT40">
        <v>10474.799999999999</v>
      </c>
      <c r="AU40">
        <v>713.38663999999994</v>
      </c>
      <c r="AV40">
        <v>1062.3535301187201</v>
      </c>
      <c r="AW40">
        <f t="shared" si="27"/>
        <v>0.32848470892709547</v>
      </c>
      <c r="AX40">
        <v>0.5</v>
      </c>
      <c r="AY40">
        <f t="shared" si="28"/>
        <v>1513.1427003290926</v>
      </c>
      <c r="AZ40">
        <f t="shared" si="29"/>
        <v>43.875345592065592</v>
      </c>
      <c r="BA40">
        <f t="shared" si="30"/>
        <v>248.52211974138061</v>
      </c>
      <c r="BB40">
        <f t="shared" si="31"/>
        <v>2.9209918998845084E-2</v>
      </c>
      <c r="BC40">
        <f t="shared" si="32"/>
        <v>2.8144552497012434</v>
      </c>
      <c r="BD40">
        <f t="shared" si="33"/>
        <v>249.78342244831524</v>
      </c>
      <c r="BE40" t="s">
        <v>541</v>
      </c>
      <c r="BF40">
        <v>564.01</v>
      </c>
      <c r="BG40">
        <f t="shared" si="34"/>
        <v>564.01</v>
      </c>
      <c r="BH40">
        <f t="shared" si="35"/>
        <v>0.46909387128692392</v>
      </c>
      <c r="BI40">
        <f t="shared" si="36"/>
        <v>0.70025367849279785</v>
      </c>
      <c r="BJ40">
        <f t="shared" si="37"/>
        <v>0.8571381593506503</v>
      </c>
      <c r="BK40">
        <f t="shared" si="38"/>
        <v>0.45908146876834627</v>
      </c>
      <c r="BL40">
        <f t="shared" si="39"/>
        <v>0.79730034865349286</v>
      </c>
      <c r="BM40">
        <f t="shared" si="40"/>
        <v>0.55362696055917571</v>
      </c>
      <c r="BN40">
        <f t="shared" si="41"/>
        <v>0.44637303944082429</v>
      </c>
      <c r="BO40">
        <v>5734</v>
      </c>
      <c r="BP40">
        <v>290.00000000000011</v>
      </c>
      <c r="BQ40">
        <v>960.33</v>
      </c>
      <c r="BR40">
        <v>185</v>
      </c>
      <c r="BS40">
        <v>10474.799999999999</v>
      </c>
      <c r="BT40">
        <v>958.92</v>
      </c>
      <c r="BU40">
        <v>1.41</v>
      </c>
      <c r="BV40">
        <v>300.00000000000011</v>
      </c>
      <c r="BW40">
        <v>38.299999999999997</v>
      </c>
      <c r="BX40">
        <v>1062.3535301187201</v>
      </c>
      <c r="BY40">
        <v>1.14396583047859</v>
      </c>
      <c r="BZ40">
        <v>-108.340700343731</v>
      </c>
      <c r="CA40">
        <v>0.98041275845981357</v>
      </c>
      <c r="CB40">
        <v>0.9977123056935695</v>
      </c>
      <c r="CC40">
        <v>-1.13663806451613E-2</v>
      </c>
      <c r="CD40">
        <v>289.99999999999989</v>
      </c>
      <c r="CE40">
        <v>946.04</v>
      </c>
      <c r="CF40">
        <v>635</v>
      </c>
      <c r="CG40">
        <v>10445.6</v>
      </c>
      <c r="CH40">
        <v>958.63</v>
      </c>
      <c r="CI40">
        <v>-12.59</v>
      </c>
      <c r="CW40">
        <f t="shared" si="42"/>
        <v>1799.95</v>
      </c>
      <c r="CX40">
        <f t="shared" si="43"/>
        <v>1513.1427003290926</v>
      </c>
      <c r="CY40">
        <f t="shared" si="44"/>
        <v>0.84065818513241619</v>
      </c>
      <c r="CZ40">
        <f t="shared" si="45"/>
        <v>0.19131637026483242</v>
      </c>
      <c r="DA40">
        <v>6</v>
      </c>
      <c r="DB40">
        <v>0.5</v>
      </c>
      <c r="DC40" t="s">
        <v>420</v>
      </c>
      <c r="DD40">
        <v>2</v>
      </c>
      <c r="DE40">
        <v>1693499293</v>
      </c>
      <c r="DF40">
        <v>444.80599999999998</v>
      </c>
      <c r="DG40">
        <v>499.94799999999998</v>
      </c>
      <c r="DH40">
        <v>28.645900000000001</v>
      </c>
      <c r="DI40">
        <v>23.206</v>
      </c>
      <c r="DJ40">
        <v>447.23500000000001</v>
      </c>
      <c r="DK40">
        <v>28.140699999999999</v>
      </c>
      <c r="DL40">
        <v>499.995</v>
      </c>
      <c r="DM40">
        <v>99.591999999999999</v>
      </c>
      <c r="DN40">
        <v>9.8561700000000002E-2</v>
      </c>
      <c r="DO40">
        <v>30.4452</v>
      </c>
      <c r="DP40">
        <v>29.986799999999999</v>
      </c>
      <c r="DQ40">
        <v>999.9</v>
      </c>
      <c r="DR40">
        <v>0</v>
      </c>
      <c r="DS40">
        <v>0</v>
      </c>
      <c r="DT40">
        <v>10125</v>
      </c>
      <c r="DU40">
        <v>0</v>
      </c>
      <c r="DV40">
        <v>1736.52</v>
      </c>
      <c r="DW40">
        <v>-55.1419</v>
      </c>
      <c r="DX40">
        <v>457.92399999999998</v>
      </c>
      <c r="DY40">
        <v>511.82600000000002</v>
      </c>
      <c r="DZ40">
        <v>5.43994</v>
      </c>
      <c r="EA40">
        <v>499.94799999999998</v>
      </c>
      <c r="EB40">
        <v>23.206</v>
      </c>
      <c r="EC40">
        <v>2.8529100000000001</v>
      </c>
      <c r="ED40">
        <v>2.3111299999999999</v>
      </c>
      <c r="EE40">
        <v>23.1935</v>
      </c>
      <c r="EF40">
        <v>19.754200000000001</v>
      </c>
      <c r="EG40">
        <v>1799.95</v>
      </c>
      <c r="EH40">
        <v>0.97799899999999995</v>
      </c>
      <c r="EI40">
        <v>2.2000700000000002E-2</v>
      </c>
      <c r="EJ40">
        <v>0</v>
      </c>
      <c r="EK40">
        <v>713.90700000000004</v>
      </c>
      <c r="EL40">
        <v>4.9995000000000003</v>
      </c>
      <c r="EM40">
        <v>14044.2</v>
      </c>
      <c r="EN40">
        <v>16659.3</v>
      </c>
      <c r="EO40">
        <v>48.375</v>
      </c>
      <c r="EP40">
        <v>49.936999999999998</v>
      </c>
      <c r="EQ40">
        <v>49.311999999999998</v>
      </c>
      <c r="ER40">
        <v>48.625</v>
      </c>
      <c r="ES40">
        <v>49.686999999999998</v>
      </c>
      <c r="ET40">
        <v>1755.46</v>
      </c>
      <c r="EU40">
        <v>39.49</v>
      </c>
      <c r="EV40">
        <v>0</v>
      </c>
      <c r="EW40">
        <v>97.400000095367432</v>
      </c>
      <c r="EX40">
        <v>0</v>
      </c>
      <c r="EY40">
        <v>713.38663999999994</v>
      </c>
      <c r="EZ40">
        <v>5.4124615440003101</v>
      </c>
      <c r="FA40">
        <v>68.553846111865653</v>
      </c>
      <c r="FB40">
        <v>14037.152</v>
      </c>
      <c r="FC40">
        <v>15</v>
      </c>
      <c r="FD40">
        <v>1693499263</v>
      </c>
      <c r="FE40" t="s">
        <v>542</v>
      </c>
      <c r="FF40">
        <v>1693499262</v>
      </c>
      <c r="FG40">
        <v>1693499263</v>
      </c>
      <c r="FH40">
        <v>29</v>
      </c>
      <c r="FI40">
        <v>-1.9E-2</v>
      </c>
      <c r="FJ40">
        <v>4.0000000000000001E-3</v>
      </c>
      <c r="FK40">
        <v>-2.4980000000000002</v>
      </c>
      <c r="FL40">
        <v>0.26800000000000002</v>
      </c>
      <c r="FM40">
        <v>500</v>
      </c>
      <c r="FN40">
        <v>23</v>
      </c>
      <c r="FO40">
        <v>0.1</v>
      </c>
      <c r="FP40">
        <v>0.04</v>
      </c>
      <c r="FQ40">
        <v>43.955869503089708</v>
      </c>
      <c r="FR40">
        <v>-0.33281681967882831</v>
      </c>
      <c r="FS40">
        <v>8.4644817842434356E-2</v>
      </c>
      <c r="FT40">
        <v>1</v>
      </c>
      <c r="FU40">
        <v>0.34454875365059789</v>
      </c>
      <c r="FV40">
        <v>3.1551553713292192E-2</v>
      </c>
      <c r="FW40">
        <v>5.8222884334268102E-3</v>
      </c>
      <c r="FX40">
        <v>1</v>
      </c>
      <c r="FY40">
        <v>2</v>
      </c>
      <c r="FZ40">
        <v>2</v>
      </c>
      <c r="GA40" t="s">
        <v>422</v>
      </c>
      <c r="GB40">
        <v>2.9723799999999998</v>
      </c>
      <c r="GC40">
        <v>2.81135</v>
      </c>
      <c r="GD40">
        <v>0.10653899999999999</v>
      </c>
      <c r="GE40">
        <v>0.11447300000000001</v>
      </c>
      <c r="GF40">
        <v>0.1358</v>
      </c>
      <c r="GG40">
        <v>0.117011</v>
      </c>
      <c r="GH40">
        <v>26490</v>
      </c>
      <c r="GI40">
        <v>24241</v>
      </c>
      <c r="GJ40">
        <v>26638.400000000001</v>
      </c>
      <c r="GK40">
        <v>25814.5</v>
      </c>
      <c r="GL40">
        <v>31305.9</v>
      </c>
      <c r="GM40">
        <v>32120.1</v>
      </c>
      <c r="GN40">
        <v>37730.699999999997</v>
      </c>
      <c r="GO40">
        <v>38208.800000000003</v>
      </c>
      <c r="GP40">
        <v>2.0051000000000001</v>
      </c>
      <c r="GQ40">
        <v>2.0737000000000001</v>
      </c>
      <c r="GR40">
        <v>3.6120399999999997E-2</v>
      </c>
      <c r="GS40">
        <v>0</v>
      </c>
      <c r="GT40">
        <v>29.398700000000002</v>
      </c>
      <c r="GU40">
        <v>999.9</v>
      </c>
      <c r="GV40">
        <v>59.7</v>
      </c>
      <c r="GW40">
        <v>31.5</v>
      </c>
      <c r="GX40">
        <v>27.823899999999998</v>
      </c>
      <c r="GY40">
        <v>60.878900000000002</v>
      </c>
      <c r="GZ40">
        <v>12.7364</v>
      </c>
      <c r="HA40">
        <v>1</v>
      </c>
      <c r="HB40">
        <v>9.62398E-2</v>
      </c>
      <c r="HC40">
        <v>0.31153599999999998</v>
      </c>
      <c r="HD40">
        <v>20.307300000000001</v>
      </c>
      <c r="HE40">
        <v>5.2071100000000001</v>
      </c>
      <c r="HF40">
        <v>11.9321</v>
      </c>
      <c r="HG40">
        <v>4.9870000000000001</v>
      </c>
      <c r="HH40">
        <v>3.2909999999999999</v>
      </c>
      <c r="HI40">
        <v>9999</v>
      </c>
      <c r="HJ40">
        <v>9999</v>
      </c>
      <c r="HK40">
        <v>9999</v>
      </c>
      <c r="HL40">
        <v>999.9</v>
      </c>
      <c r="HM40">
        <v>1.8696600000000001</v>
      </c>
      <c r="HN40">
        <v>1.8759999999999999</v>
      </c>
      <c r="HO40">
        <v>1.87378</v>
      </c>
      <c r="HP40">
        <v>1.8720399999999999</v>
      </c>
      <c r="HQ40">
        <v>1.8724099999999999</v>
      </c>
      <c r="HR40">
        <v>1.86992</v>
      </c>
      <c r="HS40">
        <v>1.87582</v>
      </c>
      <c r="HT40">
        <v>1.8748499999999999</v>
      </c>
      <c r="HU40">
        <v>5</v>
      </c>
      <c r="HV40">
        <v>0</v>
      </c>
      <c r="HW40">
        <v>0</v>
      </c>
      <c r="HX40">
        <v>0</v>
      </c>
      <c r="HY40" t="s">
        <v>423</v>
      </c>
      <c r="HZ40" t="s">
        <v>424</v>
      </c>
      <c r="IA40" t="s">
        <v>425</v>
      </c>
      <c r="IB40" t="s">
        <v>425</v>
      </c>
      <c r="IC40" t="s">
        <v>425</v>
      </c>
      <c r="ID40" t="s">
        <v>425</v>
      </c>
      <c r="IE40">
        <v>0</v>
      </c>
      <c r="IF40">
        <v>100</v>
      </c>
      <c r="IG40">
        <v>100</v>
      </c>
      <c r="IH40">
        <v>-2.4289999999999998</v>
      </c>
      <c r="II40">
        <v>0.50519999999999998</v>
      </c>
      <c r="IJ40">
        <v>-1.5628116505121741</v>
      </c>
      <c r="IK40">
        <v>-2.677719669153116E-3</v>
      </c>
      <c r="IL40">
        <v>1.9353498771248068E-6</v>
      </c>
      <c r="IM40">
        <v>-6.1862177325538213E-10</v>
      </c>
      <c r="IN40">
        <v>-0.1156829650219499</v>
      </c>
      <c r="IO40">
        <v>-1.5299015507423901E-2</v>
      </c>
      <c r="IP40">
        <v>1.742162107778985E-3</v>
      </c>
      <c r="IQ40">
        <v>-1.472690239905804E-5</v>
      </c>
      <c r="IR40">
        <v>3</v>
      </c>
      <c r="IS40">
        <v>2255</v>
      </c>
      <c r="IT40">
        <v>2</v>
      </c>
      <c r="IU40">
        <v>41</v>
      </c>
      <c r="IV40">
        <v>0.5</v>
      </c>
      <c r="IW40">
        <v>0.5</v>
      </c>
      <c r="IX40">
        <v>1.1486799999999999</v>
      </c>
      <c r="IY40">
        <v>2.4841299999999999</v>
      </c>
      <c r="IZ40">
        <v>1.5991200000000001</v>
      </c>
      <c r="JA40">
        <v>2.2741699999999998</v>
      </c>
      <c r="JB40">
        <v>1.5502899999999999</v>
      </c>
      <c r="JC40">
        <v>2.4108900000000002</v>
      </c>
      <c r="JD40">
        <v>34.440800000000003</v>
      </c>
      <c r="JE40">
        <v>15.8657</v>
      </c>
      <c r="JF40">
        <v>18</v>
      </c>
      <c r="JG40">
        <v>506.43099999999998</v>
      </c>
      <c r="JH40">
        <v>520.154</v>
      </c>
      <c r="JI40">
        <v>26.450399999999998</v>
      </c>
      <c r="JJ40">
        <v>28.840900000000001</v>
      </c>
      <c r="JK40">
        <v>29.9998</v>
      </c>
      <c r="JL40">
        <v>28.783200000000001</v>
      </c>
      <c r="JM40">
        <v>28.754000000000001</v>
      </c>
      <c r="JN40">
        <v>23.0243</v>
      </c>
      <c r="JO40">
        <v>26.933800000000002</v>
      </c>
      <c r="JP40">
        <v>100</v>
      </c>
      <c r="JQ40">
        <v>26.611599999999999</v>
      </c>
      <c r="JR40">
        <v>500</v>
      </c>
      <c r="JS40">
        <v>23.298400000000001</v>
      </c>
      <c r="JT40">
        <v>99.488500000000002</v>
      </c>
      <c r="JU40">
        <v>99.238200000000006</v>
      </c>
    </row>
    <row r="41" spans="1:281" x14ac:dyDescent="0.25">
      <c r="A41">
        <v>25</v>
      </c>
      <c r="B41">
        <v>1693499409</v>
      </c>
      <c r="C41">
        <v>5429.4000000953674</v>
      </c>
      <c r="D41" t="s">
        <v>543</v>
      </c>
      <c r="E41" t="s">
        <v>544</v>
      </c>
      <c r="F41" t="s">
        <v>413</v>
      </c>
      <c r="G41" t="s">
        <v>494</v>
      </c>
      <c r="H41" t="s">
        <v>416</v>
      </c>
      <c r="I41" t="s">
        <v>416</v>
      </c>
      <c r="J41">
        <v>1693499409</v>
      </c>
      <c r="K41">
        <f t="shared" si="0"/>
        <v>4.4984198728981999E-3</v>
      </c>
      <c r="L41">
        <f t="shared" si="1"/>
        <v>4.4984198728982001</v>
      </c>
      <c r="M41">
        <f t="shared" si="2"/>
        <v>46.263014918077943</v>
      </c>
      <c r="N41">
        <f t="shared" si="3"/>
        <v>641.09699999999998</v>
      </c>
      <c r="O41">
        <f t="shared" si="4"/>
        <v>388.29777300418624</v>
      </c>
      <c r="P41">
        <f t="shared" si="5"/>
        <v>38.710134058685917</v>
      </c>
      <c r="Q41">
        <f t="shared" si="6"/>
        <v>63.912163653727198</v>
      </c>
      <c r="R41">
        <f t="shared" si="7"/>
        <v>0.32358279980526844</v>
      </c>
      <c r="S41">
        <f t="shared" si="8"/>
        <v>2.9232653627148473</v>
      </c>
      <c r="T41">
        <f t="shared" si="9"/>
        <v>0.30491948930067675</v>
      </c>
      <c r="U41">
        <f t="shared" si="10"/>
        <v>0.19216174213559661</v>
      </c>
      <c r="V41">
        <f t="shared" si="11"/>
        <v>344.34850065820712</v>
      </c>
      <c r="W41">
        <f t="shared" si="12"/>
        <v>31.296167372394578</v>
      </c>
      <c r="X41">
        <f t="shared" si="13"/>
        <v>30.028199999999998</v>
      </c>
      <c r="Y41">
        <f t="shared" si="14"/>
        <v>4.2673556573939511</v>
      </c>
      <c r="Z41">
        <f t="shared" si="15"/>
        <v>65.223346666507879</v>
      </c>
      <c r="AA41">
        <f t="shared" si="16"/>
        <v>2.8491141083059199</v>
      </c>
      <c r="AB41">
        <f t="shared" si="17"/>
        <v>4.3682427442333882</v>
      </c>
      <c r="AC41">
        <f t="shared" si="18"/>
        <v>1.4182415490880311</v>
      </c>
      <c r="AD41">
        <f t="shared" si="19"/>
        <v>-198.38031639481062</v>
      </c>
      <c r="AE41">
        <f t="shared" si="20"/>
        <v>64.221626010633656</v>
      </c>
      <c r="AF41">
        <f t="shared" si="21"/>
        <v>4.8960893708005306</v>
      </c>
      <c r="AG41">
        <f t="shared" si="22"/>
        <v>215.0858996448307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52090.340875653565</v>
      </c>
      <c r="AM41" t="s">
        <v>417</v>
      </c>
      <c r="AN41">
        <v>10238.9</v>
      </c>
      <c r="AO41">
        <v>302.21199999999999</v>
      </c>
      <c r="AP41">
        <v>4052.3</v>
      </c>
      <c r="AQ41">
        <f t="shared" si="26"/>
        <v>0.92542210596451402</v>
      </c>
      <c r="AR41">
        <v>-0.32343011824092421</v>
      </c>
      <c r="AS41" t="s">
        <v>545</v>
      </c>
      <c r="AT41">
        <v>10476.700000000001</v>
      </c>
      <c r="AU41">
        <v>728.47253846153842</v>
      </c>
      <c r="AV41">
        <v>1109.1685027865651</v>
      </c>
      <c r="AW41">
        <f t="shared" si="27"/>
        <v>0.343226446990339</v>
      </c>
      <c r="AX41">
        <v>0.5</v>
      </c>
      <c r="AY41">
        <f t="shared" si="28"/>
        <v>1513.0923003291036</v>
      </c>
      <c r="AZ41">
        <f t="shared" si="29"/>
        <v>46.263014918077943</v>
      </c>
      <c r="BA41">
        <f t="shared" si="30"/>
        <v>259.66664710519859</v>
      </c>
      <c r="BB41">
        <f t="shared" si="31"/>
        <v>3.0788898354836731E-2</v>
      </c>
      <c r="BC41">
        <f t="shared" si="32"/>
        <v>2.6534575132808071</v>
      </c>
      <c r="BD41">
        <f t="shared" si="33"/>
        <v>252.28709092559092</v>
      </c>
      <c r="BE41" t="s">
        <v>546</v>
      </c>
      <c r="BF41">
        <v>570.13</v>
      </c>
      <c r="BG41">
        <f t="shared" si="34"/>
        <v>570.13</v>
      </c>
      <c r="BH41">
        <f t="shared" si="35"/>
        <v>0.48598432197843533</v>
      </c>
      <c r="BI41">
        <f t="shared" si="36"/>
        <v>0.70625004031625749</v>
      </c>
      <c r="BJ41">
        <f t="shared" si="37"/>
        <v>0.84520040584274603</v>
      </c>
      <c r="BK41">
        <f t="shared" si="38"/>
        <v>0.47176763928466459</v>
      </c>
      <c r="BL41">
        <f t="shared" si="39"/>
        <v>0.7848166488928886</v>
      </c>
      <c r="BM41">
        <f t="shared" si="40"/>
        <v>0.55273783736017534</v>
      </c>
      <c r="BN41">
        <f t="shared" si="41"/>
        <v>0.44726216263982466</v>
      </c>
      <c r="BO41">
        <v>5736</v>
      </c>
      <c r="BP41">
        <v>290.00000000000011</v>
      </c>
      <c r="BQ41">
        <v>999.62</v>
      </c>
      <c r="BR41">
        <v>175</v>
      </c>
      <c r="BS41">
        <v>10476.700000000001</v>
      </c>
      <c r="BT41">
        <v>997.32</v>
      </c>
      <c r="BU41">
        <v>2.2999999999999998</v>
      </c>
      <c r="BV41">
        <v>300.00000000000011</v>
      </c>
      <c r="BW41">
        <v>38.299999999999997</v>
      </c>
      <c r="BX41">
        <v>1109.1685027865651</v>
      </c>
      <c r="BY41">
        <v>1.086903599194931</v>
      </c>
      <c r="BZ41">
        <v>-117.18452783433369</v>
      </c>
      <c r="CA41">
        <v>0.93148004193209566</v>
      </c>
      <c r="CB41">
        <v>0.99823397463330965</v>
      </c>
      <c r="CC41">
        <v>-1.1366430923248049E-2</v>
      </c>
      <c r="CD41">
        <v>289.99999999999989</v>
      </c>
      <c r="CE41">
        <v>983.97</v>
      </c>
      <c r="CF41">
        <v>655</v>
      </c>
      <c r="CG41">
        <v>10443.299999999999</v>
      </c>
      <c r="CH41">
        <v>996.96</v>
      </c>
      <c r="CI41">
        <v>-12.99</v>
      </c>
      <c r="CW41">
        <f t="shared" si="42"/>
        <v>1799.89</v>
      </c>
      <c r="CX41">
        <f t="shared" si="43"/>
        <v>1513.0923003291036</v>
      </c>
      <c r="CY41">
        <f t="shared" si="44"/>
        <v>0.84065820707326755</v>
      </c>
      <c r="CZ41">
        <f t="shared" si="45"/>
        <v>0.19131641414653511</v>
      </c>
      <c r="DA41">
        <v>6</v>
      </c>
      <c r="DB41">
        <v>0.5</v>
      </c>
      <c r="DC41" t="s">
        <v>420</v>
      </c>
      <c r="DD41">
        <v>2</v>
      </c>
      <c r="DE41">
        <v>1693499409</v>
      </c>
      <c r="DF41">
        <v>641.09699999999998</v>
      </c>
      <c r="DG41">
        <v>700.01900000000001</v>
      </c>
      <c r="DH41">
        <v>28.5792</v>
      </c>
      <c r="DI41">
        <v>23.340199999999999</v>
      </c>
      <c r="DJ41">
        <v>643.71699999999998</v>
      </c>
      <c r="DK41">
        <v>28.085699999999999</v>
      </c>
      <c r="DL41">
        <v>500.46100000000001</v>
      </c>
      <c r="DM41">
        <v>99.592399999999998</v>
      </c>
      <c r="DN41">
        <v>9.9477599999999999E-2</v>
      </c>
      <c r="DO41">
        <v>30.435700000000001</v>
      </c>
      <c r="DP41">
        <v>30.028199999999998</v>
      </c>
      <c r="DQ41">
        <v>999.9</v>
      </c>
      <c r="DR41">
        <v>0</v>
      </c>
      <c r="DS41">
        <v>0</v>
      </c>
      <c r="DT41">
        <v>10005</v>
      </c>
      <c r="DU41">
        <v>0</v>
      </c>
      <c r="DV41">
        <v>1742.97</v>
      </c>
      <c r="DW41">
        <v>-58.922600000000003</v>
      </c>
      <c r="DX41">
        <v>659.95799999999997</v>
      </c>
      <c r="DY41">
        <v>716.74900000000002</v>
      </c>
      <c r="DZ41">
        <v>5.2389599999999996</v>
      </c>
      <c r="EA41">
        <v>700.01900000000001</v>
      </c>
      <c r="EB41">
        <v>23.340199999999999</v>
      </c>
      <c r="EC41">
        <v>2.8462700000000001</v>
      </c>
      <c r="ED41">
        <v>2.3245100000000001</v>
      </c>
      <c r="EE41">
        <v>23.154900000000001</v>
      </c>
      <c r="EF41">
        <v>19.847300000000001</v>
      </c>
      <c r="EG41">
        <v>1799.89</v>
      </c>
      <c r="EH41">
        <v>0.97799899999999995</v>
      </c>
      <c r="EI41">
        <v>2.2000700000000002E-2</v>
      </c>
      <c r="EJ41">
        <v>0</v>
      </c>
      <c r="EK41">
        <v>728.51</v>
      </c>
      <c r="EL41">
        <v>4.9995000000000003</v>
      </c>
      <c r="EM41">
        <v>14328.4</v>
      </c>
      <c r="EN41">
        <v>16658.8</v>
      </c>
      <c r="EO41">
        <v>48.436999999999998</v>
      </c>
      <c r="EP41">
        <v>50.061999999999998</v>
      </c>
      <c r="EQ41">
        <v>49.436999999999998</v>
      </c>
      <c r="ER41">
        <v>48.686999999999998</v>
      </c>
      <c r="ES41">
        <v>49.75</v>
      </c>
      <c r="ET41">
        <v>1755.4</v>
      </c>
      <c r="EU41">
        <v>39.49</v>
      </c>
      <c r="EV41">
        <v>0</v>
      </c>
      <c r="EW41">
        <v>114.19999980926509</v>
      </c>
      <c r="EX41">
        <v>0</v>
      </c>
      <c r="EY41">
        <v>728.47253846153842</v>
      </c>
      <c r="EZ41">
        <v>3.888615402578897</v>
      </c>
      <c r="FA41">
        <v>51.312820603011673</v>
      </c>
      <c r="FB41">
        <v>14323.35</v>
      </c>
      <c r="FC41">
        <v>15</v>
      </c>
      <c r="FD41">
        <v>1693499377.5</v>
      </c>
      <c r="FE41" t="s">
        <v>547</v>
      </c>
      <c r="FF41">
        <v>1693499377.5</v>
      </c>
      <c r="FG41">
        <v>1693499362.5</v>
      </c>
      <c r="FH41">
        <v>30</v>
      </c>
      <c r="FI41">
        <v>2.9000000000000001E-2</v>
      </c>
      <c r="FJ41">
        <v>-8.9999999999999993E-3</v>
      </c>
      <c r="FK41">
        <v>-2.6739999999999999</v>
      </c>
      <c r="FL41">
        <v>0.253</v>
      </c>
      <c r="FM41">
        <v>700</v>
      </c>
      <c r="FN41">
        <v>23</v>
      </c>
      <c r="FO41">
        <v>0.1</v>
      </c>
      <c r="FP41">
        <v>0.03</v>
      </c>
      <c r="FQ41">
        <v>46.269465070936533</v>
      </c>
      <c r="FR41">
        <v>0.15276731395673271</v>
      </c>
      <c r="FS41">
        <v>8.8310303575882987E-2</v>
      </c>
      <c r="FT41">
        <v>1</v>
      </c>
      <c r="FU41">
        <v>0.32573903488359068</v>
      </c>
      <c r="FV41">
        <v>2.7170425367357191E-2</v>
      </c>
      <c r="FW41">
        <v>2.6118783230774691E-3</v>
      </c>
      <c r="FX41">
        <v>1</v>
      </c>
      <c r="FY41">
        <v>2</v>
      </c>
      <c r="FZ41">
        <v>2</v>
      </c>
      <c r="GA41" t="s">
        <v>422</v>
      </c>
      <c r="GB41">
        <v>2.9735800000000001</v>
      </c>
      <c r="GC41">
        <v>2.8112200000000001</v>
      </c>
      <c r="GD41">
        <v>0.138706</v>
      </c>
      <c r="GE41">
        <v>0.14538999999999999</v>
      </c>
      <c r="GF41">
        <v>0.135601</v>
      </c>
      <c r="GG41">
        <v>0.11747199999999999</v>
      </c>
      <c r="GH41">
        <v>25535.4</v>
      </c>
      <c r="GI41">
        <v>23391.9</v>
      </c>
      <c r="GJ41">
        <v>26637.7</v>
      </c>
      <c r="GK41">
        <v>25811.8</v>
      </c>
      <c r="GL41">
        <v>31315</v>
      </c>
      <c r="GM41">
        <v>32102.7</v>
      </c>
      <c r="GN41">
        <v>37729.4</v>
      </c>
      <c r="GO41">
        <v>38205.300000000003</v>
      </c>
      <c r="GP41">
        <v>2.0042</v>
      </c>
      <c r="GQ41">
        <v>2.0752999999999999</v>
      </c>
      <c r="GR41">
        <v>4.0531200000000003E-2</v>
      </c>
      <c r="GS41">
        <v>0</v>
      </c>
      <c r="GT41">
        <v>29.368300000000001</v>
      </c>
      <c r="GU41">
        <v>999.9</v>
      </c>
      <c r="GV41">
        <v>59.8</v>
      </c>
      <c r="GW41">
        <v>31.4</v>
      </c>
      <c r="GX41">
        <v>27.711400000000001</v>
      </c>
      <c r="GY41">
        <v>61.518900000000002</v>
      </c>
      <c r="GZ41">
        <v>12.964700000000001</v>
      </c>
      <c r="HA41">
        <v>1</v>
      </c>
      <c r="HB41">
        <v>0.100732</v>
      </c>
      <c r="HC41">
        <v>1.6321099999999999</v>
      </c>
      <c r="HD41">
        <v>20.2987</v>
      </c>
      <c r="HE41">
        <v>5.20411</v>
      </c>
      <c r="HF41">
        <v>11.9321</v>
      </c>
      <c r="HG41">
        <v>4.9878</v>
      </c>
      <c r="HH41">
        <v>3.2900999999999998</v>
      </c>
      <c r="HI41">
        <v>9999</v>
      </c>
      <c r="HJ41">
        <v>9999</v>
      </c>
      <c r="HK41">
        <v>9999</v>
      </c>
      <c r="HL41">
        <v>999.9</v>
      </c>
      <c r="HM41">
        <v>1.8696600000000001</v>
      </c>
      <c r="HN41">
        <v>1.87601</v>
      </c>
      <c r="HO41">
        <v>1.87378</v>
      </c>
      <c r="HP41">
        <v>1.8720399999999999</v>
      </c>
      <c r="HQ41">
        <v>1.8724099999999999</v>
      </c>
      <c r="HR41">
        <v>1.86988</v>
      </c>
      <c r="HS41">
        <v>1.87581</v>
      </c>
      <c r="HT41">
        <v>1.8748499999999999</v>
      </c>
      <c r="HU41">
        <v>5</v>
      </c>
      <c r="HV41">
        <v>0</v>
      </c>
      <c r="HW41">
        <v>0</v>
      </c>
      <c r="HX41">
        <v>0</v>
      </c>
      <c r="HY41" t="s">
        <v>423</v>
      </c>
      <c r="HZ41" t="s">
        <v>424</v>
      </c>
      <c r="IA41" t="s">
        <v>425</v>
      </c>
      <c r="IB41" t="s">
        <v>425</v>
      </c>
      <c r="IC41" t="s">
        <v>425</v>
      </c>
      <c r="ID41" t="s">
        <v>425</v>
      </c>
      <c r="IE41">
        <v>0</v>
      </c>
      <c r="IF41">
        <v>100</v>
      </c>
      <c r="IG41">
        <v>100</v>
      </c>
      <c r="IH41">
        <v>-2.62</v>
      </c>
      <c r="II41">
        <v>0.49349999999999999</v>
      </c>
      <c r="IJ41">
        <v>-1.533304321174183</v>
      </c>
      <c r="IK41">
        <v>-2.677719669153116E-3</v>
      </c>
      <c r="IL41">
        <v>1.9353498771248068E-6</v>
      </c>
      <c r="IM41">
        <v>-6.1862177325538213E-10</v>
      </c>
      <c r="IN41">
        <v>-0.1247991284155136</v>
      </c>
      <c r="IO41">
        <v>-1.5299015507423901E-2</v>
      </c>
      <c r="IP41">
        <v>1.742162107778985E-3</v>
      </c>
      <c r="IQ41">
        <v>-1.472690239905804E-5</v>
      </c>
      <c r="IR41">
        <v>3</v>
      </c>
      <c r="IS41">
        <v>2255</v>
      </c>
      <c r="IT41">
        <v>2</v>
      </c>
      <c r="IU41">
        <v>41</v>
      </c>
      <c r="IV41">
        <v>0.5</v>
      </c>
      <c r="IW41">
        <v>0.8</v>
      </c>
      <c r="IX41">
        <v>1.5075700000000001</v>
      </c>
      <c r="IY41">
        <v>2.48291</v>
      </c>
      <c r="IZ41">
        <v>1.6003400000000001</v>
      </c>
      <c r="JA41">
        <v>2.2741699999999998</v>
      </c>
      <c r="JB41">
        <v>1.5502899999999999</v>
      </c>
      <c r="JC41">
        <v>2.2692899999999998</v>
      </c>
      <c r="JD41">
        <v>34.395200000000003</v>
      </c>
      <c r="JE41">
        <v>15.8307</v>
      </c>
      <c r="JF41">
        <v>18</v>
      </c>
      <c r="JG41">
        <v>506.245</v>
      </c>
      <c r="JH41">
        <v>521.66200000000003</v>
      </c>
      <c r="JI41">
        <v>26.168500000000002</v>
      </c>
      <c r="JJ41">
        <v>28.884899999999998</v>
      </c>
      <c r="JK41">
        <v>30.0001</v>
      </c>
      <c r="JL41">
        <v>28.828399999999998</v>
      </c>
      <c r="JM41">
        <v>28.8005</v>
      </c>
      <c r="JN41">
        <v>30.1754</v>
      </c>
      <c r="JO41">
        <v>26.070499999999999</v>
      </c>
      <c r="JP41">
        <v>100</v>
      </c>
      <c r="JQ41">
        <v>26.180399999999999</v>
      </c>
      <c r="JR41">
        <v>700</v>
      </c>
      <c r="JS41">
        <v>23.456299999999999</v>
      </c>
      <c r="JT41">
        <v>99.485500000000002</v>
      </c>
      <c r="JU41">
        <v>99.2286</v>
      </c>
    </row>
    <row r="42" spans="1:281" x14ac:dyDescent="0.25">
      <c r="A42">
        <v>26</v>
      </c>
      <c r="B42">
        <v>1693499508.5</v>
      </c>
      <c r="C42">
        <v>5528.9000000953674</v>
      </c>
      <c r="D42" t="s">
        <v>548</v>
      </c>
      <c r="E42" t="s">
        <v>549</v>
      </c>
      <c r="F42" t="s">
        <v>413</v>
      </c>
      <c r="G42" t="s">
        <v>494</v>
      </c>
      <c r="H42" t="s">
        <v>416</v>
      </c>
      <c r="I42" t="s">
        <v>416</v>
      </c>
      <c r="J42">
        <v>1693499508.5</v>
      </c>
      <c r="K42">
        <f t="shared" si="0"/>
        <v>4.3110244749622259E-3</v>
      </c>
      <c r="L42">
        <f t="shared" si="1"/>
        <v>4.3110244749622257</v>
      </c>
      <c r="M42">
        <f t="shared" si="2"/>
        <v>46.44884078357024</v>
      </c>
      <c r="N42">
        <f t="shared" si="3"/>
        <v>839.97799999999995</v>
      </c>
      <c r="O42">
        <f t="shared" si="4"/>
        <v>568.96660953819685</v>
      </c>
      <c r="P42">
        <f t="shared" si="5"/>
        <v>56.723062868823554</v>
      </c>
      <c r="Q42">
        <f t="shared" si="6"/>
        <v>83.7415133044464</v>
      </c>
      <c r="R42">
        <f t="shared" si="7"/>
        <v>0.30667881128034669</v>
      </c>
      <c r="S42">
        <f t="shared" si="8"/>
        <v>2.9233111063235713</v>
      </c>
      <c r="T42">
        <f t="shared" si="9"/>
        <v>0.28986035968266294</v>
      </c>
      <c r="U42">
        <f t="shared" si="10"/>
        <v>0.18259689397939716</v>
      </c>
      <c r="V42">
        <f t="shared" si="11"/>
        <v>344.37128749496878</v>
      </c>
      <c r="W42">
        <f t="shared" si="12"/>
        <v>31.265255616861143</v>
      </c>
      <c r="X42">
        <f t="shared" si="13"/>
        <v>30.011900000000001</v>
      </c>
      <c r="Y42">
        <f t="shared" si="14"/>
        <v>4.2633627691789329</v>
      </c>
      <c r="Z42">
        <f t="shared" si="15"/>
        <v>65.160701212415447</v>
      </c>
      <c r="AA42">
        <f t="shared" si="16"/>
        <v>2.83339852611816</v>
      </c>
      <c r="AB42">
        <f t="shared" si="17"/>
        <v>4.3483241791423444</v>
      </c>
      <c r="AC42">
        <f t="shared" si="18"/>
        <v>1.4299642430607729</v>
      </c>
      <c r="AD42">
        <f t="shared" si="19"/>
        <v>-190.11617934583415</v>
      </c>
      <c r="AE42">
        <f t="shared" si="20"/>
        <v>54.214932637255664</v>
      </c>
      <c r="AF42">
        <f t="shared" si="21"/>
        <v>4.1311754439205624</v>
      </c>
      <c r="AG42">
        <f t="shared" si="22"/>
        <v>212.60121623031083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52105.403872340205</v>
      </c>
      <c r="AM42" t="s">
        <v>417</v>
      </c>
      <c r="AN42">
        <v>10238.9</v>
      </c>
      <c r="AO42">
        <v>302.21199999999999</v>
      </c>
      <c r="AP42">
        <v>4052.3</v>
      </c>
      <c r="AQ42">
        <f t="shared" si="26"/>
        <v>0.92542210596451402</v>
      </c>
      <c r="AR42">
        <v>-0.32343011824092421</v>
      </c>
      <c r="AS42" t="s">
        <v>550</v>
      </c>
      <c r="AT42">
        <v>10478</v>
      </c>
      <c r="AU42">
        <v>730.66063999999994</v>
      </c>
      <c r="AV42">
        <v>1120.9133726317691</v>
      </c>
      <c r="AW42">
        <f t="shared" si="27"/>
        <v>0.34815601469318092</v>
      </c>
      <c r="AX42">
        <v>0.5</v>
      </c>
      <c r="AY42">
        <f t="shared" si="28"/>
        <v>1513.1930937474842</v>
      </c>
      <c r="AZ42">
        <f t="shared" si="29"/>
        <v>46.44884078357024</v>
      </c>
      <c r="BA42">
        <f t="shared" si="30"/>
        <v>263.4136384901845</v>
      </c>
      <c r="BB42">
        <f t="shared" si="31"/>
        <v>3.0909651316196357E-2</v>
      </c>
      <c r="BC42">
        <f t="shared" si="32"/>
        <v>2.6151767825605376</v>
      </c>
      <c r="BD42">
        <f t="shared" si="33"/>
        <v>252.88979616241599</v>
      </c>
      <c r="BE42" t="s">
        <v>551</v>
      </c>
      <c r="BF42">
        <v>570.89</v>
      </c>
      <c r="BG42">
        <f t="shared" si="34"/>
        <v>570.89</v>
      </c>
      <c r="BH42">
        <f t="shared" si="35"/>
        <v>0.49069213202477968</v>
      </c>
      <c r="BI42">
        <f t="shared" si="36"/>
        <v>0.70952027141042318</v>
      </c>
      <c r="BJ42">
        <f t="shared" si="37"/>
        <v>0.84201131937009166</v>
      </c>
      <c r="BK42">
        <f t="shared" si="38"/>
        <v>0.47667286959257954</v>
      </c>
      <c r="BL42">
        <f t="shared" si="39"/>
        <v>0.78168475709589502</v>
      </c>
      <c r="BM42">
        <f t="shared" si="40"/>
        <v>0.55437231126271769</v>
      </c>
      <c r="BN42">
        <f t="shared" si="41"/>
        <v>0.44562768873728231</v>
      </c>
      <c r="BO42">
        <v>5738</v>
      </c>
      <c r="BP42">
        <v>290.00000000000011</v>
      </c>
      <c r="BQ42">
        <v>1008.27</v>
      </c>
      <c r="BR42">
        <v>165</v>
      </c>
      <c r="BS42">
        <v>10478</v>
      </c>
      <c r="BT42">
        <v>1006.74</v>
      </c>
      <c r="BU42">
        <v>1.53</v>
      </c>
      <c r="BV42">
        <v>300.00000000000011</v>
      </c>
      <c r="BW42">
        <v>38.299999999999997</v>
      </c>
      <c r="BX42">
        <v>1120.9133726317691</v>
      </c>
      <c r="BY42">
        <v>1.4946206937638919</v>
      </c>
      <c r="BZ42">
        <v>-119.63320853493791</v>
      </c>
      <c r="CA42">
        <v>1.2807860238483579</v>
      </c>
      <c r="CB42">
        <v>0.99680098594065425</v>
      </c>
      <c r="CC42">
        <v>-1.1365688987764201E-2</v>
      </c>
      <c r="CD42">
        <v>289.99999999999989</v>
      </c>
      <c r="CE42">
        <v>993.49</v>
      </c>
      <c r="CF42">
        <v>645</v>
      </c>
      <c r="CG42">
        <v>10443.5</v>
      </c>
      <c r="CH42">
        <v>1006.36</v>
      </c>
      <c r="CI42">
        <v>-12.87</v>
      </c>
      <c r="CW42">
        <f t="shared" si="42"/>
        <v>1800.01</v>
      </c>
      <c r="CX42">
        <f t="shared" si="43"/>
        <v>1513.1930937474842</v>
      </c>
      <c r="CY42">
        <f t="shared" si="44"/>
        <v>0.84065815953660494</v>
      </c>
      <c r="CZ42">
        <f t="shared" si="45"/>
        <v>0.19131631907321003</v>
      </c>
      <c r="DA42">
        <v>6</v>
      </c>
      <c r="DB42">
        <v>0.5</v>
      </c>
      <c r="DC42" t="s">
        <v>420</v>
      </c>
      <c r="DD42">
        <v>2</v>
      </c>
      <c r="DE42">
        <v>1693499508.5</v>
      </c>
      <c r="DF42">
        <v>839.97799999999995</v>
      </c>
      <c r="DG42">
        <v>900.05600000000004</v>
      </c>
      <c r="DH42">
        <v>28.4207</v>
      </c>
      <c r="DI42">
        <v>23.395</v>
      </c>
      <c r="DJ42">
        <v>842.72299999999996</v>
      </c>
      <c r="DK42">
        <v>27.929400000000001</v>
      </c>
      <c r="DL42">
        <v>500.05</v>
      </c>
      <c r="DM42">
        <v>99.594999999999999</v>
      </c>
      <c r="DN42">
        <v>9.98888E-2</v>
      </c>
      <c r="DO42">
        <v>30.355899999999998</v>
      </c>
      <c r="DP42">
        <v>30.011900000000001</v>
      </c>
      <c r="DQ42">
        <v>999.9</v>
      </c>
      <c r="DR42">
        <v>0</v>
      </c>
      <c r="DS42">
        <v>0</v>
      </c>
      <c r="DT42">
        <v>10005</v>
      </c>
      <c r="DU42">
        <v>0</v>
      </c>
      <c r="DV42">
        <v>1749.32</v>
      </c>
      <c r="DW42">
        <v>-60.0777</v>
      </c>
      <c r="DX42">
        <v>864.54899999999998</v>
      </c>
      <c r="DY42">
        <v>921.61699999999996</v>
      </c>
      <c r="DZ42">
        <v>5.0256800000000004</v>
      </c>
      <c r="EA42">
        <v>900.05600000000004</v>
      </c>
      <c r="EB42">
        <v>23.395</v>
      </c>
      <c r="EC42">
        <v>2.8305600000000002</v>
      </c>
      <c r="ED42">
        <v>2.3300299999999998</v>
      </c>
      <c r="EE42">
        <v>23.063400000000001</v>
      </c>
      <c r="EF42">
        <v>19.8855</v>
      </c>
      <c r="EG42">
        <v>1800.01</v>
      </c>
      <c r="EH42">
        <v>0.97800299999999996</v>
      </c>
      <c r="EI42">
        <v>2.1997099999999999E-2</v>
      </c>
      <c r="EJ42">
        <v>0</v>
      </c>
      <c r="EK42">
        <v>730.18299999999999</v>
      </c>
      <c r="EL42">
        <v>4.9995000000000003</v>
      </c>
      <c r="EM42">
        <v>14365.2</v>
      </c>
      <c r="EN42">
        <v>16659.900000000001</v>
      </c>
      <c r="EO42">
        <v>48.5</v>
      </c>
      <c r="EP42">
        <v>50.186999999999998</v>
      </c>
      <c r="EQ42">
        <v>49.5</v>
      </c>
      <c r="ER42">
        <v>48.811999999999998</v>
      </c>
      <c r="ES42">
        <v>49.811999999999998</v>
      </c>
      <c r="ET42">
        <v>1755.53</v>
      </c>
      <c r="EU42">
        <v>39.49</v>
      </c>
      <c r="EV42">
        <v>0</v>
      </c>
      <c r="EW42">
        <v>97.799999952316284</v>
      </c>
      <c r="EX42">
        <v>0</v>
      </c>
      <c r="EY42">
        <v>730.66063999999994</v>
      </c>
      <c r="EZ42">
        <v>-1.0288461564139</v>
      </c>
      <c r="FA42">
        <v>-17.47692313864124</v>
      </c>
      <c r="FB42">
        <v>14367.784</v>
      </c>
      <c r="FC42">
        <v>15</v>
      </c>
      <c r="FD42">
        <v>1693499479</v>
      </c>
      <c r="FE42" t="s">
        <v>552</v>
      </c>
      <c r="FF42">
        <v>1693499479</v>
      </c>
      <c r="FG42">
        <v>1693499477.5</v>
      </c>
      <c r="FH42">
        <v>31</v>
      </c>
      <c r="FI42">
        <v>0.04</v>
      </c>
      <c r="FJ42">
        <v>5.0000000000000001E-3</v>
      </c>
      <c r="FK42">
        <v>-2.7879999999999998</v>
      </c>
      <c r="FL42">
        <v>0.27100000000000002</v>
      </c>
      <c r="FM42">
        <v>900</v>
      </c>
      <c r="FN42">
        <v>23</v>
      </c>
      <c r="FO42">
        <v>0.1</v>
      </c>
      <c r="FP42">
        <v>0.04</v>
      </c>
      <c r="FQ42">
        <v>46.472688933644982</v>
      </c>
      <c r="FR42">
        <v>-0.4684962846299609</v>
      </c>
      <c r="FS42">
        <v>0.11391158579552139</v>
      </c>
      <c r="FT42">
        <v>1</v>
      </c>
      <c r="FU42">
        <v>0.31107715311627138</v>
      </c>
      <c r="FV42">
        <v>9.9018548796224789E-3</v>
      </c>
      <c r="FW42">
        <v>4.8216084784298303E-3</v>
      </c>
      <c r="FX42">
        <v>1</v>
      </c>
      <c r="FY42">
        <v>2</v>
      </c>
      <c r="FZ42">
        <v>2</v>
      </c>
      <c r="GA42" t="s">
        <v>422</v>
      </c>
      <c r="GB42">
        <v>2.9724599999999999</v>
      </c>
      <c r="GC42">
        <v>2.8116300000000001</v>
      </c>
      <c r="GD42">
        <v>0.16664399999999999</v>
      </c>
      <c r="GE42">
        <v>0.17216400000000001</v>
      </c>
      <c r="GF42">
        <v>0.13505800000000001</v>
      </c>
      <c r="GG42">
        <v>0.11765100000000001</v>
      </c>
      <c r="GH42">
        <v>24705.3</v>
      </c>
      <c r="GI42">
        <v>22654.6</v>
      </c>
      <c r="GJ42">
        <v>26636.1</v>
      </c>
      <c r="GK42">
        <v>25807.200000000001</v>
      </c>
      <c r="GL42">
        <v>31335.200000000001</v>
      </c>
      <c r="GM42">
        <v>32092.1</v>
      </c>
      <c r="GN42">
        <v>37726.300000000003</v>
      </c>
      <c r="GO42">
        <v>38198.1</v>
      </c>
      <c r="GP42">
        <v>2.0030000000000001</v>
      </c>
      <c r="GQ42">
        <v>2.0750000000000002</v>
      </c>
      <c r="GR42">
        <v>3.8445E-2</v>
      </c>
      <c r="GS42">
        <v>0</v>
      </c>
      <c r="GT42">
        <v>29.385999999999999</v>
      </c>
      <c r="GU42">
        <v>999.9</v>
      </c>
      <c r="GV42">
        <v>60</v>
      </c>
      <c r="GW42">
        <v>31.3</v>
      </c>
      <c r="GX42">
        <v>27.647600000000001</v>
      </c>
      <c r="GY42">
        <v>61.369</v>
      </c>
      <c r="GZ42">
        <v>12.972799999999999</v>
      </c>
      <c r="HA42">
        <v>1</v>
      </c>
      <c r="HB42">
        <v>0.106585</v>
      </c>
      <c r="HC42">
        <v>1.8703700000000001</v>
      </c>
      <c r="HD42">
        <v>20.296700000000001</v>
      </c>
      <c r="HE42">
        <v>5.2065099999999997</v>
      </c>
      <c r="HF42">
        <v>11.9321</v>
      </c>
      <c r="HG42">
        <v>4.9885999999999999</v>
      </c>
      <c r="HH42">
        <v>3.2909999999999999</v>
      </c>
      <c r="HI42">
        <v>9999</v>
      </c>
      <c r="HJ42">
        <v>9999</v>
      </c>
      <c r="HK42">
        <v>9999</v>
      </c>
      <c r="HL42">
        <v>999.9</v>
      </c>
      <c r="HM42">
        <v>1.8696600000000001</v>
      </c>
      <c r="HN42">
        <v>1.8759699999999999</v>
      </c>
      <c r="HO42">
        <v>1.87378</v>
      </c>
      <c r="HP42">
        <v>1.8720600000000001</v>
      </c>
      <c r="HQ42">
        <v>1.8724400000000001</v>
      </c>
      <c r="HR42">
        <v>1.8699300000000001</v>
      </c>
      <c r="HS42">
        <v>1.87584</v>
      </c>
      <c r="HT42">
        <v>1.8748499999999999</v>
      </c>
      <c r="HU42">
        <v>5</v>
      </c>
      <c r="HV42">
        <v>0</v>
      </c>
      <c r="HW42">
        <v>0</v>
      </c>
      <c r="HX42">
        <v>0</v>
      </c>
      <c r="HY42" t="s">
        <v>423</v>
      </c>
      <c r="HZ42" t="s">
        <v>424</v>
      </c>
      <c r="IA42" t="s">
        <v>425</v>
      </c>
      <c r="IB42" t="s">
        <v>425</v>
      </c>
      <c r="IC42" t="s">
        <v>425</v>
      </c>
      <c r="ID42" t="s">
        <v>425</v>
      </c>
      <c r="IE42">
        <v>0</v>
      </c>
      <c r="IF42">
        <v>100</v>
      </c>
      <c r="IG42">
        <v>100</v>
      </c>
      <c r="IH42">
        <v>-2.7450000000000001</v>
      </c>
      <c r="II42">
        <v>0.49130000000000001</v>
      </c>
      <c r="IJ42">
        <v>-1.4928242452548519</v>
      </c>
      <c r="IK42">
        <v>-2.677719669153116E-3</v>
      </c>
      <c r="IL42">
        <v>1.9353498771248068E-6</v>
      </c>
      <c r="IM42">
        <v>-6.1862177325538213E-10</v>
      </c>
      <c r="IN42">
        <v>-0.11957497186099481</v>
      </c>
      <c r="IO42">
        <v>-1.5299015507423901E-2</v>
      </c>
      <c r="IP42">
        <v>1.742162107778985E-3</v>
      </c>
      <c r="IQ42">
        <v>-1.472690239905804E-5</v>
      </c>
      <c r="IR42">
        <v>3</v>
      </c>
      <c r="IS42">
        <v>2255</v>
      </c>
      <c r="IT42">
        <v>2</v>
      </c>
      <c r="IU42">
        <v>41</v>
      </c>
      <c r="IV42">
        <v>0.5</v>
      </c>
      <c r="IW42">
        <v>0.5</v>
      </c>
      <c r="IX42">
        <v>1.85059</v>
      </c>
      <c r="IY42">
        <v>2.4719199999999999</v>
      </c>
      <c r="IZ42">
        <v>1.5991200000000001</v>
      </c>
      <c r="JA42">
        <v>2.2753899999999998</v>
      </c>
      <c r="JB42">
        <v>1.5502899999999999</v>
      </c>
      <c r="JC42">
        <v>2.3925800000000002</v>
      </c>
      <c r="JD42">
        <v>34.326900000000002</v>
      </c>
      <c r="JE42">
        <v>15.821899999999999</v>
      </c>
      <c r="JF42">
        <v>18</v>
      </c>
      <c r="JG42">
        <v>506.00200000000001</v>
      </c>
      <c r="JH42">
        <v>522.01400000000001</v>
      </c>
      <c r="JI42">
        <v>25.8748</v>
      </c>
      <c r="JJ42">
        <v>28.949300000000001</v>
      </c>
      <c r="JK42">
        <v>30.000499999999999</v>
      </c>
      <c r="JL42">
        <v>28.889099999999999</v>
      </c>
      <c r="JM42">
        <v>28.861000000000001</v>
      </c>
      <c r="JN42">
        <v>37.058900000000001</v>
      </c>
      <c r="JO42">
        <v>26.1935</v>
      </c>
      <c r="JP42">
        <v>100</v>
      </c>
      <c r="JQ42">
        <v>25.8705</v>
      </c>
      <c r="JR42">
        <v>900</v>
      </c>
      <c r="JS42">
        <v>23.4114</v>
      </c>
      <c r="JT42">
        <v>99.478200000000001</v>
      </c>
      <c r="JU42">
        <v>99.2102</v>
      </c>
    </row>
    <row r="43" spans="1:281" x14ac:dyDescent="0.25">
      <c r="A43">
        <v>27</v>
      </c>
      <c r="B43">
        <v>1693499614</v>
      </c>
      <c r="C43">
        <v>5634.4000000953674</v>
      </c>
      <c r="D43" t="s">
        <v>553</v>
      </c>
      <c r="E43" t="s">
        <v>554</v>
      </c>
      <c r="F43" t="s">
        <v>413</v>
      </c>
      <c r="G43" t="s">
        <v>494</v>
      </c>
      <c r="H43" t="s">
        <v>416</v>
      </c>
      <c r="I43" t="s">
        <v>416</v>
      </c>
      <c r="J43">
        <v>1693499614</v>
      </c>
      <c r="K43">
        <f t="shared" si="0"/>
        <v>4.0449611033742403E-3</v>
      </c>
      <c r="L43">
        <f t="shared" si="1"/>
        <v>4.0449611033742405</v>
      </c>
      <c r="M43">
        <f t="shared" si="2"/>
        <v>45.78395838281822</v>
      </c>
      <c r="N43">
        <f t="shared" si="3"/>
        <v>1139.76</v>
      </c>
      <c r="O43">
        <f t="shared" si="4"/>
        <v>849.84360894337772</v>
      </c>
      <c r="P43">
        <f t="shared" si="5"/>
        <v>84.724188072208634</v>
      </c>
      <c r="Q43">
        <f t="shared" si="6"/>
        <v>113.62707159407999</v>
      </c>
      <c r="R43">
        <f t="shared" si="7"/>
        <v>0.28772411573734191</v>
      </c>
      <c r="S43">
        <f t="shared" si="8"/>
        <v>2.9189079256593096</v>
      </c>
      <c r="T43">
        <f t="shared" si="9"/>
        <v>0.27284514241028968</v>
      </c>
      <c r="U43">
        <f t="shared" si="10"/>
        <v>0.17180088647607708</v>
      </c>
      <c r="V43">
        <f t="shared" si="11"/>
        <v>344.39920065794172</v>
      </c>
      <c r="W43">
        <f t="shared" si="12"/>
        <v>31.174772673705856</v>
      </c>
      <c r="X43">
        <f t="shared" si="13"/>
        <v>29.951699999999999</v>
      </c>
      <c r="Y43">
        <f t="shared" si="14"/>
        <v>4.2486442331081626</v>
      </c>
      <c r="Z43">
        <f t="shared" si="15"/>
        <v>65.526727885795523</v>
      </c>
      <c r="AA43">
        <f t="shared" si="16"/>
        <v>2.8230907933008003</v>
      </c>
      <c r="AB43">
        <f t="shared" si="17"/>
        <v>4.3083042361295325</v>
      </c>
      <c r="AC43">
        <f t="shared" si="18"/>
        <v>1.4255534398073624</v>
      </c>
      <c r="AD43">
        <f t="shared" si="19"/>
        <v>-178.38278465880398</v>
      </c>
      <c r="AE43">
        <f t="shared" si="20"/>
        <v>38.223755457010711</v>
      </c>
      <c r="AF43">
        <f t="shared" si="21"/>
        <v>2.9138461957339477</v>
      </c>
      <c r="AG43">
        <f t="shared" si="22"/>
        <v>207.15401765188238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52007.524190509568</v>
      </c>
      <c r="AM43" t="s">
        <v>417</v>
      </c>
      <c r="AN43">
        <v>10238.9</v>
      </c>
      <c r="AO43">
        <v>302.21199999999999</v>
      </c>
      <c r="AP43">
        <v>4052.3</v>
      </c>
      <c r="AQ43">
        <f t="shared" si="26"/>
        <v>0.92542210596451402</v>
      </c>
      <c r="AR43">
        <v>-0.32343011824092421</v>
      </c>
      <c r="AS43" t="s">
        <v>555</v>
      </c>
      <c r="AT43">
        <v>10479.299999999999</v>
      </c>
      <c r="AU43">
        <v>728.91039999999998</v>
      </c>
      <c r="AV43">
        <v>1122.8156652910211</v>
      </c>
      <c r="AW43">
        <f t="shared" si="27"/>
        <v>0.35081917492567705</v>
      </c>
      <c r="AX43">
        <v>0.5</v>
      </c>
      <c r="AY43">
        <f t="shared" si="28"/>
        <v>1513.3188003289708</v>
      </c>
      <c r="AZ43">
        <f t="shared" si="29"/>
        <v>45.78395838281822</v>
      </c>
      <c r="BA43">
        <f t="shared" si="30"/>
        <v>265.45062646546251</v>
      </c>
      <c r="BB43">
        <f t="shared" si="31"/>
        <v>3.0467729926461063E-2</v>
      </c>
      <c r="BC43">
        <f t="shared" si="32"/>
        <v>2.6090518909439067</v>
      </c>
      <c r="BD43">
        <f t="shared" si="33"/>
        <v>252.98649593764037</v>
      </c>
      <c r="BE43" t="s">
        <v>556</v>
      </c>
      <c r="BF43">
        <v>572.07000000000005</v>
      </c>
      <c r="BG43">
        <f t="shared" si="34"/>
        <v>572.07000000000005</v>
      </c>
      <c r="BH43">
        <f t="shared" si="35"/>
        <v>0.4905040803365297</v>
      </c>
      <c r="BI43">
        <f t="shared" si="36"/>
        <v>0.71522172595380584</v>
      </c>
      <c r="BJ43">
        <f t="shared" si="37"/>
        <v>0.84175021039097386</v>
      </c>
      <c r="BK43">
        <f t="shared" si="38"/>
        <v>0.48001889578609852</v>
      </c>
      <c r="BL43">
        <f t="shared" si="39"/>
        <v>0.78117749095727329</v>
      </c>
      <c r="BM43">
        <f t="shared" si="40"/>
        <v>0.56132673201863192</v>
      </c>
      <c r="BN43">
        <f t="shared" si="41"/>
        <v>0.43867326798136808</v>
      </c>
      <c r="BO43">
        <v>5740</v>
      </c>
      <c r="BP43">
        <v>290.00000000000011</v>
      </c>
      <c r="BQ43">
        <v>1010.11</v>
      </c>
      <c r="BR43">
        <v>155</v>
      </c>
      <c r="BS43">
        <v>10479.299999999999</v>
      </c>
      <c r="BT43">
        <v>1008.84</v>
      </c>
      <c r="BU43">
        <v>1.27</v>
      </c>
      <c r="BV43">
        <v>300.00000000000011</v>
      </c>
      <c r="BW43">
        <v>38.299999999999997</v>
      </c>
      <c r="BX43">
        <v>1122.8156652910211</v>
      </c>
      <c r="BY43">
        <v>1.442156989013053</v>
      </c>
      <c r="BZ43">
        <v>-119.43493534196109</v>
      </c>
      <c r="CA43">
        <v>1.2357049998920191</v>
      </c>
      <c r="CB43">
        <v>0.99701169354027397</v>
      </c>
      <c r="CC43">
        <v>-1.136457908787541E-2</v>
      </c>
      <c r="CD43">
        <v>289.99999999999989</v>
      </c>
      <c r="CE43">
        <v>994.57</v>
      </c>
      <c r="CF43">
        <v>635</v>
      </c>
      <c r="CG43">
        <v>10443.6</v>
      </c>
      <c r="CH43">
        <v>1008.45</v>
      </c>
      <c r="CI43">
        <v>-13.88</v>
      </c>
      <c r="CW43">
        <f t="shared" si="42"/>
        <v>1800.16</v>
      </c>
      <c r="CX43">
        <f t="shared" si="43"/>
        <v>1513.3188003289708</v>
      </c>
      <c r="CY43">
        <f t="shared" si="44"/>
        <v>0.84065794169905494</v>
      </c>
      <c r="CZ43">
        <f t="shared" si="45"/>
        <v>0.19131588339811001</v>
      </c>
      <c r="DA43">
        <v>6</v>
      </c>
      <c r="DB43">
        <v>0.5</v>
      </c>
      <c r="DC43" t="s">
        <v>420</v>
      </c>
      <c r="DD43">
        <v>2</v>
      </c>
      <c r="DE43">
        <v>1693499614</v>
      </c>
      <c r="DF43">
        <v>1139.76</v>
      </c>
      <c r="DG43">
        <v>1200.21</v>
      </c>
      <c r="DH43">
        <v>28.317599999999999</v>
      </c>
      <c r="DI43">
        <v>23.602900000000002</v>
      </c>
      <c r="DJ43">
        <v>1142.74</v>
      </c>
      <c r="DK43">
        <v>27.835000000000001</v>
      </c>
      <c r="DL43">
        <v>500.19099999999997</v>
      </c>
      <c r="DM43">
        <v>99.593800000000002</v>
      </c>
      <c r="DN43">
        <v>0.10005799999999999</v>
      </c>
      <c r="DO43">
        <v>30.194600000000001</v>
      </c>
      <c r="DP43">
        <v>29.951699999999999</v>
      </c>
      <c r="DQ43">
        <v>999.9</v>
      </c>
      <c r="DR43">
        <v>0</v>
      </c>
      <c r="DS43">
        <v>0</v>
      </c>
      <c r="DT43">
        <v>9980</v>
      </c>
      <c r="DU43">
        <v>0</v>
      </c>
      <c r="DV43">
        <v>1752.71</v>
      </c>
      <c r="DW43">
        <v>-60.4437</v>
      </c>
      <c r="DX43">
        <v>1172.98</v>
      </c>
      <c r="DY43">
        <v>1229.22</v>
      </c>
      <c r="DZ43">
        <v>4.7147500000000004</v>
      </c>
      <c r="EA43">
        <v>1200.21</v>
      </c>
      <c r="EB43">
        <v>23.602900000000002</v>
      </c>
      <c r="EC43">
        <v>2.8202600000000002</v>
      </c>
      <c r="ED43">
        <v>2.3506999999999998</v>
      </c>
      <c r="EE43">
        <v>23.0032</v>
      </c>
      <c r="EF43">
        <v>20.028099999999998</v>
      </c>
      <c r="EG43">
        <v>1800.16</v>
      </c>
      <c r="EH43">
        <v>0.97800600000000004</v>
      </c>
      <c r="EI43">
        <v>2.1993599999999999E-2</v>
      </c>
      <c r="EJ43">
        <v>0</v>
      </c>
      <c r="EK43">
        <v>728.66399999999999</v>
      </c>
      <c r="EL43">
        <v>4.9995000000000003</v>
      </c>
      <c r="EM43">
        <v>14341.9</v>
      </c>
      <c r="EN43">
        <v>16661.3</v>
      </c>
      <c r="EO43">
        <v>48.625</v>
      </c>
      <c r="EP43">
        <v>50.375</v>
      </c>
      <c r="EQ43">
        <v>49.686999999999998</v>
      </c>
      <c r="ER43">
        <v>49</v>
      </c>
      <c r="ES43">
        <v>49.936999999999998</v>
      </c>
      <c r="ET43">
        <v>1755.68</v>
      </c>
      <c r="EU43">
        <v>39.479999999999997</v>
      </c>
      <c r="EV43">
        <v>0</v>
      </c>
      <c r="EW43">
        <v>103.7999999523163</v>
      </c>
      <c r="EX43">
        <v>0</v>
      </c>
      <c r="EY43">
        <v>728.91039999999998</v>
      </c>
      <c r="EZ43">
        <v>-2.664538459044814</v>
      </c>
      <c r="FA43">
        <v>-54.784615492198121</v>
      </c>
      <c r="FB43">
        <v>14344.407999999999</v>
      </c>
      <c r="FC43">
        <v>15</v>
      </c>
      <c r="FD43">
        <v>1693499585</v>
      </c>
      <c r="FE43" t="s">
        <v>557</v>
      </c>
      <c r="FF43">
        <v>1693499585</v>
      </c>
      <c r="FG43">
        <v>1693499574</v>
      </c>
      <c r="FH43">
        <v>32</v>
      </c>
      <c r="FI43">
        <v>-2.7E-2</v>
      </c>
      <c r="FJ43">
        <v>-4.0000000000000001E-3</v>
      </c>
      <c r="FK43">
        <v>-3.0179999999999998</v>
      </c>
      <c r="FL43">
        <v>0.27100000000000002</v>
      </c>
      <c r="FM43">
        <v>1200</v>
      </c>
      <c r="FN43">
        <v>23</v>
      </c>
      <c r="FO43">
        <v>0.13</v>
      </c>
      <c r="FP43">
        <v>0.05</v>
      </c>
      <c r="FQ43">
        <v>45.60669162065571</v>
      </c>
      <c r="FR43">
        <v>-0.39981235390670011</v>
      </c>
      <c r="FS43">
        <v>0.16796165828750759</v>
      </c>
      <c r="FT43">
        <v>1</v>
      </c>
      <c r="FU43">
        <v>0.28714398875445518</v>
      </c>
      <c r="FV43">
        <v>3.392679705542026E-2</v>
      </c>
      <c r="FW43">
        <v>3.8464153813950468E-3</v>
      </c>
      <c r="FX43">
        <v>1</v>
      </c>
      <c r="FY43">
        <v>2</v>
      </c>
      <c r="FZ43">
        <v>2</v>
      </c>
      <c r="GA43" t="s">
        <v>422</v>
      </c>
      <c r="GB43">
        <v>2.9727199999999998</v>
      </c>
      <c r="GC43">
        <v>2.8115800000000002</v>
      </c>
      <c r="GD43">
        <v>0.20305000000000001</v>
      </c>
      <c r="GE43">
        <v>0.20719099999999999</v>
      </c>
      <c r="GF43">
        <v>0.13470799999999999</v>
      </c>
      <c r="GG43">
        <v>0.118354</v>
      </c>
      <c r="GH43">
        <v>23622.3</v>
      </c>
      <c r="GI43">
        <v>21690.5</v>
      </c>
      <c r="GJ43">
        <v>26632.9</v>
      </c>
      <c r="GK43">
        <v>25801.599999999999</v>
      </c>
      <c r="GL43">
        <v>31347.8</v>
      </c>
      <c r="GM43">
        <v>32062.799999999999</v>
      </c>
      <c r="GN43">
        <v>37721.300000000003</v>
      </c>
      <c r="GO43">
        <v>38190.400000000001</v>
      </c>
      <c r="GP43">
        <v>2.0017999999999998</v>
      </c>
      <c r="GQ43">
        <v>2.0752999999999999</v>
      </c>
      <c r="GR43">
        <v>2.8520799999999999E-2</v>
      </c>
      <c r="GS43">
        <v>0</v>
      </c>
      <c r="GT43">
        <v>29.487400000000001</v>
      </c>
      <c r="GU43">
        <v>999.9</v>
      </c>
      <c r="GV43">
        <v>60.1</v>
      </c>
      <c r="GW43">
        <v>31.3</v>
      </c>
      <c r="GX43">
        <v>27.692699999999999</v>
      </c>
      <c r="GY43">
        <v>61.389000000000003</v>
      </c>
      <c r="GZ43">
        <v>13.2011</v>
      </c>
      <c r="HA43">
        <v>1</v>
      </c>
      <c r="HB43">
        <v>0.11305900000000001</v>
      </c>
      <c r="HC43">
        <v>0.97816999999999998</v>
      </c>
      <c r="HD43">
        <v>20.304600000000001</v>
      </c>
      <c r="HE43">
        <v>5.2088999999999999</v>
      </c>
      <c r="HF43">
        <v>11.9321</v>
      </c>
      <c r="HG43">
        <v>4.9885999999999999</v>
      </c>
      <c r="HH43">
        <v>3.2909999999999999</v>
      </c>
      <c r="HI43">
        <v>9999</v>
      </c>
      <c r="HJ43">
        <v>9999</v>
      </c>
      <c r="HK43">
        <v>9999</v>
      </c>
      <c r="HL43">
        <v>999.9</v>
      </c>
      <c r="HM43">
        <v>1.8696600000000001</v>
      </c>
      <c r="HN43">
        <v>1.8759999999999999</v>
      </c>
      <c r="HO43">
        <v>1.87378</v>
      </c>
      <c r="HP43">
        <v>1.8720399999999999</v>
      </c>
      <c r="HQ43">
        <v>1.87243</v>
      </c>
      <c r="HR43">
        <v>1.8698699999999999</v>
      </c>
      <c r="HS43">
        <v>1.87581</v>
      </c>
      <c r="HT43">
        <v>1.8748499999999999</v>
      </c>
      <c r="HU43">
        <v>5</v>
      </c>
      <c r="HV43">
        <v>0</v>
      </c>
      <c r="HW43">
        <v>0</v>
      </c>
      <c r="HX43">
        <v>0</v>
      </c>
      <c r="HY43" t="s">
        <v>423</v>
      </c>
      <c r="HZ43" t="s">
        <v>424</v>
      </c>
      <c r="IA43" t="s">
        <v>425</v>
      </c>
      <c r="IB43" t="s">
        <v>425</v>
      </c>
      <c r="IC43" t="s">
        <v>425</v>
      </c>
      <c r="ID43" t="s">
        <v>425</v>
      </c>
      <c r="IE43">
        <v>0</v>
      </c>
      <c r="IF43">
        <v>100</v>
      </c>
      <c r="IG43">
        <v>100</v>
      </c>
      <c r="IH43">
        <v>-2.98</v>
      </c>
      <c r="II43">
        <v>0.48259999999999997</v>
      </c>
      <c r="IJ43">
        <v>-1.520778681577311</v>
      </c>
      <c r="IK43">
        <v>-2.677719669153116E-3</v>
      </c>
      <c r="IL43">
        <v>1.9353498771248068E-6</v>
      </c>
      <c r="IM43">
        <v>-6.1862177325538213E-10</v>
      </c>
      <c r="IN43">
        <v>-0.12373028394518169</v>
      </c>
      <c r="IO43">
        <v>-1.5299015507423901E-2</v>
      </c>
      <c r="IP43">
        <v>1.742162107778985E-3</v>
      </c>
      <c r="IQ43">
        <v>-1.472690239905804E-5</v>
      </c>
      <c r="IR43">
        <v>3</v>
      </c>
      <c r="IS43">
        <v>2255</v>
      </c>
      <c r="IT43">
        <v>2</v>
      </c>
      <c r="IU43">
        <v>41</v>
      </c>
      <c r="IV43">
        <v>0.5</v>
      </c>
      <c r="IW43">
        <v>0.7</v>
      </c>
      <c r="IX43">
        <v>2.34619</v>
      </c>
      <c r="IY43">
        <v>2.47559</v>
      </c>
      <c r="IZ43">
        <v>1.6003400000000001</v>
      </c>
      <c r="JA43">
        <v>2.2741699999999998</v>
      </c>
      <c r="JB43">
        <v>1.5502899999999999</v>
      </c>
      <c r="JC43">
        <v>2.2473100000000001</v>
      </c>
      <c r="JD43">
        <v>34.304200000000002</v>
      </c>
      <c r="JE43">
        <v>15.7957</v>
      </c>
      <c r="JF43">
        <v>18</v>
      </c>
      <c r="JG43">
        <v>506.04700000000003</v>
      </c>
      <c r="JH43">
        <v>523.06299999999999</v>
      </c>
      <c r="JI43">
        <v>25.673300000000001</v>
      </c>
      <c r="JJ43">
        <v>29.058700000000002</v>
      </c>
      <c r="JK43">
        <v>29.998699999999999</v>
      </c>
      <c r="JL43">
        <v>28.984000000000002</v>
      </c>
      <c r="JM43">
        <v>28.9528</v>
      </c>
      <c r="JN43">
        <v>46.970399999999998</v>
      </c>
      <c r="JO43">
        <v>25.752300000000002</v>
      </c>
      <c r="JP43">
        <v>100</v>
      </c>
      <c r="JQ43">
        <v>25.784300000000002</v>
      </c>
      <c r="JR43">
        <v>1200</v>
      </c>
      <c r="JS43">
        <v>23.534099999999999</v>
      </c>
      <c r="JT43">
        <v>99.465400000000002</v>
      </c>
      <c r="JU43">
        <v>99.189700000000002</v>
      </c>
    </row>
    <row r="44" spans="1:281" x14ac:dyDescent="0.25">
      <c r="A44">
        <v>28</v>
      </c>
      <c r="B44">
        <v>1693499744.5</v>
      </c>
      <c r="C44">
        <v>5764.9000000953674</v>
      </c>
      <c r="D44" t="s">
        <v>558</v>
      </c>
      <c r="E44" t="s">
        <v>559</v>
      </c>
      <c r="F44" t="s">
        <v>413</v>
      </c>
      <c r="G44" t="s">
        <v>494</v>
      </c>
      <c r="H44" t="s">
        <v>416</v>
      </c>
      <c r="I44" t="s">
        <v>416</v>
      </c>
      <c r="J44">
        <v>1693499744.5</v>
      </c>
      <c r="K44">
        <f t="shared" si="0"/>
        <v>3.9304044827779914E-3</v>
      </c>
      <c r="L44">
        <f t="shared" si="1"/>
        <v>3.9304044827779911</v>
      </c>
      <c r="M44">
        <f t="shared" si="2"/>
        <v>44.719312022284697</v>
      </c>
      <c r="N44">
        <f t="shared" si="3"/>
        <v>1439.52</v>
      </c>
      <c r="O44">
        <f t="shared" si="4"/>
        <v>1138.8594483713553</v>
      </c>
      <c r="P44">
        <f t="shared" si="5"/>
        <v>113.54067852646195</v>
      </c>
      <c r="Q44">
        <f t="shared" si="6"/>
        <v>143.51558288087998</v>
      </c>
      <c r="R44">
        <f t="shared" si="7"/>
        <v>0.27678215230922482</v>
      </c>
      <c r="S44">
        <f t="shared" si="8"/>
        <v>2.9364552507676365</v>
      </c>
      <c r="T44">
        <f t="shared" si="9"/>
        <v>0.26306225052701565</v>
      </c>
      <c r="U44">
        <f t="shared" si="10"/>
        <v>0.16558989472908328</v>
      </c>
      <c r="V44">
        <f t="shared" si="11"/>
        <v>344.3916006579563</v>
      </c>
      <c r="W44">
        <f t="shared" si="12"/>
        <v>31.15277763916475</v>
      </c>
      <c r="X44">
        <f t="shared" si="13"/>
        <v>29.8858</v>
      </c>
      <c r="Y44">
        <f t="shared" si="14"/>
        <v>4.232582873064259</v>
      </c>
      <c r="Z44">
        <f t="shared" si="15"/>
        <v>65.058961203740523</v>
      </c>
      <c r="AA44">
        <f t="shared" si="16"/>
        <v>2.7955190946262998</v>
      </c>
      <c r="AB44">
        <f t="shared" si="17"/>
        <v>4.2969009078884168</v>
      </c>
      <c r="AC44">
        <f t="shared" si="18"/>
        <v>1.4370637784379592</v>
      </c>
      <c r="AD44">
        <f t="shared" si="19"/>
        <v>-173.33083769050941</v>
      </c>
      <c r="AE44">
        <f t="shared" si="20"/>
        <v>41.572252080886308</v>
      </c>
      <c r="AF44">
        <f t="shared" si="21"/>
        <v>3.1484214819777558</v>
      </c>
      <c r="AG44">
        <f t="shared" si="22"/>
        <v>215.78143653031097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52516.764727038812</v>
      </c>
      <c r="AM44" t="s">
        <v>417</v>
      </c>
      <c r="AN44">
        <v>10238.9</v>
      </c>
      <c r="AO44">
        <v>302.21199999999999</v>
      </c>
      <c r="AP44">
        <v>4052.3</v>
      </c>
      <c r="AQ44">
        <f t="shared" si="26"/>
        <v>0.92542210596451402</v>
      </c>
      <c r="AR44">
        <v>-0.32343011824092421</v>
      </c>
      <c r="AS44" t="s">
        <v>560</v>
      </c>
      <c r="AT44">
        <v>10485.9</v>
      </c>
      <c r="AU44">
        <v>725.5011538461539</v>
      </c>
      <c r="AV44">
        <v>1118.9482157026609</v>
      </c>
      <c r="AW44">
        <f t="shared" si="27"/>
        <v>0.35162222552849409</v>
      </c>
      <c r="AX44">
        <v>0.5</v>
      </c>
      <c r="AY44">
        <f t="shared" si="28"/>
        <v>1513.2852003289779</v>
      </c>
      <c r="AZ44">
        <f t="shared" si="29"/>
        <v>44.719312022284697</v>
      </c>
      <c r="BA44">
        <f t="shared" si="30"/>
        <v>266.05235499950413</v>
      </c>
      <c r="BB44">
        <f t="shared" si="31"/>
        <v>2.9764873224646375E-2</v>
      </c>
      <c r="BC44">
        <f t="shared" si="32"/>
        <v>2.6215259501131563</v>
      </c>
      <c r="BD44">
        <f t="shared" si="33"/>
        <v>252.78963352185531</v>
      </c>
      <c r="BE44" t="s">
        <v>561</v>
      </c>
      <c r="BF44">
        <v>571.84</v>
      </c>
      <c r="BG44">
        <f t="shared" si="34"/>
        <v>571.84</v>
      </c>
      <c r="BH44">
        <f t="shared" si="35"/>
        <v>0.48894864661730197</v>
      </c>
      <c r="BI44">
        <f t="shared" si="36"/>
        <v>0.7191393778490347</v>
      </c>
      <c r="BJ44">
        <f t="shared" si="37"/>
        <v>0.84280577403485146</v>
      </c>
      <c r="BK44">
        <f t="shared" si="38"/>
        <v>0.48173088727063923</v>
      </c>
      <c r="BL44">
        <f t="shared" si="39"/>
        <v>0.78220878664643045</v>
      </c>
      <c r="BM44">
        <f t="shared" si="40"/>
        <v>0.56682564824203707</v>
      </c>
      <c r="BN44">
        <f t="shared" si="41"/>
        <v>0.43317435175796293</v>
      </c>
      <c r="BO44">
        <v>5742</v>
      </c>
      <c r="BP44">
        <v>290.00000000000011</v>
      </c>
      <c r="BQ44">
        <v>1008.67</v>
      </c>
      <c r="BR44">
        <v>125</v>
      </c>
      <c r="BS44">
        <v>10485.9</v>
      </c>
      <c r="BT44">
        <v>1007.01</v>
      </c>
      <c r="BU44">
        <v>1.66</v>
      </c>
      <c r="BV44">
        <v>300.00000000000011</v>
      </c>
      <c r="BW44">
        <v>38.299999999999997</v>
      </c>
      <c r="BX44">
        <v>1118.9482157026609</v>
      </c>
      <c r="BY44">
        <v>1.1631282482249361</v>
      </c>
      <c r="BZ44">
        <v>-117.37814630672121</v>
      </c>
      <c r="CA44">
        <v>0.99657608320691837</v>
      </c>
      <c r="CB44">
        <v>0.99798567859467369</v>
      </c>
      <c r="CC44">
        <v>-1.1363747052280319E-2</v>
      </c>
      <c r="CD44">
        <v>289.99999999999989</v>
      </c>
      <c r="CE44">
        <v>994.64</v>
      </c>
      <c r="CF44">
        <v>655</v>
      </c>
      <c r="CG44">
        <v>10440.799999999999</v>
      </c>
      <c r="CH44">
        <v>1006.53</v>
      </c>
      <c r="CI44">
        <v>-11.89</v>
      </c>
      <c r="CW44">
        <f t="shared" si="42"/>
        <v>1800.12</v>
      </c>
      <c r="CX44">
        <f t="shared" si="43"/>
        <v>1513.2852003289779</v>
      </c>
      <c r="CY44">
        <f t="shared" si="44"/>
        <v>0.84065795631901097</v>
      </c>
      <c r="CZ44">
        <f t="shared" si="45"/>
        <v>0.19131591263802208</v>
      </c>
      <c r="DA44">
        <v>6</v>
      </c>
      <c r="DB44">
        <v>0.5</v>
      </c>
      <c r="DC44" t="s">
        <v>420</v>
      </c>
      <c r="DD44">
        <v>2</v>
      </c>
      <c r="DE44">
        <v>1693499744.5</v>
      </c>
      <c r="DF44">
        <v>1439.52</v>
      </c>
      <c r="DG44">
        <v>1499.93</v>
      </c>
      <c r="DH44">
        <v>28.040199999999999</v>
      </c>
      <c r="DI44">
        <v>23.459199999999999</v>
      </c>
      <c r="DJ44">
        <v>1442.67</v>
      </c>
      <c r="DK44">
        <v>27.568000000000001</v>
      </c>
      <c r="DL44">
        <v>500.35300000000001</v>
      </c>
      <c r="DM44">
        <v>99.597399999999993</v>
      </c>
      <c r="DN44">
        <v>9.9431500000000006E-2</v>
      </c>
      <c r="DO44">
        <v>30.148399999999999</v>
      </c>
      <c r="DP44">
        <v>29.8858</v>
      </c>
      <c r="DQ44">
        <v>999.9</v>
      </c>
      <c r="DR44">
        <v>0</v>
      </c>
      <c r="DS44">
        <v>0</v>
      </c>
      <c r="DT44">
        <v>10080</v>
      </c>
      <c r="DU44">
        <v>0</v>
      </c>
      <c r="DV44">
        <v>1757.41</v>
      </c>
      <c r="DW44">
        <v>-60.402299999999997</v>
      </c>
      <c r="DX44">
        <v>1481.05</v>
      </c>
      <c r="DY44">
        <v>1535.96</v>
      </c>
      <c r="DZ44">
        <v>4.5810000000000004</v>
      </c>
      <c r="EA44">
        <v>1499.93</v>
      </c>
      <c r="EB44">
        <v>23.459199999999999</v>
      </c>
      <c r="EC44">
        <v>2.7927300000000002</v>
      </c>
      <c r="ED44">
        <v>2.3364699999999998</v>
      </c>
      <c r="EE44">
        <v>22.841100000000001</v>
      </c>
      <c r="EF44">
        <v>19.930099999999999</v>
      </c>
      <c r="EG44">
        <v>1800.12</v>
      </c>
      <c r="EH44">
        <v>0.97800600000000004</v>
      </c>
      <c r="EI44">
        <v>2.1993599999999999E-2</v>
      </c>
      <c r="EJ44">
        <v>0</v>
      </c>
      <c r="EK44">
        <v>725.39200000000005</v>
      </c>
      <c r="EL44">
        <v>4.9995000000000003</v>
      </c>
      <c r="EM44">
        <v>14297.9</v>
      </c>
      <c r="EN44">
        <v>16661</v>
      </c>
      <c r="EO44">
        <v>48.686999999999998</v>
      </c>
      <c r="EP44">
        <v>50.375</v>
      </c>
      <c r="EQ44">
        <v>49.686999999999998</v>
      </c>
      <c r="ER44">
        <v>48.936999999999998</v>
      </c>
      <c r="ES44">
        <v>50</v>
      </c>
      <c r="ET44">
        <v>1755.64</v>
      </c>
      <c r="EU44">
        <v>39.479999999999997</v>
      </c>
      <c r="EV44">
        <v>0</v>
      </c>
      <c r="EW44">
        <v>128.39999985694891</v>
      </c>
      <c r="EX44">
        <v>0</v>
      </c>
      <c r="EY44">
        <v>725.5011538461539</v>
      </c>
      <c r="EZ44">
        <v>0.16738460691537169</v>
      </c>
      <c r="FA44">
        <v>-16.714529824452121</v>
      </c>
      <c r="FB44">
        <v>14299.165384615389</v>
      </c>
      <c r="FC44">
        <v>15</v>
      </c>
      <c r="FD44">
        <v>1693499713.5</v>
      </c>
      <c r="FE44" t="s">
        <v>562</v>
      </c>
      <c r="FF44">
        <v>1693499713</v>
      </c>
      <c r="FG44">
        <v>1693499713.5</v>
      </c>
      <c r="FH44">
        <v>33</v>
      </c>
      <c r="FI44">
        <v>7.0000000000000007E-2</v>
      </c>
      <c r="FJ44">
        <v>2E-3</v>
      </c>
      <c r="FK44">
        <v>-3.2050000000000001</v>
      </c>
      <c r="FL44">
        <v>0.28100000000000003</v>
      </c>
      <c r="FM44">
        <v>1500</v>
      </c>
      <c r="FN44">
        <v>24</v>
      </c>
      <c r="FO44">
        <v>0.18</v>
      </c>
      <c r="FP44">
        <v>0.04</v>
      </c>
      <c r="FQ44">
        <v>44.641043656856652</v>
      </c>
      <c r="FR44">
        <v>0.2317842540619251</v>
      </c>
      <c r="FS44">
        <v>0.14611749330340751</v>
      </c>
      <c r="FT44">
        <v>1</v>
      </c>
      <c r="FU44">
        <v>0.28190830748100959</v>
      </c>
      <c r="FV44">
        <v>2.5291008381672551E-3</v>
      </c>
      <c r="FW44">
        <v>3.3344241130637592E-3</v>
      </c>
      <c r="FX44">
        <v>1</v>
      </c>
      <c r="FY44">
        <v>2</v>
      </c>
      <c r="FZ44">
        <v>2</v>
      </c>
      <c r="GA44" t="s">
        <v>422</v>
      </c>
      <c r="GB44">
        <v>2.9730799999999999</v>
      </c>
      <c r="GC44">
        <v>2.81182</v>
      </c>
      <c r="GD44">
        <v>0.23468700000000001</v>
      </c>
      <c r="GE44">
        <v>0.23777499999999999</v>
      </c>
      <c r="GF44">
        <v>0.13378499999999999</v>
      </c>
      <c r="GG44">
        <v>0.11783399999999999</v>
      </c>
      <c r="GH44">
        <v>22682.2</v>
      </c>
      <c r="GI44">
        <v>20850.400000000001</v>
      </c>
      <c r="GJ44">
        <v>26631</v>
      </c>
      <c r="GK44">
        <v>25798.400000000001</v>
      </c>
      <c r="GL44">
        <v>31382.9</v>
      </c>
      <c r="GM44">
        <v>32079.599999999999</v>
      </c>
      <c r="GN44">
        <v>37718.800000000003</v>
      </c>
      <c r="GO44">
        <v>38185.199999999997</v>
      </c>
      <c r="GP44">
        <v>2.0005999999999999</v>
      </c>
      <c r="GQ44">
        <v>2.0752999999999999</v>
      </c>
      <c r="GR44">
        <v>4.5448500000000003E-2</v>
      </c>
      <c r="GS44">
        <v>0</v>
      </c>
      <c r="GT44">
        <v>29.145600000000002</v>
      </c>
      <c r="GU44">
        <v>999.9</v>
      </c>
      <c r="GV44">
        <v>60.3</v>
      </c>
      <c r="GW44">
        <v>31.2</v>
      </c>
      <c r="GX44">
        <v>27.626200000000001</v>
      </c>
      <c r="GY44">
        <v>61.408999999999999</v>
      </c>
      <c r="GZ44">
        <v>13.1851</v>
      </c>
      <c r="HA44">
        <v>1</v>
      </c>
      <c r="HB44">
        <v>0.11723600000000001</v>
      </c>
      <c r="HC44">
        <v>0.69300700000000004</v>
      </c>
      <c r="HD44">
        <v>20.306699999999999</v>
      </c>
      <c r="HE44">
        <v>5.2053099999999999</v>
      </c>
      <c r="HF44">
        <v>11.9321</v>
      </c>
      <c r="HG44">
        <v>4.9889999999999999</v>
      </c>
      <c r="HH44">
        <v>3.2909999999999999</v>
      </c>
      <c r="HI44">
        <v>9999</v>
      </c>
      <c r="HJ44">
        <v>9999</v>
      </c>
      <c r="HK44">
        <v>9999</v>
      </c>
      <c r="HL44">
        <v>999.9</v>
      </c>
      <c r="HM44">
        <v>1.8696600000000001</v>
      </c>
      <c r="HN44">
        <v>1.8760600000000001</v>
      </c>
      <c r="HO44">
        <v>1.87378</v>
      </c>
      <c r="HP44">
        <v>1.8720600000000001</v>
      </c>
      <c r="HQ44">
        <v>1.8724099999999999</v>
      </c>
      <c r="HR44">
        <v>1.86992</v>
      </c>
      <c r="HS44">
        <v>1.8758600000000001</v>
      </c>
      <c r="HT44">
        <v>1.8748499999999999</v>
      </c>
      <c r="HU44">
        <v>5</v>
      </c>
      <c r="HV44">
        <v>0</v>
      </c>
      <c r="HW44">
        <v>0</v>
      </c>
      <c r="HX44">
        <v>0</v>
      </c>
      <c r="HY44" t="s">
        <v>423</v>
      </c>
      <c r="HZ44" t="s">
        <v>424</v>
      </c>
      <c r="IA44" t="s">
        <v>425</v>
      </c>
      <c r="IB44" t="s">
        <v>425</v>
      </c>
      <c r="IC44" t="s">
        <v>425</v>
      </c>
      <c r="ID44" t="s">
        <v>425</v>
      </c>
      <c r="IE44">
        <v>0</v>
      </c>
      <c r="IF44">
        <v>100</v>
      </c>
      <c r="IG44">
        <v>100</v>
      </c>
      <c r="IH44">
        <v>-3.15</v>
      </c>
      <c r="II44">
        <v>0.47220000000000001</v>
      </c>
      <c r="IJ44">
        <v>-1.4512079763719199</v>
      </c>
      <c r="IK44">
        <v>-2.677719669153116E-3</v>
      </c>
      <c r="IL44">
        <v>1.9353498771248068E-6</v>
      </c>
      <c r="IM44">
        <v>-6.1862177325538213E-10</v>
      </c>
      <c r="IN44">
        <v>-0.1215176212489737</v>
      </c>
      <c r="IO44">
        <v>-1.5299015507423901E-2</v>
      </c>
      <c r="IP44">
        <v>1.742162107778985E-3</v>
      </c>
      <c r="IQ44">
        <v>-1.472690239905804E-5</v>
      </c>
      <c r="IR44">
        <v>3</v>
      </c>
      <c r="IS44">
        <v>2255</v>
      </c>
      <c r="IT44">
        <v>2</v>
      </c>
      <c r="IU44">
        <v>41</v>
      </c>
      <c r="IV44">
        <v>0.5</v>
      </c>
      <c r="IW44">
        <v>0.5</v>
      </c>
      <c r="IX44">
        <v>2.81982</v>
      </c>
      <c r="IY44">
        <v>2.4731399999999999</v>
      </c>
      <c r="IZ44">
        <v>1.5991200000000001</v>
      </c>
      <c r="JA44">
        <v>2.2753899999999998</v>
      </c>
      <c r="JB44">
        <v>1.5502899999999999</v>
      </c>
      <c r="JC44">
        <v>2.2534200000000002</v>
      </c>
      <c r="JD44">
        <v>34.258699999999997</v>
      </c>
      <c r="JE44">
        <v>15.769399999999999</v>
      </c>
      <c r="JF44">
        <v>18</v>
      </c>
      <c r="JG44">
        <v>505.91</v>
      </c>
      <c r="JH44">
        <v>523.73500000000001</v>
      </c>
      <c r="JI44">
        <v>26.790500000000002</v>
      </c>
      <c r="JJ44">
        <v>29.120999999999999</v>
      </c>
      <c r="JK44">
        <v>30</v>
      </c>
      <c r="JL44">
        <v>29.057400000000001</v>
      </c>
      <c r="JM44">
        <v>29.0261</v>
      </c>
      <c r="JN44">
        <v>56.444299999999998</v>
      </c>
      <c r="JO44">
        <v>25.8841</v>
      </c>
      <c r="JP44">
        <v>100</v>
      </c>
      <c r="JQ44">
        <v>26.7898</v>
      </c>
      <c r="JR44">
        <v>1500</v>
      </c>
      <c r="JS44">
        <v>23.5185</v>
      </c>
      <c r="JT44">
        <v>99.458699999999993</v>
      </c>
      <c r="JU44">
        <v>99.176699999999997</v>
      </c>
    </row>
    <row r="45" spans="1:281" x14ac:dyDescent="0.25">
      <c r="A45">
        <v>29</v>
      </c>
      <c r="B45">
        <v>1693501372.0999999</v>
      </c>
      <c r="C45">
        <v>7392.5</v>
      </c>
      <c r="D45" t="s">
        <v>563</v>
      </c>
      <c r="E45" t="s">
        <v>564</v>
      </c>
      <c r="F45" t="s">
        <v>413</v>
      </c>
      <c r="G45" t="s">
        <v>565</v>
      </c>
      <c r="H45" t="s">
        <v>31</v>
      </c>
      <c r="I45">
        <v>3</v>
      </c>
      <c r="J45">
        <v>1693501372.0999999</v>
      </c>
      <c r="K45">
        <f t="shared" si="0"/>
        <v>3.8007317333265222E-3</v>
      </c>
      <c r="L45">
        <f t="shared" si="1"/>
        <v>3.800731733326522</v>
      </c>
      <c r="M45">
        <f t="shared" si="2"/>
        <v>39.61906055640133</v>
      </c>
      <c r="N45">
        <f t="shared" si="3"/>
        <v>350.916</v>
      </c>
      <c r="O45">
        <f t="shared" si="4"/>
        <v>104.5125341938771</v>
      </c>
      <c r="P45">
        <f t="shared" si="5"/>
        <v>10.417078897185414</v>
      </c>
      <c r="Q45">
        <f t="shared" si="6"/>
        <v>34.976854082434805</v>
      </c>
      <c r="R45">
        <f t="shared" si="7"/>
        <v>0.27457926721075943</v>
      </c>
      <c r="S45">
        <f t="shared" si="8"/>
        <v>2.9255548102699858</v>
      </c>
      <c r="T45">
        <f t="shared" si="9"/>
        <v>0.26102350121198503</v>
      </c>
      <c r="U45">
        <f t="shared" si="10"/>
        <v>0.16430183424993794</v>
      </c>
      <c r="V45">
        <f t="shared" si="11"/>
        <v>344.36370065817783</v>
      </c>
      <c r="W45">
        <f t="shared" si="12"/>
        <v>31.687819685111187</v>
      </c>
      <c r="X45">
        <f t="shared" si="13"/>
        <v>30.042000000000002</v>
      </c>
      <c r="Y45">
        <f t="shared" si="14"/>
        <v>4.2707386865996382</v>
      </c>
      <c r="Z45">
        <f t="shared" si="15"/>
        <v>64.944655306836523</v>
      </c>
      <c r="AA45">
        <f t="shared" si="16"/>
        <v>2.8714099826254902</v>
      </c>
      <c r="AB45">
        <f t="shared" si="17"/>
        <v>4.4213183811035259</v>
      </c>
      <c r="AC45">
        <f t="shared" si="18"/>
        <v>1.399328703974148</v>
      </c>
      <c r="AD45">
        <f t="shared" si="19"/>
        <v>-167.61226943969962</v>
      </c>
      <c r="AE45">
        <f t="shared" si="20"/>
        <v>95.390574611234996</v>
      </c>
      <c r="AF45">
        <f t="shared" si="21"/>
        <v>7.2747288568475028</v>
      </c>
      <c r="AG45">
        <f t="shared" si="22"/>
        <v>279.41673468656074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52118.956077394439</v>
      </c>
      <c r="AM45" t="s">
        <v>417</v>
      </c>
      <c r="AN45">
        <v>10238.9</v>
      </c>
      <c r="AO45">
        <v>302.21199999999999</v>
      </c>
      <c r="AP45">
        <v>4052.3</v>
      </c>
      <c r="AQ45">
        <f t="shared" si="26"/>
        <v>0.92542210596451402</v>
      </c>
      <c r="AR45">
        <v>-0.32343011824092421</v>
      </c>
      <c r="AS45" t="s">
        <v>566</v>
      </c>
      <c r="AT45">
        <v>10496.6</v>
      </c>
      <c r="AU45">
        <v>698.51092000000006</v>
      </c>
      <c r="AV45">
        <v>1013.515169068851</v>
      </c>
      <c r="AW45">
        <f t="shared" si="27"/>
        <v>0.31080368472260311</v>
      </c>
      <c r="AX45">
        <v>0.5</v>
      </c>
      <c r="AY45">
        <f t="shared" si="28"/>
        <v>1513.159500329089</v>
      </c>
      <c r="AZ45">
        <f t="shared" si="29"/>
        <v>39.61906055640133</v>
      </c>
      <c r="BA45">
        <f t="shared" si="30"/>
        <v>235.14777413764693</v>
      </c>
      <c r="BB45">
        <f t="shared" si="31"/>
        <v>2.6396748436602599E-2</v>
      </c>
      <c r="BC45">
        <f t="shared" si="32"/>
        <v>2.9982628022459483</v>
      </c>
      <c r="BD45">
        <f t="shared" si="33"/>
        <v>246.98511037020916</v>
      </c>
      <c r="BE45" t="s">
        <v>567</v>
      </c>
      <c r="BF45">
        <v>571.41</v>
      </c>
      <c r="BG45">
        <f t="shared" si="34"/>
        <v>571.41</v>
      </c>
      <c r="BH45">
        <f t="shared" si="35"/>
        <v>0.43620972094085908</v>
      </c>
      <c r="BI45">
        <f t="shared" si="36"/>
        <v>0.71250976262572019</v>
      </c>
      <c r="BJ45">
        <f t="shared" si="37"/>
        <v>0.87299076699670175</v>
      </c>
      <c r="BK45">
        <f t="shared" si="38"/>
        <v>0.4428551182770844</v>
      </c>
      <c r="BL45">
        <f t="shared" si="39"/>
        <v>0.81032360598768594</v>
      </c>
      <c r="BM45">
        <f t="shared" si="40"/>
        <v>0.5828616157668125</v>
      </c>
      <c r="BN45">
        <f t="shared" si="41"/>
        <v>0.4171383842331875</v>
      </c>
      <c r="BO45">
        <v>5744</v>
      </c>
      <c r="BP45">
        <v>290.00000000000011</v>
      </c>
      <c r="BQ45">
        <v>918.94</v>
      </c>
      <c r="BR45">
        <v>215</v>
      </c>
      <c r="BS45">
        <v>10496.6</v>
      </c>
      <c r="BT45">
        <v>918.29</v>
      </c>
      <c r="BU45">
        <v>0.65</v>
      </c>
      <c r="BV45">
        <v>300.00000000000011</v>
      </c>
      <c r="BW45">
        <v>38.200000000000003</v>
      </c>
      <c r="BX45">
        <v>1013.515169068851</v>
      </c>
      <c r="BY45">
        <v>1.108036295447806</v>
      </c>
      <c r="BZ45">
        <v>-99.950049274600673</v>
      </c>
      <c r="CA45">
        <v>0.95231748904495461</v>
      </c>
      <c r="CB45">
        <v>0.99746456196296462</v>
      </c>
      <c r="CC45">
        <v>-1.139604738598443E-2</v>
      </c>
      <c r="CD45">
        <v>289.99999999999989</v>
      </c>
      <c r="CE45">
        <v>906.77</v>
      </c>
      <c r="CF45">
        <v>665</v>
      </c>
      <c r="CG45">
        <v>10472.799999999999</v>
      </c>
      <c r="CH45">
        <v>918.08</v>
      </c>
      <c r="CI45">
        <v>-11.31</v>
      </c>
      <c r="CW45">
        <f t="shared" si="42"/>
        <v>1799.97</v>
      </c>
      <c r="CX45">
        <f t="shared" si="43"/>
        <v>1513.159500329089</v>
      </c>
      <c r="CY45">
        <f t="shared" si="44"/>
        <v>0.84065817781912422</v>
      </c>
      <c r="CZ45">
        <f t="shared" si="45"/>
        <v>0.19131635563824831</v>
      </c>
      <c r="DA45">
        <v>6</v>
      </c>
      <c r="DB45">
        <v>0.5</v>
      </c>
      <c r="DC45" t="s">
        <v>420</v>
      </c>
      <c r="DD45">
        <v>2</v>
      </c>
      <c r="DE45">
        <v>1693501372.0999999</v>
      </c>
      <c r="DF45">
        <v>350.916</v>
      </c>
      <c r="DG45">
        <v>400.024</v>
      </c>
      <c r="DH45">
        <v>28.808299999999999</v>
      </c>
      <c r="DI45">
        <v>24.382000000000001</v>
      </c>
      <c r="DJ45">
        <v>353.48399999999998</v>
      </c>
      <c r="DK45">
        <v>28.271699999999999</v>
      </c>
      <c r="DL45">
        <v>500.36</v>
      </c>
      <c r="DM45">
        <v>99.573300000000003</v>
      </c>
      <c r="DN45">
        <v>9.9710300000000002E-2</v>
      </c>
      <c r="DO45">
        <v>30.646799999999999</v>
      </c>
      <c r="DP45">
        <v>30.042000000000002</v>
      </c>
      <c r="DQ45">
        <v>999.9</v>
      </c>
      <c r="DR45">
        <v>0</v>
      </c>
      <c r="DS45">
        <v>0</v>
      </c>
      <c r="DT45">
        <v>10020</v>
      </c>
      <c r="DU45">
        <v>0</v>
      </c>
      <c r="DV45">
        <v>1794.76</v>
      </c>
      <c r="DW45">
        <v>-49.107599999999998</v>
      </c>
      <c r="DX45">
        <v>361.32499999999999</v>
      </c>
      <c r="DY45">
        <v>410.02100000000002</v>
      </c>
      <c r="DZ45">
        <v>4.4263500000000002</v>
      </c>
      <c r="EA45">
        <v>400.024</v>
      </c>
      <c r="EB45">
        <v>24.382000000000001</v>
      </c>
      <c r="EC45">
        <v>2.8685399999999999</v>
      </c>
      <c r="ED45">
        <v>2.4277899999999999</v>
      </c>
      <c r="EE45">
        <v>23.283899999999999</v>
      </c>
      <c r="EF45">
        <v>20.5504</v>
      </c>
      <c r="EG45">
        <v>1799.97</v>
      </c>
      <c r="EH45">
        <v>0.97799800000000003</v>
      </c>
      <c r="EI45">
        <v>2.2001799999999998E-2</v>
      </c>
      <c r="EJ45">
        <v>0</v>
      </c>
      <c r="EK45">
        <v>699.30700000000002</v>
      </c>
      <c r="EL45">
        <v>4.9995000000000003</v>
      </c>
      <c r="EM45">
        <v>13500.8</v>
      </c>
      <c r="EN45">
        <v>16659.5</v>
      </c>
      <c r="EO45">
        <v>45.186999999999998</v>
      </c>
      <c r="EP45">
        <v>45.375</v>
      </c>
      <c r="EQ45">
        <v>45.875</v>
      </c>
      <c r="ER45">
        <v>45.061999999999998</v>
      </c>
      <c r="ES45">
        <v>46.625</v>
      </c>
      <c r="ET45">
        <v>1755.48</v>
      </c>
      <c r="EU45">
        <v>39.49</v>
      </c>
      <c r="EV45">
        <v>0</v>
      </c>
      <c r="EW45">
        <v>1625.599999904633</v>
      </c>
      <c r="EX45">
        <v>0</v>
      </c>
      <c r="EY45">
        <v>698.51092000000006</v>
      </c>
      <c r="EZ45">
        <v>1.505615393437415</v>
      </c>
      <c r="FA45">
        <v>40.592307667204658</v>
      </c>
      <c r="FB45">
        <v>13494.656000000001</v>
      </c>
      <c r="FC45">
        <v>15</v>
      </c>
      <c r="FD45">
        <v>1693501341.0999999</v>
      </c>
      <c r="FE45" t="s">
        <v>568</v>
      </c>
      <c r="FF45">
        <v>1693501339.0999999</v>
      </c>
      <c r="FG45">
        <v>1693501341.0999999</v>
      </c>
      <c r="FH45">
        <v>36</v>
      </c>
      <c r="FI45">
        <v>2.8000000000000001E-2</v>
      </c>
      <c r="FJ45">
        <v>-6.0000000000000001E-3</v>
      </c>
      <c r="FK45">
        <v>-2.64</v>
      </c>
      <c r="FL45">
        <v>0.34200000000000003</v>
      </c>
      <c r="FM45">
        <v>400</v>
      </c>
      <c r="FN45">
        <v>24</v>
      </c>
      <c r="FO45">
        <v>0.09</v>
      </c>
      <c r="FP45">
        <v>0.06</v>
      </c>
      <c r="FQ45">
        <v>39.546841742241078</v>
      </c>
      <c r="FR45">
        <v>4.0716635928117313E-2</v>
      </c>
      <c r="FS45">
        <v>8.205535920220848E-2</v>
      </c>
      <c r="FT45">
        <v>1</v>
      </c>
      <c r="FU45">
        <v>0.27762962444408568</v>
      </c>
      <c r="FV45">
        <v>3.692297585246971E-2</v>
      </c>
      <c r="FW45">
        <v>5.2243744124478983E-3</v>
      </c>
      <c r="FX45">
        <v>1</v>
      </c>
      <c r="FY45">
        <v>2</v>
      </c>
      <c r="FZ45">
        <v>2</v>
      </c>
      <c r="GA45" t="s">
        <v>422</v>
      </c>
      <c r="GB45">
        <v>2.9738699999999998</v>
      </c>
      <c r="GC45">
        <v>2.8115800000000002</v>
      </c>
      <c r="GD45">
        <v>8.8947200000000004E-2</v>
      </c>
      <c r="GE45">
        <v>9.6909200000000001E-2</v>
      </c>
      <c r="GF45">
        <v>0.13638600000000001</v>
      </c>
      <c r="GG45">
        <v>0.121244</v>
      </c>
      <c r="GH45">
        <v>27042</v>
      </c>
      <c r="GI45">
        <v>24732.9</v>
      </c>
      <c r="GJ45">
        <v>26666.3</v>
      </c>
      <c r="GK45">
        <v>25823.3</v>
      </c>
      <c r="GL45">
        <v>31309.599999999999</v>
      </c>
      <c r="GM45">
        <v>31965.4</v>
      </c>
      <c r="GN45">
        <v>37769.199999999997</v>
      </c>
      <c r="GO45">
        <v>38210.6</v>
      </c>
      <c r="GP45">
        <v>2.0165000000000002</v>
      </c>
      <c r="GQ45">
        <v>2.0752000000000002</v>
      </c>
      <c r="GR45">
        <v>0.11456</v>
      </c>
      <c r="GS45">
        <v>0</v>
      </c>
      <c r="GT45">
        <v>28.175000000000001</v>
      </c>
      <c r="GU45">
        <v>999.9</v>
      </c>
      <c r="GV45">
        <v>67</v>
      </c>
      <c r="GW45">
        <v>32.1</v>
      </c>
      <c r="GX45">
        <v>32.314399999999999</v>
      </c>
      <c r="GY45">
        <v>61.102699999999999</v>
      </c>
      <c r="GZ45">
        <v>13.5497</v>
      </c>
      <c r="HA45">
        <v>1</v>
      </c>
      <c r="HB45">
        <v>5.61585E-2</v>
      </c>
      <c r="HC45">
        <v>0.25653599999999999</v>
      </c>
      <c r="HD45">
        <v>20.2577</v>
      </c>
      <c r="HE45">
        <v>5.2100999999999997</v>
      </c>
      <c r="HF45">
        <v>11.9315</v>
      </c>
      <c r="HG45">
        <v>4.9896000000000003</v>
      </c>
      <c r="HH45">
        <v>3.2911000000000001</v>
      </c>
      <c r="HI45">
        <v>9999</v>
      </c>
      <c r="HJ45">
        <v>9999</v>
      </c>
      <c r="HK45">
        <v>9999</v>
      </c>
      <c r="HL45">
        <v>999.9</v>
      </c>
      <c r="HM45">
        <v>1.87042</v>
      </c>
      <c r="HN45">
        <v>1.8767199999999999</v>
      </c>
      <c r="HO45">
        <v>1.87453</v>
      </c>
      <c r="HP45">
        <v>1.8727400000000001</v>
      </c>
      <c r="HQ45">
        <v>1.8732</v>
      </c>
      <c r="HR45">
        <v>1.8706199999999999</v>
      </c>
      <c r="HS45">
        <v>1.87653</v>
      </c>
      <c r="HT45">
        <v>1.87554</v>
      </c>
      <c r="HU45">
        <v>5</v>
      </c>
      <c r="HV45">
        <v>0</v>
      </c>
      <c r="HW45">
        <v>0</v>
      </c>
      <c r="HX45">
        <v>0</v>
      </c>
      <c r="HY45" t="s">
        <v>423</v>
      </c>
      <c r="HZ45" t="s">
        <v>424</v>
      </c>
      <c r="IA45" t="s">
        <v>425</v>
      </c>
      <c r="IB45" t="s">
        <v>425</v>
      </c>
      <c r="IC45" t="s">
        <v>425</v>
      </c>
      <c r="ID45" t="s">
        <v>425</v>
      </c>
      <c r="IE45">
        <v>0</v>
      </c>
      <c r="IF45">
        <v>100</v>
      </c>
      <c r="IG45">
        <v>100</v>
      </c>
      <c r="IH45">
        <v>-2.5680000000000001</v>
      </c>
      <c r="II45">
        <v>0.53659999999999997</v>
      </c>
      <c r="IJ45">
        <v>-1.835607036940802</v>
      </c>
      <c r="IK45">
        <v>-2.677719669153116E-3</v>
      </c>
      <c r="IL45">
        <v>1.9353498771248068E-6</v>
      </c>
      <c r="IM45">
        <v>-6.1862177325538213E-10</v>
      </c>
      <c r="IN45">
        <v>-9.0588338957800857E-2</v>
      </c>
      <c r="IO45">
        <v>-1.5299015507423901E-2</v>
      </c>
      <c r="IP45">
        <v>1.742162107778985E-3</v>
      </c>
      <c r="IQ45">
        <v>-1.472690239905804E-5</v>
      </c>
      <c r="IR45">
        <v>3</v>
      </c>
      <c r="IS45">
        <v>2255</v>
      </c>
      <c r="IT45">
        <v>2</v>
      </c>
      <c r="IU45">
        <v>41</v>
      </c>
      <c r="IV45">
        <v>0.6</v>
      </c>
      <c r="IW45">
        <v>0.5</v>
      </c>
      <c r="IX45">
        <v>0.95581099999999997</v>
      </c>
      <c r="IY45">
        <v>2.4645999999999999</v>
      </c>
      <c r="IZ45">
        <v>1.5991200000000001</v>
      </c>
      <c r="JA45">
        <v>2.2766099999999998</v>
      </c>
      <c r="JB45">
        <v>1.5502899999999999</v>
      </c>
      <c r="JC45">
        <v>2.3925800000000002</v>
      </c>
      <c r="JD45">
        <v>36.599600000000002</v>
      </c>
      <c r="JE45">
        <v>23.8248</v>
      </c>
      <c r="JF45">
        <v>18</v>
      </c>
      <c r="JG45">
        <v>509.02199999999999</v>
      </c>
      <c r="JH45">
        <v>516.18899999999996</v>
      </c>
      <c r="JI45">
        <v>28.738</v>
      </c>
      <c r="JJ45">
        <v>28.2836</v>
      </c>
      <c r="JK45">
        <v>29.999500000000001</v>
      </c>
      <c r="JL45">
        <v>28.2441</v>
      </c>
      <c r="JM45">
        <v>28.212900000000001</v>
      </c>
      <c r="JN45">
        <v>19.166699999999999</v>
      </c>
      <c r="JO45">
        <v>35.836300000000001</v>
      </c>
      <c r="JP45">
        <v>91.509600000000006</v>
      </c>
      <c r="JQ45">
        <v>28.7529</v>
      </c>
      <c r="JR45">
        <v>400</v>
      </c>
      <c r="JS45">
        <v>24.412800000000001</v>
      </c>
      <c r="JT45">
        <v>99.591300000000004</v>
      </c>
      <c r="JU45">
        <v>99.254599999999996</v>
      </c>
    </row>
    <row r="46" spans="1:281" x14ac:dyDescent="0.25">
      <c r="A46">
        <v>30</v>
      </c>
      <c r="B46">
        <v>1693501540.0999999</v>
      </c>
      <c r="C46">
        <v>7560.5</v>
      </c>
      <c r="D46" t="s">
        <v>569</v>
      </c>
      <c r="E46" t="s">
        <v>570</v>
      </c>
      <c r="F46" t="s">
        <v>413</v>
      </c>
      <c r="G46" t="s">
        <v>565</v>
      </c>
      <c r="H46" t="s">
        <v>31</v>
      </c>
      <c r="I46">
        <v>3</v>
      </c>
      <c r="J46">
        <v>1693501540.0999999</v>
      </c>
      <c r="K46">
        <f t="shared" si="0"/>
        <v>4.1728725576684333E-3</v>
      </c>
      <c r="L46">
        <f t="shared" si="1"/>
        <v>4.1728725576684331</v>
      </c>
      <c r="M46">
        <f t="shared" si="2"/>
        <v>32.731859568383314</v>
      </c>
      <c r="N46">
        <f t="shared" si="3"/>
        <v>259.47199999999998</v>
      </c>
      <c r="O46">
        <f t="shared" si="4"/>
        <v>80.288382800384866</v>
      </c>
      <c r="P46">
        <f t="shared" si="5"/>
        <v>8.0031297311160081</v>
      </c>
      <c r="Q46">
        <f t="shared" si="6"/>
        <v>25.8641163909728</v>
      </c>
      <c r="R46">
        <f t="shared" si="7"/>
        <v>0.31372327574720132</v>
      </c>
      <c r="S46">
        <f t="shared" si="8"/>
        <v>2.9361730722588053</v>
      </c>
      <c r="T46">
        <f t="shared" si="9"/>
        <v>0.296219456688396</v>
      </c>
      <c r="U46">
        <f t="shared" si="10"/>
        <v>0.1866283786419759</v>
      </c>
      <c r="V46">
        <f t="shared" si="11"/>
        <v>344.41120065808644</v>
      </c>
      <c r="W46">
        <f t="shared" si="12"/>
        <v>31.398391388508291</v>
      </c>
      <c r="X46">
        <f t="shared" si="13"/>
        <v>29.842300000000002</v>
      </c>
      <c r="Y46">
        <f t="shared" si="14"/>
        <v>4.2220099307621908</v>
      </c>
      <c r="Z46">
        <f t="shared" si="15"/>
        <v>65.570664521259985</v>
      </c>
      <c r="AA46">
        <f t="shared" si="16"/>
        <v>2.8677478992790402</v>
      </c>
      <c r="AB46">
        <f t="shared" si="17"/>
        <v>4.3735227028989918</v>
      </c>
      <c r="AC46">
        <f t="shared" si="18"/>
        <v>1.3542620314831506</v>
      </c>
      <c r="AD46">
        <f t="shared" si="19"/>
        <v>-184.02367979317791</v>
      </c>
      <c r="AE46">
        <f t="shared" si="20"/>
        <v>97.272254561708422</v>
      </c>
      <c r="AF46">
        <f t="shared" si="21"/>
        <v>7.3771696046755375</v>
      </c>
      <c r="AG46">
        <f t="shared" si="22"/>
        <v>265.03694503129248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52454.964409247114</v>
      </c>
      <c r="AM46" t="s">
        <v>417</v>
      </c>
      <c r="AN46">
        <v>10238.9</v>
      </c>
      <c r="AO46">
        <v>302.21199999999999</v>
      </c>
      <c r="AP46">
        <v>4052.3</v>
      </c>
      <c r="AQ46">
        <f t="shared" si="26"/>
        <v>0.92542210596451402</v>
      </c>
      <c r="AR46">
        <v>-0.32343011824092421</v>
      </c>
      <c r="AS46" t="s">
        <v>571</v>
      </c>
      <c r="AT46">
        <v>10485.4</v>
      </c>
      <c r="AU46">
        <v>668.30530769230768</v>
      </c>
      <c r="AV46">
        <v>918.89200973111713</v>
      </c>
      <c r="AW46">
        <f t="shared" si="27"/>
        <v>0.2727052791678265</v>
      </c>
      <c r="AX46">
        <v>0.5</v>
      </c>
      <c r="AY46">
        <f t="shared" si="28"/>
        <v>1513.3695003290431</v>
      </c>
      <c r="AZ46">
        <f t="shared" si="29"/>
        <v>32.731859568383314</v>
      </c>
      <c r="BA46">
        <f t="shared" si="30"/>
        <v>206.35192603565289</v>
      </c>
      <c r="BB46">
        <f t="shared" si="31"/>
        <v>2.1842180432100167E-2</v>
      </c>
      <c r="BC46">
        <f t="shared" si="32"/>
        <v>3.4099850222723882</v>
      </c>
      <c r="BD46">
        <f t="shared" si="33"/>
        <v>240.93893859655648</v>
      </c>
      <c r="BE46" t="s">
        <v>572</v>
      </c>
      <c r="BF46">
        <v>553.11</v>
      </c>
      <c r="BG46">
        <f t="shared" si="34"/>
        <v>553.11</v>
      </c>
      <c r="BH46">
        <f t="shared" si="35"/>
        <v>0.39806854979417106</v>
      </c>
      <c r="BI46">
        <f t="shared" si="36"/>
        <v>0.68507114995352936</v>
      </c>
      <c r="BJ46">
        <f t="shared" si="37"/>
        <v>0.89546666236154171</v>
      </c>
      <c r="BK46">
        <f t="shared" si="38"/>
        <v>0.40634802180156526</v>
      </c>
      <c r="BL46">
        <f t="shared" si="39"/>
        <v>0.83555585636093954</v>
      </c>
      <c r="BM46">
        <f t="shared" si="40"/>
        <v>0.56698592602717124</v>
      </c>
      <c r="BN46">
        <f t="shared" si="41"/>
        <v>0.43301407397282876</v>
      </c>
      <c r="BO46">
        <v>5746</v>
      </c>
      <c r="BP46">
        <v>290.00000000000011</v>
      </c>
      <c r="BQ46">
        <v>845.48</v>
      </c>
      <c r="BR46">
        <v>285</v>
      </c>
      <c r="BS46">
        <v>10485.4</v>
      </c>
      <c r="BT46">
        <v>845.11</v>
      </c>
      <c r="BU46">
        <v>0.37</v>
      </c>
      <c r="BV46">
        <v>300.00000000000011</v>
      </c>
      <c r="BW46">
        <v>38.200000000000003</v>
      </c>
      <c r="BX46">
        <v>918.89200973111713</v>
      </c>
      <c r="BY46">
        <v>1.315684345268213</v>
      </c>
      <c r="BZ46">
        <v>-77.359130080919343</v>
      </c>
      <c r="CA46">
        <v>1.130730123846307</v>
      </c>
      <c r="CB46">
        <v>0.99405348452541076</v>
      </c>
      <c r="CC46">
        <v>-1.139501156840936E-2</v>
      </c>
      <c r="CD46">
        <v>289.99999999999989</v>
      </c>
      <c r="CE46">
        <v>839.61</v>
      </c>
      <c r="CF46">
        <v>665</v>
      </c>
      <c r="CG46">
        <v>10472.4</v>
      </c>
      <c r="CH46">
        <v>845.02</v>
      </c>
      <c r="CI46">
        <v>-5.41</v>
      </c>
      <c r="CW46">
        <f t="shared" si="42"/>
        <v>1800.22</v>
      </c>
      <c r="CX46">
        <f t="shared" si="43"/>
        <v>1513.3695003290431</v>
      </c>
      <c r="CY46">
        <f t="shared" si="44"/>
        <v>0.84065808641668416</v>
      </c>
      <c r="CZ46">
        <f t="shared" si="45"/>
        <v>0.19131617283336838</v>
      </c>
      <c r="DA46">
        <v>6</v>
      </c>
      <c r="DB46">
        <v>0.5</v>
      </c>
      <c r="DC46" t="s">
        <v>420</v>
      </c>
      <c r="DD46">
        <v>2</v>
      </c>
      <c r="DE46">
        <v>1693501540.0999999</v>
      </c>
      <c r="DF46">
        <v>259.47199999999998</v>
      </c>
      <c r="DG46">
        <v>300.06299999999999</v>
      </c>
      <c r="DH46">
        <v>28.769600000000001</v>
      </c>
      <c r="DI46">
        <v>23.904599999999999</v>
      </c>
      <c r="DJ46">
        <v>261.69099999999997</v>
      </c>
      <c r="DK46">
        <v>28.230399999999999</v>
      </c>
      <c r="DL46">
        <v>499.834</v>
      </c>
      <c r="DM46">
        <v>99.581400000000002</v>
      </c>
      <c r="DN46">
        <v>9.8397399999999996E-2</v>
      </c>
      <c r="DO46">
        <v>30.456800000000001</v>
      </c>
      <c r="DP46">
        <v>29.842300000000002</v>
      </c>
      <c r="DQ46">
        <v>999.9</v>
      </c>
      <c r="DR46">
        <v>0</v>
      </c>
      <c r="DS46">
        <v>0</v>
      </c>
      <c r="DT46">
        <v>10080</v>
      </c>
      <c r="DU46">
        <v>0</v>
      </c>
      <c r="DV46">
        <v>1801.93</v>
      </c>
      <c r="DW46">
        <v>-40.590800000000002</v>
      </c>
      <c r="DX46">
        <v>267.15800000000002</v>
      </c>
      <c r="DY46">
        <v>307.411</v>
      </c>
      <c r="DZ46">
        <v>4.8649800000000001</v>
      </c>
      <c r="EA46">
        <v>300.06299999999999</v>
      </c>
      <c r="EB46">
        <v>23.904599999999999</v>
      </c>
      <c r="EC46">
        <v>2.8649100000000001</v>
      </c>
      <c r="ED46">
        <v>2.3804500000000002</v>
      </c>
      <c r="EE46">
        <v>23.263000000000002</v>
      </c>
      <c r="EF46">
        <v>20.231400000000001</v>
      </c>
      <c r="EG46">
        <v>1800.22</v>
      </c>
      <c r="EH46">
        <v>0.97800200000000004</v>
      </c>
      <c r="EI46">
        <v>2.1998199999999999E-2</v>
      </c>
      <c r="EJ46">
        <v>0</v>
      </c>
      <c r="EK46">
        <v>668.72500000000002</v>
      </c>
      <c r="EL46">
        <v>4.9995000000000003</v>
      </c>
      <c r="EM46">
        <v>12954.2</v>
      </c>
      <c r="EN46">
        <v>16661.900000000001</v>
      </c>
      <c r="EO46">
        <v>45.125</v>
      </c>
      <c r="EP46">
        <v>45.375</v>
      </c>
      <c r="EQ46">
        <v>45.811999999999998</v>
      </c>
      <c r="ER46">
        <v>45.125</v>
      </c>
      <c r="ES46">
        <v>46.625</v>
      </c>
      <c r="ET46">
        <v>1755.73</v>
      </c>
      <c r="EU46">
        <v>39.49</v>
      </c>
      <c r="EV46">
        <v>0</v>
      </c>
      <c r="EW46">
        <v>165.79999995231631</v>
      </c>
      <c r="EX46">
        <v>0</v>
      </c>
      <c r="EY46">
        <v>668.30530769230768</v>
      </c>
      <c r="EZ46">
        <v>3.2231111088376592</v>
      </c>
      <c r="FA46">
        <v>49.521367611067618</v>
      </c>
      <c r="FB46">
        <v>12947.03461538462</v>
      </c>
      <c r="FC46">
        <v>15</v>
      </c>
      <c r="FD46">
        <v>1693501455.0999999</v>
      </c>
      <c r="FE46" t="s">
        <v>573</v>
      </c>
      <c r="FF46">
        <v>1693501448.5999999</v>
      </c>
      <c r="FG46">
        <v>1693501455.0999999</v>
      </c>
      <c r="FH46">
        <v>37</v>
      </c>
      <c r="FI46">
        <v>0.19600000000000001</v>
      </c>
      <c r="FJ46">
        <v>5.0000000000000001E-3</v>
      </c>
      <c r="FK46">
        <v>-2.2890000000000001</v>
      </c>
      <c r="FL46">
        <v>0.35599999999999998</v>
      </c>
      <c r="FM46">
        <v>300</v>
      </c>
      <c r="FN46">
        <v>25</v>
      </c>
      <c r="FO46">
        <v>0.1</v>
      </c>
      <c r="FP46">
        <v>7.0000000000000007E-2</v>
      </c>
      <c r="FQ46">
        <v>32.600988086018297</v>
      </c>
      <c r="FR46">
        <v>0.65582153881202865</v>
      </c>
      <c r="FS46">
        <v>7.3874985165653023E-2</v>
      </c>
      <c r="FT46">
        <v>1</v>
      </c>
      <c r="FU46">
        <v>0.30435076044960802</v>
      </c>
      <c r="FV46">
        <v>4.7406209447882007E-2</v>
      </c>
      <c r="FW46">
        <v>3.8015066963270811E-3</v>
      </c>
      <c r="FX46">
        <v>1</v>
      </c>
      <c r="FY46">
        <v>2</v>
      </c>
      <c r="FZ46">
        <v>2</v>
      </c>
      <c r="GA46" t="s">
        <v>422</v>
      </c>
      <c r="GB46">
        <v>2.9723999999999999</v>
      </c>
      <c r="GC46">
        <v>2.8107899999999999</v>
      </c>
      <c r="GD46">
        <v>6.9547800000000007E-2</v>
      </c>
      <c r="GE46">
        <v>7.7085799999999996E-2</v>
      </c>
      <c r="GF46">
        <v>0.13624700000000001</v>
      </c>
      <c r="GG46">
        <v>0.119589</v>
      </c>
      <c r="GH46">
        <v>27615.9</v>
      </c>
      <c r="GI46">
        <v>25272.9</v>
      </c>
      <c r="GJ46">
        <v>26664.7</v>
      </c>
      <c r="GK46">
        <v>25820.799999999999</v>
      </c>
      <c r="GL46">
        <v>31311.3</v>
      </c>
      <c r="GM46">
        <v>32021</v>
      </c>
      <c r="GN46">
        <v>37766.1</v>
      </c>
      <c r="GO46">
        <v>38206.6</v>
      </c>
      <c r="GP46">
        <v>2.0158</v>
      </c>
      <c r="GQ46">
        <v>2.0731000000000002</v>
      </c>
      <c r="GR46">
        <v>9.6827700000000003E-2</v>
      </c>
      <c r="GS46">
        <v>0</v>
      </c>
      <c r="GT46">
        <v>28.264099999999999</v>
      </c>
      <c r="GU46">
        <v>999.9</v>
      </c>
      <c r="GV46">
        <v>67.3</v>
      </c>
      <c r="GW46">
        <v>32.200000000000003</v>
      </c>
      <c r="GX46">
        <v>32.64</v>
      </c>
      <c r="GY46">
        <v>61.3127</v>
      </c>
      <c r="GZ46">
        <v>13.0449</v>
      </c>
      <c r="HA46">
        <v>1</v>
      </c>
      <c r="HB46">
        <v>5.9938999999999999E-2</v>
      </c>
      <c r="HC46">
        <v>-0.96290900000000001</v>
      </c>
      <c r="HD46">
        <v>20.2529</v>
      </c>
      <c r="HE46">
        <v>5.1993200000000002</v>
      </c>
      <c r="HF46">
        <v>11.9321</v>
      </c>
      <c r="HG46">
        <v>4.9859999999999998</v>
      </c>
      <c r="HH46">
        <v>3.2886000000000002</v>
      </c>
      <c r="HI46">
        <v>9999</v>
      </c>
      <c r="HJ46">
        <v>9999</v>
      </c>
      <c r="HK46">
        <v>9999</v>
      </c>
      <c r="HL46">
        <v>999.9</v>
      </c>
      <c r="HM46">
        <v>1.87042</v>
      </c>
      <c r="HN46">
        <v>1.8767100000000001</v>
      </c>
      <c r="HO46">
        <v>1.8745099999999999</v>
      </c>
      <c r="HP46">
        <v>1.8727100000000001</v>
      </c>
      <c r="HQ46">
        <v>1.8731800000000001</v>
      </c>
      <c r="HR46">
        <v>1.87059</v>
      </c>
      <c r="HS46">
        <v>1.87653</v>
      </c>
      <c r="HT46">
        <v>1.87554</v>
      </c>
      <c r="HU46">
        <v>5</v>
      </c>
      <c r="HV46">
        <v>0</v>
      </c>
      <c r="HW46">
        <v>0</v>
      </c>
      <c r="HX46">
        <v>0</v>
      </c>
      <c r="HY46" t="s">
        <v>423</v>
      </c>
      <c r="HZ46" t="s">
        <v>424</v>
      </c>
      <c r="IA46" t="s">
        <v>425</v>
      </c>
      <c r="IB46" t="s">
        <v>425</v>
      </c>
      <c r="IC46" t="s">
        <v>425</v>
      </c>
      <c r="ID46" t="s">
        <v>425</v>
      </c>
      <c r="IE46">
        <v>0</v>
      </c>
      <c r="IF46">
        <v>100</v>
      </c>
      <c r="IG46">
        <v>100</v>
      </c>
      <c r="IH46">
        <v>-2.2189999999999999</v>
      </c>
      <c r="II46">
        <v>0.53920000000000001</v>
      </c>
      <c r="IJ46">
        <v>-1.639829314357041</v>
      </c>
      <c r="IK46">
        <v>-2.677719669153116E-3</v>
      </c>
      <c r="IL46">
        <v>1.9353498771248068E-6</v>
      </c>
      <c r="IM46">
        <v>-6.1862177325538213E-10</v>
      </c>
      <c r="IN46">
        <v>-8.6011110490822579E-2</v>
      </c>
      <c r="IO46">
        <v>-1.5299015507423901E-2</v>
      </c>
      <c r="IP46">
        <v>1.742162107778985E-3</v>
      </c>
      <c r="IQ46">
        <v>-1.472690239905804E-5</v>
      </c>
      <c r="IR46">
        <v>3</v>
      </c>
      <c r="IS46">
        <v>2255</v>
      </c>
      <c r="IT46">
        <v>2</v>
      </c>
      <c r="IU46">
        <v>41</v>
      </c>
      <c r="IV46">
        <v>1.5</v>
      </c>
      <c r="IW46">
        <v>1.4</v>
      </c>
      <c r="IX46">
        <v>0.76415999999999995</v>
      </c>
      <c r="IY46">
        <v>2.48291</v>
      </c>
      <c r="IZ46">
        <v>1.5991200000000001</v>
      </c>
      <c r="JA46">
        <v>2.2753899999999998</v>
      </c>
      <c r="JB46">
        <v>1.5502899999999999</v>
      </c>
      <c r="JC46">
        <v>2.2375500000000001</v>
      </c>
      <c r="JD46">
        <v>36.741700000000002</v>
      </c>
      <c r="JE46">
        <v>23.816099999999999</v>
      </c>
      <c r="JF46">
        <v>18</v>
      </c>
      <c r="JG46">
        <v>508.87</v>
      </c>
      <c r="JH46">
        <v>515.04899999999998</v>
      </c>
      <c r="JI46">
        <v>28.922699999999999</v>
      </c>
      <c r="JJ46">
        <v>28.346900000000002</v>
      </c>
      <c r="JK46">
        <v>30.0001</v>
      </c>
      <c r="JL46">
        <v>28.277699999999999</v>
      </c>
      <c r="JM46">
        <v>28.241499999999998</v>
      </c>
      <c r="JN46">
        <v>15.323</v>
      </c>
      <c r="JO46">
        <v>37.600700000000003</v>
      </c>
      <c r="JP46">
        <v>87.606300000000005</v>
      </c>
      <c r="JQ46">
        <v>29.003699999999998</v>
      </c>
      <c r="JR46">
        <v>300</v>
      </c>
      <c r="JS46">
        <v>23.8034</v>
      </c>
      <c r="JT46">
        <v>99.584000000000003</v>
      </c>
      <c r="JU46">
        <v>99.244500000000002</v>
      </c>
    </row>
    <row r="47" spans="1:281" x14ac:dyDescent="0.25">
      <c r="A47">
        <v>31</v>
      </c>
      <c r="B47">
        <v>1693501687.0999999</v>
      </c>
      <c r="C47">
        <v>7707.5</v>
      </c>
      <c r="D47" t="s">
        <v>574</v>
      </c>
      <c r="E47" t="s">
        <v>575</v>
      </c>
      <c r="F47" t="s">
        <v>413</v>
      </c>
      <c r="G47" t="s">
        <v>565</v>
      </c>
      <c r="H47" t="s">
        <v>31</v>
      </c>
      <c r="I47">
        <v>3</v>
      </c>
      <c r="J47">
        <v>1693501687.0999999</v>
      </c>
      <c r="K47">
        <f t="shared" si="0"/>
        <v>4.628963628841699E-3</v>
      </c>
      <c r="L47">
        <f t="shared" si="1"/>
        <v>4.6289636288416993</v>
      </c>
      <c r="M47">
        <f t="shared" si="2"/>
        <v>23.985869059862793</v>
      </c>
      <c r="N47">
        <f t="shared" si="3"/>
        <v>170.29599999999999</v>
      </c>
      <c r="O47">
        <f t="shared" si="4"/>
        <v>48.527598850311975</v>
      </c>
      <c r="P47">
        <f t="shared" si="5"/>
        <v>4.8371733540840642</v>
      </c>
      <c r="Q47">
        <f t="shared" si="6"/>
        <v>16.974902798056</v>
      </c>
      <c r="R47">
        <f t="shared" si="7"/>
        <v>0.33959613429388635</v>
      </c>
      <c r="S47">
        <f t="shared" si="8"/>
        <v>2.9124936749964441</v>
      </c>
      <c r="T47">
        <f t="shared" si="9"/>
        <v>0.3190318199692756</v>
      </c>
      <c r="U47">
        <f t="shared" si="10"/>
        <v>0.20113865394241251</v>
      </c>
      <c r="V47">
        <f t="shared" si="11"/>
        <v>344.37890065814855</v>
      </c>
      <c r="W47">
        <f t="shared" si="12"/>
        <v>31.580765037469597</v>
      </c>
      <c r="X47">
        <f t="shared" si="13"/>
        <v>30.0762</v>
      </c>
      <c r="Y47">
        <f t="shared" si="14"/>
        <v>4.2791327910754964</v>
      </c>
      <c r="Z47">
        <f t="shared" si="15"/>
        <v>64.859217423792785</v>
      </c>
      <c r="AA47">
        <f t="shared" si="16"/>
        <v>2.8848244049131999</v>
      </c>
      <c r="AB47">
        <f t="shared" si="17"/>
        <v>4.4478248728529044</v>
      </c>
      <c r="AC47">
        <f t="shared" si="18"/>
        <v>1.3943083861622965</v>
      </c>
      <c r="AD47">
        <f t="shared" si="19"/>
        <v>-204.13729603191894</v>
      </c>
      <c r="AE47">
        <f t="shared" si="20"/>
        <v>106.01879600112693</v>
      </c>
      <c r="AF47">
        <f t="shared" si="21"/>
        <v>8.1271001481175205</v>
      </c>
      <c r="AG47">
        <f t="shared" si="22"/>
        <v>254.38750077547405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51729.50146467398</v>
      </c>
      <c r="AM47" t="s">
        <v>417</v>
      </c>
      <c r="AN47">
        <v>10238.9</v>
      </c>
      <c r="AO47">
        <v>302.21199999999999</v>
      </c>
      <c r="AP47">
        <v>4052.3</v>
      </c>
      <c r="AQ47">
        <f t="shared" si="26"/>
        <v>0.92542210596451402</v>
      </c>
      <c r="AR47">
        <v>-0.32343011824092421</v>
      </c>
      <c r="AS47" t="s">
        <v>576</v>
      </c>
      <c r="AT47">
        <v>10487.2</v>
      </c>
      <c r="AU47">
        <v>657.65476923076915</v>
      </c>
      <c r="AV47">
        <v>839.79526700513611</v>
      </c>
      <c r="AW47">
        <f t="shared" si="27"/>
        <v>0.21688678768566216</v>
      </c>
      <c r="AX47">
        <v>0.5</v>
      </c>
      <c r="AY47">
        <f t="shared" si="28"/>
        <v>1513.2267003290742</v>
      </c>
      <c r="AZ47">
        <f t="shared" si="29"/>
        <v>23.985869059862793</v>
      </c>
      <c r="BA47">
        <f t="shared" si="30"/>
        <v>164.09943903727353</v>
      </c>
      <c r="BB47">
        <f t="shared" si="31"/>
        <v>1.6064545499241648E-2</v>
      </c>
      <c r="BC47">
        <f t="shared" si="32"/>
        <v>3.8253427462758212</v>
      </c>
      <c r="BD47">
        <f t="shared" si="33"/>
        <v>235.13210179962604</v>
      </c>
      <c r="BE47" t="s">
        <v>577</v>
      </c>
      <c r="BF47">
        <v>547.16999999999996</v>
      </c>
      <c r="BG47">
        <f t="shared" si="34"/>
        <v>547.16999999999996</v>
      </c>
      <c r="BH47">
        <f t="shared" si="35"/>
        <v>0.34844834033024685</v>
      </c>
      <c r="BI47">
        <f t="shared" si="36"/>
        <v>0.622435990023958</v>
      </c>
      <c r="BJ47">
        <f t="shared" si="37"/>
        <v>0.91651514579911841</v>
      </c>
      <c r="BK47">
        <f t="shared" si="38"/>
        <v>0.33881355494762222</v>
      </c>
      <c r="BL47">
        <f t="shared" si="39"/>
        <v>0.85664782612964385</v>
      </c>
      <c r="BM47">
        <f t="shared" si="40"/>
        <v>0.5178679097237735</v>
      </c>
      <c r="BN47">
        <f t="shared" si="41"/>
        <v>0.4821320902762265</v>
      </c>
      <c r="BO47">
        <v>5748</v>
      </c>
      <c r="BP47">
        <v>290.00000000000011</v>
      </c>
      <c r="BQ47">
        <v>788.99</v>
      </c>
      <c r="BR47">
        <v>275</v>
      </c>
      <c r="BS47">
        <v>10487.2</v>
      </c>
      <c r="BT47">
        <v>789.54</v>
      </c>
      <c r="BU47">
        <v>-0.55000000000000004</v>
      </c>
      <c r="BV47">
        <v>300.00000000000011</v>
      </c>
      <c r="BW47">
        <v>38.200000000000003</v>
      </c>
      <c r="BX47">
        <v>839.79526700513611</v>
      </c>
      <c r="BY47">
        <v>1.1423428402882849</v>
      </c>
      <c r="BZ47">
        <v>-52.707158726657077</v>
      </c>
      <c r="CA47">
        <v>0.98180892435807754</v>
      </c>
      <c r="CB47">
        <v>0.99037781561310645</v>
      </c>
      <c r="CC47">
        <v>-1.1395292547274749E-2</v>
      </c>
      <c r="CD47">
        <v>289.99999999999989</v>
      </c>
      <c r="CE47">
        <v>786.85</v>
      </c>
      <c r="CF47">
        <v>715</v>
      </c>
      <c r="CG47">
        <v>10468.4</v>
      </c>
      <c r="CH47">
        <v>789.45</v>
      </c>
      <c r="CI47">
        <v>-2.6</v>
      </c>
      <c r="CW47">
        <f t="shared" si="42"/>
        <v>1800.05</v>
      </c>
      <c r="CX47">
        <f t="shared" si="43"/>
        <v>1513.2267003290742</v>
      </c>
      <c r="CY47">
        <f t="shared" si="44"/>
        <v>0.84065814856758103</v>
      </c>
      <c r="CZ47">
        <f t="shared" si="45"/>
        <v>0.19131629713516213</v>
      </c>
      <c r="DA47">
        <v>6</v>
      </c>
      <c r="DB47">
        <v>0.5</v>
      </c>
      <c r="DC47" t="s">
        <v>420</v>
      </c>
      <c r="DD47">
        <v>2</v>
      </c>
      <c r="DE47">
        <v>1693501687.0999999</v>
      </c>
      <c r="DF47">
        <v>170.29599999999999</v>
      </c>
      <c r="DG47">
        <v>200.01400000000001</v>
      </c>
      <c r="DH47">
        <v>28.941199999999998</v>
      </c>
      <c r="DI47">
        <v>23.549199999999999</v>
      </c>
      <c r="DJ47">
        <v>172.256</v>
      </c>
      <c r="DK47">
        <v>28.408999999999999</v>
      </c>
      <c r="DL47">
        <v>500.185</v>
      </c>
      <c r="DM47">
        <v>99.578599999999994</v>
      </c>
      <c r="DN47">
        <v>0.10021099999999999</v>
      </c>
      <c r="DO47">
        <v>30.7514</v>
      </c>
      <c r="DP47">
        <v>30.0762</v>
      </c>
      <c r="DQ47">
        <v>999.9</v>
      </c>
      <c r="DR47">
        <v>0</v>
      </c>
      <c r="DS47">
        <v>0</v>
      </c>
      <c r="DT47">
        <v>9945</v>
      </c>
      <c r="DU47">
        <v>0</v>
      </c>
      <c r="DV47">
        <v>1806.25</v>
      </c>
      <c r="DW47">
        <v>-29.718399999999999</v>
      </c>
      <c r="DX47">
        <v>175.37100000000001</v>
      </c>
      <c r="DY47">
        <v>204.83799999999999</v>
      </c>
      <c r="DZ47">
        <v>5.3919499999999996</v>
      </c>
      <c r="EA47">
        <v>200.01400000000001</v>
      </c>
      <c r="EB47">
        <v>23.549199999999999</v>
      </c>
      <c r="EC47">
        <v>2.88192</v>
      </c>
      <c r="ED47">
        <v>2.3450000000000002</v>
      </c>
      <c r="EE47">
        <v>23.361000000000001</v>
      </c>
      <c r="EF47">
        <v>19.988900000000001</v>
      </c>
      <c r="EG47">
        <v>1800.05</v>
      </c>
      <c r="EH47">
        <v>0.97799800000000003</v>
      </c>
      <c r="EI47">
        <v>2.2001799999999998E-2</v>
      </c>
      <c r="EJ47">
        <v>0</v>
      </c>
      <c r="EK47">
        <v>657.29899999999998</v>
      </c>
      <c r="EL47">
        <v>4.9995000000000003</v>
      </c>
      <c r="EM47">
        <v>12746.4</v>
      </c>
      <c r="EN47">
        <v>16660.2</v>
      </c>
      <c r="EO47">
        <v>45</v>
      </c>
      <c r="EP47">
        <v>45.186999999999998</v>
      </c>
      <c r="EQ47">
        <v>45.686999999999998</v>
      </c>
      <c r="ER47">
        <v>44.875</v>
      </c>
      <c r="ES47">
        <v>46.5</v>
      </c>
      <c r="ET47">
        <v>1755.56</v>
      </c>
      <c r="EU47">
        <v>39.49</v>
      </c>
      <c r="EV47">
        <v>0</v>
      </c>
      <c r="EW47">
        <v>145.20000004768369</v>
      </c>
      <c r="EX47">
        <v>0</v>
      </c>
      <c r="EY47">
        <v>657.65476923076915</v>
      </c>
      <c r="EZ47">
        <v>-1.897641037727072</v>
      </c>
      <c r="FA47">
        <v>-10.895726456042089</v>
      </c>
      <c r="FB47">
        <v>12744.27307692308</v>
      </c>
      <c r="FC47">
        <v>15</v>
      </c>
      <c r="FD47">
        <v>1693501615.5999999</v>
      </c>
      <c r="FE47" t="s">
        <v>578</v>
      </c>
      <c r="FF47">
        <v>1693501604.5999999</v>
      </c>
      <c r="FG47">
        <v>1693501615.5999999</v>
      </c>
      <c r="FH47">
        <v>38</v>
      </c>
      <c r="FI47">
        <v>8.6999999999999994E-2</v>
      </c>
      <c r="FJ47">
        <v>-1.6E-2</v>
      </c>
      <c r="FK47">
        <v>-2.02</v>
      </c>
      <c r="FL47">
        <v>0.307</v>
      </c>
      <c r="FM47">
        <v>200</v>
      </c>
      <c r="FN47">
        <v>24</v>
      </c>
      <c r="FO47">
        <v>0.23</v>
      </c>
      <c r="FP47">
        <v>0.05</v>
      </c>
      <c r="FQ47">
        <v>23.791088255505461</v>
      </c>
      <c r="FR47">
        <v>0.68254256867178553</v>
      </c>
      <c r="FS47">
        <v>7.3506769027829308E-2</v>
      </c>
      <c r="FT47">
        <v>1</v>
      </c>
      <c r="FU47">
        <v>0.34061314314804669</v>
      </c>
      <c r="FV47">
        <v>2.630424797087693E-2</v>
      </c>
      <c r="FW47">
        <v>3.10993638454322E-3</v>
      </c>
      <c r="FX47">
        <v>1</v>
      </c>
      <c r="FY47">
        <v>2</v>
      </c>
      <c r="FZ47">
        <v>2</v>
      </c>
      <c r="GA47" t="s">
        <v>422</v>
      </c>
      <c r="GB47">
        <v>2.9733399999999999</v>
      </c>
      <c r="GC47">
        <v>2.8114300000000001</v>
      </c>
      <c r="GD47">
        <v>4.8184699999999997E-2</v>
      </c>
      <c r="GE47">
        <v>5.4489200000000002E-2</v>
      </c>
      <c r="GF47">
        <v>0.13684099999999999</v>
      </c>
      <c r="GG47">
        <v>0.11834</v>
      </c>
      <c r="GH47">
        <v>28251</v>
      </c>
      <c r="GI47">
        <v>25892.7</v>
      </c>
      <c r="GJ47">
        <v>26665.8</v>
      </c>
      <c r="GK47">
        <v>25821.9</v>
      </c>
      <c r="GL47">
        <v>31288.6</v>
      </c>
      <c r="GM47">
        <v>32065.3</v>
      </c>
      <c r="GN47">
        <v>37767.300000000003</v>
      </c>
      <c r="GO47">
        <v>38207.199999999997</v>
      </c>
      <c r="GP47">
        <v>2.0175000000000001</v>
      </c>
      <c r="GQ47">
        <v>2.0705</v>
      </c>
      <c r="GR47">
        <v>0.10764600000000001</v>
      </c>
      <c r="GS47">
        <v>0</v>
      </c>
      <c r="GT47">
        <v>28.322099999999999</v>
      </c>
      <c r="GU47">
        <v>999.9</v>
      </c>
      <c r="GV47">
        <v>67</v>
      </c>
      <c r="GW47">
        <v>32.299999999999997</v>
      </c>
      <c r="GX47">
        <v>32.6798</v>
      </c>
      <c r="GY47">
        <v>61.642699999999998</v>
      </c>
      <c r="GZ47">
        <v>13.693899999999999</v>
      </c>
      <c r="HA47">
        <v>1</v>
      </c>
      <c r="HB47">
        <v>6.0406500000000002E-2</v>
      </c>
      <c r="HC47">
        <v>-1.22113E-2</v>
      </c>
      <c r="HD47">
        <v>20.257999999999999</v>
      </c>
      <c r="HE47">
        <v>5.2095000000000002</v>
      </c>
      <c r="HF47">
        <v>11.9321</v>
      </c>
      <c r="HG47">
        <v>4.9885999999999999</v>
      </c>
      <c r="HH47">
        <v>3.2909999999999999</v>
      </c>
      <c r="HI47">
        <v>9999</v>
      </c>
      <c r="HJ47">
        <v>9999</v>
      </c>
      <c r="HK47">
        <v>9999</v>
      </c>
      <c r="HL47">
        <v>999.9</v>
      </c>
      <c r="HM47">
        <v>1.87042</v>
      </c>
      <c r="HN47">
        <v>1.8767100000000001</v>
      </c>
      <c r="HO47">
        <v>1.87453</v>
      </c>
      <c r="HP47">
        <v>1.87277</v>
      </c>
      <c r="HQ47">
        <v>1.8732</v>
      </c>
      <c r="HR47">
        <v>1.8706499999999999</v>
      </c>
      <c r="HS47">
        <v>1.87653</v>
      </c>
      <c r="HT47">
        <v>1.8755999999999999</v>
      </c>
      <c r="HU47">
        <v>5</v>
      </c>
      <c r="HV47">
        <v>0</v>
      </c>
      <c r="HW47">
        <v>0</v>
      </c>
      <c r="HX47">
        <v>0</v>
      </c>
      <c r="HY47" t="s">
        <v>423</v>
      </c>
      <c r="HZ47" t="s">
        <v>424</v>
      </c>
      <c r="IA47" t="s">
        <v>425</v>
      </c>
      <c r="IB47" t="s">
        <v>425</v>
      </c>
      <c r="IC47" t="s">
        <v>425</v>
      </c>
      <c r="ID47" t="s">
        <v>425</v>
      </c>
      <c r="IE47">
        <v>0</v>
      </c>
      <c r="IF47">
        <v>100</v>
      </c>
      <c r="IG47">
        <v>100</v>
      </c>
      <c r="IH47">
        <v>-1.96</v>
      </c>
      <c r="II47">
        <v>0.53220000000000001</v>
      </c>
      <c r="IJ47">
        <v>-1.5531929842801859</v>
      </c>
      <c r="IK47">
        <v>-2.677719669153116E-3</v>
      </c>
      <c r="IL47">
        <v>1.9353498771248068E-6</v>
      </c>
      <c r="IM47">
        <v>-6.1862177325538213E-10</v>
      </c>
      <c r="IN47">
        <v>-0.1016206058550681</v>
      </c>
      <c r="IO47">
        <v>-1.5299015507423901E-2</v>
      </c>
      <c r="IP47">
        <v>1.742162107778985E-3</v>
      </c>
      <c r="IQ47">
        <v>-1.472690239905804E-5</v>
      </c>
      <c r="IR47">
        <v>3</v>
      </c>
      <c r="IS47">
        <v>2255</v>
      </c>
      <c r="IT47">
        <v>2</v>
      </c>
      <c r="IU47">
        <v>41</v>
      </c>
      <c r="IV47">
        <v>1.4</v>
      </c>
      <c r="IW47">
        <v>1.2</v>
      </c>
      <c r="IX47">
        <v>0.56396500000000005</v>
      </c>
      <c r="IY47">
        <v>2.4890099999999999</v>
      </c>
      <c r="IZ47">
        <v>1.5991200000000001</v>
      </c>
      <c r="JA47">
        <v>2.2741699999999998</v>
      </c>
      <c r="JB47">
        <v>1.5502899999999999</v>
      </c>
      <c r="JC47">
        <v>2.4047900000000002</v>
      </c>
      <c r="JD47">
        <v>36.812899999999999</v>
      </c>
      <c r="JE47">
        <v>23.8248</v>
      </c>
      <c r="JF47">
        <v>18</v>
      </c>
      <c r="JG47">
        <v>510.03500000000003</v>
      </c>
      <c r="JH47">
        <v>513.40300000000002</v>
      </c>
      <c r="JI47">
        <v>28.921500000000002</v>
      </c>
      <c r="JJ47">
        <v>28.349299999999999</v>
      </c>
      <c r="JK47">
        <v>30</v>
      </c>
      <c r="JL47">
        <v>28.287299999999998</v>
      </c>
      <c r="JM47">
        <v>28.251100000000001</v>
      </c>
      <c r="JN47">
        <v>11.322100000000001</v>
      </c>
      <c r="JO47">
        <v>38.087600000000002</v>
      </c>
      <c r="JP47">
        <v>84.183800000000005</v>
      </c>
      <c r="JQ47">
        <v>28.865400000000001</v>
      </c>
      <c r="JR47">
        <v>200</v>
      </c>
      <c r="JS47">
        <v>23.6677</v>
      </c>
      <c r="JT47">
        <v>99.587500000000006</v>
      </c>
      <c r="JU47">
        <v>99.247200000000007</v>
      </c>
    </row>
    <row r="48" spans="1:281" x14ac:dyDescent="0.25">
      <c r="A48">
        <v>32</v>
      </c>
      <c r="B48">
        <v>1693501813.0999999</v>
      </c>
      <c r="C48">
        <v>7833.5</v>
      </c>
      <c r="D48" t="s">
        <v>579</v>
      </c>
      <c r="E48" t="s">
        <v>580</v>
      </c>
      <c r="F48" t="s">
        <v>413</v>
      </c>
      <c r="G48" t="s">
        <v>565</v>
      </c>
      <c r="H48" t="s">
        <v>31</v>
      </c>
      <c r="I48">
        <v>3</v>
      </c>
      <c r="J48">
        <v>1693501813.0999999</v>
      </c>
      <c r="K48">
        <f t="shared" si="0"/>
        <v>5.1446109009787178E-3</v>
      </c>
      <c r="L48">
        <f t="shared" si="1"/>
        <v>5.1446109009787175</v>
      </c>
      <c r="M48">
        <f t="shared" si="2"/>
        <v>15.358267594656478</v>
      </c>
      <c r="N48">
        <f t="shared" si="3"/>
        <v>100.946</v>
      </c>
      <c r="O48">
        <f t="shared" si="4"/>
        <v>32.748006752054039</v>
      </c>
      <c r="P48">
        <f t="shared" si="5"/>
        <v>3.2640172117792461</v>
      </c>
      <c r="Q48">
        <f t="shared" si="6"/>
        <v>10.061359885349399</v>
      </c>
      <c r="R48">
        <f t="shared" si="7"/>
        <v>0.39176057077129889</v>
      </c>
      <c r="S48">
        <f t="shared" si="8"/>
        <v>2.9233336331667554</v>
      </c>
      <c r="T48">
        <f t="shared" si="9"/>
        <v>0.36475676245907901</v>
      </c>
      <c r="U48">
        <f t="shared" si="10"/>
        <v>0.23024386303911487</v>
      </c>
      <c r="V48">
        <f t="shared" si="11"/>
        <v>344.33008749027323</v>
      </c>
      <c r="W48">
        <f t="shared" si="12"/>
        <v>31.367740226398492</v>
      </c>
      <c r="X48">
        <f t="shared" si="13"/>
        <v>29.992999999999999</v>
      </c>
      <c r="Y48">
        <f t="shared" si="14"/>
        <v>4.2587370553178223</v>
      </c>
      <c r="Z48">
        <f t="shared" si="15"/>
        <v>65.562084551927256</v>
      </c>
      <c r="AA48">
        <f t="shared" si="16"/>
        <v>2.9034676983353402</v>
      </c>
      <c r="AB48">
        <f t="shared" si="17"/>
        <v>4.4285774593327663</v>
      </c>
      <c r="AC48">
        <f t="shared" si="18"/>
        <v>1.3552693569824821</v>
      </c>
      <c r="AD48">
        <f t="shared" si="19"/>
        <v>-226.87734073316145</v>
      </c>
      <c r="AE48">
        <f t="shared" si="20"/>
        <v>107.56388563235294</v>
      </c>
      <c r="AF48">
        <f t="shared" si="21"/>
        <v>8.2085076377615458</v>
      </c>
      <c r="AG48">
        <f t="shared" si="22"/>
        <v>233.22514002722627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52050.701783315773</v>
      </c>
      <c r="AM48" t="s">
        <v>417</v>
      </c>
      <c r="AN48">
        <v>10238.9</v>
      </c>
      <c r="AO48">
        <v>302.21199999999999</v>
      </c>
      <c r="AP48">
        <v>4052.3</v>
      </c>
      <c r="AQ48">
        <f t="shared" si="26"/>
        <v>0.92542210596451402</v>
      </c>
      <c r="AR48">
        <v>-0.32343011824092421</v>
      </c>
      <c r="AS48" t="s">
        <v>581</v>
      </c>
      <c r="AT48">
        <v>10493.3</v>
      </c>
      <c r="AU48">
        <v>662.81107999999995</v>
      </c>
      <c r="AV48">
        <v>788.50630437005327</v>
      </c>
      <c r="AW48">
        <f t="shared" si="27"/>
        <v>0.15940928268223886</v>
      </c>
      <c r="AX48">
        <v>0.5</v>
      </c>
      <c r="AY48">
        <f t="shared" si="28"/>
        <v>1513.0085937451365</v>
      </c>
      <c r="AZ48">
        <f t="shared" si="29"/>
        <v>15.358267594656478</v>
      </c>
      <c r="BA48">
        <f t="shared" si="30"/>
        <v>120.59380731048758</v>
      </c>
      <c r="BB48">
        <f t="shared" si="31"/>
        <v>1.0364579406704252E-2</v>
      </c>
      <c r="BC48">
        <f t="shared" si="32"/>
        <v>4.1392106537910678</v>
      </c>
      <c r="BD48">
        <f t="shared" si="33"/>
        <v>230.92647268680705</v>
      </c>
      <c r="BE48" t="s">
        <v>582</v>
      </c>
      <c r="BF48">
        <v>549.41</v>
      </c>
      <c r="BG48">
        <f t="shared" si="34"/>
        <v>549.41</v>
      </c>
      <c r="BH48">
        <f t="shared" si="35"/>
        <v>0.3032268772550526</v>
      </c>
      <c r="BI48">
        <f t="shared" si="36"/>
        <v>0.52570960768809183</v>
      </c>
      <c r="BJ48">
        <f t="shared" si="37"/>
        <v>0.93174313085193838</v>
      </c>
      <c r="BK48">
        <f t="shared" si="38"/>
        <v>0.25847562523455669</v>
      </c>
      <c r="BL48">
        <f t="shared" si="39"/>
        <v>0.87032456188493357</v>
      </c>
      <c r="BM48">
        <f t="shared" si="40"/>
        <v>0.43576537006580301</v>
      </c>
      <c r="BN48">
        <f t="shared" si="41"/>
        <v>0.56423462993419693</v>
      </c>
      <c r="BO48">
        <v>5750</v>
      </c>
      <c r="BP48">
        <v>290.00000000000011</v>
      </c>
      <c r="BQ48">
        <v>755.43</v>
      </c>
      <c r="BR48">
        <v>235</v>
      </c>
      <c r="BS48">
        <v>10493.3</v>
      </c>
      <c r="BT48">
        <v>756.19</v>
      </c>
      <c r="BU48">
        <v>-0.76</v>
      </c>
      <c r="BV48">
        <v>300.00000000000011</v>
      </c>
      <c r="BW48">
        <v>38.200000000000003</v>
      </c>
      <c r="BX48">
        <v>788.50630437005327</v>
      </c>
      <c r="BY48">
        <v>1.184535986250923</v>
      </c>
      <c r="BZ48">
        <v>-33.912704438678396</v>
      </c>
      <c r="CA48">
        <v>1.0180764314486901</v>
      </c>
      <c r="CB48">
        <v>0.97538664841860678</v>
      </c>
      <c r="CC48">
        <v>-1.1395385094549499E-2</v>
      </c>
      <c r="CD48">
        <v>289.99999999999989</v>
      </c>
      <c r="CE48">
        <v>753.62</v>
      </c>
      <c r="CF48">
        <v>675</v>
      </c>
      <c r="CG48">
        <v>10472</v>
      </c>
      <c r="CH48">
        <v>756.12</v>
      </c>
      <c r="CI48">
        <v>-2.5</v>
      </c>
      <c r="CW48">
        <f t="shared" si="42"/>
        <v>1799.79</v>
      </c>
      <c r="CX48">
        <f t="shared" si="43"/>
        <v>1513.0085937451365</v>
      </c>
      <c r="CY48">
        <f t="shared" si="44"/>
        <v>0.84065840667252101</v>
      </c>
      <c r="CZ48">
        <f t="shared" si="45"/>
        <v>0.19131681334504205</v>
      </c>
      <c r="DA48">
        <v>6</v>
      </c>
      <c r="DB48">
        <v>0.5</v>
      </c>
      <c r="DC48" t="s">
        <v>420</v>
      </c>
      <c r="DD48">
        <v>2</v>
      </c>
      <c r="DE48">
        <v>1693501813.0999999</v>
      </c>
      <c r="DF48">
        <v>100.946</v>
      </c>
      <c r="DG48">
        <v>119.995</v>
      </c>
      <c r="DH48">
        <v>29.130600000000001</v>
      </c>
      <c r="DI48">
        <v>23.138200000000001</v>
      </c>
      <c r="DJ48">
        <v>102.70699999999999</v>
      </c>
      <c r="DK48">
        <v>28.5943</v>
      </c>
      <c r="DL48">
        <v>500.108</v>
      </c>
      <c r="DM48">
        <v>99.571399999999997</v>
      </c>
      <c r="DN48">
        <v>9.9313899999999997E-2</v>
      </c>
      <c r="DO48">
        <v>30.6755</v>
      </c>
      <c r="DP48">
        <v>29.992999999999999</v>
      </c>
      <c r="DQ48">
        <v>999.9</v>
      </c>
      <c r="DR48">
        <v>0</v>
      </c>
      <c r="DS48">
        <v>0</v>
      </c>
      <c r="DT48">
        <v>10007.5</v>
      </c>
      <c r="DU48">
        <v>0</v>
      </c>
      <c r="DV48">
        <v>1822.33</v>
      </c>
      <c r="DW48">
        <v>-19.049700000000001</v>
      </c>
      <c r="DX48">
        <v>103.974</v>
      </c>
      <c r="DY48">
        <v>122.83799999999999</v>
      </c>
      <c r="DZ48">
        <v>5.9924499999999998</v>
      </c>
      <c r="EA48">
        <v>119.995</v>
      </c>
      <c r="EB48">
        <v>23.138200000000001</v>
      </c>
      <c r="EC48">
        <v>2.9005800000000002</v>
      </c>
      <c r="ED48">
        <v>2.3039000000000001</v>
      </c>
      <c r="EE48">
        <v>23.4679</v>
      </c>
      <c r="EF48">
        <v>19.703700000000001</v>
      </c>
      <c r="EG48">
        <v>1799.79</v>
      </c>
      <c r="EH48">
        <v>0.97799499999999995</v>
      </c>
      <c r="EI48">
        <v>2.2005400000000001E-2</v>
      </c>
      <c r="EJ48">
        <v>0</v>
      </c>
      <c r="EK48">
        <v>662.88699999999994</v>
      </c>
      <c r="EL48">
        <v>4.9995000000000003</v>
      </c>
      <c r="EM48">
        <v>12834.9</v>
      </c>
      <c r="EN48">
        <v>16657.900000000001</v>
      </c>
      <c r="EO48">
        <v>45</v>
      </c>
      <c r="EP48">
        <v>45.186999999999998</v>
      </c>
      <c r="EQ48">
        <v>45.686999999999998</v>
      </c>
      <c r="ER48">
        <v>44.875</v>
      </c>
      <c r="ES48">
        <v>46.5</v>
      </c>
      <c r="ET48">
        <v>1755.3</v>
      </c>
      <c r="EU48">
        <v>39.5</v>
      </c>
      <c r="EV48">
        <v>0</v>
      </c>
      <c r="EW48">
        <v>124.2000000476837</v>
      </c>
      <c r="EX48">
        <v>0</v>
      </c>
      <c r="EY48">
        <v>662.81107999999995</v>
      </c>
      <c r="EZ48">
        <v>-1.4971538414394641</v>
      </c>
      <c r="FA48">
        <v>-21.884615396853139</v>
      </c>
      <c r="FB48">
        <v>12838.816000000001</v>
      </c>
      <c r="FC48">
        <v>15</v>
      </c>
      <c r="FD48">
        <v>1693501781.5999999</v>
      </c>
      <c r="FE48" t="s">
        <v>583</v>
      </c>
      <c r="FF48">
        <v>1693501764.5999999</v>
      </c>
      <c r="FG48">
        <v>1693501781.5999999</v>
      </c>
      <c r="FH48">
        <v>39</v>
      </c>
      <c r="FI48">
        <v>4.7E-2</v>
      </c>
      <c r="FJ48">
        <v>-5.0000000000000001E-3</v>
      </c>
      <c r="FK48">
        <v>-1.804</v>
      </c>
      <c r="FL48">
        <v>0.29099999999999998</v>
      </c>
      <c r="FM48">
        <v>120</v>
      </c>
      <c r="FN48">
        <v>23</v>
      </c>
      <c r="FO48">
        <v>0.28999999999999998</v>
      </c>
      <c r="FP48">
        <v>0.04</v>
      </c>
      <c r="FQ48">
        <v>15.287079495481739</v>
      </c>
      <c r="FR48">
        <v>0.20479636310882079</v>
      </c>
      <c r="FS48">
        <v>6.0208011226594527E-2</v>
      </c>
      <c r="FT48">
        <v>1</v>
      </c>
      <c r="FU48">
        <v>0.39769367689111068</v>
      </c>
      <c r="FV48">
        <v>1.017564309533321E-2</v>
      </c>
      <c r="FW48">
        <v>6.0005899372743577E-3</v>
      </c>
      <c r="FX48">
        <v>1</v>
      </c>
      <c r="FY48">
        <v>2</v>
      </c>
      <c r="FZ48">
        <v>2</v>
      </c>
      <c r="GA48" t="s">
        <v>422</v>
      </c>
      <c r="GB48">
        <v>2.9730699999999999</v>
      </c>
      <c r="GC48">
        <v>2.81108</v>
      </c>
      <c r="GD48">
        <v>2.96727E-2</v>
      </c>
      <c r="GE48">
        <v>3.4027700000000001E-2</v>
      </c>
      <c r="GF48">
        <v>0.13744100000000001</v>
      </c>
      <c r="GG48">
        <v>0.11687599999999999</v>
      </c>
      <c r="GH48">
        <v>28797.599999999999</v>
      </c>
      <c r="GI48">
        <v>26451</v>
      </c>
      <c r="GJ48">
        <v>26663.4</v>
      </c>
      <c r="GK48">
        <v>25820.2</v>
      </c>
      <c r="GL48">
        <v>31262.3</v>
      </c>
      <c r="GM48">
        <v>32114.7</v>
      </c>
      <c r="GN48">
        <v>37763.699999999997</v>
      </c>
      <c r="GO48">
        <v>38204.199999999997</v>
      </c>
      <c r="GP48">
        <v>2.0165000000000002</v>
      </c>
      <c r="GQ48">
        <v>2.0682</v>
      </c>
      <c r="GR48">
        <v>9.4801200000000002E-2</v>
      </c>
      <c r="GS48">
        <v>0</v>
      </c>
      <c r="GT48">
        <v>28.4483</v>
      </c>
      <c r="GU48">
        <v>999.9</v>
      </c>
      <c r="GV48">
        <v>66.599999999999994</v>
      </c>
      <c r="GW48">
        <v>32.299999999999997</v>
      </c>
      <c r="GX48">
        <v>32.485399999999998</v>
      </c>
      <c r="GY48">
        <v>61.5227</v>
      </c>
      <c r="GZ48">
        <v>13.910299999999999</v>
      </c>
      <c r="HA48">
        <v>1</v>
      </c>
      <c r="HB48">
        <v>6.4573199999999997E-2</v>
      </c>
      <c r="HC48">
        <v>-0.461231</v>
      </c>
      <c r="HD48">
        <v>20.2561</v>
      </c>
      <c r="HE48">
        <v>5.2029100000000001</v>
      </c>
      <c r="HF48">
        <v>11.9321</v>
      </c>
      <c r="HG48">
        <v>4.9880000000000004</v>
      </c>
      <c r="HH48">
        <v>3.2900999999999998</v>
      </c>
      <c r="HI48">
        <v>9999</v>
      </c>
      <c r="HJ48">
        <v>9999</v>
      </c>
      <c r="HK48">
        <v>9999</v>
      </c>
      <c r="HL48">
        <v>999.9</v>
      </c>
      <c r="HM48">
        <v>1.87043</v>
      </c>
      <c r="HN48">
        <v>1.8767100000000001</v>
      </c>
      <c r="HO48">
        <v>1.87453</v>
      </c>
      <c r="HP48">
        <v>1.8727100000000001</v>
      </c>
      <c r="HQ48">
        <v>1.87317</v>
      </c>
      <c r="HR48">
        <v>1.8706</v>
      </c>
      <c r="HS48">
        <v>1.87653</v>
      </c>
      <c r="HT48">
        <v>1.8755999999999999</v>
      </c>
      <c r="HU48">
        <v>5</v>
      </c>
      <c r="HV48">
        <v>0</v>
      </c>
      <c r="HW48">
        <v>0</v>
      </c>
      <c r="HX48">
        <v>0</v>
      </c>
      <c r="HY48" t="s">
        <v>423</v>
      </c>
      <c r="HZ48" t="s">
        <v>424</v>
      </c>
      <c r="IA48" t="s">
        <v>425</v>
      </c>
      <c r="IB48" t="s">
        <v>425</v>
      </c>
      <c r="IC48" t="s">
        <v>425</v>
      </c>
      <c r="ID48" t="s">
        <v>425</v>
      </c>
      <c r="IE48">
        <v>0</v>
      </c>
      <c r="IF48">
        <v>100</v>
      </c>
      <c r="IG48">
        <v>100</v>
      </c>
      <c r="IH48">
        <v>-1.7609999999999999</v>
      </c>
      <c r="II48">
        <v>0.5363</v>
      </c>
      <c r="IJ48">
        <v>-1.505880823981036</v>
      </c>
      <c r="IK48">
        <v>-2.677719669153116E-3</v>
      </c>
      <c r="IL48">
        <v>1.9353498771248068E-6</v>
      </c>
      <c r="IM48">
        <v>-6.1862177325538213E-10</v>
      </c>
      <c r="IN48">
        <v>-0.1063754909298064</v>
      </c>
      <c r="IO48">
        <v>-1.5299015507423901E-2</v>
      </c>
      <c r="IP48">
        <v>1.742162107778985E-3</v>
      </c>
      <c r="IQ48">
        <v>-1.472690239905804E-5</v>
      </c>
      <c r="IR48">
        <v>3</v>
      </c>
      <c r="IS48">
        <v>2255</v>
      </c>
      <c r="IT48">
        <v>2</v>
      </c>
      <c r="IU48">
        <v>41</v>
      </c>
      <c r="IV48">
        <v>0.8</v>
      </c>
      <c r="IW48">
        <v>0.5</v>
      </c>
      <c r="IX48">
        <v>0.39917000000000002</v>
      </c>
      <c r="IY48">
        <v>2.50122</v>
      </c>
      <c r="IZ48">
        <v>1.5991200000000001</v>
      </c>
      <c r="JA48">
        <v>2.2729499999999998</v>
      </c>
      <c r="JB48">
        <v>1.5502899999999999</v>
      </c>
      <c r="JC48">
        <v>2.4023400000000001</v>
      </c>
      <c r="JD48">
        <v>36.836599999999997</v>
      </c>
      <c r="JE48">
        <v>23.8248</v>
      </c>
      <c r="JF48">
        <v>18</v>
      </c>
      <c r="JG48">
        <v>509.71100000000001</v>
      </c>
      <c r="JH48">
        <v>512.178</v>
      </c>
      <c r="JI48">
        <v>28.6858</v>
      </c>
      <c r="JJ48">
        <v>28.398199999999999</v>
      </c>
      <c r="JK48">
        <v>29.9999</v>
      </c>
      <c r="JL48">
        <v>28.323399999999999</v>
      </c>
      <c r="JM48">
        <v>28.284600000000001</v>
      </c>
      <c r="JN48">
        <v>8.0368499999999994</v>
      </c>
      <c r="JO48">
        <v>38.8461</v>
      </c>
      <c r="JP48">
        <v>81.030900000000003</v>
      </c>
      <c r="JQ48">
        <v>28.667000000000002</v>
      </c>
      <c r="JR48">
        <v>120</v>
      </c>
      <c r="JS48">
        <v>23.2332</v>
      </c>
      <c r="JT48">
        <v>99.578299999999999</v>
      </c>
      <c r="JU48">
        <v>99.24</v>
      </c>
    </row>
    <row r="49" spans="1:281" x14ac:dyDescent="0.25">
      <c r="A49">
        <v>33</v>
      </c>
      <c r="B49">
        <v>1693501928.5999999</v>
      </c>
      <c r="C49">
        <v>7949</v>
      </c>
      <c r="D49" t="s">
        <v>584</v>
      </c>
      <c r="E49" t="s">
        <v>585</v>
      </c>
      <c r="F49" t="s">
        <v>413</v>
      </c>
      <c r="G49" t="s">
        <v>565</v>
      </c>
      <c r="H49" t="s">
        <v>31</v>
      </c>
      <c r="I49">
        <v>3</v>
      </c>
      <c r="J49">
        <v>1693501928.5999999</v>
      </c>
      <c r="K49">
        <f t="shared" ref="K49:K80" si="46">(L49)/1000</f>
        <v>5.4805753928568388E-3</v>
      </c>
      <c r="L49">
        <f t="shared" ref="L49:L80" si="47">1000*DL49*AJ49*(DH49-DI49)/(100*DA49*(1000-AJ49*DH49))</f>
        <v>5.4805753928568386</v>
      </c>
      <c r="M49">
        <f t="shared" ref="M49:M80" si="48">DL49*AJ49*(DG49-DF49*(1000-AJ49*DI49)/(1000-AJ49*DH49))/(100*DA49)</f>
        <v>9.5473395467187565</v>
      </c>
      <c r="N49">
        <f t="shared" ref="N49:N80" si="49">DF49 - IF(AJ49&gt;1, M49*DA49*100/(AL49*DT49), 0)</f>
        <v>58.120199999999997</v>
      </c>
      <c r="O49">
        <f t="shared" ref="O49:O80" si="50">((U49-K49/2)*N49-M49)/(U49+K49/2)</f>
        <v>18.527011224713455</v>
      </c>
      <c r="P49">
        <f t="shared" ref="P49:P80" si="51">O49*(DM49+DN49)/1000</f>
        <v>1.8467141187940794</v>
      </c>
      <c r="Q49">
        <f t="shared" ref="Q49:Q80" si="52">(DF49 - IF(AJ49&gt;1, M49*DA49*100/(AL49*DT49), 0))*(DM49+DN49)/1000</f>
        <v>5.7932384573700002</v>
      </c>
      <c r="R49">
        <f t="shared" ref="R49:R80" si="53">2/((1/T49-1/S49)+SIGN(T49)*SQRT((1/T49-1/S49)*(1/T49-1/S49) + 4*DB49/((DB49+1)*(DB49+1))*(2*1/T49*1/S49-1/S49*1/S49)))</f>
        <v>0.42121839904625552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2.9203626771768336</v>
      </c>
      <c r="T49">
        <f t="shared" ref="T49:T80" si="55">K49*(1000-(1000*0.61365*EXP(17.502*X49/(240.97+X49))/(DM49+DN49)+DH49)/2)/(1000*0.61365*EXP(17.502*X49/(240.97+X49))/(DM49+DN49)-DH49)</f>
        <v>0.39014426398348262</v>
      </c>
      <c r="U49">
        <f t="shared" ref="U49:U80" si="56">1/((DB49+1)/(R49/1.6)+1/(S49/1.37)) + DB49/((DB49+1)/(R49/1.6) + DB49/(S49/1.37))</f>
        <v>0.2464407454520004</v>
      </c>
      <c r="V49">
        <f t="shared" ref="V49:V80" si="57">(CW49*CZ49)</f>
        <v>344.39090065829322</v>
      </c>
      <c r="W49">
        <f t="shared" ref="W49:W80" si="58">(DO49+(V49+2*0.95*0.0000000567*(((DO49+$B$7)+273)^4-(DO49+273)^4)-44100*K49)/(1.84*29.3*S49+8*0.95*0.0000000567*(DO49+273)^3))</f>
        <v>31.258457935632364</v>
      </c>
      <c r="X49">
        <f t="shared" ref="X49:X80" si="59">($C$7*DP49+$D$7*DQ49+$E$7*W49)</f>
        <v>29.949100000000001</v>
      </c>
      <c r="Y49">
        <f t="shared" ref="Y49:Y80" si="60">0.61365*EXP(17.502*X49/(240.97+X49))</f>
        <v>4.2480095476988735</v>
      </c>
      <c r="Z49">
        <f t="shared" ref="Z49:Z80" si="61">(AA49/AB49*100)</f>
        <v>65.523987836697799</v>
      </c>
      <c r="AA49">
        <f t="shared" ref="AA49:AA80" si="62">DH49*(DM49+DN49)/1000</f>
        <v>2.8979848015299998</v>
      </c>
      <c r="AB49">
        <f t="shared" ref="AB49:AB80" si="63">0.61365*EXP(17.502*DO49/(240.97+DO49))</f>
        <v>4.4227845361801004</v>
      </c>
      <c r="AC49">
        <f t="shared" ref="AC49:AC80" si="64">(Y49-DH49*(DM49+DN49)/1000)</f>
        <v>1.3500247461688737</v>
      </c>
      <c r="AD49">
        <f t="shared" ref="AD49:AD80" si="65">(-K49*44100)</f>
        <v>-241.69337482498659</v>
      </c>
      <c r="AE49">
        <f t="shared" ref="AE49:AE80" si="66">2*29.3*S49*0.92*(DO49-X49)</f>
        <v>110.76086393065181</v>
      </c>
      <c r="AF49">
        <f t="shared" ref="AF49:AF80" si="67">2*0.95*0.0000000567*(((DO49+$B$7)+273)^4-(X49+273)^4)</f>
        <v>8.4582831463184203</v>
      </c>
      <c r="AG49">
        <f t="shared" ref="AG49:AG80" si="68">V49+AF49+AD49+AE49</f>
        <v>221.91667291027687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51970.13284657061</v>
      </c>
      <c r="AM49" t="s">
        <v>417</v>
      </c>
      <c r="AN49">
        <v>10238.9</v>
      </c>
      <c r="AO49">
        <v>302.21199999999999</v>
      </c>
      <c r="AP49">
        <v>4052.3</v>
      </c>
      <c r="AQ49">
        <f t="shared" ref="AQ49:AQ80" si="72">1-AO49/AP49</f>
        <v>0.92542210596451402</v>
      </c>
      <c r="AR49">
        <v>-0.32343011824092421</v>
      </c>
      <c r="AS49" t="s">
        <v>586</v>
      </c>
      <c r="AT49">
        <v>10499.9</v>
      </c>
      <c r="AU49">
        <v>668.69896000000006</v>
      </c>
      <c r="AV49">
        <v>747.9970203689503</v>
      </c>
      <c r="AW49">
        <f t="shared" ref="AW49:AW80" si="73">1-AU49/AV49</f>
        <v>0.10601387199354939</v>
      </c>
      <c r="AX49">
        <v>0.5</v>
      </c>
      <c r="AY49">
        <f t="shared" ref="AY49:AY80" si="74">CX49</f>
        <v>1513.2774003291465</v>
      </c>
      <c r="AZ49">
        <f t="shared" ref="AZ49:AZ80" si="75">M49</f>
        <v>9.5473395467187565</v>
      </c>
      <c r="BA49">
        <f t="shared" ref="BA49:BA80" si="76">AW49*AX49*AY49</f>
        <v>80.214198304612665</v>
      </c>
      <c r="BB49">
        <f t="shared" ref="BB49:BB80" si="77">(AZ49-AR49)/AY49</f>
        <v>6.5227761035833434E-3</v>
      </c>
      <c r="BC49">
        <f t="shared" ref="BC49:BC80" si="78">(AP49-AV49)/AV49</f>
        <v>4.4175349495392364</v>
      </c>
      <c r="BD49">
        <f t="shared" ref="BD49:BD80" si="79">AO49/(AQ49+AO49/AV49)</f>
        <v>227.32099510373766</v>
      </c>
      <c r="BE49" t="s">
        <v>587</v>
      </c>
      <c r="BF49">
        <v>559.70000000000005</v>
      </c>
      <c r="BG49">
        <f t="shared" ref="BG49:BG80" si="80">IF(BF49&lt;&gt;0, BF49, BD49)</f>
        <v>559.70000000000005</v>
      </c>
      <c r="BH49">
        <f t="shared" ref="BH49:BH80" si="81">1-BG49/AV49</f>
        <v>0.25173498722771992</v>
      </c>
      <c r="BI49">
        <f t="shared" ref="BI49:BI80" si="82">(AV49-AU49)/(AV49-BG49)</f>
        <v>0.42113284752766228</v>
      </c>
      <c r="BJ49">
        <f t="shared" ref="BJ49:BJ80" si="83">(AP49-AV49)/(AP49-BG49)</f>
        <v>0.94608686354894622</v>
      </c>
      <c r="BK49">
        <f t="shared" ref="BK49:BK80" si="84">(AV49-AU49)/(AV49-AO49)</f>
        <v>0.17788408480688708</v>
      </c>
      <c r="BL49">
        <f t="shared" ref="BL49:BL80" si="85">(AP49-AV49)/(AP49-AO49)</f>
        <v>0.88112678412641243</v>
      </c>
      <c r="BM49">
        <f t="shared" ref="BM49:BM80" si="86">(BI49*BG49/AU49)</f>
        <v>0.35248754501013818</v>
      </c>
      <c r="BN49">
        <f t="shared" ref="BN49:BN80" si="87">(1-BM49)</f>
        <v>0.64751245498986187</v>
      </c>
      <c r="BO49">
        <v>5752</v>
      </c>
      <c r="BP49">
        <v>290.00000000000011</v>
      </c>
      <c r="BQ49">
        <v>730.32</v>
      </c>
      <c r="BR49">
        <v>195</v>
      </c>
      <c r="BS49">
        <v>10499.9</v>
      </c>
      <c r="BT49">
        <v>729.29</v>
      </c>
      <c r="BU49">
        <v>1.03</v>
      </c>
      <c r="BV49">
        <v>300.00000000000011</v>
      </c>
      <c r="BW49">
        <v>38.200000000000003</v>
      </c>
      <c r="BX49">
        <v>747.9970203689503</v>
      </c>
      <c r="BY49">
        <v>1.0683655795928579</v>
      </c>
      <c r="BZ49">
        <v>-19.641774189309839</v>
      </c>
      <c r="CA49">
        <v>0.91821918112429257</v>
      </c>
      <c r="CB49">
        <v>0.9423372082981456</v>
      </c>
      <c r="CC49">
        <v>-1.1395074527252511E-2</v>
      </c>
      <c r="CD49">
        <v>289.99999999999989</v>
      </c>
      <c r="CE49">
        <v>727.15</v>
      </c>
      <c r="CF49">
        <v>655</v>
      </c>
      <c r="CG49">
        <v>10473.799999999999</v>
      </c>
      <c r="CH49">
        <v>729.24</v>
      </c>
      <c r="CI49">
        <v>-2.09</v>
      </c>
      <c r="CW49">
        <f t="shared" ref="CW49:CW80" si="88">$B$11*DU49+$C$11*DV49+$F$11*EG49*(1-EJ49)</f>
        <v>1800.11</v>
      </c>
      <c r="CX49">
        <f t="shared" ref="CX49:CX80" si="89">CW49*CY49</f>
        <v>1513.2774003291465</v>
      </c>
      <c r="CY49">
        <f t="shared" ref="CY49:CY80" si="90">($B$11*$D$9+$C$11*$D$9+$F$11*((ET49+EL49)/MAX(ET49+EL49+EU49, 0.1)*$I$9+EU49/MAX(ET49+EL49+EU49, 0.1)*$J$9))/($B$11+$C$11+$F$11)</f>
        <v>0.84065829328715835</v>
      </c>
      <c r="CZ49">
        <f t="shared" ref="CZ49:CZ80" si="91">($B$11*$K$9+$C$11*$K$9+$F$11*((ET49+EL49)/MAX(ET49+EL49+EU49, 0.1)*$P$9+EU49/MAX(ET49+EL49+EU49, 0.1)*$Q$9))/($B$11+$C$11+$F$11)</f>
        <v>0.19131658657431672</v>
      </c>
      <c r="DA49">
        <v>6</v>
      </c>
      <c r="DB49">
        <v>0.5</v>
      </c>
      <c r="DC49" t="s">
        <v>420</v>
      </c>
      <c r="DD49">
        <v>2</v>
      </c>
      <c r="DE49">
        <v>1693501928.5999999</v>
      </c>
      <c r="DF49">
        <v>58.120199999999997</v>
      </c>
      <c r="DG49">
        <v>69.956500000000005</v>
      </c>
      <c r="DH49">
        <v>29.073799999999999</v>
      </c>
      <c r="DI49">
        <v>22.689800000000002</v>
      </c>
      <c r="DJ49">
        <v>59.846699999999998</v>
      </c>
      <c r="DK49">
        <v>28.548400000000001</v>
      </c>
      <c r="DL49">
        <v>500.11599999999999</v>
      </c>
      <c r="DM49">
        <v>99.576800000000006</v>
      </c>
      <c r="DN49">
        <v>0.10005</v>
      </c>
      <c r="DO49">
        <v>30.6526</v>
      </c>
      <c r="DP49">
        <v>29.949100000000001</v>
      </c>
      <c r="DQ49">
        <v>999.9</v>
      </c>
      <c r="DR49">
        <v>0</v>
      </c>
      <c r="DS49">
        <v>0</v>
      </c>
      <c r="DT49">
        <v>9990</v>
      </c>
      <c r="DU49">
        <v>0</v>
      </c>
      <c r="DV49">
        <v>1824.19</v>
      </c>
      <c r="DW49">
        <v>-11.8363</v>
      </c>
      <c r="DX49">
        <v>59.860500000000002</v>
      </c>
      <c r="DY49">
        <v>71.580600000000004</v>
      </c>
      <c r="DZ49">
        <v>6.3840000000000003</v>
      </c>
      <c r="EA49">
        <v>69.956500000000005</v>
      </c>
      <c r="EB49">
        <v>22.689800000000002</v>
      </c>
      <c r="EC49">
        <v>2.8950800000000001</v>
      </c>
      <c r="ED49">
        <v>2.2593800000000002</v>
      </c>
      <c r="EE49">
        <v>23.436499999999999</v>
      </c>
      <c r="EF49">
        <v>19.389700000000001</v>
      </c>
      <c r="EG49">
        <v>1800.11</v>
      </c>
      <c r="EH49">
        <v>0.97799800000000003</v>
      </c>
      <c r="EI49">
        <v>2.2001799999999998E-2</v>
      </c>
      <c r="EJ49">
        <v>0</v>
      </c>
      <c r="EK49">
        <v>668.57899999999995</v>
      </c>
      <c r="EL49">
        <v>4.9995000000000003</v>
      </c>
      <c r="EM49">
        <v>12941.1</v>
      </c>
      <c r="EN49">
        <v>16660.8</v>
      </c>
      <c r="EO49">
        <v>45.061999999999998</v>
      </c>
      <c r="EP49">
        <v>45.25</v>
      </c>
      <c r="EQ49">
        <v>45.75</v>
      </c>
      <c r="ER49">
        <v>45</v>
      </c>
      <c r="ES49">
        <v>46.561999999999998</v>
      </c>
      <c r="ET49">
        <v>1755.61</v>
      </c>
      <c r="EU49">
        <v>39.5</v>
      </c>
      <c r="EV49">
        <v>0</v>
      </c>
      <c r="EW49">
        <v>113.4000000953674</v>
      </c>
      <c r="EX49">
        <v>0</v>
      </c>
      <c r="EY49">
        <v>668.69896000000006</v>
      </c>
      <c r="EZ49">
        <v>-0.9491538317453907</v>
      </c>
      <c r="FA49">
        <v>-23.253846146309531</v>
      </c>
      <c r="FB49">
        <v>12940.72</v>
      </c>
      <c r="FC49">
        <v>15</v>
      </c>
      <c r="FD49">
        <v>1693501898.5999999</v>
      </c>
      <c r="FE49" t="s">
        <v>588</v>
      </c>
      <c r="FF49">
        <v>1693501881.5999999</v>
      </c>
      <c r="FG49">
        <v>1693501898.5999999</v>
      </c>
      <c r="FH49">
        <v>40</v>
      </c>
      <c r="FI49">
        <v>-6.7000000000000004E-2</v>
      </c>
      <c r="FJ49">
        <v>-8.9999999999999993E-3</v>
      </c>
      <c r="FK49">
        <v>-1.7549999999999999</v>
      </c>
      <c r="FL49">
        <v>0.26400000000000001</v>
      </c>
      <c r="FM49">
        <v>70</v>
      </c>
      <c r="FN49">
        <v>23</v>
      </c>
      <c r="FO49">
        <v>0.28000000000000003</v>
      </c>
      <c r="FP49">
        <v>0.03</v>
      </c>
      <c r="FQ49">
        <v>9.5481163402738787</v>
      </c>
      <c r="FR49">
        <v>0.26514038211325269</v>
      </c>
      <c r="FS49">
        <v>5.2150569031072222E-2</v>
      </c>
      <c r="FT49">
        <v>1</v>
      </c>
      <c r="FU49">
        <v>0.42931863554769362</v>
      </c>
      <c r="FV49">
        <v>7.1741241330641574E-3</v>
      </c>
      <c r="FW49">
        <v>5.1999839962879966E-3</v>
      </c>
      <c r="FX49">
        <v>1</v>
      </c>
      <c r="FY49">
        <v>2</v>
      </c>
      <c r="FZ49">
        <v>2</v>
      </c>
      <c r="GA49" t="s">
        <v>422</v>
      </c>
      <c r="GB49">
        <v>2.9730500000000002</v>
      </c>
      <c r="GC49">
        <v>2.8116599999999998</v>
      </c>
      <c r="GD49">
        <v>1.7516E-2</v>
      </c>
      <c r="GE49">
        <v>2.01795E-2</v>
      </c>
      <c r="GF49">
        <v>0.13728000000000001</v>
      </c>
      <c r="GG49">
        <v>0.11527999999999999</v>
      </c>
      <c r="GH49">
        <v>29156.9</v>
      </c>
      <c r="GI49">
        <v>26829.7</v>
      </c>
      <c r="GJ49">
        <v>26662.3</v>
      </c>
      <c r="GK49">
        <v>25820.1</v>
      </c>
      <c r="GL49">
        <v>31266.7</v>
      </c>
      <c r="GM49">
        <v>32171.7</v>
      </c>
      <c r="GN49">
        <v>37762.199999999997</v>
      </c>
      <c r="GO49">
        <v>38204</v>
      </c>
      <c r="GP49">
        <v>2.0160999999999998</v>
      </c>
      <c r="GQ49">
        <v>2.0653000000000001</v>
      </c>
      <c r="GR49">
        <v>8.96454E-2</v>
      </c>
      <c r="GS49">
        <v>0</v>
      </c>
      <c r="GT49">
        <v>28.488399999999999</v>
      </c>
      <c r="GU49">
        <v>999.9</v>
      </c>
      <c r="GV49">
        <v>66.099999999999994</v>
      </c>
      <c r="GW49">
        <v>32.299999999999997</v>
      </c>
      <c r="GX49">
        <v>32.238399999999999</v>
      </c>
      <c r="GY49">
        <v>61.242699999999999</v>
      </c>
      <c r="GZ49">
        <v>13.6739</v>
      </c>
      <c r="HA49">
        <v>1</v>
      </c>
      <c r="HB49">
        <v>6.7835400000000004E-2</v>
      </c>
      <c r="HC49">
        <v>-7.0141599999999998E-2</v>
      </c>
      <c r="HD49">
        <v>20.258099999999999</v>
      </c>
      <c r="HE49">
        <v>5.2100999999999997</v>
      </c>
      <c r="HF49">
        <v>11.9321</v>
      </c>
      <c r="HG49">
        <v>4.9888000000000003</v>
      </c>
      <c r="HH49">
        <v>3.2909999999999999</v>
      </c>
      <c r="HI49">
        <v>9999</v>
      </c>
      <c r="HJ49">
        <v>9999</v>
      </c>
      <c r="HK49">
        <v>9999</v>
      </c>
      <c r="HL49">
        <v>999.9</v>
      </c>
      <c r="HM49">
        <v>1.87042</v>
      </c>
      <c r="HN49">
        <v>1.8767100000000001</v>
      </c>
      <c r="HO49">
        <v>1.8745400000000001</v>
      </c>
      <c r="HP49">
        <v>1.8727799999999999</v>
      </c>
      <c r="HQ49">
        <v>1.8732500000000001</v>
      </c>
      <c r="HR49">
        <v>1.8707</v>
      </c>
      <c r="HS49">
        <v>1.8765400000000001</v>
      </c>
      <c r="HT49">
        <v>1.87558</v>
      </c>
      <c r="HU49">
        <v>5</v>
      </c>
      <c r="HV49">
        <v>0</v>
      </c>
      <c r="HW49">
        <v>0</v>
      </c>
      <c r="HX49">
        <v>0</v>
      </c>
      <c r="HY49" t="s">
        <v>423</v>
      </c>
      <c r="HZ49" t="s">
        <v>424</v>
      </c>
      <c r="IA49" t="s">
        <v>425</v>
      </c>
      <c r="IB49" t="s">
        <v>425</v>
      </c>
      <c r="IC49" t="s">
        <v>425</v>
      </c>
      <c r="ID49" t="s">
        <v>425</v>
      </c>
      <c r="IE49">
        <v>0</v>
      </c>
      <c r="IF49">
        <v>100</v>
      </c>
      <c r="IG49">
        <v>100</v>
      </c>
      <c r="IH49">
        <v>-1.7270000000000001</v>
      </c>
      <c r="II49">
        <v>0.52539999999999998</v>
      </c>
      <c r="IJ49">
        <v>-1.573109352518052</v>
      </c>
      <c r="IK49">
        <v>-2.677719669153116E-3</v>
      </c>
      <c r="IL49">
        <v>1.9353498771248068E-6</v>
      </c>
      <c r="IM49">
        <v>-6.1862177325538213E-10</v>
      </c>
      <c r="IN49">
        <v>-0.11508573217775631</v>
      </c>
      <c r="IO49">
        <v>-1.5299015507423901E-2</v>
      </c>
      <c r="IP49">
        <v>1.742162107778985E-3</v>
      </c>
      <c r="IQ49">
        <v>-1.472690239905804E-5</v>
      </c>
      <c r="IR49">
        <v>3</v>
      </c>
      <c r="IS49">
        <v>2255</v>
      </c>
      <c r="IT49">
        <v>2</v>
      </c>
      <c r="IU49">
        <v>41</v>
      </c>
      <c r="IV49">
        <v>0.8</v>
      </c>
      <c r="IW49">
        <v>0.5</v>
      </c>
      <c r="IX49">
        <v>0.29663099999999998</v>
      </c>
      <c r="IY49">
        <v>2.52075</v>
      </c>
      <c r="IZ49">
        <v>1.5991200000000001</v>
      </c>
      <c r="JA49">
        <v>2.2729499999999998</v>
      </c>
      <c r="JB49">
        <v>1.5502899999999999</v>
      </c>
      <c r="JC49">
        <v>2.4096700000000002</v>
      </c>
      <c r="JD49">
        <v>36.8842</v>
      </c>
      <c r="JE49">
        <v>23.8248</v>
      </c>
      <c r="JF49">
        <v>18</v>
      </c>
      <c r="JG49">
        <v>509.85399999999998</v>
      </c>
      <c r="JH49">
        <v>510.64499999999998</v>
      </c>
      <c r="JI49">
        <v>28.738099999999999</v>
      </c>
      <c r="JJ49">
        <v>28.455200000000001</v>
      </c>
      <c r="JK49">
        <v>30.000599999999999</v>
      </c>
      <c r="JL49">
        <v>28.369199999999999</v>
      </c>
      <c r="JM49">
        <v>28.3278</v>
      </c>
      <c r="JN49">
        <v>5.9800300000000002</v>
      </c>
      <c r="JO49">
        <v>39.383899999999997</v>
      </c>
      <c r="JP49">
        <v>78.011700000000005</v>
      </c>
      <c r="JQ49">
        <v>28.736000000000001</v>
      </c>
      <c r="JR49">
        <v>70</v>
      </c>
      <c r="JS49">
        <v>22.821000000000002</v>
      </c>
      <c r="JT49">
        <v>99.574200000000005</v>
      </c>
      <c r="JU49">
        <v>99.239400000000003</v>
      </c>
    </row>
    <row r="50" spans="1:281" x14ac:dyDescent="0.25">
      <c r="A50">
        <v>34</v>
      </c>
      <c r="B50">
        <v>1693502042.5999999</v>
      </c>
      <c r="C50">
        <v>8063</v>
      </c>
      <c r="D50" t="s">
        <v>589</v>
      </c>
      <c r="E50" t="s">
        <v>590</v>
      </c>
      <c r="F50" t="s">
        <v>413</v>
      </c>
      <c r="G50" t="s">
        <v>565</v>
      </c>
      <c r="H50" t="s">
        <v>31</v>
      </c>
      <c r="I50">
        <v>3</v>
      </c>
      <c r="J50">
        <v>1693502042.5999999</v>
      </c>
      <c r="K50">
        <f t="shared" si="46"/>
        <v>5.6261351614596824E-3</v>
      </c>
      <c r="L50">
        <f t="shared" si="47"/>
        <v>5.6261351614596826</v>
      </c>
      <c r="M50">
        <f t="shared" si="48"/>
        <v>4.3347841349903016</v>
      </c>
      <c r="N50">
        <f t="shared" si="49"/>
        <v>24.700900000000001</v>
      </c>
      <c r="O50">
        <f t="shared" si="50"/>
        <v>7.0982418272671444</v>
      </c>
      <c r="P50">
        <f t="shared" si="51"/>
        <v>0.70751646622800979</v>
      </c>
      <c r="Q50">
        <f t="shared" si="52"/>
        <v>2.4620594657000998</v>
      </c>
      <c r="R50">
        <f t="shared" si="53"/>
        <v>0.43022554280782715</v>
      </c>
      <c r="S50">
        <f t="shared" si="54"/>
        <v>2.9150560995846222</v>
      </c>
      <c r="T50">
        <f t="shared" si="55"/>
        <v>0.39780878984470452</v>
      </c>
      <c r="U50">
        <f t="shared" si="56"/>
        <v>0.25133915721961342</v>
      </c>
      <c r="V50">
        <f t="shared" si="57"/>
        <v>344.39090065829322</v>
      </c>
      <c r="W50">
        <f t="shared" si="58"/>
        <v>31.355594819113609</v>
      </c>
      <c r="X50">
        <f t="shared" si="59"/>
        <v>30.023099999999999</v>
      </c>
      <c r="Y50">
        <f t="shared" si="60"/>
        <v>4.2661059986377827</v>
      </c>
      <c r="Z50">
        <f t="shared" si="61"/>
        <v>65.229465593125511</v>
      </c>
      <c r="AA50">
        <f t="shared" si="62"/>
        <v>2.9071477150407001</v>
      </c>
      <c r="AB50">
        <f t="shared" si="63"/>
        <v>4.456801368225654</v>
      </c>
      <c r="AC50">
        <f t="shared" si="64"/>
        <v>1.3589582835970826</v>
      </c>
      <c r="AD50">
        <f t="shared" si="65"/>
        <v>-248.11256062037199</v>
      </c>
      <c r="AE50">
        <f t="shared" si="66"/>
        <v>120.00470679099963</v>
      </c>
      <c r="AF50">
        <f t="shared" si="67"/>
        <v>9.1903283861953877</v>
      </c>
      <c r="AG50">
        <f t="shared" si="68"/>
        <v>225.47337521511628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51796.218663572487</v>
      </c>
      <c r="AM50" t="s">
        <v>417</v>
      </c>
      <c r="AN50">
        <v>10238.9</v>
      </c>
      <c r="AO50">
        <v>302.21199999999999</v>
      </c>
      <c r="AP50">
        <v>4052.3</v>
      </c>
      <c r="AQ50">
        <f t="shared" si="72"/>
        <v>0.92542210596451402</v>
      </c>
      <c r="AR50">
        <v>-0.32343011824092421</v>
      </c>
      <c r="AS50" t="s">
        <v>591</v>
      </c>
      <c r="AT50">
        <v>10488.5</v>
      </c>
      <c r="AU50">
        <v>676.18691999999999</v>
      </c>
      <c r="AV50">
        <v>728.31951611453928</v>
      </c>
      <c r="AW50">
        <f t="shared" si="73"/>
        <v>7.1579293100173746E-2</v>
      </c>
      <c r="AX50">
        <v>0.5</v>
      </c>
      <c r="AY50">
        <f t="shared" si="74"/>
        <v>1513.2774003291465</v>
      </c>
      <c r="AZ50">
        <f t="shared" si="75"/>
        <v>4.3347841349903016</v>
      </c>
      <c r="BA50">
        <f t="shared" si="76"/>
        <v>54.159663290014471</v>
      </c>
      <c r="BB50">
        <f t="shared" si="77"/>
        <v>3.0782289170630823E-3</v>
      </c>
      <c r="BC50">
        <f t="shared" si="78"/>
        <v>4.5639041798829325</v>
      </c>
      <c r="BD50">
        <f t="shared" si="79"/>
        <v>225.46969880528982</v>
      </c>
      <c r="BE50" t="s">
        <v>592</v>
      </c>
      <c r="BF50">
        <v>571.85</v>
      </c>
      <c r="BG50">
        <f t="shared" si="80"/>
        <v>571.85</v>
      </c>
      <c r="BH50">
        <f t="shared" si="81"/>
        <v>0.21483636323419908</v>
      </c>
      <c r="BI50">
        <f t="shared" si="82"/>
        <v>0.33318052876431881</v>
      </c>
      <c r="BJ50">
        <f t="shared" si="83"/>
        <v>0.95504330873463505</v>
      </c>
      <c r="BK50">
        <f t="shared" si="84"/>
        <v>0.12234610783191598</v>
      </c>
      <c r="BL50">
        <f t="shared" si="85"/>
        <v>0.88637399545969597</v>
      </c>
      <c r="BM50">
        <f t="shared" si="86"/>
        <v>0.28177014334124612</v>
      </c>
      <c r="BN50">
        <f t="shared" si="87"/>
        <v>0.71822985665875394</v>
      </c>
      <c r="BO50">
        <v>5754</v>
      </c>
      <c r="BP50">
        <v>290.00000000000011</v>
      </c>
      <c r="BQ50">
        <v>716.4</v>
      </c>
      <c r="BR50">
        <v>265</v>
      </c>
      <c r="BS50">
        <v>10488.5</v>
      </c>
      <c r="BT50">
        <v>715.31</v>
      </c>
      <c r="BU50">
        <v>1.0900000000000001</v>
      </c>
      <c r="BV50">
        <v>300.00000000000011</v>
      </c>
      <c r="BW50">
        <v>38.200000000000003</v>
      </c>
      <c r="BX50">
        <v>728.31951611453928</v>
      </c>
      <c r="BY50">
        <v>1.1307147274985769</v>
      </c>
      <c r="BZ50">
        <v>-13.6425372415632</v>
      </c>
      <c r="CA50">
        <v>0.97179406418082104</v>
      </c>
      <c r="CB50">
        <v>0.87559960073599763</v>
      </c>
      <c r="CC50">
        <v>-1.139488609566186E-2</v>
      </c>
      <c r="CD50">
        <v>289.99999999999989</v>
      </c>
      <c r="CE50">
        <v>713.88</v>
      </c>
      <c r="CF50">
        <v>655</v>
      </c>
      <c r="CG50">
        <v>10473.6</v>
      </c>
      <c r="CH50">
        <v>715.29</v>
      </c>
      <c r="CI50">
        <v>-1.41</v>
      </c>
      <c r="CW50">
        <f t="shared" si="88"/>
        <v>1800.11</v>
      </c>
      <c r="CX50">
        <f t="shared" si="89"/>
        <v>1513.2774003291465</v>
      </c>
      <c r="CY50">
        <f t="shared" si="90"/>
        <v>0.84065829328715835</v>
      </c>
      <c r="CZ50">
        <f t="shared" si="91"/>
        <v>0.19131658657431672</v>
      </c>
      <c r="DA50">
        <v>6</v>
      </c>
      <c r="DB50">
        <v>0.5</v>
      </c>
      <c r="DC50" t="s">
        <v>420</v>
      </c>
      <c r="DD50">
        <v>2</v>
      </c>
      <c r="DE50">
        <v>1693502042.5999999</v>
      </c>
      <c r="DF50">
        <v>24.700900000000001</v>
      </c>
      <c r="DG50">
        <v>30.068300000000001</v>
      </c>
      <c r="DH50">
        <v>29.1663</v>
      </c>
      <c r="DI50">
        <v>22.613199999999999</v>
      </c>
      <c r="DJ50">
        <v>26.441199999999998</v>
      </c>
      <c r="DK50">
        <v>28.645499999999998</v>
      </c>
      <c r="DL50">
        <v>500.10300000000001</v>
      </c>
      <c r="DM50">
        <v>99.574399999999997</v>
      </c>
      <c r="DN50">
        <v>0.10048899999999999</v>
      </c>
      <c r="DO50">
        <v>30.7867</v>
      </c>
      <c r="DP50">
        <v>30.023099999999999</v>
      </c>
      <c r="DQ50">
        <v>999.9</v>
      </c>
      <c r="DR50">
        <v>0</v>
      </c>
      <c r="DS50">
        <v>0</v>
      </c>
      <c r="DT50">
        <v>9960</v>
      </c>
      <c r="DU50">
        <v>0</v>
      </c>
      <c r="DV50">
        <v>1832.55</v>
      </c>
      <c r="DW50">
        <v>-5.3673999999999999</v>
      </c>
      <c r="DX50">
        <v>25.443000000000001</v>
      </c>
      <c r="DY50">
        <v>30.763999999999999</v>
      </c>
      <c r="DZ50">
        <v>6.55314</v>
      </c>
      <c r="EA50">
        <v>30.068300000000001</v>
      </c>
      <c r="EB50">
        <v>22.613199999999999</v>
      </c>
      <c r="EC50">
        <v>2.90422</v>
      </c>
      <c r="ED50">
        <v>2.25169</v>
      </c>
      <c r="EE50">
        <v>23.488700000000001</v>
      </c>
      <c r="EF50">
        <v>19.334900000000001</v>
      </c>
      <c r="EG50">
        <v>1800.11</v>
      </c>
      <c r="EH50">
        <v>0.97799800000000003</v>
      </c>
      <c r="EI50">
        <v>2.2001799999999998E-2</v>
      </c>
      <c r="EJ50">
        <v>0</v>
      </c>
      <c r="EK50">
        <v>676.49400000000003</v>
      </c>
      <c r="EL50">
        <v>4.9995000000000003</v>
      </c>
      <c r="EM50">
        <v>13065.9</v>
      </c>
      <c r="EN50">
        <v>16660.8</v>
      </c>
      <c r="EO50">
        <v>45.061999999999998</v>
      </c>
      <c r="EP50">
        <v>45.186999999999998</v>
      </c>
      <c r="EQ50">
        <v>45.75</v>
      </c>
      <c r="ER50">
        <v>44.936999999999998</v>
      </c>
      <c r="ES50">
        <v>46.561999999999998</v>
      </c>
      <c r="ET50">
        <v>1755.61</v>
      </c>
      <c r="EU50">
        <v>39.5</v>
      </c>
      <c r="EV50">
        <v>0</v>
      </c>
      <c r="EW50">
        <v>111.80000019073491</v>
      </c>
      <c r="EX50">
        <v>0</v>
      </c>
      <c r="EY50">
        <v>676.18691999999999</v>
      </c>
      <c r="EZ50">
        <v>-1.73138459447718</v>
      </c>
      <c r="FA50">
        <v>-6.9692306763799516</v>
      </c>
      <c r="FB50">
        <v>13067.02</v>
      </c>
      <c r="FC50">
        <v>15</v>
      </c>
      <c r="FD50">
        <v>1693502012.0999999</v>
      </c>
      <c r="FE50" t="s">
        <v>593</v>
      </c>
      <c r="FF50">
        <v>1693501999.5999999</v>
      </c>
      <c r="FG50">
        <v>1693502012.0999999</v>
      </c>
      <c r="FH50">
        <v>41</v>
      </c>
      <c r="FI50">
        <v>-9.8000000000000004E-2</v>
      </c>
      <c r="FJ50">
        <v>-8.9999999999999993E-3</v>
      </c>
      <c r="FK50">
        <v>-1.754</v>
      </c>
      <c r="FL50">
        <v>0.23499999999999999</v>
      </c>
      <c r="FM50">
        <v>30</v>
      </c>
      <c r="FN50">
        <v>22</v>
      </c>
      <c r="FO50">
        <v>0.73</v>
      </c>
      <c r="FP50">
        <v>0.04</v>
      </c>
      <c r="FQ50">
        <v>4.3297392418163474</v>
      </c>
      <c r="FR50">
        <v>-5.9611815116738513E-2</v>
      </c>
      <c r="FS50">
        <v>5.4207162238654363E-2</v>
      </c>
      <c r="FT50">
        <v>1</v>
      </c>
      <c r="FU50">
        <v>0.4362966741691186</v>
      </c>
      <c r="FV50">
        <v>2.001581165396427E-2</v>
      </c>
      <c r="FW50">
        <v>5.077717040347699E-3</v>
      </c>
      <c r="FX50">
        <v>1</v>
      </c>
      <c r="FY50">
        <v>2</v>
      </c>
      <c r="FZ50">
        <v>2</v>
      </c>
      <c r="GA50" t="s">
        <v>422</v>
      </c>
      <c r="GB50">
        <v>2.9729800000000002</v>
      </c>
      <c r="GC50">
        <v>2.8118300000000001</v>
      </c>
      <c r="GD50">
        <v>7.7744299999999997E-3</v>
      </c>
      <c r="GE50">
        <v>8.7276899999999998E-3</v>
      </c>
      <c r="GF50">
        <v>0.13758999999999999</v>
      </c>
      <c r="GG50">
        <v>0.114994</v>
      </c>
      <c r="GH50">
        <v>29446.1</v>
      </c>
      <c r="GI50">
        <v>27142.6</v>
      </c>
      <c r="GJ50">
        <v>26662.5</v>
      </c>
      <c r="GK50">
        <v>25819.599999999999</v>
      </c>
      <c r="GL50">
        <v>31254.1</v>
      </c>
      <c r="GM50">
        <v>32180.1</v>
      </c>
      <c r="GN50">
        <v>37761.4</v>
      </c>
      <c r="GO50">
        <v>38202.6</v>
      </c>
      <c r="GP50">
        <v>2.0156000000000001</v>
      </c>
      <c r="GQ50">
        <v>2.0648</v>
      </c>
      <c r="GR50">
        <v>9.74685E-2</v>
      </c>
      <c r="GS50">
        <v>0</v>
      </c>
      <c r="GT50">
        <v>28.434899999999999</v>
      </c>
      <c r="GU50">
        <v>999.9</v>
      </c>
      <c r="GV50">
        <v>65.400000000000006</v>
      </c>
      <c r="GW50">
        <v>32.4</v>
      </c>
      <c r="GX50">
        <v>32.08</v>
      </c>
      <c r="GY50">
        <v>61.602699999999999</v>
      </c>
      <c r="GZ50">
        <v>13.165100000000001</v>
      </c>
      <c r="HA50">
        <v>1</v>
      </c>
      <c r="HB50">
        <v>7.0833300000000002E-2</v>
      </c>
      <c r="HC50">
        <v>0.14685200000000001</v>
      </c>
      <c r="HD50">
        <v>20.257999999999999</v>
      </c>
      <c r="HE50">
        <v>5.2107000000000001</v>
      </c>
      <c r="HF50">
        <v>11.9321</v>
      </c>
      <c r="HG50">
        <v>4.9882</v>
      </c>
      <c r="HH50">
        <v>3.2909999999999999</v>
      </c>
      <c r="HI50">
        <v>9999</v>
      </c>
      <c r="HJ50">
        <v>9999</v>
      </c>
      <c r="HK50">
        <v>9999</v>
      </c>
      <c r="HL50">
        <v>999.9</v>
      </c>
      <c r="HM50">
        <v>1.87042</v>
      </c>
      <c r="HN50">
        <v>1.87677</v>
      </c>
      <c r="HO50">
        <v>1.8745400000000001</v>
      </c>
      <c r="HP50">
        <v>1.8727100000000001</v>
      </c>
      <c r="HQ50">
        <v>1.87317</v>
      </c>
      <c r="HR50">
        <v>1.87059</v>
      </c>
      <c r="HS50">
        <v>1.87653</v>
      </c>
      <c r="HT50">
        <v>1.8755599999999999</v>
      </c>
      <c r="HU50">
        <v>5</v>
      </c>
      <c r="HV50">
        <v>0</v>
      </c>
      <c r="HW50">
        <v>0</v>
      </c>
      <c r="HX50">
        <v>0</v>
      </c>
      <c r="HY50" t="s">
        <v>423</v>
      </c>
      <c r="HZ50" t="s">
        <v>424</v>
      </c>
      <c r="IA50" t="s">
        <v>425</v>
      </c>
      <c r="IB50" t="s">
        <v>425</v>
      </c>
      <c r="IC50" t="s">
        <v>425</v>
      </c>
      <c r="ID50" t="s">
        <v>425</v>
      </c>
      <c r="IE50">
        <v>0</v>
      </c>
      <c r="IF50">
        <v>100</v>
      </c>
      <c r="IG50">
        <v>100</v>
      </c>
      <c r="IH50">
        <v>-1.74</v>
      </c>
      <c r="II50">
        <v>0.52080000000000004</v>
      </c>
      <c r="IJ50">
        <v>-1.670782519112654</v>
      </c>
      <c r="IK50">
        <v>-2.677719669153116E-3</v>
      </c>
      <c r="IL50">
        <v>1.9353498771248068E-6</v>
      </c>
      <c r="IM50">
        <v>-6.1862177325538213E-10</v>
      </c>
      <c r="IN50">
        <v>-0.1243321447003147</v>
      </c>
      <c r="IO50">
        <v>-1.5299015507423901E-2</v>
      </c>
      <c r="IP50">
        <v>1.742162107778985E-3</v>
      </c>
      <c r="IQ50">
        <v>-1.472690239905804E-5</v>
      </c>
      <c r="IR50">
        <v>3</v>
      </c>
      <c r="IS50">
        <v>2255</v>
      </c>
      <c r="IT50">
        <v>2</v>
      </c>
      <c r="IU50">
        <v>41</v>
      </c>
      <c r="IV50">
        <v>0.7</v>
      </c>
      <c r="IW50">
        <v>0.5</v>
      </c>
      <c r="IX50">
        <v>0.21606400000000001</v>
      </c>
      <c r="IY50">
        <v>2.5415000000000001</v>
      </c>
      <c r="IZ50">
        <v>1.6003400000000001</v>
      </c>
      <c r="JA50">
        <v>2.2729499999999998</v>
      </c>
      <c r="JB50">
        <v>1.5502899999999999</v>
      </c>
      <c r="JC50">
        <v>2.36938</v>
      </c>
      <c r="JD50">
        <v>36.908000000000001</v>
      </c>
      <c r="JE50">
        <v>23.8248</v>
      </c>
      <c r="JF50">
        <v>18</v>
      </c>
      <c r="JG50">
        <v>509.87200000000001</v>
      </c>
      <c r="JH50">
        <v>510.64</v>
      </c>
      <c r="JI50">
        <v>28.844100000000001</v>
      </c>
      <c r="JJ50">
        <v>28.49</v>
      </c>
      <c r="JK50">
        <v>30</v>
      </c>
      <c r="JL50">
        <v>28.407900000000001</v>
      </c>
      <c r="JM50">
        <v>28.363800000000001</v>
      </c>
      <c r="JN50">
        <v>4.3601299999999998</v>
      </c>
      <c r="JO50">
        <v>39.035899999999998</v>
      </c>
      <c r="JP50">
        <v>74.918000000000006</v>
      </c>
      <c r="JQ50">
        <v>28.842199999999998</v>
      </c>
      <c r="JR50">
        <v>30</v>
      </c>
      <c r="JS50">
        <v>22.700800000000001</v>
      </c>
      <c r="JT50">
        <v>99.5732</v>
      </c>
      <c r="JU50">
        <v>99.236400000000003</v>
      </c>
    </row>
    <row r="51" spans="1:281" x14ac:dyDescent="0.25">
      <c r="A51">
        <v>35</v>
      </c>
      <c r="B51">
        <v>1693502144</v>
      </c>
      <c r="C51">
        <v>8164.4000000953674</v>
      </c>
      <c r="D51" t="s">
        <v>594</v>
      </c>
      <c r="E51" t="s">
        <v>595</v>
      </c>
      <c r="F51" t="s">
        <v>413</v>
      </c>
      <c r="G51" t="s">
        <v>565</v>
      </c>
      <c r="H51" t="s">
        <v>31</v>
      </c>
      <c r="I51">
        <v>3</v>
      </c>
      <c r="J51">
        <v>1693502144</v>
      </c>
      <c r="K51">
        <f t="shared" si="46"/>
        <v>5.6916431191978171E-3</v>
      </c>
      <c r="L51">
        <f t="shared" si="47"/>
        <v>5.691643119197817</v>
      </c>
      <c r="M51">
        <f t="shared" si="48"/>
        <v>1.4723043226005041</v>
      </c>
      <c r="N51">
        <f t="shared" si="49"/>
        <v>8.1806599999999996</v>
      </c>
      <c r="O51">
        <f t="shared" si="50"/>
        <v>2.4347204747506446</v>
      </c>
      <c r="P51">
        <f t="shared" si="51"/>
        <v>0.24267573318826971</v>
      </c>
      <c r="Q51">
        <f t="shared" si="52"/>
        <v>0.81539038425644006</v>
      </c>
      <c r="R51">
        <f t="shared" si="53"/>
        <v>0.44877507119537519</v>
      </c>
      <c r="S51">
        <f t="shared" si="54"/>
        <v>2.9229152213994736</v>
      </c>
      <c r="T51">
        <f t="shared" si="55"/>
        <v>0.41371162686446145</v>
      </c>
      <c r="U51">
        <f t="shared" si="56"/>
        <v>0.26149140529871667</v>
      </c>
      <c r="V51">
        <f t="shared" si="57"/>
        <v>344.33578749048172</v>
      </c>
      <c r="W51">
        <f t="shared" si="58"/>
        <v>31.239059609710658</v>
      </c>
      <c r="X51">
        <f t="shared" si="59"/>
        <v>29.912299999999998</v>
      </c>
      <c r="Y51">
        <f t="shared" si="60"/>
        <v>4.2390351656067597</v>
      </c>
      <c r="Z51">
        <f t="shared" si="61"/>
        <v>65.817412448845431</v>
      </c>
      <c r="AA51">
        <f t="shared" si="62"/>
        <v>2.9170081518572002</v>
      </c>
      <c r="AB51">
        <f t="shared" si="63"/>
        <v>4.4319702694546903</v>
      </c>
      <c r="AC51">
        <f t="shared" si="64"/>
        <v>1.3220270137495596</v>
      </c>
      <c r="AD51">
        <f t="shared" si="65"/>
        <v>-251.00146155662372</v>
      </c>
      <c r="AE51">
        <f t="shared" si="66"/>
        <v>122.37678752613458</v>
      </c>
      <c r="AF51">
        <f t="shared" si="67"/>
        <v>9.3371547688058047</v>
      </c>
      <c r="AG51">
        <f t="shared" si="68"/>
        <v>225.04826822879841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52036.510935860068</v>
      </c>
      <c r="AM51" t="s">
        <v>417</v>
      </c>
      <c r="AN51">
        <v>10238.9</v>
      </c>
      <c r="AO51">
        <v>302.21199999999999</v>
      </c>
      <c r="AP51">
        <v>4052.3</v>
      </c>
      <c r="AQ51">
        <f t="shared" si="72"/>
        <v>0.92542210596451402</v>
      </c>
      <c r="AR51">
        <v>-0.32343011824092421</v>
      </c>
      <c r="AS51" t="s">
        <v>596</v>
      </c>
      <c r="AT51">
        <v>10520.8</v>
      </c>
      <c r="AU51">
        <v>680.30969230769244</v>
      </c>
      <c r="AV51">
        <v>723.52538068377169</v>
      </c>
      <c r="AW51">
        <f t="shared" si="73"/>
        <v>5.9729332971343752E-2</v>
      </c>
      <c r="AX51">
        <v>0.5</v>
      </c>
      <c r="AY51">
        <f t="shared" si="74"/>
        <v>1513.0337937452405</v>
      </c>
      <c r="AZ51">
        <f t="shared" si="75"/>
        <v>1.4723043226005041</v>
      </c>
      <c r="BA51">
        <f t="shared" si="76"/>
        <v>45.186249631752453</v>
      </c>
      <c r="BB51">
        <f t="shared" si="77"/>
        <v>1.1868435776285035E-3</v>
      </c>
      <c r="BC51">
        <f t="shared" si="78"/>
        <v>4.6007710416051353</v>
      </c>
      <c r="BD51">
        <f t="shared" si="79"/>
        <v>225.00814641212983</v>
      </c>
      <c r="BE51" t="s">
        <v>597</v>
      </c>
      <c r="BF51">
        <v>581.03</v>
      </c>
      <c r="BG51">
        <f t="shared" si="80"/>
        <v>581.03</v>
      </c>
      <c r="BH51">
        <f t="shared" si="81"/>
        <v>0.19694593235845526</v>
      </c>
      <c r="BI51">
        <f t="shared" si="82"/>
        <v>0.30327781973497281</v>
      </c>
      <c r="BJ51">
        <f t="shared" si="83"/>
        <v>0.95895007283104683</v>
      </c>
      <c r="BK51">
        <f t="shared" si="84"/>
        <v>0.10257373811850509</v>
      </c>
      <c r="BL51">
        <f t="shared" si="85"/>
        <v>0.88765240157463721</v>
      </c>
      <c r="BM51">
        <f t="shared" si="86"/>
        <v>0.25901955182039782</v>
      </c>
      <c r="BN51">
        <f t="shared" si="87"/>
        <v>0.74098044817960218</v>
      </c>
      <c r="BO51">
        <v>5756</v>
      </c>
      <c r="BP51">
        <v>290.00000000000011</v>
      </c>
      <c r="BQ51">
        <v>713.17</v>
      </c>
      <c r="BR51">
        <v>95</v>
      </c>
      <c r="BS51">
        <v>10520.8</v>
      </c>
      <c r="BT51">
        <v>711.45</v>
      </c>
      <c r="BU51">
        <v>1.72</v>
      </c>
      <c r="BV51">
        <v>300.00000000000011</v>
      </c>
      <c r="BW51">
        <v>38.200000000000003</v>
      </c>
      <c r="BX51">
        <v>723.52538068377169</v>
      </c>
      <c r="BY51">
        <v>0.94059034541114694</v>
      </c>
      <c r="BZ51">
        <v>-12.702951626618111</v>
      </c>
      <c r="CA51">
        <v>0.80838196265447881</v>
      </c>
      <c r="CB51">
        <v>0.89815635823284046</v>
      </c>
      <c r="CC51">
        <v>-1.139477775305895E-2</v>
      </c>
      <c r="CD51">
        <v>289.99999999999989</v>
      </c>
      <c r="CE51">
        <v>709.73</v>
      </c>
      <c r="CF51">
        <v>715</v>
      </c>
      <c r="CG51">
        <v>10468</v>
      </c>
      <c r="CH51">
        <v>711.39</v>
      </c>
      <c r="CI51">
        <v>-1.66</v>
      </c>
      <c r="CW51">
        <f t="shared" si="88"/>
        <v>1799.82</v>
      </c>
      <c r="CX51">
        <f t="shared" si="89"/>
        <v>1513.0337937452405</v>
      </c>
      <c r="CY51">
        <f t="shared" si="90"/>
        <v>0.8406583956980368</v>
      </c>
      <c r="CZ51">
        <f t="shared" si="91"/>
        <v>0.19131679139607391</v>
      </c>
      <c r="DA51">
        <v>6</v>
      </c>
      <c r="DB51">
        <v>0.5</v>
      </c>
      <c r="DC51" t="s">
        <v>420</v>
      </c>
      <c r="DD51">
        <v>2</v>
      </c>
      <c r="DE51">
        <v>1693502144</v>
      </c>
      <c r="DF51">
        <v>8.1806599999999996</v>
      </c>
      <c r="DG51">
        <v>10.003</v>
      </c>
      <c r="DH51">
        <v>29.265799999999999</v>
      </c>
      <c r="DI51">
        <v>22.636800000000001</v>
      </c>
      <c r="DJ51">
        <v>9.8748500000000003</v>
      </c>
      <c r="DK51">
        <v>28.738</v>
      </c>
      <c r="DL51">
        <v>500.08199999999999</v>
      </c>
      <c r="DM51">
        <v>99.572500000000005</v>
      </c>
      <c r="DN51">
        <v>0.100434</v>
      </c>
      <c r="DO51">
        <v>30.6889</v>
      </c>
      <c r="DP51">
        <v>29.912299999999998</v>
      </c>
      <c r="DQ51">
        <v>999.9</v>
      </c>
      <c r="DR51">
        <v>0</v>
      </c>
      <c r="DS51">
        <v>0</v>
      </c>
      <c r="DT51">
        <v>10005</v>
      </c>
      <c r="DU51">
        <v>0</v>
      </c>
      <c r="DV51">
        <v>1836.22</v>
      </c>
      <c r="DW51">
        <v>-1.8223400000000001</v>
      </c>
      <c r="DX51">
        <v>8.4272899999999993</v>
      </c>
      <c r="DY51">
        <v>10.2347</v>
      </c>
      <c r="DZ51">
        <v>6.6290300000000002</v>
      </c>
      <c r="EA51">
        <v>10.003</v>
      </c>
      <c r="EB51">
        <v>22.636800000000001</v>
      </c>
      <c r="EC51">
        <v>2.9140700000000002</v>
      </c>
      <c r="ED51">
        <v>2.254</v>
      </c>
      <c r="EE51">
        <v>23.544899999999998</v>
      </c>
      <c r="EF51">
        <v>19.351400000000002</v>
      </c>
      <c r="EG51">
        <v>1799.82</v>
      </c>
      <c r="EH51">
        <v>0.97799499999999995</v>
      </c>
      <c r="EI51">
        <v>2.2005400000000001E-2</v>
      </c>
      <c r="EJ51">
        <v>0</v>
      </c>
      <c r="EK51">
        <v>680.07899999999995</v>
      </c>
      <c r="EL51">
        <v>4.9995000000000003</v>
      </c>
      <c r="EM51">
        <v>13136.7</v>
      </c>
      <c r="EN51">
        <v>16658.099999999999</v>
      </c>
      <c r="EO51">
        <v>45.125</v>
      </c>
      <c r="EP51">
        <v>45.25</v>
      </c>
      <c r="EQ51">
        <v>45.75</v>
      </c>
      <c r="ER51">
        <v>45.061999999999998</v>
      </c>
      <c r="ES51">
        <v>46.625</v>
      </c>
      <c r="ET51">
        <v>1755.33</v>
      </c>
      <c r="EU51">
        <v>39.5</v>
      </c>
      <c r="EV51">
        <v>0</v>
      </c>
      <c r="EW51">
        <v>99.599999904632568</v>
      </c>
      <c r="EX51">
        <v>0</v>
      </c>
      <c r="EY51">
        <v>680.30969230769244</v>
      </c>
      <c r="EZ51">
        <v>1.1690940175236491</v>
      </c>
      <c r="FA51">
        <v>-3.8256411035261091</v>
      </c>
      <c r="FB51">
        <v>13138.634615384621</v>
      </c>
      <c r="FC51">
        <v>15</v>
      </c>
      <c r="FD51">
        <v>1693502115</v>
      </c>
      <c r="FE51" t="s">
        <v>598</v>
      </c>
      <c r="FF51">
        <v>1693502108.5</v>
      </c>
      <c r="FG51">
        <v>1693502115</v>
      </c>
      <c r="FH51">
        <v>42</v>
      </c>
      <c r="FI51">
        <v>3.0000000000000001E-3</v>
      </c>
      <c r="FJ51">
        <v>3.0000000000000001E-3</v>
      </c>
      <c r="FK51">
        <v>-1.6990000000000001</v>
      </c>
      <c r="FL51">
        <v>0.245</v>
      </c>
      <c r="FM51">
        <v>10</v>
      </c>
      <c r="FN51">
        <v>23</v>
      </c>
      <c r="FO51">
        <v>0.96</v>
      </c>
      <c r="FP51">
        <v>0.03</v>
      </c>
      <c r="FQ51">
        <v>1.474895259744468</v>
      </c>
      <c r="FR51">
        <v>-0.28571033739887591</v>
      </c>
      <c r="FS51">
        <v>4.6011646298850323E-2</v>
      </c>
      <c r="FT51">
        <v>1</v>
      </c>
      <c r="FU51">
        <v>0.44765627436721139</v>
      </c>
      <c r="FV51">
        <v>4.934512843760467E-2</v>
      </c>
      <c r="FW51">
        <v>7.2981585532524273E-3</v>
      </c>
      <c r="FX51">
        <v>1</v>
      </c>
      <c r="FY51">
        <v>2</v>
      </c>
      <c r="FZ51">
        <v>2</v>
      </c>
      <c r="GA51" t="s">
        <v>422</v>
      </c>
      <c r="GB51">
        <v>2.9729100000000002</v>
      </c>
      <c r="GC51">
        <v>2.8121700000000001</v>
      </c>
      <c r="GD51">
        <v>2.9038200000000001E-3</v>
      </c>
      <c r="GE51">
        <v>2.90355E-3</v>
      </c>
      <c r="GF51">
        <v>0.13788800000000001</v>
      </c>
      <c r="GG51">
        <v>0.115068</v>
      </c>
      <c r="GH51">
        <v>29589.5</v>
      </c>
      <c r="GI51">
        <v>27301.200000000001</v>
      </c>
      <c r="GJ51">
        <v>26661.7</v>
      </c>
      <c r="GK51">
        <v>25819</v>
      </c>
      <c r="GL51">
        <v>31242.5</v>
      </c>
      <c r="GM51">
        <v>32175.8</v>
      </c>
      <c r="GN51">
        <v>37760.699999999997</v>
      </c>
      <c r="GO51">
        <v>38201.1</v>
      </c>
      <c r="GP51">
        <v>2.0150000000000001</v>
      </c>
      <c r="GQ51">
        <v>2.0630999999999999</v>
      </c>
      <c r="GR51">
        <v>8.32677E-2</v>
      </c>
      <c r="GS51">
        <v>0</v>
      </c>
      <c r="GT51">
        <v>28.555499999999999</v>
      </c>
      <c r="GU51">
        <v>999.9</v>
      </c>
      <c r="GV51">
        <v>64.8</v>
      </c>
      <c r="GW51">
        <v>32.4</v>
      </c>
      <c r="GX51">
        <v>31.7882</v>
      </c>
      <c r="GY51">
        <v>61.332700000000003</v>
      </c>
      <c r="GZ51">
        <v>13.097</v>
      </c>
      <c r="HA51">
        <v>1</v>
      </c>
      <c r="HB51">
        <v>7.3932899999999996E-2</v>
      </c>
      <c r="HC51">
        <v>-0.75201499999999999</v>
      </c>
      <c r="HD51">
        <v>20.255099999999999</v>
      </c>
      <c r="HE51">
        <v>5.2112999999999996</v>
      </c>
      <c r="HF51">
        <v>11.9321</v>
      </c>
      <c r="HG51">
        <v>4.9885999999999999</v>
      </c>
      <c r="HH51">
        <v>3.2909999999999999</v>
      </c>
      <c r="HI51">
        <v>9999</v>
      </c>
      <c r="HJ51">
        <v>9999</v>
      </c>
      <c r="HK51">
        <v>9999</v>
      </c>
      <c r="HL51">
        <v>999.9</v>
      </c>
      <c r="HM51">
        <v>1.87042</v>
      </c>
      <c r="HN51">
        <v>1.8767</v>
      </c>
      <c r="HO51">
        <v>1.87453</v>
      </c>
      <c r="HP51">
        <v>1.8727400000000001</v>
      </c>
      <c r="HQ51">
        <v>1.87317</v>
      </c>
      <c r="HR51">
        <v>1.8706199999999999</v>
      </c>
      <c r="HS51">
        <v>1.87653</v>
      </c>
      <c r="HT51">
        <v>1.87561</v>
      </c>
      <c r="HU51">
        <v>5</v>
      </c>
      <c r="HV51">
        <v>0</v>
      </c>
      <c r="HW51">
        <v>0</v>
      </c>
      <c r="HX51">
        <v>0</v>
      </c>
      <c r="HY51" t="s">
        <v>423</v>
      </c>
      <c r="HZ51" t="s">
        <v>424</v>
      </c>
      <c r="IA51" t="s">
        <v>425</v>
      </c>
      <c r="IB51" t="s">
        <v>425</v>
      </c>
      <c r="IC51" t="s">
        <v>425</v>
      </c>
      <c r="ID51" t="s">
        <v>425</v>
      </c>
      <c r="IE51">
        <v>0</v>
      </c>
      <c r="IF51">
        <v>100</v>
      </c>
      <c r="IG51">
        <v>100</v>
      </c>
      <c r="IH51">
        <v>-1.694</v>
      </c>
      <c r="II51">
        <v>0.52780000000000005</v>
      </c>
      <c r="IJ51">
        <v>-1.667943034353174</v>
      </c>
      <c r="IK51">
        <v>-2.677719669153116E-3</v>
      </c>
      <c r="IL51">
        <v>1.9353498771248068E-6</v>
      </c>
      <c r="IM51">
        <v>-6.1862177325538213E-10</v>
      </c>
      <c r="IN51">
        <v>-0.12179001299761311</v>
      </c>
      <c r="IO51">
        <v>-1.5299015507423901E-2</v>
      </c>
      <c r="IP51">
        <v>1.742162107778985E-3</v>
      </c>
      <c r="IQ51">
        <v>-1.472690239905804E-5</v>
      </c>
      <c r="IR51">
        <v>3</v>
      </c>
      <c r="IS51">
        <v>2255</v>
      </c>
      <c r="IT51">
        <v>2</v>
      </c>
      <c r="IU51">
        <v>41</v>
      </c>
      <c r="IV51">
        <v>0.6</v>
      </c>
      <c r="IW51">
        <v>0.5</v>
      </c>
      <c r="IX51">
        <v>0.17700199999999999</v>
      </c>
      <c r="IY51">
        <v>2.5585900000000001</v>
      </c>
      <c r="IZ51">
        <v>1.6003400000000001</v>
      </c>
      <c r="JA51">
        <v>2.2717299999999998</v>
      </c>
      <c r="JB51">
        <v>1.5502899999999999</v>
      </c>
      <c r="JC51">
        <v>2.3767100000000001</v>
      </c>
      <c r="JD51">
        <v>36.955599999999997</v>
      </c>
      <c r="JE51">
        <v>23.816099999999999</v>
      </c>
      <c r="JF51">
        <v>18</v>
      </c>
      <c r="JG51">
        <v>509.78399999999999</v>
      </c>
      <c r="JH51">
        <v>509.84</v>
      </c>
      <c r="JI51">
        <v>28.427399999999999</v>
      </c>
      <c r="JJ51">
        <v>28.531400000000001</v>
      </c>
      <c r="JK51">
        <v>30.0002</v>
      </c>
      <c r="JL51">
        <v>28.441800000000001</v>
      </c>
      <c r="JM51">
        <v>28.399899999999999</v>
      </c>
      <c r="JN51">
        <v>3.5801599999999998</v>
      </c>
      <c r="JO51">
        <v>38.525799999999997</v>
      </c>
      <c r="JP51">
        <v>72.417900000000003</v>
      </c>
      <c r="JQ51">
        <v>28.535900000000002</v>
      </c>
      <c r="JR51">
        <v>10</v>
      </c>
      <c r="JS51">
        <v>22.513999999999999</v>
      </c>
      <c r="JT51">
        <v>99.570899999999995</v>
      </c>
      <c r="JU51">
        <v>99.233199999999997</v>
      </c>
    </row>
    <row r="52" spans="1:281" x14ac:dyDescent="0.25">
      <c r="A52">
        <v>36</v>
      </c>
      <c r="B52">
        <v>1693502333.5</v>
      </c>
      <c r="C52">
        <v>8353.9000000953674</v>
      </c>
      <c r="D52" t="s">
        <v>599</v>
      </c>
      <c r="E52" t="s">
        <v>600</v>
      </c>
      <c r="F52" t="s">
        <v>413</v>
      </c>
      <c r="G52" t="s">
        <v>565</v>
      </c>
      <c r="H52" t="s">
        <v>31</v>
      </c>
      <c r="I52">
        <v>3</v>
      </c>
      <c r="J52">
        <v>1693502333.5</v>
      </c>
      <c r="K52">
        <f t="shared" si="46"/>
        <v>5.5502680793319348E-3</v>
      </c>
      <c r="L52">
        <f t="shared" si="47"/>
        <v>5.5502680793319348</v>
      </c>
      <c r="M52">
        <f t="shared" si="48"/>
        <v>40.160030395539906</v>
      </c>
      <c r="N52">
        <f t="shared" si="49"/>
        <v>349.45299999999997</v>
      </c>
      <c r="O52">
        <f t="shared" si="50"/>
        <v>179.63418208025135</v>
      </c>
      <c r="P52">
        <f t="shared" si="51"/>
        <v>17.903568625337382</v>
      </c>
      <c r="Q52">
        <f t="shared" si="52"/>
        <v>34.828871066615598</v>
      </c>
      <c r="R52">
        <f t="shared" si="53"/>
        <v>0.41883526893398104</v>
      </c>
      <c r="S52">
        <f t="shared" si="54"/>
        <v>2.9201903172630397</v>
      </c>
      <c r="T52">
        <f t="shared" si="55"/>
        <v>0.38809633749761574</v>
      </c>
      <c r="U52">
        <f t="shared" si="56"/>
        <v>0.24513371812630377</v>
      </c>
      <c r="V52">
        <f t="shared" si="57"/>
        <v>344.3472006583774</v>
      </c>
      <c r="W52">
        <f t="shared" si="58"/>
        <v>31.491796615384494</v>
      </c>
      <c r="X52">
        <f t="shared" si="59"/>
        <v>30.078499999999998</v>
      </c>
      <c r="Y52">
        <f t="shared" si="60"/>
        <v>4.2796978224936657</v>
      </c>
      <c r="Z52">
        <f t="shared" si="61"/>
        <v>64.760786537741524</v>
      </c>
      <c r="AA52">
        <f t="shared" si="62"/>
        <v>2.9057165219283596</v>
      </c>
      <c r="AB52">
        <f t="shared" si="63"/>
        <v>4.4868456318623551</v>
      </c>
      <c r="AC52">
        <f t="shared" si="64"/>
        <v>1.3739813005653061</v>
      </c>
      <c r="AD52">
        <f t="shared" si="65"/>
        <v>-244.76682229853833</v>
      </c>
      <c r="AE52">
        <f t="shared" si="66"/>
        <v>130.0241627873811</v>
      </c>
      <c r="AF52">
        <f t="shared" si="67"/>
        <v>9.9486534526934864</v>
      </c>
      <c r="AG52">
        <f t="shared" si="68"/>
        <v>239.55319459991364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51921.962510689016</v>
      </c>
      <c r="AM52" t="s">
        <v>417</v>
      </c>
      <c r="AN52">
        <v>10238.9</v>
      </c>
      <c r="AO52">
        <v>302.21199999999999</v>
      </c>
      <c r="AP52">
        <v>4052.3</v>
      </c>
      <c r="AQ52">
        <f t="shared" si="72"/>
        <v>0.92542210596451402</v>
      </c>
      <c r="AR52">
        <v>-0.32343011824092421</v>
      </c>
      <c r="AS52" t="s">
        <v>601</v>
      </c>
      <c r="AT52">
        <v>10488.8</v>
      </c>
      <c r="AU52">
        <v>686.81707692307668</v>
      </c>
      <c r="AV52">
        <v>1010.3959150096319</v>
      </c>
      <c r="AW52">
        <f t="shared" si="73"/>
        <v>0.32024955097276953</v>
      </c>
      <c r="AX52">
        <v>0.5</v>
      </c>
      <c r="AY52">
        <f t="shared" si="74"/>
        <v>1513.0842003291889</v>
      </c>
      <c r="AZ52">
        <f t="shared" si="75"/>
        <v>40.160030395539906</v>
      </c>
      <c r="BA52">
        <f t="shared" si="76"/>
        <v>242.2822678697074</v>
      </c>
      <c r="BB52">
        <f t="shared" si="77"/>
        <v>2.6755590009447713E-2</v>
      </c>
      <c r="BC52">
        <f t="shared" si="78"/>
        <v>3.010606080054639</v>
      </c>
      <c r="BD52">
        <f t="shared" si="79"/>
        <v>246.79943946468285</v>
      </c>
      <c r="BE52" t="s">
        <v>602</v>
      </c>
      <c r="BF52">
        <v>564.23</v>
      </c>
      <c r="BG52">
        <f t="shared" si="80"/>
        <v>564.23</v>
      </c>
      <c r="BH52">
        <f t="shared" si="81"/>
        <v>0.4415753353529529</v>
      </c>
      <c r="BI52">
        <f t="shared" si="82"/>
        <v>0.72524329448064129</v>
      </c>
      <c r="BJ52">
        <f t="shared" si="83"/>
        <v>0.87208802718705991</v>
      </c>
      <c r="BK52">
        <f t="shared" si="84"/>
        <v>0.45691356613508272</v>
      </c>
      <c r="BL52">
        <f t="shared" si="85"/>
        <v>0.81115538755100358</v>
      </c>
      <c r="BM52">
        <f t="shared" si="86"/>
        <v>0.59579768441116232</v>
      </c>
      <c r="BN52">
        <f t="shared" si="87"/>
        <v>0.40420231558883768</v>
      </c>
      <c r="BO52">
        <v>5758</v>
      </c>
      <c r="BP52">
        <v>290.00000000000011</v>
      </c>
      <c r="BQ52">
        <v>905.37</v>
      </c>
      <c r="BR52">
        <v>275</v>
      </c>
      <c r="BS52">
        <v>10488.8</v>
      </c>
      <c r="BT52">
        <v>903.87</v>
      </c>
      <c r="BU52">
        <v>1.5</v>
      </c>
      <c r="BV52">
        <v>300.00000000000011</v>
      </c>
      <c r="BW52">
        <v>38.200000000000003</v>
      </c>
      <c r="BX52">
        <v>1010.3959150096319</v>
      </c>
      <c r="BY52">
        <v>1.457882239501342</v>
      </c>
      <c r="BZ52">
        <v>-111.728957957689</v>
      </c>
      <c r="CA52">
        <v>1.2531650020370131</v>
      </c>
      <c r="CB52">
        <v>0.99648992849736628</v>
      </c>
      <c r="CC52">
        <v>-1.139761579532815E-2</v>
      </c>
      <c r="CD52">
        <v>289.99999999999989</v>
      </c>
      <c r="CE52">
        <v>882.4</v>
      </c>
      <c r="CF52">
        <v>645</v>
      </c>
      <c r="CG52">
        <v>10476.200000000001</v>
      </c>
      <c r="CH52">
        <v>903.75</v>
      </c>
      <c r="CI52">
        <v>-21.35</v>
      </c>
      <c r="CW52">
        <f t="shared" si="88"/>
        <v>1799.88</v>
      </c>
      <c r="CX52">
        <f t="shared" si="89"/>
        <v>1513.0842003291889</v>
      </c>
      <c r="CY52">
        <f t="shared" si="90"/>
        <v>0.84065837740804317</v>
      </c>
      <c r="CZ52">
        <f t="shared" si="91"/>
        <v>0.19131675481608629</v>
      </c>
      <c r="DA52">
        <v>6</v>
      </c>
      <c r="DB52">
        <v>0.5</v>
      </c>
      <c r="DC52" t="s">
        <v>420</v>
      </c>
      <c r="DD52">
        <v>2</v>
      </c>
      <c r="DE52">
        <v>1693502333.5</v>
      </c>
      <c r="DF52">
        <v>349.45299999999997</v>
      </c>
      <c r="DG52">
        <v>399.96199999999999</v>
      </c>
      <c r="DH52">
        <v>29.154299999999999</v>
      </c>
      <c r="DI52">
        <v>22.689499999999999</v>
      </c>
      <c r="DJ52">
        <v>351.85199999999998</v>
      </c>
      <c r="DK52">
        <v>28.631599999999999</v>
      </c>
      <c r="DL52">
        <v>500.10399999999998</v>
      </c>
      <c r="DM52">
        <v>99.566999999999993</v>
      </c>
      <c r="DN52">
        <v>9.9825200000000003E-2</v>
      </c>
      <c r="DO52">
        <v>30.904399999999999</v>
      </c>
      <c r="DP52">
        <v>30.078499999999998</v>
      </c>
      <c r="DQ52">
        <v>999.9</v>
      </c>
      <c r="DR52">
        <v>0</v>
      </c>
      <c r="DS52">
        <v>0</v>
      </c>
      <c r="DT52">
        <v>9990</v>
      </c>
      <c r="DU52">
        <v>0</v>
      </c>
      <c r="DV52">
        <v>1848.31</v>
      </c>
      <c r="DW52">
        <v>-50.508400000000002</v>
      </c>
      <c r="DX52">
        <v>359.947</v>
      </c>
      <c r="DY52">
        <v>409.24700000000001</v>
      </c>
      <c r="DZ52">
        <v>6.4647899999999998</v>
      </c>
      <c r="EA52">
        <v>399.96199999999999</v>
      </c>
      <c r="EB52">
        <v>22.689499999999999</v>
      </c>
      <c r="EC52">
        <v>2.9028</v>
      </c>
      <c r="ED52">
        <v>2.2591199999999998</v>
      </c>
      <c r="EE52">
        <v>23.480599999999999</v>
      </c>
      <c r="EF52">
        <v>19.387799999999999</v>
      </c>
      <c r="EG52">
        <v>1799.88</v>
      </c>
      <c r="EH52">
        <v>0.97799499999999995</v>
      </c>
      <c r="EI52">
        <v>2.2005400000000001E-2</v>
      </c>
      <c r="EJ52">
        <v>0</v>
      </c>
      <c r="EK52">
        <v>687.05100000000004</v>
      </c>
      <c r="EL52">
        <v>4.9995000000000003</v>
      </c>
      <c r="EM52">
        <v>13278.1</v>
      </c>
      <c r="EN52">
        <v>16658.599999999999</v>
      </c>
      <c r="EO52">
        <v>45.125</v>
      </c>
      <c r="EP52">
        <v>45.25</v>
      </c>
      <c r="EQ52">
        <v>45.811999999999998</v>
      </c>
      <c r="ER52">
        <v>45</v>
      </c>
      <c r="ES52">
        <v>46.625</v>
      </c>
      <c r="ET52">
        <v>1755.38</v>
      </c>
      <c r="EU52">
        <v>39.5</v>
      </c>
      <c r="EV52">
        <v>0</v>
      </c>
      <c r="EW52">
        <v>187.4000000953674</v>
      </c>
      <c r="EX52">
        <v>0</v>
      </c>
      <c r="EY52">
        <v>686.81707692307668</v>
      </c>
      <c r="EZ52">
        <v>3.134769216299099</v>
      </c>
      <c r="FA52">
        <v>80.953846102374499</v>
      </c>
      <c r="FB52">
        <v>13267.98846153846</v>
      </c>
      <c r="FC52">
        <v>15</v>
      </c>
      <c r="FD52">
        <v>1693502246</v>
      </c>
      <c r="FE52" t="s">
        <v>603</v>
      </c>
      <c r="FF52">
        <v>1693502230</v>
      </c>
      <c r="FG52">
        <v>1693502115</v>
      </c>
      <c r="FH52">
        <v>43</v>
      </c>
      <c r="FI52">
        <v>-1E-3</v>
      </c>
      <c r="FJ52">
        <v>3.0000000000000001E-3</v>
      </c>
      <c r="FK52">
        <v>-2.4729999999999999</v>
      </c>
      <c r="FL52">
        <v>0.245</v>
      </c>
      <c r="FM52">
        <v>400</v>
      </c>
      <c r="FN52">
        <v>23</v>
      </c>
      <c r="FO52">
        <v>0.14000000000000001</v>
      </c>
      <c r="FP52">
        <v>0.03</v>
      </c>
      <c r="FQ52">
        <v>39.673296933189363</v>
      </c>
      <c r="FR52">
        <v>3.3349516891986442</v>
      </c>
      <c r="FS52">
        <v>0.2577252372401197</v>
      </c>
      <c r="FT52">
        <v>0</v>
      </c>
      <c r="FU52">
        <v>0.423841938251585</v>
      </c>
      <c r="FV52">
        <v>-2.6685822573661439E-2</v>
      </c>
      <c r="FW52">
        <v>2.2903413884863052E-3</v>
      </c>
      <c r="FX52">
        <v>1</v>
      </c>
      <c r="FY52">
        <v>1</v>
      </c>
      <c r="FZ52">
        <v>2</v>
      </c>
      <c r="GA52" t="s">
        <v>461</v>
      </c>
      <c r="GB52">
        <v>2.9729399999999999</v>
      </c>
      <c r="GC52">
        <v>2.8114300000000001</v>
      </c>
      <c r="GD52">
        <v>8.8566500000000006E-2</v>
      </c>
      <c r="GE52">
        <v>9.6822099999999994E-2</v>
      </c>
      <c r="GF52">
        <v>0.137514</v>
      </c>
      <c r="GG52">
        <v>0.11524</v>
      </c>
      <c r="GH52">
        <v>27048</v>
      </c>
      <c r="GI52">
        <v>24730.5</v>
      </c>
      <c r="GJ52">
        <v>26662.1</v>
      </c>
      <c r="GK52">
        <v>25819.7</v>
      </c>
      <c r="GL52">
        <v>31263.599999999999</v>
      </c>
      <c r="GM52">
        <v>32177.5</v>
      </c>
      <c r="GN52">
        <v>37761.5</v>
      </c>
      <c r="GO52">
        <v>38202.400000000001</v>
      </c>
      <c r="GP52">
        <v>2.0154000000000001</v>
      </c>
      <c r="GQ52">
        <v>2.0648</v>
      </c>
      <c r="GR52">
        <v>9.5665500000000001E-2</v>
      </c>
      <c r="GS52">
        <v>0</v>
      </c>
      <c r="GT52">
        <v>28.5199</v>
      </c>
      <c r="GU52">
        <v>999.9</v>
      </c>
      <c r="GV52">
        <v>63.4</v>
      </c>
      <c r="GW52">
        <v>32.4</v>
      </c>
      <c r="GX52">
        <v>31.101500000000001</v>
      </c>
      <c r="GY52">
        <v>61.482799999999997</v>
      </c>
      <c r="GZ52">
        <v>13.333299999999999</v>
      </c>
      <c r="HA52">
        <v>1</v>
      </c>
      <c r="HB52">
        <v>7.4024400000000004E-2</v>
      </c>
      <c r="HC52">
        <v>0.55113299999999998</v>
      </c>
      <c r="HD52">
        <v>20.256599999999999</v>
      </c>
      <c r="HE52">
        <v>5.2100999999999997</v>
      </c>
      <c r="HF52">
        <v>11.9321</v>
      </c>
      <c r="HG52">
        <v>4.9885999999999999</v>
      </c>
      <c r="HH52">
        <v>3.2909999999999999</v>
      </c>
      <c r="HI52">
        <v>9999</v>
      </c>
      <c r="HJ52">
        <v>9999</v>
      </c>
      <c r="HK52">
        <v>9999</v>
      </c>
      <c r="HL52">
        <v>999.9</v>
      </c>
      <c r="HM52">
        <v>1.87042</v>
      </c>
      <c r="HN52">
        <v>1.8767100000000001</v>
      </c>
      <c r="HO52">
        <v>1.8745400000000001</v>
      </c>
      <c r="HP52">
        <v>1.8727199999999999</v>
      </c>
      <c r="HQ52">
        <v>1.8732</v>
      </c>
      <c r="HR52">
        <v>1.8706</v>
      </c>
      <c r="HS52">
        <v>1.87653</v>
      </c>
      <c r="HT52">
        <v>1.8755599999999999</v>
      </c>
      <c r="HU52">
        <v>5</v>
      </c>
      <c r="HV52">
        <v>0</v>
      </c>
      <c r="HW52">
        <v>0</v>
      </c>
      <c r="HX52">
        <v>0</v>
      </c>
      <c r="HY52" t="s">
        <v>423</v>
      </c>
      <c r="HZ52" t="s">
        <v>424</v>
      </c>
      <c r="IA52" t="s">
        <v>425</v>
      </c>
      <c r="IB52" t="s">
        <v>425</v>
      </c>
      <c r="IC52" t="s">
        <v>425</v>
      </c>
      <c r="ID52" t="s">
        <v>425</v>
      </c>
      <c r="IE52">
        <v>0</v>
      </c>
      <c r="IF52">
        <v>100</v>
      </c>
      <c r="IG52">
        <v>100</v>
      </c>
      <c r="IH52">
        <v>-2.399</v>
      </c>
      <c r="II52">
        <v>0.52270000000000005</v>
      </c>
      <c r="IJ52">
        <v>-1.6687420388789089</v>
      </c>
      <c r="IK52">
        <v>-2.677719669153116E-3</v>
      </c>
      <c r="IL52">
        <v>1.9353498771248068E-6</v>
      </c>
      <c r="IM52">
        <v>-6.1862177325538213E-10</v>
      </c>
      <c r="IN52">
        <v>-0.12179001299761311</v>
      </c>
      <c r="IO52">
        <v>-1.5299015507423901E-2</v>
      </c>
      <c r="IP52">
        <v>1.742162107778985E-3</v>
      </c>
      <c r="IQ52">
        <v>-1.472690239905804E-5</v>
      </c>
      <c r="IR52">
        <v>3</v>
      </c>
      <c r="IS52">
        <v>2255</v>
      </c>
      <c r="IT52">
        <v>2</v>
      </c>
      <c r="IU52">
        <v>41</v>
      </c>
      <c r="IV52">
        <v>1.7</v>
      </c>
      <c r="IW52">
        <v>3.6</v>
      </c>
      <c r="IX52">
        <v>0.95459000000000005</v>
      </c>
      <c r="IY52">
        <v>2.49878</v>
      </c>
      <c r="IZ52">
        <v>1.5991200000000001</v>
      </c>
      <c r="JA52">
        <v>2.2729499999999998</v>
      </c>
      <c r="JB52">
        <v>1.5502899999999999</v>
      </c>
      <c r="JC52">
        <v>2.4023400000000001</v>
      </c>
      <c r="JD52">
        <v>36.979399999999998</v>
      </c>
      <c r="JE52">
        <v>23.816099999999999</v>
      </c>
      <c r="JF52">
        <v>18</v>
      </c>
      <c r="JG52">
        <v>510.27</v>
      </c>
      <c r="JH52">
        <v>511.25099999999998</v>
      </c>
      <c r="JI52">
        <v>28.645800000000001</v>
      </c>
      <c r="JJ52">
        <v>28.550799999999999</v>
      </c>
      <c r="JK52">
        <v>30.0001</v>
      </c>
      <c r="JL52">
        <v>28.468399999999999</v>
      </c>
      <c r="JM52">
        <v>28.4312</v>
      </c>
      <c r="JN52">
        <v>19.151</v>
      </c>
      <c r="JO52">
        <v>35.427500000000002</v>
      </c>
      <c r="JP52">
        <v>67.4178</v>
      </c>
      <c r="JQ52">
        <v>28.630099999999999</v>
      </c>
      <c r="JR52">
        <v>400</v>
      </c>
      <c r="JS52">
        <v>22.822600000000001</v>
      </c>
      <c r="JT52">
        <v>99.572699999999998</v>
      </c>
      <c r="JU52">
        <v>99.236400000000003</v>
      </c>
    </row>
    <row r="53" spans="1:281" x14ac:dyDescent="0.25">
      <c r="A53">
        <v>37</v>
      </c>
      <c r="B53">
        <v>1693502506</v>
      </c>
      <c r="C53">
        <v>8526.4000000953674</v>
      </c>
      <c r="D53" t="s">
        <v>604</v>
      </c>
      <c r="E53" t="s">
        <v>605</v>
      </c>
      <c r="F53" t="s">
        <v>413</v>
      </c>
      <c r="G53" t="s">
        <v>565</v>
      </c>
      <c r="H53" t="s">
        <v>31</v>
      </c>
      <c r="I53">
        <v>3</v>
      </c>
      <c r="J53">
        <v>1693502506</v>
      </c>
      <c r="K53">
        <f t="shared" si="46"/>
        <v>5.5861026203616248E-3</v>
      </c>
      <c r="L53">
        <f t="shared" si="47"/>
        <v>5.5861026203616246</v>
      </c>
      <c r="M53">
        <f t="shared" si="48"/>
        <v>45.394583778945204</v>
      </c>
      <c r="N53">
        <f t="shared" si="49"/>
        <v>343.25599999999997</v>
      </c>
      <c r="O53">
        <f t="shared" si="50"/>
        <v>153.85364109014122</v>
      </c>
      <c r="P53">
        <f t="shared" si="51"/>
        <v>15.333876680316024</v>
      </c>
      <c r="Q53">
        <f t="shared" si="52"/>
        <v>34.210728693087994</v>
      </c>
      <c r="R53">
        <f t="shared" si="53"/>
        <v>0.42216597449232351</v>
      </c>
      <c r="S53">
        <f t="shared" si="54"/>
        <v>2.9284824271443113</v>
      </c>
      <c r="T53">
        <f t="shared" si="55"/>
        <v>0.3910371173590686</v>
      </c>
      <c r="U53">
        <f t="shared" si="56"/>
        <v>0.24700345224084952</v>
      </c>
      <c r="V53">
        <f t="shared" si="57"/>
        <v>344.34150065838838</v>
      </c>
      <c r="W53">
        <f t="shared" si="58"/>
        <v>31.285999878788044</v>
      </c>
      <c r="X53">
        <f t="shared" si="59"/>
        <v>29.950600000000001</v>
      </c>
      <c r="Y53">
        <f t="shared" si="60"/>
        <v>4.2483757022728197</v>
      </c>
      <c r="Z53">
        <f t="shared" si="61"/>
        <v>64.80499735010261</v>
      </c>
      <c r="AA53">
        <f t="shared" si="62"/>
        <v>2.8755047543568</v>
      </c>
      <c r="AB53">
        <f t="shared" si="63"/>
        <v>4.4371651445677394</v>
      </c>
      <c r="AC53">
        <f t="shared" si="64"/>
        <v>1.3728709479160197</v>
      </c>
      <c r="AD53">
        <f t="shared" si="65"/>
        <v>-246.34712555794766</v>
      </c>
      <c r="AE53">
        <f t="shared" si="66"/>
        <v>119.79960549174005</v>
      </c>
      <c r="AF53">
        <f t="shared" si="67"/>
        <v>9.1257958301569513</v>
      </c>
      <c r="AG53">
        <f t="shared" si="68"/>
        <v>226.91977642233775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52191.503581540936</v>
      </c>
      <c r="AM53" t="s">
        <v>417</v>
      </c>
      <c r="AN53">
        <v>10238.9</v>
      </c>
      <c r="AO53">
        <v>302.21199999999999</v>
      </c>
      <c r="AP53">
        <v>4052.3</v>
      </c>
      <c r="AQ53">
        <f t="shared" si="72"/>
        <v>0.92542210596451402</v>
      </c>
      <c r="AR53">
        <v>-0.32343011824092421</v>
      </c>
      <c r="AS53" t="s">
        <v>606</v>
      </c>
      <c r="AT53">
        <v>10501.7</v>
      </c>
      <c r="AU53">
        <v>731.75447999999994</v>
      </c>
      <c r="AV53">
        <v>1095.2580804963129</v>
      </c>
      <c r="AW53">
        <f t="shared" si="73"/>
        <v>0.33188853565142606</v>
      </c>
      <c r="AX53">
        <v>0.5</v>
      </c>
      <c r="AY53">
        <f t="shared" si="74"/>
        <v>1513.0590003291941</v>
      </c>
      <c r="AZ53">
        <f t="shared" si="75"/>
        <v>45.394583778945204</v>
      </c>
      <c r="BA53">
        <f t="shared" si="76"/>
        <v>251.08346798673341</v>
      </c>
      <c r="BB53">
        <f t="shared" si="77"/>
        <v>3.0215618748006073E-2</v>
      </c>
      <c r="BC53">
        <f t="shared" si="78"/>
        <v>2.699858574121373</v>
      </c>
      <c r="BD53">
        <f t="shared" si="79"/>
        <v>251.56037682707441</v>
      </c>
      <c r="BE53" t="s">
        <v>607</v>
      </c>
      <c r="BF53">
        <v>581.79</v>
      </c>
      <c r="BG53">
        <f t="shared" si="80"/>
        <v>581.79</v>
      </c>
      <c r="BH53">
        <f t="shared" si="81"/>
        <v>0.46881012762182628</v>
      </c>
      <c r="BI53">
        <f t="shared" si="82"/>
        <v>0.70793806724062402</v>
      </c>
      <c r="BJ53">
        <f t="shared" si="83"/>
        <v>0.85204823484262759</v>
      </c>
      <c r="BK53">
        <f t="shared" si="84"/>
        <v>0.45836378167183062</v>
      </c>
      <c r="BL53">
        <f t="shared" si="85"/>
        <v>0.78852600779066717</v>
      </c>
      <c r="BM53">
        <f t="shared" si="86"/>
        <v>0.5628544811094599</v>
      </c>
      <c r="BN53">
        <f t="shared" si="87"/>
        <v>0.4371455188905401</v>
      </c>
      <c r="BO53">
        <v>5760</v>
      </c>
      <c r="BP53">
        <v>290.00000000000011</v>
      </c>
      <c r="BQ53">
        <v>988.77</v>
      </c>
      <c r="BR53">
        <v>195</v>
      </c>
      <c r="BS53">
        <v>10501.7</v>
      </c>
      <c r="BT53">
        <v>984.9</v>
      </c>
      <c r="BU53">
        <v>3.87</v>
      </c>
      <c r="BV53">
        <v>300.00000000000011</v>
      </c>
      <c r="BW53">
        <v>38.200000000000003</v>
      </c>
      <c r="BX53">
        <v>1095.2580804963129</v>
      </c>
      <c r="BY53">
        <v>1.332292288419298</v>
      </c>
      <c r="BZ53">
        <v>-115.8986944444645</v>
      </c>
      <c r="CA53">
        <v>1.145216880367625</v>
      </c>
      <c r="CB53">
        <v>0.99727359264513959</v>
      </c>
      <c r="CC53">
        <v>-1.1397852947719689E-2</v>
      </c>
      <c r="CD53">
        <v>289.99999999999989</v>
      </c>
      <c r="CE53">
        <v>971.48</v>
      </c>
      <c r="CF53">
        <v>655</v>
      </c>
      <c r="CG53">
        <v>10475.299999999999</v>
      </c>
      <c r="CH53">
        <v>984.62</v>
      </c>
      <c r="CI53">
        <v>-13.14</v>
      </c>
      <c r="CW53">
        <f t="shared" si="88"/>
        <v>1799.85</v>
      </c>
      <c r="CX53">
        <f t="shared" si="89"/>
        <v>1513.0590003291941</v>
      </c>
      <c r="CY53">
        <f t="shared" si="90"/>
        <v>0.84065838838191742</v>
      </c>
      <c r="CZ53">
        <f t="shared" si="91"/>
        <v>0.19131677676383499</v>
      </c>
      <c r="DA53">
        <v>6</v>
      </c>
      <c r="DB53">
        <v>0.5</v>
      </c>
      <c r="DC53" t="s">
        <v>420</v>
      </c>
      <c r="DD53">
        <v>2</v>
      </c>
      <c r="DE53">
        <v>1693502506</v>
      </c>
      <c r="DF53">
        <v>343.25599999999997</v>
      </c>
      <c r="DG53">
        <v>399.99799999999999</v>
      </c>
      <c r="DH53">
        <v>28.851600000000001</v>
      </c>
      <c r="DI53">
        <v>22.345400000000001</v>
      </c>
      <c r="DJ53">
        <v>345.73</v>
      </c>
      <c r="DK53">
        <v>28.349599999999999</v>
      </c>
      <c r="DL53">
        <v>500.286</v>
      </c>
      <c r="DM53">
        <v>99.565799999999996</v>
      </c>
      <c r="DN53">
        <v>9.9547999999999998E-2</v>
      </c>
      <c r="DO53">
        <v>30.709399999999999</v>
      </c>
      <c r="DP53">
        <v>29.950600000000001</v>
      </c>
      <c r="DQ53">
        <v>999.9</v>
      </c>
      <c r="DR53">
        <v>0</v>
      </c>
      <c r="DS53">
        <v>0</v>
      </c>
      <c r="DT53">
        <v>10037.5</v>
      </c>
      <c r="DU53">
        <v>0</v>
      </c>
      <c r="DV53">
        <v>1849.31</v>
      </c>
      <c r="DW53">
        <v>-56.741900000000001</v>
      </c>
      <c r="DX53">
        <v>353.45400000000001</v>
      </c>
      <c r="DY53">
        <v>409.14100000000002</v>
      </c>
      <c r="DZ53">
        <v>6.5062199999999999</v>
      </c>
      <c r="EA53">
        <v>399.99799999999999</v>
      </c>
      <c r="EB53">
        <v>22.345400000000001</v>
      </c>
      <c r="EC53">
        <v>2.87263</v>
      </c>
      <c r="ED53">
        <v>2.2248399999999999</v>
      </c>
      <c r="EE53">
        <v>23.307500000000001</v>
      </c>
      <c r="EF53">
        <v>19.142299999999999</v>
      </c>
      <c r="EG53">
        <v>1799.85</v>
      </c>
      <c r="EH53">
        <v>0.97799499999999995</v>
      </c>
      <c r="EI53">
        <v>2.2005400000000001E-2</v>
      </c>
      <c r="EJ53">
        <v>0</v>
      </c>
      <c r="EK53">
        <v>733.10299999999995</v>
      </c>
      <c r="EL53">
        <v>4.9995000000000003</v>
      </c>
      <c r="EM53">
        <v>14102.4</v>
      </c>
      <c r="EN53">
        <v>16658.400000000001</v>
      </c>
      <c r="EO53">
        <v>45.186999999999998</v>
      </c>
      <c r="EP53">
        <v>45.375</v>
      </c>
      <c r="EQ53">
        <v>45.875</v>
      </c>
      <c r="ER53">
        <v>45.061999999999998</v>
      </c>
      <c r="ES53">
        <v>46.686999999999998</v>
      </c>
      <c r="ET53">
        <v>1755.35</v>
      </c>
      <c r="EU53">
        <v>39.5</v>
      </c>
      <c r="EV53">
        <v>0</v>
      </c>
      <c r="EW53">
        <v>170.60000014305109</v>
      </c>
      <c r="EX53">
        <v>0</v>
      </c>
      <c r="EY53">
        <v>731.75447999999994</v>
      </c>
      <c r="EZ53">
        <v>11.17584616508198</v>
      </c>
      <c r="FA53">
        <v>208.684615422522</v>
      </c>
      <c r="FB53">
        <v>14080.268</v>
      </c>
      <c r="FC53">
        <v>15</v>
      </c>
      <c r="FD53">
        <v>1693502409.5</v>
      </c>
      <c r="FE53" t="s">
        <v>608</v>
      </c>
      <c r="FF53">
        <v>1693502406</v>
      </c>
      <c r="FG53">
        <v>1693502409.5</v>
      </c>
      <c r="FH53">
        <v>44</v>
      </c>
      <c r="FI53">
        <v>-8.5000000000000006E-2</v>
      </c>
      <c r="FJ53">
        <v>-7.0000000000000001E-3</v>
      </c>
      <c r="FK53">
        <v>-2.5579999999999998</v>
      </c>
      <c r="FL53">
        <v>0.24</v>
      </c>
      <c r="FM53">
        <v>400</v>
      </c>
      <c r="FN53">
        <v>23</v>
      </c>
      <c r="FO53">
        <v>0.1</v>
      </c>
      <c r="FP53">
        <v>0.03</v>
      </c>
      <c r="FQ53">
        <v>45.248793765619943</v>
      </c>
      <c r="FR53">
        <v>0.56432995732825131</v>
      </c>
      <c r="FS53">
        <v>8.6371127621775276E-2</v>
      </c>
      <c r="FT53">
        <v>1</v>
      </c>
      <c r="FU53">
        <v>0.42206827291800708</v>
      </c>
      <c r="FV53">
        <v>-1.4190760571903109E-4</v>
      </c>
      <c r="FW53">
        <v>9.2668868776797165E-4</v>
      </c>
      <c r="FX53">
        <v>1</v>
      </c>
      <c r="FY53">
        <v>2</v>
      </c>
      <c r="FZ53">
        <v>2</v>
      </c>
      <c r="GA53" t="s">
        <v>422</v>
      </c>
      <c r="GB53">
        <v>2.9733399999999999</v>
      </c>
      <c r="GC53">
        <v>2.8115700000000001</v>
      </c>
      <c r="GD53">
        <v>8.7317000000000006E-2</v>
      </c>
      <c r="GE53">
        <v>9.6804299999999996E-2</v>
      </c>
      <c r="GF53">
        <v>0.13653999999999999</v>
      </c>
      <c r="GG53">
        <v>0.113987</v>
      </c>
      <c r="GH53">
        <v>27081</v>
      </c>
      <c r="GI53">
        <v>24725.3</v>
      </c>
      <c r="GJ53">
        <v>26658.5</v>
      </c>
      <c r="GK53">
        <v>25814.3</v>
      </c>
      <c r="GL53">
        <v>31296</v>
      </c>
      <c r="GM53">
        <v>32216</v>
      </c>
      <c r="GN53">
        <v>37755.699999999997</v>
      </c>
      <c r="GO53">
        <v>38193.9</v>
      </c>
      <c r="GP53">
        <v>2.0131999999999999</v>
      </c>
      <c r="GQ53">
        <v>2.0621999999999998</v>
      </c>
      <c r="GR53">
        <v>8.3223000000000005E-2</v>
      </c>
      <c r="GS53">
        <v>0</v>
      </c>
      <c r="GT53">
        <v>28.5946</v>
      </c>
      <c r="GU53">
        <v>999.9</v>
      </c>
      <c r="GV53">
        <v>62</v>
      </c>
      <c r="GW53">
        <v>32.4</v>
      </c>
      <c r="GX53">
        <v>30.4148</v>
      </c>
      <c r="GY53">
        <v>61.4328</v>
      </c>
      <c r="GZ53">
        <v>13.633800000000001</v>
      </c>
      <c r="HA53">
        <v>1</v>
      </c>
      <c r="HB53">
        <v>8.1869899999999995E-2</v>
      </c>
      <c r="HC53">
        <v>4.8365999999999999E-2</v>
      </c>
      <c r="HD53">
        <v>20.2575</v>
      </c>
      <c r="HE53">
        <v>5.2100999999999997</v>
      </c>
      <c r="HF53">
        <v>11.9321</v>
      </c>
      <c r="HG53">
        <v>4.9884000000000004</v>
      </c>
      <c r="HH53">
        <v>3.2909999999999999</v>
      </c>
      <c r="HI53">
        <v>9999</v>
      </c>
      <c r="HJ53">
        <v>9999</v>
      </c>
      <c r="HK53">
        <v>9999</v>
      </c>
      <c r="HL53">
        <v>999.9</v>
      </c>
      <c r="HM53">
        <v>1.87039</v>
      </c>
      <c r="HN53">
        <v>1.8766799999999999</v>
      </c>
      <c r="HO53">
        <v>1.8744499999999999</v>
      </c>
      <c r="HP53">
        <v>1.8727100000000001</v>
      </c>
      <c r="HQ53">
        <v>1.87317</v>
      </c>
      <c r="HR53">
        <v>1.8705700000000001</v>
      </c>
      <c r="HS53">
        <v>1.87653</v>
      </c>
      <c r="HT53">
        <v>1.87551</v>
      </c>
      <c r="HU53">
        <v>5</v>
      </c>
      <c r="HV53">
        <v>0</v>
      </c>
      <c r="HW53">
        <v>0</v>
      </c>
      <c r="HX53">
        <v>0</v>
      </c>
      <c r="HY53" t="s">
        <v>423</v>
      </c>
      <c r="HZ53" t="s">
        <v>424</v>
      </c>
      <c r="IA53" t="s">
        <v>425</v>
      </c>
      <c r="IB53" t="s">
        <v>425</v>
      </c>
      <c r="IC53" t="s">
        <v>425</v>
      </c>
      <c r="ID53" t="s">
        <v>425</v>
      </c>
      <c r="IE53">
        <v>0</v>
      </c>
      <c r="IF53">
        <v>100</v>
      </c>
      <c r="IG53">
        <v>100</v>
      </c>
      <c r="IH53">
        <v>-2.4740000000000002</v>
      </c>
      <c r="II53">
        <v>0.502</v>
      </c>
      <c r="IJ53">
        <v>-1.7532153427879029</v>
      </c>
      <c r="IK53">
        <v>-2.677719669153116E-3</v>
      </c>
      <c r="IL53">
        <v>1.9353498771248068E-6</v>
      </c>
      <c r="IM53">
        <v>-6.1862177325538213E-10</v>
      </c>
      <c r="IN53">
        <v>-0.12884648657523379</v>
      </c>
      <c r="IO53">
        <v>-1.5299015507423901E-2</v>
      </c>
      <c r="IP53">
        <v>1.742162107778985E-3</v>
      </c>
      <c r="IQ53">
        <v>-1.472690239905804E-5</v>
      </c>
      <c r="IR53">
        <v>3</v>
      </c>
      <c r="IS53">
        <v>2255</v>
      </c>
      <c r="IT53">
        <v>2</v>
      </c>
      <c r="IU53">
        <v>41</v>
      </c>
      <c r="IV53">
        <v>1.7</v>
      </c>
      <c r="IW53">
        <v>1.6</v>
      </c>
      <c r="IX53">
        <v>0.95459000000000005</v>
      </c>
      <c r="IY53">
        <v>2.49146</v>
      </c>
      <c r="IZ53">
        <v>1.5991200000000001</v>
      </c>
      <c r="JA53">
        <v>2.2729499999999998</v>
      </c>
      <c r="JB53">
        <v>1.5502899999999999</v>
      </c>
      <c r="JC53">
        <v>2.34497</v>
      </c>
      <c r="JD53">
        <v>37.0032</v>
      </c>
      <c r="JE53">
        <v>23.851099999999999</v>
      </c>
      <c r="JF53">
        <v>18</v>
      </c>
      <c r="JG53">
        <v>509.60500000000002</v>
      </c>
      <c r="JH53">
        <v>510.26799999999997</v>
      </c>
      <c r="JI53">
        <v>28.594000000000001</v>
      </c>
      <c r="JJ53">
        <v>28.655999999999999</v>
      </c>
      <c r="JK53">
        <v>30.0001</v>
      </c>
      <c r="JL53">
        <v>28.5534</v>
      </c>
      <c r="JM53">
        <v>28.513400000000001</v>
      </c>
      <c r="JN53">
        <v>19.144500000000001</v>
      </c>
      <c r="JO53">
        <v>35.252600000000001</v>
      </c>
      <c r="JP53">
        <v>63.712699999999998</v>
      </c>
      <c r="JQ53">
        <v>28.6174</v>
      </c>
      <c r="JR53">
        <v>400</v>
      </c>
      <c r="JS53">
        <v>22.433700000000002</v>
      </c>
      <c r="JT53">
        <v>99.558300000000003</v>
      </c>
      <c r="JU53">
        <v>99.214699999999993</v>
      </c>
    </row>
    <row r="54" spans="1:281" x14ac:dyDescent="0.25">
      <c r="A54">
        <v>38</v>
      </c>
      <c r="B54">
        <v>1693502621</v>
      </c>
      <c r="C54">
        <v>8641.4000000953674</v>
      </c>
      <c r="D54" t="s">
        <v>609</v>
      </c>
      <c r="E54" t="s">
        <v>610</v>
      </c>
      <c r="F54" t="s">
        <v>413</v>
      </c>
      <c r="G54" t="s">
        <v>565</v>
      </c>
      <c r="H54" t="s">
        <v>31</v>
      </c>
      <c r="I54">
        <v>3</v>
      </c>
      <c r="J54">
        <v>1693502621</v>
      </c>
      <c r="K54">
        <f t="shared" si="46"/>
        <v>5.4813537993161675E-3</v>
      </c>
      <c r="L54">
        <f t="shared" si="47"/>
        <v>5.4813537993161674</v>
      </c>
      <c r="M54">
        <f t="shared" si="48"/>
        <v>47.705506347742237</v>
      </c>
      <c r="N54">
        <f t="shared" si="49"/>
        <v>439.89699999999999</v>
      </c>
      <c r="O54">
        <f t="shared" si="50"/>
        <v>237.51706905029141</v>
      </c>
      <c r="P54">
        <f t="shared" si="51"/>
        <v>23.6724978127057</v>
      </c>
      <c r="Q54">
        <f t="shared" si="52"/>
        <v>43.842999629264007</v>
      </c>
      <c r="R54">
        <f t="shared" si="53"/>
        <v>0.41845322838894011</v>
      </c>
      <c r="S54">
        <f t="shared" si="54"/>
        <v>2.9149102630342401</v>
      </c>
      <c r="T54">
        <f t="shared" si="55"/>
        <v>0.38771693923133993</v>
      </c>
      <c r="U54">
        <f t="shared" si="56"/>
        <v>0.24489621676275769</v>
      </c>
      <c r="V54">
        <f t="shared" si="57"/>
        <v>344.36560065817417</v>
      </c>
      <c r="W54">
        <f t="shared" si="58"/>
        <v>31.329627895755902</v>
      </c>
      <c r="X54">
        <f t="shared" si="59"/>
        <v>30.0091</v>
      </c>
      <c r="Y54">
        <f t="shared" si="60"/>
        <v>4.2626772020649577</v>
      </c>
      <c r="Z54">
        <f t="shared" si="61"/>
        <v>65.402784849329308</v>
      </c>
      <c r="AA54">
        <f t="shared" si="62"/>
        <v>2.9043020929823999</v>
      </c>
      <c r="AB54">
        <f t="shared" si="63"/>
        <v>4.4406397979430734</v>
      </c>
      <c r="AC54">
        <f t="shared" si="64"/>
        <v>1.3583751090825578</v>
      </c>
      <c r="AD54">
        <f t="shared" si="65"/>
        <v>-241.72770254984297</v>
      </c>
      <c r="AE54">
        <f t="shared" si="66"/>
        <v>112.20413045990098</v>
      </c>
      <c r="AF54">
        <f t="shared" si="67"/>
        <v>8.5900681554709379</v>
      </c>
      <c r="AG54">
        <f t="shared" si="68"/>
        <v>223.43209672370313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51802.746491706639</v>
      </c>
      <c r="AM54" t="s">
        <v>417</v>
      </c>
      <c r="AN54">
        <v>10238.9</v>
      </c>
      <c r="AO54">
        <v>302.21199999999999</v>
      </c>
      <c r="AP54">
        <v>4052.3</v>
      </c>
      <c r="AQ54">
        <f t="shared" si="72"/>
        <v>0.92542210596451402</v>
      </c>
      <c r="AR54">
        <v>-0.32343011824092421</v>
      </c>
      <c r="AS54" t="s">
        <v>611</v>
      </c>
      <c r="AT54">
        <v>10511.1</v>
      </c>
      <c r="AU54">
        <v>753.07388461538471</v>
      </c>
      <c r="AV54">
        <v>1152.2523496018671</v>
      </c>
      <c r="AW54">
        <f t="shared" si="73"/>
        <v>0.34643319679444251</v>
      </c>
      <c r="AX54">
        <v>0.5</v>
      </c>
      <c r="AY54">
        <f t="shared" si="74"/>
        <v>1513.1679003290872</v>
      </c>
      <c r="AZ54">
        <f t="shared" si="75"/>
        <v>47.705506347742237</v>
      </c>
      <c r="BA54">
        <f t="shared" si="76"/>
        <v>262.10579649887001</v>
      </c>
      <c r="BB54">
        <f t="shared" si="77"/>
        <v>3.1740652478510621E-2</v>
      </c>
      <c r="BC54">
        <f t="shared" si="78"/>
        <v>2.5168511493165315</v>
      </c>
      <c r="BD54">
        <f t="shared" si="79"/>
        <v>254.45114837889244</v>
      </c>
      <c r="BE54" t="s">
        <v>612</v>
      </c>
      <c r="BF54">
        <v>589.45000000000005</v>
      </c>
      <c r="BG54">
        <f t="shared" si="80"/>
        <v>589.45000000000005</v>
      </c>
      <c r="BH54">
        <f t="shared" si="81"/>
        <v>0.48843671249299669</v>
      </c>
      <c r="BI54">
        <f t="shared" si="82"/>
        <v>0.70926936475809998</v>
      </c>
      <c r="BJ54">
        <f t="shared" si="83"/>
        <v>0.83747423376644459</v>
      </c>
      <c r="BK54">
        <f t="shared" si="84"/>
        <v>0.46959943157221345</v>
      </c>
      <c r="BL54">
        <f t="shared" si="85"/>
        <v>0.77332789267828728</v>
      </c>
      <c r="BM54">
        <f t="shared" si="86"/>
        <v>0.55516309302132594</v>
      </c>
      <c r="BN54">
        <f t="shared" si="87"/>
        <v>0.44483690697867406</v>
      </c>
      <c r="BO54">
        <v>5762</v>
      </c>
      <c r="BP54">
        <v>290.00000000000011</v>
      </c>
      <c r="BQ54">
        <v>1036.77</v>
      </c>
      <c r="BR54">
        <v>145</v>
      </c>
      <c r="BS54">
        <v>10511.1</v>
      </c>
      <c r="BT54">
        <v>1033.25</v>
      </c>
      <c r="BU54">
        <v>3.52</v>
      </c>
      <c r="BV54">
        <v>300.00000000000011</v>
      </c>
      <c r="BW54">
        <v>38.200000000000003</v>
      </c>
      <c r="BX54">
        <v>1152.2523496018671</v>
      </c>
      <c r="BY54">
        <v>0.887704424934189</v>
      </c>
      <c r="BZ54">
        <v>-125.0801228427312</v>
      </c>
      <c r="CA54">
        <v>0.76301039128520876</v>
      </c>
      <c r="CB54">
        <v>0.99895914540104991</v>
      </c>
      <c r="CC54">
        <v>-1.139743937708566E-2</v>
      </c>
      <c r="CD54">
        <v>289.99999999999989</v>
      </c>
      <c r="CE54">
        <v>1019.12</v>
      </c>
      <c r="CF54">
        <v>655</v>
      </c>
      <c r="CG54">
        <v>10474.700000000001</v>
      </c>
      <c r="CH54">
        <v>1032.8399999999999</v>
      </c>
      <c r="CI54">
        <v>-13.72</v>
      </c>
      <c r="CW54">
        <f t="shared" si="88"/>
        <v>1799.98</v>
      </c>
      <c r="CX54">
        <f t="shared" si="89"/>
        <v>1513.1679003290872</v>
      </c>
      <c r="CY54">
        <f t="shared" si="90"/>
        <v>0.84065817416253907</v>
      </c>
      <c r="CZ54">
        <f t="shared" si="91"/>
        <v>0.19131634832507816</v>
      </c>
      <c r="DA54">
        <v>6</v>
      </c>
      <c r="DB54">
        <v>0.5</v>
      </c>
      <c r="DC54" t="s">
        <v>420</v>
      </c>
      <c r="DD54">
        <v>2</v>
      </c>
      <c r="DE54">
        <v>1693502621</v>
      </c>
      <c r="DF54">
        <v>439.89699999999999</v>
      </c>
      <c r="DG54">
        <v>500.01400000000001</v>
      </c>
      <c r="DH54">
        <v>29.1402</v>
      </c>
      <c r="DI54">
        <v>22.756699999999999</v>
      </c>
      <c r="DJ54">
        <v>442.48500000000001</v>
      </c>
      <c r="DK54">
        <v>28.63</v>
      </c>
      <c r="DL54">
        <v>500.19200000000001</v>
      </c>
      <c r="DM54">
        <v>99.566100000000006</v>
      </c>
      <c r="DN54">
        <v>0.100412</v>
      </c>
      <c r="DO54">
        <v>30.723099999999999</v>
      </c>
      <c r="DP54">
        <v>30.0091</v>
      </c>
      <c r="DQ54">
        <v>999.9</v>
      </c>
      <c r="DR54">
        <v>0</v>
      </c>
      <c r="DS54">
        <v>0</v>
      </c>
      <c r="DT54">
        <v>9960</v>
      </c>
      <c r="DU54">
        <v>0</v>
      </c>
      <c r="DV54">
        <v>1858.02</v>
      </c>
      <c r="DW54">
        <v>-60.117600000000003</v>
      </c>
      <c r="DX54">
        <v>453.1</v>
      </c>
      <c r="DY54">
        <v>511.65800000000002</v>
      </c>
      <c r="DZ54">
        <v>6.3834299999999997</v>
      </c>
      <c r="EA54">
        <v>500.01400000000001</v>
      </c>
      <c r="EB54">
        <v>22.756699999999999</v>
      </c>
      <c r="EC54">
        <v>2.90137</v>
      </c>
      <c r="ED54">
        <v>2.2658</v>
      </c>
      <c r="EE54">
        <v>23.4725</v>
      </c>
      <c r="EF54">
        <v>19.435300000000002</v>
      </c>
      <c r="EG54">
        <v>1799.98</v>
      </c>
      <c r="EH54">
        <v>0.97799800000000003</v>
      </c>
      <c r="EI54">
        <v>2.2001799999999998E-2</v>
      </c>
      <c r="EJ54">
        <v>0</v>
      </c>
      <c r="EK54">
        <v>753.90899999999999</v>
      </c>
      <c r="EL54">
        <v>4.9995000000000003</v>
      </c>
      <c r="EM54">
        <v>14484</v>
      </c>
      <c r="EN54">
        <v>16659.7</v>
      </c>
      <c r="EO54">
        <v>45.311999999999998</v>
      </c>
      <c r="EP54">
        <v>45.5</v>
      </c>
      <c r="EQ54">
        <v>46</v>
      </c>
      <c r="ER54">
        <v>45.186999999999998</v>
      </c>
      <c r="ES54">
        <v>46.75</v>
      </c>
      <c r="ET54">
        <v>1755.49</v>
      </c>
      <c r="EU54">
        <v>39.49</v>
      </c>
      <c r="EV54">
        <v>0</v>
      </c>
      <c r="EW54">
        <v>113</v>
      </c>
      <c r="EX54">
        <v>0</v>
      </c>
      <c r="EY54">
        <v>753.07388461538471</v>
      </c>
      <c r="EZ54">
        <v>5.5745982776702538</v>
      </c>
      <c r="FA54">
        <v>100.2564101606939</v>
      </c>
      <c r="FB54">
        <v>14473.896153846161</v>
      </c>
      <c r="FC54">
        <v>15</v>
      </c>
      <c r="FD54">
        <v>1693502591.5</v>
      </c>
      <c r="FE54" t="s">
        <v>613</v>
      </c>
      <c r="FF54">
        <v>1693502591.5</v>
      </c>
      <c r="FG54">
        <v>1693502589</v>
      </c>
      <c r="FH54">
        <v>45</v>
      </c>
      <c r="FI54">
        <v>2.4E-2</v>
      </c>
      <c r="FJ54">
        <v>-5.0000000000000001E-3</v>
      </c>
      <c r="FK54">
        <v>-2.665</v>
      </c>
      <c r="FL54">
        <v>0.23100000000000001</v>
      </c>
      <c r="FM54">
        <v>500</v>
      </c>
      <c r="FN54">
        <v>23</v>
      </c>
      <c r="FO54">
        <v>0.09</v>
      </c>
      <c r="FP54">
        <v>0.03</v>
      </c>
      <c r="FQ54">
        <v>47.648436436508391</v>
      </c>
      <c r="FR54">
        <v>-0.42813240301915279</v>
      </c>
      <c r="FS54">
        <v>9.4374988270249496E-2</v>
      </c>
      <c r="FT54">
        <v>1</v>
      </c>
      <c r="FU54">
        <v>0.42346472705449378</v>
      </c>
      <c r="FV54">
        <v>1.1545596382951689E-2</v>
      </c>
      <c r="FW54">
        <v>3.637003742058303E-3</v>
      </c>
      <c r="FX54">
        <v>1</v>
      </c>
      <c r="FY54">
        <v>2</v>
      </c>
      <c r="FZ54">
        <v>2</v>
      </c>
      <c r="GA54" t="s">
        <v>422</v>
      </c>
      <c r="GB54">
        <v>2.9730500000000002</v>
      </c>
      <c r="GC54">
        <v>2.81176</v>
      </c>
      <c r="GD54">
        <v>0.105712</v>
      </c>
      <c r="GE54">
        <v>0.11450299999999999</v>
      </c>
      <c r="GF54">
        <v>0.137466</v>
      </c>
      <c r="GG54">
        <v>0.115444</v>
      </c>
      <c r="GH54">
        <v>26534.9</v>
      </c>
      <c r="GI54">
        <v>24238.6</v>
      </c>
      <c r="GJ54">
        <v>26658.3</v>
      </c>
      <c r="GK54">
        <v>25812.2</v>
      </c>
      <c r="GL54">
        <v>31263</v>
      </c>
      <c r="GM54">
        <v>32161.9</v>
      </c>
      <c r="GN54">
        <v>37755.199999999997</v>
      </c>
      <c r="GO54">
        <v>38190.9</v>
      </c>
      <c r="GP54">
        <v>2.0125000000000002</v>
      </c>
      <c r="GQ54">
        <v>2.0617999999999999</v>
      </c>
      <c r="GR54">
        <v>8.1405000000000005E-2</v>
      </c>
      <c r="GS54">
        <v>0</v>
      </c>
      <c r="GT54">
        <v>28.6829</v>
      </c>
      <c r="GU54">
        <v>999.9</v>
      </c>
      <c r="GV54">
        <v>61.2</v>
      </c>
      <c r="GW54">
        <v>32.5</v>
      </c>
      <c r="GX54">
        <v>30.191400000000002</v>
      </c>
      <c r="GY54">
        <v>61.842799999999997</v>
      </c>
      <c r="GZ54">
        <v>12.8926</v>
      </c>
      <c r="HA54">
        <v>1</v>
      </c>
      <c r="HB54">
        <v>8.6361800000000002E-2</v>
      </c>
      <c r="HC54">
        <v>0.80545699999999998</v>
      </c>
      <c r="HD54">
        <v>20.254999999999999</v>
      </c>
      <c r="HE54">
        <v>5.2095000000000002</v>
      </c>
      <c r="HF54">
        <v>11.9321</v>
      </c>
      <c r="HG54">
        <v>4.9882</v>
      </c>
      <c r="HH54">
        <v>3.2909999999999999</v>
      </c>
      <c r="HI54">
        <v>9999</v>
      </c>
      <c r="HJ54">
        <v>9999</v>
      </c>
      <c r="HK54">
        <v>9999</v>
      </c>
      <c r="HL54">
        <v>999.9</v>
      </c>
      <c r="HM54">
        <v>1.87036</v>
      </c>
      <c r="HN54">
        <v>1.8766799999999999</v>
      </c>
      <c r="HO54">
        <v>1.8744000000000001</v>
      </c>
      <c r="HP54">
        <v>1.87269</v>
      </c>
      <c r="HQ54">
        <v>1.87313</v>
      </c>
      <c r="HR54">
        <v>1.8705400000000001</v>
      </c>
      <c r="HS54">
        <v>1.8764799999999999</v>
      </c>
      <c r="HT54">
        <v>1.8754599999999999</v>
      </c>
      <c r="HU54">
        <v>5</v>
      </c>
      <c r="HV54">
        <v>0</v>
      </c>
      <c r="HW54">
        <v>0</v>
      </c>
      <c r="HX54">
        <v>0</v>
      </c>
      <c r="HY54" t="s">
        <v>423</v>
      </c>
      <c r="HZ54" t="s">
        <v>424</v>
      </c>
      <c r="IA54" t="s">
        <v>425</v>
      </c>
      <c r="IB54" t="s">
        <v>425</v>
      </c>
      <c r="IC54" t="s">
        <v>425</v>
      </c>
      <c r="ID54" t="s">
        <v>425</v>
      </c>
      <c r="IE54">
        <v>0</v>
      </c>
      <c r="IF54">
        <v>100</v>
      </c>
      <c r="IG54">
        <v>100</v>
      </c>
      <c r="IH54">
        <v>-2.5880000000000001</v>
      </c>
      <c r="II54">
        <v>0.51019999999999999</v>
      </c>
      <c r="IJ54">
        <v>-1.7291773385302751</v>
      </c>
      <c r="IK54">
        <v>-2.677719669153116E-3</v>
      </c>
      <c r="IL54">
        <v>1.9353498771248068E-6</v>
      </c>
      <c r="IM54">
        <v>-6.1862177325538213E-10</v>
      </c>
      <c r="IN54">
        <v>-0.1341940404172895</v>
      </c>
      <c r="IO54">
        <v>-1.5299015507423901E-2</v>
      </c>
      <c r="IP54">
        <v>1.742162107778985E-3</v>
      </c>
      <c r="IQ54">
        <v>-1.472690239905804E-5</v>
      </c>
      <c r="IR54">
        <v>3</v>
      </c>
      <c r="IS54">
        <v>2255</v>
      </c>
      <c r="IT54">
        <v>2</v>
      </c>
      <c r="IU54">
        <v>41</v>
      </c>
      <c r="IV54">
        <v>0.5</v>
      </c>
      <c r="IW54">
        <v>0.5</v>
      </c>
      <c r="IX54">
        <v>1.1413599999999999</v>
      </c>
      <c r="IY54">
        <v>2.4939</v>
      </c>
      <c r="IZ54">
        <v>1.5991200000000001</v>
      </c>
      <c r="JA54">
        <v>2.2729499999999998</v>
      </c>
      <c r="JB54">
        <v>1.5502899999999999</v>
      </c>
      <c r="JC54">
        <v>2.3571800000000001</v>
      </c>
      <c r="JD54">
        <v>36.955599999999997</v>
      </c>
      <c r="JE54">
        <v>23.886099999999999</v>
      </c>
      <c r="JF54">
        <v>18</v>
      </c>
      <c r="JG54">
        <v>509.55799999999999</v>
      </c>
      <c r="JH54">
        <v>510.41699999999997</v>
      </c>
      <c r="JI54">
        <v>27.860800000000001</v>
      </c>
      <c r="JJ54">
        <v>28.7026</v>
      </c>
      <c r="JK54">
        <v>30.000399999999999</v>
      </c>
      <c r="JL54">
        <v>28.599699999999999</v>
      </c>
      <c r="JM54">
        <v>28.5593</v>
      </c>
      <c r="JN54">
        <v>22.858899999999998</v>
      </c>
      <c r="JO54">
        <v>33.796900000000001</v>
      </c>
      <c r="JP54">
        <v>62.200499999999998</v>
      </c>
      <c r="JQ54">
        <v>27.863199999999999</v>
      </c>
      <c r="JR54">
        <v>500</v>
      </c>
      <c r="JS54">
        <v>22.745100000000001</v>
      </c>
      <c r="JT54">
        <v>99.557299999999998</v>
      </c>
      <c r="JU54">
        <v>99.206900000000005</v>
      </c>
    </row>
    <row r="55" spans="1:281" x14ac:dyDescent="0.25">
      <c r="A55">
        <v>39</v>
      </c>
      <c r="B55">
        <v>1693502725.5</v>
      </c>
      <c r="C55">
        <v>8745.9000000953674</v>
      </c>
      <c r="D55" t="s">
        <v>614</v>
      </c>
      <c r="E55" t="s">
        <v>615</v>
      </c>
      <c r="F55" t="s">
        <v>413</v>
      </c>
      <c r="G55" t="s">
        <v>565</v>
      </c>
      <c r="H55" t="s">
        <v>31</v>
      </c>
      <c r="I55">
        <v>3</v>
      </c>
      <c r="J55">
        <v>1693502725.5</v>
      </c>
      <c r="K55">
        <f t="shared" si="46"/>
        <v>5.4261721467855264E-3</v>
      </c>
      <c r="L55">
        <f t="shared" si="47"/>
        <v>5.4261721467855262</v>
      </c>
      <c r="M55">
        <f t="shared" si="48"/>
        <v>48.531222555312056</v>
      </c>
      <c r="N55">
        <f t="shared" si="49"/>
        <v>637.85500000000002</v>
      </c>
      <c r="O55">
        <f t="shared" si="50"/>
        <v>424.01861297708189</v>
      </c>
      <c r="P55">
        <f t="shared" si="51"/>
        <v>42.260926457547335</v>
      </c>
      <c r="Q55">
        <f t="shared" si="52"/>
        <v>63.573490456740494</v>
      </c>
      <c r="R55">
        <f t="shared" si="53"/>
        <v>0.41021374988294912</v>
      </c>
      <c r="S55">
        <f t="shared" si="54"/>
        <v>2.9254597434792777</v>
      </c>
      <c r="T55">
        <f t="shared" si="55"/>
        <v>0.38072857101417185</v>
      </c>
      <c r="U55">
        <f t="shared" si="56"/>
        <v>0.2404276362042784</v>
      </c>
      <c r="V55">
        <f t="shared" si="57"/>
        <v>344.38650065813391</v>
      </c>
      <c r="W55">
        <f t="shared" si="58"/>
        <v>31.290774024162488</v>
      </c>
      <c r="X55">
        <f t="shared" si="59"/>
        <v>30.013200000000001</v>
      </c>
      <c r="Y55">
        <f t="shared" si="60"/>
        <v>4.2636811008583395</v>
      </c>
      <c r="Z55">
        <f t="shared" si="61"/>
        <v>65.367045892164441</v>
      </c>
      <c r="AA55">
        <f t="shared" si="62"/>
        <v>2.8942181488365697</v>
      </c>
      <c r="AB55">
        <f t="shared" si="63"/>
        <v>4.4276410373678825</v>
      </c>
      <c r="AC55">
        <f t="shared" si="64"/>
        <v>1.3694629520217698</v>
      </c>
      <c r="AD55">
        <f t="shared" si="65"/>
        <v>-239.29419167324173</v>
      </c>
      <c r="AE55">
        <f t="shared" si="66"/>
        <v>103.87267021573352</v>
      </c>
      <c r="AF55">
        <f t="shared" si="67"/>
        <v>7.9217051629396158</v>
      </c>
      <c r="AG55">
        <f t="shared" si="68"/>
        <v>216.88668436356528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52111.839095193325</v>
      </c>
      <c r="AM55" t="s">
        <v>417</v>
      </c>
      <c r="AN55">
        <v>10238.9</v>
      </c>
      <c r="AO55">
        <v>302.21199999999999</v>
      </c>
      <c r="AP55">
        <v>4052.3</v>
      </c>
      <c r="AQ55">
        <f t="shared" si="72"/>
        <v>0.92542210596451402</v>
      </c>
      <c r="AR55">
        <v>-0.32343011824092421</v>
      </c>
      <c r="AS55" t="s">
        <v>616</v>
      </c>
      <c r="AT55">
        <v>10508</v>
      </c>
      <c r="AU55">
        <v>758.38551999999993</v>
      </c>
      <c r="AV55">
        <v>1172.8693152261501</v>
      </c>
      <c r="AW55">
        <f t="shared" si="73"/>
        <v>0.3533929908859712</v>
      </c>
      <c r="AX55">
        <v>0.5</v>
      </c>
      <c r="AY55">
        <f t="shared" si="74"/>
        <v>1513.2603003290669</v>
      </c>
      <c r="AZ55">
        <f t="shared" si="75"/>
        <v>48.531222555312056</v>
      </c>
      <c r="BA55">
        <f t="shared" si="76"/>
        <v>267.38779176114599</v>
      </c>
      <c r="BB55">
        <f t="shared" si="77"/>
        <v>3.2284368170452403E-2</v>
      </c>
      <c r="BC55">
        <f t="shared" si="78"/>
        <v>2.4550311338127595</v>
      </c>
      <c r="BD55">
        <f t="shared" si="79"/>
        <v>255.44272315528153</v>
      </c>
      <c r="BE55" t="s">
        <v>617</v>
      </c>
      <c r="BF55">
        <v>596.48</v>
      </c>
      <c r="BG55">
        <f t="shared" si="80"/>
        <v>596.48</v>
      </c>
      <c r="BH55">
        <f t="shared" si="81"/>
        <v>0.49143524154267093</v>
      </c>
      <c r="BI55">
        <f t="shared" si="82"/>
        <v>0.71910388391485847</v>
      </c>
      <c r="BJ55">
        <f t="shared" si="83"/>
        <v>0.83321199737655605</v>
      </c>
      <c r="BK55">
        <f t="shared" si="84"/>
        <v>0.47605847671364193</v>
      </c>
      <c r="BL55">
        <f t="shared" si="85"/>
        <v>0.76783016419184025</v>
      </c>
      <c r="BM55">
        <f t="shared" si="86"/>
        <v>0.56558448620898616</v>
      </c>
      <c r="BN55">
        <f t="shared" si="87"/>
        <v>0.43441551379101384</v>
      </c>
      <c r="BO55">
        <v>5764</v>
      </c>
      <c r="BP55">
        <v>290.00000000000011</v>
      </c>
      <c r="BQ55">
        <v>1052.46</v>
      </c>
      <c r="BR55">
        <v>155</v>
      </c>
      <c r="BS55">
        <v>10508</v>
      </c>
      <c r="BT55">
        <v>1049.23</v>
      </c>
      <c r="BU55">
        <v>3.23</v>
      </c>
      <c r="BV55">
        <v>300.00000000000011</v>
      </c>
      <c r="BW55">
        <v>38.200000000000003</v>
      </c>
      <c r="BX55">
        <v>1172.8693152261501</v>
      </c>
      <c r="BY55">
        <v>1.377007356460322</v>
      </c>
      <c r="BZ55">
        <v>-129.92373441977071</v>
      </c>
      <c r="CA55">
        <v>1.183453339315411</v>
      </c>
      <c r="CB55">
        <v>0.99768220220753623</v>
      </c>
      <c r="CC55">
        <v>-1.1396459844271409E-2</v>
      </c>
      <c r="CD55">
        <v>289.99999999999989</v>
      </c>
      <c r="CE55">
        <v>1034.9000000000001</v>
      </c>
      <c r="CF55">
        <v>645</v>
      </c>
      <c r="CG55">
        <v>10474.5</v>
      </c>
      <c r="CH55">
        <v>1048.83</v>
      </c>
      <c r="CI55">
        <v>-13.93</v>
      </c>
      <c r="CW55">
        <f t="shared" si="88"/>
        <v>1800.09</v>
      </c>
      <c r="CX55">
        <f t="shared" si="89"/>
        <v>1513.2603003290669</v>
      </c>
      <c r="CY55">
        <f t="shared" si="90"/>
        <v>0.84065813394278455</v>
      </c>
      <c r="CZ55">
        <f t="shared" si="91"/>
        <v>0.19131626788556902</v>
      </c>
      <c r="DA55">
        <v>6</v>
      </c>
      <c r="DB55">
        <v>0.5</v>
      </c>
      <c r="DC55" t="s">
        <v>420</v>
      </c>
      <c r="DD55">
        <v>2</v>
      </c>
      <c r="DE55">
        <v>1693502725.5</v>
      </c>
      <c r="DF55">
        <v>637.85500000000002</v>
      </c>
      <c r="DG55">
        <v>700.21299999999997</v>
      </c>
      <c r="DH55">
        <v>29.038699999999999</v>
      </c>
      <c r="DI55">
        <v>22.7197</v>
      </c>
      <c r="DJ55">
        <v>640.63099999999997</v>
      </c>
      <c r="DK55">
        <v>28.540800000000001</v>
      </c>
      <c r="DL55">
        <v>500.26299999999998</v>
      </c>
      <c r="DM55">
        <v>99.567899999999995</v>
      </c>
      <c r="DN55">
        <v>9.9721099999999993E-2</v>
      </c>
      <c r="DO55">
        <v>30.671800000000001</v>
      </c>
      <c r="DP55">
        <v>30.013200000000001</v>
      </c>
      <c r="DQ55">
        <v>999.9</v>
      </c>
      <c r="DR55">
        <v>0</v>
      </c>
      <c r="DS55">
        <v>0</v>
      </c>
      <c r="DT55">
        <v>10020</v>
      </c>
      <c r="DU55">
        <v>0</v>
      </c>
      <c r="DV55">
        <v>1863.49</v>
      </c>
      <c r="DW55">
        <v>-62.358600000000003</v>
      </c>
      <c r="DX55">
        <v>656.93100000000004</v>
      </c>
      <c r="DY55">
        <v>716.49199999999996</v>
      </c>
      <c r="DZ55">
        <v>6.3190200000000001</v>
      </c>
      <c r="EA55">
        <v>700.21299999999997</v>
      </c>
      <c r="EB55">
        <v>22.7197</v>
      </c>
      <c r="EC55">
        <v>2.8913199999999999</v>
      </c>
      <c r="ED55">
        <v>2.2621500000000001</v>
      </c>
      <c r="EE55">
        <v>23.414899999999999</v>
      </c>
      <c r="EF55">
        <v>19.409400000000002</v>
      </c>
      <c r="EG55">
        <v>1800.09</v>
      </c>
      <c r="EH55">
        <v>0.97800200000000004</v>
      </c>
      <c r="EI55">
        <v>2.1998199999999999E-2</v>
      </c>
      <c r="EJ55">
        <v>0</v>
      </c>
      <c r="EK55">
        <v>758.048</v>
      </c>
      <c r="EL55">
        <v>4.9995000000000003</v>
      </c>
      <c r="EM55">
        <v>14572.6</v>
      </c>
      <c r="EN55">
        <v>16660.7</v>
      </c>
      <c r="EO55">
        <v>45.5</v>
      </c>
      <c r="EP55">
        <v>45.686999999999998</v>
      </c>
      <c r="EQ55">
        <v>46.125</v>
      </c>
      <c r="ER55">
        <v>45.436999999999998</v>
      </c>
      <c r="ES55">
        <v>46.936999999999998</v>
      </c>
      <c r="ET55">
        <v>1755.6</v>
      </c>
      <c r="EU55">
        <v>39.49</v>
      </c>
      <c r="EV55">
        <v>0</v>
      </c>
      <c r="EW55">
        <v>102.7999999523163</v>
      </c>
      <c r="EX55">
        <v>0</v>
      </c>
      <c r="EY55">
        <v>758.38551999999993</v>
      </c>
      <c r="EZ55">
        <v>0.51261539080298779</v>
      </c>
      <c r="FA55">
        <v>5.415384557992982</v>
      </c>
      <c r="FB55">
        <v>14572.116</v>
      </c>
      <c r="FC55">
        <v>15</v>
      </c>
      <c r="FD55">
        <v>1693502695</v>
      </c>
      <c r="FE55" t="s">
        <v>618</v>
      </c>
      <c r="FF55">
        <v>1693502695</v>
      </c>
      <c r="FG55">
        <v>1693502692.5</v>
      </c>
      <c r="FH55">
        <v>46</v>
      </c>
      <c r="FI55">
        <v>3.5999999999999997E-2</v>
      </c>
      <c r="FJ55">
        <v>-8.0000000000000002E-3</v>
      </c>
      <c r="FK55">
        <v>-2.8340000000000001</v>
      </c>
      <c r="FL55">
        <v>0.217</v>
      </c>
      <c r="FM55">
        <v>700</v>
      </c>
      <c r="FN55">
        <v>22</v>
      </c>
      <c r="FO55">
        <v>0.09</v>
      </c>
      <c r="FP55">
        <v>0.02</v>
      </c>
      <c r="FQ55">
        <v>48.320909210624997</v>
      </c>
      <c r="FR55">
        <v>-0.63791879668395912</v>
      </c>
      <c r="FS55">
        <v>0.1071181528144587</v>
      </c>
      <c r="FT55">
        <v>1</v>
      </c>
      <c r="FU55">
        <v>0.41516110607931361</v>
      </c>
      <c r="FV55">
        <v>2.477902253447687E-3</v>
      </c>
      <c r="FW55">
        <v>2.6083739052216782E-3</v>
      </c>
      <c r="FX55">
        <v>1</v>
      </c>
      <c r="FY55">
        <v>2</v>
      </c>
      <c r="FZ55">
        <v>2</v>
      </c>
      <c r="GA55" t="s">
        <v>422</v>
      </c>
      <c r="GB55">
        <v>2.9731800000000002</v>
      </c>
      <c r="GC55">
        <v>2.8115999999999999</v>
      </c>
      <c r="GD55">
        <v>0.138269</v>
      </c>
      <c r="GE55">
        <v>0.145431</v>
      </c>
      <c r="GF55">
        <v>0.13714999999999999</v>
      </c>
      <c r="GG55">
        <v>0.115297</v>
      </c>
      <c r="GH55">
        <v>25565.7</v>
      </c>
      <c r="GI55">
        <v>23389.1</v>
      </c>
      <c r="GJ55">
        <v>26655.3</v>
      </c>
      <c r="GK55">
        <v>25809.4</v>
      </c>
      <c r="GL55">
        <v>31274.1</v>
      </c>
      <c r="GM55">
        <v>32165.9</v>
      </c>
      <c r="GN55">
        <v>37750.6</v>
      </c>
      <c r="GO55">
        <v>38186.699999999997</v>
      </c>
      <c r="GP55">
        <v>2.0116999999999998</v>
      </c>
      <c r="GQ55">
        <v>2.0611999999999999</v>
      </c>
      <c r="GR55">
        <v>7.9244400000000007E-2</v>
      </c>
      <c r="GS55">
        <v>0</v>
      </c>
      <c r="GT55">
        <v>28.722300000000001</v>
      </c>
      <c r="GU55">
        <v>999.9</v>
      </c>
      <c r="GV55">
        <v>60.7</v>
      </c>
      <c r="GW55">
        <v>32.5</v>
      </c>
      <c r="GX55">
        <v>29.945499999999999</v>
      </c>
      <c r="GY55">
        <v>61.642800000000001</v>
      </c>
      <c r="GZ55">
        <v>13.601800000000001</v>
      </c>
      <c r="HA55">
        <v>1</v>
      </c>
      <c r="HB55">
        <v>9.1676800000000003E-2</v>
      </c>
      <c r="HC55">
        <v>0.82193899999999998</v>
      </c>
      <c r="HD55">
        <v>20.254799999999999</v>
      </c>
      <c r="HE55">
        <v>5.2095000000000002</v>
      </c>
      <c r="HF55">
        <v>11.9321</v>
      </c>
      <c r="HG55">
        <v>4.9885999999999999</v>
      </c>
      <c r="HH55">
        <v>3.2909999999999999</v>
      </c>
      <c r="HI55">
        <v>9999</v>
      </c>
      <c r="HJ55">
        <v>9999</v>
      </c>
      <c r="HK55">
        <v>9999</v>
      </c>
      <c r="HL55">
        <v>999.9</v>
      </c>
      <c r="HM55">
        <v>1.8703099999999999</v>
      </c>
      <c r="HN55">
        <v>1.8766499999999999</v>
      </c>
      <c r="HO55">
        <v>1.87439</v>
      </c>
      <c r="HP55">
        <v>1.8726</v>
      </c>
      <c r="HQ55">
        <v>1.8730599999999999</v>
      </c>
      <c r="HR55">
        <v>1.87053</v>
      </c>
      <c r="HS55">
        <v>1.8764000000000001</v>
      </c>
      <c r="HT55">
        <v>1.8754599999999999</v>
      </c>
      <c r="HU55">
        <v>5</v>
      </c>
      <c r="HV55">
        <v>0</v>
      </c>
      <c r="HW55">
        <v>0</v>
      </c>
      <c r="HX55">
        <v>0</v>
      </c>
      <c r="HY55" t="s">
        <v>423</v>
      </c>
      <c r="HZ55" t="s">
        <v>424</v>
      </c>
      <c r="IA55" t="s">
        <v>425</v>
      </c>
      <c r="IB55" t="s">
        <v>425</v>
      </c>
      <c r="IC55" t="s">
        <v>425</v>
      </c>
      <c r="ID55" t="s">
        <v>425</v>
      </c>
      <c r="IE55">
        <v>0</v>
      </c>
      <c r="IF55">
        <v>100</v>
      </c>
      <c r="IG55">
        <v>100</v>
      </c>
      <c r="IH55">
        <v>-2.7759999999999998</v>
      </c>
      <c r="II55">
        <v>0.49790000000000001</v>
      </c>
      <c r="IJ55">
        <v>-1.693100930785908</v>
      </c>
      <c r="IK55">
        <v>-2.677719669153116E-3</v>
      </c>
      <c r="IL55">
        <v>1.9353498771248068E-6</v>
      </c>
      <c r="IM55">
        <v>-6.1862177325538213E-10</v>
      </c>
      <c r="IN55">
        <v>-0.14217050868027431</v>
      </c>
      <c r="IO55">
        <v>-1.5299015507423901E-2</v>
      </c>
      <c r="IP55">
        <v>1.742162107778985E-3</v>
      </c>
      <c r="IQ55">
        <v>-1.472690239905804E-5</v>
      </c>
      <c r="IR55">
        <v>3</v>
      </c>
      <c r="IS55">
        <v>2255</v>
      </c>
      <c r="IT55">
        <v>2</v>
      </c>
      <c r="IU55">
        <v>41</v>
      </c>
      <c r="IV55">
        <v>0.5</v>
      </c>
      <c r="IW55">
        <v>0.6</v>
      </c>
      <c r="IX55">
        <v>1.49658</v>
      </c>
      <c r="IY55">
        <v>2.4865699999999999</v>
      </c>
      <c r="IZ55">
        <v>1.5991200000000001</v>
      </c>
      <c r="JA55">
        <v>2.2729499999999998</v>
      </c>
      <c r="JB55">
        <v>1.5502899999999999</v>
      </c>
      <c r="JC55">
        <v>2.4182100000000002</v>
      </c>
      <c r="JD55">
        <v>36.955599999999997</v>
      </c>
      <c r="JE55">
        <v>23.903600000000001</v>
      </c>
      <c r="JF55">
        <v>18</v>
      </c>
      <c r="JG55">
        <v>509.59</v>
      </c>
      <c r="JH55">
        <v>510.56700000000001</v>
      </c>
      <c r="JI55">
        <v>27.807500000000001</v>
      </c>
      <c r="JJ55">
        <v>28.7729</v>
      </c>
      <c r="JK55">
        <v>30.000599999999999</v>
      </c>
      <c r="JL55">
        <v>28.662600000000001</v>
      </c>
      <c r="JM55">
        <v>28.62</v>
      </c>
      <c r="JN55">
        <v>29.962800000000001</v>
      </c>
      <c r="JO55">
        <v>33.362299999999998</v>
      </c>
      <c r="JP55">
        <v>60.844000000000001</v>
      </c>
      <c r="JQ55">
        <v>27.808800000000002</v>
      </c>
      <c r="JR55">
        <v>700</v>
      </c>
      <c r="JS55">
        <v>22.739599999999999</v>
      </c>
      <c r="JT55">
        <v>99.545400000000001</v>
      </c>
      <c r="JU55">
        <v>99.195899999999995</v>
      </c>
    </row>
    <row r="56" spans="1:281" x14ac:dyDescent="0.25">
      <c r="A56">
        <v>40</v>
      </c>
      <c r="B56">
        <v>1693502829.5</v>
      </c>
      <c r="C56">
        <v>8849.9000000953674</v>
      </c>
      <c r="D56" t="s">
        <v>619</v>
      </c>
      <c r="E56" t="s">
        <v>620</v>
      </c>
      <c r="F56" t="s">
        <v>413</v>
      </c>
      <c r="G56" t="s">
        <v>565</v>
      </c>
      <c r="H56" t="s">
        <v>31</v>
      </c>
      <c r="I56">
        <v>3</v>
      </c>
      <c r="J56">
        <v>1693502829.5</v>
      </c>
      <c r="K56">
        <f t="shared" si="46"/>
        <v>5.2994233680842707E-3</v>
      </c>
      <c r="L56">
        <f t="shared" si="47"/>
        <v>5.2994233680842706</v>
      </c>
      <c r="M56">
        <f t="shared" si="48"/>
        <v>47.745094133720855</v>
      </c>
      <c r="N56">
        <f t="shared" si="49"/>
        <v>837.26499999999999</v>
      </c>
      <c r="O56">
        <f t="shared" si="50"/>
        <v>619.5388177847974</v>
      </c>
      <c r="P56">
        <f t="shared" si="51"/>
        <v>61.747097811636657</v>
      </c>
      <c r="Q56">
        <f t="shared" si="52"/>
        <v>83.447045391138005</v>
      </c>
      <c r="R56">
        <f t="shared" si="53"/>
        <v>0.40403938941207163</v>
      </c>
      <c r="S56">
        <f t="shared" si="54"/>
        <v>2.9232438829162843</v>
      </c>
      <c r="T56">
        <f t="shared" si="55"/>
        <v>0.37538186365287135</v>
      </c>
      <c r="U56">
        <f t="shared" si="56"/>
        <v>0.23701882661064316</v>
      </c>
      <c r="V56">
        <f t="shared" si="57"/>
        <v>344.33140065824</v>
      </c>
      <c r="W56">
        <f t="shared" si="58"/>
        <v>31.189891459524169</v>
      </c>
      <c r="X56">
        <f t="shared" si="59"/>
        <v>29.873200000000001</v>
      </c>
      <c r="Y56">
        <f t="shared" si="60"/>
        <v>4.2295179942351515</v>
      </c>
      <c r="Z56">
        <f t="shared" si="61"/>
        <v>65.378295277325421</v>
      </c>
      <c r="AA56">
        <f t="shared" si="62"/>
        <v>2.8726199244940798</v>
      </c>
      <c r="AB56">
        <f t="shared" si="63"/>
        <v>4.3938434189953028</v>
      </c>
      <c r="AC56">
        <f t="shared" si="64"/>
        <v>1.3568980697410717</v>
      </c>
      <c r="AD56">
        <f t="shared" si="65"/>
        <v>-233.70457053251633</v>
      </c>
      <c r="AE56">
        <f t="shared" si="66"/>
        <v>104.73958043380922</v>
      </c>
      <c r="AF56">
        <f t="shared" si="67"/>
        <v>7.9830478886443164</v>
      </c>
      <c r="AG56">
        <f t="shared" si="68"/>
        <v>223.34945844817719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52071.647375631968</v>
      </c>
      <c r="AM56" t="s">
        <v>417</v>
      </c>
      <c r="AN56">
        <v>10238.9</v>
      </c>
      <c r="AO56">
        <v>302.21199999999999</v>
      </c>
      <c r="AP56">
        <v>4052.3</v>
      </c>
      <c r="AQ56">
        <f t="shared" si="72"/>
        <v>0.92542210596451402</v>
      </c>
      <c r="AR56">
        <v>-0.32343011824092421</v>
      </c>
      <c r="AS56" t="s">
        <v>621</v>
      </c>
      <c r="AT56">
        <v>10516.4</v>
      </c>
      <c r="AU56">
        <v>755.69646153846145</v>
      </c>
      <c r="AV56">
        <v>1174.243038186554</v>
      </c>
      <c r="AW56">
        <f t="shared" si="73"/>
        <v>0.35643947891270988</v>
      </c>
      <c r="AX56">
        <v>0.5</v>
      </c>
      <c r="AY56">
        <f t="shared" si="74"/>
        <v>1513.0167003291199</v>
      </c>
      <c r="AZ56">
        <f t="shared" si="75"/>
        <v>47.745094133720855</v>
      </c>
      <c r="BA56">
        <f t="shared" si="76"/>
        <v>269.64944212576961</v>
      </c>
      <c r="BB56">
        <f t="shared" si="77"/>
        <v>3.1769989215258261E-2</v>
      </c>
      <c r="BC56">
        <f t="shared" si="78"/>
        <v>2.450989163417296</v>
      </c>
      <c r="BD56">
        <f t="shared" si="79"/>
        <v>255.50782439788355</v>
      </c>
      <c r="BE56" t="s">
        <v>622</v>
      </c>
      <c r="BF56">
        <v>590.41</v>
      </c>
      <c r="BG56">
        <f t="shared" si="80"/>
        <v>590.41</v>
      </c>
      <c r="BH56">
        <f t="shared" si="81"/>
        <v>0.49719948869205</v>
      </c>
      <c r="BI56">
        <f t="shared" si="82"/>
        <v>0.71689429900736967</v>
      </c>
      <c r="BJ56">
        <f t="shared" si="83"/>
        <v>0.83135424921457513</v>
      </c>
      <c r="BK56">
        <f t="shared" si="84"/>
        <v>0.47996752216353189</v>
      </c>
      <c r="BL56">
        <f t="shared" si="85"/>
        <v>0.76746384666531708</v>
      </c>
      <c r="BM56">
        <f t="shared" si="86"/>
        <v>0.56009467374672772</v>
      </c>
      <c r="BN56">
        <f t="shared" si="87"/>
        <v>0.43990532625327228</v>
      </c>
      <c r="BO56">
        <v>5766</v>
      </c>
      <c r="BP56">
        <v>290.00000000000011</v>
      </c>
      <c r="BQ56">
        <v>1051.99</v>
      </c>
      <c r="BR56">
        <v>115</v>
      </c>
      <c r="BS56">
        <v>10516.4</v>
      </c>
      <c r="BT56">
        <v>1049.44</v>
      </c>
      <c r="BU56">
        <v>2.5499999999999998</v>
      </c>
      <c r="BV56">
        <v>300.00000000000011</v>
      </c>
      <c r="BW56">
        <v>38.200000000000003</v>
      </c>
      <c r="BX56">
        <v>1174.243038186554</v>
      </c>
      <c r="BY56">
        <v>1.275260424887285</v>
      </c>
      <c r="BZ56">
        <v>-131.24333043440109</v>
      </c>
      <c r="CA56">
        <v>1.095968478323976</v>
      </c>
      <c r="CB56">
        <v>0.99805126617704076</v>
      </c>
      <c r="CC56">
        <v>-1.139583870967743E-2</v>
      </c>
      <c r="CD56">
        <v>289.99999999999989</v>
      </c>
      <c r="CE56">
        <v>1035.83</v>
      </c>
      <c r="CF56">
        <v>645</v>
      </c>
      <c r="CG56">
        <v>10474.1</v>
      </c>
      <c r="CH56">
        <v>1048.94</v>
      </c>
      <c r="CI56">
        <v>-13.11</v>
      </c>
      <c r="CW56">
        <f t="shared" si="88"/>
        <v>1799.8</v>
      </c>
      <c r="CX56">
        <f t="shared" si="89"/>
        <v>1513.0167003291199</v>
      </c>
      <c r="CY56">
        <f t="shared" si="90"/>
        <v>0.84065823998728739</v>
      </c>
      <c r="CZ56">
        <f t="shared" si="91"/>
        <v>0.19131647997457496</v>
      </c>
      <c r="DA56">
        <v>6</v>
      </c>
      <c r="DB56">
        <v>0.5</v>
      </c>
      <c r="DC56" t="s">
        <v>420</v>
      </c>
      <c r="DD56">
        <v>2</v>
      </c>
      <c r="DE56">
        <v>1693502829.5</v>
      </c>
      <c r="DF56">
        <v>837.26499999999999</v>
      </c>
      <c r="DG56">
        <v>899.85699999999997</v>
      </c>
      <c r="DH56">
        <v>28.822399999999998</v>
      </c>
      <c r="DI56">
        <v>22.649000000000001</v>
      </c>
      <c r="DJ56">
        <v>840.149</v>
      </c>
      <c r="DK56">
        <v>28.3371</v>
      </c>
      <c r="DL56">
        <v>500.21199999999999</v>
      </c>
      <c r="DM56">
        <v>99.566299999999998</v>
      </c>
      <c r="DN56">
        <v>9.9929199999999996E-2</v>
      </c>
      <c r="DO56">
        <v>30.537800000000001</v>
      </c>
      <c r="DP56">
        <v>29.873200000000001</v>
      </c>
      <c r="DQ56">
        <v>999.9</v>
      </c>
      <c r="DR56">
        <v>0</v>
      </c>
      <c r="DS56">
        <v>0</v>
      </c>
      <c r="DT56">
        <v>10007.5</v>
      </c>
      <c r="DU56">
        <v>0</v>
      </c>
      <c r="DV56">
        <v>1869.72</v>
      </c>
      <c r="DW56">
        <v>-62.592199999999998</v>
      </c>
      <c r="DX56">
        <v>862.11300000000006</v>
      </c>
      <c r="DY56">
        <v>920.71</v>
      </c>
      <c r="DZ56">
        <v>6.1734600000000004</v>
      </c>
      <c r="EA56">
        <v>899.85699999999997</v>
      </c>
      <c r="EB56">
        <v>22.649000000000001</v>
      </c>
      <c r="EC56">
        <v>2.8697400000000002</v>
      </c>
      <c r="ED56">
        <v>2.2550699999999999</v>
      </c>
      <c r="EE56">
        <v>23.290800000000001</v>
      </c>
      <c r="EF56">
        <v>19.359000000000002</v>
      </c>
      <c r="EG56">
        <v>1799.8</v>
      </c>
      <c r="EH56">
        <v>0.97799800000000003</v>
      </c>
      <c r="EI56">
        <v>2.2001799999999998E-2</v>
      </c>
      <c r="EJ56">
        <v>0</v>
      </c>
      <c r="EK56">
        <v>755.47400000000005</v>
      </c>
      <c r="EL56">
        <v>4.9995000000000003</v>
      </c>
      <c r="EM56">
        <v>14524.8</v>
      </c>
      <c r="EN56">
        <v>16657.900000000001</v>
      </c>
      <c r="EO56">
        <v>45.5</v>
      </c>
      <c r="EP56">
        <v>45.686999999999998</v>
      </c>
      <c r="EQ56">
        <v>46.186999999999998</v>
      </c>
      <c r="ER56">
        <v>45.436999999999998</v>
      </c>
      <c r="ES56">
        <v>46.936999999999998</v>
      </c>
      <c r="ET56">
        <v>1755.31</v>
      </c>
      <c r="EU56">
        <v>39.49</v>
      </c>
      <c r="EV56">
        <v>0</v>
      </c>
      <c r="EW56">
        <v>102</v>
      </c>
      <c r="EX56">
        <v>0</v>
      </c>
      <c r="EY56">
        <v>755.69646153846145</v>
      </c>
      <c r="EZ56">
        <v>-2.6364444312951449</v>
      </c>
      <c r="FA56">
        <v>-15.57948707902287</v>
      </c>
      <c r="FB56">
        <v>14531.84230769231</v>
      </c>
      <c r="FC56">
        <v>15</v>
      </c>
      <c r="FD56">
        <v>1693502799</v>
      </c>
      <c r="FE56" t="s">
        <v>623</v>
      </c>
      <c r="FF56">
        <v>1693502794.5</v>
      </c>
      <c r="FG56">
        <v>1693502799</v>
      </c>
      <c r="FH56">
        <v>47</v>
      </c>
      <c r="FI56">
        <v>5.8999999999999997E-2</v>
      </c>
      <c r="FJ56">
        <v>-3.0000000000000001E-3</v>
      </c>
      <c r="FK56">
        <v>-2.9289999999999998</v>
      </c>
      <c r="FL56">
        <v>0.217</v>
      </c>
      <c r="FM56">
        <v>900</v>
      </c>
      <c r="FN56">
        <v>23</v>
      </c>
      <c r="FO56">
        <v>0.1</v>
      </c>
      <c r="FP56">
        <v>0.03</v>
      </c>
      <c r="FQ56">
        <v>47.960258986184421</v>
      </c>
      <c r="FR56">
        <v>-5.3758880379489712E-2</v>
      </c>
      <c r="FS56">
        <v>0.1753892344681886</v>
      </c>
      <c r="FT56">
        <v>1</v>
      </c>
      <c r="FU56">
        <v>0.41476690146696199</v>
      </c>
      <c r="FV56">
        <v>-9.3733583439371774E-3</v>
      </c>
      <c r="FW56">
        <v>2.299238904941108E-3</v>
      </c>
      <c r="FX56">
        <v>1</v>
      </c>
      <c r="FY56">
        <v>2</v>
      </c>
      <c r="FZ56">
        <v>2</v>
      </c>
      <c r="GA56" t="s">
        <v>422</v>
      </c>
      <c r="GB56">
        <v>2.9729899999999998</v>
      </c>
      <c r="GC56">
        <v>2.81169</v>
      </c>
      <c r="GD56">
        <v>0.16633300000000001</v>
      </c>
      <c r="GE56">
        <v>0.17214599999999999</v>
      </c>
      <c r="GF56">
        <v>0.13644899999999999</v>
      </c>
      <c r="GG56">
        <v>0.115032</v>
      </c>
      <c r="GH56">
        <v>24732.1</v>
      </c>
      <c r="GI56">
        <v>22655.5</v>
      </c>
      <c r="GJ56">
        <v>26654.6</v>
      </c>
      <c r="GK56">
        <v>25807</v>
      </c>
      <c r="GL56">
        <v>31301.200000000001</v>
      </c>
      <c r="GM56">
        <v>32174.9</v>
      </c>
      <c r="GN56">
        <v>37748.9</v>
      </c>
      <c r="GO56">
        <v>38183.5</v>
      </c>
      <c r="GP56">
        <v>2.0103</v>
      </c>
      <c r="GQ56">
        <v>2.0608</v>
      </c>
      <c r="GR56">
        <v>8.5323999999999997E-2</v>
      </c>
      <c r="GS56">
        <v>0</v>
      </c>
      <c r="GT56">
        <v>28.482800000000001</v>
      </c>
      <c r="GU56">
        <v>999.9</v>
      </c>
      <c r="GV56">
        <v>60.1</v>
      </c>
      <c r="GW56">
        <v>32.5</v>
      </c>
      <c r="GX56">
        <v>29.647200000000002</v>
      </c>
      <c r="GY56">
        <v>61.592799999999997</v>
      </c>
      <c r="GZ56">
        <v>13.713900000000001</v>
      </c>
      <c r="HA56">
        <v>1</v>
      </c>
      <c r="HB56">
        <v>9.3363799999999997E-2</v>
      </c>
      <c r="HC56">
        <v>-0.42017399999999999</v>
      </c>
      <c r="HD56">
        <v>20.256699999999999</v>
      </c>
      <c r="HE56">
        <v>5.2095000000000002</v>
      </c>
      <c r="HF56">
        <v>11.9321</v>
      </c>
      <c r="HG56">
        <v>4.9880000000000004</v>
      </c>
      <c r="HH56">
        <v>3.2909999999999999</v>
      </c>
      <c r="HI56">
        <v>9999</v>
      </c>
      <c r="HJ56">
        <v>9999</v>
      </c>
      <c r="HK56">
        <v>9999</v>
      </c>
      <c r="HL56">
        <v>999.9</v>
      </c>
      <c r="HM56">
        <v>1.8703000000000001</v>
      </c>
      <c r="HN56">
        <v>1.8766099999999999</v>
      </c>
      <c r="HO56">
        <v>1.87439</v>
      </c>
      <c r="HP56">
        <v>1.8725799999999999</v>
      </c>
      <c r="HQ56">
        <v>1.8730800000000001</v>
      </c>
      <c r="HR56">
        <v>1.8705099999999999</v>
      </c>
      <c r="HS56">
        <v>1.8763700000000001</v>
      </c>
      <c r="HT56">
        <v>1.8754599999999999</v>
      </c>
      <c r="HU56">
        <v>5</v>
      </c>
      <c r="HV56">
        <v>0</v>
      </c>
      <c r="HW56">
        <v>0</v>
      </c>
      <c r="HX56">
        <v>0</v>
      </c>
      <c r="HY56" t="s">
        <v>423</v>
      </c>
      <c r="HZ56" t="s">
        <v>424</v>
      </c>
      <c r="IA56" t="s">
        <v>425</v>
      </c>
      <c r="IB56" t="s">
        <v>425</v>
      </c>
      <c r="IC56" t="s">
        <v>425</v>
      </c>
      <c r="ID56" t="s">
        <v>425</v>
      </c>
      <c r="IE56">
        <v>0</v>
      </c>
      <c r="IF56">
        <v>100</v>
      </c>
      <c r="IG56">
        <v>100</v>
      </c>
      <c r="IH56">
        <v>-2.8839999999999999</v>
      </c>
      <c r="II56">
        <v>0.48530000000000001</v>
      </c>
      <c r="IJ56">
        <v>-1.63376877819093</v>
      </c>
      <c r="IK56">
        <v>-2.677719669153116E-3</v>
      </c>
      <c r="IL56">
        <v>1.9353498771248068E-6</v>
      </c>
      <c r="IM56">
        <v>-6.1862177325538213E-10</v>
      </c>
      <c r="IN56">
        <v>-0.1449848133106694</v>
      </c>
      <c r="IO56">
        <v>-1.5299015507423901E-2</v>
      </c>
      <c r="IP56">
        <v>1.742162107778985E-3</v>
      </c>
      <c r="IQ56">
        <v>-1.472690239905804E-5</v>
      </c>
      <c r="IR56">
        <v>3</v>
      </c>
      <c r="IS56">
        <v>2255</v>
      </c>
      <c r="IT56">
        <v>2</v>
      </c>
      <c r="IU56">
        <v>41</v>
      </c>
      <c r="IV56">
        <v>0.6</v>
      </c>
      <c r="IW56">
        <v>0.5</v>
      </c>
      <c r="IX56">
        <v>1.8383799999999999</v>
      </c>
      <c r="IY56">
        <v>2.47925</v>
      </c>
      <c r="IZ56">
        <v>1.5991200000000001</v>
      </c>
      <c r="JA56">
        <v>2.2717299999999998</v>
      </c>
      <c r="JB56">
        <v>1.5502899999999999</v>
      </c>
      <c r="JC56">
        <v>2.3828100000000001</v>
      </c>
      <c r="JD56">
        <v>36.908000000000001</v>
      </c>
      <c r="JE56">
        <v>23.903600000000001</v>
      </c>
      <c r="JF56">
        <v>18</v>
      </c>
      <c r="JG56">
        <v>509.10500000000002</v>
      </c>
      <c r="JH56">
        <v>510.71800000000002</v>
      </c>
      <c r="JI56">
        <v>28.671099999999999</v>
      </c>
      <c r="JJ56">
        <v>28.8157</v>
      </c>
      <c r="JK56">
        <v>30</v>
      </c>
      <c r="JL56">
        <v>28.709599999999998</v>
      </c>
      <c r="JM56">
        <v>28.6662</v>
      </c>
      <c r="JN56">
        <v>36.805</v>
      </c>
      <c r="JO56">
        <v>32.151499999999999</v>
      </c>
      <c r="JP56">
        <v>59.607300000000002</v>
      </c>
      <c r="JQ56">
        <v>28.725000000000001</v>
      </c>
      <c r="JR56">
        <v>900</v>
      </c>
      <c r="JS56">
        <v>22.807400000000001</v>
      </c>
      <c r="JT56">
        <v>99.541799999999995</v>
      </c>
      <c r="JU56">
        <v>99.187399999999997</v>
      </c>
    </row>
    <row r="57" spans="1:281" x14ac:dyDescent="0.25">
      <c r="A57">
        <v>41</v>
      </c>
      <c r="B57">
        <v>1693502977</v>
      </c>
      <c r="C57">
        <v>8997.4000000953674</v>
      </c>
      <c r="D57" t="s">
        <v>624</v>
      </c>
      <c r="E57" t="s">
        <v>625</v>
      </c>
      <c r="F57" t="s">
        <v>413</v>
      </c>
      <c r="G57" t="s">
        <v>565</v>
      </c>
      <c r="H57" t="s">
        <v>31</v>
      </c>
      <c r="I57">
        <v>3</v>
      </c>
      <c r="J57">
        <v>1693502977</v>
      </c>
      <c r="K57">
        <f t="shared" si="46"/>
        <v>4.9780692818873849E-3</v>
      </c>
      <c r="L57">
        <f t="shared" si="47"/>
        <v>4.9780692818873851</v>
      </c>
      <c r="M57">
        <f t="shared" si="48"/>
        <v>47.147351508834163</v>
      </c>
      <c r="N57">
        <f t="shared" si="49"/>
        <v>1136.8699999999999</v>
      </c>
      <c r="O57">
        <f t="shared" si="50"/>
        <v>896.80821354073737</v>
      </c>
      <c r="P57">
        <f t="shared" si="51"/>
        <v>89.380426833589411</v>
      </c>
      <c r="Q57">
        <f t="shared" si="52"/>
        <v>113.30619447954798</v>
      </c>
      <c r="R57">
        <f t="shared" si="53"/>
        <v>0.36876065864586116</v>
      </c>
      <c r="S57">
        <f t="shared" si="54"/>
        <v>2.9227902851465153</v>
      </c>
      <c r="T57">
        <f t="shared" si="55"/>
        <v>0.34472608346526407</v>
      </c>
      <c r="U57">
        <f t="shared" si="56"/>
        <v>0.21748253981159638</v>
      </c>
      <c r="V57">
        <f t="shared" si="57"/>
        <v>344.36750065817051</v>
      </c>
      <c r="W57">
        <f t="shared" si="58"/>
        <v>31.410075204213555</v>
      </c>
      <c r="X57">
        <f t="shared" si="59"/>
        <v>29.994900000000001</v>
      </c>
      <c r="Y57">
        <f t="shared" si="60"/>
        <v>4.2592018763329982</v>
      </c>
      <c r="Z57">
        <f t="shared" si="61"/>
        <v>64.844136301197338</v>
      </c>
      <c r="AA57">
        <f t="shared" si="62"/>
        <v>2.8714594454684397</v>
      </c>
      <c r="AB57">
        <f t="shared" si="63"/>
        <v>4.4282484265511277</v>
      </c>
      <c r="AC57">
        <f t="shared" si="64"/>
        <v>1.3877424308645585</v>
      </c>
      <c r="AD57">
        <f t="shared" si="65"/>
        <v>-219.53285533123366</v>
      </c>
      <c r="AE57">
        <f t="shared" si="66"/>
        <v>107.03965807101956</v>
      </c>
      <c r="AF57">
        <f t="shared" si="67"/>
        <v>8.1700450059399561</v>
      </c>
      <c r="AG57">
        <f t="shared" si="68"/>
        <v>240.04434840389638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52035.319240531557</v>
      </c>
      <c r="AM57" t="s">
        <v>417</v>
      </c>
      <c r="AN57">
        <v>10238.9</v>
      </c>
      <c r="AO57">
        <v>302.21199999999999</v>
      </c>
      <c r="AP57">
        <v>4052.3</v>
      </c>
      <c r="AQ57">
        <f t="shared" si="72"/>
        <v>0.92542210596451402</v>
      </c>
      <c r="AR57">
        <v>-0.32343011824092421</v>
      </c>
      <c r="AS57" t="s">
        <v>626</v>
      </c>
      <c r="AT57">
        <v>10499.2</v>
      </c>
      <c r="AU57">
        <v>746.88430769230786</v>
      </c>
      <c r="AV57">
        <v>1166.7608300471049</v>
      </c>
      <c r="AW57">
        <f t="shared" si="73"/>
        <v>0.3598651167761997</v>
      </c>
      <c r="AX57">
        <v>0.5</v>
      </c>
      <c r="AY57">
        <f t="shared" si="74"/>
        <v>1513.1763003290853</v>
      </c>
      <c r="AZ57">
        <f t="shared" si="75"/>
        <v>47.147351508834163</v>
      </c>
      <c r="BA57">
        <f t="shared" si="76"/>
        <v>272.26968301045207</v>
      </c>
      <c r="BB57">
        <f t="shared" si="77"/>
        <v>3.137161321965666E-2</v>
      </c>
      <c r="BC57">
        <f t="shared" si="78"/>
        <v>2.4731196794088461</v>
      </c>
      <c r="BD57">
        <f t="shared" si="79"/>
        <v>255.15178933280026</v>
      </c>
      <c r="BE57" t="s">
        <v>627</v>
      </c>
      <c r="BF57">
        <v>589.99</v>
      </c>
      <c r="BG57">
        <f t="shared" si="80"/>
        <v>589.99</v>
      </c>
      <c r="BH57">
        <f t="shared" si="81"/>
        <v>0.4943350986712669</v>
      </c>
      <c r="BI57">
        <f t="shared" si="82"/>
        <v>0.72797808155538257</v>
      </c>
      <c r="BJ57">
        <f t="shared" si="83"/>
        <v>0.83341444583324287</v>
      </c>
      <c r="BK57">
        <f t="shared" si="84"/>
        <v>0.48565969643602447</v>
      </c>
      <c r="BL57">
        <f t="shared" si="85"/>
        <v>0.76945905534827319</v>
      </c>
      <c r="BM57">
        <f t="shared" si="86"/>
        <v>0.57505531166387835</v>
      </c>
      <c r="BN57">
        <f t="shared" si="87"/>
        <v>0.42494468833612165</v>
      </c>
      <c r="BO57">
        <v>5768</v>
      </c>
      <c r="BP57">
        <v>290.00000000000011</v>
      </c>
      <c r="BQ57">
        <v>1045.27</v>
      </c>
      <c r="BR57">
        <v>205</v>
      </c>
      <c r="BS57">
        <v>10499.2</v>
      </c>
      <c r="BT57">
        <v>1042.1300000000001</v>
      </c>
      <c r="BU57">
        <v>3.14</v>
      </c>
      <c r="BV57">
        <v>300.00000000000011</v>
      </c>
      <c r="BW57">
        <v>38.200000000000003</v>
      </c>
      <c r="BX57">
        <v>1166.7608300471049</v>
      </c>
      <c r="BY57">
        <v>1.2797311965092231</v>
      </c>
      <c r="BZ57">
        <v>-130.85244692843969</v>
      </c>
      <c r="CA57">
        <v>1.099947715210402</v>
      </c>
      <c r="CB57">
        <v>0.99802539600567719</v>
      </c>
      <c r="CC57">
        <v>-1.1397015127919919E-2</v>
      </c>
      <c r="CD57">
        <v>289.99999999999989</v>
      </c>
      <c r="CE57">
        <v>1029.1199999999999</v>
      </c>
      <c r="CF57">
        <v>645</v>
      </c>
      <c r="CG57">
        <v>10475.5</v>
      </c>
      <c r="CH57">
        <v>1041.8499999999999</v>
      </c>
      <c r="CI57">
        <v>-12.73</v>
      </c>
      <c r="CW57">
        <f t="shared" si="88"/>
        <v>1799.99</v>
      </c>
      <c r="CX57">
        <f t="shared" si="89"/>
        <v>1513.1763003290853</v>
      </c>
      <c r="CY57">
        <f t="shared" si="90"/>
        <v>0.84065817050599467</v>
      </c>
      <c r="CZ57">
        <f t="shared" si="91"/>
        <v>0.19131634101198924</v>
      </c>
      <c r="DA57">
        <v>6</v>
      </c>
      <c r="DB57">
        <v>0.5</v>
      </c>
      <c r="DC57" t="s">
        <v>420</v>
      </c>
      <c r="DD57">
        <v>2</v>
      </c>
      <c r="DE57">
        <v>1693502977</v>
      </c>
      <c r="DF57">
        <v>1136.8699999999999</v>
      </c>
      <c r="DG57">
        <v>1200.21</v>
      </c>
      <c r="DH57">
        <v>28.8111</v>
      </c>
      <c r="DI57">
        <v>23.0121</v>
      </c>
      <c r="DJ57">
        <v>1140.01</v>
      </c>
      <c r="DK57">
        <v>28.323499999999999</v>
      </c>
      <c r="DL57">
        <v>500.22199999999998</v>
      </c>
      <c r="DM57">
        <v>99.565399999999997</v>
      </c>
      <c r="DN57">
        <v>9.9640400000000004E-2</v>
      </c>
      <c r="DO57">
        <v>30.674199999999999</v>
      </c>
      <c r="DP57">
        <v>29.994900000000001</v>
      </c>
      <c r="DQ57">
        <v>999.9</v>
      </c>
      <c r="DR57">
        <v>0</v>
      </c>
      <c r="DS57">
        <v>0</v>
      </c>
      <c r="DT57">
        <v>10005</v>
      </c>
      <c r="DU57">
        <v>0</v>
      </c>
      <c r="DV57">
        <v>1877.34</v>
      </c>
      <c r="DW57">
        <v>-63.337299999999999</v>
      </c>
      <c r="DX57">
        <v>1170.5999999999999</v>
      </c>
      <c r="DY57">
        <v>1228.48</v>
      </c>
      <c r="DZ57">
        <v>5.7989899999999999</v>
      </c>
      <c r="EA57">
        <v>1200.21</v>
      </c>
      <c r="EB57">
        <v>23.0121</v>
      </c>
      <c r="EC57">
        <v>2.8685900000000002</v>
      </c>
      <c r="ED57">
        <v>2.29121</v>
      </c>
      <c r="EE57">
        <v>23.284199999999998</v>
      </c>
      <c r="EF57">
        <v>19.614699999999999</v>
      </c>
      <c r="EG57">
        <v>1799.99</v>
      </c>
      <c r="EH57">
        <v>0.97799800000000003</v>
      </c>
      <c r="EI57">
        <v>2.2001799999999998E-2</v>
      </c>
      <c r="EJ57">
        <v>0</v>
      </c>
      <c r="EK57">
        <v>746.57899999999995</v>
      </c>
      <c r="EL57">
        <v>4.9995000000000003</v>
      </c>
      <c r="EM57">
        <v>14355</v>
      </c>
      <c r="EN57">
        <v>16659.7</v>
      </c>
      <c r="EO57">
        <v>45.25</v>
      </c>
      <c r="EP57">
        <v>45.375</v>
      </c>
      <c r="EQ57">
        <v>45.936999999999998</v>
      </c>
      <c r="ER57">
        <v>45.061999999999998</v>
      </c>
      <c r="ES57">
        <v>46.686999999999998</v>
      </c>
      <c r="ET57">
        <v>1755.5</v>
      </c>
      <c r="EU57">
        <v>39.49</v>
      </c>
      <c r="EV57">
        <v>0</v>
      </c>
      <c r="EW57">
        <v>145.4000000953674</v>
      </c>
      <c r="EX57">
        <v>0</v>
      </c>
      <c r="EY57">
        <v>746.88430769230786</v>
      </c>
      <c r="EZ57">
        <v>-4.3793504271256696</v>
      </c>
      <c r="FA57">
        <v>-38.772649597387591</v>
      </c>
      <c r="FB57">
        <v>14361.72692307692</v>
      </c>
      <c r="FC57">
        <v>15</v>
      </c>
      <c r="FD57">
        <v>1693502934</v>
      </c>
      <c r="FE57" t="s">
        <v>628</v>
      </c>
      <c r="FF57">
        <v>1693502930.5</v>
      </c>
      <c r="FG57">
        <v>1693502934</v>
      </c>
      <c r="FH57">
        <v>48</v>
      </c>
      <c r="FI57">
        <v>-4.7E-2</v>
      </c>
      <c r="FJ57">
        <v>3.0000000000000001E-3</v>
      </c>
      <c r="FK57">
        <v>-3.1779999999999999</v>
      </c>
      <c r="FL57">
        <v>0.22500000000000001</v>
      </c>
      <c r="FM57">
        <v>1200</v>
      </c>
      <c r="FN57">
        <v>23</v>
      </c>
      <c r="FO57">
        <v>0.11</v>
      </c>
      <c r="FP57">
        <v>0.04</v>
      </c>
      <c r="FQ57">
        <v>46.823435789842478</v>
      </c>
      <c r="FR57">
        <v>0.38361704724547391</v>
      </c>
      <c r="FS57">
        <v>0.1637922395284154</v>
      </c>
      <c r="FT57">
        <v>1</v>
      </c>
      <c r="FU57">
        <v>0.37201724036329492</v>
      </c>
      <c r="FV57">
        <v>-4.1734840239219348E-2</v>
      </c>
      <c r="FW57">
        <v>3.7616188308549031E-3</v>
      </c>
      <c r="FX57">
        <v>1</v>
      </c>
      <c r="FY57">
        <v>2</v>
      </c>
      <c r="FZ57">
        <v>2</v>
      </c>
      <c r="GA57" t="s">
        <v>422</v>
      </c>
      <c r="GB57">
        <v>2.9730400000000001</v>
      </c>
      <c r="GC57">
        <v>2.8113800000000002</v>
      </c>
      <c r="GD57">
        <v>0.202818</v>
      </c>
      <c r="GE57">
        <v>0.20723900000000001</v>
      </c>
      <c r="GF57">
        <v>0.136403</v>
      </c>
      <c r="GG57">
        <v>0.11632000000000001</v>
      </c>
      <c r="GH57">
        <v>23650.7</v>
      </c>
      <c r="GI57">
        <v>21694.3</v>
      </c>
      <c r="GJ57">
        <v>26655.7</v>
      </c>
      <c r="GK57">
        <v>25806</v>
      </c>
      <c r="GL57">
        <v>31306.5</v>
      </c>
      <c r="GM57">
        <v>32128.3</v>
      </c>
      <c r="GN57">
        <v>37750.400000000001</v>
      </c>
      <c r="GO57">
        <v>38180.800000000003</v>
      </c>
      <c r="GP57">
        <v>2.0108000000000001</v>
      </c>
      <c r="GQ57">
        <v>2.0638000000000001</v>
      </c>
      <c r="GR57">
        <v>0.110045</v>
      </c>
      <c r="GS57">
        <v>0</v>
      </c>
      <c r="GT57">
        <v>28.2014</v>
      </c>
      <c r="GU57">
        <v>999.9</v>
      </c>
      <c r="GV57">
        <v>58.9</v>
      </c>
      <c r="GW57">
        <v>32.5</v>
      </c>
      <c r="GX57">
        <v>29.054300000000001</v>
      </c>
      <c r="GY57">
        <v>61.582799999999999</v>
      </c>
      <c r="GZ57">
        <v>13.6098</v>
      </c>
      <c r="HA57">
        <v>1</v>
      </c>
      <c r="HB57">
        <v>9.14634E-2</v>
      </c>
      <c r="HC57">
        <v>-0.29275600000000002</v>
      </c>
      <c r="HD57">
        <v>20.257400000000001</v>
      </c>
      <c r="HE57">
        <v>5.2100999999999997</v>
      </c>
      <c r="HF57">
        <v>11.9321</v>
      </c>
      <c r="HG57">
        <v>4.9878</v>
      </c>
      <c r="HH57">
        <v>3.2909999999999999</v>
      </c>
      <c r="HI57">
        <v>9999</v>
      </c>
      <c r="HJ57">
        <v>9999</v>
      </c>
      <c r="HK57">
        <v>9999</v>
      </c>
      <c r="HL57">
        <v>999.9</v>
      </c>
      <c r="HM57">
        <v>1.8702700000000001</v>
      </c>
      <c r="HN57">
        <v>1.87653</v>
      </c>
      <c r="HO57">
        <v>1.8743000000000001</v>
      </c>
      <c r="HP57">
        <v>1.8725799999999999</v>
      </c>
      <c r="HQ57">
        <v>1.8730199999999999</v>
      </c>
      <c r="HR57">
        <v>1.87042</v>
      </c>
      <c r="HS57">
        <v>1.8763700000000001</v>
      </c>
      <c r="HT57">
        <v>1.87538</v>
      </c>
      <c r="HU57">
        <v>5</v>
      </c>
      <c r="HV57">
        <v>0</v>
      </c>
      <c r="HW57">
        <v>0</v>
      </c>
      <c r="HX57">
        <v>0</v>
      </c>
      <c r="HY57" t="s">
        <v>423</v>
      </c>
      <c r="HZ57" t="s">
        <v>424</v>
      </c>
      <c r="IA57" t="s">
        <v>425</v>
      </c>
      <c r="IB57" t="s">
        <v>425</v>
      </c>
      <c r="IC57" t="s">
        <v>425</v>
      </c>
      <c r="ID57" t="s">
        <v>425</v>
      </c>
      <c r="IE57">
        <v>0</v>
      </c>
      <c r="IF57">
        <v>100</v>
      </c>
      <c r="IG57">
        <v>100</v>
      </c>
      <c r="IH57">
        <v>-3.14</v>
      </c>
      <c r="II57">
        <v>0.48759999999999998</v>
      </c>
      <c r="IJ57">
        <v>-1.6803696757688991</v>
      </c>
      <c r="IK57">
        <v>-2.677719669153116E-3</v>
      </c>
      <c r="IL57">
        <v>1.9353498771248068E-6</v>
      </c>
      <c r="IM57">
        <v>-6.1862177325538213E-10</v>
      </c>
      <c r="IN57">
        <v>-0.14206079510736649</v>
      </c>
      <c r="IO57">
        <v>-1.5299015507423901E-2</v>
      </c>
      <c r="IP57">
        <v>1.742162107778985E-3</v>
      </c>
      <c r="IQ57">
        <v>-1.472690239905804E-5</v>
      </c>
      <c r="IR57">
        <v>3</v>
      </c>
      <c r="IS57">
        <v>2255</v>
      </c>
      <c r="IT57">
        <v>2</v>
      </c>
      <c r="IU57">
        <v>41</v>
      </c>
      <c r="IV57">
        <v>0.8</v>
      </c>
      <c r="IW57">
        <v>0.7</v>
      </c>
      <c r="IX57">
        <v>2.3315399999999999</v>
      </c>
      <c r="IY57">
        <v>2.4731399999999999</v>
      </c>
      <c r="IZ57">
        <v>1.5991200000000001</v>
      </c>
      <c r="JA57">
        <v>2.2717299999999998</v>
      </c>
      <c r="JB57">
        <v>1.5502899999999999</v>
      </c>
      <c r="JC57">
        <v>2.3290999999999999</v>
      </c>
      <c r="JD57">
        <v>36.694299999999998</v>
      </c>
      <c r="JE57">
        <v>23.938700000000001</v>
      </c>
      <c r="JF57">
        <v>18</v>
      </c>
      <c r="JG57">
        <v>509.40300000000002</v>
      </c>
      <c r="JH57">
        <v>512.71500000000003</v>
      </c>
      <c r="JI57">
        <v>29.243200000000002</v>
      </c>
      <c r="JJ57">
        <v>28.776299999999999</v>
      </c>
      <c r="JK57">
        <v>29.9999</v>
      </c>
      <c r="JL57">
        <v>28.7072</v>
      </c>
      <c r="JM57">
        <v>28.6662</v>
      </c>
      <c r="JN57">
        <v>46.680399999999999</v>
      </c>
      <c r="JO57">
        <v>29.158200000000001</v>
      </c>
      <c r="JP57">
        <v>58.2806</v>
      </c>
      <c r="JQ57">
        <v>29.2515</v>
      </c>
      <c r="JR57">
        <v>1200</v>
      </c>
      <c r="JS57">
        <v>23.117000000000001</v>
      </c>
      <c r="JT57">
        <v>99.545699999999997</v>
      </c>
      <c r="JU57">
        <v>99.1815</v>
      </c>
    </row>
    <row r="58" spans="1:281" x14ac:dyDescent="0.25">
      <c r="A58">
        <v>42</v>
      </c>
      <c r="B58">
        <v>1693503134.5</v>
      </c>
      <c r="C58">
        <v>9154.9000000953674</v>
      </c>
      <c r="D58" t="s">
        <v>629</v>
      </c>
      <c r="E58" t="s">
        <v>630</v>
      </c>
      <c r="F58" t="s">
        <v>413</v>
      </c>
      <c r="G58" t="s">
        <v>565</v>
      </c>
      <c r="H58" t="s">
        <v>31</v>
      </c>
      <c r="I58">
        <v>3</v>
      </c>
      <c r="J58">
        <v>1693503134.5</v>
      </c>
      <c r="K58">
        <f t="shared" si="46"/>
        <v>4.6038243048819663E-3</v>
      </c>
      <c r="L58">
        <f t="shared" si="47"/>
        <v>4.6038243048819663</v>
      </c>
      <c r="M58">
        <f t="shared" si="48"/>
        <v>45.877464818071758</v>
      </c>
      <c r="N58">
        <f t="shared" si="49"/>
        <v>1436.91</v>
      </c>
      <c r="O58">
        <f t="shared" si="50"/>
        <v>1179.993703853939</v>
      </c>
      <c r="P58">
        <f t="shared" si="51"/>
        <v>117.60060685309459</v>
      </c>
      <c r="Q58">
        <f t="shared" si="52"/>
        <v>143.20541494533001</v>
      </c>
      <c r="R58">
        <f t="shared" si="53"/>
        <v>0.34112811074734906</v>
      </c>
      <c r="S58">
        <f t="shared" si="54"/>
        <v>2.9174698713869969</v>
      </c>
      <c r="T58">
        <f t="shared" si="55"/>
        <v>0.32041699757541287</v>
      </c>
      <c r="U58">
        <f t="shared" si="56"/>
        <v>0.20201656350453623</v>
      </c>
      <c r="V58">
        <f t="shared" si="57"/>
        <v>344.37570065832256</v>
      </c>
      <c r="W58">
        <f t="shared" si="58"/>
        <v>31.494232296163936</v>
      </c>
      <c r="X58">
        <f t="shared" si="59"/>
        <v>30.017199999999999</v>
      </c>
      <c r="Y58">
        <f t="shared" si="60"/>
        <v>4.2646607128770606</v>
      </c>
      <c r="Z58">
        <f t="shared" si="61"/>
        <v>65.182847538506834</v>
      </c>
      <c r="AA58">
        <f t="shared" si="62"/>
        <v>2.8840506777128998</v>
      </c>
      <c r="AB58">
        <f t="shared" si="63"/>
        <v>4.4245545977554048</v>
      </c>
      <c r="AC58">
        <f t="shared" si="64"/>
        <v>1.3806100351641608</v>
      </c>
      <c r="AD58">
        <f t="shared" si="65"/>
        <v>-203.02865184529472</v>
      </c>
      <c r="AE58">
        <f t="shared" si="66"/>
        <v>101.04093477767336</v>
      </c>
      <c r="AF58">
        <f t="shared" si="67"/>
        <v>7.7265362317436663</v>
      </c>
      <c r="AG58">
        <f t="shared" si="68"/>
        <v>250.11451982244489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51886.292475844093</v>
      </c>
      <c r="AM58" t="s">
        <v>417</v>
      </c>
      <c r="AN58">
        <v>10238.9</v>
      </c>
      <c r="AO58">
        <v>302.21199999999999</v>
      </c>
      <c r="AP58">
        <v>4052.3</v>
      </c>
      <c r="AQ58">
        <f t="shared" si="72"/>
        <v>0.92542210596451402</v>
      </c>
      <c r="AR58">
        <v>-0.32343011824092421</v>
      </c>
      <c r="AS58" t="s">
        <v>631</v>
      </c>
      <c r="AT58">
        <v>10510.9</v>
      </c>
      <c r="AU58">
        <v>737.91955999999993</v>
      </c>
      <c r="AV58">
        <v>1156.5373196529649</v>
      </c>
      <c r="AW58">
        <f t="shared" si="73"/>
        <v>0.36195784825912669</v>
      </c>
      <c r="AX58">
        <v>0.5</v>
      </c>
      <c r="AY58">
        <f t="shared" si="74"/>
        <v>1513.2102003291611</v>
      </c>
      <c r="AZ58">
        <f t="shared" si="75"/>
        <v>45.877464818071758</v>
      </c>
      <c r="BA58">
        <f t="shared" si="76"/>
        <v>273.85915403745258</v>
      </c>
      <c r="BB58">
        <f t="shared" si="77"/>
        <v>3.053170995428317E-2</v>
      </c>
      <c r="BC58">
        <f t="shared" si="78"/>
        <v>2.5038212179922987</v>
      </c>
      <c r="BD58">
        <f t="shared" si="79"/>
        <v>254.65950381741155</v>
      </c>
      <c r="BE58" t="s">
        <v>632</v>
      </c>
      <c r="BF58">
        <v>588.45000000000005</v>
      </c>
      <c r="BG58">
        <f t="shared" si="80"/>
        <v>588.45000000000005</v>
      </c>
      <c r="BH58">
        <f t="shared" si="81"/>
        <v>0.4911967041612002</v>
      </c>
      <c r="BI58">
        <f t="shared" si="82"/>
        <v>0.7368898145952133</v>
      </c>
      <c r="BJ58">
        <f t="shared" si="83"/>
        <v>0.83599540405821127</v>
      </c>
      <c r="BK58">
        <f t="shared" si="84"/>
        <v>0.48999807218989072</v>
      </c>
      <c r="BL58">
        <f t="shared" si="85"/>
        <v>0.77218526081175565</v>
      </c>
      <c r="BM58">
        <f t="shared" si="86"/>
        <v>0.58762883504342045</v>
      </c>
      <c r="BN58">
        <f t="shared" si="87"/>
        <v>0.41237116495657955</v>
      </c>
      <c r="BO58">
        <v>5770</v>
      </c>
      <c r="BP58">
        <v>290.00000000000011</v>
      </c>
      <c r="BQ58">
        <v>1034.69</v>
      </c>
      <c r="BR58">
        <v>155</v>
      </c>
      <c r="BS58">
        <v>10510.9</v>
      </c>
      <c r="BT58">
        <v>1032.6600000000001</v>
      </c>
      <c r="BU58">
        <v>2.0299999999999998</v>
      </c>
      <c r="BV58">
        <v>300.00000000000011</v>
      </c>
      <c r="BW58">
        <v>38.200000000000003</v>
      </c>
      <c r="BX58">
        <v>1156.5373196529649</v>
      </c>
      <c r="BY58">
        <v>1.330204612157019</v>
      </c>
      <c r="BZ58">
        <v>-130.21138698910619</v>
      </c>
      <c r="CA58">
        <v>1.1435995370273671</v>
      </c>
      <c r="CB58">
        <v>0.99784488188577281</v>
      </c>
      <c r="CC58">
        <v>-1.139946829810902E-2</v>
      </c>
      <c r="CD58">
        <v>289.99999999999989</v>
      </c>
      <c r="CE58">
        <v>1019.73</v>
      </c>
      <c r="CF58">
        <v>655</v>
      </c>
      <c r="CG58">
        <v>10477</v>
      </c>
      <c r="CH58">
        <v>1032.25</v>
      </c>
      <c r="CI58">
        <v>-12.52</v>
      </c>
      <c r="CW58">
        <f t="shared" si="88"/>
        <v>1800.03</v>
      </c>
      <c r="CX58">
        <f t="shared" si="89"/>
        <v>1513.2102003291611</v>
      </c>
      <c r="CY58">
        <f t="shared" si="90"/>
        <v>0.84065832254415829</v>
      </c>
      <c r="CZ58">
        <f t="shared" si="91"/>
        <v>0.19131664508831661</v>
      </c>
      <c r="DA58">
        <v>6</v>
      </c>
      <c r="DB58">
        <v>0.5</v>
      </c>
      <c r="DC58" t="s">
        <v>420</v>
      </c>
      <c r="DD58">
        <v>2</v>
      </c>
      <c r="DE58">
        <v>1693503134.5</v>
      </c>
      <c r="DF58">
        <v>1436.91</v>
      </c>
      <c r="DG58">
        <v>1499.86</v>
      </c>
      <c r="DH58">
        <v>28.938300000000002</v>
      </c>
      <c r="DI58">
        <v>23.577100000000002</v>
      </c>
      <c r="DJ58">
        <v>1440.32</v>
      </c>
      <c r="DK58">
        <v>28.437200000000001</v>
      </c>
      <c r="DL58">
        <v>500.32799999999997</v>
      </c>
      <c r="DM58">
        <v>99.561899999999994</v>
      </c>
      <c r="DN58">
        <v>0.100163</v>
      </c>
      <c r="DO58">
        <v>30.659600000000001</v>
      </c>
      <c r="DP58">
        <v>30.017199999999999</v>
      </c>
      <c r="DQ58">
        <v>999.9</v>
      </c>
      <c r="DR58">
        <v>0</v>
      </c>
      <c r="DS58">
        <v>0</v>
      </c>
      <c r="DT58">
        <v>9975</v>
      </c>
      <c r="DU58">
        <v>0</v>
      </c>
      <c r="DV58">
        <v>1887.92</v>
      </c>
      <c r="DW58">
        <v>-62.949800000000003</v>
      </c>
      <c r="DX58">
        <v>1479.73</v>
      </c>
      <c r="DY58">
        <v>1536.08</v>
      </c>
      <c r="DZ58">
        <v>5.3611500000000003</v>
      </c>
      <c r="EA58">
        <v>1499.86</v>
      </c>
      <c r="EB58">
        <v>23.577100000000002</v>
      </c>
      <c r="EC58">
        <v>2.8811499999999999</v>
      </c>
      <c r="ED58">
        <v>2.3473799999999998</v>
      </c>
      <c r="EE58">
        <v>23.3565</v>
      </c>
      <c r="EF58">
        <v>20.005299999999998</v>
      </c>
      <c r="EG58">
        <v>1800.03</v>
      </c>
      <c r="EH58">
        <v>0.97799499999999995</v>
      </c>
      <c r="EI58">
        <v>2.2005400000000001E-2</v>
      </c>
      <c r="EJ58">
        <v>0</v>
      </c>
      <c r="EK58">
        <v>737.46</v>
      </c>
      <c r="EL58">
        <v>4.9995000000000003</v>
      </c>
      <c r="EM58">
        <v>14177.1</v>
      </c>
      <c r="EN58">
        <v>16660</v>
      </c>
      <c r="EO58">
        <v>45</v>
      </c>
      <c r="EP58">
        <v>45</v>
      </c>
      <c r="EQ58">
        <v>45.625</v>
      </c>
      <c r="ER58">
        <v>44.75</v>
      </c>
      <c r="ES58">
        <v>46.5</v>
      </c>
      <c r="ET58">
        <v>1755.53</v>
      </c>
      <c r="EU58">
        <v>39.5</v>
      </c>
      <c r="EV58">
        <v>0</v>
      </c>
      <c r="EW58">
        <v>155.5999999046326</v>
      </c>
      <c r="EX58">
        <v>0</v>
      </c>
      <c r="EY58">
        <v>737.91955999999993</v>
      </c>
      <c r="EZ58">
        <v>-2.8536923199972111</v>
      </c>
      <c r="FA58">
        <v>-99.684615496147316</v>
      </c>
      <c r="FB58">
        <v>14186.536</v>
      </c>
      <c r="FC58">
        <v>15</v>
      </c>
      <c r="FD58">
        <v>1693503097</v>
      </c>
      <c r="FE58" t="s">
        <v>633</v>
      </c>
      <c r="FF58">
        <v>1693503097</v>
      </c>
      <c r="FG58">
        <v>1693503084.5</v>
      </c>
      <c r="FH58">
        <v>49</v>
      </c>
      <c r="FI58">
        <v>-3.3000000000000002E-2</v>
      </c>
      <c r="FJ58">
        <v>8.0000000000000002E-3</v>
      </c>
      <c r="FK58">
        <v>-3.468</v>
      </c>
      <c r="FL58">
        <v>0.25700000000000001</v>
      </c>
      <c r="FM58">
        <v>1500</v>
      </c>
      <c r="FN58">
        <v>23</v>
      </c>
      <c r="FO58">
        <v>0.16</v>
      </c>
      <c r="FP58">
        <v>0.03</v>
      </c>
      <c r="FQ58">
        <v>45.847945065892631</v>
      </c>
      <c r="FR58">
        <v>0.36334986976377359</v>
      </c>
      <c r="FS58">
        <v>0.1629918182769601</v>
      </c>
      <c r="FT58">
        <v>1</v>
      </c>
      <c r="FU58">
        <v>0.34953245510826431</v>
      </c>
      <c r="FV58">
        <v>-4.3566990371724498E-2</v>
      </c>
      <c r="FW58">
        <v>3.2293137219601268E-3</v>
      </c>
      <c r="FX58">
        <v>1</v>
      </c>
      <c r="FY58">
        <v>2</v>
      </c>
      <c r="FZ58">
        <v>2</v>
      </c>
      <c r="GA58" t="s">
        <v>422</v>
      </c>
      <c r="GB58">
        <v>2.9733700000000001</v>
      </c>
      <c r="GC58">
        <v>2.8116400000000001</v>
      </c>
      <c r="GD58">
        <v>0.23459099999999999</v>
      </c>
      <c r="GE58">
        <v>0.23787800000000001</v>
      </c>
      <c r="GF58">
        <v>0.136794</v>
      </c>
      <c r="GG58">
        <v>0.118315</v>
      </c>
      <c r="GH58">
        <v>22709.7</v>
      </c>
      <c r="GI58">
        <v>20855.900000000001</v>
      </c>
      <c r="GJ58">
        <v>26657.5</v>
      </c>
      <c r="GK58">
        <v>25805.9</v>
      </c>
      <c r="GL58">
        <v>31296.400000000001</v>
      </c>
      <c r="GM58">
        <v>32056.6</v>
      </c>
      <c r="GN58">
        <v>37753.699999999997</v>
      </c>
      <c r="GO58">
        <v>38179.300000000003</v>
      </c>
      <c r="GP58">
        <v>2.0116000000000001</v>
      </c>
      <c r="GQ58">
        <v>2.0676000000000001</v>
      </c>
      <c r="GR58">
        <v>0.115395</v>
      </c>
      <c r="GS58">
        <v>0</v>
      </c>
      <c r="GT58">
        <v>28.136500000000002</v>
      </c>
      <c r="GU58">
        <v>999.9</v>
      </c>
      <c r="GV58">
        <v>58.2</v>
      </c>
      <c r="GW58">
        <v>32.5</v>
      </c>
      <c r="GX58">
        <v>28.7134</v>
      </c>
      <c r="GY58">
        <v>61.392800000000001</v>
      </c>
      <c r="GZ58">
        <v>12.492000000000001</v>
      </c>
      <c r="HA58">
        <v>1</v>
      </c>
      <c r="HB58">
        <v>8.7195099999999998E-2</v>
      </c>
      <c r="HC58">
        <v>0.17265800000000001</v>
      </c>
      <c r="HD58">
        <v>20.2575</v>
      </c>
      <c r="HE58">
        <v>5.2071100000000001</v>
      </c>
      <c r="HF58">
        <v>11.9321</v>
      </c>
      <c r="HG58">
        <v>4.9888000000000003</v>
      </c>
      <c r="HH58">
        <v>3.2909999999999999</v>
      </c>
      <c r="HI58">
        <v>9999</v>
      </c>
      <c r="HJ58">
        <v>9999</v>
      </c>
      <c r="HK58">
        <v>9999</v>
      </c>
      <c r="HL58">
        <v>999.9</v>
      </c>
      <c r="HM58">
        <v>1.8702099999999999</v>
      </c>
      <c r="HN58">
        <v>1.87653</v>
      </c>
      <c r="HO58">
        <v>1.87429</v>
      </c>
      <c r="HP58">
        <v>1.8725499999999999</v>
      </c>
      <c r="HQ58">
        <v>1.873</v>
      </c>
      <c r="HR58">
        <v>1.87042</v>
      </c>
      <c r="HS58">
        <v>1.8763700000000001</v>
      </c>
      <c r="HT58">
        <v>1.87534</v>
      </c>
      <c r="HU58">
        <v>5</v>
      </c>
      <c r="HV58">
        <v>0</v>
      </c>
      <c r="HW58">
        <v>0</v>
      </c>
      <c r="HX58">
        <v>0</v>
      </c>
      <c r="HY58" t="s">
        <v>423</v>
      </c>
      <c r="HZ58" t="s">
        <v>424</v>
      </c>
      <c r="IA58" t="s">
        <v>425</v>
      </c>
      <c r="IB58" t="s">
        <v>425</v>
      </c>
      <c r="IC58" t="s">
        <v>425</v>
      </c>
      <c r="ID58" t="s">
        <v>425</v>
      </c>
      <c r="IE58">
        <v>0</v>
      </c>
      <c r="IF58">
        <v>100</v>
      </c>
      <c r="IG58">
        <v>100</v>
      </c>
      <c r="IH58">
        <v>-3.41</v>
      </c>
      <c r="II58">
        <v>0.50109999999999999</v>
      </c>
      <c r="IJ58">
        <v>-1.714770489043949</v>
      </c>
      <c r="IK58">
        <v>-2.677719669153116E-3</v>
      </c>
      <c r="IL58">
        <v>1.9353498771248068E-6</v>
      </c>
      <c r="IM58">
        <v>-6.1862177325538213E-10</v>
      </c>
      <c r="IN58">
        <v>-0.13405170744600681</v>
      </c>
      <c r="IO58">
        <v>-1.5299015507423901E-2</v>
      </c>
      <c r="IP58">
        <v>1.742162107778985E-3</v>
      </c>
      <c r="IQ58">
        <v>-1.472690239905804E-5</v>
      </c>
      <c r="IR58">
        <v>3</v>
      </c>
      <c r="IS58">
        <v>2255</v>
      </c>
      <c r="IT58">
        <v>2</v>
      </c>
      <c r="IU58">
        <v>41</v>
      </c>
      <c r="IV58">
        <v>0.6</v>
      </c>
      <c r="IW58">
        <v>0.8</v>
      </c>
      <c r="IX58">
        <v>2.8064</v>
      </c>
      <c r="IY58">
        <v>2.48047</v>
      </c>
      <c r="IZ58">
        <v>1.6003400000000001</v>
      </c>
      <c r="JA58">
        <v>2.2717299999999998</v>
      </c>
      <c r="JB58">
        <v>1.5502899999999999</v>
      </c>
      <c r="JC58">
        <v>2.33521</v>
      </c>
      <c r="JD58">
        <v>36.481400000000001</v>
      </c>
      <c r="JE58">
        <v>23.956199999999999</v>
      </c>
      <c r="JF58">
        <v>18</v>
      </c>
      <c r="JG58">
        <v>509.53300000000002</v>
      </c>
      <c r="JH58">
        <v>514.92100000000005</v>
      </c>
      <c r="JI58">
        <v>28.806899999999999</v>
      </c>
      <c r="JJ58">
        <v>28.704999999999998</v>
      </c>
      <c r="JK58">
        <v>29.9999</v>
      </c>
      <c r="JL58">
        <v>28.6631</v>
      </c>
      <c r="JM58">
        <v>28.629799999999999</v>
      </c>
      <c r="JN58">
        <v>56.163899999999998</v>
      </c>
      <c r="JO58">
        <v>26.868099999999998</v>
      </c>
      <c r="JP58">
        <v>58.046900000000001</v>
      </c>
      <c r="JQ58">
        <v>28.807500000000001</v>
      </c>
      <c r="JR58">
        <v>1500</v>
      </c>
      <c r="JS58">
        <v>23.664400000000001</v>
      </c>
      <c r="JT58">
        <v>99.553700000000006</v>
      </c>
      <c r="JU58">
        <v>99.179100000000005</v>
      </c>
    </row>
    <row r="59" spans="1:281" x14ac:dyDescent="0.25">
      <c r="A59">
        <v>43</v>
      </c>
      <c r="B59">
        <v>1693504387.5999999</v>
      </c>
      <c r="C59">
        <v>10408</v>
      </c>
      <c r="D59" t="s">
        <v>634</v>
      </c>
      <c r="E59" t="s">
        <v>635</v>
      </c>
      <c r="F59" t="s">
        <v>413</v>
      </c>
      <c r="G59" t="s">
        <v>565</v>
      </c>
      <c r="H59" t="s">
        <v>636</v>
      </c>
      <c r="I59" t="s">
        <v>31</v>
      </c>
      <c r="J59">
        <v>1693504387.5999999</v>
      </c>
      <c r="K59">
        <f t="shared" si="46"/>
        <v>3.5591220495977279E-3</v>
      </c>
      <c r="L59">
        <f t="shared" si="47"/>
        <v>3.559122049597728</v>
      </c>
      <c r="M59">
        <f t="shared" si="48"/>
        <v>36.868586322246038</v>
      </c>
      <c r="N59">
        <f t="shared" si="49"/>
        <v>354.34300000000002</v>
      </c>
      <c r="O59">
        <f t="shared" si="50"/>
        <v>101.94960982406393</v>
      </c>
      <c r="P59">
        <f t="shared" si="51"/>
        <v>10.158905687295235</v>
      </c>
      <c r="Q59">
        <f t="shared" si="52"/>
        <v>35.308983763306003</v>
      </c>
      <c r="R59">
        <f t="shared" si="53"/>
        <v>0.24853679719129348</v>
      </c>
      <c r="S59">
        <f t="shared" si="54"/>
        <v>2.9119193682808349</v>
      </c>
      <c r="T59">
        <f t="shared" si="55"/>
        <v>0.23732458207516063</v>
      </c>
      <c r="U59">
        <f t="shared" si="56"/>
        <v>0.14929308109188857</v>
      </c>
      <c r="V59">
        <f t="shared" si="57"/>
        <v>344.32950065824366</v>
      </c>
      <c r="W59">
        <f t="shared" si="58"/>
        <v>31.24177317583678</v>
      </c>
      <c r="X59">
        <f t="shared" si="59"/>
        <v>29.939499999999999</v>
      </c>
      <c r="Y59">
        <f t="shared" si="60"/>
        <v>4.2456668096383687</v>
      </c>
      <c r="Z59">
        <f t="shared" si="61"/>
        <v>65.317463398553514</v>
      </c>
      <c r="AA59">
        <f t="shared" si="62"/>
        <v>2.8041477102220003</v>
      </c>
      <c r="AB59">
        <f t="shared" si="63"/>
        <v>4.2931056478903304</v>
      </c>
      <c r="AC59">
        <f t="shared" si="64"/>
        <v>1.4415190994163685</v>
      </c>
      <c r="AD59">
        <f t="shared" si="65"/>
        <v>-156.9572823872598</v>
      </c>
      <c r="AE59">
        <f t="shared" si="66"/>
        <v>30.377061316163399</v>
      </c>
      <c r="AF59">
        <f t="shared" si="67"/>
        <v>2.3203922912756663</v>
      </c>
      <c r="AG59">
        <f t="shared" si="68"/>
        <v>220.06967187842292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51818.009343918704</v>
      </c>
      <c r="AM59" t="s">
        <v>417</v>
      </c>
      <c r="AN59">
        <v>10238.9</v>
      </c>
      <c r="AO59">
        <v>302.21199999999999</v>
      </c>
      <c r="AP59">
        <v>4052.3</v>
      </c>
      <c r="AQ59">
        <f t="shared" si="72"/>
        <v>0.92542210596451402</v>
      </c>
      <c r="AR59">
        <v>-0.32343011824092421</v>
      </c>
      <c r="AS59" t="s">
        <v>637</v>
      </c>
      <c r="AT59">
        <v>10500.6</v>
      </c>
      <c r="AU59">
        <v>649.57911538461542</v>
      </c>
      <c r="AV59">
        <v>924.93352722530756</v>
      </c>
      <c r="AW59">
        <f t="shared" si="73"/>
        <v>0.29770183881940482</v>
      </c>
      <c r="AX59">
        <v>0.5</v>
      </c>
      <c r="AY59">
        <f t="shared" si="74"/>
        <v>1513.008300329122</v>
      </c>
      <c r="AZ59">
        <f t="shared" si="75"/>
        <v>36.868586322246038</v>
      </c>
      <c r="BA59">
        <f t="shared" si="76"/>
        <v>225.21267657850095</v>
      </c>
      <c r="BB59">
        <f t="shared" si="77"/>
        <v>2.4581501920641576E-2</v>
      </c>
      <c r="BC59">
        <f t="shared" si="78"/>
        <v>3.3811797072125027</v>
      </c>
      <c r="BD59">
        <f t="shared" si="79"/>
        <v>241.3522995726135</v>
      </c>
      <c r="BE59" t="s">
        <v>638</v>
      </c>
      <c r="BF59">
        <v>544.79</v>
      </c>
      <c r="BG59">
        <f t="shared" si="80"/>
        <v>544.79</v>
      </c>
      <c r="BH59">
        <f t="shared" si="81"/>
        <v>0.41099551052678751</v>
      </c>
      <c r="BI59">
        <f t="shared" si="82"/>
        <v>0.7243432864700392</v>
      </c>
      <c r="BJ59">
        <f t="shared" si="83"/>
        <v>0.89162011591547641</v>
      </c>
      <c r="BK59">
        <f t="shared" si="84"/>
        <v>0.44217904761957244</v>
      </c>
      <c r="BL59">
        <f t="shared" si="85"/>
        <v>0.83394482283474214</v>
      </c>
      <c r="BM59">
        <f t="shared" si="86"/>
        <v>0.60749332866460981</v>
      </c>
      <c r="BN59">
        <f t="shared" si="87"/>
        <v>0.39250667133539019</v>
      </c>
      <c r="BO59">
        <v>5772</v>
      </c>
      <c r="BP59">
        <v>290.00000000000011</v>
      </c>
      <c r="BQ59">
        <v>839.75</v>
      </c>
      <c r="BR59">
        <v>185</v>
      </c>
      <c r="BS59">
        <v>10500.6</v>
      </c>
      <c r="BT59">
        <v>839.73</v>
      </c>
      <c r="BU59">
        <v>0.02</v>
      </c>
      <c r="BV59">
        <v>300.00000000000011</v>
      </c>
      <c r="BW59">
        <v>38.200000000000003</v>
      </c>
      <c r="BX59">
        <v>924.93352722530756</v>
      </c>
      <c r="BY59">
        <v>1.17962571261446</v>
      </c>
      <c r="BZ59">
        <v>-89.47089170142975</v>
      </c>
      <c r="CA59">
        <v>1.0137014022677051</v>
      </c>
      <c r="CB59">
        <v>0.99641857049268179</v>
      </c>
      <c r="CC59">
        <v>-1.1394152169076761E-2</v>
      </c>
      <c r="CD59">
        <v>289.99999999999989</v>
      </c>
      <c r="CE59">
        <v>829.27</v>
      </c>
      <c r="CF59">
        <v>685</v>
      </c>
      <c r="CG59">
        <v>10469.4</v>
      </c>
      <c r="CH59">
        <v>839.47</v>
      </c>
      <c r="CI59">
        <v>-10.199999999999999</v>
      </c>
      <c r="CW59">
        <f t="shared" si="88"/>
        <v>1799.79</v>
      </c>
      <c r="CX59">
        <f t="shared" si="89"/>
        <v>1513.008300329122</v>
      </c>
      <c r="CY59">
        <f t="shared" si="90"/>
        <v>0.84065824364460406</v>
      </c>
      <c r="CZ59">
        <f t="shared" si="91"/>
        <v>0.191316487289208</v>
      </c>
      <c r="DA59">
        <v>6</v>
      </c>
      <c r="DB59">
        <v>0.5</v>
      </c>
      <c r="DC59" t="s">
        <v>420</v>
      </c>
      <c r="DD59">
        <v>2</v>
      </c>
      <c r="DE59">
        <v>1693504387.5999999</v>
      </c>
      <c r="DF59">
        <v>354.34300000000002</v>
      </c>
      <c r="DG59">
        <v>400.07600000000002</v>
      </c>
      <c r="DH59">
        <v>28.140999999999998</v>
      </c>
      <c r="DI59">
        <v>23.9923</v>
      </c>
      <c r="DJ59">
        <v>356.95600000000002</v>
      </c>
      <c r="DK59">
        <v>27.652200000000001</v>
      </c>
      <c r="DL59">
        <v>500.24799999999999</v>
      </c>
      <c r="DM59">
        <v>99.545900000000003</v>
      </c>
      <c r="DN59">
        <v>0.100442</v>
      </c>
      <c r="DO59">
        <v>30.132999999999999</v>
      </c>
      <c r="DP59">
        <v>29.939499999999999</v>
      </c>
      <c r="DQ59">
        <v>999.9</v>
      </c>
      <c r="DR59">
        <v>0</v>
      </c>
      <c r="DS59">
        <v>0</v>
      </c>
      <c r="DT59">
        <v>9945</v>
      </c>
      <c r="DU59">
        <v>0</v>
      </c>
      <c r="DV59">
        <v>1612.83</v>
      </c>
      <c r="DW59">
        <v>-45.733199999999997</v>
      </c>
      <c r="DX59">
        <v>364.60399999999998</v>
      </c>
      <c r="DY59">
        <v>409.911</v>
      </c>
      <c r="DZ59">
        <v>4.1486599999999996</v>
      </c>
      <c r="EA59">
        <v>400.07600000000002</v>
      </c>
      <c r="EB59">
        <v>23.9923</v>
      </c>
      <c r="EC59">
        <v>2.80132</v>
      </c>
      <c r="ED59">
        <v>2.3883399999999999</v>
      </c>
      <c r="EE59">
        <v>22.8919</v>
      </c>
      <c r="EF59">
        <v>20.2849</v>
      </c>
      <c r="EG59">
        <v>1799.79</v>
      </c>
      <c r="EH59">
        <v>0.97799800000000003</v>
      </c>
      <c r="EI59">
        <v>2.2001799999999998E-2</v>
      </c>
      <c r="EJ59">
        <v>0</v>
      </c>
      <c r="EK59">
        <v>649.66300000000001</v>
      </c>
      <c r="EL59">
        <v>4.9995000000000003</v>
      </c>
      <c r="EM59">
        <v>12605.5</v>
      </c>
      <c r="EN59">
        <v>16657.8</v>
      </c>
      <c r="EO59">
        <v>45.311999999999998</v>
      </c>
      <c r="EP59">
        <v>46.5</v>
      </c>
      <c r="EQ59">
        <v>46.25</v>
      </c>
      <c r="ER59">
        <v>45</v>
      </c>
      <c r="ES59">
        <v>46.686999999999998</v>
      </c>
      <c r="ET59">
        <v>1755.3</v>
      </c>
      <c r="EU59">
        <v>39.49</v>
      </c>
      <c r="EV59">
        <v>0</v>
      </c>
      <c r="EW59">
        <v>1251.2000000476839</v>
      </c>
      <c r="EX59">
        <v>0</v>
      </c>
      <c r="EY59">
        <v>649.57911538461542</v>
      </c>
      <c r="EZ59">
        <v>2.1987350575611551</v>
      </c>
      <c r="FA59">
        <v>-4.1811970042308211</v>
      </c>
      <c r="FB59">
        <v>12602.20384615385</v>
      </c>
      <c r="FC59">
        <v>15</v>
      </c>
      <c r="FD59">
        <v>1693504358.5999999</v>
      </c>
      <c r="FE59" t="s">
        <v>639</v>
      </c>
      <c r="FF59">
        <v>1693504350.5999999</v>
      </c>
      <c r="FG59">
        <v>1693504358.5999999</v>
      </c>
      <c r="FH59">
        <v>51</v>
      </c>
      <c r="FI59">
        <v>0.14699999999999999</v>
      </c>
      <c r="FJ59">
        <v>-5.5E-2</v>
      </c>
      <c r="FK59">
        <v>-2.68</v>
      </c>
      <c r="FL59">
        <v>0.318</v>
      </c>
      <c r="FM59">
        <v>400</v>
      </c>
      <c r="FN59">
        <v>24</v>
      </c>
      <c r="FO59">
        <v>0.11</v>
      </c>
      <c r="FP59">
        <v>0.06</v>
      </c>
      <c r="FQ59">
        <v>36.729805750846232</v>
      </c>
      <c r="FR59">
        <v>-5.850590220416519E-2</v>
      </c>
      <c r="FS59">
        <v>7.6576067815140939E-2</v>
      </c>
      <c r="FT59">
        <v>1</v>
      </c>
      <c r="FU59">
        <v>0.2532604295528193</v>
      </c>
      <c r="FV59">
        <v>1.249428514591118E-2</v>
      </c>
      <c r="FW59">
        <v>5.3219830340491808E-3</v>
      </c>
      <c r="FX59">
        <v>1</v>
      </c>
      <c r="FY59">
        <v>2</v>
      </c>
      <c r="FZ59">
        <v>2</v>
      </c>
      <c r="GA59" t="s">
        <v>422</v>
      </c>
      <c r="GB59">
        <v>2.97363</v>
      </c>
      <c r="GC59">
        <v>2.8116599999999998</v>
      </c>
      <c r="GD59">
        <v>8.9618199999999995E-2</v>
      </c>
      <c r="GE59">
        <v>9.6899899999999997E-2</v>
      </c>
      <c r="GF59">
        <v>0.134268</v>
      </c>
      <c r="GG59">
        <v>0.11987200000000001</v>
      </c>
      <c r="GH59">
        <v>27029.200000000001</v>
      </c>
      <c r="GI59">
        <v>24723.5</v>
      </c>
      <c r="GJ59">
        <v>26673.200000000001</v>
      </c>
      <c r="GK59">
        <v>25813</v>
      </c>
      <c r="GL59">
        <v>31393</v>
      </c>
      <c r="GM59">
        <v>31991.3</v>
      </c>
      <c r="GN59">
        <v>37775.4</v>
      </c>
      <c r="GO59">
        <v>38182</v>
      </c>
      <c r="GP59">
        <v>2.012</v>
      </c>
      <c r="GQ59">
        <v>2.0859999999999999</v>
      </c>
      <c r="GR59">
        <v>6.5088300000000002E-2</v>
      </c>
      <c r="GS59">
        <v>0</v>
      </c>
      <c r="GT59">
        <v>28.879300000000001</v>
      </c>
      <c r="GU59">
        <v>999.9</v>
      </c>
      <c r="GV59">
        <v>61.3</v>
      </c>
      <c r="GW59">
        <v>31.5</v>
      </c>
      <c r="GX59">
        <v>28.584099999999999</v>
      </c>
      <c r="GY59">
        <v>61.397500000000001</v>
      </c>
      <c r="GZ59">
        <v>12.7684</v>
      </c>
      <c r="HA59">
        <v>1</v>
      </c>
      <c r="HB59">
        <v>5.6341500000000003E-2</v>
      </c>
      <c r="HC59">
        <v>-0.28185199999999999</v>
      </c>
      <c r="HD59">
        <v>20.3079</v>
      </c>
      <c r="HE59">
        <v>5.2077099999999996</v>
      </c>
      <c r="HF59">
        <v>11.9321</v>
      </c>
      <c r="HG59">
        <v>4.9880000000000004</v>
      </c>
      <c r="HH59">
        <v>3.2909999999999999</v>
      </c>
      <c r="HI59">
        <v>9999</v>
      </c>
      <c r="HJ59">
        <v>9999</v>
      </c>
      <c r="HK59">
        <v>9999</v>
      </c>
      <c r="HL59">
        <v>999.9</v>
      </c>
      <c r="HM59">
        <v>1.8696600000000001</v>
      </c>
      <c r="HN59">
        <v>1.8760399999999999</v>
      </c>
      <c r="HO59">
        <v>1.87378</v>
      </c>
      <c r="HP59">
        <v>1.8721000000000001</v>
      </c>
      <c r="HQ59">
        <v>1.87252</v>
      </c>
      <c r="HR59">
        <v>1.86988</v>
      </c>
      <c r="HS59">
        <v>1.8757900000000001</v>
      </c>
      <c r="HT59">
        <v>1.8748499999999999</v>
      </c>
      <c r="HU59">
        <v>5</v>
      </c>
      <c r="HV59">
        <v>0</v>
      </c>
      <c r="HW59">
        <v>0</v>
      </c>
      <c r="HX59">
        <v>0</v>
      </c>
      <c r="HY59" t="s">
        <v>423</v>
      </c>
      <c r="HZ59" t="s">
        <v>424</v>
      </c>
      <c r="IA59" t="s">
        <v>425</v>
      </c>
      <c r="IB59" t="s">
        <v>425</v>
      </c>
      <c r="IC59" t="s">
        <v>425</v>
      </c>
      <c r="ID59" t="s">
        <v>425</v>
      </c>
      <c r="IE59">
        <v>0</v>
      </c>
      <c r="IF59">
        <v>100</v>
      </c>
      <c r="IG59">
        <v>100</v>
      </c>
      <c r="IH59">
        <v>-2.613</v>
      </c>
      <c r="II59">
        <v>0.48880000000000001</v>
      </c>
      <c r="IJ59">
        <v>-1.875497840437736</v>
      </c>
      <c r="IK59">
        <v>-2.677719669153116E-3</v>
      </c>
      <c r="IL59">
        <v>1.9353498771248068E-6</v>
      </c>
      <c r="IM59">
        <v>-6.1862177325538213E-10</v>
      </c>
      <c r="IN59">
        <v>-0.10895602911508161</v>
      </c>
      <c r="IO59">
        <v>-1.5299015507423901E-2</v>
      </c>
      <c r="IP59">
        <v>1.742162107778985E-3</v>
      </c>
      <c r="IQ59">
        <v>-1.472690239905804E-5</v>
      </c>
      <c r="IR59">
        <v>3</v>
      </c>
      <c r="IS59">
        <v>2255</v>
      </c>
      <c r="IT59">
        <v>2</v>
      </c>
      <c r="IU59">
        <v>41</v>
      </c>
      <c r="IV59">
        <v>0.6</v>
      </c>
      <c r="IW59">
        <v>0.5</v>
      </c>
      <c r="IX59">
        <v>0.96069300000000002</v>
      </c>
      <c r="IY59">
        <v>2.47559</v>
      </c>
      <c r="IZ59">
        <v>1.5991200000000001</v>
      </c>
      <c r="JA59">
        <v>2.2705099999999998</v>
      </c>
      <c r="JB59">
        <v>1.5502899999999999</v>
      </c>
      <c r="JC59">
        <v>2.4157700000000002</v>
      </c>
      <c r="JD59">
        <v>34.5321</v>
      </c>
      <c r="JE59">
        <v>16.049600000000002</v>
      </c>
      <c r="JF59">
        <v>18</v>
      </c>
      <c r="JG59">
        <v>505.84</v>
      </c>
      <c r="JH59">
        <v>523.05999999999995</v>
      </c>
      <c r="JI59">
        <v>28.0185</v>
      </c>
      <c r="JJ59">
        <v>28.219100000000001</v>
      </c>
      <c r="JK59">
        <v>30.0001</v>
      </c>
      <c r="JL59">
        <v>28.2056</v>
      </c>
      <c r="JM59">
        <v>28.171299999999999</v>
      </c>
      <c r="JN59">
        <v>19.250599999999999</v>
      </c>
      <c r="JO59">
        <v>26.768799999999999</v>
      </c>
      <c r="JP59">
        <v>73.657799999999995</v>
      </c>
      <c r="JQ59">
        <v>28.029199999999999</v>
      </c>
      <c r="JR59">
        <v>400</v>
      </c>
      <c r="JS59">
        <v>24.061699999999998</v>
      </c>
      <c r="JT59">
        <v>99.611400000000003</v>
      </c>
      <c r="JU59">
        <v>99.194199999999995</v>
      </c>
    </row>
    <row r="60" spans="1:281" x14ac:dyDescent="0.25">
      <c r="A60">
        <v>44</v>
      </c>
      <c r="B60">
        <v>1693504577.0999999</v>
      </c>
      <c r="C60">
        <v>10597.5</v>
      </c>
      <c r="D60" t="s">
        <v>640</v>
      </c>
      <c r="E60" t="s">
        <v>641</v>
      </c>
      <c r="F60" t="s">
        <v>413</v>
      </c>
      <c r="G60" t="s">
        <v>565</v>
      </c>
      <c r="H60" t="s">
        <v>636</v>
      </c>
      <c r="I60" t="s">
        <v>31</v>
      </c>
      <c r="J60">
        <v>1693504577.0999999</v>
      </c>
      <c r="K60">
        <f t="shared" si="46"/>
        <v>3.7773166450509742E-3</v>
      </c>
      <c r="L60">
        <f t="shared" si="47"/>
        <v>3.7773166450509743</v>
      </c>
      <c r="M60">
        <f t="shared" si="48"/>
        <v>30.52820681828079</v>
      </c>
      <c r="N60">
        <f t="shared" si="49"/>
        <v>262.03699999999998</v>
      </c>
      <c r="O60">
        <f t="shared" si="50"/>
        <v>62.908145662337553</v>
      </c>
      <c r="P60">
        <f t="shared" si="51"/>
        <v>6.2684241606316968</v>
      </c>
      <c r="Q60">
        <f t="shared" si="52"/>
        <v>26.110435214478599</v>
      </c>
      <c r="R60">
        <f t="shared" si="53"/>
        <v>0.2607545075307332</v>
      </c>
      <c r="S60">
        <f t="shared" si="54"/>
        <v>2.9381376589758577</v>
      </c>
      <c r="T60">
        <f t="shared" si="55"/>
        <v>0.24854652958720247</v>
      </c>
      <c r="U60">
        <f t="shared" si="56"/>
        <v>0.15639078161516928</v>
      </c>
      <c r="V60">
        <f t="shared" si="57"/>
        <v>344.39220065812293</v>
      </c>
      <c r="W60">
        <f t="shared" si="58"/>
        <v>31.346652022583559</v>
      </c>
      <c r="X60">
        <f t="shared" si="59"/>
        <v>30.062000000000001</v>
      </c>
      <c r="Y60">
        <f t="shared" si="60"/>
        <v>4.275645775705188</v>
      </c>
      <c r="Z60">
        <f t="shared" si="61"/>
        <v>64.93701704892554</v>
      </c>
      <c r="AA60">
        <f t="shared" si="62"/>
        <v>2.8151743792289405</v>
      </c>
      <c r="AB60">
        <f t="shared" si="63"/>
        <v>4.3352382156819766</v>
      </c>
      <c r="AC60">
        <f t="shared" si="64"/>
        <v>1.4604713964762475</v>
      </c>
      <c r="AD60">
        <f t="shared" si="65"/>
        <v>-166.57966404674795</v>
      </c>
      <c r="AE60">
        <f t="shared" si="66"/>
        <v>38.222131733681302</v>
      </c>
      <c r="AF60">
        <f t="shared" si="67"/>
        <v>2.8977911101755685</v>
      </c>
      <c r="AG60">
        <f t="shared" si="68"/>
        <v>218.93245945523182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52536.881711497575</v>
      </c>
      <c r="AM60" t="s">
        <v>417</v>
      </c>
      <c r="AN60">
        <v>10238.9</v>
      </c>
      <c r="AO60">
        <v>302.21199999999999</v>
      </c>
      <c r="AP60">
        <v>4052.3</v>
      </c>
      <c r="AQ60">
        <f t="shared" si="72"/>
        <v>0.92542210596451402</v>
      </c>
      <c r="AR60">
        <v>-0.32343011824092421</v>
      </c>
      <c r="AS60" t="s">
        <v>642</v>
      </c>
      <c r="AT60">
        <v>10490.2</v>
      </c>
      <c r="AU60">
        <v>624.05444</v>
      </c>
      <c r="AV60">
        <v>849.1707045733591</v>
      </c>
      <c r="AW60">
        <f t="shared" si="73"/>
        <v>0.26510130808912225</v>
      </c>
      <c r="AX60">
        <v>0.5</v>
      </c>
      <c r="AY60">
        <f t="shared" si="74"/>
        <v>1513.2855003290613</v>
      </c>
      <c r="AZ60">
        <f t="shared" si="75"/>
        <v>30.52820681828079</v>
      </c>
      <c r="BA60">
        <f t="shared" si="76"/>
        <v>200.586982824768</v>
      </c>
      <c r="BB60">
        <f t="shared" si="77"/>
        <v>2.0387188623569762E-2</v>
      </c>
      <c r="BC60">
        <f t="shared" si="78"/>
        <v>3.7720675927415082</v>
      </c>
      <c r="BD60">
        <f t="shared" si="79"/>
        <v>235.86120930233974</v>
      </c>
      <c r="BE60" t="s">
        <v>643</v>
      </c>
      <c r="BF60">
        <v>533.28</v>
      </c>
      <c r="BG60">
        <f t="shared" si="80"/>
        <v>533.28</v>
      </c>
      <c r="BH60">
        <f t="shared" si="81"/>
        <v>0.37199906081553902</v>
      </c>
      <c r="BI60">
        <f t="shared" si="82"/>
        <v>0.71263972416472443</v>
      </c>
      <c r="BJ60">
        <f t="shared" si="83"/>
        <v>0.91023333070759493</v>
      </c>
      <c r="BK60">
        <f t="shared" si="84"/>
        <v>0.4115781734362472</v>
      </c>
      <c r="BL60">
        <f t="shared" si="85"/>
        <v>0.85414776811281246</v>
      </c>
      <c r="BM60">
        <f t="shared" si="86"/>
        <v>0.60897974238043118</v>
      </c>
      <c r="BN60">
        <f t="shared" si="87"/>
        <v>0.39102025761956882</v>
      </c>
      <c r="BO60">
        <v>5774</v>
      </c>
      <c r="BP60">
        <v>290.00000000000011</v>
      </c>
      <c r="BQ60">
        <v>780.29</v>
      </c>
      <c r="BR60">
        <v>245</v>
      </c>
      <c r="BS60">
        <v>10490.2</v>
      </c>
      <c r="BT60">
        <v>780.16</v>
      </c>
      <c r="BU60">
        <v>0.13</v>
      </c>
      <c r="BV60">
        <v>300.00000000000011</v>
      </c>
      <c r="BW60">
        <v>38.200000000000003</v>
      </c>
      <c r="BX60">
        <v>849.1707045733591</v>
      </c>
      <c r="BY60">
        <v>0.96128049504882207</v>
      </c>
      <c r="BZ60">
        <v>-72.391401482938505</v>
      </c>
      <c r="CA60">
        <v>0.82605667544624772</v>
      </c>
      <c r="CB60">
        <v>0.99636735263478016</v>
      </c>
      <c r="CC60">
        <v>-1.1393957063403791E-2</v>
      </c>
      <c r="CD60">
        <v>289.99999999999989</v>
      </c>
      <c r="CE60">
        <v>772.31</v>
      </c>
      <c r="CF60">
        <v>635</v>
      </c>
      <c r="CG60">
        <v>10474.200000000001</v>
      </c>
      <c r="CH60">
        <v>780.06</v>
      </c>
      <c r="CI60">
        <v>-7.75</v>
      </c>
      <c r="CW60">
        <f t="shared" si="88"/>
        <v>1800.12</v>
      </c>
      <c r="CX60">
        <f t="shared" si="89"/>
        <v>1513.2855003290613</v>
      </c>
      <c r="CY60">
        <f t="shared" si="90"/>
        <v>0.84065812297461362</v>
      </c>
      <c r="CZ60">
        <f t="shared" si="91"/>
        <v>0.19131624594922725</v>
      </c>
      <c r="DA60">
        <v>6</v>
      </c>
      <c r="DB60">
        <v>0.5</v>
      </c>
      <c r="DC60" t="s">
        <v>420</v>
      </c>
      <c r="DD60">
        <v>2</v>
      </c>
      <c r="DE60">
        <v>1693504577.0999999</v>
      </c>
      <c r="DF60">
        <v>262.03699999999998</v>
      </c>
      <c r="DG60">
        <v>299.84899999999999</v>
      </c>
      <c r="DH60">
        <v>28.252300000000002</v>
      </c>
      <c r="DI60">
        <v>23.848700000000001</v>
      </c>
      <c r="DJ60">
        <v>264.3</v>
      </c>
      <c r="DK60">
        <v>27.765799999999999</v>
      </c>
      <c r="DL60">
        <v>500.12700000000001</v>
      </c>
      <c r="DM60">
        <v>99.544700000000006</v>
      </c>
      <c r="DN60">
        <v>9.9377800000000002E-2</v>
      </c>
      <c r="DO60">
        <v>30.3033</v>
      </c>
      <c r="DP60">
        <v>30.062000000000001</v>
      </c>
      <c r="DQ60">
        <v>999.9</v>
      </c>
      <c r="DR60">
        <v>0</v>
      </c>
      <c r="DS60">
        <v>0</v>
      </c>
      <c r="DT60">
        <v>10095</v>
      </c>
      <c r="DU60">
        <v>0</v>
      </c>
      <c r="DV60">
        <v>1606.05</v>
      </c>
      <c r="DW60">
        <v>-37.811799999999998</v>
      </c>
      <c r="DX60">
        <v>269.65600000000001</v>
      </c>
      <c r="DY60">
        <v>307.17500000000001</v>
      </c>
      <c r="DZ60">
        <v>4.4035799999999998</v>
      </c>
      <c r="EA60">
        <v>299.84899999999999</v>
      </c>
      <c r="EB60">
        <v>23.848700000000001</v>
      </c>
      <c r="EC60">
        <v>2.81237</v>
      </c>
      <c r="ED60">
        <v>2.3740100000000002</v>
      </c>
      <c r="EE60">
        <v>22.956800000000001</v>
      </c>
      <c r="EF60">
        <v>20.1876</v>
      </c>
      <c r="EG60">
        <v>1800.12</v>
      </c>
      <c r="EH60">
        <v>0.97800200000000004</v>
      </c>
      <c r="EI60">
        <v>2.1998299999999998E-2</v>
      </c>
      <c r="EJ60">
        <v>0</v>
      </c>
      <c r="EK60">
        <v>624.14499999999998</v>
      </c>
      <c r="EL60">
        <v>4.9995000000000003</v>
      </c>
      <c r="EM60">
        <v>12126.1</v>
      </c>
      <c r="EN60">
        <v>16660.900000000001</v>
      </c>
      <c r="EO60">
        <v>45.25</v>
      </c>
      <c r="EP60">
        <v>46.311999999999998</v>
      </c>
      <c r="EQ60">
        <v>46.186999999999998</v>
      </c>
      <c r="ER60">
        <v>44.936999999999998</v>
      </c>
      <c r="ES60">
        <v>46.625</v>
      </c>
      <c r="ET60">
        <v>1755.63</v>
      </c>
      <c r="EU60">
        <v>39.49</v>
      </c>
      <c r="EV60">
        <v>0</v>
      </c>
      <c r="EW60">
        <v>187.80000019073489</v>
      </c>
      <c r="EX60">
        <v>0</v>
      </c>
      <c r="EY60">
        <v>624.05444</v>
      </c>
      <c r="EZ60">
        <v>2.0745384556761639</v>
      </c>
      <c r="FA60">
        <v>24.21538458358938</v>
      </c>
      <c r="FB60">
        <v>12118.98</v>
      </c>
      <c r="FC60">
        <v>15</v>
      </c>
      <c r="FD60">
        <v>1693504457.5999999</v>
      </c>
      <c r="FE60" t="s">
        <v>644</v>
      </c>
      <c r="FF60">
        <v>1693504457.5999999</v>
      </c>
      <c r="FG60">
        <v>1693504457.0999999</v>
      </c>
      <c r="FH60">
        <v>52</v>
      </c>
      <c r="FI60">
        <v>0.19700000000000001</v>
      </c>
      <c r="FJ60">
        <v>-8.0000000000000002E-3</v>
      </c>
      <c r="FK60">
        <v>-2.3290000000000002</v>
      </c>
      <c r="FL60">
        <v>0.30199999999999999</v>
      </c>
      <c r="FM60">
        <v>300</v>
      </c>
      <c r="FN60">
        <v>24</v>
      </c>
      <c r="FO60">
        <v>0.15</v>
      </c>
      <c r="FP60">
        <v>0.05</v>
      </c>
      <c r="FQ60">
        <v>30.582776565024929</v>
      </c>
      <c r="FR60">
        <v>1.195191537968624</v>
      </c>
      <c r="FS60">
        <v>0.1064506299945959</v>
      </c>
      <c r="FT60">
        <v>0</v>
      </c>
      <c r="FU60">
        <v>0.26252609579455088</v>
      </c>
      <c r="FV60">
        <v>-2.416438114808243E-2</v>
      </c>
      <c r="FW60">
        <v>2.041410191856702E-3</v>
      </c>
      <c r="FX60">
        <v>1</v>
      </c>
      <c r="FY60">
        <v>1</v>
      </c>
      <c r="FZ60">
        <v>2</v>
      </c>
      <c r="GA60" t="s">
        <v>461</v>
      </c>
      <c r="GB60">
        <v>2.9733200000000002</v>
      </c>
      <c r="GC60">
        <v>2.8119100000000001</v>
      </c>
      <c r="GD60">
        <v>7.0117499999999999E-2</v>
      </c>
      <c r="GE60">
        <v>7.7025300000000005E-2</v>
      </c>
      <c r="GF60">
        <v>0.13464899999999999</v>
      </c>
      <c r="GG60">
        <v>0.119367</v>
      </c>
      <c r="GH60">
        <v>27609</v>
      </c>
      <c r="GI60">
        <v>25267</v>
      </c>
      <c r="GJ60">
        <v>26674</v>
      </c>
      <c r="GK60">
        <v>25812.5</v>
      </c>
      <c r="GL60">
        <v>31377.9</v>
      </c>
      <c r="GM60">
        <v>32007.200000000001</v>
      </c>
      <c r="GN60">
        <v>37776</v>
      </c>
      <c r="GO60">
        <v>38180.699999999997</v>
      </c>
      <c r="GP60">
        <v>2.0123000000000002</v>
      </c>
      <c r="GQ60">
        <v>2.0863</v>
      </c>
      <c r="GR60">
        <v>7.4848499999999998E-2</v>
      </c>
      <c r="GS60">
        <v>0</v>
      </c>
      <c r="GT60">
        <v>28.8429</v>
      </c>
      <c r="GU60">
        <v>999.9</v>
      </c>
      <c r="GV60">
        <v>61.3</v>
      </c>
      <c r="GW60">
        <v>31.4</v>
      </c>
      <c r="GX60">
        <v>28.421700000000001</v>
      </c>
      <c r="GY60">
        <v>61.087600000000002</v>
      </c>
      <c r="GZ60">
        <v>13.4655</v>
      </c>
      <c r="HA60">
        <v>1</v>
      </c>
      <c r="HB60">
        <v>5.6758099999999999E-2</v>
      </c>
      <c r="HC60">
        <v>-0.144423</v>
      </c>
      <c r="HD60">
        <v>20.308199999999999</v>
      </c>
      <c r="HE60">
        <v>5.2095000000000002</v>
      </c>
      <c r="HF60">
        <v>11.9321</v>
      </c>
      <c r="HG60">
        <v>4.9885999999999999</v>
      </c>
      <c r="HH60">
        <v>3.2909999999999999</v>
      </c>
      <c r="HI60">
        <v>9999</v>
      </c>
      <c r="HJ60">
        <v>9999</v>
      </c>
      <c r="HK60">
        <v>9999</v>
      </c>
      <c r="HL60">
        <v>999.9</v>
      </c>
      <c r="HM60">
        <v>1.8696600000000001</v>
      </c>
      <c r="HN60">
        <v>1.8760699999999999</v>
      </c>
      <c r="HO60">
        <v>1.87378</v>
      </c>
      <c r="HP60">
        <v>1.87208</v>
      </c>
      <c r="HQ60">
        <v>1.8725499999999999</v>
      </c>
      <c r="HR60">
        <v>1.8699300000000001</v>
      </c>
      <c r="HS60">
        <v>1.8758699999999999</v>
      </c>
      <c r="HT60">
        <v>1.8748499999999999</v>
      </c>
      <c r="HU60">
        <v>5</v>
      </c>
      <c r="HV60">
        <v>0</v>
      </c>
      <c r="HW60">
        <v>0</v>
      </c>
      <c r="HX60">
        <v>0</v>
      </c>
      <c r="HY60" t="s">
        <v>423</v>
      </c>
      <c r="HZ60" t="s">
        <v>424</v>
      </c>
      <c r="IA60" t="s">
        <v>425</v>
      </c>
      <c r="IB60" t="s">
        <v>425</v>
      </c>
      <c r="IC60" t="s">
        <v>425</v>
      </c>
      <c r="ID60" t="s">
        <v>425</v>
      </c>
      <c r="IE60">
        <v>0</v>
      </c>
      <c r="IF60">
        <v>100</v>
      </c>
      <c r="IG60">
        <v>100</v>
      </c>
      <c r="IH60">
        <v>-2.2629999999999999</v>
      </c>
      <c r="II60">
        <v>0.48649999999999999</v>
      </c>
      <c r="IJ60">
        <v>-1.6788065040536839</v>
      </c>
      <c r="IK60">
        <v>-2.677719669153116E-3</v>
      </c>
      <c r="IL60">
        <v>1.9353498771248068E-6</v>
      </c>
      <c r="IM60">
        <v>-6.1862177325538213E-10</v>
      </c>
      <c r="IN60">
        <v>-0.1166093265344587</v>
      </c>
      <c r="IO60">
        <v>-1.5299015507423901E-2</v>
      </c>
      <c r="IP60">
        <v>1.742162107778985E-3</v>
      </c>
      <c r="IQ60">
        <v>-1.472690239905804E-5</v>
      </c>
      <c r="IR60">
        <v>3</v>
      </c>
      <c r="IS60">
        <v>2255</v>
      </c>
      <c r="IT60">
        <v>2</v>
      </c>
      <c r="IU60">
        <v>41</v>
      </c>
      <c r="IV60">
        <v>2</v>
      </c>
      <c r="IW60">
        <v>2</v>
      </c>
      <c r="IX60">
        <v>0.767822</v>
      </c>
      <c r="IY60">
        <v>2.4853499999999999</v>
      </c>
      <c r="IZ60">
        <v>1.6003400000000001</v>
      </c>
      <c r="JA60">
        <v>2.2705099999999998</v>
      </c>
      <c r="JB60">
        <v>1.5502899999999999</v>
      </c>
      <c r="JC60">
        <v>2.2985799999999998</v>
      </c>
      <c r="JD60">
        <v>34.440800000000003</v>
      </c>
      <c r="JE60">
        <v>16.023299999999999</v>
      </c>
      <c r="JF60">
        <v>18</v>
      </c>
      <c r="JG60">
        <v>506.09100000000001</v>
      </c>
      <c r="JH60">
        <v>523.36300000000006</v>
      </c>
      <c r="JI60">
        <v>28.322800000000001</v>
      </c>
      <c r="JJ60">
        <v>28.221399999999999</v>
      </c>
      <c r="JK60">
        <v>29.9999</v>
      </c>
      <c r="JL60">
        <v>28.212800000000001</v>
      </c>
      <c r="JM60">
        <v>28.181799999999999</v>
      </c>
      <c r="JN60">
        <v>15.4</v>
      </c>
      <c r="JO60">
        <v>26.0352</v>
      </c>
      <c r="JP60">
        <v>74.002600000000001</v>
      </c>
      <c r="JQ60">
        <v>28.305299999999999</v>
      </c>
      <c r="JR60">
        <v>300</v>
      </c>
      <c r="JS60">
        <v>23.845300000000002</v>
      </c>
      <c r="JT60">
        <v>99.613699999999994</v>
      </c>
      <c r="JU60">
        <v>99.191500000000005</v>
      </c>
    </row>
    <row r="61" spans="1:281" x14ac:dyDescent="0.25">
      <c r="A61">
        <v>45</v>
      </c>
      <c r="B61">
        <v>1693504685.0999999</v>
      </c>
      <c r="C61">
        <v>10705.5</v>
      </c>
      <c r="D61" t="s">
        <v>645</v>
      </c>
      <c r="E61" t="s">
        <v>646</v>
      </c>
      <c r="F61" t="s">
        <v>413</v>
      </c>
      <c r="G61" t="s">
        <v>565</v>
      </c>
      <c r="H61" t="s">
        <v>636</v>
      </c>
      <c r="I61" t="s">
        <v>31</v>
      </c>
      <c r="J61">
        <v>1693504685.0999999</v>
      </c>
      <c r="K61">
        <f t="shared" si="46"/>
        <v>4.1855848873754934E-3</v>
      </c>
      <c r="L61">
        <f t="shared" si="47"/>
        <v>4.1855848873754935</v>
      </c>
      <c r="M61">
        <f t="shared" si="48"/>
        <v>21.69984370883174</v>
      </c>
      <c r="N61">
        <f t="shared" si="49"/>
        <v>173.09800000000001</v>
      </c>
      <c r="O61">
        <f t="shared" si="50"/>
        <v>48.535511173569425</v>
      </c>
      <c r="P61">
        <f t="shared" si="51"/>
        <v>4.8363273205067783</v>
      </c>
      <c r="Q61">
        <f t="shared" si="52"/>
        <v>17.24837271274</v>
      </c>
      <c r="R61">
        <f t="shared" si="53"/>
        <v>0.29844511345618535</v>
      </c>
      <c r="S61">
        <f t="shared" si="54"/>
        <v>2.9276932517946204</v>
      </c>
      <c r="T61">
        <f t="shared" si="55"/>
        <v>0.28251490934742918</v>
      </c>
      <c r="U61">
        <f t="shared" si="56"/>
        <v>0.17793219174648439</v>
      </c>
      <c r="V61">
        <f t="shared" si="57"/>
        <v>344.38650065813391</v>
      </c>
      <c r="W61">
        <f t="shared" si="58"/>
        <v>31.213900884338539</v>
      </c>
      <c r="X61">
        <f t="shared" si="59"/>
        <v>29.976600000000001</v>
      </c>
      <c r="Y61">
        <f t="shared" si="60"/>
        <v>4.2547267533628848</v>
      </c>
      <c r="Z61">
        <f t="shared" si="61"/>
        <v>65.413536419421519</v>
      </c>
      <c r="AA61">
        <f t="shared" si="62"/>
        <v>2.830928107813</v>
      </c>
      <c r="AB61">
        <f t="shared" si="63"/>
        <v>4.3277404995527613</v>
      </c>
      <c r="AC61">
        <f t="shared" si="64"/>
        <v>1.4237986455498848</v>
      </c>
      <c r="AD61">
        <f t="shared" si="65"/>
        <v>-184.58429353325926</v>
      </c>
      <c r="AE61">
        <f t="shared" si="66"/>
        <v>46.798907282157565</v>
      </c>
      <c r="AF61">
        <f t="shared" si="67"/>
        <v>3.5586565507852868</v>
      </c>
      <c r="AG61">
        <f t="shared" si="68"/>
        <v>210.15977095781753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52243.617344629893</v>
      </c>
      <c r="AM61" t="s">
        <v>417</v>
      </c>
      <c r="AN61">
        <v>10238.9</v>
      </c>
      <c r="AO61">
        <v>302.21199999999999</v>
      </c>
      <c r="AP61">
        <v>4052.3</v>
      </c>
      <c r="AQ61">
        <f t="shared" si="72"/>
        <v>0.92542210596451402</v>
      </c>
      <c r="AR61">
        <v>-0.32343011824092421</v>
      </c>
      <c r="AS61" t="s">
        <v>647</v>
      </c>
      <c r="AT61">
        <v>10486.7</v>
      </c>
      <c r="AU61">
        <v>614.49936000000002</v>
      </c>
      <c r="AV61">
        <v>779.93366576855158</v>
      </c>
      <c r="AW61">
        <f t="shared" si="73"/>
        <v>0.21211330274547324</v>
      </c>
      <c r="AX61">
        <v>0.5</v>
      </c>
      <c r="AY61">
        <f t="shared" si="74"/>
        <v>1513.2603003290669</v>
      </c>
      <c r="AZ61">
        <f t="shared" si="75"/>
        <v>21.69984370883174</v>
      </c>
      <c r="BA61">
        <f t="shared" si="76"/>
        <v>160.49132010820256</v>
      </c>
      <c r="BB61">
        <f t="shared" si="77"/>
        <v>1.4553526463546015E-2</v>
      </c>
      <c r="BC61">
        <f t="shared" si="78"/>
        <v>4.1956982726304526</v>
      </c>
      <c r="BD61">
        <f t="shared" si="79"/>
        <v>230.18549802122715</v>
      </c>
      <c r="BE61" t="s">
        <v>648</v>
      </c>
      <c r="BF61">
        <v>524.85</v>
      </c>
      <c r="BG61">
        <f t="shared" si="80"/>
        <v>524.85</v>
      </c>
      <c r="BH61">
        <f t="shared" si="81"/>
        <v>0.32705815502551805</v>
      </c>
      <c r="BI61">
        <f t="shared" si="82"/>
        <v>0.64854919373260556</v>
      </c>
      <c r="BJ61">
        <f t="shared" si="83"/>
        <v>0.92768610022295095</v>
      </c>
      <c r="BK61">
        <f t="shared" si="84"/>
        <v>0.34629851987642907</v>
      </c>
      <c r="BL61">
        <f t="shared" si="85"/>
        <v>0.87261054520092551</v>
      </c>
      <c r="BM61">
        <f t="shared" si="86"/>
        <v>0.55393230080916278</v>
      </c>
      <c r="BN61">
        <f t="shared" si="87"/>
        <v>0.44606769919083722</v>
      </c>
      <c r="BO61">
        <v>5776</v>
      </c>
      <c r="BP61">
        <v>290.00000000000011</v>
      </c>
      <c r="BQ61">
        <v>734.12</v>
      </c>
      <c r="BR61">
        <v>265</v>
      </c>
      <c r="BS61">
        <v>10486.7</v>
      </c>
      <c r="BT61">
        <v>734.6</v>
      </c>
      <c r="BU61">
        <v>-0.48</v>
      </c>
      <c r="BV61">
        <v>300.00000000000011</v>
      </c>
      <c r="BW61">
        <v>38.200000000000003</v>
      </c>
      <c r="BX61">
        <v>779.93366576855158</v>
      </c>
      <c r="BY61">
        <v>1.0786336783113559</v>
      </c>
      <c r="BZ61">
        <v>-47.540732593672409</v>
      </c>
      <c r="CA61">
        <v>0.92687088136090212</v>
      </c>
      <c r="CB61">
        <v>0.98946906362180509</v>
      </c>
      <c r="CC61">
        <v>-1.1393241824249179E-2</v>
      </c>
      <c r="CD61">
        <v>289.99999999999989</v>
      </c>
      <c r="CE61">
        <v>731.84</v>
      </c>
      <c r="CF61">
        <v>675</v>
      </c>
      <c r="CG61">
        <v>10469.799999999999</v>
      </c>
      <c r="CH61">
        <v>734.53</v>
      </c>
      <c r="CI61">
        <v>-2.69</v>
      </c>
      <c r="CW61">
        <f t="shared" si="88"/>
        <v>1800.09</v>
      </c>
      <c r="CX61">
        <f t="shared" si="89"/>
        <v>1513.2603003290669</v>
      </c>
      <c r="CY61">
        <f t="shared" si="90"/>
        <v>0.84065813394278455</v>
      </c>
      <c r="CZ61">
        <f t="shared" si="91"/>
        <v>0.19131626788556902</v>
      </c>
      <c r="DA61">
        <v>6</v>
      </c>
      <c r="DB61">
        <v>0.5</v>
      </c>
      <c r="DC61" t="s">
        <v>420</v>
      </c>
      <c r="DD61">
        <v>2</v>
      </c>
      <c r="DE61">
        <v>1693504685.0999999</v>
      </c>
      <c r="DF61">
        <v>173.09800000000001</v>
      </c>
      <c r="DG61">
        <v>199.989</v>
      </c>
      <c r="DH61">
        <v>28.4101</v>
      </c>
      <c r="DI61">
        <v>23.5334</v>
      </c>
      <c r="DJ61">
        <v>175.054</v>
      </c>
      <c r="DK61">
        <v>27.920100000000001</v>
      </c>
      <c r="DL61">
        <v>500.339</v>
      </c>
      <c r="DM61">
        <v>99.5458</v>
      </c>
      <c r="DN61">
        <v>9.9330000000000002E-2</v>
      </c>
      <c r="DO61">
        <v>30.273099999999999</v>
      </c>
      <c r="DP61">
        <v>29.976600000000001</v>
      </c>
      <c r="DQ61">
        <v>999.9</v>
      </c>
      <c r="DR61">
        <v>0</v>
      </c>
      <c r="DS61">
        <v>0</v>
      </c>
      <c r="DT61">
        <v>10035</v>
      </c>
      <c r="DU61">
        <v>0</v>
      </c>
      <c r="DV61">
        <v>1603.12</v>
      </c>
      <c r="DW61">
        <v>-26.8904</v>
      </c>
      <c r="DX61">
        <v>178.16</v>
      </c>
      <c r="DY61">
        <v>204.80799999999999</v>
      </c>
      <c r="DZ61">
        <v>4.8766499999999997</v>
      </c>
      <c r="EA61">
        <v>199.989</v>
      </c>
      <c r="EB61">
        <v>23.5334</v>
      </c>
      <c r="EC61">
        <v>2.8281000000000001</v>
      </c>
      <c r="ED61">
        <v>2.34266</v>
      </c>
      <c r="EE61">
        <v>23.049099999999999</v>
      </c>
      <c r="EF61">
        <v>19.9727</v>
      </c>
      <c r="EG61">
        <v>1800.09</v>
      </c>
      <c r="EH61">
        <v>0.97800200000000004</v>
      </c>
      <c r="EI61">
        <v>2.1998199999999999E-2</v>
      </c>
      <c r="EJ61">
        <v>0</v>
      </c>
      <c r="EK61">
        <v>614.21900000000005</v>
      </c>
      <c r="EL61">
        <v>4.9995000000000003</v>
      </c>
      <c r="EM61">
        <v>11940.6</v>
      </c>
      <c r="EN61">
        <v>16660.7</v>
      </c>
      <c r="EO61">
        <v>45.186999999999998</v>
      </c>
      <c r="EP61">
        <v>46.186999999999998</v>
      </c>
      <c r="EQ61">
        <v>46.125</v>
      </c>
      <c r="ER61">
        <v>44.875</v>
      </c>
      <c r="ES61">
        <v>46.561999999999998</v>
      </c>
      <c r="ET61">
        <v>1755.6</v>
      </c>
      <c r="EU61">
        <v>39.49</v>
      </c>
      <c r="EV61">
        <v>0</v>
      </c>
      <c r="EW61">
        <v>106.2000000476837</v>
      </c>
      <c r="EX61">
        <v>0</v>
      </c>
      <c r="EY61">
        <v>614.49936000000002</v>
      </c>
      <c r="EZ61">
        <v>-1.9555384587987581</v>
      </c>
      <c r="FA61">
        <v>-37.853846209052143</v>
      </c>
      <c r="FB61">
        <v>11945.736000000001</v>
      </c>
      <c r="FC61">
        <v>15</v>
      </c>
      <c r="FD61">
        <v>1693504656.0999999</v>
      </c>
      <c r="FE61" t="s">
        <v>649</v>
      </c>
      <c r="FF61">
        <v>1693504650.0999999</v>
      </c>
      <c r="FG61">
        <v>1693504656.0999999</v>
      </c>
      <c r="FH61">
        <v>53</v>
      </c>
      <c r="FI61">
        <v>0.13600000000000001</v>
      </c>
      <c r="FJ61">
        <v>-4.0000000000000001E-3</v>
      </c>
      <c r="FK61">
        <v>-2.0099999999999998</v>
      </c>
      <c r="FL61">
        <v>0.28799999999999998</v>
      </c>
      <c r="FM61">
        <v>200</v>
      </c>
      <c r="FN61">
        <v>24</v>
      </c>
      <c r="FO61">
        <v>0.15</v>
      </c>
      <c r="FP61">
        <v>0.05</v>
      </c>
      <c r="FQ61">
        <v>21.551256817589149</v>
      </c>
      <c r="FR61">
        <v>0.60682920997761336</v>
      </c>
      <c r="FS61">
        <v>8.4383717986948104E-2</v>
      </c>
      <c r="FT61">
        <v>1</v>
      </c>
      <c r="FU61">
        <v>0.30314169044125422</v>
      </c>
      <c r="FV61">
        <v>2.648210004875088E-2</v>
      </c>
      <c r="FW61">
        <v>6.8166308144734962E-3</v>
      </c>
      <c r="FX61">
        <v>1</v>
      </c>
      <c r="FY61">
        <v>2</v>
      </c>
      <c r="FZ61">
        <v>2</v>
      </c>
      <c r="GA61" t="s">
        <v>422</v>
      </c>
      <c r="GB61">
        <v>2.9738699999999998</v>
      </c>
      <c r="GC61">
        <v>2.8113299999999999</v>
      </c>
      <c r="GD61">
        <v>4.88882E-2</v>
      </c>
      <c r="GE61">
        <v>5.4477100000000001E-2</v>
      </c>
      <c r="GF61">
        <v>0.13517199999999999</v>
      </c>
      <c r="GG61">
        <v>0.118266</v>
      </c>
      <c r="GH61">
        <v>28238.1</v>
      </c>
      <c r="GI61">
        <v>25885.5</v>
      </c>
      <c r="GJ61">
        <v>26672.9</v>
      </c>
      <c r="GK61">
        <v>25813.8</v>
      </c>
      <c r="GL61">
        <v>31355.4</v>
      </c>
      <c r="GM61">
        <v>32046.2</v>
      </c>
      <c r="GN61">
        <v>37774.300000000003</v>
      </c>
      <c r="GO61">
        <v>38181.4</v>
      </c>
      <c r="GP61">
        <v>2.0127000000000002</v>
      </c>
      <c r="GQ61">
        <v>2.0859999999999999</v>
      </c>
      <c r="GR61">
        <v>7.0944400000000005E-2</v>
      </c>
      <c r="GS61">
        <v>0</v>
      </c>
      <c r="GT61">
        <v>28.820900000000002</v>
      </c>
      <c r="GU61">
        <v>999.9</v>
      </c>
      <c r="GV61">
        <v>61.5</v>
      </c>
      <c r="GW61">
        <v>31.3</v>
      </c>
      <c r="GX61">
        <v>28.3538</v>
      </c>
      <c r="GY61">
        <v>61.4176</v>
      </c>
      <c r="GZ61">
        <v>12.728400000000001</v>
      </c>
      <c r="HA61">
        <v>1</v>
      </c>
      <c r="HB61">
        <v>5.6920699999999998E-2</v>
      </c>
      <c r="HC61">
        <v>-0.46874700000000002</v>
      </c>
      <c r="HD61">
        <v>20.307300000000001</v>
      </c>
      <c r="HE61">
        <v>5.2095000000000002</v>
      </c>
      <c r="HF61">
        <v>11.9321</v>
      </c>
      <c r="HG61">
        <v>4.9888000000000003</v>
      </c>
      <c r="HH61">
        <v>3.2909999999999999</v>
      </c>
      <c r="HI61">
        <v>9999</v>
      </c>
      <c r="HJ61">
        <v>9999</v>
      </c>
      <c r="HK61">
        <v>9999</v>
      </c>
      <c r="HL61">
        <v>999.9</v>
      </c>
      <c r="HM61">
        <v>1.8696600000000001</v>
      </c>
      <c r="HN61">
        <v>1.8760600000000001</v>
      </c>
      <c r="HO61">
        <v>1.87378</v>
      </c>
      <c r="HP61">
        <v>1.87202</v>
      </c>
      <c r="HQ61">
        <v>1.87246</v>
      </c>
      <c r="HR61">
        <v>1.86988</v>
      </c>
      <c r="HS61">
        <v>1.87578</v>
      </c>
      <c r="HT61">
        <v>1.87483</v>
      </c>
      <c r="HU61">
        <v>5</v>
      </c>
      <c r="HV61">
        <v>0</v>
      </c>
      <c r="HW61">
        <v>0</v>
      </c>
      <c r="HX61">
        <v>0</v>
      </c>
      <c r="HY61" t="s">
        <v>423</v>
      </c>
      <c r="HZ61" t="s">
        <v>424</v>
      </c>
      <c r="IA61" t="s">
        <v>425</v>
      </c>
      <c r="IB61" t="s">
        <v>425</v>
      </c>
      <c r="IC61" t="s">
        <v>425</v>
      </c>
      <c r="ID61" t="s">
        <v>425</v>
      </c>
      <c r="IE61">
        <v>0</v>
      </c>
      <c r="IF61">
        <v>100</v>
      </c>
      <c r="IG61">
        <v>100</v>
      </c>
      <c r="IH61">
        <v>-1.956</v>
      </c>
      <c r="II61">
        <v>0.49</v>
      </c>
      <c r="IJ61">
        <v>-1.542672422013512</v>
      </c>
      <c r="IK61">
        <v>-2.677719669153116E-3</v>
      </c>
      <c r="IL61">
        <v>1.9353498771248068E-6</v>
      </c>
      <c r="IM61">
        <v>-6.1862177325538213E-10</v>
      </c>
      <c r="IN61">
        <v>-0.12042438230560221</v>
      </c>
      <c r="IO61">
        <v>-1.5299015507423901E-2</v>
      </c>
      <c r="IP61">
        <v>1.742162107778985E-3</v>
      </c>
      <c r="IQ61">
        <v>-1.472690239905804E-5</v>
      </c>
      <c r="IR61">
        <v>3</v>
      </c>
      <c r="IS61">
        <v>2255</v>
      </c>
      <c r="IT61">
        <v>2</v>
      </c>
      <c r="IU61">
        <v>41</v>
      </c>
      <c r="IV61">
        <v>0.6</v>
      </c>
      <c r="IW61">
        <v>0.5</v>
      </c>
      <c r="IX61">
        <v>0.56640599999999997</v>
      </c>
      <c r="IY61">
        <v>2.48169</v>
      </c>
      <c r="IZ61">
        <v>1.5991200000000001</v>
      </c>
      <c r="JA61">
        <v>2.2717299999999998</v>
      </c>
      <c r="JB61">
        <v>1.5502899999999999</v>
      </c>
      <c r="JC61">
        <v>2.3864700000000001</v>
      </c>
      <c r="JD61">
        <v>34.395200000000003</v>
      </c>
      <c r="JE61">
        <v>16.023299999999999</v>
      </c>
      <c r="JF61">
        <v>18</v>
      </c>
      <c r="JG61">
        <v>506.36500000000001</v>
      </c>
      <c r="JH61">
        <v>523.13800000000003</v>
      </c>
      <c r="JI61">
        <v>28.439</v>
      </c>
      <c r="JJ61">
        <v>28.223700000000001</v>
      </c>
      <c r="JK61">
        <v>30.0001</v>
      </c>
      <c r="JL61">
        <v>28.215199999999999</v>
      </c>
      <c r="JM61">
        <v>28.179400000000001</v>
      </c>
      <c r="JN61">
        <v>11.380699999999999</v>
      </c>
      <c r="JO61">
        <v>27.244499999999999</v>
      </c>
      <c r="JP61">
        <v>74.632800000000003</v>
      </c>
      <c r="JQ61">
        <v>28.455400000000001</v>
      </c>
      <c r="JR61">
        <v>200</v>
      </c>
      <c r="JS61">
        <v>23.5045</v>
      </c>
      <c r="JT61">
        <v>99.609300000000005</v>
      </c>
      <c r="JU61">
        <v>99.194599999999994</v>
      </c>
    </row>
    <row r="62" spans="1:281" x14ac:dyDescent="0.25">
      <c r="A62">
        <v>46</v>
      </c>
      <c r="B62">
        <v>1693504798.0999999</v>
      </c>
      <c r="C62">
        <v>10818.5</v>
      </c>
      <c r="D62" t="s">
        <v>650</v>
      </c>
      <c r="E62" t="s">
        <v>651</v>
      </c>
      <c r="F62" t="s">
        <v>413</v>
      </c>
      <c r="G62" t="s">
        <v>565</v>
      </c>
      <c r="H62" t="s">
        <v>636</v>
      </c>
      <c r="I62" t="s">
        <v>31</v>
      </c>
      <c r="J62">
        <v>1693504798.0999999</v>
      </c>
      <c r="K62">
        <f t="shared" si="46"/>
        <v>4.5633442384273087E-3</v>
      </c>
      <c r="L62">
        <f t="shared" si="47"/>
        <v>4.5633442384273089</v>
      </c>
      <c r="M62">
        <f t="shared" si="48"/>
        <v>14.269005510530299</v>
      </c>
      <c r="N62">
        <f t="shared" si="49"/>
        <v>102.35</v>
      </c>
      <c r="O62">
        <f t="shared" si="50"/>
        <v>28.527727591888677</v>
      </c>
      <c r="P62">
        <f t="shared" si="51"/>
        <v>2.8425004379821255</v>
      </c>
      <c r="Q62">
        <f t="shared" si="52"/>
        <v>10.198145607299999</v>
      </c>
      <c r="R62">
        <f t="shared" si="53"/>
        <v>0.33284630772920659</v>
      </c>
      <c r="S62">
        <f t="shared" si="54"/>
        <v>2.9091666547678576</v>
      </c>
      <c r="T62">
        <f t="shared" si="55"/>
        <v>0.31304461824764668</v>
      </c>
      <c r="U62">
        <f t="shared" si="56"/>
        <v>0.19733374627197353</v>
      </c>
      <c r="V62">
        <f t="shared" si="57"/>
        <v>344.37320065815953</v>
      </c>
      <c r="W62">
        <f t="shared" si="58"/>
        <v>31.169500371938028</v>
      </c>
      <c r="X62">
        <f t="shared" si="59"/>
        <v>29.966699999999999</v>
      </c>
      <c r="Y62">
        <f t="shared" si="60"/>
        <v>4.252307493706776</v>
      </c>
      <c r="Z62">
        <f t="shared" si="61"/>
        <v>65.707273891786173</v>
      </c>
      <c r="AA62">
        <f t="shared" si="62"/>
        <v>2.8516047772337996</v>
      </c>
      <c r="AB62">
        <f t="shared" si="63"/>
        <v>4.3398616444354845</v>
      </c>
      <c r="AC62">
        <f t="shared" si="64"/>
        <v>1.4007027164729764</v>
      </c>
      <c r="AD62">
        <f t="shared" si="65"/>
        <v>-201.24348091464432</v>
      </c>
      <c r="AE62">
        <f t="shared" si="66"/>
        <v>55.709210204143247</v>
      </c>
      <c r="AF62">
        <f t="shared" si="67"/>
        <v>4.2640076704625285</v>
      </c>
      <c r="AG62">
        <f t="shared" si="68"/>
        <v>203.10293761812102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51707.326141065605</v>
      </c>
      <c r="AM62" t="s">
        <v>417</v>
      </c>
      <c r="AN62">
        <v>10238.9</v>
      </c>
      <c r="AO62">
        <v>302.21199999999999</v>
      </c>
      <c r="AP62">
        <v>4052.3</v>
      </c>
      <c r="AQ62">
        <f t="shared" si="72"/>
        <v>0.92542210596451402</v>
      </c>
      <c r="AR62">
        <v>-0.32343011824092421</v>
      </c>
      <c r="AS62" t="s">
        <v>652</v>
      </c>
      <c r="AT62">
        <v>10483.299999999999</v>
      </c>
      <c r="AU62">
        <v>617.08004000000005</v>
      </c>
      <c r="AV62">
        <v>732.29982812154071</v>
      </c>
      <c r="AW62">
        <f t="shared" si="73"/>
        <v>0.15733963562042175</v>
      </c>
      <c r="AX62">
        <v>0.5</v>
      </c>
      <c r="AY62">
        <f t="shared" si="74"/>
        <v>1513.2015003290796</v>
      </c>
      <c r="AZ62">
        <f t="shared" si="75"/>
        <v>14.269005510530299</v>
      </c>
      <c r="BA62">
        <f t="shared" si="76"/>
        <v>119.04328634102644</v>
      </c>
      <c r="BB62">
        <f t="shared" si="77"/>
        <v>9.6434186891816917E-3</v>
      </c>
      <c r="BC62">
        <f t="shared" si="78"/>
        <v>4.5336623666767206</v>
      </c>
      <c r="BD62">
        <f t="shared" si="79"/>
        <v>225.84972539860638</v>
      </c>
      <c r="BE62" t="s">
        <v>653</v>
      </c>
      <c r="BF62">
        <v>528.16999999999996</v>
      </c>
      <c r="BG62">
        <f t="shared" si="80"/>
        <v>528.16999999999996</v>
      </c>
      <c r="BH62">
        <f t="shared" si="81"/>
        <v>0.27875170836126573</v>
      </c>
      <c r="BI62">
        <f t="shared" si="82"/>
        <v>0.56444366402414126</v>
      </c>
      <c r="BJ62">
        <f t="shared" si="83"/>
        <v>0.94207653289704396</v>
      </c>
      <c r="BK62">
        <f t="shared" si="84"/>
        <v>0.26789827702117652</v>
      </c>
      <c r="BL62">
        <f t="shared" si="85"/>
        <v>0.88531260383181931</v>
      </c>
      <c r="BM62">
        <f t="shared" si="86"/>
        <v>0.48311757098419622</v>
      </c>
      <c r="BN62">
        <f t="shared" si="87"/>
        <v>0.51688242901580383</v>
      </c>
      <c r="BO62">
        <v>5778</v>
      </c>
      <c r="BP62">
        <v>290.00000000000011</v>
      </c>
      <c r="BQ62">
        <v>702.13</v>
      </c>
      <c r="BR62">
        <v>295</v>
      </c>
      <c r="BS62">
        <v>10483.299999999999</v>
      </c>
      <c r="BT62">
        <v>702.47</v>
      </c>
      <c r="BU62">
        <v>-0.34</v>
      </c>
      <c r="BV62">
        <v>300.00000000000011</v>
      </c>
      <c r="BW62">
        <v>38.200000000000003</v>
      </c>
      <c r="BX62">
        <v>732.29982812154071</v>
      </c>
      <c r="BY62">
        <v>0.9680802660855572</v>
      </c>
      <c r="BZ62">
        <v>-31.269660739757111</v>
      </c>
      <c r="CA62">
        <v>0.83182317104754877</v>
      </c>
      <c r="CB62">
        <v>0.98057089836343614</v>
      </c>
      <c r="CC62">
        <v>-1.139230634037821E-2</v>
      </c>
      <c r="CD62">
        <v>289.99999999999989</v>
      </c>
      <c r="CE62">
        <v>699.85</v>
      </c>
      <c r="CF62">
        <v>675</v>
      </c>
      <c r="CG62">
        <v>10469.200000000001</v>
      </c>
      <c r="CH62">
        <v>702.43</v>
      </c>
      <c r="CI62">
        <v>-2.58</v>
      </c>
      <c r="CW62">
        <f t="shared" si="88"/>
        <v>1800.02</v>
      </c>
      <c r="CX62">
        <f t="shared" si="89"/>
        <v>1513.2015003290796</v>
      </c>
      <c r="CY62">
        <f t="shared" si="90"/>
        <v>0.84065815953660494</v>
      </c>
      <c r="CZ62">
        <f t="shared" si="91"/>
        <v>0.19131631907321003</v>
      </c>
      <c r="DA62">
        <v>6</v>
      </c>
      <c r="DB62">
        <v>0.5</v>
      </c>
      <c r="DC62" t="s">
        <v>420</v>
      </c>
      <c r="DD62">
        <v>2</v>
      </c>
      <c r="DE62">
        <v>1693504798.0999999</v>
      </c>
      <c r="DF62">
        <v>102.35</v>
      </c>
      <c r="DG62">
        <v>120.01900000000001</v>
      </c>
      <c r="DH62">
        <v>28.6191</v>
      </c>
      <c r="DI62">
        <v>23.304099999999998</v>
      </c>
      <c r="DJ62">
        <v>104.167</v>
      </c>
      <c r="DK62">
        <v>28.12</v>
      </c>
      <c r="DL62">
        <v>500.404</v>
      </c>
      <c r="DM62">
        <v>99.539400000000001</v>
      </c>
      <c r="DN62">
        <v>0.100518</v>
      </c>
      <c r="DO62">
        <v>30.321899999999999</v>
      </c>
      <c r="DP62">
        <v>29.966699999999999</v>
      </c>
      <c r="DQ62">
        <v>999.9</v>
      </c>
      <c r="DR62">
        <v>0</v>
      </c>
      <c r="DS62">
        <v>0</v>
      </c>
      <c r="DT62">
        <v>9930</v>
      </c>
      <c r="DU62">
        <v>0</v>
      </c>
      <c r="DV62">
        <v>1598.44</v>
      </c>
      <c r="DW62">
        <v>-17.6691</v>
      </c>
      <c r="DX62">
        <v>105.36499999999999</v>
      </c>
      <c r="DY62">
        <v>122.88200000000001</v>
      </c>
      <c r="DZ62">
        <v>5.3149600000000001</v>
      </c>
      <c r="EA62">
        <v>120.01900000000001</v>
      </c>
      <c r="EB62">
        <v>23.304099999999998</v>
      </c>
      <c r="EC62">
        <v>2.8487300000000002</v>
      </c>
      <c r="ED62">
        <v>2.31968</v>
      </c>
      <c r="EE62">
        <v>23.1692</v>
      </c>
      <c r="EF62">
        <v>19.813700000000001</v>
      </c>
      <c r="EG62">
        <v>1800.02</v>
      </c>
      <c r="EH62">
        <v>0.97800200000000004</v>
      </c>
      <c r="EI62">
        <v>2.1998199999999999E-2</v>
      </c>
      <c r="EJ62">
        <v>0</v>
      </c>
      <c r="EK62">
        <v>616.77800000000002</v>
      </c>
      <c r="EL62">
        <v>4.9995000000000003</v>
      </c>
      <c r="EM62">
        <v>11983</v>
      </c>
      <c r="EN62">
        <v>16660</v>
      </c>
      <c r="EO62">
        <v>45.25</v>
      </c>
      <c r="EP62">
        <v>46.186999999999998</v>
      </c>
      <c r="EQ62">
        <v>46.125</v>
      </c>
      <c r="ER62">
        <v>44.936999999999998</v>
      </c>
      <c r="ES62">
        <v>46.625</v>
      </c>
      <c r="ET62">
        <v>1755.53</v>
      </c>
      <c r="EU62">
        <v>39.49</v>
      </c>
      <c r="EV62">
        <v>0</v>
      </c>
      <c r="EW62">
        <v>111</v>
      </c>
      <c r="EX62">
        <v>0</v>
      </c>
      <c r="EY62">
        <v>617.08004000000005</v>
      </c>
      <c r="EZ62">
        <v>-0.79946154693959048</v>
      </c>
      <c r="FA62">
        <v>-13.915384588220769</v>
      </c>
      <c r="FB62">
        <v>11986.371999999999</v>
      </c>
      <c r="FC62">
        <v>15</v>
      </c>
      <c r="FD62">
        <v>1693504768.0999999</v>
      </c>
      <c r="FE62" t="s">
        <v>654</v>
      </c>
      <c r="FF62">
        <v>1693504753.5999999</v>
      </c>
      <c r="FG62">
        <v>1693504768.0999999</v>
      </c>
      <c r="FH62">
        <v>54</v>
      </c>
      <c r="FI62">
        <v>-1.6E-2</v>
      </c>
      <c r="FJ62">
        <v>0</v>
      </c>
      <c r="FK62">
        <v>-1.857</v>
      </c>
      <c r="FL62">
        <v>0.27500000000000002</v>
      </c>
      <c r="FM62">
        <v>120</v>
      </c>
      <c r="FN62">
        <v>23</v>
      </c>
      <c r="FO62">
        <v>0.26</v>
      </c>
      <c r="FP62">
        <v>0.03</v>
      </c>
      <c r="FQ62">
        <v>14.10923904196637</v>
      </c>
      <c r="FR62">
        <v>0.6996625959590097</v>
      </c>
      <c r="FS62">
        <v>7.5953144294738845E-2</v>
      </c>
      <c r="FT62">
        <v>1</v>
      </c>
      <c r="FU62">
        <v>0.336068801308196</v>
      </c>
      <c r="FV62">
        <v>1.6843386554773181E-2</v>
      </c>
      <c r="FW62">
        <v>4.969310184086943E-3</v>
      </c>
      <c r="FX62">
        <v>1</v>
      </c>
      <c r="FY62">
        <v>2</v>
      </c>
      <c r="FZ62">
        <v>2</v>
      </c>
      <c r="GA62" t="s">
        <v>422</v>
      </c>
      <c r="GB62">
        <v>2.9740600000000001</v>
      </c>
      <c r="GC62">
        <v>2.8116099999999999</v>
      </c>
      <c r="GD62">
        <v>3.0080300000000001E-2</v>
      </c>
      <c r="GE62">
        <v>3.4036900000000002E-2</v>
      </c>
      <c r="GF62">
        <v>0.13584499999999999</v>
      </c>
      <c r="GG62">
        <v>0.11745800000000001</v>
      </c>
      <c r="GH62">
        <v>28798.5</v>
      </c>
      <c r="GI62">
        <v>26448.7</v>
      </c>
      <c r="GJ62">
        <v>26674.799999999999</v>
      </c>
      <c r="GK62">
        <v>25817.3</v>
      </c>
      <c r="GL62">
        <v>31331.599999999999</v>
      </c>
      <c r="GM62">
        <v>32078.5</v>
      </c>
      <c r="GN62">
        <v>37777.800000000003</v>
      </c>
      <c r="GO62">
        <v>38186.699999999997</v>
      </c>
      <c r="GP62">
        <v>2.0133000000000001</v>
      </c>
      <c r="GQ62">
        <v>2.0865999999999998</v>
      </c>
      <c r="GR62">
        <v>6.1824900000000002E-2</v>
      </c>
      <c r="GS62">
        <v>0</v>
      </c>
      <c r="GT62">
        <v>28.959700000000002</v>
      </c>
      <c r="GU62">
        <v>999.9</v>
      </c>
      <c r="GV62">
        <v>61.5</v>
      </c>
      <c r="GW62">
        <v>31.2</v>
      </c>
      <c r="GX62">
        <v>28.193999999999999</v>
      </c>
      <c r="GY62">
        <v>61.517600000000002</v>
      </c>
      <c r="GZ62">
        <v>13.3293</v>
      </c>
      <c r="HA62">
        <v>1</v>
      </c>
      <c r="HB62">
        <v>5.4654500000000002E-2</v>
      </c>
      <c r="HC62">
        <v>-2.3237299999999999</v>
      </c>
      <c r="HD62">
        <v>20.290199999999999</v>
      </c>
      <c r="HE62">
        <v>5.2100999999999997</v>
      </c>
      <c r="HF62">
        <v>11.9321</v>
      </c>
      <c r="HG62">
        <v>4.9888000000000003</v>
      </c>
      <c r="HH62">
        <v>3.2909999999999999</v>
      </c>
      <c r="HI62">
        <v>9999</v>
      </c>
      <c r="HJ62">
        <v>9999</v>
      </c>
      <c r="HK62">
        <v>9999</v>
      </c>
      <c r="HL62">
        <v>999.9</v>
      </c>
      <c r="HM62">
        <v>1.8696600000000001</v>
      </c>
      <c r="HN62">
        <v>1.8760699999999999</v>
      </c>
      <c r="HO62">
        <v>1.87378</v>
      </c>
      <c r="HP62">
        <v>1.8720600000000001</v>
      </c>
      <c r="HQ62">
        <v>1.87246</v>
      </c>
      <c r="HR62">
        <v>1.86992</v>
      </c>
      <c r="HS62">
        <v>1.87578</v>
      </c>
      <c r="HT62">
        <v>1.8748499999999999</v>
      </c>
      <c r="HU62">
        <v>5</v>
      </c>
      <c r="HV62">
        <v>0</v>
      </c>
      <c r="HW62">
        <v>0</v>
      </c>
      <c r="HX62">
        <v>0</v>
      </c>
      <c r="HY62" t="s">
        <v>423</v>
      </c>
      <c r="HZ62" t="s">
        <v>424</v>
      </c>
      <c r="IA62" t="s">
        <v>425</v>
      </c>
      <c r="IB62" t="s">
        <v>425</v>
      </c>
      <c r="IC62" t="s">
        <v>425</v>
      </c>
      <c r="ID62" t="s">
        <v>425</v>
      </c>
      <c r="IE62">
        <v>0</v>
      </c>
      <c r="IF62">
        <v>100</v>
      </c>
      <c r="IG62">
        <v>100</v>
      </c>
      <c r="IH62">
        <v>-1.8169999999999999</v>
      </c>
      <c r="II62">
        <v>0.49909999999999999</v>
      </c>
      <c r="IJ62">
        <v>-1.558350096310811</v>
      </c>
      <c r="IK62">
        <v>-2.677719669153116E-3</v>
      </c>
      <c r="IL62">
        <v>1.9353498771248068E-6</v>
      </c>
      <c r="IM62">
        <v>-6.1862177325538213E-10</v>
      </c>
      <c r="IN62">
        <v>-0.1208372638569046</v>
      </c>
      <c r="IO62">
        <v>-1.5299015507423901E-2</v>
      </c>
      <c r="IP62">
        <v>1.742162107778985E-3</v>
      </c>
      <c r="IQ62">
        <v>-1.472690239905804E-5</v>
      </c>
      <c r="IR62">
        <v>3</v>
      </c>
      <c r="IS62">
        <v>2255</v>
      </c>
      <c r="IT62">
        <v>2</v>
      </c>
      <c r="IU62">
        <v>41</v>
      </c>
      <c r="IV62">
        <v>0.7</v>
      </c>
      <c r="IW62">
        <v>0.5</v>
      </c>
      <c r="IX62">
        <v>0.401611</v>
      </c>
      <c r="IY62">
        <v>2.50122</v>
      </c>
      <c r="IZ62">
        <v>1.5991200000000001</v>
      </c>
      <c r="JA62">
        <v>2.2717299999999998</v>
      </c>
      <c r="JB62">
        <v>1.5502899999999999</v>
      </c>
      <c r="JC62">
        <v>2.4267599999999998</v>
      </c>
      <c r="JD62">
        <v>34.372500000000002</v>
      </c>
      <c r="JE62">
        <v>15.997</v>
      </c>
      <c r="JF62">
        <v>18</v>
      </c>
      <c r="JG62">
        <v>506.57499999999999</v>
      </c>
      <c r="JH62">
        <v>523.36599999999999</v>
      </c>
      <c r="JI62">
        <v>27.6678</v>
      </c>
      <c r="JJ62">
        <v>28.1998</v>
      </c>
      <c r="JK62">
        <v>29.999600000000001</v>
      </c>
      <c r="JL62">
        <v>28.1953</v>
      </c>
      <c r="JM62">
        <v>28.160399999999999</v>
      </c>
      <c r="JN62">
        <v>8.0806900000000006</v>
      </c>
      <c r="JO62">
        <v>27.3964</v>
      </c>
      <c r="JP62">
        <v>74.830100000000002</v>
      </c>
      <c r="JQ62">
        <v>28.1739</v>
      </c>
      <c r="JR62">
        <v>120</v>
      </c>
      <c r="JS62">
        <v>23.268899999999999</v>
      </c>
      <c r="JT62">
        <v>99.617599999999996</v>
      </c>
      <c r="JU62">
        <v>99.208200000000005</v>
      </c>
    </row>
    <row r="63" spans="1:281" x14ac:dyDescent="0.25">
      <c r="A63">
        <v>47</v>
      </c>
      <c r="B63">
        <v>1693504925.5999999</v>
      </c>
      <c r="C63">
        <v>10946</v>
      </c>
      <c r="D63" t="s">
        <v>655</v>
      </c>
      <c r="E63" t="s">
        <v>656</v>
      </c>
      <c r="F63" t="s">
        <v>413</v>
      </c>
      <c r="G63" t="s">
        <v>565</v>
      </c>
      <c r="H63" t="s">
        <v>636</v>
      </c>
      <c r="I63" t="s">
        <v>31</v>
      </c>
      <c r="J63">
        <v>1693504925.5999999</v>
      </c>
      <c r="K63">
        <f t="shared" si="46"/>
        <v>4.998680446499525E-3</v>
      </c>
      <c r="L63">
        <f t="shared" si="47"/>
        <v>4.9986804464995247</v>
      </c>
      <c r="M63">
        <f t="shared" si="48"/>
        <v>8.8876297140243885</v>
      </c>
      <c r="N63">
        <f t="shared" si="49"/>
        <v>58.934600000000003</v>
      </c>
      <c r="O63">
        <f t="shared" si="50"/>
        <v>16.974270387561724</v>
      </c>
      <c r="P63">
        <f t="shared" si="51"/>
        <v>1.6913922952251754</v>
      </c>
      <c r="Q63">
        <f t="shared" si="52"/>
        <v>5.8725073942042005</v>
      </c>
      <c r="R63">
        <f t="shared" si="53"/>
        <v>0.36665790728840342</v>
      </c>
      <c r="S63">
        <f t="shared" si="54"/>
        <v>2.9276668270676853</v>
      </c>
      <c r="T63">
        <f t="shared" si="55"/>
        <v>0.34292402146459816</v>
      </c>
      <c r="U63">
        <f t="shared" si="56"/>
        <v>0.21633175646920277</v>
      </c>
      <c r="V63">
        <f t="shared" si="57"/>
        <v>344.34660065821072</v>
      </c>
      <c r="W63">
        <f t="shared" si="58"/>
        <v>31.040849192013376</v>
      </c>
      <c r="X63">
        <f t="shared" si="59"/>
        <v>29.932200000000002</v>
      </c>
      <c r="Y63">
        <f t="shared" si="60"/>
        <v>4.2438861063191586</v>
      </c>
      <c r="Z63">
        <f t="shared" si="61"/>
        <v>65.549725883807298</v>
      </c>
      <c r="AA63">
        <f t="shared" si="62"/>
        <v>2.8430562177640004</v>
      </c>
      <c r="AB63">
        <f t="shared" si="63"/>
        <v>4.3372511165089689</v>
      </c>
      <c r="AC63">
        <f t="shared" si="64"/>
        <v>1.4008298885551582</v>
      </c>
      <c r="AD63">
        <f t="shared" si="65"/>
        <v>-220.44180769062905</v>
      </c>
      <c r="AE63">
        <f t="shared" si="66"/>
        <v>59.851553013546635</v>
      </c>
      <c r="AF63">
        <f t="shared" si="67"/>
        <v>4.5511029879642644</v>
      </c>
      <c r="AG63">
        <f t="shared" si="68"/>
        <v>188.30744896909258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52236.2332628453</v>
      </c>
      <c r="AM63" t="s">
        <v>417</v>
      </c>
      <c r="AN63">
        <v>10238.9</v>
      </c>
      <c r="AO63">
        <v>302.21199999999999</v>
      </c>
      <c r="AP63">
        <v>4052.3</v>
      </c>
      <c r="AQ63">
        <f t="shared" si="72"/>
        <v>0.92542210596451402</v>
      </c>
      <c r="AR63">
        <v>-0.32343011824092421</v>
      </c>
      <c r="AS63" t="s">
        <v>657</v>
      </c>
      <c r="AT63">
        <v>10485.200000000001</v>
      </c>
      <c r="AU63">
        <v>620.64369230769228</v>
      </c>
      <c r="AV63">
        <v>695.30186973007835</v>
      </c>
      <c r="AW63">
        <f t="shared" si="73"/>
        <v>0.10737520014345558</v>
      </c>
      <c r="AX63">
        <v>0.5</v>
      </c>
      <c r="AY63">
        <f t="shared" si="74"/>
        <v>1513.0839003291053</v>
      </c>
      <c r="AZ63">
        <f t="shared" si="75"/>
        <v>8.8876297140243885</v>
      </c>
      <c r="BA63">
        <f t="shared" si="76"/>
        <v>81.233843315839039</v>
      </c>
      <c r="BB63">
        <f t="shared" si="77"/>
        <v>6.0876067944823477E-3</v>
      </c>
      <c r="BC63">
        <f t="shared" si="78"/>
        <v>4.8281160693169642</v>
      </c>
      <c r="BD63">
        <f t="shared" si="79"/>
        <v>222.20314991205277</v>
      </c>
      <c r="BE63" t="s">
        <v>658</v>
      </c>
      <c r="BF63">
        <v>537.89</v>
      </c>
      <c r="BG63">
        <f t="shared" si="80"/>
        <v>537.89</v>
      </c>
      <c r="BH63">
        <f t="shared" si="81"/>
        <v>0.22639356599341076</v>
      </c>
      <c r="BI63">
        <f t="shared" si="82"/>
        <v>0.47428556404549421</v>
      </c>
      <c r="BJ63">
        <f t="shared" si="83"/>
        <v>0.95520958859948646</v>
      </c>
      <c r="BK63">
        <f t="shared" si="84"/>
        <v>0.18992648544632132</v>
      </c>
      <c r="BL63">
        <f t="shared" si="85"/>
        <v>0.89517849454997356</v>
      </c>
      <c r="BM63">
        <f t="shared" si="86"/>
        <v>0.41104657181943133</v>
      </c>
      <c r="BN63">
        <f t="shared" si="87"/>
        <v>0.58895342818056862</v>
      </c>
      <c r="BO63">
        <v>5780</v>
      </c>
      <c r="BP63">
        <v>290.00000000000011</v>
      </c>
      <c r="BQ63">
        <v>675.88</v>
      </c>
      <c r="BR63">
        <v>275</v>
      </c>
      <c r="BS63">
        <v>10485.200000000001</v>
      </c>
      <c r="BT63">
        <v>675.86</v>
      </c>
      <c r="BU63">
        <v>0.02</v>
      </c>
      <c r="BV63">
        <v>300.00000000000011</v>
      </c>
      <c r="BW63">
        <v>38.200000000000003</v>
      </c>
      <c r="BX63">
        <v>695.30186973007835</v>
      </c>
      <c r="BY63">
        <v>0.82167840350738164</v>
      </c>
      <c r="BZ63">
        <v>-20.381254113831449</v>
      </c>
      <c r="CA63">
        <v>0.70606668596219901</v>
      </c>
      <c r="CB63">
        <v>0.96748875568869352</v>
      </c>
      <c r="CC63">
        <v>-1.139289210233593E-2</v>
      </c>
      <c r="CD63">
        <v>289.99999999999989</v>
      </c>
      <c r="CE63">
        <v>673.47</v>
      </c>
      <c r="CF63">
        <v>675</v>
      </c>
      <c r="CG63">
        <v>10469.799999999999</v>
      </c>
      <c r="CH63">
        <v>675.84</v>
      </c>
      <c r="CI63">
        <v>-2.37</v>
      </c>
      <c r="CW63">
        <f t="shared" si="88"/>
        <v>1799.88</v>
      </c>
      <c r="CX63">
        <f t="shared" si="89"/>
        <v>1513.0839003291053</v>
      </c>
      <c r="CY63">
        <f t="shared" si="90"/>
        <v>0.84065821073021829</v>
      </c>
      <c r="CZ63">
        <f t="shared" si="91"/>
        <v>0.19131642146043665</v>
      </c>
      <c r="DA63">
        <v>6</v>
      </c>
      <c r="DB63">
        <v>0.5</v>
      </c>
      <c r="DC63" t="s">
        <v>420</v>
      </c>
      <c r="DD63">
        <v>2</v>
      </c>
      <c r="DE63">
        <v>1693504925.5999999</v>
      </c>
      <c r="DF63">
        <v>58.934600000000003</v>
      </c>
      <c r="DG63">
        <v>69.948599999999999</v>
      </c>
      <c r="DH63">
        <v>28.532</v>
      </c>
      <c r="DI63">
        <v>22.7072</v>
      </c>
      <c r="DJ63">
        <v>60.668399999999998</v>
      </c>
      <c r="DK63">
        <v>28.044499999999999</v>
      </c>
      <c r="DL63">
        <v>500.21199999999999</v>
      </c>
      <c r="DM63">
        <v>99.544300000000007</v>
      </c>
      <c r="DN63">
        <v>0.100177</v>
      </c>
      <c r="DO63">
        <v>30.311399999999999</v>
      </c>
      <c r="DP63">
        <v>29.932200000000002</v>
      </c>
      <c r="DQ63">
        <v>999.9</v>
      </c>
      <c r="DR63">
        <v>0</v>
      </c>
      <c r="DS63">
        <v>0</v>
      </c>
      <c r="DT63">
        <v>10035</v>
      </c>
      <c r="DU63">
        <v>0</v>
      </c>
      <c r="DV63">
        <v>1597.5</v>
      </c>
      <c r="DW63">
        <v>-11.013999999999999</v>
      </c>
      <c r="DX63">
        <v>60.665500000000002</v>
      </c>
      <c r="DY63">
        <v>71.573800000000006</v>
      </c>
      <c r="DZ63">
        <v>5.8247200000000001</v>
      </c>
      <c r="EA63">
        <v>69.948599999999999</v>
      </c>
      <c r="EB63">
        <v>22.7072</v>
      </c>
      <c r="EC63">
        <v>2.8401900000000002</v>
      </c>
      <c r="ED63">
        <v>2.2603800000000001</v>
      </c>
      <c r="EE63">
        <v>23.119599999999998</v>
      </c>
      <c r="EF63">
        <v>19.396799999999999</v>
      </c>
      <c r="EG63">
        <v>1799.88</v>
      </c>
      <c r="EH63">
        <v>0.97799800000000003</v>
      </c>
      <c r="EI63">
        <v>2.2001799999999998E-2</v>
      </c>
      <c r="EJ63">
        <v>0</v>
      </c>
      <c r="EK63">
        <v>620.24099999999999</v>
      </c>
      <c r="EL63">
        <v>4.9995000000000003</v>
      </c>
      <c r="EM63">
        <v>12040.8</v>
      </c>
      <c r="EN63">
        <v>16658.7</v>
      </c>
      <c r="EO63">
        <v>45.186999999999998</v>
      </c>
      <c r="EP63">
        <v>46.125</v>
      </c>
      <c r="EQ63">
        <v>46.061999999999998</v>
      </c>
      <c r="ER63">
        <v>44.75</v>
      </c>
      <c r="ES63">
        <v>46.561999999999998</v>
      </c>
      <c r="ET63">
        <v>1755.39</v>
      </c>
      <c r="EU63">
        <v>39.49</v>
      </c>
      <c r="EV63">
        <v>0</v>
      </c>
      <c r="EW63">
        <v>125.5999999046326</v>
      </c>
      <c r="EX63">
        <v>0</v>
      </c>
      <c r="EY63">
        <v>620.64369230769228</v>
      </c>
      <c r="EZ63">
        <v>-0.1191111146906671</v>
      </c>
      <c r="FA63">
        <v>-10.270085511180559</v>
      </c>
      <c r="FB63">
        <v>12049.015384615381</v>
      </c>
      <c r="FC63">
        <v>15</v>
      </c>
      <c r="FD63">
        <v>1693504896.5999999</v>
      </c>
      <c r="FE63" t="s">
        <v>659</v>
      </c>
      <c r="FF63">
        <v>1693504876.5999999</v>
      </c>
      <c r="FG63">
        <v>1693504896.5999999</v>
      </c>
      <c r="FH63">
        <v>55</v>
      </c>
      <c r="FI63">
        <v>-0.02</v>
      </c>
      <c r="FJ63">
        <v>-8.0000000000000002E-3</v>
      </c>
      <c r="FK63">
        <v>-1.7609999999999999</v>
      </c>
      <c r="FL63">
        <v>0.24099999999999999</v>
      </c>
      <c r="FM63">
        <v>70</v>
      </c>
      <c r="FN63">
        <v>23</v>
      </c>
      <c r="FO63">
        <v>0.26</v>
      </c>
      <c r="FP63">
        <v>0.03</v>
      </c>
      <c r="FQ63">
        <v>8.9068885351466562</v>
      </c>
      <c r="FR63">
        <v>-0.3953443731885638</v>
      </c>
      <c r="FS63">
        <v>5.9895985645823678E-2</v>
      </c>
      <c r="FT63">
        <v>1</v>
      </c>
      <c r="FU63">
        <v>0.36972625274228549</v>
      </c>
      <c r="FV63">
        <v>2.3363323343953479E-2</v>
      </c>
      <c r="FW63">
        <v>5.2927797944504846E-3</v>
      </c>
      <c r="FX63">
        <v>1</v>
      </c>
      <c r="FY63">
        <v>2</v>
      </c>
      <c r="FZ63">
        <v>2</v>
      </c>
      <c r="GA63" t="s">
        <v>422</v>
      </c>
      <c r="GB63">
        <v>2.9735900000000002</v>
      </c>
      <c r="GC63">
        <v>2.8121800000000001</v>
      </c>
      <c r="GD63">
        <v>1.7758900000000001E-2</v>
      </c>
      <c r="GE63">
        <v>2.0183300000000001E-2</v>
      </c>
      <c r="GF63">
        <v>0.135603</v>
      </c>
      <c r="GG63">
        <v>0.115355</v>
      </c>
      <c r="GH63">
        <v>29165.5</v>
      </c>
      <c r="GI63">
        <v>26831.5</v>
      </c>
      <c r="GJ63">
        <v>26675.7</v>
      </c>
      <c r="GK63">
        <v>25820.6</v>
      </c>
      <c r="GL63">
        <v>31340.2</v>
      </c>
      <c r="GM63">
        <v>32158.3</v>
      </c>
      <c r="GN63">
        <v>37778.699999999997</v>
      </c>
      <c r="GO63">
        <v>38191.800000000003</v>
      </c>
      <c r="GP63">
        <v>2.0137999999999998</v>
      </c>
      <c r="GQ63">
        <v>2.0857000000000001</v>
      </c>
      <c r="GR63">
        <v>6.4790200000000006E-2</v>
      </c>
      <c r="GS63">
        <v>0</v>
      </c>
      <c r="GT63">
        <v>28.876799999999999</v>
      </c>
      <c r="GU63">
        <v>999.9</v>
      </c>
      <c r="GV63">
        <v>61.4</v>
      </c>
      <c r="GW63">
        <v>31.1</v>
      </c>
      <c r="GX63">
        <v>27.987400000000001</v>
      </c>
      <c r="GY63">
        <v>61.477600000000002</v>
      </c>
      <c r="GZ63">
        <v>13.4095</v>
      </c>
      <c r="HA63">
        <v>1</v>
      </c>
      <c r="HB63">
        <v>5.31301E-2</v>
      </c>
      <c r="HC63">
        <v>-0.77233099999999999</v>
      </c>
      <c r="HD63">
        <v>20.3064</v>
      </c>
      <c r="HE63">
        <v>5.2107000000000001</v>
      </c>
      <c r="HF63">
        <v>11.9321</v>
      </c>
      <c r="HG63">
        <v>4.9889999999999999</v>
      </c>
      <c r="HH63">
        <v>3.2909999999999999</v>
      </c>
      <c r="HI63">
        <v>9999</v>
      </c>
      <c r="HJ63">
        <v>9999</v>
      </c>
      <c r="HK63">
        <v>9999</v>
      </c>
      <c r="HL63">
        <v>999.9</v>
      </c>
      <c r="HM63">
        <v>1.8696600000000001</v>
      </c>
      <c r="HN63">
        <v>1.87598</v>
      </c>
      <c r="HO63">
        <v>1.87378</v>
      </c>
      <c r="HP63">
        <v>1.87199</v>
      </c>
      <c r="HQ63">
        <v>1.8724400000000001</v>
      </c>
      <c r="HR63">
        <v>1.8698300000000001</v>
      </c>
      <c r="HS63">
        <v>1.8757900000000001</v>
      </c>
      <c r="HT63">
        <v>1.8748499999999999</v>
      </c>
      <c r="HU63">
        <v>5</v>
      </c>
      <c r="HV63">
        <v>0</v>
      </c>
      <c r="HW63">
        <v>0</v>
      </c>
      <c r="HX63">
        <v>0</v>
      </c>
      <c r="HY63" t="s">
        <v>423</v>
      </c>
      <c r="HZ63" t="s">
        <v>424</v>
      </c>
      <c r="IA63" t="s">
        <v>425</v>
      </c>
      <c r="IB63" t="s">
        <v>425</v>
      </c>
      <c r="IC63" t="s">
        <v>425</v>
      </c>
      <c r="ID63" t="s">
        <v>425</v>
      </c>
      <c r="IE63">
        <v>0</v>
      </c>
      <c r="IF63">
        <v>100</v>
      </c>
      <c r="IG63">
        <v>100</v>
      </c>
      <c r="IH63">
        <v>-1.734</v>
      </c>
      <c r="II63">
        <v>0.48749999999999999</v>
      </c>
      <c r="IJ63">
        <v>-1.578347293345344</v>
      </c>
      <c r="IK63">
        <v>-2.677719669153116E-3</v>
      </c>
      <c r="IL63">
        <v>1.9353498771248068E-6</v>
      </c>
      <c r="IM63">
        <v>-6.1862177325538213E-10</v>
      </c>
      <c r="IN63">
        <v>-0.12886087603523269</v>
      </c>
      <c r="IO63">
        <v>-1.5299015507423901E-2</v>
      </c>
      <c r="IP63">
        <v>1.742162107778985E-3</v>
      </c>
      <c r="IQ63">
        <v>-1.472690239905804E-5</v>
      </c>
      <c r="IR63">
        <v>3</v>
      </c>
      <c r="IS63">
        <v>2255</v>
      </c>
      <c r="IT63">
        <v>2</v>
      </c>
      <c r="IU63">
        <v>41</v>
      </c>
      <c r="IV63">
        <v>0.8</v>
      </c>
      <c r="IW63">
        <v>0.5</v>
      </c>
      <c r="IX63">
        <v>0.29785200000000001</v>
      </c>
      <c r="IY63">
        <v>2.5268600000000001</v>
      </c>
      <c r="IZ63">
        <v>1.6003400000000001</v>
      </c>
      <c r="JA63">
        <v>2.2705099999999998</v>
      </c>
      <c r="JB63">
        <v>1.5502899999999999</v>
      </c>
      <c r="JC63">
        <v>2.2790499999999998</v>
      </c>
      <c r="JD63">
        <v>34.349699999999999</v>
      </c>
      <c r="JE63">
        <v>15.988300000000001</v>
      </c>
      <c r="JF63">
        <v>18</v>
      </c>
      <c r="JG63">
        <v>506.71499999999997</v>
      </c>
      <c r="JH63">
        <v>522.55700000000002</v>
      </c>
      <c r="JI63">
        <v>28.800899999999999</v>
      </c>
      <c r="JJ63">
        <v>28.173400000000001</v>
      </c>
      <c r="JK63">
        <v>30</v>
      </c>
      <c r="JL63">
        <v>28.175000000000001</v>
      </c>
      <c r="JM63">
        <v>28.1389</v>
      </c>
      <c r="JN63">
        <v>6.0119999999999996</v>
      </c>
      <c r="JO63">
        <v>28.626100000000001</v>
      </c>
      <c r="JP63">
        <v>74.692400000000006</v>
      </c>
      <c r="JQ63">
        <v>28.839200000000002</v>
      </c>
      <c r="JR63">
        <v>70</v>
      </c>
      <c r="JS63">
        <v>22.667100000000001</v>
      </c>
      <c r="JT63">
        <v>99.620400000000004</v>
      </c>
      <c r="JU63">
        <v>99.221299999999999</v>
      </c>
    </row>
    <row r="64" spans="1:281" x14ac:dyDescent="0.25">
      <c r="A64">
        <v>48</v>
      </c>
      <c r="B64">
        <v>1693505027.0999999</v>
      </c>
      <c r="C64">
        <v>11047.5</v>
      </c>
      <c r="D64" t="s">
        <v>660</v>
      </c>
      <c r="E64" t="s">
        <v>661</v>
      </c>
      <c r="F64" t="s">
        <v>413</v>
      </c>
      <c r="G64" t="s">
        <v>565</v>
      </c>
      <c r="H64" t="s">
        <v>636</v>
      </c>
      <c r="I64" t="s">
        <v>31</v>
      </c>
      <c r="J64">
        <v>1693505027.0999999</v>
      </c>
      <c r="K64">
        <f t="shared" si="46"/>
        <v>5.1621128732146845E-3</v>
      </c>
      <c r="L64">
        <f t="shared" si="47"/>
        <v>5.1621128732146842</v>
      </c>
      <c r="M64">
        <f t="shared" si="48"/>
        <v>4.017291260468137</v>
      </c>
      <c r="N64">
        <f t="shared" si="49"/>
        <v>25.057600000000001</v>
      </c>
      <c r="O64">
        <f t="shared" si="50"/>
        <v>6.5540553675722828</v>
      </c>
      <c r="P64">
        <f t="shared" si="51"/>
        <v>0.65300185661333732</v>
      </c>
      <c r="Q64">
        <f t="shared" si="52"/>
        <v>2.4965702003728003</v>
      </c>
      <c r="R64">
        <f t="shared" si="53"/>
        <v>0.37606494180118621</v>
      </c>
      <c r="S64">
        <f t="shared" si="54"/>
        <v>2.9169635087253205</v>
      </c>
      <c r="T64">
        <f t="shared" si="55"/>
        <v>0.35105705281370581</v>
      </c>
      <c r="U64">
        <f t="shared" si="56"/>
        <v>0.22151878510040035</v>
      </c>
      <c r="V64">
        <f t="shared" si="57"/>
        <v>344.38460065813763</v>
      </c>
      <c r="W64">
        <f t="shared" si="58"/>
        <v>31.164805018800578</v>
      </c>
      <c r="X64">
        <f t="shared" si="59"/>
        <v>30.052099999999999</v>
      </c>
      <c r="Y64">
        <f t="shared" si="60"/>
        <v>4.2732161528102557</v>
      </c>
      <c r="Z64">
        <f t="shared" si="61"/>
        <v>65.338233084265383</v>
      </c>
      <c r="AA64">
        <f t="shared" si="62"/>
        <v>2.8606101801842003</v>
      </c>
      <c r="AB64">
        <f t="shared" si="63"/>
        <v>4.3781566246135393</v>
      </c>
      <c r="AC64">
        <f t="shared" si="64"/>
        <v>1.4126059726260554</v>
      </c>
      <c r="AD64">
        <f t="shared" si="65"/>
        <v>-227.64917770876758</v>
      </c>
      <c r="AE64">
        <f t="shared" si="66"/>
        <v>66.552151283991677</v>
      </c>
      <c r="AF64">
        <f t="shared" si="67"/>
        <v>5.0863215198051828</v>
      </c>
      <c r="AG64">
        <f t="shared" si="68"/>
        <v>188.37389575316695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51902.784805648211</v>
      </c>
      <c r="AM64" t="s">
        <v>417</v>
      </c>
      <c r="AN64">
        <v>10238.9</v>
      </c>
      <c r="AO64">
        <v>302.21199999999999</v>
      </c>
      <c r="AP64">
        <v>4052.3</v>
      </c>
      <c r="AQ64">
        <f t="shared" si="72"/>
        <v>0.92542210596451402</v>
      </c>
      <c r="AR64">
        <v>-0.32343011824092421</v>
      </c>
      <c r="AS64" t="s">
        <v>662</v>
      </c>
      <c r="AT64">
        <v>10499.6</v>
      </c>
      <c r="AU64">
        <v>626.10507692307692</v>
      </c>
      <c r="AV64">
        <v>676.75784059647265</v>
      </c>
      <c r="AW64">
        <f t="shared" si="73"/>
        <v>7.4846216231129303E-2</v>
      </c>
      <c r="AX64">
        <v>0.5</v>
      </c>
      <c r="AY64">
        <f t="shared" si="74"/>
        <v>1513.2519003290688</v>
      </c>
      <c r="AZ64">
        <f t="shared" si="75"/>
        <v>4.017291260468137</v>
      </c>
      <c r="BA64">
        <f t="shared" si="76"/>
        <v>56.630589472098407</v>
      </c>
      <c r="BB64">
        <f t="shared" si="77"/>
        <v>2.8684724451792437E-3</v>
      </c>
      <c r="BC64">
        <f t="shared" si="78"/>
        <v>4.9878138928223317</v>
      </c>
      <c r="BD64">
        <f t="shared" si="79"/>
        <v>220.27424270559871</v>
      </c>
      <c r="BE64" t="s">
        <v>663</v>
      </c>
      <c r="BF64">
        <v>545.24</v>
      </c>
      <c r="BG64">
        <f t="shared" si="80"/>
        <v>545.24</v>
      </c>
      <c r="BH64">
        <f t="shared" si="81"/>
        <v>0.19433515610333685</v>
      </c>
      <c r="BI64">
        <f t="shared" si="82"/>
        <v>0.38513986728850119</v>
      </c>
      <c r="BJ64">
        <f t="shared" si="83"/>
        <v>0.96249911875004335</v>
      </c>
      <c r="BK64">
        <f t="shared" si="84"/>
        <v>0.13523782187176359</v>
      </c>
      <c r="BL64">
        <f t="shared" si="85"/>
        <v>0.9001234529439115</v>
      </c>
      <c r="BM64">
        <f t="shared" si="86"/>
        <v>0.33539683510054358</v>
      </c>
      <c r="BN64">
        <f t="shared" si="87"/>
        <v>0.66460316489945637</v>
      </c>
      <c r="BO64">
        <v>5782</v>
      </c>
      <c r="BP64">
        <v>290.00000000000011</v>
      </c>
      <c r="BQ64">
        <v>664.22</v>
      </c>
      <c r="BR64">
        <v>185</v>
      </c>
      <c r="BS64">
        <v>10499.6</v>
      </c>
      <c r="BT64">
        <v>663.54</v>
      </c>
      <c r="BU64">
        <v>0.68</v>
      </c>
      <c r="BV64">
        <v>300.00000000000011</v>
      </c>
      <c r="BW64">
        <v>38.200000000000003</v>
      </c>
      <c r="BX64">
        <v>676.75784059647265</v>
      </c>
      <c r="BY64">
        <v>0.8841062815387718</v>
      </c>
      <c r="BZ64">
        <v>-13.881358314320041</v>
      </c>
      <c r="CA64">
        <v>0.75970038127687878</v>
      </c>
      <c r="CB64">
        <v>0.92262444980782443</v>
      </c>
      <c r="CC64">
        <v>-1.139324849833147E-2</v>
      </c>
      <c r="CD64">
        <v>289.99999999999989</v>
      </c>
      <c r="CE64">
        <v>662.5</v>
      </c>
      <c r="CF64">
        <v>685</v>
      </c>
      <c r="CG64">
        <v>10468.700000000001</v>
      </c>
      <c r="CH64">
        <v>663.5</v>
      </c>
      <c r="CI64">
        <v>-1</v>
      </c>
      <c r="CW64">
        <f t="shared" si="88"/>
        <v>1800.08</v>
      </c>
      <c r="CX64">
        <f t="shared" si="89"/>
        <v>1513.2519003290688</v>
      </c>
      <c r="CY64">
        <f t="shared" si="90"/>
        <v>0.84065813759892272</v>
      </c>
      <c r="CZ64">
        <f t="shared" si="91"/>
        <v>0.19131627519784544</v>
      </c>
      <c r="DA64">
        <v>6</v>
      </c>
      <c r="DB64">
        <v>0.5</v>
      </c>
      <c r="DC64" t="s">
        <v>420</v>
      </c>
      <c r="DD64">
        <v>2</v>
      </c>
      <c r="DE64">
        <v>1693505027.0999999</v>
      </c>
      <c r="DF64">
        <v>25.057600000000001</v>
      </c>
      <c r="DG64">
        <v>30.031600000000001</v>
      </c>
      <c r="DH64">
        <v>28.711400000000001</v>
      </c>
      <c r="DI64">
        <v>22.697099999999999</v>
      </c>
      <c r="DJ64">
        <v>26.815799999999999</v>
      </c>
      <c r="DK64">
        <v>28.220600000000001</v>
      </c>
      <c r="DL64">
        <v>500.19799999999998</v>
      </c>
      <c r="DM64">
        <v>99.533100000000005</v>
      </c>
      <c r="DN64">
        <v>0.10015300000000001</v>
      </c>
      <c r="DO64">
        <v>30.475300000000001</v>
      </c>
      <c r="DP64">
        <v>30.052099999999999</v>
      </c>
      <c r="DQ64">
        <v>999.9</v>
      </c>
      <c r="DR64">
        <v>0</v>
      </c>
      <c r="DS64">
        <v>0</v>
      </c>
      <c r="DT64">
        <v>9975</v>
      </c>
      <c r="DU64">
        <v>0</v>
      </c>
      <c r="DV64">
        <v>1595.7</v>
      </c>
      <c r="DW64">
        <v>-4.9739800000000001</v>
      </c>
      <c r="DX64">
        <v>25.798300000000001</v>
      </c>
      <c r="DY64">
        <v>30.728999999999999</v>
      </c>
      <c r="DZ64">
        <v>6.0143199999999997</v>
      </c>
      <c r="EA64">
        <v>30.031600000000001</v>
      </c>
      <c r="EB64">
        <v>22.697099999999999</v>
      </c>
      <c r="EC64">
        <v>2.8577300000000001</v>
      </c>
      <c r="ED64">
        <v>2.2591100000000002</v>
      </c>
      <c r="EE64">
        <v>23.221399999999999</v>
      </c>
      <c r="EF64">
        <v>19.387799999999999</v>
      </c>
      <c r="EG64">
        <v>1800.08</v>
      </c>
      <c r="EH64">
        <v>0.97800200000000004</v>
      </c>
      <c r="EI64">
        <v>2.1998199999999999E-2</v>
      </c>
      <c r="EJ64">
        <v>0</v>
      </c>
      <c r="EK64">
        <v>626.21900000000005</v>
      </c>
      <c r="EL64">
        <v>4.9995000000000003</v>
      </c>
      <c r="EM64">
        <v>12141.3</v>
      </c>
      <c r="EN64">
        <v>16660.599999999999</v>
      </c>
      <c r="EO64">
        <v>45.186999999999998</v>
      </c>
      <c r="EP64">
        <v>46</v>
      </c>
      <c r="EQ64">
        <v>46</v>
      </c>
      <c r="ER64">
        <v>44.75</v>
      </c>
      <c r="ES64">
        <v>46.561999999999998</v>
      </c>
      <c r="ET64">
        <v>1755.59</v>
      </c>
      <c r="EU64">
        <v>39.49</v>
      </c>
      <c r="EV64">
        <v>0</v>
      </c>
      <c r="EW64">
        <v>99.800000190734863</v>
      </c>
      <c r="EX64">
        <v>0</v>
      </c>
      <c r="EY64">
        <v>626.10507692307692</v>
      </c>
      <c r="EZ64">
        <v>-0.1762051154742951</v>
      </c>
      <c r="FA64">
        <v>4.222222060017268</v>
      </c>
      <c r="FB64">
        <v>12144.573076923079</v>
      </c>
      <c r="FC64">
        <v>15</v>
      </c>
      <c r="FD64">
        <v>1693504998.0999999</v>
      </c>
      <c r="FE64" t="s">
        <v>664</v>
      </c>
      <c r="FF64">
        <v>1693504994.5999999</v>
      </c>
      <c r="FG64">
        <v>1693504998.0999999</v>
      </c>
      <c r="FH64">
        <v>56</v>
      </c>
      <c r="FI64">
        <v>-0.109</v>
      </c>
      <c r="FJ64">
        <v>-5.0000000000000001E-3</v>
      </c>
      <c r="FK64">
        <v>-1.7709999999999999</v>
      </c>
      <c r="FL64">
        <v>0.22900000000000001</v>
      </c>
      <c r="FM64">
        <v>30</v>
      </c>
      <c r="FN64">
        <v>23</v>
      </c>
      <c r="FO64">
        <v>0.63</v>
      </c>
      <c r="FP64">
        <v>0.03</v>
      </c>
      <c r="FQ64">
        <v>4.0168396661665033</v>
      </c>
      <c r="FR64">
        <v>9.9155468148717743E-2</v>
      </c>
      <c r="FS64">
        <v>4.1087960556687127E-2</v>
      </c>
      <c r="FT64">
        <v>1</v>
      </c>
      <c r="FU64">
        <v>0.37885281300925339</v>
      </c>
      <c r="FV64">
        <v>3.445018082272313E-2</v>
      </c>
      <c r="FW64">
        <v>6.1083844702575739E-3</v>
      </c>
      <c r="FX64">
        <v>1</v>
      </c>
      <c r="FY64">
        <v>2</v>
      </c>
      <c r="FZ64">
        <v>2</v>
      </c>
      <c r="GA64" t="s">
        <v>422</v>
      </c>
      <c r="GB64">
        <v>2.9735499999999999</v>
      </c>
      <c r="GC64">
        <v>2.8116400000000001</v>
      </c>
      <c r="GD64">
        <v>7.8875899999999999E-3</v>
      </c>
      <c r="GE64">
        <v>8.7202400000000006E-3</v>
      </c>
      <c r="GF64">
        <v>0.136185</v>
      </c>
      <c r="GG64">
        <v>0.11530899999999999</v>
      </c>
      <c r="GH64">
        <v>29460.400000000001</v>
      </c>
      <c r="GI64">
        <v>27146.9</v>
      </c>
      <c r="GJ64">
        <v>26677.4</v>
      </c>
      <c r="GK64">
        <v>25822</v>
      </c>
      <c r="GL64">
        <v>31319.1</v>
      </c>
      <c r="GM64">
        <v>32160.1</v>
      </c>
      <c r="GN64">
        <v>37780.400000000001</v>
      </c>
      <c r="GO64">
        <v>38192.9</v>
      </c>
      <c r="GP64">
        <v>2.0135999999999998</v>
      </c>
      <c r="GQ64">
        <v>2.0865999999999998</v>
      </c>
      <c r="GR64">
        <v>6.63102E-2</v>
      </c>
      <c r="GS64">
        <v>0</v>
      </c>
      <c r="GT64">
        <v>28.972100000000001</v>
      </c>
      <c r="GU64">
        <v>999.9</v>
      </c>
      <c r="GV64">
        <v>61.3</v>
      </c>
      <c r="GW64">
        <v>31</v>
      </c>
      <c r="GX64">
        <v>27.7834</v>
      </c>
      <c r="GY64">
        <v>61.0276</v>
      </c>
      <c r="GZ64">
        <v>12.712300000000001</v>
      </c>
      <c r="HA64">
        <v>1</v>
      </c>
      <c r="HB64">
        <v>5.2642300000000003E-2</v>
      </c>
      <c r="HC64">
        <v>0.175174</v>
      </c>
      <c r="HD64">
        <v>20.307700000000001</v>
      </c>
      <c r="HE64">
        <v>5.2107000000000001</v>
      </c>
      <c r="HF64">
        <v>11.9321</v>
      </c>
      <c r="HG64">
        <v>4.9892000000000003</v>
      </c>
      <c r="HH64">
        <v>3.2909999999999999</v>
      </c>
      <c r="HI64">
        <v>9999</v>
      </c>
      <c r="HJ64">
        <v>9999</v>
      </c>
      <c r="HK64">
        <v>9999</v>
      </c>
      <c r="HL64">
        <v>999.9</v>
      </c>
      <c r="HM64">
        <v>1.8696600000000001</v>
      </c>
      <c r="HN64">
        <v>1.8760699999999999</v>
      </c>
      <c r="HO64">
        <v>1.87378</v>
      </c>
      <c r="HP64">
        <v>1.87198</v>
      </c>
      <c r="HQ64">
        <v>1.87243</v>
      </c>
      <c r="HR64">
        <v>1.86981</v>
      </c>
      <c r="HS64">
        <v>1.8757600000000001</v>
      </c>
      <c r="HT64">
        <v>1.8748199999999999</v>
      </c>
      <c r="HU64">
        <v>5</v>
      </c>
      <c r="HV64">
        <v>0</v>
      </c>
      <c r="HW64">
        <v>0</v>
      </c>
      <c r="HX64">
        <v>0</v>
      </c>
      <c r="HY64" t="s">
        <v>423</v>
      </c>
      <c r="HZ64" t="s">
        <v>424</v>
      </c>
      <c r="IA64" t="s">
        <v>425</v>
      </c>
      <c r="IB64" t="s">
        <v>425</v>
      </c>
      <c r="IC64" t="s">
        <v>425</v>
      </c>
      <c r="ID64" t="s">
        <v>425</v>
      </c>
      <c r="IE64">
        <v>0</v>
      </c>
      <c r="IF64">
        <v>100</v>
      </c>
      <c r="IG64">
        <v>100</v>
      </c>
      <c r="IH64">
        <v>-1.758</v>
      </c>
      <c r="II64">
        <v>0.49080000000000001</v>
      </c>
      <c r="IJ64">
        <v>-1.6878204332837989</v>
      </c>
      <c r="IK64">
        <v>-2.677719669153116E-3</v>
      </c>
      <c r="IL64">
        <v>1.9353498771248068E-6</v>
      </c>
      <c r="IM64">
        <v>-6.1862177325538213E-10</v>
      </c>
      <c r="IN64">
        <v>-0.1339282644539079</v>
      </c>
      <c r="IO64">
        <v>-1.5299015507423901E-2</v>
      </c>
      <c r="IP64">
        <v>1.742162107778985E-3</v>
      </c>
      <c r="IQ64">
        <v>-1.472690239905804E-5</v>
      </c>
      <c r="IR64">
        <v>3</v>
      </c>
      <c r="IS64">
        <v>2255</v>
      </c>
      <c r="IT64">
        <v>2</v>
      </c>
      <c r="IU64">
        <v>41</v>
      </c>
      <c r="IV64">
        <v>0.5</v>
      </c>
      <c r="IW64">
        <v>0.5</v>
      </c>
      <c r="IX64">
        <v>0.21606400000000001</v>
      </c>
      <c r="IY64">
        <v>2.5366200000000001</v>
      </c>
      <c r="IZ64">
        <v>1.5991200000000001</v>
      </c>
      <c r="JA64">
        <v>2.2705099999999998</v>
      </c>
      <c r="JB64">
        <v>1.5502899999999999</v>
      </c>
      <c r="JC64">
        <v>2.36084</v>
      </c>
      <c r="JD64">
        <v>34.304200000000002</v>
      </c>
      <c r="JE64">
        <v>15.988300000000001</v>
      </c>
      <c r="JF64">
        <v>18</v>
      </c>
      <c r="JG64">
        <v>506.49900000000002</v>
      </c>
      <c r="JH64">
        <v>523.09799999999996</v>
      </c>
      <c r="JI64">
        <v>28.1936</v>
      </c>
      <c r="JJ64">
        <v>28.163799999999998</v>
      </c>
      <c r="JK64">
        <v>30.0001</v>
      </c>
      <c r="JL64">
        <v>28.164899999999999</v>
      </c>
      <c r="JM64">
        <v>28.131699999999999</v>
      </c>
      <c r="JN64">
        <v>4.3855399999999998</v>
      </c>
      <c r="JO64">
        <v>28.132400000000001</v>
      </c>
      <c r="JP64">
        <v>74.751499999999993</v>
      </c>
      <c r="JQ64">
        <v>28.2057</v>
      </c>
      <c r="JR64">
        <v>30</v>
      </c>
      <c r="JS64">
        <v>22.709599999999998</v>
      </c>
      <c r="JT64">
        <v>99.625699999999995</v>
      </c>
      <c r="JU64">
        <v>99.225300000000004</v>
      </c>
    </row>
    <row r="65" spans="1:281" x14ac:dyDescent="0.25">
      <c r="A65">
        <v>49</v>
      </c>
      <c r="B65">
        <v>1693505126.5999999</v>
      </c>
      <c r="C65">
        <v>11147</v>
      </c>
      <c r="D65" t="s">
        <v>665</v>
      </c>
      <c r="E65" t="s">
        <v>666</v>
      </c>
      <c r="F65" t="s">
        <v>413</v>
      </c>
      <c r="G65" t="s">
        <v>565</v>
      </c>
      <c r="H65" t="s">
        <v>636</v>
      </c>
      <c r="I65" t="s">
        <v>31</v>
      </c>
      <c r="J65">
        <v>1693505126.5999999</v>
      </c>
      <c r="K65">
        <f t="shared" si="46"/>
        <v>5.252475006845149E-3</v>
      </c>
      <c r="L65">
        <f t="shared" si="47"/>
        <v>5.2524750068451489</v>
      </c>
      <c r="M65">
        <f t="shared" si="48"/>
        <v>1.3233154887613754</v>
      </c>
      <c r="N65">
        <f t="shared" si="49"/>
        <v>8.3330699999999993</v>
      </c>
      <c r="O65">
        <f t="shared" si="50"/>
        <v>2.4249168211697651</v>
      </c>
      <c r="P65">
        <f t="shared" si="51"/>
        <v>0.24160191951236876</v>
      </c>
      <c r="Q65">
        <f t="shared" si="52"/>
        <v>0.83024938829024986</v>
      </c>
      <c r="R65">
        <f t="shared" si="53"/>
        <v>0.38915902659957796</v>
      </c>
      <c r="S65">
        <f t="shared" si="54"/>
        <v>2.9143022299420354</v>
      </c>
      <c r="T65">
        <f t="shared" si="55"/>
        <v>0.36242305817480625</v>
      </c>
      <c r="U65">
        <f t="shared" si="56"/>
        <v>0.22876328292491172</v>
      </c>
      <c r="V65">
        <f t="shared" si="57"/>
        <v>344.39220065812293</v>
      </c>
      <c r="W65">
        <f t="shared" si="58"/>
        <v>31.057416957037322</v>
      </c>
      <c r="X65">
        <f t="shared" si="59"/>
        <v>29.937100000000001</v>
      </c>
      <c r="Y65">
        <f t="shared" si="60"/>
        <v>4.2450813010933031</v>
      </c>
      <c r="Z65">
        <f t="shared" si="61"/>
        <v>65.470458395155319</v>
      </c>
      <c r="AA65">
        <f t="shared" si="62"/>
        <v>2.8525646804025002</v>
      </c>
      <c r="AB65">
        <f t="shared" si="63"/>
        <v>4.357025672839316</v>
      </c>
      <c r="AC65">
        <f t="shared" si="64"/>
        <v>1.3925166206908028</v>
      </c>
      <c r="AD65">
        <f t="shared" si="65"/>
        <v>-231.63414780187108</v>
      </c>
      <c r="AE65">
        <f t="shared" si="66"/>
        <v>71.28346650802176</v>
      </c>
      <c r="AF65">
        <f t="shared" si="67"/>
        <v>5.4475138676809447</v>
      </c>
      <c r="AG65">
        <f t="shared" si="68"/>
        <v>189.48903323195452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51841.463789084883</v>
      </c>
      <c r="AM65" t="s">
        <v>417</v>
      </c>
      <c r="AN65">
        <v>10238.9</v>
      </c>
      <c r="AO65">
        <v>302.21199999999999</v>
      </c>
      <c r="AP65">
        <v>4052.3</v>
      </c>
      <c r="AQ65">
        <f t="shared" si="72"/>
        <v>0.92542210596451402</v>
      </c>
      <c r="AR65">
        <v>-0.32343011824092421</v>
      </c>
      <c r="AS65" t="s">
        <v>667</v>
      </c>
      <c r="AT65">
        <v>10523.8</v>
      </c>
      <c r="AU65">
        <v>629.75436000000002</v>
      </c>
      <c r="AV65">
        <v>672.63430759681091</v>
      </c>
      <c r="AW65">
        <f t="shared" si="73"/>
        <v>6.3749272245735455E-2</v>
      </c>
      <c r="AX65">
        <v>0.5</v>
      </c>
      <c r="AY65">
        <f t="shared" si="74"/>
        <v>1513.2855003290613</v>
      </c>
      <c r="AZ65">
        <f t="shared" si="75"/>
        <v>1.3233154887613754</v>
      </c>
      <c r="BA65">
        <f t="shared" si="76"/>
        <v>48.235424673000658</v>
      </c>
      <c r="BB65">
        <f t="shared" si="77"/>
        <v>1.088192285358062E-3</v>
      </c>
      <c r="BC65">
        <f t="shared" si="78"/>
        <v>5.0245217263420079</v>
      </c>
      <c r="BD65">
        <f t="shared" si="79"/>
        <v>219.83559194392589</v>
      </c>
      <c r="BE65" t="s">
        <v>668</v>
      </c>
      <c r="BF65">
        <v>550.46</v>
      </c>
      <c r="BG65">
        <f t="shared" si="80"/>
        <v>550.46</v>
      </c>
      <c r="BH65">
        <f t="shared" si="81"/>
        <v>0.18163555771235562</v>
      </c>
      <c r="BI65">
        <f t="shared" si="82"/>
        <v>0.35097352659709441</v>
      </c>
      <c r="BJ65">
        <f t="shared" si="83"/>
        <v>0.96511139640965593</v>
      </c>
      <c r="BK65">
        <f t="shared" si="84"/>
        <v>0.1157596254799101</v>
      </c>
      <c r="BL65">
        <f t="shared" si="85"/>
        <v>0.90122303594027375</v>
      </c>
      <c r="BM65">
        <f t="shared" si="86"/>
        <v>0.30678134161808202</v>
      </c>
      <c r="BN65">
        <f t="shared" si="87"/>
        <v>0.69321865838191798</v>
      </c>
      <c r="BO65">
        <v>5784</v>
      </c>
      <c r="BP65">
        <v>290.00000000000011</v>
      </c>
      <c r="BQ65">
        <v>660.84</v>
      </c>
      <c r="BR65">
        <v>75</v>
      </c>
      <c r="BS65">
        <v>10523.8</v>
      </c>
      <c r="BT65">
        <v>660.07</v>
      </c>
      <c r="BU65">
        <v>0.77</v>
      </c>
      <c r="BV65">
        <v>300.00000000000011</v>
      </c>
      <c r="BW65">
        <v>38.200000000000003</v>
      </c>
      <c r="BX65">
        <v>672.63430759681091</v>
      </c>
      <c r="BY65">
        <v>0.94254354075107794</v>
      </c>
      <c r="BZ65">
        <v>-13.223694328483729</v>
      </c>
      <c r="CA65">
        <v>0.80989541491265149</v>
      </c>
      <c r="CB65">
        <v>0.90495341216957514</v>
      </c>
      <c r="CC65">
        <v>-1.1392621579532809E-2</v>
      </c>
      <c r="CD65">
        <v>289.99999999999989</v>
      </c>
      <c r="CE65">
        <v>658.35</v>
      </c>
      <c r="CF65">
        <v>695</v>
      </c>
      <c r="CG65">
        <v>10467.6</v>
      </c>
      <c r="CH65">
        <v>660</v>
      </c>
      <c r="CI65">
        <v>-1.65</v>
      </c>
      <c r="CW65">
        <f t="shared" si="88"/>
        <v>1800.12</v>
      </c>
      <c r="CX65">
        <f t="shared" si="89"/>
        <v>1513.2855003290613</v>
      </c>
      <c r="CY65">
        <f t="shared" si="90"/>
        <v>0.84065812297461362</v>
      </c>
      <c r="CZ65">
        <f t="shared" si="91"/>
        <v>0.19131624594922725</v>
      </c>
      <c r="DA65">
        <v>6</v>
      </c>
      <c r="DB65">
        <v>0.5</v>
      </c>
      <c r="DC65" t="s">
        <v>420</v>
      </c>
      <c r="DD65">
        <v>2</v>
      </c>
      <c r="DE65">
        <v>1693505126.5999999</v>
      </c>
      <c r="DF65">
        <v>8.3330699999999993</v>
      </c>
      <c r="DG65">
        <v>9.9724699999999995</v>
      </c>
      <c r="DH65">
        <v>28.630700000000001</v>
      </c>
      <c r="DI65">
        <v>22.5123</v>
      </c>
      <c r="DJ65">
        <v>10.073</v>
      </c>
      <c r="DK65">
        <v>28.1463</v>
      </c>
      <c r="DL65">
        <v>500.33600000000001</v>
      </c>
      <c r="DM65">
        <v>99.531499999999994</v>
      </c>
      <c r="DN65">
        <v>0.101575</v>
      </c>
      <c r="DO65">
        <v>30.390799999999999</v>
      </c>
      <c r="DP65">
        <v>29.937100000000001</v>
      </c>
      <c r="DQ65">
        <v>999.9</v>
      </c>
      <c r="DR65">
        <v>0</v>
      </c>
      <c r="DS65">
        <v>0</v>
      </c>
      <c r="DT65">
        <v>9960</v>
      </c>
      <c r="DU65">
        <v>0</v>
      </c>
      <c r="DV65">
        <v>1592.21</v>
      </c>
      <c r="DW65">
        <v>-1.6394</v>
      </c>
      <c r="DX65">
        <v>8.5786800000000003</v>
      </c>
      <c r="DY65">
        <v>10.2021</v>
      </c>
      <c r="DZ65">
        <v>6.1183699999999996</v>
      </c>
      <c r="EA65">
        <v>9.9724699999999995</v>
      </c>
      <c r="EB65">
        <v>22.5123</v>
      </c>
      <c r="EC65">
        <v>2.84965</v>
      </c>
      <c r="ED65">
        <v>2.2406799999999998</v>
      </c>
      <c r="EE65">
        <v>23.174600000000002</v>
      </c>
      <c r="EF65">
        <v>19.2562</v>
      </c>
      <c r="EG65">
        <v>1800.12</v>
      </c>
      <c r="EH65">
        <v>0.97800200000000004</v>
      </c>
      <c r="EI65">
        <v>2.1998199999999999E-2</v>
      </c>
      <c r="EJ65">
        <v>0</v>
      </c>
      <c r="EK65">
        <v>630.04</v>
      </c>
      <c r="EL65">
        <v>4.9995000000000003</v>
      </c>
      <c r="EM65">
        <v>12206</v>
      </c>
      <c r="EN65">
        <v>16660.900000000001</v>
      </c>
      <c r="EO65">
        <v>45.25</v>
      </c>
      <c r="EP65">
        <v>46</v>
      </c>
      <c r="EQ65">
        <v>46.061999999999998</v>
      </c>
      <c r="ER65">
        <v>44.811999999999998</v>
      </c>
      <c r="ES65">
        <v>46.625</v>
      </c>
      <c r="ET65">
        <v>1755.63</v>
      </c>
      <c r="EU65">
        <v>39.49</v>
      </c>
      <c r="EV65">
        <v>0</v>
      </c>
      <c r="EW65">
        <v>97.800000190734863</v>
      </c>
      <c r="EX65">
        <v>0</v>
      </c>
      <c r="EY65">
        <v>629.75436000000002</v>
      </c>
      <c r="EZ65">
        <v>0.63099999760077974</v>
      </c>
      <c r="FA65">
        <v>-34.984615495265942</v>
      </c>
      <c r="FB65">
        <v>12204.212</v>
      </c>
      <c r="FC65">
        <v>15</v>
      </c>
      <c r="FD65">
        <v>1693505093.5999999</v>
      </c>
      <c r="FE65" t="s">
        <v>669</v>
      </c>
      <c r="FF65">
        <v>1693505091.5999999</v>
      </c>
      <c r="FG65">
        <v>1693505093.5999999</v>
      </c>
      <c r="FH65">
        <v>57</v>
      </c>
      <c r="FI65">
        <v>-2.5000000000000001E-2</v>
      </c>
      <c r="FJ65">
        <v>-3.0000000000000001E-3</v>
      </c>
      <c r="FK65">
        <v>-1.744</v>
      </c>
      <c r="FL65">
        <v>0.222</v>
      </c>
      <c r="FM65">
        <v>10</v>
      </c>
      <c r="FN65">
        <v>22</v>
      </c>
      <c r="FO65">
        <v>0.97</v>
      </c>
      <c r="FP65">
        <v>0.03</v>
      </c>
      <c r="FQ65">
        <v>1.3518784869256071</v>
      </c>
      <c r="FR65">
        <v>0.39246862076304878</v>
      </c>
      <c r="FS65">
        <v>5.8016443353685193E-2</v>
      </c>
      <c r="FT65">
        <v>1</v>
      </c>
      <c r="FU65">
        <v>0.39426982560823942</v>
      </c>
      <c r="FV65">
        <v>-2.4497765504547939E-2</v>
      </c>
      <c r="FW65">
        <v>2.428336102609507E-3</v>
      </c>
      <c r="FX65">
        <v>1</v>
      </c>
      <c r="FY65">
        <v>2</v>
      </c>
      <c r="FZ65">
        <v>2</v>
      </c>
      <c r="GA65" t="s">
        <v>422</v>
      </c>
      <c r="GB65">
        <v>2.9738899999999999</v>
      </c>
      <c r="GC65">
        <v>2.8129200000000001</v>
      </c>
      <c r="GD65">
        <v>2.9635299999999998E-3</v>
      </c>
      <c r="GE65">
        <v>2.8959799999999998E-3</v>
      </c>
      <c r="GF65">
        <v>0.13593</v>
      </c>
      <c r="GG65">
        <v>0.114645</v>
      </c>
      <c r="GH65">
        <v>29606</v>
      </c>
      <c r="GI65">
        <v>27305.7</v>
      </c>
      <c r="GJ65">
        <v>26676.9</v>
      </c>
      <c r="GK65">
        <v>25821.5</v>
      </c>
      <c r="GL65">
        <v>31327.7</v>
      </c>
      <c r="GM65">
        <v>32183</v>
      </c>
      <c r="GN65">
        <v>37779.599999999999</v>
      </c>
      <c r="GO65">
        <v>38192</v>
      </c>
      <c r="GP65">
        <v>2.0141</v>
      </c>
      <c r="GQ65">
        <v>2.0863999999999998</v>
      </c>
      <c r="GR65">
        <v>6.0468899999999999E-2</v>
      </c>
      <c r="GS65">
        <v>0</v>
      </c>
      <c r="GT65">
        <v>28.952200000000001</v>
      </c>
      <c r="GU65">
        <v>999.9</v>
      </c>
      <c r="GV65">
        <v>61.2</v>
      </c>
      <c r="GW65">
        <v>30.9</v>
      </c>
      <c r="GX65">
        <v>27.581700000000001</v>
      </c>
      <c r="GY65">
        <v>61.447600000000001</v>
      </c>
      <c r="GZ65">
        <v>12.8926</v>
      </c>
      <c r="HA65">
        <v>1</v>
      </c>
      <c r="HB65">
        <v>5.3495899999999999E-2</v>
      </c>
      <c r="HC65">
        <v>-0.404499</v>
      </c>
      <c r="HD65">
        <v>20.306999999999999</v>
      </c>
      <c r="HE65">
        <v>5.2077099999999996</v>
      </c>
      <c r="HF65">
        <v>11.9321</v>
      </c>
      <c r="HG65">
        <v>4.9870000000000001</v>
      </c>
      <c r="HH65">
        <v>3.2904</v>
      </c>
      <c r="HI65">
        <v>9999</v>
      </c>
      <c r="HJ65">
        <v>9999</v>
      </c>
      <c r="HK65">
        <v>9999</v>
      </c>
      <c r="HL65">
        <v>999.9</v>
      </c>
      <c r="HM65">
        <v>1.8696600000000001</v>
      </c>
      <c r="HN65">
        <v>1.8760399999999999</v>
      </c>
      <c r="HO65">
        <v>1.87378</v>
      </c>
      <c r="HP65">
        <v>1.87208</v>
      </c>
      <c r="HQ65">
        <v>1.8724700000000001</v>
      </c>
      <c r="HR65">
        <v>1.8698399999999999</v>
      </c>
      <c r="HS65">
        <v>1.8757900000000001</v>
      </c>
      <c r="HT65">
        <v>1.8748199999999999</v>
      </c>
      <c r="HU65">
        <v>5</v>
      </c>
      <c r="HV65">
        <v>0</v>
      </c>
      <c r="HW65">
        <v>0</v>
      </c>
      <c r="HX65">
        <v>0</v>
      </c>
      <c r="HY65" t="s">
        <v>423</v>
      </c>
      <c r="HZ65" t="s">
        <v>424</v>
      </c>
      <c r="IA65" t="s">
        <v>425</v>
      </c>
      <c r="IB65" t="s">
        <v>425</v>
      </c>
      <c r="IC65" t="s">
        <v>425</v>
      </c>
      <c r="ID65" t="s">
        <v>425</v>
      </c>
      <c r="IE65">
        <v>0</v>
      </c>
      <c r="IF65">
        <v>100</v>
      </c>
      <c r="IG65">
        <v>100</v>
      </c>
      <c r="IH65">
        <v>-1.74</v>
      </c>
      <c r="II65">
        <v>0.4844</v>
      </c>
      <c r="IJ65">
        <v>-1.713192237020144</v>
      </c>
      <c r="IK65">
        <v>-2.677719669153116E-3</v>
      </c>
      <c r="IL65">
        <v>1.9353498771248068E-6</v>
      </c>
      <c r="IM65">
        <v>-6.1862177325538213E-10</v>
      </c>
      <c r="IN65">
        <v>-0.13680627273590401</v>
      </c>
      <c r="IO65">
        <v>-1.5299015507423901E-2</v>
      </c>
      <c r="IP65">
        <v>1.742162107778985E-3</v>
      </c>
      <c r="IQ65">
        <v>-1.472690239905804E-5</v>
      </c>
      <c r="IR65">
        <v>3</v>
      </c>
      <c r="IS65">
        <v>2255</v>
      </c>
      <c r="IT65">
        <v>2</v>
      </c>
      <c r="IU65">
        <v>41</v>
      </c>
      <c r="IV65">
        <v>0.6</v>
      </c>
      <c r="IW65">
        <v>0.6</v>
      </c>
      <c r="IX65">
        <v>0.17700199999999999</v>
      </c>
      <c r="IY65">
        <v>2.5598100000000001</v>
      </c>
      <c r="IZ65">
        <v>1.6003400000000001</v>
      </c>
      <c r="JA65">
        <v>2.2717299999999998</v>
      </c>
      <c r="JB65">
        <v>1.5502899999999999</v>
      </c>
      <c r="JC65">
        <v>2.2290000000000001</v>
      </c>
      <c r="JD65">
        <v>34.304200000000002</v>
      </c>
      <c r="JE65">
        <v>15.970800000000001</v>
      </c>
      <c r="JF65">
        <v>18</v>
      </c>
      <c r="JG65">
        <v>506.89800000000002</v>
      </c>
      <c r="JH65">
        <v>523.05200000000002</v>
      </c>
      <c r="JI65">
        <v>28.385200000000001</v>
      </c>
      <c r="JJ65">
        <v>28.183</v>
      </c>
      <c r="JK65">
        <v>30</v>
      </c>
      <c r="JL65">
        <v>28.174499999999998</v>
      </c>
      <c r="JM65">
        <v>28.141300000000001</v>
      </c>
      <c r="JN65">
        <v>3.5998100000000002</v>
      </c>
      <c r="JO65">
        <v>28.292899999999999</v>
      </c>
      <c r="JP65">
        <v>74.552800000000005</v>
      </c>
      <c r="JQ65">
        <v>28.3992</v>
      </c>
      <c r="JR65">
        <v>10</v>
      </c>
      <c r="JS65">
        <v>22.458500000000001</v>
      </c>
      <c r="JT65">
        <v>99.623599999999996</v>
      </c>
      <c r="JU65">
        <v>99.222999999999999</v>
      </c>
    </row>
    <row r="66" spans="1:281" x14ac:dyDescent="0.25">
      <c r="A66">
        <v>50</v>
      </c>
      <c r="B66">
        <v>1693505316.0999999</v>
      </c>
      <c r="C66">
        <v>11336.5</v>
      </c>
      <c r="D66" t="s">
        <v>670</v>
      </c>
      <c r="E66" t="s">
        <v>671</v>
      </c>
      <c r="F66" t="s">
        <v>413</v>
      </c>
      <c r="G66" t="s">
        <v>565</v>
      </c>
      <c r="H66" t="s">
        <v>636</v>
      </c>
      <c r="I66" t="s">
        <v>31</v>
      </c>
      <c r="J66">
        <v>1693505316.0999999</v>
      </c>
      <c r="K66">
        <f t="shared" si="46"/>
        <v>5.1533503713114739E-3</v>
      </c>
      <c r="L66">
        <f t="shared" si="47"/>
        <v>5.1533503713114737</v>
      </c>
      <c r="M66">
        <f t="shared" si="48"/>
        <v>38.549127383121004</v>
      </c>
      <c r="N66">
        <f t="shared" si="49"/>
        <v>351.58</v>
      </c>
      <c r="O66">
        <f t="shared" si="50"/>
        <v>169.05988370499946</v>
      </c>
      <c r="P66">
        <f t="shared" si="51"/>
        <v>16.842927495433038</v>
      </c>
      <c r="Q66">
        <f t="shared" si="52"/>
        <v>35.026857460621997</v>
      </c>
      <c r="R66">
        <f t="shared" si="53"/>
        <v>0.37069256618258661</v>
      </c>
      <c r="S66">
        <f t="shared" si="54"/>
        <v>2.9221144691133776</v>
      </c>
      <c r="T66">
        <f t="shared" si="55"/>
        <v>0.34640917118330017</v>
      </c>
      <c r="U66">
        <f t="shared" si="56"/>
        <v>0.21855479857164123</v>
      </c>
      <c r="V66">
        <f t="shared" si="57"/>
        <v>344.33198749034273</v>
      </c>
      <c r="W66">
        <f t="shared" si="58"/>
        <v>31.192131528997368</v>
      </c>
      <c r="X66">
        <f t="shared" si="59"/>
        <v>30.026900000000001</v>
      </c>
      <c r="Y66">
        <f t="shared" si="60"/>
        <v>4.2670370866356979</v>
      </c>
      <c r="Z66">
        <f t="shared" si="61"/>
        <v>64.71866378910255</v>
      </c>
      <c r="AA66">
        <f t="shared" si="62"/>
        <v>2.8377851714946902</v>
      </c>
      <c r="AB66">
        <f t="shared" si="63"/>
        <v>4.3848018567597835</v>
      </c>
      <c r="AC66">
        <f t="shared" si="64"/>
        <v>1.4292519151410077</v>
      </c>
      <c r="AD66">
        <f t="shared" si="65"/>
        <v>-227.262751374836</v>
      </c>
      <c r="AE66">
        <f t="shared" si="66"/>
        <v>74.814338044423025</v>
      </c>
      <c r="AF66">
        <f t="shared" si="67"/>
        <v>5.7077266691868696</v>
      </c>
      <c r="AG66">
        <f t="shared" si="68"/>
        <v>197.59130082911662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52044.797002660773</v>
      </c>
      <c r="AM66" t="s">
        <v>417</v>
      </c>
      <c r="AN66">
        <v>10238.9</v>
      </c>
      <c r="AO66">
        <v>302.21199999999999</v>
      </c>
      <c r="AP66">
        <v>4052.3</v>
      </c>
      <c r="AQ66">
        <f t="shared" si="72"/>
        <v>0.92542210596451402</v>
      </c>
      <c r="AR66">
        <v>-0.32343011824092421</v>
      </c>
      <c r="AS66" t="s">
        <v>672</v>
      </c>
      <c r="AT66">
        <v>10497.3</v>
      </c>
      <c r="AU66">
        <v>655.38338461538467</v>
      </c>
      <c r="AV66">
        <v>962.36497123734944</v>
      </c>
      <c r="AW66">
        <f t="shared" si="73"/>
        <v>0.31898665869692533</v>
      </c>
      <c r="AX66">
        <v>0.5</v>
      </c>
      <c r="AY66">
        <f t="shared" si="74"/>
        <v>1513.0169937451712</v>
      </c>
      <c r="AZ66">
        <f t="shared" si="75"/>
        <v>38.549127383121004</v>
      </c>
      <c r="BA66">
        <f t="shared" si="76"/>
        <v>241.31611769321947</v>
      </c>
      <c r="BB66">
        <f t="shared" si="77"/>
        <v>2.5692082549013992E-2</v>
      </c>
      <c r="BC66">
        <f t="shared" si="78"/>
        <v>3.2107725458770626</v>
      </c>
      <c r="BD66">
        <f t="shared" si="79"/>
        <v>243.82698189752298</v>
      </c>
      <c r="BE66" t="s">
        <v>673</v>
      </c>
      <c r="BF66">
        <v>547.24</v>
      </c>
      <c r="BG66">
        <f t="shared" si="80"/>
        <v>547.24</v>
      </c>
      <c r="BH66">
        <f t="shared" si="81"/>
        <v>0.43135918663332828</v>
      </c>
      <c r="BI66">
        <f t="shared" si="82"/>
        <v>0.7394919792633885</v>
      </c>
      <c r="BJ66">
        <f t="shared" si="83"/>
        <v>0.88156408984800561</v>
      </c>
      <c r="BK66">
        <f t="shared" si="84"/>
        <v>0.46501583723326684</v>
      </c>
      <c r="BL66">
        <f t="shared" si="85"/>
        <v>0.82396333866369287</v>
      </c>
      <c r="BM66">
        <f t="shared" si="86"/>
        <v>0.61747001866637985</v>
      </c>
      <c r="BN66">
        <f t="shared" si="87"/>
        <v>0.38252998133362015</v>
      </c>
      <c r="BO66">
        <v>5786</v>
      </c>
      <c r="BP66">
        <v>290.00000000000011</v>
      </c>
      <c r="BQ66">
        <v>861.32</v>
      </c>
      <c r="BR66">
        <v>215</v>
      </c>
      <c r="BS66">
        <v>10497.3</v>
      </c>
      <c r="BT66">
        <v>859.2</v>
      </c>
      <c r="BU66">
        <v>2.12</v>
      </c>
      <c r="BV66">
        <v>300.00000000000011</v>
      </c>
      <c r="BW66">
        <v>38.200000000000003</v>
      </c>
      <c r="BX66">
        <v>962.36497123734944</v>
      </c>
      <c r="BY66">
        <v>1.459001609450038</v>
      </c>
      <c r="BZ66">
        <v>-108.29570629796071</v>
      </c>
      <c r="CA66">
        <v>1.2540464656294721</v>
      </c>
      <c r="CB66">
        <v>0.99625945170087671</v>
      </c>
      <c r="CC66">
        <v>-1.139763359288099E-2</v>
      </c>
      <c r="CD66">
        <v>289.99999999999989</v>
      </c>
      <c r="CE66">
        <v>836.55</v>
      </c>
      <c r="CF66">
        <v>645</v>
      </c>
      <c r="CG66">
        <v>10475.200000000001</v>
      </c>
      <c r="CH66">
        <v>858.98</v>
      </c>
      <c r="CI66">
        <v>-22.43</v>
      </c>
      <c r="CW66">
        <f t="shared" si="88"/>
        <v>1799.8</v>
      </c>
      <c r="CX66">
        <f t="shared" si="89"/>
        <v>1513.0169937451712</v>
      </c>
      <c r="CY66">
        <f t="shared" si="90"/>
        <v>0.84065840301431893</v>
      </c>
      <c r="CZ66">
        <f t="shared" si="91"/>
        <v>0.19131680602863804</v>
      </c>
      <c r="DA66">
        <v>6</v>
      </c>
      <c r="DB66">
        <v>0.5</v>
      </c>
      <c r="DC66" t="s">
        <v>420</v>
      </c>
      <c r="DD66">
        <v>2</v>
      </c>
      <c r="DE66">
        <v>1693505316.0999999</v>
      </c>
      <c r="DF66">
        <v>351.58</v>
      </c>
      <c r="DG66">
        <v>399.96899999999999</v>
      </c>
      <c r="DH66">
        <v>28.484100000000002</v>
      </c>
      <c r="DI66">
        <v>22.4817</v>
      </c>
      <c r="DJ66">
        <v>354.012</v>
      </c>
      <c r="DK66">
        <v>28.0091</v>
      </c>
      <c r="DL66">
        <v>500.45600000000002</v>
      </c>
      <c r="DM66">
        <v>99.527000000000001</v>
      </c>
      <c r="DN66">
        <v>9.9990899999999994E-2</v>
      </c>
      <c r="DO66">
        <v>30.501799999999999</v>
      </c>
      <c r="DP66">
        <v>30.026900000000001</v>
      </c>
      <c r="DQ66">
        <v>999.9</v>
      </c>
      <c r="DR66">
        <v>0</v>
      </c>
      <c r="DS66">
        <v>0</v>
      </c>
      <c r="DT66">
        <v>10005</v>
      </c>
      <c r="DU66">
        <v>0</v>
      </c>
      <c r="DV66">
        <v>1586.46</v>
      </c>
      <c r="DW66">
        <v>-48.389499999999998</v>
      </c>
      <c r="DX66">
        <v>361.88799999999998</v>
      </c>
      <c r="DY66">
        <v>409.16800000000001</v>
      </c>
      <c r="DZ66">
        <v>6.00244</v>
      </c>
      <c r="EA66">
        <v>399.96899999999999</v>
      </c>
      <c r="EB66">
        <v>22.4817</v>
      </c>
      <c r="EC66">
        <v>2.83494</v>
      </c>
      <c r="ED66">
        <v>2.23753</v>
      </c>
      <c r="EE66">
        <v>23.088899999999999</v>
      </c>
      <c r="EF66">
        <v>19.233599999999999</v>
      </c>
      <c r="EG66">
        <v>1799.8</v>
      </c>
      <c r="EH66">
        <v>0.97799499999999995</v>
      </c>
      <c r="EI66">
        <v>2.2005400000000001E-2</v>
      </c>
      <c r="EJ66">
        <v>0</v>
      </c>
      <c r="EK66">
        <v>656.85400000000004</v>
      </c>
      <c r="EL66">
        <v>4.9995000000000003</v>
      </c>
      <c r="EM66">
        <v>12684.9</v>
      </c>
      <c r="EN66">
        <v>16657.900000000001</v>
      </c>
      <c r="EO66">
        <v>45.125</v>
      </c>
      <c r="EP66">
        <v>45.875</v>
      </c>
      <c r="EQ66">
        <v>45.936999999999998</v>
      </c>
      <c r="ER66">
        <v>44.686999999999998</v>
      </c>
      <c r="ES66">
        <v>46.5</v>
      </c>
      <c r="ET66">
        <v>1755.31</v>
      </c>
      <c r="EU66">
        <v>39.5</v>
      </c>
      <c r="EV66">
        <v>0</v>
      </c>
      <c r="EW66">
        <v>187.80000019073489</v>
      </c>
      <c r="EX66">
        <v>0</v>
      </c>
      <c r="EY66">
        <v>655.38338461538467</v>
      </c>
      <c r="EZ66">
        <v>10.449709413257571</v>
      </c>
      <c r="FA66">
        <v>197.30598295611551</v>
      </c>
      <c r="FB66">
        <v>12664.438461538461</v>
      </c>
      <c r="FC66">
        <v>15</v>
      </c>
      <c r="FD66">
        <v>1693505211.5999999</v>
      </c>
      <c r="FE66" t="s">
        <v>674</v>
      </c>
      <c r="FF66">
        <v>1693505207.0999999</v>
      </c>
      <c r="FG66">
        <v>1693505211.5999999</v>
      </c>
      <c r="FH66">
        <v>58</v>
      </c>
      <c r="FI66">
        <v>1.4E-2</v>
      </c>
      <c r="FJ66">
        <v>-3.0000000000000001E-3</v>
      </c>
      <c r="FK66">
        <v>-2.5049999999999999</v>
      </c>
      <c r="FL66">
        <v>0.217</v>
      </c>
      <c r="FM66">
        <v>400</v>
      </c>
      <c r="FN66">
        <v>22</v>
      </c>
      <c r="FO66">
        <v>0.19</v>
      </c>
      <c r="FP66">
        <v>0.05</v>
      </c>
      <c r="FQ66">
        <v>38.036346433539087</v>
      </c>
      <c r="FR66">
        <v>3.5330733526570341</v>
      </c>
      <c r="FS66">
        <v>0.26373281363213752</v>
      </c>
      <c r="FT66">
        <v>0</v>
      </c>
      <c r="FU66">
        <v>0.37167654648268689</v>
      </c>
      <c r="FV66">
        <v>-1.2456449555883689E-2</v>
      </c>
      <c r="FW66">
        <v>1.080501710092134E-3</v>
      </c>
      <c r="FX66">
        <v>1</v>
      </c>
      <c r="FY66">
        <v>1</v>
      </c>
      <c r="FZ66">
        <v>2</v>
      </c>
      <c r="GA66" t="s">
        <v>461</v>
      </c>
      <c r="GB66">
        <v>2.97424</v>
      </c>
      <c r="GC66">
        <v>2.8117299999999998</v>
      </c>
      <c r="GD66">
        <v>8.9030999999999999E-2</v>
      </c>
      <c r="GE66">
        <v>9.6859700000000007E-2</v>
      </c>
      <c r="GF66">
        <v>0.135467</v>
      </c>
      <c r="GG66">
        <v>0.114535</v>
      </c>
      <c r="GH66">
        <v>27052.6</v>
      </c>
      <c r="GI66">
        <v>24733.4</v>
      </c>
      <c r="GJ66">
        <v>26678.799999999999</v>
      </c>
      <c r="GK66">
        <v>25822.1</v>
      </c>
      <c r="GL66">
        <v>31354.400000000001</v>
      </c>
      <c r="GM66">
        <v>32194.3</v>
      </c>
      <c r="GN66">
        <v>37783.4</v>
      </c>
      <c r="GO66">
        <v>38192.6</v>
      </c>
      <c r="GP66">
        <v>2.0148000000000001</v>
      </c>
      <c r="GQ66">
        <v>2.0882000000000001</v>
      </c>
      <c r="GR66">
        <v>6.7353200000000002E-2</v>
      </c>
      <c r="GS66">
        <v>0</v>
      </c>
      <c r="GT66">
        <v>28.9298</v>
      </c>
      <c r="GU66">
        <v>999.9</v>
      </c>
      <c r="GV66">
        <v>61.1</v>
      </c>
      <c r="GW66">
        <v>30.9</v>
      </c>
      <c r="GX66">
        <v>27.538</v>
      </c>
      <c r="GY66">
        <v>61.5276</v>
      </c>
      <c r="GZ66">
        <v>12.9808</v>
      </c>
      <c r="HA66">
        <v>1</v>
      </c>
      <c r="HB66">
        <v>5.2601599999999998E-2</v>
      </c>
      <c r="HC66">
        <v>-0.29017399999999999</v>
      </c>
      <c r="HD66">
        <v>20.258900000000001</v>
      </c>
      <c r="HE66">
        <v>5.2107000000000001</v>
      </c>
      <c r="HF66">
        <v>11.9321</v>
      </c>
      <c r="HG66">
        <v>4.9889999999999999</v>
      </c>
      <c r="HH66">
        <v>3.2909999999999999</v>
      </c>
      <c r="HI66">
        <v>9999</v>
      </c>
      <c r="HJ66">
        <v>9999</v>
      </c>
      <c r="HK66">
        <v>9999</v>
      </c>
      <c r="HL66">
        <v>999.9</v>
      </c>
      <c r="HM66">
        <v>1.86998</v>
      </c>
      <c r="HN66">
        <v>1.8763700000000001</v>
      </c>
      <c r="HO66">
        <v>1.8741000000000001</v>
      </c>
      <c r="HP66">
        <v>1.8724099999999999</v>
      </c>
      <c r="HQ66">
        <v>1.87283</v>
      </c>
      <c r="HR66">
        <v>1.87026</v>
      </c>
      <c r="HS66">
        <v>1.87622</v>
      </c>
      <c r="HT66">
        <v>1.8751500000000001</v>
      </c>
      <c r="HU66">
        <v>5</v>
      </c>
      <c r="HV66">
        <v>0</v>
      </c>
      <c r="HW66">
        <v>0</v>
      </c>
      <c r="HX66">
        <v>0</v>
      </c>
      <c r="HY66" t="s">
        <v>423</v>
      </c>
      <c r="HZ66" t="s">
        <v>424</v>
      </c>
      <c r="IA66" t="s">
        <v>425</v>
      </c>
      <c r="IB66" t="s">
        <v>425</v>
      </c>
      <c r="IC66" t="s">
        <v>425</v>
      </c>
      <c r="ID66" t="s">
        <v>425</v>
      </c>
      <c r="IE66">
        <v>0</v>
      </c>
      <c r="IF66">
        <v>100</v>
      </c>
      <c r="IG66">
        <v>100</v>
      </c>
      <c r="IH66">
        <v>-2.4319999999999999</v>
      </c>
      <c r="II66">
        <v>0.47499999999999998</v>
      </c>
      <c r="IJ66">
        <v>-1.699743907051928</v>
      </c>
      <c r="IK66">
        <v>-2.677719669153116E-3</v>
      </c>
      <c r="IL66">
        <v>1.9353498771248068E-6</v>
      </c>
      <c r="IM66">
        <v>-6.1862177325538213E-10</v>
      </c>
      <c r="IN66">
        <v>-0.13963970885450469</v>
      </c>
      <c r="IO66">
        <v>-1.5299015507423901E-2</v>
      </c>
      <c r="IP66">
        <v>1.742162107778985E-3</v>
      </c>
      <c r="IQ66">
        <v>-1.472690239905804E-5</v>
      </c>
      <c r="IR66">
        <v>3</v>
      </c>
      <c r="IS66">
        <v>2255</v>
      </c>
      <c r="IT66">
        <v>2</v>
      </c>
      <c r="IU66">
        <v>41</v>
      </c>
      <c r="IV66">
        <v>1.8</v>
      </c>
      <c r="IW66">
        <v>1.7</v>
      </c>
      <c r="IX66">
        <v>0.95947300000000002</v>
      </c>
      <c r="IY66">
        <v>2.49146</v>
      </c>
      <c r="IZ66">
        <v>1.5991200000000001</v>
      </c>
      <c r="JA66">
        <v>2.2717299999999998</v>
      </c>
      <c r="JB66">
        <v>1.5502899999999999</v>
      </c>
      <c r="JC66">
        <v>2.3828100000000001</v>
      </c>
      <c r="JD66">
        <v>34.395200000000003</v>
      </c>
      <c r="JE66">
        <v>23.877400000000002</v>
      </c>
      <c r="JF66">
        <v>18</v>
      </c>
      <c r="JG66">
        <v>507.17500000000001</v>
      </c>
      <c r="JH66">
        <v>524.11300000000006</v>
      </c>
      <c r="JI66">
        <v>28.776</v>
      </c>
      <c r="JJ66">
        <v>28.163799999999998</v>
      </c>
      <c r="JK66">
        <v>30.0001</v>
      </c>
      <c r="JL66">
        <v>28.1554</v>
      </c>
      <c r="JM66">
        <v>28.124600000000001</v>
      </c>
      <c r="JN66">
        <v>19.2301</v>
      </c>
      <c r="JO66">
        <v>28.824400000000001</v>
      </c>
      <c r="JP66">
        <v>74.338700000000003</v>
      </c>
      <c r="JQ66">
        <v>28.764500000000002</v>
      </c>
      <c r="JR66">
        <v>400</v>
      </c>
      <c r="JS66">
        <v>22.525400000000001</v>
      </c>
      <c r="JT66">
        <v>99.632400000000004</v>
      </c>
      <c r="JU66">
        <v>99.224699999999999</v>
      </c>
    </row>
    <row r="67" spans="1:281" x14ac:dyDescent="0.25">
      <c r="A67">
        <v>51</v>
      </c>
      <c r="B67">
        <v>1693505466</v>
      </c>
      <c r="C67">
        <v>11486.400000095369</v>
      </c>
      <c r="D67" t="s">
        <v>675</v>
      </c>
      <c r="E67" t="s">
        <v>676</v>
      </c>
      <c r="F67" t="s">
        <v>413</v>
      </c>
      <c r="G67" t="s">
        <v>565</v>
      </c>
      <c r="H67" t="s">
        <v>636</v>
      </c>
      <c r="I67" t="s">
        <v>31</v>
      </c>
      <c r="J67">
        <v>1693505466</v>
      </c>
      <c r="K67">
        <f t="shared" si="46"/>
        <v>4.9950783522715418E-3</v>
      </c>
      <c r="L67">
        <f t="shared" si="47"/>
        <v>4.9950783522715421</v>
      </c>
      <c r="M67">
        <f t="shared" si="48"/>
        <v>44.168643755276264</v>
      </c>
      <c r="N67">
        <f t="shared" si="49"/>
        <v>344.82799999999997</v>
      </c>
      <c r="O67">
        <f t="shared" si="50"/>
        <v>132.12528384515878</v>
      </c>
      <c r="P67">
        <f t="shared" si="51"/>
        <v>13.163598428149498</v>
      </c>
      <c r="Q67">
        <f t="shared" si="52"/>
        <v>34.355099846759991</v>
      </c>
      <c r="R67">
        <f t="shared" si="53"/>
        <v>0.36117899479850085</v>
      </c>
      <c r="S67">
        <f t="shared" si="54"/>
        <v>2.9221567127814416</v>
      </c>
      <c r="T67">
        <f t="shared" si="55"/>
        <v>0.33808470574460547</v>
      </c>
      <c r="U67">
        <f t="shared" si="56"/>
        <v>0.21325469691626098</v>
      </c>
      <c r="V67">
        <f t="shared" si="57"/>
        <v>344.36050065835178</v>
      </c>
      <c r="W67">
        <f t="shared" si="58"/>
        <v>31.231049393773279</v>
      </c>
      <c r="X67">
        <f t="shared" si="59"/>
        <v>30.021699999999999</v>
      </c>
      <c r="Y67">
        <f t="shared" si="60"/>
        <v>4.2657630108527913</v>
      </c>
      <c r="Z67">
        <f t="shared" si="61"/>
        <v>64.921999412035476</v>
      </c>
      <c r="AA67">
        <f t="shared" si="62"/>
        <v>2.8463100792629996</v>
      </c>
      <c r="AB67">
        <f t="shared" si="63"/>
        <v>4.3841996627345718</v>
      </c>
      <c r="AC67">
        <f t="shared" si="64"/>
        <v>1.4194529315897917</v>
      </c>
      <c r="AD67">
        <f t="shared" si="65"/>
        <v>-220.28295533517499</v>
      </c>
      <c r="AE67">
        <f t="shared" si="66"/>
        <v>75.256529676538648</v>
      </c>
      <c r="AF67">
        <f t="shared" si="67"/>
        <v>5.741163521055566</v>
      </c>
      <c r="AG67">
        <f t="shared" si="68"/>
        <v>205.07523852077099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52046.463581609489</v>
      </c>
      <c r="AM67" t="s">
        <v>417</v>
      </c>
      <c r="AN67">
        <v>10238.9</v>
      </c>
      <c r="AO67">
        <v>302.21199999999999</v>
      </c>
      <c r="AP67">
        <v>4052.3</v>
      </c>
      <c r="AQ67">
        <f t="shared" si="72"/>
        <v>0.92542210596451402</v>
      </c>
      <c r="AR67">
        <v>-0.32343011824092421</v>
      </c>
      <c r="AS67" t="s">
        <v>677</v>
      </c>
      <c r="AT67">
        <v>10501.7</v>
      </c>
      <c r="AU67">
        <v>694.60553846153857</v>
      </c>
      <c r="AV67">
        <v>1034.630234075765</v>
      </c>
      <c r="AW67">
        <f t="shared" si="73"/>
        <v>0.32864368777891984</v>
      </c>
      <c r="AX67">
        <v>0.5</v>
      </c>
      <c r="AY67">
        <f t="shared" si="74"/>
        <v>1513.1430003291759</v>
      </c>
      <c r="AZ67">
        <f t="shared" si="75"/>
        <v>44.168643755276264</v>
      </c>
      <c r="BA67">
        <f t="shared" si="76"/>
        <v>248.64244788251986</v>
      </c>
      <c r="BB67">
        <f t="shared" si="77"/>
        <v>2.940374694515864E-2</v>
      </c>
      <c r="BC67">
        <f t="shared" si="78"/>
        <v>2.9166649751154039</v>
      </c>
      <c r="BD67">
        <f t="shared" si="79"/>
        <v>248.21958972227981</v>
      </c>
      <c r="BE67" t="s">
        <v>678</v>
      </c>
      <c r="BF67">
        <v>563.03</v>
      </c>
      <c r="BG67">
        <f t="shared" si="80"/>
        <v>563.03</v>
      </c>
      <c r="BH67">
        <f t="shared" si="81"/>
        <v>0.4558152454311809</v>
      </c>
      <c r="BI67">
        <f t="shared" si="82"/>
        <v>0.721001965320483</v>
      </c>
      <c r="BJ67">
        <f t="shared" si="83"/>
        <v>0.8648427223815397</v>
      </c>
      <c r="BK67">
        <f t="shared" si="84"/>
        <v>0.46424935889710872</v>
      </c>
      <c r="BL67">
        <f t="shared" si="85"/>
        <v>0.80469305411612613</v>
      </c>
      <c r="BM67">
        <f t="shared" si="86"/>
        <v>0.58442628809656316</v>
      </c>
      <c r="BN67">
        <f t="shared" si="87"/>
        <v>0.41557371190343684</v>
      </c>
      <c r="BO67">
        <v>5788</v>
      </c>
      <c r="BP67">
        <v>290.00000000000011</v>
      </c>
      <c r="BQ67">
        <v>931.07</v>
      </c>
      <c r="BR67">
        <v>195</v>
      </c>
      <c r="BS67">
        <v>10501.7</v>
      </c>
      <c r="BT67">
        <v>929.49</v>
      </c>
      <c r="BU67">
        <v>1.58</v>
      </c>
      <c r="BV67">
        <v>300.00000000000011</v>
      </c>
      <c r="BW67">
        <v>38.200000000000003</v>
      </c>
      <c r="BX67">
        <v>1034.630234075765</v>
      </c>
      <c r="BY67">
        <v>1.1912534690222929</v>
      </c>
      <c r="BZ67">
        <v>-110.41283517004349</v>
      </c>
      <c r="CA67">
        <v>1.0240010969688831</v>
      </c>
      <c r="CB67">
        <v>0.99759743539042767</v>
      </c>
      <c r="CC67">
        <v>-1.139769032258065E-2</v>
      </c>
      <c r="CD67">
        <v>289.99999999999989</v>
      </c>
      <c r="CE67">
        <v>914.46</v>
      </c>
      <c r="CF67">
        <v>675</v>
      </c>
      <c r="CG67">
        <v>10473.6</v>
      </c>
      <c r="CH67">
        <v>929.21</v>
      </c>
      <c r="CI67">
        <v>-14.75</v>
      </c>
      <c r="CW67">
        <f t="shared" si="88"/>
        <v>1799.95</v>
      </c>
      <c r="CX67">
        <f t="shared" si="89"/>
        <v>1513.1430003291759</v>
      </c>
      <c r="CY67">
        <f t="shared" si="90"/>
        <v>0.84065835180375892</v>
      </c>
      <c r="CZ67">
        <f t="shared" si="91"/>
        <v>0.19131670360751787</v>
      </c>
      <c r="DA67">
        <v>6</v>
      </c>
      <c r="DB67">
        <v>0.5</v>
      </c>
      <c r="DC67" t="s">
        <v>420</v>
      </c>
      <c r="DD67">
        <v>2</v>
      </c>
      <c r="DE67">
        <v>1693505466</v>
      </c>
      <c r="DF67">
        <v>344.82799999999997</v>
      </c>
      <c r="DG67">
        <v>399.89400000000001</v>
      </c>
      <c r="DH67">
        <v>28.568899999999999</v>
      </c>
      <c r="DI67">
        <v>22.746400000000001</v>
      </c>
      <c r="DJ67">
        <v>347.33499999999998</v>
      </c>
      <c r="DK67">
        <v>28.0871</v>
      </c>
      <c r="DL67">
        <v>500.03</v>
      </c>
      <c r="DM67">
        <v>99.529399999999995</v>
      </c>
      <c r="DN67">
        <v>0.10027</v>
      </c>
      <c r="DO67">
        <v>30.499400000000001</v>
      </c>
      <c r="DP67">
        <v>30.021699999999999</v>
      </c>
      <c r="DQ67">
        <v>999.9</v>
      </c>
      <c r="DR67">
        <v>0</v>
      </c>
      <c r="DS67">
        <v>0</v>
      </c>
      <c r="DT67">
        <v>10005</v>
      </c>
      <c r="DU67">
        <v>0</v>
      </c>
      <c r="DV67">
        <v>1581.89</v>
      </c>
      <c r="DW67">
        <v>-55.065600000000003</v>
      </c>
      <c r="DX67">
        <v>354.97</v>
      </c>
      <c r="DY67">
        <v>409.202</v>
      </c>
      <c r="DZ67">
        <v>5.8225199999999999</v>
      </c>
      <c r="EA67">
        <v>399.89400000000001</v>
      </c>
      <c r="EB67">
        <v>22.746400000000001</v>
      </c>
      <c r="EC67">
        <v>2.8434499999999998</v>
      </c>
      <c r="ED67">
        <v>2.2639399999999998</v>
      </c>
      <c r="EE67">
        <v>23.138500000000001</v>
      </c>
      <c r="EF67">
        <v>19.4221</v>
      </c>
      <c r="EG67">
        <v>1799.95</v>
      </c>
      <c r="EH67">
        <v>0.97799499999999995</v>
      </c>
      <c r="EI67">
        <v>2.2005400000000001E-2</v>
      </c>
      <c r="EJ67">
        <v>0</v>
      </c>
      <c r="EK67">
        <v>695.94200000000001</v>
      </c>
      <c r="EL67">
        <v>4.9995000000000003</v>
      </c>
      <c r="EM67">
        <v>13395.1</v>
      </c>
      <c r="EN67">
        <v>16659.3</v>
      </c>
      <c r="EO67">
        <v>45</v>
      </c>
      <c r="EP67">
        <v>45.625</v>
      </c>
      <c r="EQ67">
        <v>45.811999999999998</v>
      </c>
      <c r="ER67">
        <v>44.5</v>
      </c>
      <c r="ES67">
        <v>46.375</v>
      </c>
      <c r="ET67">
        <v>1755.45</v>
      </c>
      <c r="EU67">
        <v>39.5</v>
      </c>
      <c r="EV67">
        <v>0</v>
      </c>
      <c r="EW67">
        <v>148.20000004768369</v>
      </c>
      <c r="EX67">
        <v>0</v>
      </c>
      <c r="EY67">
        <v>694.60553846153857</v>
      </c>
      <c r="EZ67">
        <v>10.861606846244291</v>
      </c>
      <c r="FA67">
        <v>216.76239331276611</v>
      </c>
      <c r="FB67">
        <v>13369.38846153846</v>
      </c>
      <c r="FC67">
        <v>15</v>
      </c>
      <c r="FD67">
        <v>1693505384.5</v>
      </c>
      <c r="FE67" t="s">
        <v>679</v>
      </c>
      <c r="FF67">
        <v>1693505377.5</v>
      </c>
      <c r="FG67">
        <v>1693505384.5</v>
      </c>
      <c r="FH67">
        <v>59</v>
      </c>
      <c r="FI67">
        <v>-8.5000000000000006E-2</v>
      </c>
      <c r="FJ67">
        <v>3.0000000000000001E-3</v>
      </c>
      <c r="FK67">
        <v>-2.589</v>
      </c>
      <c r="FL67">
        <v>0.23100000000000001</v>
      </c>
      <c r="FM67">
        <v>400</v>
      </c>
      <c r="FN67">
        <v>23</v>
      </c>
      <c r="FO67">
        <v>0.12</v>
      </c>
      <c r="FP67">
        <v>0.03</v>
      </c>
      <c r="FQ67">
        <v>44.097345969417987</v>
      </c>
      <c r="FR67">
        <v>0.6049414970722643</v>
      </c>
      <c r="FS67">
        <v>8.8035705312405024E-2</v>
      </c>
      <c r="FT67">
        <v>1</v>
      </c>
      <c r="FU67">
        <v>0.36087259922563392</v>
      </c>
      <c r="FV67">
        <v>-3.7411075393546551E-3</v>
      </c>
      <c r="FW67">
        <v>6.1747124659817967E-4</v>
      </c>
      <c r="FX67">
        <v>1</v>
      </c>
      <c r="FY67">
        <v>2</v>
      </c>
      <c r="FZ67">
        <v>2</v>
      </c>
      <c r="GA67" t="s">
        <v>422</v>
      </c>
      <c r="GB67">
        <v>2.9731100000000001</v>
      </c>
      <c r="GC67">
        <v>2.8120099999999999</v>
      </c>
      <c r="GD67">
        <v>8.7700299999999995E-2</v>
      </c>
      <c r="GE67">
        <v>9.68527E-2</v>
      </c>
      <c r="GF67">
        <v>0.13573499999999999</v>
      </c>
      <c r="GG67">
        <v>0.115484</v>
      </c>
      <c r="GH67">
        <v>27091.7</v>
      </c>
      <c r="GI67">
        <v>24732.5</v>
      </c>
      <c r="GJ67">
        <v>26678.400000000001</v>
      </c>
      <c r="GK67">
        <v>25820.9</v>
      </c>
      <c r="GL67">
        <v>31343.200000000001</v>
      </c>
      <c r="GM67">
        <v>32158.2</v>
      </c>
      <c r="GN67">
        <v>37782.199999999997</v>
      </c>
      <c r="GO67">
        <v>38190.699999999997</v>
      </c>
      <c r="GP67">
        <v>2.0143</v>
      </c>
      <c r="GQ67">
        <v>2.089</v>
      </c>
      <c r="GR67">
        <v>7.1152999999999994E-2</v>
      </c>
      <c r="GS67">
        <v>0</v>
      </c>
      <c r="GT67">
        <v>28.8627</v>
      </c>
      <c r="GU67">
        <v>999.9</v>
      </c>
      <c r="GV67">
        <v>60.9</v>
      </c>
      <c r="GW67">
        <v>30.8</v>
      </c>
      <c r="GX67">
        <v>27.290800000000001</v>
      </c>
      <c r="GY67">
        <v>61.407699999999998</v>
      </c>
      <c r="GZ67">
        <v>13.601800000000001</v>
      </c>
      <c r="HA67">
        <v>1</v>
      </c>
      <c r="HB67">
        <v>5.1991900000000001E-2</v>
      </c>
      <c r="HC67">
        <v>-0.40744000000000002</v>
      </c>
      <c r="HD67">
        <v>20.257300000000001</v>
      </c>
      <c r="HE67">
        <v>5.2107000000000001</v>
      </c>
      <c r="HF67">
        <v>11.9321</v>
      </c>
      <c r="HG67">
        <v>4.9855999999999998</v>
      </c>
      <c r="HH67">
        <v>3.2909999999999999</v>
      </c>
      <c r="HI67">
        <v>9999</v>
      </c>
      <c r="HJ67">
        <v>9999</v>
      </c>
      <c r="HK67">
        <v>9999</v>
      </c>
      <c r="HL67">
        <v>999.9</v>
      </c>
      <c r="HM67">
        <v>1.87022</v>
      </c>
      <c r="HN67">
        <v>1.8765400000000001</v>
      </c>
      <c r="HO67">
        <v>1.87439</v>
      </c>
      <c r="HP67">
        <v>1.87256</v>
      </c>
      <c r="HQ67">
        <v>1.8730199999999999</v>
      </c>
      <c r="HR67">
        <v>1.87042</v>
      </c>
      <c r="HS67">
        <v>1.8763700000000001</v>
      </c>
      <c r="HT67">
        <v>1.8754200000000001</v>
      </c>
      <c r="HU67">
        <v>5</v>
      </c>
      <c r="HV67">
        <v>0</v>
      </c>
      <c r="HW67">
        <v>0</v>
      </c>
      <c r="HX67">
        <v>0</v>
      </c>
      <c r="HY67" t="s">
        <v>423</v>
      </c>
      <c r="HZ67" t="s">
        <v>424</v>
      </c>
      <c r="IA67" t="s">
        <v>425</v>
      </c>
      <c r="IB67" t="s">
        <v>425</v>
      </c>
      <c r="IC67" t="s">
        <v>425</v>
      </c>
      <c r="ID67" t="s">
        <v>425</v>
      </c>
      <c r="IE67">
        <v>0</v>
      </c>
      <c r="IF67">
        <v>100</v>
      </c>
      <c r="IG67">
        <v>100</v>
      </c>
      <c r="IH67">
        <v>-2.5070000000000001</v>
      </c>
      <c r="II67">
        <v>0.48180000000000001</v>
      </c>
      <c r="IJ67">
        <v>-1.784456064956893</v>
      </c>
      <c r="IK67">
        <v>-2.677719669153116E-3</v>
      </c>
      <c r="IL67">
        <v>1.9353498771248068E-6</v>
      </c>
      <c r="IM67">
        <v>-6.1862177325538213E-10</v>
      </c>
      <c r="IN67">
        <v>-0.13651699524350819</v>
      </c>
      <c r="IO67">
        <v>-1.5299015507423901E-2</v>
      </c>
      <c r="IP67">
        <v>1.742162107778985E-3</v>
      </c>
      <c r="IQ67">
        <v>-1.472690239905804E-5</v>
      </c>
      <c r="IR67">
        <v>3</v>
      </c>
      <c r="IS67">
        <v>2255</v>
      </c>
      <c r="IT67">
        <v>2</v>
      </c>
      <c r="IU67">
        <v>41</v>
      </c>
      <c r="IV67">
        <v>1.5</v>
      </c>
      <c r="IW67">
        <v>1.4</v>
      </c>
      <c r="IX67">
        <v>0.95947300000000002</v>
      </c>
      <c r="IY67">
        <v>2.49512</v>
      </c>
      <c r="IZ67">
        <v>1.6003400000000001</v>
      </c>
      <c r="JA67">
        <v>2.2717299999999998</v>
      </c>
      <c r="JB67">
        <v>1.5502899999999999</v>
      </c>
      <c r="JC67">
        <v>2.3327599999999999</v>
      </c>
      <c r="JD67">
        <v>34.967399999999998</v>
      </c>
      <c r="JE67">
        <v>23.8598</v>
      </c>
      <c r="JF67">
        <v>18</v>
      </c>
      <c r="JG67">
        <v>506.79700000000003</v>
      </c>
      <c r="JH67">
        <v>524.56500000000005</v>
      </c>
      <c r="JI67">
        <v>28.8384</v>
      </c>
      <c r="JJ67">
        <v>28.154199999999999</v>
      </c>
      <c r="JK67">
        <v>30.0001</v>
      </c>
      <c r="JL67">
        <v>28.148199999999999</v>
      </c>
      <c r="JM67">
        <v>28.115100000000002</v>
      </c>
      <c r="JN67">
        <v>19.226299999999998</v>
      </c>
      <c r="JO67">
        <v>27.1145</v>
      </c>
      <c r="JP67">
        <v>74.302499999999995</v>
      </c>
      <c r="JQ67">
        <v>28.834299999999999</v>
      </c>
      <c r="JR67">
        <v>400</v>
      </c>
      <c r="JS67">
        <v>22.803899999999999</v>
      </c>
      <c r="JT67">
        <v>99.629900000000006</v>
      </c>
      <c r="JU67">
        <v>99.22</v>
      </c>
    </row>
    <row r="68" spans="1:281" x14ac:dyDescent="0.25">
      <c r="A68">
        <v>52</v>
      </c>
      <c r="B68">
        <v>1693505581.5</v>
      </c>
      <c r="C68">
        <v>11601.900000095369</v>
      </c>
      <c r="D68" t="s">
        <v>680</v>
      </c>
      <c r="E68" t="s">
        <v>681</v>
      </c>
      <c r="F68" t="s">
        <v>413</v>
      </c>
      <c r="G68" t="s">
        <v>565</v>
      </c>
      <c r="H68" t="s">
        <v>636</v>
      </c>
      <c r="I68" t="s">
        <v>31</v>
      </c>
      <c r="J68">
        <v>1693505581.5</v>
      </c>
      <c r="K68">
        <f t="shared" si="46"/>
        <v>4.9667729627583422E-3</v>
      </c>
      <c r="L68">
        <f t="shared" si="47"/>
        <v>4.9667729627583421</v>
      </c>
      <c r="M68">
        <f t="shared" si="48"/>
        <v>47.520449024590128</v>
      </c>
      <c r="N68">
        <f t="shared" si="49"/>
        <v>440.55</v>
      </c>
      <c r="O68">
        <f t="shared" si="50"/>
        <v>210.24701763315724</v>
      </c>
      <c r="P68">
        <f t="shared" si="51"/>
        <v>20.945765718953357</v>
      </c>
      <c r="Q68">
        <f t="shared" si="52"/>
        <v>43.889598013635002</v>
      </c>
      <c r="R68">
        <f t="shared" si="53"/>
        <v>0.36126791644087819</v>
      </c>
      <c r="S68">
        <f t="shared" si="54"/>
        <v>2.9351852027703194</v>
      </c>
      <c r="T68">
        <f t="shared" si="55"/>
        <v>0.33825819595723255</v>
      </c>
      <c r="U68">
        <f t="shared" si="56"/>
        <v>0.21335646214964732</v>
      </c>
      <c r="V68">
        <f t="shared" si="57"/>
        <v>344.3567006583591</v>
      </c>
      <c r="W68">
        <f t="shared" si="58"/>
        <v>31.210752202648429</v>
      </c>
      <c r="X68">
        <f t="shared" si="59"/>
        <v>30.053100000000001</v>
      </c>
      <c r="Y68">
        <f t="shared" si="60"/>
        <v>4.2734615146232109</v>
      </c>
      <c r="Z68">
        <f t="shared" si="61"/>
        <v>65.395384194468292</v>
      </c>
      <c r="AA68">
        <f t="shared" si="62"/>
        <v>2.8630304066177401</v>
      </c>
      <c r="AB68">
        <f t="shared" si="63"/>
        <v>4.3780313272628808</v>
      </c>
      <c r="AC68">
        <f t="shared" si="64"/>
        <v>1.4104311080054708</v>
      </c>
      <c r="AD68">
        <f t="shared" si="65"/>
        <v>-219.03468765764288</v>
      </c>
      <c r="AE68">
        <f t="shared" si="66"/>
        <v>66.730526851644086</v>
      </c>
      <c r="AF68">
        <f t="shared" si="67"/>
        <v>5.068305959502915</v>
      </c>
      <c r="AG68">
        <f t="shared" si="68"/>
        <v>197.12084581186326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52422.356637929086</v>
      </c>
      <c r="AM68" t="s">
        <v>417</v>
      </c>
      <c r="AN68">
        <v>10238.9</v>
      </c>
      <c r="AO68">
        <v>302.21199999999999</v>
      </c>
      <c r="AP68">
        <v>4052.3</v>
      </c>
      <c r="AQ68">
        <f t="shared" si="72"/>
        <v>0.92542210596451402</v>
      </c>
      <c r="AR68">
        <v>-0.32343011824092421</v>
      </c>
      <c r="AS68" t="s">
        <v>682</v>
      </c>
      <c r="AT68">
        <v>10505.8</v>
      </c>
      <c r="AU68">
        <v>724.35292307692305</v>
      </c>
      <c r="AV68">
        <v>1109.995862175859</v>
      </c>
      <c r="AW68">
        <f t="shared" si="73"/>
        <v>0.34742736638944127</v>
      </c>
      <c r="AX68">
        <v>0.5</v>
      </c>
      <c r="AY68">
        <f t="shared" si="74"/>
        <v>1513.1262003291797</v>
      </c>
      <c r="AZ68">
        <f t="shared" si="75"/>
        <v>47.520449024590128</v>
      </c>
      <c r="BA68">
        <f t="shared" si="76"/>
        <v>262.8507253976145</v>
      </c>
      <c r="BB68">
        <f t="shared" si="77"/>
        <v>3.161922589961276E-2</v>
      </c>
      <c r="BC68">
        <f t="shared" si="78"/>
        <v>2.6507343298167951</v>
      </c>
      <c r="BD68">
        <f t="shared" si="79"/>
        <v>252.32987075081371</v>
      </c>
      <c r="BE68" t="s">
        <v>683</v>
      </c>
      <c r="BF68">
        <v>572.80999999999995</v>
      </c>
      <c r="BG68">
        <f t="shared" si="80"/>
        <v>572.80999999999995</v>
      </c>
      <c r="BH68">
        <f t="shared" si="81"/>
        <v>0.48395303125080613</v>
      </c>
      <c r="BI68">
        <f t="shared" si="82"/>
        <v>0.71789480374054904</v>
      </c>
      <c r="BJ68">
        <f t="shared" si="83"/>
        <v>0.84561362091115111</v>
      </c>
      <c r="BK68">
        <f t="shared" si="84"/>
        <v>0.47740857072851417</v>
      </c>
      <c r="BL68">
        <f t="shared" si="85"/>
        <v>0.78459602489972002</v>
      </c>
      <c r="BM68">
        <f t="shared" si="86"/>
        <v>0.56770299315400763</v>
      </c>
      <c r="BN68">
        <f t="shared" si="87"/>
        <v>0.43229700684599237</v>
      </c>
      <c r="BO68">
        <v>5790</v>
      </c>
      <c r="BP68">
        <v>290.00000000000011</v>
      </c>
      <c r="BQ68">
        <v>996.34</v>
      </c>
      <c r="BR68">
        <v>175</v>
      </c>
      <c r="BS68">
        <v>10505.8</v>
      </c>
      <c r="BT68">
        <v>995.22</v>
      </c>
      <c r="BU68">
        <v>1.1200000000000001</v>
      </c>
      <c r="BV68">
        <v>300.00000000000011</v>
      </c>
      <c r="BW68">
        <v>38.200000000000003</v>
      </c>
      <c r="BX68">
        <v>1109.995862175859</v>
      </c>
      <c r="BY68">
        <v>1.491734701300234</v>
      </c>
      <c r="BZ68">
        <v>-120.57698450078109</v>
      </c>
      <c r="CA68">
        <v>1.2823530491473041</v>
      </c>
      <c r="CB68">
        <v>0.99684302468304342</v>
      </c>
      <c r="CC68">
        <v>-1.139829010011123E-2</v>
      </c>
      <c r="CD68">
        <v>289.99999999999989</v>
      </c>
      <c r="CE68">
        <v>980.54</v>
      </c>
      <c r="CF68">
        <v>655</v>
      </c>
      <c r="CG68">
        <v>10476</v>
      </c>
      <c r="CH68">
        <v>994.9</v>
      </c>
      <c r="CI68">
        <v>-14.36</v>
      </c>
      <c r="CW68">
        <f t="shared" si="88"/>
        <v>1799.93</v>
      </c>
      <c r="CX68">
        <f t="shared" si="89"/>
        <v>1513.1262003291797</v>
      </c>
      <c r="CY68">
        <f t="shared" si="90"/>
        <v>0.8406583591190655</v>
      </c>
      <c r="CZ68">
        <f t="shared" si="91"/>
        <v>0.19131671823813098</v>
      </c>
      <c r="DA68">
        <v>6</v>
      </c>
      <c r="DB68">
        <v>0.5</v>
      </c>
      <c r="DC68" t="s">
        <v>420</v>
      </c>
      <c r="DD68">
        <v>2</v>
      </c>
      <c r="DE68">
        <v>1693505581.5</v>
      </c>
      <c r="DF68">
        <v>440.55</v>
      </c>
      <c r="DG68">
        <v>500.20600000000002</v>
      </c>
      <c r="DH68">
        <v>28.738199999999999</v>
      </c>
      <c r="DI68">
        <v>22.948799999999999</v>
      </c>
      <c r="DJ68">
        <v>443.17200000000003</v>
      </c>
      <c r="DK68">
        <v>28.244</v>
      </c>
      <c r="DL68">
        <v>499.952</v>
      </c>
      <c r="DM68">
        <v>99.525400000000005</v>
      </c>
      <c r="DN68">
        <v>9.9155699999999999E-2</v>
      </c>
      <c r="DO68">
        <v>30.474799999999998</v>
      </c>
      <c r="DP68">
        <v>30.053100000000001</v>
      </c>
      <c r="DQ68">
        <v>999.9</v>
      </c>
      <c r="DR68">
        <v>0</v>
      </c>
      <c r="DS68">
        <v>0</v>
      </c>
      <c r="DT68">
        <v>10080</v>
      </c>
      <c r="DU68">
        <v>0</v>
      </c>
      <c r="DV68">
        <v>1577.41</v>
      </c>
      <c r="DW68">
        <v>-59.655799999999999</v>
      </c>
      <c r="DX68">
        <v>453.58600000000001</v>
      </c>
      <c r="DY68">
        <v>511.95499999999998</v>
      </c>
      <c r="DZ68">
        <v>5.7894600000000001</v>
      </c>
      <c r="EA68">
        <v>500.20600000000002</v>
      </c>
      <c r="EB68">
        <v>22.948799999999999</v>
      </c>
      <c r="EC68">
        <v>2.8601800000000002</v>
      </c>
      <c r="ED68">
        <v>2.2839800000000001</v>
      </c>
      <c r="EE68">
        <v>23.235600000000002</v>
      </c>
      <c r="EF68">
        <v>19.5639</v>
      </c>
      <c r="EG68">
        <v>1799.93</v>
      </c>
      <c r="EH68">
        <v>0.97799499999999995</v>
      </c>
      <c r="EI68">
        <v>2.2005400000000001E-2</v>
      </c>
      <c r="EJ68">
        <v>0</v>
      </c>
      <c r="EK68">
        <v>725.226</v>
      </c>
      <c r="EL68">
        <v>4.9995000000000003</v>
      </c>
      <c r="EM68">
        <v>13921.9</v>
      </c>
      <c r="EN68">
        <v>16659.2</v>
      </c>
      <c r="EO68">
        <v>44.936999999999998</v>
      </c>
      <c r="EP68">
        <v>45.561999999999998</v>
      </c>
      <c r="EQ68">
        <v>45.75</v>
      </c>
      <c r="ER68">
        <v>44.5</v>
      </c>
      <c r="ES68">
        <v>46.375</v>
      </c>
      <c r="ET68">
        <v>1755.43</v>
      </c>
      <c r="EU68">
        <v>39.5</v>
      </c>
      <c r="EV68">
        <v>0</v>
      </c>
      <c r="EW68">
        <v>113.5999999046326</v>
      </c>
      <c r="EX68">
        <v>0</v>
      </c>
      <c r="EY68">
        <v>724.35292307692305</v>
      </c>
      <c r="EZ68">
        <v>5.742290614838069</v>
      </c>
      <c r="FA68">
        <v>97.904273505602916</v>
      </c>
      <c r="FB68">
        <v>13907.780769230771</v>
      </c>
      <c r="FC68">
        <v>15</v>
      </c>
      <c r="FD68">
        <v>1693505553</v>
      </c>
      <c r="FE68" t="s">
        <v>684</v>
      </c>
      <c r="FF68">
        <v>1693505537</v>
      </c>
      <c r="FG68">
        <v>1693505553</v>
      </c>
      <c r="FH68">
        <v>60</v>
      </c>
      <c r="FI68">
        <v>2.3E-2</v>
      </c>
      <c r="FJ68">
        <v>5.0000000000000001E-3</v>
      </c>
      <c r="FK68">
        <v>-2.6970000000000001</v>
      </c>
      <c r="FL68">
        <v>0.24099999999999999</v>
      </c>
      <c r="FM68">
        <v>500</v>
      </c>
      <c r="FN68">
        <v>23</v>
      </c>
      <c r="FO68">
        <v>0.09</v>
      </c>
      <c r="FP68">
        <v>0.04</v>
      </c>
      <c r="FQ68">
        <v>47.33066535759049</v>
      </c>
      <c r="FR68">
        <v>-0.34910192089320902</v>
      </c>
      <c r="FS68">
        <v>8.0543304931869272E-2</v>
      </c>
      <c r="FT68">
        <v>1</v>
      </c>
      <c r="FU68">
        <v>0.36760433273795479</v>
      </c>
      <c r="FV68">
        <v>3.104086157449051E-2</v>
      </c>
      <c r="FW68">
        <v>7.5798709715475462E-3</v>
      </c>
      <c r="FX68">
        <v>1</v>
      </c>
      <c r="FY68">
        <v>2</v>
      </c>
      <c r="FZ68">
        <v>2</v>
      </c>
      <c r="GA68" t="s">
        <v>422</v>
      </c>
      <c r="GB68">
        <v>2.9729100000000002</v>
      </c>
      <c r="GC68">
        <v>2.81155</v>
      </c>
      <c r="GD68">
        <v>0.10591</v>
      </c>
      <c r="GE68">
        <v>0.114619</v>
      </c>
      <c r="GF68">
        <v>0.13625999999999999</v>
      </c>
      <c r="GG68">
        <v>0.116201</v>
      </c>
      <c r="GH68">
        <v>26550.6</v>
      </c>
      <c r="GI68">
        <v>24246.2</v>
      </c>
      <c r="GJ68">
        <v>26678</v>
      </c>
      <c r="GK68">
        <v>25821</v>
      </c>
      <c r="GL68">
        <v>31324.6</v>
      </c>
      <c r="GM68">
        <v>32133.200000000001</v>
      </c>
      <c r="GN68">
        <v>37781.699999999997</v>
      </c>
      <c r="GO68">
        <v>38190.400000000001</v>
      </c>
      <c r="GP68">
        <v>2.0131000000000001</v>
      </c>
      <c r="GQ68">
        <v>2.0901999999999998</v>
      </c>
      <c r="GR68">
        <v>6.7591700000000005E-2</v>
      </c>
      <c r="GS68">
        <v>0</v>
      </c>
      <c r="GT68">
        <v>28.952200000000001</v>
      </c>
      <c r="GU68">
        <v>999.9</v>
      </c>
      <c r="GV68">
        <v>61</v>
      </c>
      <c r="GW68">
        <v>30.8</v>
      </c>
      <c r="GX68">
        <v>27.3367</v>
      </c>
      <c r="GY68">
        <v>60.617699999999999</v>
      </c>
      <c r="GZ68">
        <v>13.77</v>
      </c>
      <c r="HA68">
        <v>1</v>
      </c>
      <c r="HB68">
        <v>5.2093500000000001E-2</v>
      </c>
      <c r="HC68">
        <v>0.28606799999999999</v>
      </c>
      <c r="HD68">
        <v>20.258099999999999</v>
      </c>
      <c r="HE68">
        <v>5.2107000000000001</v>
      </c>
      <c r="HF68">
        <v>11.9321</v>
      </c>
      <c r="HG68">
        <v>4.9893999999999998</v>
      </c>
      <c r="HH68">
        <v>3.2909999999999999</v>
      </c>
      <c r="HI68">
        <v>9999</v>
      </c>
      <c r="HJ68">
        <v>9999</v>
      </c>
      <c r="HK68">
        <v>9999</v>
      </c>
      <c r="HL68">
        <v>999.9</v>
      </c>
      <c r="HM68">
        <v>1.8702700000000001</v>
      </c>
      <c r="HN68">
        <v>1.87663</v>
      </c>
      <c r="HO68">
        <v>1.87439</v>
      </c>
      <c r="HP68">
        <v>1.8726700000000001</v>
      </c>
      <c r="HQ68">
        <v>1.8731100000000001</v>
      </c>
      <c r="HR68">
        <v>1.8704799999999999</v>
      </c>
      <c r="HS68">
        <v>1.8763700000000001</v>
      </c>
      <c r="HT68">
        <v>1.8754599999999999</v>
      </c>
      <c r="HU68">
        <v>5</v>
      </c>
      <c r="HV68">
        <v>0</v>
      </c>
      <c r="HW68">
        <v>0</v>
      </c>
      <c r="HX68">
        <v>0</v>
      </c>
      <c r="HY68" t="s">
        <v>423</v>
      </c>
      <c r="HZ68" t="s">
        <v>424</v>
      </c>
      <c r="IA68" t="s">
        <v>425</v>
      </c>
      <c r="IB68" t="s">
        <v>425</v>
      </c>
      <c r="IC68" t="s">
        <v>425</v>
      </c>
      <c r="ID68" t="s">
        <v>425</v>
      </c>
      <c r="IE68">
        <v>0</v>
      </c>
      <c r="IF68">
        <v>100</v>
      </c>
      <c r="IG68">
        <v>100</v>
      </c>
      <c r="IH68">
        <v>-2.6219999999999999</v>
      </c>
      <c r="II68">
        <v>0.49419999999999997</v>
      </c>
      <c r="IJ68">
        <v>-1.7615090606892509</v>
      </c>
      <c r="IK68">
        <v>-2.677719669153116E-3</v>
      </c>
      <c r="IL68">
        <v>1.9353498771248068E-6</v>
      </c>
      <c r="IM68">
        <v>-6.1862177325538213E-10</v>
      </c>
      <c r="IN68">
        <v>-0.13160775227441221</v>
      </c>
      <c r="IO68">
        <v>-1.5299015507423901E-2</v>
      </c>
      <c r="IP68">
        <v>1.742162107778985E-3</v>
      </c>
      <c r="IQ68">
        <v>-1.472690239905804E-5</v>
      </c>
      <c r="IR68">
        <v>3</v>
      </c>
      <c r="IS68">
        <v>2255</v>
      </c>
      <c r="IT68">
        <v>2</v>
      </c>
      <c r="IU68">
        <v>41</v>
      </c>
      <c r="IV68">
        <v>0.7</v>
      </c>
      <c r="IW68">
        <v>0.5</v>
      </c>
      <c r="IX68">
        <v>1.1450199999999999</v>
      </c>
      <c r="IY68">
        <v>2.4865699999999999</v>
      </c>
      <c r="IZ68">
        <v>1.6003400000000001</v>
      </c>
      <c r="JA68">
        <v>2.2729499999999998</v>
      </c>
      <c r="JB68">
        <v>1.5502899999999999</v>
      </c>
      <c r="JC68">
        <v>2.3852500000000001</v>
      </c>
      <c r="JD68">
        <v>35.3827</v>
      </c>
      <c r="JE68">
        <v>23.8598</v>
      </c>
      <c r="JF68">
        <v>18</v>
      </c>
      <c r="JG68">
        <v>505.99700000000001</v>
      </c>
      <c r="JH68">
        <v>525.29999999999995</v>
      </c>
      <c r="JI68">
        <v>27.969000000000001</v>
      </c>
      <c r="JJ68">
        <v>28.154199999999999</v>
      </c>
      <c r="JK68">
        <v>30.0002</v>
      </c>
      <c r="JL68">
        <v>28.1434</v>
      </c>
      <c r="JM68">
        <v>28.1065</v>
      </c>
      <c r="JN68">
        <v>22.938400000000001</v>
      </c>
      <c r="JO68">
        <v>27.143000000000001</v>
      </c>
      <c r="JP68">
        <v>74.984300000000005</v>
      </c>
      <c r="JQ68">
        <v>27.9786</v>
      </c>
      <c r="JR68">
        <v>500</v>
      </c>
      <c r="JS68">
        <v>22.969100000000001</v>
      </c>
      <c r="JT68">
        <v>99.628600000000006</v>
      </c>
      <c r="JU68">
        <v>99.219800000000006</v>
      </c>
    </row>
    <row r="69" spans="1:281" x14ac:dyDescent="0.25">
      <c r="A69">
        <v>53</v>
      </c>
      <c r="B69">
        <v>1693505697.5</v>
      </c>
      <c r="C69">
        <v>11717.900000095369</v>
      </c>
      <c r="D69" t="s">
        <v>685</v>
      </c>
      <c r="E69" t="s">
        <v>686</v>
      </c>
      <c r="F69" t="s">
        <v>413</v>
      </c>
      <c r="G69" t="s">
        <v>565</v>
      </c>
      <c r="H69" t="s">
        <v>636</v>
      </c>
      <c r="I69" t="s">
        <v>31</v>
      </c>
      <c r="J69">
        <v>1693505697.5</v>
      </c>
      <c r="K69">
        <f t="shared" si="46"/>
        <v>4.7805092107393067E-3</v>
      </c>
      <c r="L69">
        <f t="shared" si="47"/>
        <v>4.7805092107393063</v>
      </c>
      <c r="M69">
        <f t="shared" si="48"/>
        <v>48.614627370778138</v>
      </c>
      <c r="N69">
        <f t="shared" si="49"/>
        <v>638.15599999999995</v>
      </c>
      <c r="O69">
        <f t="shared" si="50"/>
        <v>387.10173725642727</v>
      </c>
      <c r="P69">
        <f t="shared" si="51"/>
        <v>38.562994935425678</v>
      </c>
      <c r="Q69">
        <f t="shared" si="52"/>
        <v>63.572968621707993</v>
      </c>
      <c r="R69">
        <f t="shared" si="53"/>
        <v>0.34362191874540543</v>
      </c>
      <c r="S69">
        <f t="shared" si="54"/>
        <v>2.914086045267327</v>
      </c>
      <c r="T69">
        <f t="shared" si="55"/>
        <v>0.32259409658785981</v>
      </c>
      <c r="U69">
        <f t="shared" si="56"/>
        <v>0.20340325569816886</v>
      </c>
      <c r="V69">
        <f t="shared" si="57"/>
        <v>344.3491006583738</v>
      </c>
      <c r="W69">
        <f t="shared" si="58"/>
        <v>31.130393209084811</v>
      </c>
      <c r="X69">
        <f t="shared" si="59"/>
        <v>29.995100000000001</v>
      </c>
      <c r="Y69">
        <f t="shared" si="60"/>
        <v>4.2592508074328181</v>
      </c>
      <c r="Z69">
        <f t="shared" si="61"/>
        <v>65.26642462580557</v>
      </c>
      <c r="AA69">
        <f t="shared" si="62"/>
        <v>2.8355578639934</v>
      </c>
      <c r="AB69">
        <f t="shared" si="63"/>
        <v>4.3445889371918414</v>
      </c>
      <c r="AC69">
        <f t="shared" si="64"/>
        <v>1.4236929434394181</v>
      </c>
      <c r="AD69">
        <f t="shared" si="65"/>
        <v>-210.82045619360343</v>
      </c>
      <c r="AE69">
        <f t="shared" si="66"/>
        <v>54.326634736494043</v>
      </c>
      <c r="AF69">
        <f t="shared" si="67"/>
        <v>4.1521387482127965</v>
      </c>
      <c r="AG69">
        <f t="shared" si="68"/>
        <v>192.0074179494772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51843.584213542796</v>
      </c>
      <c r="AM69" t="s">
        <v>417</v>
      </c>
      <c r="AN69">
        <v>10238.9</v>
      </c>
      <c r="AO69">
        <v>302.21199999999999</v>
      </c>
      <c r="AP69">
        <v>4052.3</v>
      </c>
      <c r="AQ69">
        <f t="shared" si="72"/>
        <v>0.92542210596451402</v>
      </c>
      <c r="AR69">
        <v>-0.32343011824092421</v>
      </c>
      <c r="AS69" t="s">
        <v>687</v>
      </c>
      <c r="AT69">
        <v>10493.8</v>
      </c>
      <c r="AU69">
        <v>733.83084000000008</v>
      </c>
      <c r="AV69">
        <v>1138.1317090399709</v>
      </c>
      <c r="AW69">
        <f t="shared" si="73"/>
        <v>0.35523205779145184</v>
      </c>
      <c r="AX69">
        <v>0.5</v>
      </c>
      <c r="AY69">
        <f t="shared" si="74"/>
        <v>1513.0926003291868</v>
      </c>
      <c r="AZ69">
        <f t="shared" si="75"/>
        <v>48.614627370778138</v>
      </c>
      <c r="BA69">
        <f t="shared" si="76"/>
        <v>268.7494990219779</v>
      </c>
      <c r="BB69">
        <f t="shared" si="77"/>
        <v>3.2343068413904177E-2</v>
      </c>
      <c r="BC69">
        <f t="shared" si="78"/>
        <v>2.5604842285065308</v>
      </c>
      <c r="BD69">
        <f t="shared" si="79"/>
        <v>253.75590821913639</v>
      </c>
      <c r="BE69" t="s">
        <v>688</v>
      </c>
      <c r="BF69">
        <v>580.4</v>
      </c>
      <c r="BG69">
        <f t="shared" si="80"/>
        <v>580.4</v>
      </c>
      <c r="BH69">
        <f t="shared" si="81"/>
        <v>0.49004144653031856</v>
      </c>
      <c r="BI69">
        <f t="shared" si="82"/>
        <v>0.72490206758353026</v>
      </c>
      <c r="BJ69">
        <f t="shared" si="83"/>
        <v>0.83935836025231991</v>
      </c>
      <c r="BK69">
        <f t="shared" si="84"/>
        <v>0.48365993129208357</v>
      </c>
      <c r="BL69">
        <f t="shared" si="85"/>
        <v>0.77709330846636915</v>
      </c>
      <c r="BM69">
        <f t="shared" si="86"/>
        <v>0.57333807342504295</v>
      </c>
      <c r="BN69">
        <f t="shared" si="87"/>
        <v>0.42666192657495705</v>
      </c>
      <c r="BO69">
        <v>5792</v>
      </c>
      <c r="BP69">
        <v>290.00000000000011</v>
      </c>
      <c r="BQ69">
        <v>1021.02</v>
      </c>
      <c r="BR69">
        <v>245</v>
      </c>
      <c r="BS69">
        <v>10493.8</v>
      </c>
      <c r="BT69">
        <v>1019.04</v>
      </c>
      <c r="BU69">
        <v>1.98</v>
      </c>
      <c r="BV69">
        <v>300.00000000000011</v>
      </c>
      <c r="BW69">
        <v>38.200000000000003</v>
      </c>
      <c r="BX69">
        <v>1138.1317090399709</v>
      </c>
      <c r="BY69">
        <v>1.5749103128224979</v>
      </c>
      <c r="BZ69">
        <v>-124.97188208697651</v>
      </c>
      <c r="CA69">
        <v>1.353837162340825</v>
      </c>
      <c r="CB69">
        <v>0.99672477209891863</v>
      </c>
      <c r="CC69">
        <v>-1.1398309677419361E-2</v>
      </c>
      <c r="CD69">
        <v>289.99999999999989</v>
      </c>
      <c r="CE69">
        <v>1003.86</v>
      </c>
      <c r="CF69">
        <v>635</v>
      </c>
      <c r="CG69">
        <v>10477.9</v>
      </c>
      <c r="CH69">
        <v>1018.86</v>
      </c>
      <c r="CI69">
        <v>-15</v>
      </c>
      <c r="CW69">
        <f t="shared" si="88"/>
        <v>1799.89</v>
      </c>
      <c r="CX69">
        <f t="shared" si="89"/>
        <v>1513.0926003291868</v>
      </c>
      <c r="CY69">
        <f t="shared" si="90"/>
        <v>0.84065837375016628</v>
      </c>
      <c r="CZ69">
        <f t="shared" si="91"/>
        <v>0.19131674750033267</v>
      </c>
      <c r="DA69">
        <v>6</v>
      </c>
      <c r="DB69">
        <v>0.5</v>
      </c>
      <c r="DC69" t="s">
        <v>420</v>
      </c>
      <c r="DD69">
        <v>2</v>
      </c>
      <c r="DE69">
        <v>1693505697.5</v>
      </c>
      <c r="DF69">
        <v>638.15599999999995</v>
      </c>
      <c r="DG69">
        <v>700.14300000000003</v>
      </c>
      <c r="DH69">
        <v>28.463799999999999</v>
      </c>
      <c r="DI69">
        <v>22.891500000000001</v>
      </c>
      <c r="DJ69">
        <v>641.11199999999997</v>
      </c>
      <c r="DK69">
        <v>27.993400000000001</v>
      </c>
      <c r="DL69">
        <v>500.09199999999998</v>
      </c>
      <c r="DM69">
        <v>99.519199999999998</v>
      </c>
      <c r="DN69">
        <v>0.100593</v>
      </c>
      <c r="DO69">
        <v>30.340900000000001</v>
      </c>
      <c r="DP69">
        <v>29.995100000000001</v>
      </c>
      <c r="DQ69">
        <v>999.9</v>
      </c>
      <c r="DR69">
        <v>0</v>
      </c>
      <c r="DS69">
        <v>0</v>
      </c>
      <c r="DT69">
        <v>9960</v>
      </c>
      <c r="DU69">
        <v>0</v>
      </c>
      <c r="DV69">
        <v>1569.54</v>
      </c>
      <c r="DW69">
        <v>-61.9878</v>
      </c>
      <c r="DX69">
        <v>656.85199999999998</v>
      </c>
      <c r="DY69">
        <v>716.54600000000005</v>
      </c>
      <c r="DZ69">
        <v>5.5723399999999996</v>
      </c>
      <c r="EA69">
        <v>700.14300000000003</v>
      </c>
      <c r="EB69">
        <v>22.891500000000001</v>
      </c>
      <c r="EC69">
        <v>2.8327</v>
      </c>
      <c r="ED69">
        <v>2.2781400000000001</v>
      </c>
      <c r="EE69">
        <v>23.075900000000001</v>
      </c>
      <c r="EF69">
        <v>19.5227</v>
      </c>
      <c r="EG69">
        <v>1799.89</v>
      </c>
      <c r="EH69">
        <v>0.97799499999999995</v>
      </c>
      <c r="EI69">
        <v>2.2005400000000001E-2</v>
      </c>
      <c r="EJ69">
        <v>0</v>
      </c>
      <c r="EK69">
        <v>733.90300000000002</v>
      </c>
      <c r="EL69">
        <v>4.9995000000000003</v>
      </c>
      <c r="EM69">
        <v>14069.8</v>
      </c>
      <c r="EN69">
        <v>16658.7</v>
      </c>
      <c r="EO69">
        <v>44.936999999999998</v>
      </c>
      <c r="EP69">
        <v>45.5</v>
      </c>
      <c r="EQ69">
        <v>45.75</v>
      </c>
      <c r="ER69">
        <v>44.5</v>
      </c>
      <c r="ES69">
        <v>46.375</v>
      </c>
      <c r="ET69">
        <v>1755.39</v>
      </c>
      <c r="EU69">
        <v>39.5</v>
      </c>
      <c r="EV69">
        <v>0</v>
      </c>
      <c r="EW69">
        <v>114</v>
      </c>
      <c r="EX69">
        <v>0</v>
      </c>
      <c r="EY69">
        <v>733.83084000000008</v>
      </c>
      <c r="EZ69">
        <v>0.45884614077331781</v>
      </c>
      <c r="FA69">
        <v>-15.7153845870473</v>
      </c>
      <c r="FB69">
        <v>14072.948</v>
      </c>
      <c r="FC69">
        <v>15</v>
      </c>
      <c r="FD69">
        <v>1693505667</v>
      </c>
      <c r="FE69" t="s">
        <v>689</v>
      </c>
      <c r="FF69">
        <v>1693505667</v>
      </c>
      <c r="FG69">
        <v>1693505662.5</v>
      </c>
      <c r="FH69">
        <v>61</v>
      </c>
      <c r="FI69">
        <v>-0.111</v>
      </c>
      <c r="FJ69">
        <v>-1.2E-2</v>
      </c>
      <c r="FK69">
        <v>-3.0139999999999998</v>
      </c>
      <c r="FL69">
        <v>0.22800000000000001</v>
      </c>
      <c r="FM69">
        <v>700</v>
      </c>
      <c r="FN69">
        <v>23</v>
      </c>
      <c r="FO69">
        <v>0.12</v>
      </c>
      <c r="FP69">
        <v>0.04</v>
      </c>
      <c r="FQ69">
        <v>48.410588897919027</v>
      </c>
      <c r="FR69">
        <v>-0.36220352537851952</v>
      </c>
      <c r="FS69">
        <v>8.5037336416819945E-2</v>
      </c>
      <c r="FT69">
        <v>1</v>
      </c>
      <c r="FU69">
        <v>0.35158798030610089</v>
      </c>
      <c r="FV69">
        <v>-2.1902100675592499E-2</v>
      </c>
      <c r="FW69">
        <v>2.8451284964214978E-3</v>
      </c>
      <c r="FX69">
        <v>1</v>
      </c>
      <c r="FY69">
        <v>2</v>
      </c>
      <c r="FZ69">
        <v>2</v>
      </c>
      <c r="GA69" t="s">
        <v>422</v>
      </c>
      <c r="GB69">
        <v>2.9733000000000001</v>
      </c>
      <c r="GC69">
        <v>2.8119399999999999</v>
      </c>
      <c r="GD69">
        <v>0.13844100000000001</v>
      </c>
      <c r="GE69">
        <v>0.145533</v>
      </c>
      <c r="GF69">
        <v>0.13541500000000001</v>
      </c>
      <c r="GG69">
        <v>0.115997</v>
      </c>
      <c r="GH69">
        <v>25587.5</v>
      </c>
      <c r="GI69">
        <v>23401.3</v>
      </c>
      <c r="GJ69">
        <v>26680.799999999999</v>
      </c>
      <c r="GK69">
        <v>25822.7</v>
      </c>
      <c r="GL69">
        <v>31361.5</v>
      </c>
      <c r="GM69">
        <v>32144</v>
      </c>
      <c r="GN69">
        <v>37785.4</v>
      </c>
      <c r="GO69">
        <v>38191.9</v>
      </c>
      <c r="GP69">
        <v>2.0135999999999998</v>
      </c>
      <c r="GQ69">
        <v>2.0903999999999998</v>
      </c>
      <c r="GR69">
        <v>6.6161200000000003E-2</v>
      </c>
      <c r="GS69">
        <v>0</v>
      </c>
      <c r="GT69">
        <v>28.917400000000001</v>
      </c>
      <c r="GU69">
        <v>999.9</v>
      </c>
      <c r="GV69">
        <v>61.1</v>
      </c>
      <c r="GW69">
        <v>30.8</v>
      </c>
      <c r="GX69">
        <v>27.381699999999999</v>
      </c>
      <c r="GY69">
        <v>61.407699999999998</v>
      </c>
      <c r="GZ69">
        <v>13.75</v>
      </c>
      <c r="HA69">
        <v>1</v>
      </c>
      <c r="HB69">
        <v>4.8506100000000003E-2</v>
      </c>
      <c r="HC69">
        <v>-0.12942300000000001</v>
      </c>
      <c r="HD69">
        <v>20.258400000000002</v>
      </c>
      <c r="HE69">
        <v>5.2107000000000001</v>
      </c>
      <c r="HF69">
        <v>11.9321</v>
      </c>
      <c r="HG69">
        <v>4.9878</v>
      </c>
      <c r="HH69">
        <v>3.2909999999999999</v>
      </c>
      <c r="HI69">
        <v>9999</v>
      </c>
      <c r="HJ69">
        <v>9999</v>
      </c>
      <c r="HK69">
        <v>9999</v>
      </c>
      <c r="HL69">
        <v>999.9</v>
      </c>
      <c r="HM69">
        <v>1.87039</v>
      </c>
      <c r="HN69">
        <v>1.8766799999999999</v>
      </c>
      <c r="HO69">
        <v>1.8744400000000001</v>
      </c>
      <c r="HP69">
        <v>1.8727100000000001</v>
      </c>
      <c r="HQ69">
        <v>1.87317</v>
      </c>
      <c r="HR69">
        <v>1.8705700000000001</v>
      </c>
      <c r="HS69">
        <v>1.8765099999999999</v>
      </c>
      <c r="HT69">
        <v>1.87547</v>
      </c>
      <c r="HU69">
        <v>5</v>
      </c>
      <c r="HV69">
        <v>0</v>
      </c>
      <c r="HW69">
        <v>0</v>
      </c>
      <c r="HX69">
        <v>0</v>
      </c>
      <c r="HY69" t="s">
        <v>423</v>
      </c>
      <c r="HZ69" t="s">
        <v>424</v>
      </c>
      <c r="IA69" t="s">
        <v>425</v>
      </c>
      <c r="IB69" t="s">
        <v>425</v>
      </c>
      <c r="IC69" t="s">
        <v>425</v>
      </c>
      <c r="ID69" t="s">
        <v>425</v>
      </c>
      <c r="IE69">
        <v>0</v>
      </c>
      <c r="IF69">
        <v>100</v>
      </c>
      <c r="IG69">
        <v>100</v>
      </c>
      <c r="IH69">
        <v>-2.956</v>
      </c>
      <c r="II69">
        <v>0.47039999999999998</v>
      </c>
      <c r="IJ69">
        <v>-1.8726343506703409</v>
      </c>
      <c r="IK69">
        <v>-2.677719669153116E-3</v>
      </c>
      <c r="IL69">
        <v>1.9353498771248068E-6</v>
      </c>
      <c r="IM69">
        <v>-6.1862177325538213E-10</v>
      </c>
      <c r="IN69">
        <v>-0.14345172483919419</v>
      </c>
      <c r="IO69">
        <v>-1.5299015507423901E-2</v>
      </c>
      <c r="IP69">
        <v>1.742162107778985E-3</v>
      </c>
      <c r="IQ69">
        <v>-1.472690239905804E-5</v>
      </c>
      <c r="IR69">
        <v>3</v>
      </c>
      <c r="IS69">
        <v>2255</v>
      </c>
      <c r="IT69">
        <v>2</v>
      </c>
      <c r="IU69">
        <v>41</v>
      </c>
      <c r="IV69">
        <v>0.5</v>
      </c>
      <c r="IW69">
        <v>0.6</v>
      </c>
      <c r="IX69">
        <v>1.50146</v>
      </c>
      <c r="IY69">
        <v>2.4841299999999999</v>
      </c>
      <c r="IZ69">
        <v>1.6003400000000001</v>
      </c>
      <c r="JA69">
        <v>2.2741699999999998</v>
      </c>
      <c r="JB69">
        <v>1.5502899999999999</v>
      </c>
      <c r="JC69">
        <v>2.3986800000000001</v>
      </c>
      <c r="JD69">
        <v>35.707799999999999</v>
      </c>
      <c r="JE69">
        <v>23.868600000000001</v>
      </c>
      <c r="JF69">
        <v>18</v>
      </c>
      <c r="JG69">
        <v>506.09100000000001</v>
      </c>
      <c r="JH69">
        <v>525.202</v>
      </c>
      <c r="JI69">
        <v>28.095400000000001</v>
      </c>
      <c r="JJ69">
        <v>28.130199999999999</v>
      </c>
      <c r="JK69">
        <v>30.0002</v>
      </c>
      <c r="JL69">
        <v>28.117599999999999</v>
      </c>
      <c r="JM69">
        <v>28.081800000000001</v>
      </c>
      <c r="JN69">
        <v>30.0562</v>
      </c>
      <c r="JO69">
        <v>27.366099999999999</v>
      </c>
      <c r="JP69">
        <v>75.164599999999993</v>
      </c>
      <c r="JQ69">
        <v>28.1037</v>
      </c>
      <c r="JR69">
        <v>700</v>
      </c>
      <c r="JS69">
        <v>22.976800000000001</v>
      </c>
      <c r="JT69">
        <v>99.6387</v>
      </c>
      <c r="JU69">
        <v>99.224699999999999</v>
      </c>
    </row>
    <row r="70" spans="1:281" x14ac:dyDescent="0.25">
      <c r="A70">
        <v>54</v>
      </c>
      <c r="B70">
        <v>1693505803</v>
      </c>
      <c r="C70">
        <v>11823.400000095369</v>
      </c>
      <c r="D70" t="s">
        <v>690</v>
      </c>
      <c r="E70" t="s">
        <v>691</v>
      </c>
      <c r="F70" t="s">
        <v>413</v>
      </c>
      <c r="G70" t="s">
        <v>565</v>
      </c>
      <c r="H70" t="s">
        <v>636</v>
      </c>
      <c r="I70" t="s">
        <v>31</v>
      </c>
      <c r="J70">
        <v>1693505803</v>
      </c>
      <c r="K70">
        <f t="shared" si="46"/>
        <v>4.4723045623747204E-3</v>
      </c>
      <c r="L70">
        <f t="shared" si="47"/>
        <v>4.4723045623747204</v>
      </c>
      <c r="M70">
        <f t="shared" si="48"/>
        <v>48.347439873530327</v>
      </c>
      <c r="N70">
        <f t="shared" si="49"/>
        <v>837.71500000000003</v>
      </c>
      <c r="O70">
        <f t="shared" si="50"/>
        <v>567.12844478922682</v>
      </c>
      <c r="P70">
        <f t="shared" si="51"/>
        <v>56.496139028884272</v>
      </c>
      <c r="Q70">
        <f t="shared" si="52"/>
        <v>83.451400721349998</v>
      </c>
      <c r="R70">
        <f t="shared" si="53"/>
        <v>0.32031356275314582</v>
      </c>
      <c r="S70">
        <f t="shared" si="54"/>
        <v>2.9140631954329423</v>
      </c>
      <c r="T70">
        <f t="shared" si="55"/>
        <v>0.30195978812149799</v>
      </c>
      <c r="U70">
        <f t="shared" si="56"/>
        <v>0.19028618664072075</v>
      </c>
      <c r="V70">
        <f t="shared" si="57"/>
        <v>344.37950065831524</v>
      </c>
      <c r="W70">
        <f t="shared" si="58"/>
        <v>31.095012433228174</v>
      </c>
      <c r="X70">
        <f t="shared" si="59"/>
        <v>29.928699999999999</v>
      </c>
      <c r="Y70">
        <f t="shared" si="60"/>
        <v>4.243032575332391</v>
      </c>
      <c r="Z70">
        <f t="shared" si="61"/>
        <v>65.339108972269699</v>
      </c>
      <c r="AA70">
        <f t="shared" si="62"/>
        <v>2.8199035358080007</v>
      </c>
      <c r="AB70">
        <f t="shared" si="63"/>
        <v>4.3157973534729166</v>
      </c>
      <c r="AC70">
        <f t="shared" si="64"/>
        <v>1.4231290395243903</v>
      </c>
      <c r="AD70">
        <f t="shared" si="65"/>
        <v>-197.22863120072518</v>
      </c>
      <c r="AE70">
        <f t="shared" si="66"/>
        <v>46.53390119268434</v>
      </c>
      <c r="AF70">
        <f t="shared" si="67"/>
        <v>3.5533655581698578</v>
      </c>
      <c r="AG70">
        <f t="shared" si="68"/>
        <v>197.23813620844425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51862.739719673991</v>
      </c>
      <c r="AM70" t="s">
        <v>417</v>
      </c>
      <c r="AN70">
        <v>10238.9</v>
      </c>
      <c r="AO70">
        <v>302.21199999999999</v>
      </c>
      <c r="AP70">
        <v>4052.3</v>
      </c>
      <c r="AQ70">
        <f t="shared" si="72"/>
        <v>0.92542210596451402</v>
      </c>
      <c r="AR70">
        <v>-0.32343011824092421</v>
      </c>
      <c r="AS70" t="s">
        <v>692</v>
      </c>
      <c r="AT70">
        <v>10495.9</v>
      </c>
      <c r="AU70">
        <v>731.82947999999988</v>
      </c>
      <c r="AV70">
        <v>1143.138057327315</v>
      </c>
      <c r="AW70">
        <f t="shared" si="73"/>
        <v>0.35980656464973682</v>
      </c>
      <c r="AX70">
        <v>0.5</v>
      </c>
      <c r="AY70">
        <f t="shared" si="74"/>
        <v>1513.2270003291576</v>
      </c>
      <c r="AZ70">
        <f t="shared" si="75"/>
        <v>48.347439873530327</v>
      </c>
      <c r="BA70">
        <f t="shared" si="76"/>
        <v>272.23450426183018</v>
      </c>
      <c r="BB70">
        <f t="shared" si="77"/>
        <v>3.2163627784320754E-2</v>
      </c>
      <c r="BC70">
        <f t="shared" si="78"/>
        <v>2.5448911651794512</v>
      </c>
      <c r="BD70">
        <f t="shared" si="79"/>
        <v>254.00392807381996</v>
      </c>
      <c r="BE70" t="s">
        <v>693</v>
      </c>
      <c r="BF70">
        <v>579.42999999999995</v>
      </c>
      <c r="BG70">
        <f t="shared" si="80"/>
        <v>579.42999999999995</v>
      </c>
      <c r="BH70">
        <f t="shared" si="81"/>
        <v>0.49312334036474859</v>
      </c>
      <c r="BI70">
        <f t="shared" si="82"/>
        <v>0.72964821414374481</v>
      </c>
      <c r="BJ70">
        <f t="shared" si="83"/>
        <v>0.83768236146837771</v>
      </c>
      <c r="BK70">
        <f t="shared" si="84"/>
        <v>0.48911384507998523</v>
      </c>
      <c r="BL70">
        <f t="shared" si="85"/>
        <v>0.77575831358429059</v>
      </c>
      <c r="BM70">
        <f t="shared" si="86"/>
        <v>0.57770297080859612</v>
      </c>
      <c r="BN70">
        <f t="shared" si="87"/>
        <v>0.42229702919140388</v>
      </c>
      <c r="BO70">
        <v>5794</v>
      </c>
      <c r="BP70">
        <v>290.00000000000011</v>
      </c>
      <c r="BQ70">
        <v>1022.07</v>
      </c>
      <c r="BR70">
        <v>235</v>
      </c>
      <c r="BS70">
        <v>10495.9</v>
      </c>
      <c r="BT70">
        <v>1021.09</v>
      </c>
      <c r="BU70">
        <v>0.98</v>
      </c>
      <c r="BV70">
        <v>300.00000000000011</v>
      </c>
      <c r="BW70">
        <v>38.200000000000003</v>
      </c>
      <c r="BX70">
        <v>1143.138057327315</v>
      </c>
      <c r="BY70">
        <v>1.1925891870060521</v>
      </c>
      <c r="BZ70">
        <v>-128.10267101075189</v>
      </c>
      <c r="CA70">
        <v>1.02525333979186</v>
      </c>
      <c r="CB70">
        <v>0.99820969991530395</v>
      </c>
      <c r="CC70">
        <v>-1.139886473859845E-2</v>
      </c>
      <c r="CD70">
        <v>289.99999999999989</v>
      </c>
      <c r="CE70">
        <v>1007.05</v>
      </c>
      <c r="CF70">
        <v>645</v>
      </c>
      <c r="CG70">
        <v>10477.5</v>
      </c>
      <c r="CH70">
        <v>1020.87</v>
      </c>
      <c r="CI70">
        <v>-13.82</v>
      </c>
      <c r="CW70">
        <f t="shared" si="88"/>
        <v>1800.05</v>
      </c>
      <c r="CX70">
        <f t="shared" si="89"/>
        <v>1513.2270003291576</v>
      </c>
      <c r="CY70">
        <f t="shared" si="90"/>
        <v>0.8406583152296645</v>
      </c>
      <c r="CZ70">
        <f t="shared" si="91"/>
        <v>0.19131663045932903</v>
      </c>
      <c r="DA70">
        <v>6</v>
      </c>
      <c r="DB70">
        <v>0.5</v>
      </c>
      <c r="DC70" t="s">
        <v>420</v>
      </c>
      <c r="DD70">
        <v>2</v>
      </c>
      <c r="DE70">
        <v>1693505803</v>
      </c>
      <c r="DF70">
        <v>837.71500000000003</v>
      </c>
      <c r="DG70">
        <v>900.20799999999997</v>
      </c>
      <c r="DH70">
        <v>28.307200000000002</v>
      </c>
      <c r="DI70">
        <v>23.094000000000001</v>
      </c>
      <c r="DJ70">
        <v>840.78300000000002</v>
      </c>
      <c r="DK70">
        <v>27.839500000000001</v>
      </c>
      <c r="DL70">
        <v>500.15800000000002</v>
      </c>
      <c r="DM70">
        <v>99.517899999999997</v>
      </c>
      <c r="DN70">
        <v>9.9989999999999996E-2</v>
      </c>
      <c r="DO70">
        <v>30.224900000000002</v>
      </c>
      <c r="DP70">
        <v>29.928699999999999</v>
      </c>
      <c r="DQ70">
        <v>999.9</v>
      </c>
      <c r="DR70">
        <v>0</v>
      </c>
      <c r="DS70">
        <v>0</v>
      </c>
      <c r="DT70">
        <v>9960</v>
      </c>
      <c r="DU70">
        <v>0</v>
      </c>
      <c r="DV70">
        <v>1568.93</v>
      </c>
      <c r="DW70">
        <v>-62.492899999999999</v>
      </c>
      <c r="DX70">
        <v>862.12</v>
      </c>
      <c r="DY70">
        <v>921.48900000000003</v>
      </c>
      <c r="DZ70">
        <v>5.2132500000000004</v>
      </c>
      <c r="EA70">
        <v>900.20799999999997</v>
      </c>
      <c r="EB70">
        <v>23.094000000000001</v>
      </c>
      <c r="EC70">
        <v>2.8170700000000002</v>
      </c>
      <c r="ED70">
        <v>2.29826</v>
      </c>
      <c r="EE70">
        <v>22.984500000000001</v>
      </c>
      <c r="EF70">
        <v>19.664200000000001</v>
      </c>
      <c r="EG70">
        <v>1800.05</v>
      </c>
      <c r="EH70">
        <v>0.97799499999999995</v>
      </c>
      <c r="EI70">
        <v>2.2005400000000001E-2</v>
      </c>
      <c r="EJ70">
        <v>0</v>
      </c>
      <c r="EK70">
        <v>731.59</v>
      </c>
      <c r="EL70">
        <v>4.9995000000000003</v>
      </c>
      <c r="EM70">
        <v>14018.5</v>
      </c>
      <c r="EN70">
        <v>16660.3</v>
      </c>
      <c r="EO70">
        <v>44.936999999999998</v>
      </c>
      <c r="EP70">
        <v>45.436999999999998</v>
      </c>
      <c r="EQ70">
        <v>45.686999999999998</v>
      </c>
      <c r="ER70">
        <v>44.25</v>
      </c>
      <c r="ES70">
        <v>46.311999999999998</v>
      </c>
      <c r="ET70">
        <v>1755.55</v>
      </c>
      <c r="EU70">
        <v>39.5</v>
      </c>
      <c r="EV70">
        <v>0</v>
      </c>
      <c r="EW70">
        <v>103.3999998569489</v>
      </c>
      <c r="EX70">
        <v>0</v>
      </c>
      <c r="EY70">
        <v>731.82947999999988</v>
      </c>
      <c r="EZ70">
        <v>-2.2981538374007191</v>
      </c>
      <c r="FA70">
        <v>-63.80769298141032</v>
      </c>
      <c r="FB70">
        <v>14038.504000000001</v>
      </c>
      <c r="FC70">
        <v>15</v>
      </c>
      <c r="FD70">
        <v>1693505772.5</v>
      </c>
      <c r="FE70" t="s">
        <v>694</v>
      </c>
      <c r="FF70">
        <v>1693505772.5</v>
      </c>
      <c r="FG70">
        <v>1693505768.5</v>
      </c>
      <c r="FH70">
        <v>62</v>
      </c>
      <c r="FI70">
        <v>5.6000000000000001E-2</v>
      </c>
      <c r="FJ70">
        <v>5.0000000000000001E-3</v>
      </c>
      <c r="FK70">
        <v>-3.113</v>
      </c>
      <c r="FL70">
        <v>0.23400000000000001</v>
      </c>
      <c r="FM70">
        <v>900</v>
      </c>
      <c r="FN70">
        <v>23</v>
      </c>
      <c r="FO70">
        <v>0.17</v>
      </c>
      <c r="FP70">
        <v>0.04</v>
      </c>
      <c r="FQ70">
        <v>48.194817995326702</v>
      </c>
      <c r="FR70">
        <v>-0.16302305033266379</v>
      </c>
      <c r="FS70">
        <v>0.1212834757690705</v>
      </c>
      <c r="FT70">
        <v>1</v>
      </c>
      <c r="FU70">
        <v>0.32282043627447371</v>
      </c>
      <c r="FV70">
        <v>2.2168374820420281E-2</v>
      </c>
      <c r="FW70">
        <v>3.35627126972356E-3</v>
      </c>
      <c r="FX70">
        <v>1</v>
      </c>
      <c r="FY70">
        <v>2</v>
      </c>
      <c r="FZ70">
        <v>2</v>
      </c>
      <c r="GA70" t="s">
        <v>422</v>
      </c>
      <c r="GB70">
        <v>2.9735299999999998</v>
      </c>
      <c r="GC70">
        <v>2.81134</v>
      </c>
      <c r="GD70">
        <v>0.16655600000000001</v>
      </c>
      <c r="GE70">
        <v>0.172351</v>
      </c>
      <c r="GF70">
        <v>0.134903</v>
      </c>
      <c r="GG70">
        <v>0.11672100000000001</v>
      </c>
      <c r="GH70">
        <v>24755.200000000001</v>
      </c>
      <c r="GI70">
        <v>22669</v>
      </c>
      <c r="GJ70">
        <v>26683.4</v>
      </c>
      <c r="GK70">
        <v>25824.7</v>
      </c>
      <c r="GL70">
        <v>31385.1</v>
      </c>
      <c r="GM70">
        <v>32122.2</v>
      </c>
      <c r="GN70">
        <v>37789</v>
      </c>
      <c r="GO70">
        <v>38195</v>
      </c>
      <c r="GP70">
        <v>2.0137999999999998</v>
      </c>
      <c r="GQ70">
        <v>2.0916999999999999</v>
      </c>
      <c r="GR70">
        <v>7.1167900000000006E-2</v>
      </c>
      <c r="GS70">
        <v>0</v>
      </c>
      <c r="GT70">
        <v>28.769300000000001</v>
      </c>
      <c r="GU70">
        <v>999.9</v>
      </c>
      <c r="GV70">
        <v>61</v>
      </c>
      <c r="GW70">
        <v>30.8</v>
      </c>
      <c r="GX70">
        <v>27.337199999999999</v>
      </c>
      <c r="GY70">
        <v>61.487699999999997</v>
      </c>
      <c r="GZ70">
        <v>13.0809</v>
      </c>
      <c r="HA70">
        <v>1</v>
      </c>
      <c r="HB70">
        <v>4.5182899999999998E-2</v>
      </c>
      <c r="HC70">
        <v>-0.546373</v>
      </c>
      <c r="HD70">
        <v>20.257300000000001</v>
      </c>
      <c r="HE70">
        <v>5.2107000000000001</v>
      </c>
      <c r="HF70">
        <v>11.9321</v>
      </c>
      <c r="HG70">
        <v>4.9888000000000003</v>
      </c>
      <c r="HH70">
        <v>3.2909999999999999</v>
      </c>
      <c r="HI70">
        <v>9999</v>
      </c>
      <c r="HJ70">
        <v>9999</v>
      </c>
      <c r="HK70">
        <v>9999</v>
      </c>
      <c r="HL70">
        <v>999.9</v>
      </c>
      <c r="HM70">
        <v>1.87042</v>
      </c>
      <c r="HN70">
        <v>1.8766799999999999</v>
      </c>
      <c r="HO70">
        <v>1.8744400000000001</v>
      </c>
      <c r="HP70">
        <v>1.8727100000000001</v>
      </c>
      <c r="HQ70">
        <v>1.87317</v>
      </c>
      <c r="HR70">
        <v>1.8705700000000001</v>
      </c>
      <c r="HS70">
        <v>1.87653</v>
      </c>
      <c r="HT70">
        <v>1.8754900000000001</v>
      </c>
      <c r="HU70">
        <v>5</v>
      </c>
      <c r="HV70">
        <v>0</v>
      </c>
      <c r="HW70">
        <v>0</v>
      </c>
      <c r="HX70">
        <v>0</v>
      </c>
      <c r="HY70" t="s">
        <v>423</v>
      </c>
      <c r="HZ70" t="s">
        <v>424</v>
      </c>
      <c r="IA70" t="s">
        <v>425</v>
      </c>
      <c r="IB70" t="s">
        <v>425</v>
      </c>
      <c r="IC70" t="s">
        <v>425</v>
      </c>
      <c r="ID70" t="s">
        <v>425</v>
      </c>
      <c r="IE70">
        <v>0</v>
      </c>
      <c r="IF70">
        <v>100</v>
      </c>
      <c r="IG70">
        <v>100</v>
      </c>
      <c r="IH70">
        <v>-3.0680000000000001</v>
      </c>
      <c r="II70">
        <v>0.4677</v>
      </c>
      <c r="IJ70">
        <v>-1.8167526786929511</v>
      </c>
      <c r="IK70">
        <v>-2.677719669153116E-3</v>
      </c>
      <c r="IL70">
        <v>1.9353498771248068E-6</v>
      </c>
      <c r="IM70">
        <v>-6.1862177325538213E-10</v>
      </c>
      <c r="IN70">
        <v>-0.13882702943785641</v>
      </c>
      <c r="IO70">
        <v>-1.5299015507423901E-2</v>
      </c>
      <c r="IP70">
        <v>1.742162107778985E-3</v>
      </c>
      <c r="IQ70">
        <v>-1.472690239905804E-5</v>
      </c>
      <c r="IR70">
        <v>3</v>
      </c>
      <c r="IS70">
        <v>2255</v>
      </c>
      <c r="IT70">
        <v>2</v>
      </c>
      <c r="IU70">
        <v>41</v>
      </c>
      <c r="IV70">
        <v>0.5</v>
      </c>
      <c r="IW70">
        <v>0.6</v>
      </c>
      <c r="IX70">
        <v>1.8432599999999999</v>
      </c>
      <c r="IY70">
        <v>2.47681</v>
      </c>
      <c r="IZ70">
        <v>1.6003400000000001</v>
      </c>
      <c r="JA70">
        <v>2.2741699999999998</v>
      </c>
      <c r="JB70">
        <v>1.5502899999999999</v>
      </c>
      <c r="JC70">
        <v>2.3779300000000001</v>
      </c>
      <c r="JD70">
        <v>35.964500000000001</v>
      </c>
      <c r="JE70">
        <v>23.8598</v>
      </c>
      <c r="JF70">
        <v>18</v>
      </c>
      <c r="JG70">
        <v>505.93900000000002</v>
      </c>
      <c r="JH70">
        <v>525.79200000000003</v>
      </c>
      <c r="JI70">
        <v>28.444199999999999</v>
      </c>
      <c r="JJ70">
        <v>28.0824</v>
      </c>
      <c r="JK70">
        <v>30</v>
      </c>
      <c r="JL70">
        <v>28.0854</v>
      </c>
      <c r="JM70">
        <v>28.050899999999999</v>
      </c>
      <c r="JN70">
        <v>36.905000000000001</v>
      </c>
      <c r="JO70">
        <v>26.414300000000001</v>
      </c>
      <c r="JP70">
        <v>75.700299999999999</v>
      </c>
      <c r="JQ70">
        <v>28.453199999999999</v>
      </c>
      <c r="JR70">
        <v>900</v>
      </c>
      <c r="JS70">
        <v>23.046199999999999</v>
      </c>
      <c r="JT70">
        <v>99.648200000000003</v>
      </c>
      <c r="JU70">
        <v>99.232699999999994</v>
      </c>
    </row>
    <row r="71" spans="1:281" x14ac:dyDescent="0.25">
      <c r="A71">
        <v>55</v>
      </c>
      <c r="B71">
        <v>1693505915</v>
      </c>
      <c r="C71">
        <v>11935.400000095369</v>
      </c>
      <c r="D71" t="s">
        <v>695</v>
      </c>
      <c r="E71" t="s">
        <v>696</v>
      </c>
      <c r="F71" t="s">
        <v>413</v>
      </c>
      <c r="G71" t="s">
        <v>565</v>
      </c>
      <c r="H71" t="s">
        <v>636</v>
      </c>
      <c r="I71" t="s">
        <v>31</v>
      </c>
      <c r="J71">
        <v>1693505915</v>
      </c>
      <c r="K71">
        <f t="shared" si="46"/>
        <v>4.2638650492354468E-3</v>
      </c>
      <c r="L71">
        <f t="shared" si="47"/>
        <v>4.2638650492354468</v>
      </c>
      <c r="M71">
        <f t="shared" si="48"/>
        <v>46.875300578882928</v>
      </c>
      <c r="N71">
        <f t="shared" si="49"/>
        <v>1137.74</v>
      </c>
      <c r="O71">
        <f t="shared" si="50"/>
        <v>850.79635314583538</v>
      </c>
      <c r="P71">
        <f t="shared" si="51"/>
        <v>84.76062752037879</v>
      </c>
      <c r="Q71">
        <f t="shared" si="52"/>
        <v>113.34740211151998</v>
      </c>
      <c r="R71">
        <f t="shared" si="53"/>
        <v>0.29884462909853926</v>
      </c>
      <c r="S71">
        <f t="shared" si="54"/>
        <v>2.9190097644413435</v>
      </c>
      <c r="T71">
        <f t="shared" si="55"/>
        <v>0.28282819365923123</v>
      </c>
      <c r="U71">
        <f t="shared" si="56"/>
        <v>0.17813506751908545</v>
      </c>
      <c r="V71">
        <f t="shared" si="57"/>
        <v>344.36240065834818</v>
      </c>
      <c r="W71">
        <f t="shared" si="58"/>
        <v>31.211168881765225</v>
      </c>
      <c r="X71">
        <f t="shared" si="59"/>
        <v>29.9985</v>
      </c>
      <c r="Y71">
        <f t="shared" si="60"/>
        <v>4.2600827110882786</v>
      </c>
      <c r="Z71">
        <f t="shared" si="61"/>
        <v>64.907085659351495</v>
      </c>
      <c r="AA71">
        <f t="shared" si="62"/>
        <v>2.8114587045791999</v>
      </c>
      <c r="AB71">
        <f t="shared" si="63"/>
        <v>4.3315127709391135</v>
      </c>
      <c r="AC71">
        <f t="shared" si="64"/>
        <v>1.4486240065090787</v>
      </c>
      <c r="AD71">
        <f t="shared" si="65"/>
        <v>-188.03644867128321</v>
      </c>
      <c r="AE71">
        <f t="shared" si="66"/>
        <v>45.605725851078731</v>
      </c>
      <c r="AF71">
        <f t="shared" si="67"/>
        <v>3.478880278994938</v>
      </c>
      <c r="AG71">
        <f t="shared" si="68"/>
        <v>205.41055811713863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51992.899731490266</v>
      </c>
      <c r="AM71" t="s">
        <v>417</v>
      </c>
      <c r="AN71">
        <v>10238.9</v>
      </c>
      <c r="AO71">
        <v>302.21199999999999</v>
      </c>
      <c r="AP71">
        <v>4052.3</v>
      </c>
      <c r="AQ71">
        <f t="shared" si="72"/>
        <v>0.92542210596451402</v>
      </c>
      <c r="AR71">
        <v>-0.32343011824092421</v>
      </c>
      <c r="AS71" t="s">
        <v>697</v>
      </c>
      <c r="AT71">
        <v>10504.7</v>
      </c>
      <c r="AU71">
        <v>726.06935999999996</v>
      </c>
      <c r="AV71">
        <v>1138.3346248420689</v>
      </c>
      <c r="AW71">
        <f t="shared" si="73"/>
        <v>0.36216526831841389</v>
      </c>
      <c r="AX71">
        <v>0.5</v>
      </c>
      <c r="AY71">
        <f t="shared" si="74"/>
        <v>1513.1514003291741</v>
      </c>
      <c r="AZ71">
        <f t="shared" si="75"/>
        <v>46.875300578882928</v>
      </c>
      <c r="BA71">
        <f t="shared" si="76"/>
        <v>274.00544145329951</v>
      </c>
      <c r="BB71">
        <f t="shared" si="77"/>
        <v>3.1192338510777004E-2</v>
      </c>
      <c r="BC71">
        <f t="shared" si="78"/>
        <v>2.5598495482487946</v>
      </c>
      <c r="BD71">
        <f t="shared" si="79"/>
        <v>253.76599384808131</v>
      </c>
      <c r="BE71" t="s">
        <v>698</v>
      </c>
      <c r="BF71">
        <v>578.97</v>
      </c>
      <c r="BG71">
        <f t="shared" si="80"/>
        <v>578.97</v>
      </c>
      <c r="BH71">
        <f t="shared" si="81"/>
        <v>0.49138857119423418</v>
      </c>
      <c r="BI71">
        <f t="shared" si="82"/>
        <v>0.73702419948073761</v>
      </c>
      <c r="BJ71">
        <f t="shared" si="83"/>
        <v>0.83895436804390344</v>
      </c>
      <c r="BK71">
        <f t="shared" si="84"/>
        <v>0.49306794553004674</v>
      </c>
      <c r="BL71">
        <f t="shared" si="85"/>
        <v>0.77703919885558181</v>
      </c>
      <c r="BM71">
        <f t="shared" si="86"/>
        <v>0.58770542358840583</v>
      </c>
      <c r="BN71">
        <f t="shared" si="87"/>
        <v>0.41229457641159417</v>
      </c>
      <c r="BO71">
        <v>5796</v>
      </c>
      <c r="BP71">
        <v>290.00000000000011</v>
      </c>
      <c r="BQ71">
        <v>1018.32</v>
      </c>
      <c r="BR71">
        <v>185</v>
      </c>
      <c r="BS71">
        <v>10504.7</v>
      </c>
      <c r="BT71">
        <v>1016.67</v>
      </c>
      <c r="BU71">
        <v>1.65</v>
      </c>
      <c r="BV71">
        <v>300.00000000000011</v>
      </c>
      <c r="BW71">
        <v>38.200000000000003</v>
      </c>
      <c r="BX71">
        <v>1138.3346248420689</v>
      </c>
      <c r="BY71">
        <v>1.2460652965168091</v>
      </c>
      <c r="BZ71">
        <v>-127.808957256499</v>
      </c>
      <c r="CA71">
        <v>1.0712336802790861</v>
      </c>
      <c r="CB71">
        <v>0.99803686363359068</v>
      </c>
      <c r="CC71">
        <v>-1.139905517241379E-2</v>
      </c>
      <c r="CD71">
        <v>289.99999999999989</v>
      </c>
      <c r="CE71">
        <v>1002.18</v>
      </c>
      <c r="CF71">
        <v>655</v>
      </c>
      <c r="CG71">
        <v>10476.700000000001</v>
      </c>
      <c r="CH71">
        <v>1016.34</v>
      </c>
      <c r="CI71">
        <v>-14.16</v>
      </c>
      <c r="CW71">
        <f t="shared" si="88"/>
        <v>1799.96</v>
      </c>
      <c r="CX71">
        <f t="shared" si="89"/>
        <v>1513.1514003291741</v>
      </c>
      <c r="CY71">
        <f t="shared" si="90"/>
        <v>0.84065834814616658</v>
      </c>
      <c r="CZ71">
        <f t="shared" si="91"/>
        <v>0.19131669629233325</v>
      </c>
      <c r="DA71">
        <v>6</v>
      </c>
      <c r="DB71">
        <v>0.5</v>
      </c>
      <c r="DC71" t="s">
        <v>420</v>
      </c>
      <c r="DD71">
        <v>2</v>
      </c>
      <c r="DE71">
        <v>1693505915</v>
      </c>
      <c r="DF71">
        <v>1137.74</v>
      </c>
      <c r="DG71">
        <v>1199.78</v>
      </c>
      <c r="DH71">
        <v>28.220400000000001</v>
      </c>
      <c r="DI71">
        <v>23.250699999999998</v>
      </c>
      <c r="DJ71">
        <v>1141.1500000000001</v>
      </c>
      <c r="DK71">
        <v>27.7563</v>
      </c>
      <c r="DL71">
        <v>500.25599999999997</v>
      </c>
      <c r="DM71">
        <v>99.524799999999999</v>
      </c>
      <c r="DN71">
        <v>0.100248</v>
      </c>
      <c r="DO71">
        <v>30.2883</v>
      </c>
      <c r="DP71">
        <v>29.9985</v>
      </c>
      <c r="DQ71">
        <v>999.9</v>
      </c>
      <c r="DR71">
        <v>0</v>
      </c>
      <c r="DS71">
        <v>0</v>
      </c>
      <c r="DT71">
        <v>9987.5</v>
      </c>
      <c r="DU71">
        <v>0</v>
      </c>
      <c r="DV71">
        <v>1562.24</v>
      </c>
      <c r="DW71">
        <v>-62.0364</v>
      </c>
      <c r="DX71">
        <v>1170.78</v>
      </c>
      <c r="DY71">
        <v>1228.3399999999999</v>
      </c>
      <c r="DZ71">
        <v>4.9696600000000002</v>
      </c>
      <c r="EA71">
        <v>1199.78</v>
      </c>
      <c r="EB71">
        <v>23.250699999999998</v>
      </c>
      <c r="EC71">
        <v>2.80863</v>
      </c>
      <c r="ED71">
        <v>2.3140200000000002</v>
      </c>
      <c r="EE71">
        <v>22.934899999999999</v>
      </c>
      <c r="EF71">
        <v>19.7744</v>
      </c>
      <c r="EG71">
        <v>1799.96</v>
      </c>
      <c r="EH71">
        <v>0.97799499999999995</v>
      </c>
      <c r="EI71">
        <v>2.2005400000000001E-2</v>
      </c>
      <c r="EJ71">
        <v>0</v>
      </c>
      <c r="EK71">
        <v>725.31299999999999</v>
      </c>
      <c r="EL71">
        <v>4.9995000000000003</v>
      </c>
      <c r="EM71">
        <v>13916.4</v>
      </c>
      <c r="EN71">
        <v>16659.400000000001</v>
      </c>
      <c r="EO71">
        <v>44.811999999999998</v>
      </c>
      <c r="EP71">
        <v>45.311999999999998</v>
      </c>
      <c r="EQ71">
        <v>45.625</v>
      </c>
      <c r="ER71">
        <v>44.186999999999998</v>
      </c>
      <c r="ES71">
        <v>46.186999999999998</v>
      </c>
      <c r="ET71">
        <v>1755.46</v>
      </c>
      <c r="EU71">
        <v>39.5</v>
      </c>
      <c r="EV71">
        <v>0</v>
      </c>
      <c r="EW71">
        <v>110</v>
      </c>
      <c r="EX71">
        <v>0</v>
      </c>
      <c r="EY71">
        <v>726.06935999999996</v>
      </c>
      <c r="EZ71">
        <v>-2.8421538564067581</v>
      </c>
      <c r="FA71">
        <v>-70.33846158351669</v>
      </c>
      <c r="FB71">
        <v>13925.7</v>
      </c>
      <c r="FC71">
        <v>15</v>
      </c>
      <c r="FD71">
        <v>1693505884</v>
      </c>
      <c r="FE71" t="s">
        <v>699</v>
      </c>
      <c r="FF71">
        <v>1693505884</v>
      </c>
      <c r="FG71">
        <v>1693505871.5</v>
      </c>
      <c r="FH71">
        <v>63</v>
      </c>
      <c r="FI71">
        <v>-0.14000000000000001</v>
      </c>
      <c r="FJ71">
        <v>0</v>
      </c>
      <c r="FK71">
        <v>-3.4540000000000002</v>
      </c>
      <c r="FL71">
        <v>0.23899999999999999</v>
      </c>
      <c r="FM71">
        <v>1201</v>
      </c>
      <c r="FN71">
        <v>23</v>
      </c>
      <c r="FO71">
        <v>0.12</v>
      </c>
      <c r="FP71">
        <v>0.05</v>
      </c>
      <c r="FQ71">
        <v>46.995073083405558</v>
      </c>
      <c r="FR71">
        <v>-0.15628967640109889</v>
      </c>
      <c r="FS71">
        <v>0.15613482160681291</v>
      </c>
      <c r="FT71">
        <v>1</v>
      </c>
      <c r="FU71">
        <v>0.30482538092082129</v>
      </c>
      <c r="FV71">
        <v>-3.1768201269762569E-2</v>
      </c>
      <c r="FW71">
        <v>4.0544901160417136E-3</v>
      </c>
      <c r="FX71">
        <v>1</v>
      </c>
      <c r="FY71">
        <v>2</v>
      </c>
      <c r="FZ71">
        <v>2</v>
      </c>
      <c r="GA71" t="s">
        <v>422</v>
      </c>
      <c r="GB71">
        <v>2.97377</v>
      </c>
      <c r="GC71">
        <v>2.8118300000000001</v>
      </c>
      <c r="GD71">
        <v>0.20311100000000001</v>
      </c>
      <c r="GE71">
        <v>0.20737900000000001</v>
      </c>
      <c r="GF71">
        <v>0.134628</v>
      </c>
      <c r="GG71">
        <v>0.117281</v>
      </c>
      <c r="GH71">
        <v>23667.599999999999</v>
      </c>
      <c r="GI71">
        <v>21707</v>
      </c>
      <c r="GJ71">
        <v>26681.200000000001</v>
      </c>
      <c r="GK71">
        <v>25821.5</v>
      </c>
      <c r="GL71">
        <v>31395.1</v>
      </c>
      <c r="GM71">
        <v>32100</v>
      </c>
      <c r="GN71">
        <v>37785.4</v>
      </c>
      <c r="GO71">
        <v>38189.800000000003</v>
      </c>
      <c r="GP71">
        <v>2.0143</v>
      </c>
      <c r="GQ71">
        <v>2.0918999999999999</v>
      </c>
      <c r="GR71">
        <v>8.2105399999999995E-2</v>
      </c>
      <c r="GS71">
        <v>0</v>
      </c>
      <c r="GT71">
        <v>28.660900000000002</v>
      </c>
      <c r="GU71">
        <v>999.9</v>
      </c>
      <c r="GV71">
        <v>61</v>
      </c>
      <c r="GW71">
        <v>30.8</v>
      </c>
      <c r="GX71">
        <v>27.338799999999999</v>
      </c>
      <c r="GY71">
        <v>61.597700000000003</v>
      </c>
      <c r="GZ71">
        <v>13.7019</v>
      </c>
      <c r="HA71">
        <v>1</v>
      </c>
      <c r="HB71">
        <v>4.7113799999999997E-2</v>
      </c>
      <c r="HC71">
        <v>-0.63075199999999998</v>
      </c>
      <c r="HD71">
        <v>20.256900000000002</v>
      </c>
      <c r="HE71">
        <v>5.2107000000000001</v>
      </c>
      <c r="HF71">
        <v>11.9321</v>
      </c>
      <c r="HG71">
        <v>4.9878</v>
      </c>
      <c r="HH71">
        <v>3.2909999999999999</v>
      </c>
      <c r="HI71">
        <v>9999</v>
      </c>
      <c r="HJ71">
        <v>9999</v>
      </c>
      <c r="HK71">
        <v>9999</v>
      </c>
      <c r="HL71">
        <v>999.9</v>
      </c>
      <c r="HM71">
        <v>1.87042</v>
      </c>
      <c r="HN71">
        <v>1.8766799999999999</v>
      </c>
      <c r="HO71">
        <v>1.87439</v>
      </c>
      <c r="HP71">
        <v>1.8727100000000001</v>
      </c>
      <c r="HQ71">
        <v>1.87317</v>
      </c>
      <c r="HR71">
        <v>1.87059</v>
      </c>
      <c r="HS71">
        <v>1.87653</v>
      </c>
      <c r="HT71">
        <v>1.8755200000000001</v>
      </c>
      <c r="HU71">
        <v>5</v>
      </c>
      <c r="HV71">
        <v>0</v>
      </c>
      <c r="HW71">
        <v>0</v>
      </c>
      <c r="HX71">
        <v>0</v>
      </c>
      <c r="HY71" t="s">
        <v>423</v>
      </c>
      <c r="HZ71" t="s">
        <v>424</v>
      </c>
      <c r="IA71" t="s">
        <v>425</v>
      </c>
      <c r="IB71" t="s">
        <v>425</v>
      </c>
      <c r="IC71" t="s">
        <v>425</v>
      </c>
      <c r="ID71" t="s">
        <v>425</v>
      </c>
      <c r="IE71">
        <v>0</v>
      </c>
      <c r="IF71">
        <v>100</v>
      </c>
      <c r="IG71">
        <v>100</v>
      </c>
      <c r="IH71">
        <v>-3.41</v>
      </c>
      <c r="II71">
        <v>0.46410000000000001</v>
      </c>
      <c r="IJ71">
        <v>-1.9556476679547219</v>
      </c>
      <c r="IK71">
        <v>-2.677719669153116E-3</v>
      </c>
      <c r="IL71">
        <v>1.9353498771248068E-6</v>
      </c>
      <c r="IM71">
        <v>-6.1862177325538213E-10</v>
      </c>
      <c r="IN71">
        <v>-0.13849423220281781</v>
      </c>
      <c r="IO71">
        <v>-1.5299015507423901E-2</v>
      </c>
      <c r="IP71">
        <v>1.742162107778985E-3</v>
      </c>
      <c r="IQ71">
        <v>-1.472690239905804E-5</v>
      </c>
      <c r="IR71">
        <v>3</v>
      </c>
      <c r="IS71">
        <v>2255</v>
      </c>
      <c r="IT71">
        <v>2</v>
      </c>
      <c r="IU71">
        <v>41</v>
      </c>
      <c r="IV71">
        <v>0.5</v>
      </c>
      <c r="IW71">
        <v>0.7</v>
      </c>
      <c r="IX71">
        <v>2.33643</v>
      </c>
      <c r="IY71">
        <v>2.47803</v>
      </c>
      <c r="IZ71">
        <v>1.5991200000000001</v>
      </c>
      <c r="JA71">
        <v>2.2741699999999998</v>
      </c>
      <c r="JB71">
        <v>1.5502899999999999</v>
      </c>
      <c r="JC71">
        <v>2.4194300000000002</v>
      </c>
      <c r="JD71">
        <v>36.152000000000001</v>
      </c>
      <c r="JE71">
        <v>23.8598</v>
      </c>
      <c r="JF71">
        <v>18</v>
      </c>
      <c r="JG71">
        <v>506.25900000000001</v>
      </c>
      <c r="JH71">
        <v>525.94799999999998</v>
      </c>
      <c r="JI71">
        <v>28.866900000000001</v>
      </c>
      <c r="JJ71">
        <v>28.0776</v>
      </c>
      <c r="JK71">
        <v>30.0001</v>
      </c>
      <c r="JL71">
        <v>28.085999999999999</v>
      </c>
      <c r="JM71">
        <v>28.0533</v>
      </c>
      <c r="JN71">
        <v>46.7851</v>
      </c>
      <c r="JO71">
        <v>26.334599999999998</v>
      </c>
      <c r="JP71">
        <v>76.736400000000003</v>
      </c>
      <c r="JQ71">
        <v>28.791599999999999</v>
      </c>
      <c r="JR71">
        <v>1200</v>
      </c>
      <c r="JS71">
        <v>23.305900000000001</v>
      </c>
      <c r="JT71">
        <v>99.639300000000006</v>
      </c>
      <c r="JU71">
        <v>99.219700000000003</v>
      </c>
    </row>
    <row r="72" spans="1:281" x14ac:dyDescent="0.25">
      <c r="A72">
        <v>56</v>
      </c>
      <c r="B72">
        <v>1693506015</v>
      </c>
      <c r="C72">
        <v>12035.400000095369</v>
      </c>
      <c r="D72" t="s">
        <v>700</v>
      </c>
      <c r="E72" t="s">
        <v>701</v>
      </c>
      <c r="F72" t="s">
        <v>413</v>
      </c>
      <c r="G72" t="s">
        <v>565</v>
      </c>
      <c r="H72" t="s">
        <v>636</v>
      </c>
      <c r="I72" t="s">
        <v>31</v>
      </c>
      <c r="J72">
        <v>1693506015</v>
      </c>
      <c r="K72">
        <f t="shared" si="46"/>
        <v>3.6439666649861484E-3</v>
      </c>
      <c r="L72">
        <f t="shared" si="47"/>
        <v>3.6439666649861482</v>
      </c>
      <c r="M72">
        <f t="shared" si="48"/>
        <v>46.643414637949284</v>
      </c>
      <c r="N72">
        <f t="shared" si="49"/>
        <v>1437.586</v>
      </c>
      <c r="O72">
        <f t="shared" si="50"/>
        <v>1094.9196660328664</v>
      </c>
      <c r="P72">
        <f t="shared" si="51"/>
        <v>109.07626962186454</v>
      </c>
      <c r="Q72">
        <f t="shared" si="52"/>
        <v>143.21280638675719</v>
      </c>
      <c r="R72">
        <f t="shared" si="53"/>
        <v>0.24898744825465147</v>
      </c>
      <c r="S72">
        <f t="shared" si="54"/>
        <v>2.9276931368096815</v>
      </c>
      <c r="T72">
        <f t="shared" si="55"/>
        <v>0.23779321862456387</v>
      </c>
      <c r="U72">
        <f t="shared" si="56"/>
        <v>0.14958457446777298</v>
      </c>
      <c r="V72">
        <f t="shared" si="57"/>
        <v>344.37000065833354</v>
      </c>
      <c r="W72">
        <f t="shared" si="58"/>
        <v>31.340833982650945</v>
      </c>
      <c r="X72">
        <f t="shared" si="59"/>
        <v>30.037700000000001</v>
      </c>
      <c r="Y72">
        <f t="shared" si="60"/>
        <v>4.2696843037231922</v>
      </c>
      <c r="Z72">
        <f t="shared" si="61"/>
        <v>64.685514810707588</v>
      </c>
      <c r="AA72">
        <f t="shared" si="62"/>
        <v>2.7972395324758002</v>
      </c>
      <c r="AB72">
        <f t="shared" si="63"/>
        <v>4.3243677362103403</v>
      </c>
      <c r="AC72">
        <f t="shared" si="64"/>
        <v>1.472444771247392</v>
      </c>
      <c r="AD72">
        <f t="shared" si="65"/>
        <v>-160.69892992588913</v>
      </c>
      <c r="AE72">
        <f t="shared" si="66"/>
        <v>35.008422352475137</v>
      </c>
      <c r="AF72">
        <f t="shared" si="67"/>
        <v>2.6627166372723834</v>
      </c>
      <c r="AG72">
        <f t="shared" si="68"/>
        <v>221.34220972219197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52245.413578670152</v>
      </c>
      <c r="AM72" t="s">
        <v>417</v>
      </c>
      <c r="AN72">
        <v>10238.9</v>
      </c>
      <c r="AO72">
        <v>302.21199999999999</v>
      </c>
      <c r="AP72">
        <v>4052.3</v>
      </c>
      <c r="AQ72">
        <f t="shared" si="72"/>
        <v>0.92542210596451402</v>
      </c>
      <c r="AR72">
        <v>-0.32343011824092421</v>
      </c>
      <c r="AS72" t="s">
        <v>702</v>
      </c>
      <c r="AT72">
        <v>10510.2</v>
      </c>
      <c r="AU72">
        <v>720.79934615384627</v>
      </c>
      <c r="AV72">
        <v>1134.960915450004</v>
      </c>
      <c r="AW72">
        <f t="shared" si="73"/>
        <v>0.3649126270854407</v>
      </c>
      <c r="AX72">
        <v>0.5</v>
      </c>
      <c r="AY72">
        <f t="shared" si="74"/>
        <v>1513.1850003291668</v>
      </c>
      <c r="AZ72">
        <f t="shared" si="75"/>
        <v>46.643414637949284</v>
      </c>
      <c r="BA72">
        <f t="shared" si="76"/>
        <v>276.09015686819987</v>
      </c>
      <c r="BB72">
        <f t="shared" si="77"/>
        <v>3.1038402274654715E-2</v>
      </c>
      <c r="BC72">
        <f t="shared" si="78"/>
        <v>2.5704313204418074</v>
      </c>
      <c r="BD72">
        <f t="shared" si="79"/>
        <v>253.59794483301451</v>
      </c>
      <c r="BE72" t="s">
        <v>703</v>
      </c>
      <c r="BF72">
        <v>576.07000000000005</v>
      </c>
      <c r="BG72">
        <f t="shared" si="80"/>
        <v>576.07000000000005</v>
      </c>
      <c r="BH72">
        <f t="shared" si="81"/>
        <v>0.49243186072923717</v>
      </c>
      <c r="BI72">
        <f t="shared" si="82"/>
        <v>0.74104187033114677</v>
      </c>
      <c r="BJ72">
        <f t="shared" si="83"/>
        <v>0.83922498929875067</v>
      </c>
      <c r="BK72">
        <f t="shared" si="84"/>
        <v>0.4973426702961859</v>
      </c>
      <c r="BL72">
        <f t="shared" si="85"/>
        <v>0.77793883358203753</v>
      </c>
      <c r="BM72">
        <f t="shared" si="86"/>
        <v>0.59224802647163965</v>
      </c>
      <c r="BN72">
        <f t="shared" si="87"/>
        <v>0.40775197352836035</v>
      </c>
      <c r="BO72">
        <v>5798</v>
      </c>
      <c r="BP72">
        <v>290.00000000000011</v>
      </c>
      <c r="BQ72">
        <v>1012.31</v>
      </c>
      <c r="BR72">
        <v>155</v>
      </c>
      <c r="BS72">
        <v>10510.2</v>
      </c>
      <c r="BT72">
        <v>1012.54</v>
      </c>
      <c r="BU72">
        <v>-0.23</v>
      </c>
      <c r="BV72">
        <v>300.00000000000011</v>
      </c>
      <c r="BW72">
        <v>38.200000000000003</v>
      </c>
      <c r="BX72">
        <v>1134.960915450004</v>
      </c>
      <c r="BY72">
        <v>1.4256355141242381</v>
      </c>
      <c r="BZ72">
        <v>-128.66507416964609</v>
      </c>
      <c r="CA72">
        <v>1.2256042390610009</v>
      </c>
      <c r="CB72">
        <v>0.9974658330702495</v>
      </c>
      <c r="CC72">
        <v>-1.1399050945495001E-2</v>
      </c>
      <c r="CD72">
        <v>289.99999999999989</v>
      </c>
      <c r="CE72">
        <v>997.58</v>
      </c>
      <c r="CF72">
        <v>645</v>
      </c>
      <c r="CG72">
        <v>10477.4</v>
      </c>
      <c r="CH72">
        <v>1012.16</v>
      </c>
      <c r="CI72">
        <v>-14.58</v>
      </c>
      <c r="CW72">
        <f t="shared" si="88"/>
        <v>1800</v>
      </c>
      <c r="CX72">
        <f t="shared" si="89"/>
        <v>1513.1850003291668</v>
      </c>
      <c r="CY72">
        <f t="shared" si="90"/>
        <v>0.84065833351620378</v>
      </c>
      <c r="CZ72">
        <f t="shared" si="91"/>
        <v>0.19131666703240752</v>
      </c>
      <c r="DA72">
        <v>6</v>
      </c>
      <c r="DB72">
        <v>0.5</v>
      </c>
      <c r="DC72" t="s">
        <v>420</v>
      </c>
      <c r="DD72">
        <v>2</v>
      </c>
      <c r="DE72">
        <v>1693506015</v>
      </c>
      <c r="DF72">
        <v>1437.586</v>
      </c>
      <c r="DG72">
        <v>1499.83</v>
      </c>
      <c r="DH72">
        <v>28.079000000000001</v>
      </c>
      <c r="DI72">
        <v>23.83</v>
      </c>
      <c r="DJ72">
        <v>1441.04</v>
      </c>
      <c r="DK72">
        <v>27.79</v>
      </c>
      <c r="DL72">
        <v>500.11500000000001</v>
      </c>
      <c r="DM72">
        <v>99.521000000000001</v>
      </c>
      <c r="DN72">
        <v>9.9340200000000003E-2</v>
      </c>
      <c r="DO72">
        <v>30.259499999999999</v>
      </c>
      <c r="DP72">
        <v>30.037700000000001</v>
      </c>
      <c r="DQ72">
        <v>999.9</v>
      </c>
      <c r="DR72">
        <v>0</v>
      </c>
      <c r="DS72">
        <v>0</v>
      </c>
      <c r="DT72">
        <v>10037.5</v>
      </c>
      <c r="DU72">
        <v>0</v>
      </c>
      <c r="DV72">
        <v>1561.94</v>
      </c>
      <c r="DW72">
        <v>-62.434800000000003</v>
      </c>
      <c r="DX72">
        <v>1479.19</v>
      </c>
      <c r="DY72">
        <v>1536.44</v>
      </c>
      <c r="DZ72">
        <v>4.4257499999999999</v>
      </c>
      <c r="EA72">
        <v>1499.83</v>
      </c>
      <c r="EB72">
        <v>23.83</v>
      </c>
      <c r="EC72">
        <v>2.8120400000000001</v>
      </c>
      <c r="ED72">
        <v>2.3715899999999999</v>
      </c>
      <c r="EE72">
        <v>22.954899999999999</v>
      </c>
      <c r="EF72">
        <v>20.171099999999999</v>
      </c>
      <c r="EG72">
        <v>1800</v>
      </c>
      <c r="EH72">
        <v>0.97799499999999995</v>
      </c>
      <c r="EI72">
        <v>2.2005400000000001E-2</v>
      </c>
      <c r="EJ72">
        <v>0</v>
      </c>
      <c r="EK72">
        <v>720.62900000000002</v>
      </c>
      <c r="EL72">
        <v>4.9995000000000003</v>
      </c>
      <c r="EM72">
        <v>13837</v>
      </c>
      <c r="EN72">
        <v>16659.8</v>
      </c>
      <c r="EO72">
        <v>44.811999999999998</v>
      </c>
      <c r="EP72">
        <v>45.25</v>
      </c>
      <c r="EQ72">
        <v>45.561999999999998</v>
      </c>
      <c r="ER72">
        <v>44.186999999999998</v>
      </c>
      <c r="ES72">
        <v>46.25</v>
      </c>
      <c r="ET72">
        <v>1755.5</v>
      </c>
      <c r="EU72">
        <v>39.5</v>
      </c>
      <c r="EV72">
        <v>0</v>
      </c>
      <c r="EW72">
        <v>98</v>
      </c>
      <c r="EX72">
        <v>0</v>
      </c>
      <c r="EY72">
        <v>720.79934615384627</v>
      </c>
      <c r="EZ72">
        <v>-3.2757265036742371</v>
      </c>
      <c r="FA72">
        <v>-15.41196584901336</v>
      </c>
      <c r="FB72">
        <v>13830.99230769231</v>
      </c>
      <c r="FC72">
        <v>15</v>
      </c>
      <c r="FD72">
        <v>1693506055.5</v>
      </c>
      <c r="FE72" t="s">
        <v>704</v>
      </c>
      <c r="FF72">
        <v>1693505884</v>
      </c>
      <c r="FG72">
        <v>1693506041</v>
      </c>
      <c r="FH72">
        <v>64</v>
      </c>
      <c r="FI72">
        <v>-0.14000000000000001</v>
      </c>
      <c r="FJ72">
        <v>1.2999999999999999E-2</v>
      </c>
      <c r="FK72">
        <v>-3.4540000000000002</v>
      </c>
      <c r="FL72">
        <v>0.28899999999999998</v>
      </c>
      <c r="FM72">
        <v>1201</v>
      </c>
      <c r="FN72">
        <v>24</v>
      </c>
      <c r="FO72">
        <v>0.12</v>
      </c>
      <c r="FP72">
        <v>0.05</v>
      </c>
      <c r="FQ72">
        <v>46.609814061189837</v>
      </c>
      <c r="FR72">
        <v>-0.62559116003099191</v>
      </c>
      <c r="FS72">
        <v>0.19275364554706209</v>
      </c>
      <c r="FT72">
        <v>1</v>
      </c>
      <c r="FU72">
        <v>0.26284337313504269</v>
      </c>
      <c r="FV72">
        <v>2.9698945375012131E-3</v>
      </c>
      <c r="FW72">
        <v>9.0825450263954126E-4</v>
      </c>
      <c r="FX72">
        <v>1</v>
      </c>
      <c r="FY72">
        <v>2</v>
      </c>
      <c r="FZ72">
        <v>2</v>
      </c>
      <c r="GA72" t="s">
        <v>422</v>
      </c>
      <c r="GB72">
        <v>2.9733800000000001</v>
      </c>
      <c r="GC72">
        <v>2.8113700000000001</v>
      </c>
      <c r="GD72">
        <v>0.23480500000000001</v>
      </c>
      <c r="GE72">
        <v>0.23805100000000001</v>
      </c>
      <c r="GF72">
        <v>0.13473099999999999</v>
      </c>
      <c r="GG72">
        <v>0.11930200000000001</v>
      </c>
      <c r="GH72">
        <v>22724</v>
      </c>
      <c r="GI72">
        <v>20862.7</v>
      </c>
      <c r="GJ72">
        <v>26678.7</v>
      </c>
      <c r="GK72">
        <v>25816.400000000001</v>
      </c>
      <c r="GL72">
        <v>31391.1</v>
      </c>
      <c r="GM72">
        <v>32022.5</v>
      </c>
      <c r="GN72">
        <v>37781.699999999997</v>
      </c>
      <c r="GO72">
        <v>38182.300000000003</v>
      </c>
      <c r="GP72">
        <v>2.0133999999999999</v>
      </c>
      <c r="GQ72">
        <v>2.0935999999999999</v>
      </c>
      <c r="GR72">
        <v>7.9423199999999999E-2</v>
      </c>
      <c r="GS72">
        <v>0</v>
      </c>
      <c r="GT72">
        <v>28.7439</v>
      </c>
      <c r="GU72">
        <v>999.9</v>
      </c>
      <c r="GV72">
        <v>61.4</v>
      </c>
      <c r="GW72">
        <v>30.8</v>
      </c>
      <c r="GX72">
        <v>27.517700000000001</v>
      </c>
      <c r="GY72">
        <v>61.287700000000001</v>
      </c>
      <c r="GZ72">
        <v>13.5016</v>
      </c>
      <c r="HA72">
        <v>1</v>
      </c>
      <c r="HB72">
        <v>5.1829300000000002E-2</v>
      </c>
      <c r="HC72">
        <v>0.56577299999999997</v>
      </c>
      <c r="HD72">
        <v>20.2559</v>
      </c>
      <c r="HE72">
        <v>5.2095000000000002</v>
      </c>
      <c r="HF72">
        <v>11.9321</v>
      </c>
      <c r="HG72">
        <v>4.9889999999999999</v>
      </c>
      <c r="HH72">
        <v>3.2909999999999999</v>
      </c>
      <c r="HI72">
        <v>9999</v>
      </c>
      <c r="HJ72">
        <v>9999</v>
      </c>
      <c r="HK72">
        <v>9999</v>
      </c>
      <c r="HL72">
        <v>999.9</v>
      </c>
      <c r="HM72">
        <v>1.87042</v>
      </c>
      <c r="HN72">
        <v>1.8766799999999999</v>
      </c>
      <c r="HO72">
        <v>1.8744400000000001</v>
      </c>
      <c r="HP72">
        <v>1.8727100000000001</v>
      </c>
      <c r="HQ72">
        <v>1.8731800000000001</v>
      </c>
      <c r="HR72">
        <v>1.8706</v>
      </c>
      <c r="HS72">
        <v>1.87653</v>
      </c>
      <c r="HT72">
        <v>1.8755999999999999</v>
      </c>
      <c r="HU72">
        <v>5</v>
      </c>
      <c r="HV72">
        <v>0</v>
      </c>
      <c r="HW72">
        <v>0</v>
      </c>
      <c r="HX72">
        <v>0</v>
      </c>
      <c r="HY72" t="s">
        <v>423</v>
      </c>
      <c r="HZ72" t="s">
        <v>424</v>
      </c>
      <c r="IA72" t="s">
        <v>425</v>
      </c>
      <c r="IB72" t="s">
        <v>425</v>
      </c>
      <c r="IC72" t="s">
        <v>425</v>
      </c>
      <c r="ID72" t="s">
        <v>425</v>
      </c>
      <c r="IE72">
        <v>0</v>
      </c>
      <c r="IF72">
        <v>100</v>
      </c>
      <c r="IG72">
        <v>100</v>
      </c>
      <c r="IH72">
        <v>-3.4540000000000002</v>
      </c>
      <c r="II72">
        <v>0.28899999999999998</v>
      </c>
      <c r="IJ72">
        <v>-1.9556476679547219</v>
      </c>
      <c r="IK72">
        <v>-2.677719669153116E-3</v>
      </c>
      <c r="IL72">
        <v>1.9353498771248068E-6</v>
      </c>
      <c r="IM72">
        <v>-6.1862177325538213E-10</v>
      </c>
      <c r="IN72">
        <v>-0.13849423220281781</v>
      </c>
      <c r="IO72">
        <v>-1.5299015507423901E-2</v>
      </c>
      <c r="IP72">
        <v>1.742162107778985E-3</v>
      </c>
      <c r="IQ72">
        <v>-1.472690239905804E-5</v>
      </c>
      <c r="IR72">
        <v>3</v>
      </c>
      <c r="IS72">
        <v>2255</v>
      </c>
      <c r="IT72">
        <v>2</v>
      </c>
      <c r="IU72">
        <v>41</v>
      </c>
      <c r="IV72">
        <v>2.2000000000000002</v>
      </c>
      <c r="IW72">
        <v>2.4</v>
      </c>
      <c r="IX72">
        <v>2.81128</v>
      </c>
      <c r="IY72">
        <v>2.47437</v>
      </c>
      <c r="IZ72">
        <v>1.5991200000000001</v>
      </c>
      <c r="JA72">
        <v>2.2741699999999998</v>
      </c>
      <c r="JB72">
        <v>1.5502899999999999</v>
      </c>
      <c r="JC72">
        <v>2.4084500000000002</v>
      </c>
      <c r="JD72">
        <v>36.316499999999998</v>
      </c>
      <c r="JE72">
        <v>23.851099999999999</v>
      </c>
      <c r="JF72">
        <v>18</v>
      </c>
      <c r="JG72">
        <v>505.91800000000001</v>
      </c>
      <c r="JH72">
        <v>527.37300000000005</v>
      </c>
      <c r="JI72">
        <v>27.707000000000001</v>
      </c>
      <c r="JJ72">
        <v>28.120699999999999</v>
      </c>
      <c r="JK72">
        <v>30.000399999999999</v>
      </c>
      <c r="JL72">
        <v>28.112300000000001</v>
      </c>
      <c r="JM72">
        <v>28.081800000000001</v>
      </c>
      <c r="JN72">
        <v>56.262599999999999</v>
      </c>
      <c r="JO72">
        <v>25.1585</v>
      </c>
      <c r="JP72">
        <v>79.847399999999993</v>
      </c>
      <c r="JQ72">
        <v>27.719899999999999</v>
      </c>
      <c r="JR72">
        <v>1500</v>
      </c>
      <c r="JS72">
        <v>23.753900000000002</v>
      </c>
      <c r="JT72">
        <v>99.629800000000003</v>
      </c>
      <c r="JU72">
        <v>99.2</v>
      </c>
    </row>
    <row r="73" spans="1:281" x14ac:dyDescent="0.25">
      <c r="A73">
        <v>57</v>
      </c>
      <c r="B73">
        <v>1693508100.0999999</v>
      </c>
      <c r="C73">
        <v>14120.5</v>
      </c>
      <c r="D73" t="s">
        <v>705</v>
      </c>
      <c r="E73" t="s">
        <v>706</v>
      </c>
      <c r="F73" t="s">
        <v>413</v>
      </c>
      <c r="G73" t="s">
        <v>414</v>
      </c>
      <c r="H73" t="s">
        <v>707</v>
      </c>
      <c r="I73" t="s">
        <v>416</v>
      </c>
      <c r="J73">
        <v>1693508100.0999999</v>
      </c>
      <c r="K73">
        <f t="shared" si="46"/>
        <v>4.0078421021747532E-3</v>
      </c>
      <c r="L73">
        <f t="shared" si="47"/>
        <v>4.0078421021747532</v>
      </c>
      <c r="M73">
        <f t="shared" si="48"/>
        <v>37.442673747793243</v>
      </c>
      <c r="N73">
        <f t="shared" si="49"/>
        <v>353.43400000000003</v>
      </c>
      <c r="O73">
        <f t="shared" si="50"/>
        <v>114.07261223261648</v>
      </c>
      <c r="P73">
        <f t="shared" si="51"/>
        <v>11.361846064516536</v>
      </c>
      <c r="Q73">
        <f t="shared" si="52"/>
        <v>35.202689088749999</v>
      </c>
      <c r="R73">
        <f t="shared" si="53"/>
        <v>0.26773175476879385</v>
      </c>
      <c r="S73">
        <f t="shared" si="54"/>
        <v>2.9111270743618523</v>
      </c>
      <c r="T73">
        <f t="shared" si="55"/>
        <v>0.25476596983066008</v>
      </c>
      <c r="U73">
        <f t="shared" si="56"/>
        <v>0.1603413167326167</v>
      </c>
      <c r="V73">
        <f t="shared" si="57"/>
        <v>344.42070065806814</v>
      </c>
      <c r="W73">
        <f t="shared" si="58"/>
        <v>30.677477611275368</v>
      </c>
      <c r="X73">
        <f t="shared" si="59"/>
        <v>29.956499999999998</v>
      </c>
      <c r="Y73">
        <f t="shared" si="60"/>
        <v>4.2498161771437442</v>
      </c>
      <c r="Z73">
        <f t="shared" si="61"/>
        <v>65.438903129527034</v>
      </c>
      <c r="AA73">
        <f t="shared" si="62"/>
        <v>2.7378961807499995</v>
      </c>
      <c r="AB73">
        <f t="shared" si="63"/>
        <v>4.1838968103281342</v>
      </c>
      <c r="AC73">
        <f t="shared" si="64"/>
        <v>1.5119199963937446</v>
      </c>
      <c r="AD73">
        <f t="shared" si="65"/>
        <v>-176.74583670590661</v>
      </c>
      <c r="AE73">
        <f t="shared" si="66"/>
        <v>-42.657564794008188</v>
      </c>
      <c r="AF73">
        <f t="shared" si="67"/>
        <v>-3.2523886580126669</v>
      </c>
      <c r="AG73">
        <f t="shared" si="68"/>
        <v>121.7649105001407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51871.244617730808</v>
      </c>
      <c r="AM73" t="s">
        <v>417</v>
      </c>
      <c r="AN73">
        <v>10238.9</v>
      </c>
      <c r="AO73">
        <v>302.21199999999999</v>
      </c>
      <c r="AP73">
        <v>4052.3</v>
      </c>
      <c r="AQ73">
        <f t="shared" si="72"/>
        <v>0.92542210596451402</v>
      </c>
      <c r="AR73">
        <v>-0.32343011824092421</v>
      </c>
      <c r="AS73" t="s">
        <v>708</v>
      </c>
      <c r="AT73">
        <v>10466.9</v>
      </c>
      <c r="AU73">
        <v>810.91800000000001</v>
      </c>
      <c r="AV73">
        <v>1108.900658813026</v>
      </c>
      <c r="AW73">
        <f t="shared" si="73"/>
        <v>0.26871898437862629</v>
      </c>
      <c r="AX73">
        <v>0.5</v>
      </c>
      <c r="AY73">
        <f t="shared" si="74"/>
        <v>1513.411500329034</v>
      </c>
      <c r="AZ73">
        <f t="shared" si="75"/>
        <v>37.442673747793243</v>
      </c>
      <c r="BA73">
        <f t="shared" si="76"/>
        <v>203.34120065767553</v>
      </c>
      <c r="BB73">
        <f t="shared" si="77"/>
        <v>2.4954286298091006E-2</v>
      </c>
      <c r="BC73">
        <f t="shared" si="78"/>
        <v>2.6543399697657377</v>
      </c>
      <c r="BD73">
        <f t="shared" si="79"/>
        <v>252.27323109544244</v>
      </c>
      <c r="BE73" t="s">
        <v>709</v>
      </c>
      <c r="BF73">
        <v>619.16999999999996</v>
      </c>
      <c r="BG73">
        <f t="shared" si="80"/>
        <v>619.16999999999996</v>
      </c>
      <c r="BH73">
        <f t="shared" si="81"/>
        <v>0.44163618708391494</v>
      </c>
      <c r="BI73">
        <f t="shared" si="82"/>
        <v>0.60846233220369528</v>
      </c>
      <c r="BJ73">
        <f t="shared" si="83"/>
        <v>0.85735155417562814</v>
      </c>
      <c r="BK73">
        <f t="shared" si="84"/>
        <v>0.36938991958989753</v>
      </c>
      <c r="BL73">
        <f t="shared" si="85"/>
        <v>0.78488807227643032</v>
      </c>
      <c r="BM73">
        <f t="shared" si="86"/>
        <v>0.46458658240483253</v>
      </c>
      <c r="BN73">
        <f t="shared" si="87"/>
        <v>0.53541341759516747</v>
      </c>
      <c r="BO73">
        <v>5800</v>
      </c>
      <c r="BP73">
        <v>290.00000000000011</v>
      </c>
      <c r="BQ73">
        <v>1033.5</v>
      </c>
      <c r="BR73">
        <v>135</v>
      </c>
      <c r="BS73">
        <v>10466.9</v>
      </c>
      <c r="BT73">
        <v>1031.7</v>
      </c>
      <c r="BU73">
        <v>1.8</v>
      </c>
      <c r="BV73">
        <v>300.00000000000011</v>
      </c>
      <c r="BW73">
        <v>38.299999999999997</v>
      </c>
      <c r="BX73">
        <v>1108.900658813026</v>
      </c>
      <c r="BY73">
        <v>1.3155238354001759</v>
      </c>
      <c r="BZ73">
        <v>-80.809653614840045</v>
      </c>
      <c r="CA73">
        <v>1.1254948189832441</v>
      </c>
      <c r="CB73">
        <v>0.99459785719567462</v>
      </c>
      <c r="CC73">
        <v>-1.1345350166852061E-2</v>
      </c>
      <c r="CD73">
        <v>289.99999999999989</v>
      </c>
      <c r="CE73">
        <v>1028.69</v>
      </c>
      <c r="CF73">
        <v>665</v>
      </c>
      <c r="CG73">
        <v>10424.5</v>
      </c>
      <c r="CH73">
        <v>1031.3800000000001</v>
      </c>
      <c r="CI73">
        <v>-2.69</v>
      </c>
      <c r="CW73">
        <f t="shared" si="88"/>
        <v>1800.27</v>
      </c>
      <c r="CX73">
        <f t="shared" si="89"/>
        <v>1513.411500329034</v>
      </c>
      <c r="CY73">
        <f t="shared" si="90"/>
        <v>0.84065806813924249</v>
      </c>
      <c r="CZ73">
        <f t="shared" si="91"/>
        <v>0.19131613627848498</v>
      </c>
      <c r="DA73">
        <v>6</v>
      </c>
      <c r="DB73">
        <v>0.5</v>
      </c>
      <c r="DC73" t="s">
        <v>420</v>
      </c>
      <c r="DD73">
        <v>2</v>
      </c>
      <c r="DE73">
        <v>1693508100.0999999</v>
      </c>
      <c r="DF73">
        <v>353.43400000000003</v>
      </c>
      <c r="DG73">
        <v>400.04599999999999</v>
      </c>
      <c r="DH73">
        <v>27.488399999999999</v>
      </c>
      <c r="DI73">
        <v>22.813099999999999</v>
      </c>
      <c r="DJ73">
        <v>355.71699999999998</v>
      </c>
      <c r="DK73">
        <v>27.139399999999998</v>
      </c>
      <c r="DL73">
        <v>500.20400000000001</v>
      </c>
      <c r="DM73">
        <v>99.500799999999998</v>
      </c>
      <c r="DN73">
        <v>0.101075</v>
      </c>
      <c r="DO73">
        <v>29.684699999999999</v>
      </c>
      <c r="DP73">
        <v>29.956499999999998</v>
      </c>
      <c r="DQ73">
        <v>999.9</v>
      </c>
      <c r="DR73">
        <v>0</v>
      </c>
      <c r="DS73">
        <v>0</v>
      </c>
      <c r="DT73">
        <v>9945</v>
      </c>
      <c r="DU73">
        <v>0</v>
      </c>
      <c r="DV73">
        <v>1490.51</v>
      </c>
      <c r="DW73">
        <v>-46.611600000000003</v>
      </c>
      <c r="DX73">
        <v>363.42399999999998</v>
      </c>
      <c r="DY73">
        <v>409.38499999999999</v>
      </c>
      <c r="DZ73">
        <v>4.6753499999999999</v>
      </c>
      <c r="EA73">
        <v>400.04599999999999</v>
      </c>
      <c r="EB73">
        <v>22.813099999999999</v>
      </c>
      <c r="EC73">
        <v>2.7351200000000002</v>
      </c>
      <c r="ED73">
        <v>2.2699199999999999</v>
      </c>
      <c r="EE73">
        <v>22.497699999999998</v>
      </c>
      <c r="EF73">
        <v>19.464500000000001</v>
      </c>
      <c r="EG73">
        <v>1800.27</v>
      </c>
      <c r="EH73">
        <v>0.97800399999999998</v>
      </c>
      <c r="EI73">
        <v>2.1996399999999999E-2</v>
      </c>
      <c r="EJ73">
        <v>0</v>
      </c>
      <c r="EK73">
        <v>811.31100000000004</v>
      </c>
      <c r="EL73">
        <v>4.9995000000000003</v>
      </c>
      <c r="EM73">
        <v>16305.5</v>
      </c>
      <c r="EN73">
        <v>16662.3</v>
      </c>
      <c r="EO73">
        <v>47.75</v>
      </c>
      <c r="EP73">
        <v>49.875</v>
      </c>
      <c r="EQ73">
        <v>49.061999999999998</v>
      </c>
      <c r="ER73">
        <v>48.25</v>
      </c>
      <c r="ES73">
        <v>48.936999999999998</v>
      </c>
      <c r="ET73">
        <v>1755.78</v>
      </c>
      <c r="EU73">
        <v>39.49</v>
      </c>
      <c r="EV73">
        <v>0</v>
      </c>
      <c r="EW73">
        <v>2083.3999998569489</v>
      </c>
      <c r="EX73">
        <v>0</v>
      </c>
      <c r="EY73">
        <v>810.91800000000001</v>
      </c>
      <c r="EZ73">
        <v>1.3966923300009479</v>
      </c>
      <c r="FA73">
        <v>16.446154098170268</v>
      </c>
      <c r="FB73">
        <v>16291.512000000001</v>
      </c>
      <c r="FC73">
        <v>15</v>
      </c>
      <c r="FD73">
        <v>1693508066.5999999</v>
      </c>
      <c r="FE73" t="s">
        <v>710</v>
      </c>
      <c r="FF73">
        <v>1693508054.5999999</v>
      </c>
      <c r="FG73">
        <v>1693508066.5999999</v>
      </c>
      <c r="FH73">
        <v>66</v>
      </c>
      <c r="FI73">
        <v>0.52700000000000002</v>
      </c>
      <c r="FJ73">
        <v>-0.126</v>
      </c>
      <c r="FK73">
        <v>-2.3519999999999999</v>
      </c>
      <c r="FL73">
        <v>0.14699999999999999</v>
      </c>
      <c r="FM73">
        <v>400</v>
      </c>
      <c r="FN73">
        <v>23</v>
      </c>
      <c r="FO73">
        <v>0.08</v>
      </c>
      <c r="FP73">
        <v>0.06</v>
      </c>
      <c r="FQ73">
        <v>37.451489873921773</v>
      </c>
      <c r="FR73">
        <v>-0.17402059094944039</v>
      </c>
      <c r="FS73">
        <v>7.7608160838646731E-2</v>
      </c>
      <c r="FT73">
        <v>1</v>
      </c>
      <c r="FU73">
        <v>0.26699105956467101</v>
      </c>
      <c r="FV73">
        <v>3.6483132939068158E-2</v>
      </c>
      <c r="FW73">
        <v>3.312468283325239E-3</v>
      </c>
      <c r="FX73">
        <v>1</v>
      </c>
      <c r="FY73">
        <v>2</v>
      </c>
      <c r="FZ73">
        <v>2</v>
      </c>
      <c r="GA73" t="s">
        <v>422</v>
      </c>
      <c r="GB73">
        <v>2.97017</v>
      </c>
      <c r="GC73">
        <v>2.81229</v>
      </c>
      <c r="GD73">
        <v>8.8509599999999994E-2</v>
      </c>
      <c r="GE73">
        <v>9.5977699999999999E-2</v>
      </c>
      <c r="GF73">
        <v>0.131385</v>
      </c>
      <c r="GG73">
        <v>0.11473700000000001</v>
      </c>
      <c r="GH73">
        <v>26934.7</v>
      </c>
      <c r="GI73">
        <v>24581.7</v>
      </c>
      <c r="GJ73">
        <v>26560.799999999999</v>
      </c>
      <c r="GK73">
        <v>25655.8</v>
      </c>
      <c r="GL73">
        <v>31387.9</v>
      </c>
      <c r="GM73">
        <v>31995.1</v>
      </c>
      <c r="GN73">
        <v>37603.800000000003</v>
      </c>
      <c r="GO73">
        <v>37959.1</v>
      </c>
      <c r="GP73">
        <v>1.964</v>
      </c>
      <c r="GQ73">
        <v>2.0207999999999999</v>
      </c>
      <c r="GR73">
        <v>3.8295999999999997E-2</v>
      </c>
      <c r="GS73">
        <v>0</v>
      </c>
      <c r="GT73">
        <v>29.332899999999999</v>
      </c>
      <c r="GU73">
        <v>999.9</v>
      </c>
      <c r="GV73">
        <v>61.3</v>
      </c>
      <c r="GW73">
        <v>32</v>
      </c>
      <c r="GX73">
        <v>29.418399999999998</v>
      </c>
      <c r="GY73">
        <v>61.7134</v>
      </c>
      <c r="GZ73">
        <v>12.3438</v>
      </c>
      <c r="HA73">
        <v>1</v>
      </c>
      <c r="HB73">
        <v>0.34337400000000001</v>
      </c>
      <c r="HC73">
        <v>2.8545400000000001</v>
      </c>
      <c r="HD73">
        <v>20.2822</v>
      </c>
      <c r="HE73">
        <v>5.2088999999999999</v>
      </c>
      <c r="HF73">
        <v>11.932700000000001</v>
      </c>
      <c r="HG73">
        <v>4.9871999999999996</v>
      </c>
      <c r="HH73">
        <v>3.2909999999999999</v>
      </c>
      <c r="HI73">
        <v>9999</v>
      </c>
      <c r="HJ73">
        <v>9999</v>
      </c>
      <c r="HK73">
        <v>9999</v>
      </c>
      <c r="HL73">
        <v>999.9</v>
      </c>
      <c r="HM73">
        <v>1.86981</v>
      </c>
      <c r="HN73">
        <v>1.8760699999999999</v>
      </c>
      <c r="HO73">
        <v>1.8739300000000001</v>
      </c>
      <c r="HP73">
        <v>1.8721099999999999</v>
      </c>
      <c r="HQ73">
        <v>1.87256</v>
      </c>
      <c r="HR73">
        <v>1.87001</v>
      </c>
      <c r="HS73">
        <v>1.87592</v>
      </c>
      <c r="HT73">
        <v>1.8749800000000001</v>
      </c>
      <c r="HU73">
        <v>5</v>
      </c>
      <c r="HV73">
        <v>0</v>
      </c>
      <c r="HW73">
        <v>0</v>
      </c>
      <c r="HX73">
        <v>0</v>
      </c>
      <c r="HY73" t="s">
        <v>423</v>
      </c>
      <c r="HZ73" t="s">
        <v>424</v>
      </c>
      <c r="IA73" t="s">
        <v>425</v>
      </c>
      <c r="IB73" t="s">
        <v>425</v>
      </c>
      <c r="IC73" t="s">
        <v>425</v>
      </c>
      <c r="ID73" t="s">
        <v>425</v>
      </c>
      <c r="IE73">
        <v>0</v>
      </c>
      <c r="IF73">
        <v>100</v>
      </c>
      <c r="IG73">
        <v>100</v>
      </c>
      <c r="IH73">
        <v>-2.2829999999999999</v>
      </c>
      <c r="II73">
        <v>0.34899999999999998</v>
      </c>
      <c r="IJ73">
        <v>-1.5472914114065841</v>
      </c>
      <c r="IK73">
        <v>-2.677719669153116E-3</v>
      </c>
      <c r="IL73">
        <v>1.9353498771248068E-6</v>
      </c>
      <c r="IM73">
        <v>-6.1862177325538213E-10</v>
      </c>
      <c r="IN73">
        <v>-0.22458910323721601</v>
      </c>
      <c r="IO73">
        <v>-1.5299015507423901E-2</v>
      </c>
      <c r="IP73">
        <v>1.742162107778985E-3</v>
      </c>
      <c r="IQ73">
        <v>-1.472690239905804E-5</v>
      </c>
      <c r="IR73">
        <v>3</v>
      </c>
      <c r="IS73">
        <v>2255</v>
      </c>
      <c r="IT73">
        <v>2</v>
      </c>
      <c r="IU73">
        <v>41</v>
      </c>
      <c r="IV73">
        <v>0.8</v>
      </c>
      <c r="IW73">
        <v>0.6</v>
      </c>
      <c r="IX73">
        <v>0.95825199999999999</v>
      </c>
      <c r="IY73">
        <v>2.4853499999999999</v>
      </c>
      <c r="IZ73">
        <v>1.6003400000000001</v>
      </c>
      <c r="JA73">
        <v>2.2729499999999998</v>
      </c>
      <c r="JB73">
        <v>1.5502899999999999</v>
      </c>
      <c r="JC73">
        <v>2.3034699999999999</v>
      </c>
      <c r="JD73">
        <v>36.034700000000001</v>
      </c>
      <c r="JE73">
        <v>15.927</v>
      </c>
      <c r="JF73">
        <v>18</v>
      </c>
      <c r="JG73">
        <v>504.63099999999997</v>
      </c>
      <c r="JH73">
        <v>510.41</v>
      </c>
      <c r="JI73">
        <v>24.3627</v>
      </c>
      <c r="JJ73">
        <v>31.860900000000001</v>
      </c>
      <c r="JK73">
        <v>30</v>
      </c>
      <c r="JL73">
        <v>31.732299999999999</v>
      </c>
      <c r="JM73">
        <v>31.686399999999999</v>
      </c>
      <c r="JN73">
        <v>19.2178</v>
      </c>
      <c r="JO73">
        <v>33.190399999999997</v>
      </c>
      <c r="JP73">
        <v>84.012299999999996</v>
      </c>
      <c r="JQ73">
        <v>24.3687</v>
      </c>
      <c r="JR73">
        <v>400</v>
      </c>
      <c r="JS73">
        <v>22.703299999999999</v>
      </c>
      <c r="JT73">
        <v>99.172399999999996</v>
      </c>
      <c r="JU73">
        <v>98.605000000000004</v>
      </c>
    </row>
    <row r="74" spans="1:281" x14ac:dyDescent="0.25">
      <c r="A74">
        <v>58</v>
      </c>
      <c r="B74">
        <v>1693508202.5999999</v>
      </c>
      <c r="C74">
        <v>14223</v>
      </c>
      <c r="D74" t="s">
        <v>711</v>
      </c>
      <c r="E74" t="s">
        <v>712</v>
      </c>
      <c r="F74" t="s">
        <v>413</v>
      </c>
      <c r="G74" t="s">
        <v>414</v>
      </c>
      <c r="H74" t="s">
        <v>707</v>
      </c>
      <c r="I74" t="s">
        <v>416</v>
      </c>
      <c r="J74">
        <v>1693508202.5999999</v>
      </c>
      <c r="K74">
        <f t="shared" si="46"/>
        <v>3.7910643610605727E-3</v>
      </c>
      <c r="L74">
        <f t="shared" si="47"/>
        <v>3.7910643610605725</v>
      </c>
      <c r="M74">
        <f t="shared" si="48"/>
        <v>29.847059014303341</v>
      </c>
      <c r="N74">
        <f t="shared" si="49"/>
        <v>263.02699999999999</v>
      </c>
      <c r="O74">
        <f t="shared" si="50"/>
        <v>61.139331587169153</v>
      </c>
      <c r="P74">
        <f t="shared" si="51"/>
        <v>6.0894481403422169</v>
      </c>
      <c r="Q74">
        <f t="shared" si="52"/>
        <v>26.197363210066996</v>
      </c>
      <c r="R74">
        <f t="shared" si="53"/>
        <v>0.25125846888980835</v>
      </c>
      <c r="S74">
        <f t="shared" si="54"/>
        <v>2.9216303779198598</v>
      </c>
      <c r="T74">
        <f t="shared" si="55"/>
        <v>0.23984163428655655</v>
      </c>
      <c r="U74">
        <f t="shared" si="56"/>
        <v>0.1508835431462901</v>
      </c>
      <c r="V74">
        <f t="shared" si="57"/>
        <v>344.38840065813025</v>
      </c>
      <c r="W74">
        <f t="shared" si="58"/>
        <v>30.773851422825025</v>
      </c>
      <c r="X74">
        <f t="shared" si="59"/>
        <v>30.008900000000001</v>
      </c>
      <c r="Y74">
        <f t="shared" si="60"/>
        <v>4.2626282366619623</v>
      </c>
      <c r="Z74">
        <f t="shared" si="61"/>
        <v>65.413093111784292</v>
      </c>
      <c r="AA74">
        <f t="shared" si="62"/>
        <v>2.7436779649391001</v>
      </c>
      <c r="AB74">
        <f t="shared" si="63"/>
        <v>4.1943865278629078</v>
      </c>
      <c r="AC74">
        <f t="shared" si="64"/>
        <v>1.5189502717228622</v>
      </c>
      <c r="AD74">
        <f t="shared" si="65"/>
        <v>-167.18593832277125</v>
      </c>
      <c r="AE74">
        <f t="shared" si="66"/>
        <v>-44.213319997490352</v>
      </c>
      <c r="AF74">
        <f t="shared" si="67"/>
        <v>-3.360482917836785</v>
      </c>
      <c r="AG74">
        <f t="shared" si="68"/>
        <v>129.62865942003185</v>
      </c>
      <c r="AH74">
        <v>0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52163.376627685604</v>
      </c>
      <c r="AM74" t="s">
        <v>417</v>
      </c>
      <c r="AN74">
        <v>10238.9</v>
      </c>
      <c r="AO74">
        <v>302.21199999999999</v>
      </c>
      <c r="AP74">
        <v>4052.3</v>
      </c>
      <c r="AQ74">
        <f t="shared" si="72"/>
        <v>0.92542210596451402</v>
      </c>
      <c r="AR74">
        <v>-0.32343011824092421</v>
      </c>
      <c r="AS74" t="s">
        <v>713</v>
      </c>
      <c r="AT74">
        <v>10452.799999999999</v>
      </c>
      <c r="AU74">
        <v>766.24715384615399</v>
      </c>
      <c r="AV74">
        <v>1007.253227606092</v>
      </c>
      <c r="AW74">
        <f t="shared" si="73"/>
        <v>0.23927058971330351</v>
      </c>
      <c r="AX74">
        <v>0.5</v>
      </c>
      <c r="AY74">
        <f t="shared" si="74"/>
        <v>1513.268700329065</v>
      </c>
      <c r="AZ74">
        <f t="shared" si="75"/>
        <v>29.847059014303341</v>
      </c>
      <c r="BA74">
        <f t="shared" si="76"/>
        <v>181.04034716120987</v>
      </c>
      <c r="BB74">
        <f t="shared" si="77"/>
        <v>1.9937298066089383E-2</v>
      </c>
      <c r="BC74">
        <f t="shared" si="78"/>
        <v>3.0231193993103185</v>
      </c>
      <c r="BD74">
        <f t="shared" si="79"/>
        <v>246.61149548392982</v>
      </c>
      <c r="BE74" t="s">
        <v>714</v>
      </c>
      <c r="BF74">
        <v>598.44000000000005</v>
      </c>
      <c r="BG74">
        <f t="shared" si="80"/>
        <v>598.44000000000005</v>
      </c>
      <c r="BH74">
        <f t="shared" si="81"/>
        <v>0.4058693647253987</v>
      </c>
      <c r="BI74">
        <f t="shared" si="82"/>
        <v>0.5895261148256119</v>
      </c>
      <c r="BJ74">
        <f t="shared" si="83"/>
        <v>0.88163584291022457</v>
      </c>
      <c r="BK74">
        <f t="shared" si="84"/>
        <v>0.34183259690820317</v>
      </c>
      <c r="BL74">
        <f t="shared" si="85"/>
        <v>0.81199341785950307</v>
      </c>
      <c r="BM74">
        <f t="shared" si="86"/>
        <v>0.46042064415559725</v>
      </c>
      <c r="BN74">
        <f t="shared" si="87"/>
        <v>0.53957935584440275</v>
      </c>
      <c r="BO74">
        <v>5802</v>
      </c>
      <c r="BP74">
        <v>290.00000000000011</v>
      </c>
      <c r="BQ74">
        <v>943.65</v>
      </c>
      <c r="BR74">
        <v>205</v>
      </c>
      <c r="BS74">
        <v>10452.799999999999</v>
      </c>
      <c r="BT74">
        <v>942.16</v>
      </c>
      <c r="BU74">
        <v>1.49</v>
      </c>
      <c r="BV74">
        <v>300.00000000000011</v>
      </c>
      <c r="BW74">
        <v>38.299999999999997</v>
      </c>
      <c r="BX74">
        <v>1007.253227606092</v>
      </c>
      <c r="BY74">
        <v>1.117223741637891</v>
      </c>
      <c r="BZ74">
        <v>-68.040108470484569</v>
      </c>
      <c r="CA74">
        <v>0.95590625701910037</v>
      </c>
      <c r="CB74">
        <v>0.99450376772250393</v>
      </c>
      <c r="CC74">
        <v>-1.134581223581759E-2</v>
      </c>
      <c r="CD74">
        <v>289.99999999999989</v>
      </c>
      <c r="CE74">
        <v>940.94</v>
      </c>
      <c r="CF74">
        <v>695</v>
      </c>
      <c r="CG74">
        <v>10422.4</v>
      </c>
      <c r="CH74">
        <v>941.97</v>
      </c>
      <c r="CI74">
        <v>-1.03</v>
      </c>
      <c r="CW74">
        <f t="shared" si="88"/>
        <v>1800.1</v>
      </c>
      <c r="CX74">
        <f t="shared" si="89"/>
        <v>1513.268700329065</v>
      </c>
      <c r="CY74">
        <f t="shared" si="90"/>
        <v>0.8406581302866869</v>
      </c>
      <c r="CZ74">
        <f t="shared" si="91"/>
        <v>0.19131626057337386</v>
      </c>
      <c r="DA74">
        <v>6</v>
      </c>
      <c r="DB74">
        <v>0.5</v>
      </c>
      <c r="DC74" t="s">
        <v>420</v>
      </c>
      <c r="DD74">
        <v>2</v>
      </c>
      <c r="DE74">
        <v>1693508202.5999999</v>
      </c>
      <c r="DF74">
        <v>263.02699999999999</v>
      </c>
      <c r="DG74">
        <v>300.02199999999999</v>
      </c>
      <c r="DH74">
        <v>27.5471</v>
      </c>
      <c r="DI74">
        <v>23.125299999999999</v>
      </c>
      <c r="DJ74">
        <v>265.05900000000003</v>
      </c>
      <c r="DK74">
        <v>27.197700000000001</v>
      </c>
      <c r="DL74">
        <v>500.24400000000003</v>
      </c>
      <c r="DM74">
        <v>99.499499999999998</v>
      </c>
      <c r="DN74">
        <v>0.100021</v>
      </c>
      <c r="DO74">
        <v>29.728200000000001</v>
      </c>
      <c r="DP74">
        <v>30.008900000000001</v>
      </c>
      <c r="DQ74">
        <v>999.9</v>
      </c>
      <c r="DR74">
        <v>0</v>
      </c>
      <c r="DS74">
        <v>0</v>
      </c>
      <c r="DT74">
        <v>10005</v>
      </c>
      <c r="DU74">
        <v>0</v>
      </c>
      <c r="DV74">
        <v>1483.68</v>
      </c>
      <c r="DW74">
        <v>-36.994399999999999</v>
      </c>
      <c r="DX74">
        <v>270.47800000000001</v>
      </c>
      <c r="DY74">
        <v>307.12400000000002</v>
      </c>
      <c r="DZ74">
        <v>4.4217500000000003</v>
      </c>
      <c r="EA74">
        <v>300.02199999999999</v>
      </c>
      <c r="EB74">
        <v>23.125299999999999</v>
      </c>
      <c r="EC74">
        <v>2.74092</v>
      </c>
      <c r="ED74">
        <v>2.3009599999999999</v>
      </c>
      <c r="EE74">
        <v>22.532499999999999</v>
      </c>
      <c r="EF74">
        <v>19.6831</v>
      </c>
      <c r="EG74">
        <v>1800.1</v>
      </c>
      <c r="EH74">
        <v>0.97799999999999998</v>
      </c>
      <c r="EI74">
        <v>2.1999999999999999E-2</v>
      </c>
      <c r="EJ74">
        <v>0</v>
      </c>
      <c r="EK74">
        <v>766.07799999999997</v>
      </c>
      <c r="EL74">
        <v>4.9995000000000003</v>
      </c>
      <c r="EM74">
        <v>15482.1</v>
      </c>
      <c r="EN74">
        <v>16660.7</v>
      </c>
      <c r="EO74">
        <v>47.561999999999998</v>
      </c>
      <c r="EP74">
        <v>49.625</v>
      </c>
      <c r="EQ74">
        <v>48.75</v>
      </c>
      <c r="ER74">
        <v>48.061999999999998</v>
      </c>
      <c r="ES74">
        <v>48.811999999999998</v>
      </c>
      <c r="ET74">
        <v>1755.61</v>
      </c>
      <c r="EU74">
        <v>39.49</v>
      </c>
      <c r="EV74">
        <v>0</v>
      </c>
      <c r="EW74">
        <v>100.7999999523163</v>
      </c>
      <c r="EX74">
        <v>0</v>
      </c>
      <c r="EY74">
        <v>766.24715384615399</v>
      </c>
      <c r="EZ74">
        <v>-2.6099145218957611</v>
      </c>
      <c r="FA74">
        <v>41.900855404324453</v>
      </c>
      <c r="FB74">
        <v>15487.26153846154</v>
      </c>
      <c r="FC74">
        <v>15</v>
      </c>
      <c r="FD74">
        <v>1693508166.0999999</v>
      </c>
      <c r="FE74" t="s">
        <v>715</v>
      </c>
      <c r="FF74">
        <v>1693508164.0999999</v>
      </c>
      <c r="FG74">
        <v>1693508166.0999999</v>
      </c>
      <c r="FH74">
        <v>67</v>
      </c>
      <c r="FI74">
        <v>0.10100000000000001</v>
      </c>
      <c r="FJ74">
        <v>-2E-3</v>
      </c>
      <c r="FK74">
        <v>-2.0960000000000001</v>
      </c>
      <c r="FL74">
        <v>0.14899999999999999</v>
      </c>
      <c r="FM74">
        <v>300</v>
      </c>
      <c r="FN74">
        <v>23</v>
      </c>
      <c r="FO74">
        <v>0.18</v>
      </c>
      <c r="FP74">
        <v>0.05</v>
      </c>
      <c r="FQ74">
        <v>29.765682896971029</v>
      </c>
      <c r="FR74">
        <v>0.63649448488038862</v>
      </c>
      <c r="FS74">
        <v>6.423347764113943E-2</v>
      </c>
      <c r="FT74">
        <v>1</v>
      </c>
      <c r="FU74">
        <v>0.24902331135704031</v>
      </c>
      <c r="FV74">
        <v>2.6239976930515E-2</v>
      </c>
      <c r="FW74">
        <v>2.021081705288477E-3</v>
      </c>
      <c r="FX74">
        <v>1</v>
      </c>
      <c r="FY74">
        <v>2</v>
      </c>
      <c r="FZ74">
        <v>2</v>
      </c>
      <c r="GA74" t="s">
        <v>422</v>
      </c>
      <c r="GB74">
        <v>2.9702700000000002</v>
      </c>
      <c r="GC74">
        <v>2.81176</v>
      </c>
      <c r="GD74">
        <v>6.9558700000000001E-2</v>
      </c>
      <c r="GE74">
        <v>7.6282699999999995E-2</v>
      </c>
      <c r="GF74">
        <v>0.13156399999999999</v>
      </c>
      <c r="GG74">
        <v>0.115818</v>
      </c>
      <c r="GH74">
        <v>27493.7</v>
      </c>
      <c r="GI74">
        <v>25115.200000000001</v>
      </c>
      <c r="GJ74">
        <v>26559.8</v>
      </c>
      <c r="GK74">
        <v>25653.599999999999</v>
      </c>
      <c r="GL74">
        <v>31379.200000000001</v>
      </c>
      <c r="GM74">
        <v>31952.3</v>
      </c>
      <c r="GN74">
        <v>37602.5</v>
      </c>
      <c r="GO74">
        <v>37956.300000000003</v>
      </c>
      <c r="GP74">
        <v>1.9633</v>
      </c>
      <c r="GQ74">
        <v>2.0205000000000002</v>
      </c>
      <c r="GR74">
        <v>3.9860600000000003E-2</v>
      </c>
      <c r="GS74">
        <v>0</v>
      </c>
      <c r="GT74">
        <v>29.3599</v>
      </c>
      <c r="GU74">
        <v>999.9</v>
      </c>
      <c r="GV74">
        <v>61.1</v>
      </c>
      <c r="GW74">
        <v>32</v>
      </c>
      <c r="GX74">
        <v>29.319099999999999</v>
      </c>
      <c r="GY74">
        <v>61.863399999999999</v>
      </c>
      <c r="GZ74">
        <v>11.306100000000001</v>
      </c>
      <c r="HA74">
        <v>1</v>
      </c>
      <c r="HB74">
        <v>0.350244</v>
      </c>
      <c r="HC74">
        <v>2.7375500000000001</v>
      </c>
      <c r="HD74">
        <v>20.281300000000002</v>
      </c>
      <c r="HE74">
        <v>5.2053099999999999</v>
      </c>
      <c r="HF74">
        <v>11.935700000000001</v>
      </c>
      <c r="HG74">
        <v>4.9874000000000001</v>
      </c>
      <c r="HH74">
        <v>3.2909999999999999</v>
      </c>
      <c r="HI74">
        <v>9999</v>
      </c>
      <c r="HJ74">
        <v>9999</v>
      </c>
      <c r="HK74">
        <v>9999</v>
      </c>
      <c r="HL74">
        <v>999.9</v>
      </c>
      <c r="HM74">
        <v>1.86981</v>
      </c>
      <c r="HN74">
        <v>1.87612</v>
      </c>
      <c r="HO74">
        <v>1.87391</v>
      </c>
      <c r="HP74">
        <v>1.8721099999999999</v>
      </c>
      <c r="HQ74">
        <v>1.87256</v>
      </c>
      <c r="HR74">
        <v>1.86998</v>
      </c>
      <c r="HS74">
        <v>1.87592</v>
      </c>
      <c r="HT74">
        <v>1.8749499999999999</v>
      </c>
      <c r="HU74">
        <v>5</v>
      </c>
      <c r="HV74">
        <v>0</v>
      </c>
      <c r="HW74">
        <v>0</v>
      </c>
      <c r="HX74">
        <v>0</v>
      </c>
      <c r="HY74" t="s">
        <v>423</v>
      </c>
      <c r="HZ74" t="s">
        <v>424</v>
      </c>
      <c r="IA74" t="s">
        <v>425</v>
      </c>
      <c r="IB74" t="s">
        <v>425</v>
      </c>
      <c r="IC74" t="s">
        <v>425</v>
      </c>
      <c r="ID74" t="s">
        <v>425</v>
      </c>
      <c r="IE74">
        <v>0</v>
      </c>
      <c r="IF74">
        <v>100</v>
      </c>
      <c r="IG74">
        <v>100</v>
      </c>
      <c r="IH74">
        <v>-2.032</v>
      </c>
      <c r="II74">
        <v>0.34939999999999999</v>
      </c>
      <c r="IJ74">
        <v>-1.446390914649581</v>
      </c>
      <c r="IK74">
        <v>-2.677719669153116E-3</v>
      </c>
      <c r="IL74">
        <v>1.9353498771248068E-6</v>
      </c>
      <c r="IM74">
        <v>-6.1862177325538213E-10</v>
      </c>
      <c r="IN74">
        <v>-0.22694647416580141</v>
      </c>
      <c r="IO74">
        <v>-1.5299015507423901E-2</v>
      </c>
      <c r="IP74">
        <v>1.742162107778985E-3</v>
      </c>
      <c r="IQ74">
        <v>-1.472690239905804E-5</v>
      </c>
      <c r="IR74">
        <v>3</v>
      </c>
      <c r="IS74">
        <v>2255</v>
      </c>
      <c r="IT74">
        <v>2</v>
      </c>
      <c r="IU74">
        <v>41</v>
      </c>
      <c r="IV74">
        <v>0.6</v>
      </c>
      <c r="IW74">
        <v>0.6</v>
      </c>
      <c r="IX74">
        <v>0.76660200000000001</v>
      </c>
      <c r="IY74">
        <v>2.48291</v>
      </c>
      <c r="IZ74">
        <v>1.5991200000000001</v>
      </c>
      <c r="JA74">
        <v>2.2729499999999998</v>
      </c>
      <c r="JB74">
        <v>1.5502899999999999</v>
      </c>
      <c r="JC74">
        <v>2.3950200000000001</v>
      </c>
      <c r="JD74">
        <v>36.081600000000002</v>
      </c>
      <c r="JE74">
        <v>15.9358</v>
      </c>
      <c r="JF74">
        <v>18</v>
      </c>
      <c r="JG74">
        <v>504.62599999999998</v>
      </c>
      <c r="JH74">
        <v>510.72699999999998</v>
      </c>
      <c r="JI74">
        <v>23.996300000000002</v>
      </c>
      <c r="JJ74">
        <v>31.900200000000002</v>
      </c>
      <c r="JK74">
        <v>30.0001</v>
      </c>
      <c r="JL74">
        <v>31.787400000000002</v>
      </c>
      <c r="JM74">
        <v>31.747299999999999</v>
      </c>
      <c r="JN74">
        <v>15.3706</v>
      </c>
      <c r="JO74">
        <v>31.132899999999999</v>
      </c>
      <c r="JP74">
        <v>83.001499999999993</v>
      </c>
      <c r="JQ74">
        <v>24.335599999999999</v>
      </c>
      <c r="JR74">
        <v>300</v>
      </c>
      <c r="JS74">
        <v>23.058199999999999</v>
      </c>
      <c r="JT74">
        <v>99.168999999999997</v>
      </c>
      <c r="JU74">
        <v>98.597399999999993</v>
      </c>
    </row>
    <row r="75" spans="1:281" x14ac:dyDescent="0.25">
      <c r="A75">
        <v>59</v>
      </c>
      <c r="B75">
        <v>1693508343.0999999</v>
      </c>
      <c r="C75">
        <v>14363.5</v>
      </c>
      <c r="D75" t="s">
        <v>716</v>
      </c>
      <c r="E75" t="s">
        <v>717</v>
      </c>
      <c r="F75" t="s">
        <v>413</v>
      </c>
      <c r="G75" t="s">
        <v>414</v>
      </c>
      <c r="H75" t="s">
        <v>707</v>
      </c>
      <c r="I75" t="s">
        <v>416</v>
      </c>
      <c r="J75">
        <v>1693508343.0999999</v>
      </c>
      <c r="K75">
        <f t="shared" si="46"/>
        <v>4.8072491827759424E-3</v>
      </c>
      <c r="L75">
        <f t="shared" si="47"/>
        <v>4.8072491827759425</v>
      </c>
      <c r="M75">
        <f t="shared" si="48"/>
        <v>22.564661733733278</v>
      </c>
      <c r="N75">
        <f t="shared" si="49"/>
        <v>171.90299999999999</v>
      </c>
      <c r="O75">
        <f t="shared" si="50"/>
        <v>51.053226850090851</v>
      </c>
      <c r="P75">
        <f t="shared" si="51"/>
        <v>5.0851581664734917</v>
      </c>
      <c r="Q75">
        <f t="shared" si="52"/>
        <v>17.122403386138501</v>
      </c>
      <c r="R75">
        <f t="shared" si="53"/>
        <v>0.32184651740064296</v>
      </c>
      <c r="S75">
        <f t="shared" si="54"/>
        <v>2.9138575379108023</v>
      </c>
      <c r="T75">
        <f t="shared" si="55"/>
        <v>0.30332087360274956</v>
      </c>
      <c r="U75">
        <f t="shared" si="56"/>
        <v>0.19115108122493479</v>
      </c>
      <c r="V75">
        <f t="shared" si="57"/>
        <v>344.39850065827869</v>
      </c>
      <c r="W75">
        <f t="shared" si="58"/>
        <v>30.567875881962276</v>
      </c>
      <c r="X75">
        <f t="shared" si="59"/>
        <v>29.987200000000001</v>
      </c>
      <c r="Y75">
        <f t="shared" si="60"/>
        <v>4.2573184014574643</v>
      </c>
      <c r="Z75">
        <f t="shared" si="61"/>
        <v>64.973355754810584</v>
      </c>
      <c r="AA75">
        <f t="shared" si="62"/>
        <v>2.73410825726025</v>
      </c>
      <c r="AB75">
        <f t="shared" si="63"/>
        <v>4.2080453218053444</v>
      </c>
      <c r="AC75">
        <f t="shared" si="64"/>
        <v>1.5232101441972143</v>
      </c>
      <c r="AD75">
        <f t="shared" si="65"/>
        <v>-211.99968896041906</v>
      </c>
      <c r="AE75">
        <f t="shared" si="66"/>
        <v>-31.811107235729143</v>
      </c>
      <c r="AF75">
        <f t="shared" si="67"/>
        <v>-2.4247061369948106</v>
      </c>
      <c r="AG75">
        <f t="shared" si="68"/>
        <v>98.162998325135675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51932.033557788796</v>
      </c>
      <c r="AM75" t="s">
        <v>417</v>
      </c>
      <c r="AN75">
        <v>10238.9</v>
      </c>
      <c r="AO75">
        <v>302.21199999999999</v>
      </c>
      <c r="AP75">
        <v>4052.3</v>
      </c>
      <c r="AQ75">
        <f t="shared" si="72"/>
        <v>0.92542210596451402</v>
      </c>
      <c r="AR75">
        <v>-0.32343011824092421</v>
      </c>
      <c r="AS75" t="s">
        <v>718</v>
      </c>
      <c r="AT75">
        <v>10456.5</v>
      </c>
      <c r="AU75">
        <v>747.71932000000004</v>
      </c>
      <c r="AV75">
        <v>928.84327281265723</v>
      </c>
      <c r="AW75">
        <f t="shared" si="73"/>
        <v>0.19499947742980417</v>
      </c>
      <c r="AX75">
        <v>0.5</v>
      </c>
      <c r="AY75">
        <f t="shared" si="74"/>
        <v>1513.3110003291392</v>
      </c>
      <c r="AZ75">
        <f t="shared" si="75"/>
        <v>22.564661733733278</v>
      </c>
      <c r="BA75">
        <f t="shared" si="76"/>
        <v>147.54742712647817</v>
      </c>
      <c r="BB75">
        <f t="shared" si="77"/>
        <v>1.5124512969902507E-2</v>
      </c>
      <c r="BC75">
        <f t="shared" si="78"/>
        <v>3.3627381697335363</v>
      </c>
      <c r="BD75">
        <f t="shared" si="79"/>
        <v>241.61768415847516</v>
      </c>
      <c r="BE75" t="s">
        <v>719</v>
      </c>
      <c r="BF75">
        <v>582</v>
      </c>
      <c r="BG75">
        <f t="shared" si="80"/>
        <v>582</v>
      </c>
      <c r="BH75">
        <f t="shared" si="81"/>
        <v>0.37341420556599503</v>
      </c>
      <c r="BI75">
        <f t="shared" si="82"/>
        <v>0.52220690729812391</v>
      </c>
      <c r="BJ75">
        <f t="shared" si="83"/>
        <v>0.9000538072176304</v>
      </c>
      <c r="BK75">
        <f t="shared" si="84"/>
        <v>0.28904390934668128</v>
      </c>
      <c r="BL75">
        <f t="shared" si="85"/>
        <v>0.83290224847719385</v>
      </c>
      <c r="BM75">
        <f t="shared" si="86"/>
        <v>0.40646859311794714</v>
      </c>
      <c r="BN75">
        <f t="shared" si="87"/>
        <v>0.59353140688205286</v>
      </c>
      <c r="BO75">
        <v>5804</v>
      </c>
      <c r="BP75">
        <v>290.00000000000011</v>
      </c>
      <c r="BQ75">
        <v>880.31</v>
      </c>
      <c r="BR75">
        <v>195</v>
      </c>
      <c r="BS75">
        <v>10456.5</v>
      </c>
      <c r="BT75">
        <v>879.84</v>
      </c>
      <c r="BU75">
        <v>0.47</v>
      </c>
      <c r="BV75">
        <v>300.00000000000011</v>
      </c>
      <c r="BW75">
        <v>38.299999999999997</v>
      </c>
      <c r="BX75">
        <v>928.84327281265723</v>
      </c>
      <c r="BY75">
        <v>1.128771574884994</v>
      </c>
      <c r="BZ75">
        <v>-51.24516566543933</v>
      </c>
      <c r="CA75">
        <v>0.96598586389252217</v>
      </c>
      <c r="CB75">
        <v>0.99014868545989743</v>
      </c>
      <c r="CC75">
        <v>-1.134759688542825E-2</v>
      </c>
      <c r="CD75">
        <v>289.99999999999989</v>
      </c>
      <c r="CE75">
        <v>879.01</v>
      </c>
      <c r="CF75">
        <v>745</v>
      </c>
      <c r="CG75">
        <v>10420.200000000001</v>
      </c>
      <c r="CH75">
        <v>879.66</v>
      </c>
      <c r="CI75">
        <v>-0.65</v>
      </c>
      <c r="CW75">
        <f t="shared" si="88"/>
        <v>1800.15</v>
      </c>
      <c r="CX75">
        <f t="shared" si="89"/>
        <v>1513.3110003291392</v>
      </c>
      <c r="CY75">
        <f t="shared" si="90"/>
        <v>0.8406582786596335</v>
      </c>
      <c r="CZ75">
        <f t="shared" si="91"/>
        <v>0.19131655731926711</v>
      </c>
      <c r="DA75">
        <v>6</v>
      </c>
      <c r="DB75">
        <v>0.5</v>
      </c>
      <c r="DC75" t="s">
        <v>420</v>
      </c>
      <c r="DD75">
        <v>2</v>
      </c>
      <c r="DE75">
        <v>1693508343.0999999</v>
      </c>
      <c r="DF75">
        <v>171.90299999999999</v>
      </c>
      <c r="DG75">
        <v>199.98</v>
      </c>
      <c r="DH75">
        <v>27.4495</v>
      </c>
      <c r="DI75">
        <v>21.837599999999998</v>
      </c>
      <c r="DJ75">
        <v>173.61199999999999</v>
      </c>
      <c r="DK75">
        <v>27.1007</v>
      </c>
      <c r="DL75">
        <v>499.86200000000002</v>
      </c>
      <c r="DM75">
        <v>99.506200000000007</v>
      </c>
      <c r="DN75">
        <v>9.8829500000000001E-2</v>
      </c>
      <c r="DO75">
        <v>29.784700000000001</v>
      </c>
      <c r="DP75">
        <v>29.987200000000001</v>
      </c>
      <c r="DQ75">
        <v>999.9</v>
      </c>
      <c r="DR75">
        <v>0</v>
      </c>
      <c r="DS75">
        <v>0</v>
      </c>
      <c r="DT75">
        <v>9960</v>
      </c>
      <c r="DU75">
        <v>0</v>
      </c>
      <c r="DV75">
        <v>1475.26</v>
      </c>
      <c r="DW75">
        <v>-28.0762</v>
      </c>
      <c r="DX75">
        <v>176.755</v>
      </c>
      <c r="DY75">
        <v>204.44399999999999</v>
      </c>
      <c r="DZ75">
        <v>5.61191</v>
      </c>
      <c r="EA75">
        <v>199.98</v>
      </c>
      <c r="EB75">
        <v>21.837599999999998</v>
      </c>
      <c r="EC75">
        <v>2.7313999999999998</v>
      </c>
      <c r="ED75">
        <v>2.1729799999999999</v>
      </c>
      <c r="EE75">
        <v>22.475300000000001</v>
      </c>
      <c r="EF75">
        <v>18.764500000000002</v>
      </c>
      <c r="EG75">
        <v>1800.15</v>
      </c>
      <c r="EH75">
        <v>0.97799599999999998</v>
      </c>
      <c r="EI75">
        <v>2.2003499999999999E-2</v>
      </c>
      <c r="EJ75">
        <v>0</v>
      </c>
      <c r="EK75">
        <v>747.47799999999995</v>
      </c>
      <c r="EL75">
        <v>4.9995000000000003</v>
      </c>
      <c r="EM75">
        <v>15173.6</v>
      </c>
      <c r="EN75">
        <v>16661.2</v>
      </c>
      <c r="EO75">
        <v>47.25</v>
      </c>
      <c r="EP75">
        <v>49.186999999999998</v>
      </c>
      <c r="EQ75">
        <v>48.436999999999998</v>
      </c>
      <c r="ER75">
        <v>47.686999999999998</v>
      </c>
      <c r="ES75">
        <v>48.436999999999998</v>
      </c>
      <c r="ET75">
        <v>1755.65</v>
      </c>
      <c r="EU75">
        <v>39.5</v>
      </c>
      <c r="EV75">
        <v>0</v>
      </c>
      <c r="EW75">
        <v>138.5999999046326</v>
      </c>
      <c r="EX75">
        <v>0</v>
      </c>
      <c r="EY75">
        <v>747.71932000000004</v>
      </c>
      <c r="EZ75">
        <v>-1.7144615369785181</v>
      </c>
      <c r="FA75">
        <v>-29.815385214513551</v>
      </c>
      <c r="FB75">
        <v>15168.915999999999</v>
      </c>
      <c r="FC75">
        <v>15</v>
      </c>
      <c r="FD75">
        <v>1693508289.0999999</v>
      </c>
      <c r="FE75" t="s">
        <v>720</v>
      </c>
      <c r="FF75">
        <v>1693508271.5999999</v>
      </c>
      <c r="FG75">
        <v>1693508289.0999999</v>
      </c>
      <c r="FH75">
        <v>68</v>
      </c>
      <c r="FI75">
        <v>0.14799999999999999</v>
      </c>
      <c r="FJ75">
        <v>4.0000000000000001E-3</v>
      </c>
      <c r="FK75">
        <v>-1.7649999999999999</v>
      </c>
      <c r="FL75">
        <v>0.14099999999999999</v>
      </c>
      <c r="FM75">
        <v>200</v>
      </c>
      <c r="FN75">
        <v>22</v>
      </c>
      <c r="FO75">
        <v>0.13</v>
      </c>
      <c r="FP75">
        <v>0.05</v>
      </c>
      <c r="FQ75">
        <v>22.496494882955961</v>
      </c>
      <c r="FR75">
        <v>0.69473277360263175</v>
      </c>
      <c r="FS75">
        <v>6.8239456295285147E-2</v>
      </c>
      <c r="FT75">
        <v>1</v>
      </c>
      <c r="FU75">
        <v>0.3203320903911307</v>
      </c>
      <c r="FV75">
        <v>2.203777833018573E-2</v>
      </c>
      <c r="FW75">
        <v>2.3791131601163728E-3</v>
      </c>
      <c r="FX75">
        <v>1</v>
      </c>
      <c r="FY75">
        <v>2</v>
      </c>
      <c r="FZ75">
        <v>2</v>
      </c>
      <c r="GA75" t="s">
        <v>422</v>
      </c>
      <c r="GB75">
        <v>2.9692099999999999</v>
      </c>
      <c r="GC75">
        <v>2.8101699999999998</v>
      </c>
      <c r="GD75">
        <v>4.7980299999999997E-2</v>
      </c>
      <c r="GE75">
        <v>5.3876599999999997E-2</v>
      </c>
      <c r="GF75">
        <v>0.13123000000000001</v>
      </c>
      <c r="GG75">
        <v>0.111244</v>
      </c>
      <c r="GH75">
        <v>28131.200000000001</v>
      </c>
      <c r="GI75">
        <v>25724.9</v>
      </c>
      <c r="GJ75">
        <v>26559.8</v>
      </c>
      <c r="GK75">
        <v>25654.1</v>
      </c>
      <c r="GL75">
        <v>31390.1</v>
      </c>
      <c r="GM75">
        <v>32116.400000000001</v>
      </c>
      <c r="GN75">
        <v>37602.6</v>
      </c>
      <c r="GO75">
        <v>37956.699999999997</v>
      </c>
      <c r="GP75">
        <v>1.9634</v>
      </c>
      <c r="GQ75">
        <v>2.0177</v>
      </c>
      <c r="GR75">
        <v>4.4852499999999997E-2</v>
      </c>
      <c r="GS75">
        <v>0</v>
      </c>
      <c r="GT75">
        <v>29.256799999999998</v>
      </c>
      <c r="GU75">
        <v>999.9</v>
      </c>
      <c r="GV75">
        <v>60.5</v>
      </c>
      <c r="GW75">
        <v>32.1</v>
      </c>
      <c r="GX75">
        <v>29.199400000000001</v>
      </c>
      <c r="GY75">
        <v>61.563400000000001</v>
      </c>
      <c r="GZ75">
        <v>12.488</v>
      </c>
      <c r="HA75">
        <v>1</v>
      </c>
      <c r="HB75">
        <v>0.34698200000000001</v>
      </c>
      <c r="HC75">
        <v>2.6120199999999998</v>
      </c>
      <c r="HD75">
        <v>20.283799999999999</v>
      </c>
      <c r="HE75">
        <v>5.1933299999999996</v>
      </c>
      <c r="HF75">
        <v>11.9351</v>
      </c>
      <c r="HG75">
        <v>4.9832000000000001</v>
      </c>
      <c r="HH75">
        <v>3.2879999999999998</v>
      </c>
      <c r="HI75">
        <v>9999</v>
      </c>
      <c r="HJ75">
        <v>9999</v>
      </c>
      <c r="HK75">
        <v>9999</v>
      </c>
      <c r="HL75">
        <v>999.9</v>
      </c>
      <c r="HM75">
        <v>1.86981</v>
      </c>
      <c r="HN75">
        <v>1.8761699999999999</v>
      </c>
      <c r="HO75">
        <v>1.8738999999999999</v>
      </c>
      <c r="HP75">
        <v>1.8721099999999999</v>
      </c>
      <c r="HQ75">
        <v>1.8725799999999999</v>
      </c>
      <c r="HR75">
        <v>1.86998</v>
      </c>
      <c r="HS75">
        <v>1.87592</v>
      </c>
      <c r="HT75">
        <v>1.875</v>
      </c>
      <c r="HU75">
        <v>5</v>
      </c>
      <c r="HV75">
        <v>0</v>
      </c>
      <c r="HW75">
        <v>0</v>
      </c>
      <c r="HX75">
        <v>0</v>
      </c>
      <c r="HY75" t="s">
        <v>423</v>
      </c>
      <c r="HZ75" t="s">
        <v>424</v>
      </c>
      <c r="IA75" t="s">
        <v>425</v>
      </c>
      <c r="IB75" t="s">
        <v>425</v>
      </c>
      <c r="IC75" t="s">
        <v>425</v>
      </c>
      <c r="ID75" t="s">
        <v>425</v>
      </c>
      <c r="IE75">
        <v>0</v>
      </c>
      <c r="IF75">
        <v>100</v>
      </c>
      <c r="IG75">
        <v>100</v>
      </c>
      <c r="IH75">
        <v>-1.7090000000000001</v>
      </c>
      <c r="II75">
        <v>0.3488</v>
      </c>
      <c r="IJ75">
        <v>-1.2983236734878221</v>
      </c>
      <c r="IK75">
        <v>-2.677719669153116E-3</v>
      </c>
      <c r="IL75">
        <v>1.9353498771248068E-6</v>
      </c>
      <c r="IM75">
        <v>-6.1862177325538213E-10</v>
      </c>
      <c r="IN75">
        <v>-0.2229101856130358</v>
      </c>
      <c r="IO75">
        <v>-1.5299015507423901E-2</v>
      </c>
      <c r="IP75">
        <v>1.742162107778985E-3</v>
      </c>
      <c r="IQ75">
        <v>-1.472690239905804E-5</v>
      </c>
      <c r="IR75">
        <v>3</v>
      </c>
      <c r="IS75">
        <v>2255</v>
      </c>
      <c r="IT75">
        <v>2</v>
      </c>
      <c r="IU75">
        <v>41</v>
      </c>
      <c r="IV75">
        <v>1.2</v>
      </c>
      <c r="IW75">
        <v>0.9</v>
      </c>
      <c r="IX75">
        <v>0.56518599999999997</v>
      </c>
      <c r="IY75">
        <v>2.49146</v>
      </c>
      <c r="IZ75">
        <v>1.5991200000000001</v>
      </c>
      <c r="JA75">
        <v>2.2729499999999998</v>
      </c>
      <c r="JB75">
        <v>1.5502899999999999</v>
      </c>
      <c r="JC75">
        <v>2.4182100000000002</v>
      </c>
      <c r="JD75">
        <v>36.128500000000003</v>
      </c>
      <c r="JE75">
        <v>15.918200000000001</v>
      </c>
      <c r="JF75">
        <v>18</v>
      </c>
      <c r="JG75">
        <v>505.05099999999999</v>
      </c>
      <c r="JH75">
        <v>509.19299999999998</v>
      </c>
      <c r="JI75">
        <v>24.947299999999998</v>
      </c>
      <c r="JJ75">
        <v>31.9283</v>
      </c>
      <c r="JK75">
        <v>30</v>
      </c>
      <c r="JL75">
        <v>31.832100000000001</v>
      </c>
      <c r="JM75">
        <v>31.788900000000002</v>
      </c>
      <c r="JN75">
        <v>11.3506</v>
      </c>
      <c r="JO75">
        <v>34.730899999999998</v>
      </c>
      <c r="JP75">
        <v>81.031400000000005</v>
      </c>
      <c r="JQ75">
        <v>24.9406</v>
      </c>
      <c r="JR75">
        <v>200</v>
      </c>
      <c r="JS75">
        <v>21.970400000000001</v>
      </c>
      <c r="JT75">
        <v>99.1691</v>
      </c>
      <c r="JU75">
        <v>98.598799999999997</v>
      </c>
    </row>
    <row r="76" spans="1:281" x14ac:dyDescent="0.25">
      <c r="A76">
        <v>60</v>
      </c>
      <c r="B76">
        <v>1693508477.5999999</v>
      </c>
      <c r="C76">
        <v>14498</v>
      </c>
      <c r="D76" t="s">
        <v>721</v>
      </c>
      <c r="E76" t="s">
        <v>722</v>
      </c>
      <c r="F76" t="s">
        <v>413</v>
      </c>
      <c r="G76" t="s">
        <v>414</v>
      </c>
      <c r="H76" t="s">
        <v>707</v>
      </c>
      <c r="I76" t="s">
        <v>416</v>
      </c>
      <c r="J76">
        <v>1693508477.5999999</v>
      </c>
      <c r="K76">
        <f t="shared" si="46"/>
        <v>5.5266948120682091E-3</v>
      </c>
      <c r="L76">
        <f t="shared" si="47"/>
        <v>5.5266948120682091</v>
      </c>
      <c r="M76">
        <f t="shared" si="48"/>
        <v>15.45310884856273</v>
      </c>
      <c r="N76">
        <f t="shared" si="49"/>
        <v>100.77800000000001</v>
      </c>
      <c r="O76">
        <f t="shared" si="50"/>
        <v>30.605031321035682</v>
      </c>
      <c r="P76">
        <f t="shared" si="51"/>
        <v>3.0481955023880012</v>
      </c>
      <c r="Q76">
        <f t="shared" si="52"/>
        <v>10.037272731968001</v>
      </c>
      <c r="R76">
        <f t="shared" si="53"/>
        <v>0.38298170383585067</v>
      </c>
      <c r="S76">
        <f t="shared" si="54"/>
        <v>2.924223556926794</v>
      </c>
      <c r="T76">
        <f t="shared" si="55"/>
        <v>0.35713906752193419</v>
      </c>
      <c r="U76">
        <f t="shared" si="56"/>
        <v>0.22538829559453716</v>
      </c>
      <c r="V76">
        <f t="shared" si="57"/>
        <v>344.40110065793806</v>
      </c>
      <c r="W76">
        <f t="shared" si="58"/>
        <v>30.442525126216818</v>
      </c>
      <c r="X76">
        <f t="shared" si="59"/>
        <v>29.9849</v>
      </c>
      <c r="Y76">
        <f t="shared" si="60"/>
        <v>4.2567559458769599</v>
      </c>
      <c r="Z76">
        <f t="shared" si="61"/>
        <v>65.579884738001596</v>
      </c>
      <c r="AA76">
        <f t="shared" si="62"/>
        <v>2.7698562145023997</v>
      </c>
      <c r="AB76">
        <f t="shared" si="63"/>
        <v>4.2236369056887808</v>
      </c>
      <c r="AC76">
        <f t="shared" si="64"/>
        <v>1.4868997313745602</v>
      </c>
      <c r="AD76">
        <f t="shared" si="65"/>
        <v>-243.72724121220801</v>
      </c>
      <c r="AE76">
        <f t="shared" si="66"/>
        <v>-21.42473562050089</v>
      </c>
      <c r="AF76">
        <f t="shared" si="67"/>
        <v>-1.6277468210537325</v>
      </c>
      <c r="AG76">
        <f t="shared" si="68"/>
        <v>77.621377004175429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52216.578861843474</v>
      </c>
      <c r="AM76" t="s">
        <v>417</v>
      </c>
      <c r="AN76">
        <v>10238.9</v>
      </c>
      <c r="AO76">
        <v>302.21199999999999</v>
      </c>
      <c r="AP76">
        <v>4052.3</v>
      </c>
      <c r="AQ76">
        <f t="shared" si="72"/>
        <v>0.92542210596451402</v>
      </c>
      <c r="AR76">
        <v>-0.32343011824092421</v>
      </c>
      <c r="AS76" t="s">
        <v>723</v>
      </c>
      <c r="AT76">
        <v>10443.4</v>
      </c>
      <c r="AU76">
        <v>752.93723999999997</v>
      </c>
      <c r="AV76">
        <v>884.56186770860995</v>
      </c>
      <c r="AW76">
        <f t="shared" si="73"/>
        <v>0.14880205954341386</v>
      </c>
      <c r="AX76">
        <v>0.5</v>
      </c>
      <c r="AY76">
        <f t="shared" si="74"/>
        <v>1513.327200328969</v>
      </c>
      <c r="AZ76">
        <f t="shared" si="75"/>
        <v>15.45310884856273</v>
      </c>
      <c r="BA76">
        <f t="shared" si="76"/>
        <v>112.59310208600951</v>
      </c>
      <c r="BB76">
        <f t="shared" si="77"/>
        <v>1.0425067998099903E-2</v>
      </c>
      <c r="BC76">
        <f t="shared" si="78"/>
        <v>3.5811380163799895</v>
      </c>
      <c r="BD76">
        <f t="shared" si="79"/>
        <v>238.51177124425209</v>
      </c>
      <c r="BE76" t="s">
        <v>724</v>
      </c>
      <c r="BF76">
        <v>583.41</v>
      </c>
      <c r="BG76">
        <f t="shared" si="80"/>
        <v>583.41</v>
      </c>
      <c r="BH76">
        <f t="shared" si="81"/>
        <v>0.34045314262610138</v>
      </c>
      <c r="BI76">
        <f t="shared" si="82"/>
        <v>0.4370706006577651</v>
      </c>
      <c r="BJ76">
        <f t="shared" si="83"/>
        <v>0.91318494743027023</v>
      </c>
      <c r="BK76">
        <f t="shared" si="84"/>
        <v>0.22602328086124149</v>
      </c>
      <c r="BL76">
        <f t="shared" si="85"/>
        <v>0.84471034607491613</v>
      </c>
      <c r="BM76">
        <f t="shared" si="86"/>
        <v>0.33866216941234933</v>
      </c>
      <c r="BN76">
        <f t="shared" si="87"/>
        <v>0.66133783058765072</v>
      </c>
      <c r="BO76">
        <v>5806</v>
      </c>
      <c r="BP76">
        <v>290.00000000000011</v>
      </c>
      <c r="BQ76">
        <v>848.98</v>
      </c>
      <c r="BR76">
        <v>295</v>
      </c>
      <c r="BS76">
        <v>10443.4</v>
      </c>
      <c r="BT76">
        <v>849.25</v>
      </c>
      <c r="BU76">
        <v>-0.27</v>
      </c>
      <c r="BV76">
        <v>300.00000000000011</v>
      </c>
      <c r="BW76">
        <v>38.299999999999997</v>
      </c>
      <c r="BX76">
        <v>884.56186770860995</v>
      </c>
      <c r="BY76">
        <v>1.2399843352110529</v>
      </c>
      <c r="BZ76">
        <v>-36.876497656207547</v>
      </c>
      <c r="CA76">
        <v>1.0613539196450019</v>
      </c>
      <c r="CB76">
        <v>0.97733158843759127</v>
      </c>
      <c r="CC76">
        <v>-1.134933170189099E-2</v>
      </c>
      <c r="CD76">
        <v>289.99999999999989</v>
      </c>
      <c r="CE76">
        <v>847.37</v>
      </c>
      <c r="CF76">
        <v>675</v>
      </c>
      <c r="CG76">
        <v>10428.5</v>
      </c>
      <c r="CH76">
        <v>849.2</v>
      </c>
      <c r="CI76">
        <v>-1.83</v>
      </c>
      <c r="CW76">
        <f t="shared" si="88"/>
        <v>1800.17</v>
      </c>
      <c r="CX76">
        <f t="shared" si="89"/>
        <v>1513.327200328969</v>
      </c>
      <c r="CY76">
        <f t="shared" si="90"/>
        <v>0.84065793804416744</v>
      </c>
      <c r="CZ76">
        <f t="shared" si="91"/>
        <v>0.191315876088335</v>
      </c>
      <c r="DA76">
        <v>6</v>
      </c>
      <c r="DB76">
        <v>0.5</v>
      </c>
      <c r="DC76" t="s">
        <v>420</v>
      </c>
      <c r="DD76">
        <v>2</v>
      </c>
      <c r="DE76">
        <v>1693508477.5999999</v>
      </c>
      <c r="DF76">
        <v>100.77800000000001</v>
      </c>
      <c r="DG76">
        <v>119.977</v>
      </c>
      <c r="DH76">
        <v>27.810400000000001</v>
      </c>
      <c r="DI76">
        <v>21.3672</v>
      </c>
      <c r="DJ76">
        <v>102.35299999999999</v>
      </c>
      <c r="DK76">
        <v>27.448899999999998</v>
      </c>
      <c r="DL76">
        <v>500.34100000000001</v>
      </c>
      <c r="DM76">
        <v>99.497699999999995</v>
      </c>
      <c r="DN76">
        <v>0.100156</v>
      </c>
      <c r="DO76">
        <v>29.849</v>
      </c>
      <c r="DP76">
        <v>29.9849</v>
      </c>
      <c r="DQ76">
        <v>999.9</v>
      </c>
      <c r="DR76">
        <v>0</v>
      </c>
      <c r="DS76">
        <v>0</v>
      </c>
      <c r="DT76">
        <v>10020</v>
      </c>
      <c r="DU76">
        <v>0</v>
      </c>
      <c r="DV76">
        <v>1468.08</v>
      </c>
      <c r="DW76">
        <v>-19.198799999999999</v>
      </c>
      <c r="DX76">
        <v>103.661</v>
      </c>
      <c r="DY76">
        <v>122.59699999999999</v>
      </c>
      <c r="DZ76">
        <v>6.4432400000000003</v>
      </c>
      <c r="EA76">
        <v>119.977</v>
      </c>
      <c r="EB76">
        <v>21.3672</v>
      </c>
      <c r="EC76">
        <v>2.7670699999999999</v>
      </c>
      <c r="ED76">
        <v>2.1259899999999998</v>
      </c>
      <c r="EE76">
        <v>22.689</v>
      </c>
      <c r="EF76">
        <v>18.415199999999999</v>
      </c>
      <c r="EG76">
        <v>1800.17</v>
      </c>
      <c r="EH76">
        <v>0.97801000000000005</v>
      </c>
      <c r="EI76">
        <v>2.1989700000000001E-2</v>
      </c>
      <c r="EJ76">
        <v>0</v>
      </c>
      <c r="EK76">
        <v>752.94</v>
      </c>
      <c r="EL76">
        <v>4.9995000000000003</v>
      </c>
      <c r="EM76">
        <v>15260.2</v>
      </c>
      <c r="EN76">
        <v>16661.400000000001</v>
      </c>
      <c r="EO76">
        <v>47</v>
      </c>
      <c r="EP76">
        <v>49.061999999999998</v>
      </c>
      <c r="EQ76">
        <v>48.186999999999998</v>
      </c>
      <c r="ER76">
        <v>47.436999999999998</v>
      </c>
      <c r="ES76">
        <v>48.311999999999998</v>
      </c>
      <c r="ET76">
        <v>1755.69</v>
      </c>
      <c r="EU76">
        <v>39.479999999999997</v>
      </c>
      <c r="EV76">
        <v>0</v>
      </c>
      <c r="EW76">
        <v>132.79999995231631</v>
      </c>
      <c r="EX76">
        <v>0</v>
      </c>
      <c r="EY76">
        <v>752.93723999999997</v>
      </c>
      <c r="EZ76">
        <v>-1.796846152195781</v>
      </c>
      <c r="FA76">
        <v>-276.03846202619837</v>
      </c>
      <c r="FB76">
        <v>15305.152</v>
      </c>
      <c r="FC76">
        <v>15</v>
      </c>
      <c r="FD76">
        <v>1693508413.0999999</v>
      </c>
      <c r="FE76" t="s">
        <v>725</v>
      </c>
      <c r="FF76">
        <v>1693508404.5999999</v>
      </c>
      <c r="FG76">
        <v>1693508413.0999999</v>
      </c>
      <c r="FH76">
        <v>69</v>
      </c>
      <c r="FI76">
        <v>-2.1999999999999999E-2</v>
      </c>
      <c r="FJ76">
        <v>-4.0000000000000001E-3</v>
      </c>
      <c r="FK76">
        <v>-1.6180000000000001</v>
      </c>
      <c r="FL76">
        <v>0.11700000000000001</v>
      </c>
      <c r="FM76">
        <v>120</v>
      </c>
      <c r="FN76">
        <v>22</v>
      </c>
      <c r="FO76">
        <v>0.23</v>
      </c>
      <c r="FP76">
        <v>0.08</v>
      </c>
      <c r="FQ76">
        <v>15.361734056658561</v>
      </c>
      <c r="FR76">
        <v>0.59794535967355822</v>
      </c>
      <c r="FS76">
        <v>7.1946716843198755E-2</v>
      </c>
      <c r="FT76">
        <v>1</v>
      </c>
      <c r="FU76">
        <v>0.38253900818254383</v>
      </c>
      <c r="FV76">
        <v>-1.7789055540832641E-2</v>
      </c>
      <c r="FW76">
        <v>2.9536511297672749E-3</v>
      </c>
      <c r="FX76">
        <v>1</v>
      </c>
      <c r="FY76">
        <v>2</v>
      </c>
      <c r="FZ76">
        <v>2</v>
      </c>
      <c r="GA76" t="s">
        <v>422</v>
      </c>
      <c r="GB76">
        <v>2.97045</v>
      </c>
      <c r="GC76">
        <v>2.81203</v>
      </c>
      <c r="GD76">
        <v>2.9221899999999999E-2</v>
      </c>
      <c r="GE76">
        <v>3.3620999999999998E-2</v>
      </c>
      <c r="GF76">
        <v>0.132386</v>
      </c>
      <c r="GG76">
        <v>0.109526</v>
      </c>
      <c r="GH76">
        <v>28682.799999999999</v>
      </c>
      <c r="GI76">
        <v>26274.2</v>
      </c>
      <c r="GJ76">
        <v>26557.5</v>
      </c>
      <c r="GK76">
        <v>25653</v>
      </c>
      <c r="GL76">
        <v>31344</v>
      </c>
      <c r="GM76">
        <v>32175.9</v>
      </c>
      <c r="GN76">
        <v>37599.199999999997</v>
      </c>
      <c r="GO76">
        <v>37955.199999999997</v>
      </c>
      <c r="GP76">
        <v>1.9643999999999999</v>
      </c>
      <c r="GQ76">
        <v>2.0145</v>
      </c>
      <c r="GR76">
        <v>3.8072500000000002E-2</v>
      </c>
      <c r="GS76">
        <v>0</v>
      </c>
      <c r="GT76">
        <v>29.364999999999998</v>
      </c>
      <c r="GU76">
        <v>999.9</v>
      </c>
      <c r="GV76">
        <v>59.9</v>
      </c>
      <c r="GW76">
        <v>32.1</v>
      </c>
      <c r="GX76">
        <v>28.907900000000001</v>
      </c>
      <c r="GY76">
        <v>61.543399999999998</v>
      </c>
      <c r="GZ76">
        <v>12.379799999999999</v>
      </c>
      <c r="HA76">
        <v>1</v>
      </c>
      <c r="HB76">
        <v>0.35096500000000003</v>
      </c>
      <c r="HC76">
        <v>2.7978399999999999</v>
      </c>
      <c r="HD76">
        <v>20.282699999999998</v>
      </c>
      <c r="HE76">
        <v>5.2100999999999997</v>
      </c>
      <c r="HF76">
        <v>11.932700000000001</v>
      </c>
      <c r="HG76">
        <v>4.9874000000000001</v>
      </c>
      <c r="HH76">
        <v>3.2909999999999999</v>
      </c>
      <c r="HI76">
        <v>9999</v>
      </c>
      <c r="HJ76">
        <v>9999</v>
      </c>
      <c r="HK76">
        <v>9999</v>
      </c>
      <c r="HL76">
        <v>999.9</v>
      </c>
      <c r="HM76">
        <v>1.86981</v>
      </c>
      <c r="HN76">
        <v>1.87616</v>
      </c>
      <c r="HO76">
        <v>1.87391</v>
      </c>
      <c r="HP76">
        <v>1.8721000000000001</v>
      </c>
      <c r="HQ76">
        <v>1.87259</v>
      </c>
      <c r="HR76">
        <v>1.86998</v>
      </c>
      <c r="HS76">
        <v>1.87592</v>
      </c>
      <c r="HT76">
        <v>1.8749800000000001</v>
      </c>
      <c r="HU76">
        <v>5</v>
      </c>
      <c r="HV76">
        <v>0</v>
      </c>
      <c r="HW76">
        <v>0</v>
      </c>
      <c r="HX76">
        <v>0</v>
      </c>
      <c r="HY76" t="s">
        <v>423</v>
      </c>
      <c r="HZ76" t="s">
        <v>424</v>
      </c>
      <c r="IA76" t="s">
        <v>425</v>
      </c>
      <c r="IB76" t="s">
        <v>425</v>
      </c>
      <c r="IC76" t="s">
        <v>425</v>
      </c>
      <c r="ID76" t="s">
        <v>425</v>
      </c>
      <c r="IE76">
        <v>0</v>
      </c>
      <c r="IF76">
        <v>100</v>
      </c>
      <c r="IG76">
        <v>100</v>
      </c>
      <c r="IH76">
        <v>-1.575</v>
      </c>
      <c r="II76">
        <v>0.36149999999999999</v>
      </c>
      <c r="IJ76">
        <v>-1.32008280143567</v>
      </c>
      <c r="IK76">
        <v>-2.677719669153116E-3</v>
      </c>
      <c r="IL76">
        <v>1.9353498771248068E-6</v>
      </c>
      <c r="IM76">
        <v>-6.1862177325538213E-10</v>
      </c>
      <c r="IN76">
        <v>-0.22663113150994799</v>
      </c>
      <c r="IO76">
        <v>-1.5299015507423901E-2</v>
      </c>
      <c r="IP76">
        <v>1.742162107778985E-3</v>
      </c>
      <c r="IQ76">
        <v>-1.472690239905804E-5</v>
      </c>
      <c r="IR76">
        <v>3</v>
      </c>
      <c r="IS76">
        <v>2255</v>
      </c>
      <c r="IT76">
        <v>2</v>
      </c>
      <c r="IU76">
        <v>41</v>
      </c>
      <c r="IV76">
        <v>1.2</v>
      </c>
      <c r="IW76">
        <v>1.1000000000000001</v>
      </c>
      <c r="IX76">
        <v>0.400391</v>
      </c>
      <c r="IY76">
        <v>2.50366</v>
      </c>
      <c r="IZ76">
        <v>1.5991200000000001</v>
      </c>
      <c r="JA76">
        <v>2.2729499999999998</v>
      </c>
      <c r="JB76">
        <v>1.5502899999999999</v>
      </c>
      <c r="JC76">
        <v>2.36816</v>
      </c>
      <c r="JD76">
        <v>36.152000000000001</v>
      </c>
      <c r="JE76">
        <v>15.900700000000001</v>
      </c>
      <c r="JF76">
        <v>18</v>
      </c>
      <c r="JG76">
        <v>506.03199999999998</v>
      </c>
      <c r="JH76">
        <v>507.44</v>
      </c>
      <c r="JI76">
        <v>24.8354</v>
      </c>
      <c r="JJ76">
        <v>31.9649</v>
      </c>
      <c r="JK76">
        <v>30.0002</v>
      </c>
      <c r="JL76">
        <v>31.873999999999999</v>
      </c>
      <c r="JM76">
        <v>31.836200000000002</v>
      </c>
      <c r="JN76">
        <v>8.0549999999999997</v>
      </c>
      <c r="JO76">
        <v>35.750999999999998</v>
      </c>
      <c r="JP76">
        <v>78.781599999999997</v>
      </c>
      <c r="JQ76">
        <v>24.832699999999999</v>
      </c>
      <c r="JR76">
        <v>120</v>
      </c>
      <c r="JS76">
        <v>21.377199999999998</v>
      </c>
      <c r="JT76">
        <v>99.160399999999996</v>
      </c>
      <c r="JU76">
        <v>98.594700000000003</v>
      </c>
    </row>
    <row r="77" spans="1:281" x14ac:dyDescent="0.25">
      <c r="A77">
        <v>61</v>
      </c>
      <c r="B77">
        <v>1693508590.5999999</v>
      </c>
      <c r="C77">
        <v>14611</v>
      </c>
      <c r="D77" t="s">
        <v>726</v>
      </c>
      <c r="E77" t="s">
        <v>727</v>
      </c>
      <c r="F77" t="s">
        <v>413</v>
      </c>
      <c r="G77" t="s">
        <v>414</v>
      </c>
      <c r="H77" t="s">
        <v>707</v>
      </c>
      <c r="I77" t="s">
        <v>416</v>
      </c>
      <c r="J77">
        <v>1693508590.5999999</v>
      </c>
      <c r="K77">
        <f t="shared" si="46"/>
        <v>5.8576731254329937E-3</v>
      </c>
      <c r="L77">
        <f t="shared" si="47"/>
        <v>5.8576731254329939</v>
      </c>
      <c r="M77">
        <f t="shared" si="48"/>
        <v>9.7514310093560503</v>
      </c>
      <c r="N77">
        <f t="shared" si="49"/>
        <v>57.912599999999998</v>
      </c>
      <c r="O77">
        <f t="shared" si="50"/>
        <v>16.356256938425886</v>
      </c>
      <c r="P77">
        <f t="shared" si="51"/>
        <v>1.6290829555371185</v>
      </c>
      <c r="Q77">
        <f t="shared" si="52"/>
        <v>5.7680941260585605</v>
      </c>
      <c r="R77">
        <f t="shared" si="53"/>
        <v>0.40929546654448434</v>
      </c>
      <c r="S77">
        <f t="shared" si="54"/>
        <v>2.9190292277778211</v>
      </c>
      <c r="T77">
        <f t="shared" si="55"/>
        <v>0.37987739180881597</v>
      </c>
      <c r="U77">
        <f t="shared" si="56"/>
        <v>0.23989002926117581</v>
      </c>
      <c r="V77">
        <f t="shared" si="57"/>
        <v>344.3821006579746</v>
      </c>
      <c r="W77">
        <f t="shared" si="58"/>
        <v>30.462962562648325</v>
      </c>
      <c r="X77">
        <f t="shared" si="59"/>
        <v>30.016300000000001</v>
      </c>
      <c r="Y77">
        <f t="shared" si="60"/>
        <v>4.2644402830727453</v>
      </c>
      <c r="Z77">
        <f t="shared" si="61"/>
        <v>65.490477936225417</v>
      </c>
      <c r="AA77">
        <f t="shared" si="62"/>
        <v>2.7829530776452804</v>
      </c>
      <c r="AB77">
        <f t="shared" si="63"/>
        <v>4.2494010814141836</v>
      </c>
      <c r="AC77">
        <f t="shared" si="64"/>
        <v>1.4814872054274648</v>
      </c>
      <c r="AD77">
        <f t="shared" si="65"/>
        <v>-258.32338483159504</v>
      </c>
      <c r="AE77">
        <f t="shared" si="66"/>
        <v>-9.6782982792697769</v>
      </c>
      <c r="AF77">
        <f t="shared" si="67"/>
        <v>-0.73711885659110998</v>
      </c>
      <c r="AG77">
        <f t="shared" si="68"/>
        <v>75.643298690518677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52050.184472787558</v>
      </c>
      <c r="AM77" t="s">
        <v>417</v>
      </c>
      <c r="AN77">
        <v>10238.9</v>
      </c>
      <c r="AO77">
        <v>302.21199999999999</v>
      </c>
      <c r="AP77">
        <v>4052.3</v>
      </c>
      <c r="AQ77">
        <f t="shared" si="72"/>
        <v>0.92542210596451402</v>
      </c>
      <c r="AR77">
        <v>-0.32343011824092421</v>
      </c>
      <c r="AS77" t="s">
        <v>728</v>
      </c>
      <c r="AT77">
        <v>10454.1</v>
      </c>
      <c r="AU77">
        <v>760.57107999999994</v>
      </c>
      <c r="AV77">
        <v>854.22423051854355</v>
      </c>
      <c r="AW77">
        <f t="shared" si="73"/>
        <v>0.10963532427743583</v>
      </c>
      <c r="AX77">
        <v>0.5</v>
      </c>
      <c r="AY77">
        <f t="shared" si="74"/>
        <v>1513.2432003289873</v>
      </c>
      <c r="AZ77">
        <f t="shared" si="75"/>
        <v>9.7514310093560503</v>
      </c>
      <c r="BA77">
        <f t="shared" si="76"/>
        <v>82.952454489346664</v>
      </c>
      <c r="BB77">
        <f t="shared" si="77"/>
        <v>6.65779375410816E-3</v>
      </c>
      <c r="BC77">
        <f t="shared" si="78"/>
        <v>3.7438364017608285</v>
      </c>
      <c r="BD77">
        <f t="shared" si="79"/>
        <v>236.24940870387522</v>
      </c>
      <c r="BE77" t="s">
        <v>729</v>
      </c>
      <c r="BF77">
        <v>588.76</v>
      </c>
      <c r="BG77">
        <f t="shared" si="80"/>
        <v>588.76</v>
      </c>
      <c r="BH77">
        <f t="shared" si="81"/>
        <v>0.31076644870796699</v>
      </c>
      <c r="BI77">
        <f t="shared" si="82"/>
        <v>0.35279009279557771</v>
      </c>
      <c r="BJ77">
        <f t="shared" si="83"/>
        <v>0.92335465144951601</v>
      </c>
      <c r="BK77">
        <f t="shared" si="84"/>
        <v>0.16965774550061813</v>
      </c>
      <c r="BL77">
        <f t="shared" si="85"/>
        <v>0.85280019281719688</v>
      </c>
      <c r="BM77">
        <f t="shared" si="86"/>
        <v>0.27309570465698529</v>
      </c>
      <c r="BN77">
        <f t="shared" si="87"/>
        <v>0.72690429534301471</v>
      </c>
      <c r="BO77">
        <v>5808</v>
      </c>
      <c r="BP77">
        <v>290.00000000000011</v>
      </c>
      <c r="BQ77">
        <v>830.12</v>
      </c>
      <c r="BR77">
        <v>225</v>
      </c>
      <c r="BS77">
        <v>10454.1</v>
      </c>
      <c r="BT77">
        <v>830.07</v>
      </c>
      <c r="BU77">
        <v>0.05</v>
      </c>
      <c r="BV77">
        <v>300.00000000000011</v>
      </c>
      <c r="BW77">
        <v>38.299999999999997</v>
      </c>
      <c r="BX77">
        <v>854.22423051854355</v>
      </c>
      <c r="BY77">
        <v>0.9687553453560459</v>
      </c>
      <c r="BZ77">
        <v>-25.252705185000881</v>
      </c>
      <c r="CA77">
        <v>0.82930255098162398</v>
      </c>
      <c r="CB77">
        <v>0.97068784108703399</v>
      </c>
      <c r="CC77">
        <v>-1.1350637597330369E-2</v>
      </c>
      <c r="CD77">
        <v>289.99999999999989</v>
      </c>
      <c r="CE77">
        <v>828.12</v>
      </c>
      <c r="CF77">
        <v>645</v>
      </c>
      <c r="CG77">
        <v>10432.799999999999</v>
      </c>
      <c r="CH77">
        <v>830.02</v>
      </c>
      <c r="CI77">
        <v>-1.9</v>
      </c>
      <c r="CW77">
        <f t="shared" si="88"/>
        <v>1800.07</v>
      </c>
      <c r="CX77">
        <f t="shared" si="89"/>
        <v>1513.2432003289873</v>
      </c>
      <c r="CY77">
        <f t="shared" si="90"/>
        <v>0.84065797459486979</v>
      </c>
      <c r="CZ77">
        <f t="shared" si="91"/>
        <v>0.19131594918973963</v>
      </c>
      <c r="DA77">
        <v>6</v>
      </c>
      <c r="DB77">
        <v>0.5</v>
      </c>
      <c r="DC77" t="s">
        <v>420</v>
      </c>
      <c r="DD77">
        <v>2</v>
      </c>
      <c r="DE77">
        <v>1693508590.5999999</v>
      </c>
      <c r="DF77">
        <v>57.912599999999998</v>
      </c>
      <c r="DG77">
        <v>70.025999999999996</v>
      </c>
      <c r="DH77">
        <v>27.941299999999998</v>
      </c>
      <c r="DI77">
        <v>21.105899999999998</v>
      </c>
      <c r="DJ77">
        <v>59.48</v>
      </c>
      <c r="DK77">
        <v>27.5749</v>
      </c>
      <c r="DL77">
        <v>499.81</v>
      </c>
      <c r="DM77">
        <v>99.501000000000005</v>
      </c>
      <c r="DN77">
        <v>9.8985600000000007E-2</v>
      </c>
      <c r="DO77">
        <v>29.954799999999999</v>
      </c>
      <c r="DP77">
        <v>30.016300000000001</v>
      </c>
      <c r="DQ77">
        <v>999.9</v>
      </c>
      <c r="DR77">
        <v>0</v>
      </c>
      <c r="DS77">
        <v>0</v>
      </c>
      <c r="DT77">
        <v>9990</v>
      </c>
      <c r="DU77">
        <v>0</v>
      </c>
      <c r="DV77">
        <v>1458.55</v>
      </c>
      <c r="DW77">
        <v>-12.1134</v>
      </c>
      <c r="DX77">
        <v>59.577199999999998</v>
      </c>
      <c r="DY77">
        <v>71.535799999999995</v>
      </c>
      <c r="DZ77">
        <v>6.8354299999999997</v>
      </c>
      <c r="EA77">
        <v>70.025999999999996</v>
      </c>
      <c r="EB77">
        <v>21.105899999999998</v>
      </c>
      <c r="EC77">
        <v>2.7801900000000002</v>
      </c>
      <c r="ED77">
        <v>2.10006</v>
      </c>
      <c r="EE77">
        <v>22.7669</v>
      </c>
      <c r="EF77">
        <v>18.2196</v>
      </c>
      <c r="EG77">
        <v>1800.07</v>
      </c>
      <c r="EH77">
        <v>0.97800699999999996</v>
      </c>
      <c r="EI77">
        <v>2.1993200000000001E-2</v>
      </c>
      <c r="EJ77">
        <v>0</v>
      </c>
      <c r="EK77">
        <v>760.44200000000001</v>
      </c>
      <c r="EL77">
        <v>4.9995000000000003</v>
      </c>
      <c r="EM77">
        <v>15429.3</v>
      </c>
      <c r="EN77">
        <v>16660.5</v>
      </c>
      <c r="EO77">
        <v>46.875</v>
      </c>
      <c r="EP77">
        <v>48.875</v>
      </c>
      <c r="EQ77">
        <v>48.061999999999998</v>
      </c>
      <c r="ER77">
        <v>47.311999999999998</v>
      </c>
      <c r="ES77">
        <v>48.125</v>
      </c>
      <c r="ET77">
        <v>1755.59</v>
      </c>
      <c r="EU77">
        <v>39.479999999999997</v>
      </c>
      <c r="EV77">
        <v>0</v>
      </c>
      <c r="EW77">
        <v>111</v>
      </c>
      <c r="EX77">
        <v>0</v>
      </c>
      <c r="EY77">
        <v>760.57107999999994</v>
      </c>
      <c r="EZ77">
        <v>-2.2510769313117511</v>
      </c>
      <c r="FA77">
        <v>-47.853847103250899</v>
      </c>
      <c r="FB77">
        <v>15437.031999999999</v>
      </c>
      <c r="FC77">
        <v>15</v>
      </c>
      <c r="FD77">
        <v>1693508558.5999999</v>
      </c>
      <c r="FE77" t="s">
        <v>730</v>
      </c>
      <c r="FF77">
        <v>1693508553.0999999</v>
      </c>
      <c r="FG77">
        <v>1693508558.5999999</v>
      </c>
      <c r="FH77">
        <v>70</v>
      </c>
      <c r="FI77">
        <v>-9.5000000000000001E-2</v>
      </c>
      <c r="FJ77">
        <v>-1E-3</v>
      </c>
      <c r="FK77">
        <v>-1.597</v>
      </c>
      <c r="FL77">
        <v>8.2000000000000003E-2</v>
      </c>
      <c r="FM77">
        <v>70</v>
      </c>
      <c r="FN77">
        <v>21</v>
      </c>
      <c r="FO77">
        <v>0.34</v>
      </c>
      <c r="FP77">
        <v>0.04</v>
      </c>
      <c r="FQ77">
        <v>9.7041140125988701</v>
      </c>
      <c r="FR77">
        <v>0.40524554898851373</v>
      </c>
      <c r="FS77">
        <v>4.7273046476635827E-2</v>
      </c>
      <c r="FT77">
        <v>1</v>
      </c>
      <c r="FU77">
        <v>0.40916317909076311</v>
      </c>
      <c r="FV77">
        <v>4.4863244118411097E-2</v>
      </c>
      <c r="FW77">
        <v>3.7549501267259331E-3</v>
      </c>
      <c r="FX77">
        <v>1</v>
      </c>
      <c r="FY77">
        <v>2</v>
      </c>
      <c r="FZ77">
        <v>2</v>
      </c>
      <c r="GA77" t="s">
        <v>422</v>
      </c>
      <c r="GB77">
        <v>2.96902</v>
      </c>
      <c r="GC77">
        <v>2.8105899999999999</v>
      </c>
      <c r="GD77">
        <v>1.7198499999999999E-2</v>
      </c>
      <c r="GE77">
        <v>1.9954300000000001E-2</v>
      </c>
      <c r="GF77">
        <v>0.13280800000000001</v>
      </c>
      <c r="GG77">
        <v>0.108574</v>
      </c>
      <c r="GH77">
        <v>29037.200000000001</v>
      </c>
      <c r="GI77">
        <v>26645.5</v>
      </c>
      <c r="GJ77">
        <v>26556.9</v>
      </c>
      <c r="GK77">
        <v>25652.9</v>
      </c>
      <c r="GL77">
        <v>31326.2</v>
      </c>
      <c r="GM77">
        <v>32208.9</v>
      </c>
      <c r="GN77">
        <v>37597.4</v>
      </c>
      <c r="GO77">
        <v>37954.699999999997</v>
      </c>
      <c r="GP77">
        <v>1.9631000000000001</v>
      </c>
      <c r="GQ77">
        <v>2.0131999999999999</v>
      </c>
      <c r="GR77">
        <v>3.8668500000000001E-2</v>
      </c>
      <c r="GS77">
        <v>0</v>
      </c>
      <c r="GT77">
        <v>29.386700000000001</v>
      </c>
      <c r="GU77">
        <v>999.9</v>
      </c>
      <c r="GV77">
        <v>59.2</v>
      </c>
      <c r="GW77">
        <v>32.200000000000003</v>
      </c>
      <c r="GX77">
        <v>28.731400000000001</v>
      </c>
      <c r="GY77">
        <v>61.523400000000002</v>
      </c>
      <c r="GZ77">
        <v>11.7348</v>
      </c>
      <c r="HA77">
        <v>1</v>
      </c>
      <c r="HB77">
        <v>0.35280499999999998</v>
      </c>
      <c r="HC77">
        <v>3.01755</v>
      </c>
      <c r="HD77">
        <v>20.276800000000001</v>
      </c>
      <c r="HE77">
        <v>5.1957300000000002</v>
      </c>
      <c r="HF77">
        <v>11.933299999999999</v>
      </c>
      <c r="HG77">
        <v>4.984</v>
      </c>
      <c r="HH77">
        <v>3.2886000000000002</v>
      </c>
      <c r="HI77">
        <v>9999</v>
      </c>
      <c r="HJ77">
        <v>9999</v>
      </c>
      <c r="HK77">
        <v>9999</v>
      </c>
      <c r="HL77">
        <v>999.9</v>
      </c>
      <c r="HM77">
        <v>1.86981</v>
      </c>
      <c r="HN77">
        <v>1.87609</v>
      </c>
      <c r="HO77">
        <v>1.8738999999999999</v>
      </c>
      <c r="HP77">
        <v>1.8721000000000001</v>
      </c>
      <c r="HQ77">
        <v>1.87256</v>
      </c>
      <c r="HR77">
        <v>1.86998</v>
      </c>
      <c r="HS77">
        <v>1.87592</v>
      </c>
      <c r="HT77">
        <v>1.8749499999999999</v>
      </c>
      <c r="HU77">
        <v>5</v>
      </c>
      <c r="HV77">
        <v>0</v>
      </c>
      <c r="HW77">
        <v>0</v>
      </c>
      <c r="HX77">
        <v>0</v>
      </c>
      <c r="HY77" t="s">
        <v>423</v>
      </c>
      <c r="HZ77" t="s">
        <v>424</v>
      </c>
      <c r="IA77" t="s">
        <v>425</v>
      </c>
      <c r="IB77" t="s">
        <v>425</v>
      </c>
      <c r="IC77" t="s">
        <v>425</v>
      </c>
      <c r="ID77" t="s">
        <v>425</v>
      </c>
      <c r="IE77">
        <v>0</v>
      </c>
      <c r="IF77">
        <v>100</v>
      </c>
      <c r="IG77">
        <v>100</v>
      </c>
      <c r="IH77">
        <v>-1.5669999999999999</v>
      </c>
      <c r="II77">
        <v>0.3664</v>
      </c>
      <c r="IJ77">
        <v>-1.414897152175093</v>
      </c>
      <c r="IK77">
        <v>-2.677719669153116E-3</v>
      </c>
      <c r="IL77">
        <v>1.9353498771248068E-6</v>
      </c>
      <c r="IM77">
        <v>-6.1862177325538213E-10</v>
      </c>
      <c r="IN77">
        <v>-0.22760412372713351</v>
      </c>
      <c r="IO77">
        <v>-1.5299015507423901E-2</v>
      </c>
      <c r="IP77">
        <v>1.742162107778985E-3</v>
      </c>
      <c r="IQ77">
        <v>-1.472690239905804E-5</v>
      </c>
      <c r="IR77">
        <v>3</v>
      </c>
      <c r="IS77">
        <v>2255</v>
      </c>
      <c r="IT77">
        <v>2</v>
      </c>
      <c r="IU77">
        <v>41</v>
      </c>
      <c r="IV77">
        <v>0.6</v>
      </c>
      <c r="IW77">
        <v>0.5</v>
      </c>
      <c r="IX77">
        <v>0.29663099999999998</v>
      </c>
      <c r="IY77">
        <v>2.52563</v>
      </c>
      <c r="IZ77">
        <v>1.5991200000000001</v>
      </c>
      <c r="JA77">
        <v>2.2717299999999998</v>
      </c>
      <c r="JB77">
        <v>1.5502899999999999</v>
      </c>
      <c r="JC77">
        <v>2.3840300000000001</v>
      </c>
      <c r="JD77">
        <v>36.152000000000001</v>
      </c>
      <c r="JE77">
        <v>15.874499999999999</v>
      </c>
      <c r="JF77">
        <v>18</v>
      </c>
      <c r="JG77">
        <v>505.39699999999999</v>
      </c>
      <c r="JH77">
        <v>506.779</v>
      </c>
      <c r="JI77">
        <v>24.9314</v>
      </c>
      <c r="JJ77">
        <v>31.976099999999999</v>
      </c>
      <c r="JK77">
        <v>30.0002</v>
      </c>
      <c r="JL77">
        <v>31.899100000000001</v>
      </c>
      <c r="JM77">
        <v>31.8612</v>
      </c>
      <c r="JN77">
        <v>5.9953000000000003</v>
      </c>
      <c r="JO77">
        <v>36.112200000000001</v>
      </c>
      <c r="JP77">
        <v>76.803799999999995</v>
      </c>
      <c r="JQ77">
        <v>24.921900000000001</v>
      </c>
      <c r="JR77">
        <v>70</v>
      </c>
      <c r="JS77">
        <v>21.0014</v>
      </c>
      <c r="JT77">
        <v>99.156499999999994</v>
      </c>
      <c r="JU77">
        <v>98.593800000000002</v>
      </c>
    </row>
    <row r="78" spans="1:281" x14ac:dyDescent="0.25">
      <c r="A78">
        <v>62</v>
      </c>
      <c r="B78">
        <v>1693508702.5999999</v>
      </c>
      <c r="C78">
        <v>14723</v>
      </c>
      <c r="D78" t="s">
        <v>731</v>
      </c>
      <c r="E78" t="s">
        <v>732</v>
      </c>
      <c r="F78" t="s">
        <v>413</v>
      </c>
      <c r="G78" t="s">
        <v>414</v>
      </c>
      <c r="H78" t="s">
        <v>707</v>
      </c>
      <c r="I78" t="s">
        <v>416</v>
      </c>
      <c r="J78">
        <v>1693508702.5999999</v>
      </c>
      <c r="K78">
        <f t="shared" si="46"/>
        <v>6.2636461130841613E-3</v>
      </c>
      <c r="L78">
        <f t="shared" si="47"/>
        <v>6.2636461130841612</v>
      </c>
      <c r="M78">
        <f t="shared" si="48"/>
        <v>4.5476033237862676</v>
      </c>
      <c r="N78">
        <f t="shared" si="49"/>
        <v>24.334099999999999</v>
      </c>
      <c r="O78">
        <f t="shared" si="50"/>
        <v>6.5286449733060339</v>
      </c>
      <c r="P78">
        <f t="shared" si="51"/>
        <v>0.65024067408770159</v>
      </c>
      <c r="Q78">
        <f t="shared" si="52"/>
        <v>2.4236302712145998</v>
      </c>
      <c r="R78">
        <f t="shared" si="53"/>
        <v>0.44755025719605468</v>
      </c>
      <c r="S78">
        <f t="shared" si="54"/>
        <v>2.9242270796653975</v>
      </c>
      <c r="T78">
        <f t="shared" si="55"/>
        <v>0.41268432083134271</v>
      </c>
      <c r="U78">
        <f t="shared" si="56"/>
        <v>0.26083354641143203</v>
      </c>
      <c r="V78">
        <f t="shared" si="57"/>
        <v>344.35740065802213</v>
      </c>
      <c r="W78">
        <f t="shared" si="58"/>
        <v>30.348737609304166</v>
      </c>
      <c r="X78">
        <f t="shared" si="59"/>
        <v>29.9617</v>
      </c>
      <c r="Y78">
        <f t="shared" si="60"/>
        <v>4.2510861011033931</v>
      </c>
      <c r="Z78">
        <f t="shared" si="61"/>
        <v>65.75270886324661</v>
      </c>
      <c r="AA78">
        <f t="shared" si="62"/>
        <v>2.7928603697778001</v>
      </c>
      <c r="AB78">
        <f t="shared" si="63"/>
        <v>4.2475213843834627</v>
      </c>
      <c r="AC78">
        <f t="shared" si="64"/>
        <v>1.4582257313255931</v>
      </c>
      <c r="AD78">
        <f t="shared" si="65"/>
        <v>-276.22679358701151</v>
      </c>
      <c r="AE78">
        <f t="shared" si="66"/>
        <v>-2.301703582656482</v>
      </c>
      <c r="AF78">
        <f t="shared" si="67"/>
        <v>-0.17493684932188147</v>
      </c>
      <c r="AG78">
        <f t="shared" si="68"/>
        <v>65.65396663903222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52199.775072527991</v>
      </c>
      <c r="AM78" t="s">
        <v>417</v>
      </c>
      <c r="AN78">
        <v>10238.9</v>
      </c>
      <c r="AO78">
        <v>302.21199999999999</v>
      </c>
      <c r="AP78">
        <v>4052.3</v>
      </c>
      <c r="AQ78">
        <f t="shared" si="72"/>
        <v>0.92542210596451402</v>
      </c>
      <c r="AR78">
        <v>-0.32343011824092421</v>
      </c>
      <c r="AS78" t="s">
        <v>733</v>
      </c>
      <c r="AT78">
        <v>10468.200000000001</v>
      </c>
      <c r="AU78">
        <v>768.60953846153848</v>
      </c>
      <c r="AV78">
        <v>829.41096632348376</v>
      </c>
      <c r="AW78">
        <f t="shared" si="73"/>
        <v>7.3306756638941928E-2</v>
      </c>
      <c r="AX78">
        <v>0.5</v>
      </c>
      <c r="AY78">
        <f t="shared" si="74"/>
        <v>1513.1340003290111</v>
      </c>
      <c r="AZ78">
        <f t="shared" si="75"/>
        <v>4.5476033237862676</v>
      </c>
      <c r="BA78">
        <f t="shared" si="76"/>
        <v>55.461472962113746</v>
      </c>
      <c r="BB78">
        <f t="shared" si="77"/>
        <v>3.219168587162835E-3</v>
      </c>
      <c r="BC78">
        <f t="shared" si="78"/>
        <v>3.8857564760236567</v>
      </c>
      <c r="BD78">
        <f t="shared" si="79"/>
        <v>234.31073306463014</v>
      </c>
      <c r="BE78" t="s">
        <v>734</v>
      </c>
      <c r="BF78">
        <v>598.5</v>
      </c>
      <c r="BG78">
        <f t="shared" si="80"/>
        <v>598.5</v>
      </c>
      <c r="BH78">
        <f t="shared" si="81"/>
        <v>0.27840356071856509</v>
      </c>
      <c r="BI78">
        <f t="shared" si="82"/>
        <v>0.26331113168860248</v>
      </c>
      <c r="BJ78">
        <f t="shared" si="83"/>
        <v>0.93314292480065897</v>
      </c>
      <c r="BK78">
        <f t="shared" si="84"/>
        <v>0.1153291864093644</v>
      </c>
      <c r="BL78">
        <f t="shared" si="85"/>
        <v>0.85941690799696324</v>
      </c>
      <c r="BM78">
        <f t="shared" si="86"/>
        <v>0.20503481212458899</v>
      </c>
      <c r="BN78">
        <f t="shared" si="87"/>
        <v>0.79496518787541104</v>
      </c>
      <c r="BO78">
        <v>5810</v>
      </c>
      <c r="BP78">
        <v>290.00000000000011</v>
      </c>
      <c r="BQ78">
        <v>813.21</v>
      </c>
      <c r="BR78">
        <v>155</v>
      </c>
      <c r="BS78">
        <v>10468.200000000001</v>
      </c>
      <c r="BT78">
        <v>812.46</v>
      </c>
      <c r="BU78">
        <v>0.75</v>
      </c>
      <c r="BV78">
        <v>300.00000000000011</v>
      </c>
      <c r="BW78">
        <v>38.299999999999997</v>
      </c>
      <c r="BX78">
        <v>829.41096632348376</v>
      </c>
      <c r="BY78">
        <v>0.98200784022135235</v>
      </c>
      <c r="BZ78">
        <v>-17.745391419727088</v>
      </c>
      <c r="CA78">
        <v>0.84070831996058037</v>
      </c>
      <c r="CB78">
        <v>0.94087008996880406</v>
      </c>
      <c r="CC78">
        <v>-1.1351288097886551E-2</v>
      </c>
      <c r="CD78">
        <v>289.99999999999989</v>
      </c>
      <c r="CE78">
        <v>810.75</v>
      </c>
      <c r="CF78">
        <v>655</v>
      </c>
      <c r="CG78">
        <v>10432.5</v>
      </c>
      <c r="CH78">
        <v>812.4</v>
      </c>
      <c r="CI78">
        <v>-1.65</v>
      </c>
      <c r="CW78">
        <f t="shared" si="88"/>
        <v>1799.94</v>
      </c>
      <c r="CX78">
        <f t="shared" si="89"/>
        <v>1513.1340003290111</v>
      </c>
      <c r="CY78">
        <f t="shared" si="90"/>
        <v>0.84065802211685448</v>
      </c>
      <c r="CZ78">
        <f t="shared" si="91"/>
        <v>0.19131604423370896</v>
      </c>
      <c r="DA78">
        <v>6</v>
      </c>
      <c r="DB78">
        <v>0.5</v>
      </c>
      <c r="DC78" t="s">
        <v>420</v>
      </c>
      <c r="DD78">
        <v>2</v>
      </c>
      <c r="DE78">
        <v>1693508702.5999999</v>
      </c>
      <c r="DF78">
        <v>24.334099999999999</v>
      </c>
      <c r="DG78">
        <v>29.969799999999999</v>
      </c>
      <c r="DH78">
        <v>28.0413</v>
      </c>
      <c r="DI78">
        <v>20.741299999999999</v>
      </c>
      <c r="DJ78">
        <v>25.898199999999999</v>
      </c>
      <c r="DK78">
        <v>27.6693</v>
      </c>
      <c r="DL78">
        <v>500.38400000000001</v>
      </c>
      <c r="DM78">
        <v>99.497900000000001</v>
      </c>
      <c r="DN78">
        <v>0.100206</v>
      </c>
      <c r="DO78">
        <v>29.947099999999999</v>
      </c>
      <c r="DP78">
        <v>29.9617</v>
      </c>
      <c r="DQ78">
        <v>999.9</v>
      </c>
      <c r="DR78">
        <v>0</v>
      </c>
      <c r="DS78">
        <v>0</v>
      </c>
      <c r="DT78">
        <v>10020</v>
      </c>
      <c r="DU78">
        <v>0</v>
      </c>
      <c r="DV78">
        <v>1452.57</v>
      </c>
      <c r="DW78">
        <v>-5.6357600000000003</v>
      </c>
      <c r="DX78">
        <v>25.036100000000001</v>
      </c>
      <c r="DY78">
        <v>30.604600000000001</v>
      </c>
      <c r="DZ78">
        <v>7.30002</v>
      </c>
      <c r="EA78">
        <v>29.969799999999999</v>
      </c>
      <c r="EB78">
        <v>20.741299999999999</v>
      </c>
      <c r="EC78">
        <v>2.7900499999999999</v>
      </c>
      <c r="ED78">
        <v>2.0637099999999999</v>
      </c>
      <c r="EE78">
        <v>22.825299999999999</v>
      </c>
      <c r="EF78">
        <v>17.941800000000001</v>
      </c>
      <c r="EG78">
        <v>1799.94</v>
      </c>
      <c r="EH78">
        <v>0.97800299999999996</v>
      </c>
      <c r="EI78">
        <v>2.19968E-2</v>
      </c>
      <c r="EJ78">
        <v>0</v>
      </c>
      <c r="EK78">
        <v>768.60500000000002</v>
      </c>
      <c r="EL78">
        <v>4.9995000000000003</v>
      </c>
      <c r="EM78">
        <v>15629.6</v>
      </c>
      <c r="EN78">
        <v>16659.2</v>
      </c>
      <c r="EO78">
        <v>46.811999999999998</v>
      </c>
      <c r="EP78">
        <v>48.811999999999998</v>
      </c>
      <c r="EQ78">
        <v>48</v>
      </c>
      <c r="ER78">
        <v>47.311999999999998</v>
      </c>
      <c r="ES78">
        <v>48.061999999999998</v>
      </c>
      <c r="ET78">
        <v>1755.46</v>
      </c>
      <c r="EU78">
        <v>39.479999999999997</v>
      </c>
      <c r="EV78">
        <v>0</v>
      </c>
      <c r="EW78">
        <v>110</v>
      </c>
      <c r="EX78">
        <v>0</v>
      </c>
      <c r="EY78">
        <v>768.60953846153848</v>
      </c>
      <c r="EZ78">
        <v>-1.8397264841604379</v>
      </c>
      <c r="FA78">
        <v>119.47008818165411</v>
      </c>
      <c r="FB78">
        <v>15656.83461538462</v>
      </c>
      <c r="FC78">
        <v>15</v>
      </c>
      <c r="FD78">
        <v>1693508668.0999999</v>
      </c>
      <c r="FE78" t="s">
        <v>735</v>
      </c>
      <c r="FF78">
        <v>1693508662.5999999</v>
      </c>
      <c r="FG78">
        <v>1693508668.0999999</v>
      </c>
      <c r="FH78">
        <v>71</v>
      </c>
      <c r="FI78">
        <v>-8.1000000000000003E-2</v>
      </c>
      <c r="FJ78">
        <v>1E-3</v>
      </c>
      <c r="FK78">
        <v>-1.579</v>
      </c>
      <c r="FL78">
        <v>7.2999999999999995E-2</v>
      </c>
      <c r="FM78">
        <v>30</v>
      </c>
      <c r="FN78">
        <v>21</v>
      </c>
      <c r="FO78">
        <v>0.72</v>
      </c>
      <c r="FP78">
        <v>0.04</v>
      </c>
      <c r="FQ78">
        <v>4.5087494564236259</v>
      </c>
      <c r="FR78">
        <v>0.11699996120393009</v>
      </c>
      <c r="FS78">
        <v>5.0270925216877052E-2</v>
      </c>
      <c r="FT78">
        <v>1</v>
      </c>
      <c r="FU78">
        <v>0.44113618717575942</v>
      </c>
      <c r="FV78">
        <v>4.5873255427852151E-2</v>
      </c>
      <c r="FW78">
        <v>3.495778307465427E-3</v>
      </c>
      <c r="FX78">
        <v>1</v>
      </c>
      <c r="FY78">
        <v>2</v>
      </c>
      <c r="FZ78">
        <v>2</v>
      </c>
      <c r="GA78" t="s">
        <v>422</v>
      </c>
      <c r="GB78">
        <v>2.97052</v>
      </c>
      <c r="GC78">
        <v>2.8120799999999999</v>
      </c>
      <c r="GD78">
        <v>7.5215000000000004E-3</v>
      </c>
      <c r="GE78">
        <v>8.5921699999999997E-3</v>
      </c>
      <c r="GF78">
        <v>0.13311100000000001</v>
      </c>
      <c r="GG78">
        <v>0.107229</v>
      </c>
      <c r="GH78">
        <v>29321.4</v>
      </c>
      <c r="GI78">
        <v>26953.599999999999</v>
      </c>
      <c r="GJ78">
        <v>26555.599999999999</v>
      </c>
      <c r="GK78">
        <v>25652.5</v>
      </c>
      <c r="GL78">
        <v>31313.3</v>
      </c>
      <c r="GM78">
        <v>32256.3</v>
      </c>
      <c r="GN78">
        <v>37595.5</v>
      </c>
      <c r="GO78">
        <v>37954.1</v>
      </c>
      <c r="GP78">
        <v>1.9642999999999999</v>
      </c>
      <c r="GQ78">
        <v>2.0118999999999998</v>
      </c>
      <c r="GR78">
        <v>2.8192999999999999E-2</v>
      </c>
      <c r="GS78">
        <v>0</v>
      </c>
      <c r="GT78">
        <v>29.502700000000001</v>
      </c>
      <c r="GU78">
        <v>999.9</v>
      </c>
      <c r="GV78">
        <v>58.6</v>
      </c>
      <c r="GW78">
        <v>32.200000000000003</v>
      </c>
      <c r="GX78">
        <v>28.443200000000001</v>
      </c>
      <c r="GY78">
        <v>61.603400000000001</v>
      </c>
      <c r="GZ78">
        <v>12.0312</v>
      </c>
      <c r="HA78">
        <v>1</v>
      </c>
      <c r="HB78">
        <v>0.353211</v>
      </c>
      <c r="HC78">
        <v>2.3121299999999998</v>
      </c>
      <c r="HD78">
        <v>20.290199999999999</v>
      </c>
      <c r="HE78">
        <v>5.2112999999999996</v>
      </c>
      <c r="HF78">
        <v>11.933299999999999</v>
      </c>
      <c r="HG78">
        <v>4.9878</v>
      </c>
      <c r="HH78">
        <v>3.2909999999999999</v>
      </c>
      <c r="HI78">
        <v>9999</v>
      </c>
      <c r="HJ78">
        <v>9999</v>
      </c>
      <c r="HK78">
        <v>9999</v>
      </c>
      <c r="HL78">
        <v>999.9</v>
      </c>
      <c r="HM78">
        <v>1.86981</v>
      </c>
      <c r="HN78">
        <v>1.87616</v>
      </c>
      <c r="HO78">
        <v>1.8739300000000001</v>
      </c>
      <c r="HP78">
        <v>1.8721300000000001</v>
      </c>
      <c r="HQ78">
        <v>1.87256</v>
      </c>
      <c r="HR78">
        <v>1.86998</v>
      </c>
      <c r="HS78">
        <v>1.87592</v>
      </c>
      <c r="HT78">
        <v>1.875</v>
      </c>
      <c r="HU78">
        <v>5</v>
      </c>
      <c r="HV78">
        <v>0</v>
      </c>
      <c r="HW78">
        <v>0</v>
      </c>
      <c r="HX78">
        <v>0</v>
      </c>
      <c r="HY78" t="s">
        <v>423</v>
      </c>
      <c r="HZ78" t="s">
        <v>424</v>
      </c>
      <c r="IA78" t="s">
        <v>425</v>
      </c>
      <c r="IB78" t="s">
        <v>425</v>
      </c>
      <c r="IC78" t="s">
        <v>425</v>
      </c>
      <c r="ID78" t="s">
        <v>425</v>
      </c>
      <c r="IE78">
        <v>0</v>
      </c>
      <c r="IF78">
        <v>100</v>
      </c>
      <c r="IG78">
        <v>100</v>
      </c>
      <c r="IH78">
        <v>-1.5640000000000001</v>
      </c>
      <c r="II78">
        <v>0.372</v>
      </c>
      <c r="IJ78">
        <v>-1.4960828546812861</v>
      </c>
      <c r="IK78">
        <v>-2.677719669153116E-3</v>
      </c>
      <c r="IL78">
        <v>1.9353498771248068E-6</v>
      </c>
      <c r="IM78">
        <v>-6.1862177325538213E-10</v>
      </c>
      <c r="IN78">
        <v>-0.22649644395603169</v>
      </c>
      <c r="IO78">
        <v>-1.5299015507423901E-2</v>
      </c>
      <c r="IP78">
        <v>1.742162107778985E-3</v>
      </c>
      <c r="IQ78">
        <v>-1.472690239905804E-5</v>
      </c>
      <c r="IR78">
        <v>3</v>
      </c>
      <c r="IS78">
        <v>2255</v>
      </c>
      <c r="IT78">
        <v>2</v>
      </c>
      <c r="IU78">
        <v>41</v>
      </c>
      <c r="IV78">
        <v>0.7</v>
      </c>
      <c r="IW78">
        <v>0.6</v>
      </c>
      <c r="IX78">
        <v>0.21606400000000001</v>
      </c>
      <c r="IY78">
        <v>2.5500500000000001</v>
      </c>
      <c r="IZ78">
        <v>1.6003400000000001</v>
      </c>
      <c r="JA78">
        <v>2.2729499999999998</v>
      </c>
      <c r="JB78">
        <v>1.5502899999999999</v>
      </c>
      <c r="JC78">
        <v>2.2546400000000002</v>
      </c>
      <c r="JD78">
        <v>36.175400000000003</v>
      </c>
      <c r="JE78">
        <v>15.8657</v>
      </c>
      <c r="JF78">
        <v>18</v>
      </c>
      <c r="JG78">
        <v>506.464</v>
      </c>
      <c r="JH78">
        <v>506.21100000000001</v>
      </c>
      <c r="JI78">
        <v>24.8172</v>
      </c>
      <c r="JJ78">
        <v>32.0184</v>
      </c>
      <c r="JK78">
        <v>29.997800000000002</v>
      </c>
      <c r="JL78">
        <v>31.935600000000001</v>
      </c>
      <c r="JM78">
        <v>31.897500000000001</v>
      </c>
      <c r="JN78">
        <v>4.3748100000000001</v>
      </c>
      <c r="JO78">
        <v>36.146099999999997</v>
      </c>
      <c r="JP78">
        <v>74.750299999999996</v>
      </c>
      <c r="JQ78">
        <v>24.874400000000001</v>
      </c>
      <c r="JR78">
        <v>30</v>
      </c>
      <c r="JS78">
        <v>20.6572</v>
      </c>
      <c r="JT78">
        <v>99.151700000000005</v>
      </c>
      <c r="JU78">
        <v>98.592299999999994</v>
      </c>
    </row>
    <row r="79" spans="1:281" x14ac:dyDescent="0.25">
      <c r="A79">
        <v>63</v>
      </c>
      <c r="B79">
        <v>1693508817</v>
      </c>
      <c r="C79">
        <v>14837.400000095369</v>
      </c>
      <c r="D79" t="s">
        <v>736</v>
      </c>
      <c r="E79" t="s">
        <v>737</v>
      </c>
      <c r="F79" t="s">
        <v>413</v>
      </c>
      <c r="G79" t="s">
        <v>414</v>
      </c>
      <c r="H79" t="s">
        <v>707</v>
      </c>
      <c r="I79" t="s">
        <v>416</v>
      </c>
      <c r="J79">
        <v>1693508817</v>
      </c>
      <c r="K79">
        <f t="shared" si="46"/>
        <v>6.4577483062255364E-3</v>
      </c>
      <c r="L79">
        <f t="shared" si="47"/>
        <v>6.4577483062255361</v>
      </c>
      <c r="M79">
        <f t="shared" si="48"/>
        <v>1.6095613665083484</v>
      </c>
      <c r="N79">
        <f t="shared" si="49"/>
        <v>7.9620100000000003</v>
      </c>
      <c r="O79">
        <f t="shared" si="50"/>
        <v>1.7704277656563439</v>
      </c>
      <c r="P79">
        <f t="shared" si="51"/>
        <v>0.17633671226841299</v>
      </c>
      <c r="Q79">
        <f t="shared" si="52"/>
        <v>0.79302567079190012</v>
      </c>
      <c r="R79">
        <f t="shared" si="53"/>
        <v>0.45534671766551815</v>
      </c>
      <c r="S79">
        <f t="shared" si="54"/>
        <v>2.9190274681572901</v>
      </c>
      <c r="T79">
        <f t="shared" si="55"/>
        <v>0.41924908435504188</v>
      </c>
      <c r="U79">
        <f t="shared" si="56"/>
        <v>0.26503503000483186</v>
      </c>
      <c r="V79">
        <f t="shared" si="57"/>
        <v>344.36690065800383</v>
      </c>
      <c r="W79">
        <f t="shared" si="58"/>
        <v>30.346301694353176</v>
      </c>
      <c r="X79">
        <f t="shared" si="59"/>
        <v>30.045000000000002</v>
      </c>
      <c r="Y79">
        <f t="shared" si="60"/>
        <v>4.271474436933647</v>
      </c>
      <c r="Z79">
        <f t="shared" si="61"/>
        <v>65.546693014416107</v>
      </c>
      <c r="AA79">
        <f t="shared" si="62"/>
        <v>2.7917018342720001</v>
      </c>
      <c r="AB79">
        <f t="shared" si="63"/>
        <v>4.2591040156030502</v>
      </c>
      <c r="AC79">
        <f t="shared" si="64"/>
        <v>1.4797726026616469</v>
      </c>
      <c r="AD79">
        <f t="shared" si="65"/>
        <v>-284.78670030454617</v>
      </c>
      <c r="AE79">
        <f t="shared" si="66"/>
        <v>-7.9472157475969274</v>
      </c>
      <c r="AF79">
        <f t="shared" si="67"/>
        <v>-0.60548144535510373</v>
      </c>
      <c r="AG79">
        <f t="shared" si="68"/>
        <v>51.027503160505617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52043.31226798518</v>
      </c>
      <c r="AM79" t="s">
        <v>417</v>
      </c>
      <c r="AN79">
        <v>10238.9</v>
      </c>
      <c r="AO79">
        <v>302.21199999999999</v>
      </c>
      <c r="AP79">
        <v>4052.3</v>
      </c>
      <c r="AQ79">
        <f t="shared" si="72"/>
        <v>0.92542210596451402</v>
      </c>
      <c r="AR79">
        <v>-0.32343011824092421</v>
      </c>
      <c r="AS79" t="s">
        <v>738</v>
      </c>
      <c r="AT79">
        <v>10473</v>
      </c>
      <c r="AU79">
        <v>771.99023076923061</v>
      </c>
      <c r="AV79">
        <v>817.17367211441729</v>
      </c>
      <c r="AW79">
        <f t="shared" si="73"/>
        <v>5.5292336117823804E-2</v>
      </c>
      <c r="AX79">
        <v>0.5</v>
      </c>
      <c r="AY79">
        <f t="shared" si="74"/>
        <v>1513.1760003290017</v>
      </c>
      <c r="AZ79">
        <f t="shared" si="75"/>
        <v>1.6095613665083484</v>
      </c>
      <c r="BA79">
        <f t="shared" si="76"/>
        <v>41.833518007807712</v>
      </c>
      <c r="BB79">
        <f t="shared" si="77"/>
        <v>1.2774399569706319E-3</v>
      </c>
      <c r="BC79">
        <f t="shared" si="78"/>
        <v>3.9589213875610691</v>
      </c>
      <c r="BD79">
        <f t="shared" si="79"/>
        <v>233.32365338147056</v>
      </c>
      <c r="BE79" t="s">
        <v>739</v>
      </c>
      <c r="BF79">
        <v>609.77</v>
      </c>
      <c r="BG79">
        <f t="shared" si="80"/>
        <v>609.77</v>
      </c>
      <c r="BH79">
        <f t="shared" si="81"/>
        <v>0.25380611146926124</v>
      </c>
      <c r="BI79">
        <f t="shared" si="82"/>
        <v>0.2178526584633495</v>
      </c>
      <c r="BJ79">
        <f t="shared" si="83"/>
        <v>0.93975254475213954</v>
      </c>
      <c r="BK79">
        <f t="shared" si="84"/>
        <v>8.774136754618031E-2</v>
      </c>
      <c r="BL79">
        <f t="shared" si="85"/>
        <v>0.86268010987624366</v>
      </c>
      <c r="BM79">
        <f t="shared" si="86"/>
        <v>0.17207473651425803</v>
      </c>
      <c r="BN79">
        <f t="shared" si="87"/>
        <v>0.82792526348574191</v>
      </c>
      <c r="BO79">
        <v>5812</v>
      </c>
      <c r="BP79">
        <v>290.00000000000011</v>
      </c>
      <c r="BQ79">
        <v>804.99</v>
      </c>
      <c r="BR79">
        <v>135</v>
      </c>
      <c r="BS79">
        <v>10473</v>
      </c>
      <c r="BT79">
        <v>803.43</v>
      </c>
      <c r="BU79">
        <v>1.56</v>
      </c>
      <c r="BV79">
        <v>300.00000000000011</v>
      </c>
      <c r="BW79">
        <v>38.299999999999997</v>
      </c>
      <c r="BX79">
        <v>817.17367211441729</v>
      </c>
      <c r="BY79">
        <v>1.071950624996713</v>
      </c>
      <c r="BZ79">
        <v>-14.39398241101504</v>
      </c>
      <c r="CA79">
        <v>0.91773982100226303</v>
      </c>
      <c r="CB79">
        <v>0.8978076153711837</v>
      </c>
      <c r="CC79">
        <v>-1.135168142380423E-2</v>
      </c>
      <c r="CD79">
        <v>289.99999999999989</v>
      </c>
      <c r="CE79">
        <v>801.82</v>
      </c>
      <c r="CF79">
        <v>655</v>
      </c>
      <c r="CG79">
        <v>10432.9</v>
      </c>
      <c r="CH79">
        <v>803.38</v>
      </c>
      <c r="CI79">
        <v>-1.56</v>
      </c>
      <c r="CW79">
        <f t="shared" si="88"/>
        <v>1799.99</v>
      </c>
      <c r="CX79">
        <f t="shared" si="89"/>
        <v>1513.1760003290017</v>
      </c>
      <c r="CY79">
        <f t="shared" si="90"/>
        <v>0.84065800383835565</v>
      </c>
      <c r="CZ79">
        <f t="shared" si="91"/>
        <v>0.19131600767671145</v>
      </c>
      <c r="DA79">
        <v>6</v>
      </c>
      <c r="DB79">
        <v>0.5</v>
      </c>
      <c r="DC79" t="s">
        <v>420</v>
      </c>
      <c r="DD79">
        <v>2</v>
      </c>
      <c r="DE79">
        <v>1693508817</v>
      </c>
      <c r="DF79">
        <v>7.9620100000000003</v>
      </c>
      <c r="DG79">
        <v>9.9545499999999993</v>
      </c>
      <c r="DH79">
        <v>28.0288</v>
      </c>
      <c r="DI79">
        <v>20.499099999999999</v>
      </c>
      <c r="DJ79">
        <v>9.5472599999999996</v>
      </c>
      <c r="DK79">
        <v>27.654900000000001</v>
      </c>
      <c r="DL79">
        <v>500.15899999999999</v>
      </c>
      <c r="DM79">
        <v>99.500900000000001</v>
      </c>
      <c r="DN79">
        <v>0.10029</v>
      </c>
      <c r="DO79">
        <v>29.994499999999999</v>
      </c>
      <c r="DP79">
        <v>30.045000000000002</v>
      </c>
      <c r="DQ79">
        <v>999.9</v>
      </c>
      <c r="DR79">
        <v>0</v>
      </c>
      <c r="DS79">
        <v>0</v>
      </c>
      <c r="DT79">
        <v>9990</v>
      </c>
      <c r="DU79">
        <v>0</v>
      </c>
      <c r="DV79">
        <v>1445.58</v>
      </c>
      <c r="DW79">
        <v>-1.99254</v>
      </c>
      <c r="DX79">
        <v>8.1916200000000003</v>
      </c>
      <c r="DY79">
        <v>10.1629</v>
      </c>
      <c r="DZ79">
        <v>7.5297200000000002</v>
      </c>
      <c r="EA79">
        <v>9.9545499999999993</v>
      </c>
      <c r="EB79">
        <v>20.499099999999999</v>
      </c>
      <c r="EC79">
        <v>2.7888999999999999</v>
      </c>
      <c r="ED79">
        <v>2.0396800000000002</v>
      </c>
      <c r="EE79">
        <v>22.8185</v>
      </c>
      <c r="EF79">
        <v>17.755800000000001</v>
      </c>
      <c r="EG79">
        <v>1799.99</v>
      </c>
      <c r="EH79">
        <v>0.97800299999999996</v>
      </c>
      <c r="EI79">
        <v>2.19968E-2</v>
      </c>
      <c r="EJ79">
        <v>0</v>
      </c>
      <c r="EK79">
        <v>771.95899999999995</v>
      </c>
      <c r="EL79">
        <v>4.9995000000000003</v>
      </c>
      <c r="EM79">
        <v>15717.7</v>
      </c>
      <c r="EN79">
        <v>16659.7</v>
      </c>
      <c r="EO79">
        <v>46.811999999999998</v>
      </c>
      <c r="EP79">
        <v>48.811999999999998</v>
      </c>
      <c r="EQ79">
        <v>47.936999999999998</v>
      </c>
      <c r="ER79">
        <v>47.311999999999998</v>
      </c>
      <c r="ES79">
        <v>48.061999999999998</v>
      </c>
      <c r="ET79">
        <v>1755.51</v>
      </c>
      <c r="EU79">
        <v>39.479999999999997</v>
      </c>
      <c r="EV79">
        <v>0</v>
      </c>
      <c r="EW79">
        <v>112.4000000953674</v>
      </c>
      <c r="EX79">
        <v>0</v>
      </c>
      <c r="EY79">
        <v>771.99023076923061</v>
      </c>
      <c r="EZ79">
        <v>-8.9230761984797888E-2</v>
      </c>
      <c r="FA79">
        <v>331.7230759639948</v>
      </c>
      <c r="FB79">
        <v>15719.719230769229</v>
      </c>
      <c r="FC79">
        <v>15</v>
      </c>
      <c r="FD79">
        <v>1693508787.5999999</v>
      </c>
      <c r="FE79" t="s">
        <v>740</v>
      </c>
      <c r="FF79">
        <v>1693508776.5999999</v>
      </c>
      <c r="FG79">
        <v>1693508787.5999999</v>
      </c>
      <c r="FH79">
        <v>72</v>
      </c>
      <c r="FI79">
        <v>-6.4000000000000001E-2</v>
      </c>
      <c r="FJ79">
        <v>3.0000000000000001E-3</v>
      </c>
      <c r="FK79">
        <v>-1.591</v>
      </c>
      <c r="FL79">
        <v>6.0999999999999999E-2</v>
      </c>
      <c r="FM79">
        <v>10</v>
      </c>
      <c r="FN79">
        <v>20</v>
      </c>
      <c r="FO79">
        <v>0.72</v>
      </c>
      <c r="FP79">
        <v>0.03</v>
      </c>
      <c r="FQ79">
        <v>1.6299913725594011</v>
      </c>
      <c r="FR79">
        <v>-0.135030817771364</v>
      </c>
      <c r="FS79">
        <v>7.0381303889302582E-2</v>
      </c>
      <c r="FT79">
        <v>1</v>
      </c>
      <c r="FU79">
        <v>0.45371338518211279</v>
      </c>
      <c r="FV79">
        <v>4.7975399925576437E-2</v>
      </c>
      <c r="FW79">
        <v>4.8451077788912193E-3</v>
      </c>
      <c r="FX79">
        <v>1</v>
      </c>
      <c r="FY79">
        <v>2</v>
      </c>
      <c r="FZ79">
        <v>2</v>
      </c>
      <c r="GA79" t="s">
        <v>422</v>
      </c>
      <c r="GB79">
        <v>2.9698799999999999</v>
      </c>
      <c r="GC79">
        <v>2.8119000000000001</v>
      </c>
      <c r="GD79">
        <v>2.77305E-3</v>
      </c>
      <c r="GE79">
        <v>2.85403E-3</v>
      </c>
      <c r="GF79">
        <v>0.13305700000000001</v>
      </c>
      <c r="GG79">
        <v>0.106334</v>
      </c>
      <c r="GH79">
        <v>29461.5</v>
      </c>
      <c r="GI79">
        <v>27108.7</v>
      </c>
      <c r="GJ79">
        <v>26555.599999999999</v>
      </c>
      <c r="GK79">
        <v>25651.7</v>
      </c>
      <c r="GL79">
        <v>31315.1</v>
      </c>
      <c r="GM79">
        <v>32287.200000000001</v>
      </c>
      <c r="GN79">
        <v>37595.5</v>
      </c>
      <c r="GO79">
        <v>37952.9</v>
      </c>
      <c r="GP79">
        <v>1.9641999999999999</v>
      </c>
      <c r="GQ79">
        <v>2.0110999999999999</v>
      </c>
      <c r="GR79">
        <v>2.5972700000000001E-2</v>
      </c>
      <c r="GS79">
        <v>0</v>
      </c>
      <c r="GT79">
        <v>29.622199999999999</v>
      </c>
      <c r="GU79">
        <v>999.9</v>
      </c>
      <c r="GV79">
        <v>57.8</v>
      </c>
      <c r="GW79">
        <v>32.299999999999997</v>
      </c>
      <c r="GX79">
        <v>28.213000000000001</v>
      </c>
      <c r="GY79">
        <v>61.653399999999998</v>
      </c>
      <c r="GZ79">
        <v>12.4399</v>
      </c>
      <c r="HA79">
        <v>1</v>
      </c>
      <c r="HB79">
        <v>0.361037</v>
      </c>
      <c r="HC79">
        <v>3.6488999999999998</v>
      </c>
      <c r="HD79">
        <v>20.266300000000001</v>
      </c>
      <c r="HE79">
        <v>5.2112999999999996</v>
      </c>
      <c r="HF79">
        <v>11.9351</v>
      </c>
      <c r="HG79">
        <v>4.9875999999999996</v>
      </c>
      <c r="HH79">
        <v>3.2909999999999999</v>
      </c>
      <c r="HI79">
        <v>9999</v>
      </c>
      <c r="HJ79">
        <v>9999</v>
      </c>
      <c r="HK79">
        <v>9999</v>
      </c>
      <c r="HL79">
        <v>999.9</v>
      </c>
      <c r="HM79">
        <v>1.86981</v>
      </c>
      <c r="HN79">
        <v>1.8761300000000001</v>
      </c>
      <c r="HO79">
        <v>1.87391</v>
      </c>
      <c r="HP79">
        <v>1.8721099999999999</v>
      </c>
      <c r="HQ79">
        <v>1.87256</v>
      </c>
      <c r="HR79">
        <v>1.86999</v>
      </c>
      <c r="HS79">
        <v>1.87592</v>
      </c>
      <c r="HT79">
        <v>1.8749499999999999</v>
      </c>
      <c r="HU79">
        <v>5</v>
      </c>
      <c r="HV79">
        <v>0</v>
      </c>
      <c r="HW79">
        <v>0</v>
      </c>
      <c r="HX79">
        <v>0</v>
      </c>
      <c r="HY79" t="s">
        <v>423</v>
      </c>
      <c r="HZ79" t="s">
        <v>424</v>
      </c>
      <c r="IA79" t="s">
        <v>425</v>
      </c>
      <c r="IB79" t="s">
        <v>425</v>
      </c>
      <c r="IC79" t="s">
        <v>425</v>
      </c>
      <c r="ID79" t="s">
        <v>425</v>
      </c>
      <c r="IE79">
        <v>0</v>
      </c>
      <c r="IF79">
        <v>100</v>
      </c>
      <c r="IG79">
        <v>100</v>
      </c>
      <c r="IH79">
        <v>-1.585</v>
      </c>
      <c r="II79">
        <v>0.37390000000000001</v>
      </c>
      <c r="IJ79">
        <v>-1.5598576316023001</v>
      </c>
      <c r="IK79">
        <v>-2.677719669153116E-3</v>
      </c>
      <c r="IL79">
        <v>1.9353498771248068E-6</v>
      </c>
      <c r="IM79">
        <v>-6.1862177325538213E-10</v>
      </c>
      <c r="IN79">
        <v>-0.22386268888550989</v>
      </c>
      <c r="IO79">
        <v>-1.5299015507423901E-2</v>
      </c>
      <c r="IP79">
        <v>1.742162107778985E-3</v>
      </c>
      <c r="IQ79">
        <v>-1.472690239905804E-5</v>
      </c>
      <c r="IR79">
        <v>3</v>
      </c>
      <c r="IS79">
        <v>2255</v>
      </c>
      <c r="IT79">
        <v>2</v>
      </c>
      <c r="IU79">
        <v>41</v>
      </c>
      <c r="IV79">
        <v>0.7</v>
      </c>
      <c r="IW79">
        <v>0.5</v>
      </c>
      <c r="IX79">
        <v>0.17700199999999999</v>
      </c>
      <c r="IY79">
        <v>2.5524900000000001</v>
      </c>
      <c r="IZ79">
        <v>1.5991200000000001</v>
      </c>
      <c r="JA79">
        <v>2.2717299999999998</v>
      </c>
      <c r="JB79">
        <v>1.5502899999999999</v>
      </c>
      <c r="JC79">
        <v>2.3718300000000001</v>
      </c>
      <c r="JD79">
        <v>36.198900000000002</v>
      </c>
      <c r="JE79">
        <v>15.839399999999999</v>
      </c>
      <c r="JF79">
        <v>18</v>
      </c>
      <c r="JG79">
        <v>506.65</v>
      </c>
      <c r="JH79">
        <v>505.93299999999999</v>
      </c>
      <c r="JI79">
        <v>24.473600000000001</v>
      </c>
      <c r="JJ79">
        <v>32.046700000000001</v>
      </c>
      <c r="JK79">
        <v>30.000699999999998</v>
      </c>
      <c r="JL79">
        <v>31.9665</v>
      </c>
      <c r="JM79">
        <v>31.9282</v>
      </c>
      <c r="JN79">
        <v>3.5901200000000002</v>
      </c>
      <c r="JO79">
        <v>35.901299999999999</v>
      </c>
      <c r="JP79">
        <v>72.4422</v>
      </c>
      <c r="JQ79">
        <v>24.444400000000002</v>
      </c>
      <c r="JR79">
        <v>10</v>
      </c>
      <c r="JS79">
        <v>20.468299999999999</v>
      </c>
      <c r="JT79">
        <v>99.151499999999999</v>
      </c>
      <c r="JU79">
        <v>98.589299999999994</v>
      </c>
    </row>
    <row r="80" spans="1:281" x14ac:dyDescent="0.25">
      <c r="A80">
        <v>64</v>
      </c>
      <c r="B80">
        <v>1693509006.5</v>
      </c>
      <c r="C80">
        <v>15026.900000095369</v>
      </c>
      <c r="D80" t="s">
        <v>741</v>
      </c>
      <c r="E80" t="s">
        <v>742</v>
      </c>
      <c r="F80" t="s">
        <v>413</v>
      </c>
      <c r="G80" t="s">
        <v>414</v>
      </c>
      <c r="H80" t="s">
        <v>707</v>
      </c>
      <c r="I80" t="s">
        <v>416</v>
      </c>
      <c r="J80">
        <v>1693509006.5</v>
      </c>
      <c r="K80">
        <f t="shared" si="46"/>
        <v>6.3045671615991868E-3</v>
      </c>
      <c r="L80">
        <f t="shared" si="47"/>
        <v>6.304567161599187</v>
      </c>
      <c r="M80">
        <f t="shared" si="48"/>
        <v>38.185070330279672</v>
      </c>
      <c r="N80">
        <f t="shared" si="49"/>
        <v>351.40199999999999</v>
      </c>
      <c r="O80">
        <f t="shared" si="50"/>
        <v>194.09146999636258</v>
      </c>
      <c r="P80">
        <f t="shared" si="51"/>
        <v>19.331710714034749</v>
      </c>
      <c r="Q80">
        <f t="shared" si="52"/>
        <v>35.000001846863995</v>
      </c>
      <c r="R80">
        <f t="shared" si="53"/>
        <v>0.43453241314482249</v>
      </c>
      <c r="S80">
        <f t="shared" si="54"/>
        <v>2.9111182892685754</v>
      </c>
      <c r="T80">
        <f t="shared" si="55"/>
        <v>0.40144903104911378</v>
      </c>
      <c r="U80">
        <f t="shared" si="56"/>
        <v>0.25366782781966291</v>
      </c>
      <c r="V80">
        <f t="shared" si="57"/>
        <v>344.33520065823268</v>
      </c>
      <c r="W80">
        <f t="shared" si="58"/>
        <v>30.410583981730685</v>
      </c>
      <c r="X80">
        <f t="shared" si="59"/>
        <v>30.0303</v>
      </c>
      <c r="Y80">
        <f t="shared" si="60"/>
        <v>4.2678703154810895</v>
      </c>
      <c r="Z80">
        <f t="shared" si="61"/>
        <v>64.687827087094902</v>
      </c>
      <c r="AA80">
        <f t="shared" si="62"/>
        <v>2.7588589454712</v>
      </c>
      <c r="AB80">
        <f t="shared" si="63"/>
        <v>4.2648811526111494</v>
      </c>
      <c r="AC80">
        <f t="shared" si="64"/>
        <v>1.5090113700098895</v>
      </c>
      <c r="AD80">
        <f t="shared" si="65"/>
        <v>-278.03141182652416</v>
      </c>
      <c r="AE80">
        <f t="shared" si="66"/>
        <v>-1.9147193523747772</v>
      </c>
      <c r="AF80">
        <f t="shared" si="67"/>
        <v>-0.14628116890843462</v>
      </c>
      <c r="AG80">
        <f t="shared" si="68"/>
        <v>64.242788310425297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51813.912168051975</v>
      </c>
      <c r="AM80" t="s">
        <v>417</v>
      </c>
      <c r="AN80">
        <v>10238.9</v>
      </c>
      <c r="AO80">
        <v>302.21199999999999</v>
      </c>
      <c r="AP80">
        <v>4052.3</v>
      </c>
      <c r="AQ80">
        <f t="shared" si="72"/>
        <v>0.92542210596451402</v>
      </c>
      <c r="AR80">
        <v>-0.32343011824092421</v>
      </c>
      <c r="AS80" t="s">
        <v>743</v>
      </c>
      <c r="AT80">
        <v>10450.700000000001</v>
      </c>
      <c r="AU80">
        <v>773.54751999999996</v>
      </c>
      <c r="AV80">
        <v>1068.6090717780489</v>
      </c>
      <c r="AW80">
        <f t="shared" si="73"/>
        <v>0.27611739369486987</v>
      </c>
      <c r="AX80">
        <v>0.5</v>
      </c>
      <c r="AY80">
        <f t="shared" si="74"/>
        <v>1513.0335003291161</v>
      </c>
      <c r="AZ80">
        <f t="shared" si="75"/>
        <v>38.185070330279672</v>
      </c>
      <c r="BA80">
        <f t="shared" si="76"/>
        <v>208.88743334195078</v>
      </c>
      <c r="BB80">
        <f t="shared" si="77"/>
        <v>2.5451188252040815E-2</v>
      </c>
      <c r="BC80">
        <f t="shared" si="78"/>
        <v>2.7921257707998071</v>
      </c>
      <c r="BD80">
        <f t="shared" si="79"/>
        <v>250.12769499440063</v>
      </c>
      <c r="BE80" t="s">
        <v>744</v>
      </c>
      <c r="BF80">
        <v>610.46</v>
      </c>
      <c r="BG80">
        <f t="shared" si="80"/>
        <v>610.46</v>
      </c>
      <c r="BH80">
        <f t="shared" si="81"/>
        <v>0.42873402807234151</v>
      </c>
      <c r="BI80">
        <f t="shared" si="82"/>
        <v>0.64402957455077425</v>
      </c>
      <c r="BJ80">
        <f t="shared" si="83"/>
        <v>0.8668883295626616</v>
      </c>
      <c r="BK80">
        <f t="shared" si="84"/>
        <v>0.38499827653764801</v>
      </c>
      <c r="BL80">
        <f t="shared" si="85"/>
        <v>0.79563224335587623</v>
      </c>
      <c r="BM80">
        <f t="shared" si="86"/>
        <v>0.50824840609697219</v>
      </c>
      <c r="BN80">
        <f t="shared" si="87"/>
        <v>0.49175159390302781</v>
      </c>
      <c r="BO80">
        <v>5814</v>
      </c>
      <c r="BP80">
        <v>290.00000000000011</v>
      </c>
      <c r="BQ80">
        <v>981.2</v>
      </c>
      <c r="BR80">
        <v>265</v>
      </c>
      <c r="BS80">
        <v>10450.700000000001</v>
      </c>
      <c r="BT80">
        <v>980.95</v>
      </c>
      <c r="BU80">
        <v>0.25</v>
      </c>
      <c r="BV80">
        <v>300.00000000000011</v>
      </c>
      <c r="BW80">
        <v>38.299999999999997</v>
      </c>
      <c r="BX80">
        <v>1068.6090717780489</v>
      </c>
      <c r="BY80">
        <v>0.9307653707254766</v>
      </c>
      <c r="BZ80">
        <v>-91.612728936203027</v>
      </c>
      <c r="CA80">
        <v>0.79700793736529729</v>
      </c>
      <c r="CB80">
        <v>0.99788528277887212</v>
      </c>
      <c r="CC80">
        <v>-1.135457619577307E-2</v>
      </c>
      <c r="CD80">
        <v>289.99999999999989</v>
      </c>
      <c r="CE80">
        <v>966.97</v>
      </c>
      <c r="CF80">
        <v>635</v>
      </c>
      <c r="CG80">
        <v>10436.9</v>
      </c>
      <c r="CH80">
        <v>980.83</v>
      </c>
      <c r="CI80">
        <v>-13.86</v>
      </c>
      <c r="CW80">
        <f t="shared" si="88"/>
        <v>1799.82</v>
      </c>
      <c r="CX80">
        <f t="shared" si="89"/>
        <v>1513.0335003291161</v>
      </c>
      <c r="CY80">
        <f t="shared" si="90"/>
        <v>0.84065823267277628</v>
      </c>
      <c r="CZ80">
        <f t="shared" si="91"/>
        <v>0.19131646534555272</v>
      </c>
      <c r="DA80">
        <v>6</v>
      </c>
      <c r="DB80">
        <v>0.5</v>
      </c>
      <c r="DC80" t="s">
        <v>420</v>
      </c>
      <c r="DD80">
        <v>2</v>
      </c>
      <c r="DE80">
        <v>1693509006.5</v>
      </c>
      <c r="DF80">
        <v>351.40199999999999</v>
      </c>
      <c r="DG80">
        <v>399.86399999999998</v>
      </c>
      <c r="DH80">
        <v>27.699100000000001</v>
      </c>
      <c r="DI80">
        <v>20.346</v>
      </c>
      <c r="DJ80">
        <v>353.55399999999997</v>
      </c>
      <c r="DK80">
        <v>27.3432</v>
      </c>
      <c r="DL80">
        <v>500.19200000000001</v>
      </c>
      <c r="DM80">
        <v>99.500299999999996</v>
      </c>
      <c r="DN80">
        <v>0.100732</v>
      </c>
      <c r="DO80">
        <v>30.0181</v>
      </c>
      <c r="DP80">
        <v>30.0303</v>
      </c>
      <c r="DQ80">
        <v>999.9</v>
      </c>
      <c r="DR80">
        <v>0</v>
      </c>
      <c r="DS80">
        <v>0</v>
      </c>
      <c r="DT80">
        <v>9945</v>
      </c>
      <c r="DU80">
        <v>0</v>
      </c>
      <c r="DV80">
        <v>1432.39</v>
      </c>
      <c r="DW80">
        <v>-48.462800000000001</v>
      </c>
      <c r="DX80">
        <v>361.41199999999998</v>
      </c>
      <c r="DY80">
        <v>408.16899999999998</v>
      </c>
      <c r="DZ80">
        <v>7.3530800000000003</v>
      </c>
      <c r="EA80">
        <v>399.86399999999998</v>
      </c>
      <c r="EB80">
        <v>20.346</v>
      </c>
      <c r="EC80">
        <v>2.7560699999999998</v>
      </c>
      <c r="ED80">
        <v>2.0244300000000002</v>
      </c>
      <c r="EE80">
        <v>22.6233</v>
      </c>
      <c r="EF80">
        <v>17.636700000000001</v>
      </c>
      <c r="EG80">
        <v>1799.82</v>
      </c>
      <c r="EH80">
        <v>0.97799999999999998</v>
      </c>
      <c r="EI80">
        <v>2.20003E-2</v>
      </c>
      <c r="EJ80">
        <v>0</v>
      </c>
      <c r="EK80">
        <v>772.37599999999998</v>
      </c>
      <c r="EL80">
        <v>4.9995000000000003</v>
      </c>
      <c r="EM80">
        <v>15863</v>
      </c>
      <c r="EN80">
        <v>16658.099999999999</v>
      </c>
      <c r="EO80">
        <v>46.811999999999998</v>
      </c>
      <c r="EP80">
        <v>48.875</v>
      </c>
      <c r="EQ80">
        <v>47.936999999999998</v>
      </c>
      <c r="ER80">
        <v>47.375</v>
      </c>
      <c r="ES80">
        <v>48.125</v>
      </c>
      <c r="ET80">
        <v>1755.33</v>
      </c>
      <c r="EU80">
        <v>39.49</v>
      </c>
      <c r="EV80">
        <v>0</v>
      </c>
      <c r="EW80">
        <v>187.4000000953674</v>
      </c>
      <c r="EX80">
        <v>0</v>
      </c>
      <c r="EY80">
        <v>773.54751999999996</v>
      </c>
      <c r="EZ80">
        <v>-8.7049999989917168</v>
      </c>
      <c r="FA80">
        <v>-95.299997558932759</v>
      </c>
      <c r="FB80">
        <v>15834.407999999999</v>
      </c>
      <c r="FC80">
        <v>15</v>
      </c>
      <c r="FD80">
        <v>1693508922.5</v>
      </c>
      <c r="FE80" t="s">
        <v>745</v>
      </c>
      <c r="FF80">
        <v>1693508907.5</v>
      </c>
      <c r="FG80">
        <v>1693508922.5</v>
      </c>
      <c r="FH80">
        <v>73</v>
      </c>
      <c r="FI80">
        <v>0.14000000000000001</v>
      </c>
      <c r="FJ80">
        <v>-3.0000000000000001E-3</v>
      </c>
      <c r="FK80">
        <v>-2.2240000000000002</v>
      </c>
      <c r="FL80">
        <v>5.1999999999999998E-2</v>
      </c>
      <c r="FM80">
        <v>400</v>
      </c>
      <c r="FN80">
        <v>20</v>
      </c>
      <c r="FO80">
        <v>0.26</v>
      </c>
      <c r="FP80">
        <v>0.02</v>
      </c>
      <c r="FQ80">
        <v>38.179777839105682</v>
      </c>
      <c r="FR80">
        <v>1.21258466563076</v>
      </c>
      <c r="FS80">
        <v>0.1150435715785583</v>
      </c>
      <c r="FT80">
        <v>0</v>
      </c>
      <c r="FU80">
        <v>0.43696359636953619</v>
      </c>
      <c r="FV80">
        <v>-8.4557758887658669E-3</v>
      </c>
      <c r="FW80">
        <v>1.0724842848021761E-3</v>
      </c>
      <c r="FX80">
        <v>1</v>
      </c>
      <c r="FY80">
        <v>1</v>
      </c>
      <c r="FZ80">
        <v>2</v>
      </c>
      <c r="GA80" t="s">
        <v>461</v>
      </c>
      <c r="GB80">
        <v>2.9698600000000002</v>
      </c>
      <c r="GC80">
        <v>2.8119499999999999</v>
      </c>
      <c r="GD80">
        <v>8.8003799999999993E-2</v>
      </c>
      <c r="GE80">
        <v>9.5835400000000001E-2</v>
      </c>
      <c r="GF80">
        <v>0.13197</v>
      </c>
      <c r="GG80">
        <v>0.105741</v>
      </c>
      <c r="GH80">
        <v>26938.3</v>
      </c>
      <c r="GI80">
        <v>24573.599999999999</v>
      </c>
      <c r="GJ80">
        <v>26550.7</v>
      </c>
      <c r="GK80">
        <v>25645</v>
      </c>
      <c r="GL80">
        <v>31356.400000000001</v>
      </c>
      <c r="GM80">
        <v>32308.5</v>
      </c>
      <c r="GN80">
        <v>37588.5</v>
      </c>
      <c r="GO80">
        <v>37944.6</v>
      </c>
      <c r="GP80">
        <v>1.9614</v>
      </c>
      <c r="GQ80">
        <v>2.0087000000000002</v>
      </c>
      <c r="GR80">
        <v>1.90139E-2</v>
      </c>
      <c r="GS80">
        <v>0</v>
      </c>
      <c r="GT80">
        <v>29.720800000000001</v>
      </c>
      <c r="GU80">
        <v>999.9</v>
      </c>
      <c r="GV80">
        <v>56.6</v>
      </c>
      <c r="GW80">
        <v>32.4</v>
      </c>
      <c r="GX80">
        <v>27.783100000000001</v>
      </c>
      <c r="GY80">
        <v>61.563499999999998</v>
      </c>
      <c r="GZ80">
        <v>11.386200000000001</v>
      </c>
      <c r="HA80">
        <v>1</v>
      </c>
      <c r="HB80">
        <v>0.37214399999999997</v>
      </c>
      <c r="HC80">
        <v>3.3850199999999999</v>
      </c>
      <c r="HD80">
        <v>20.271799999999999</v>
      </c>
      <c r="HE80">
        <v>5.2112999999999996</v>
      </c>
      <c r="HF80">
        <v>11.9369</v>
      </c>
      <c r="HG80">
        <v>4.9875999999999996</v>
      </c>
      <c r="HH80">
        <v>3.2909999999999999</v>
      </c>
      <c r="HI80">
        <v>9999</v>
      </c>
      <c r="HJ80">
        <v>9999</v>
      </c>
      <c r="HK80">
        <v>9999</v>
      </c>
      <c r="HL80">
        <v>999.9</v>
      </c>
      <c r="HM80">
        <v>1.86981</v>
      </c>
      <c r="HN80">
        <v>1.87616</v>
      </c>
      <c r="HO80">
        <v>1.8739300000000001</v>
      </c>
      <c r="HP80">
        <v>1.8721099999999999</v>
      </c>
      <c r="HQ80">
        <v>1.87256</v>
      </c>
      <c r="HR80">
        <v>1.86999</v>
      </c>
      <c r="HS80">
        <v>1.87592</v>
      </c>
      <c r="HT80">
        <v>1.8749800000000001</v>
      </c>
      <c r="HU80">
        <v>5</v>
      </c>
      <c r="HV80">
        <v>0</v>
      </c>
      <c r="HW80">
        <v>0</v>
      </c>
      <c r="HX80">
        <v>0</v>
      </c>
      <c r="HY80" t="s">
        <v>423</v>
      </c>
      <c r="HZ80" t="s">
        <v>424</v>
      </c>
      <c r="IA80" t="s">
        <v>425</v>
      </c>
      <c r="IB80" t="s">
        <v>425</v>
      </c>
      <c r="IC80" t="s">
        <v>425</v>
      </c>
      <c r="ID80" t="s">
        <v>425</v>
      </c>
      <c r="IE80">
        <v>0</v>
      </c>
      <c r="IF80">
        <v>100</v>
      </c>
      <c r="IG80">
        <v>100</v>
      </c>
      <c r="IH80">
        <v>-2.1520000000000001</v>
      </c>
      <c r="II80">
        <v>0.35589999999999999</v>
      </c>
      <c r="IJ80">
        <v>-1.420029873898955</v>
      </c>
      <c r="IK80">
        <v>-2.677719669153116E-3</v>
      </c>
      <c r="IL80">
        <v>1.9353498771248068E-6</v>
      </c>
      <c r="IM80">
        <v>-6.1862177325538213E-10</v>
      </c>
      <c r="IN80">
        <v>-0.2272112143184277</v>
      </c>
      <c r="IO80">
        <v>-1.5299015507423901E-2</v>
      </c>
      <c r="IP80">
        <v>1.742162107778985E-3</v>
      </c>
      <c r="IQ80">
        <v>-1.472690239905804E-5</v>
      </c>
      <c r="IR80">
        <v>3</v>
      </c>
      <c r="IS80">
        <v>2255</v>
      </c>
      <c r="IT80">
        <v>2</v>
      </c>
      <c r="IU80">
        <v>41</v>
      </c>
      <c r="IV80">
        <v>1.6</v>
      </c>
      <c r="IW80">
        <v>1.4</v>
      </c>
      <c r="IX80">
        <v>0.95703099999999997</v>
      </c>
      <c r="IY80">
        <v>2.5061</v>
      </c>
      <c r="IZ80">
        <v>1.6003400000000001</v>
      </c>
      <c r="JA80">
        <v>2.2717299999999998</v>
      </c>
      <c r="JB80">
        <v>1.5502899999999999</v>
      </c>
      <c r="JC80">
        <v>2.3156699999999999</v>
      </c>
      <c r="JD80">
        <v>36.245899999999999</v>
      </c>
      <c r="JE80">
        <v>15.804399999999999</v>
      </c>
      <c r="JF80">
        <v>18</v>
      </c>
      <c r="JG80">
        <v>505.73700000000002</v>
      </c>
      <c r="JH80">
        <v>505.26299999999998</v>
      </c>
      <c r="JI80">
        <v>24.6373</v>
      </c>
      <c r="JJ80">
        <v>32.182600000000001</v>
      </c>
      <c r="JK80">
        <v>30.000900000000001</v>
      </c>
      <c r="JL80">
        <v>32.078499999999998</v>
      </c>
      <c r="JM80">
        <v>32.040199999999999</v>
      </c>
      <c r="JN80">
        <v>19.188199999999998</v>
      </c>
      <c r="JO80">
        <v>34.254399999999997</v>
      </c>
      <c r="JP80">
        <v>68.636799999999994</v>
      </c>
      <c r="JQ80">
        <v>24.6248</v>
      </c>
      <c r="JR80">
        <v>400</v>
      </c>
      <c r="JS80">
        <v>20.485399999999998</v>
      </c>
      <c r="JT80">
        <v>99.133200000000002</v>
      </c>
      <c r="JU80">
        <v>98.565899999999999</v>
      </c>
    </row>
    <row r="81" spans="1:281" x14ac:dyDescent="0.25">
      <c r="A81">
        <v>65</v>
      </c>
      <c r="B81">
        <v>1693509139</v>
      </c>
      <c r="C81">
        <v>15159.400000095369</v>
      </c>
      <c r="D81" t="s">
        <v>746</v>
      </c>
      <c r="E81" t="s">
        <v>747</v>
      </c>
      <c r="F81" t="s">
        <v>413</v>
      </c>
      <c r="G81" t="s">
        <v>414</v>
      </c>
      <c r="H81" t="s">
        <v>707</v>
      </c>
      <c r="I81" t="s">
        <v>416</v>
      </c>
      <c r="J81">
        <v>1693509139</v>
      </c>
      <c r="K81">
        <f t="shared" ref="K81:K112" si="92">(L81)/1000</f>
        <v>6.025892212287551E-3</v>
      </c>
      <c r="L81">
        <f t="shared" ref="L81:L112" si="93">1000*DL81*AJ81*(DH81-DI81)/(100*DA81*(1000-AJ81*DH81))</f>
        <v>6.0258922122875509</v>
      </c>
      <c r="M81">
        <f t="shared" ref="M81:M112" si="94">DL81*AJ81*(DG81-DF81*(1000-AJ81*DI81)/(1000-AJ81*DH81))/(100*DA81)</f>
        <v>40.087627069771813</v>
      </c>
      <c r="N81">
        <f t="shared" ref="N81:N112" si="95">DF81 - IF(AJ81&gt;1, M81*DA81*100/(AL81*DT81), 0)</f>
        <v>349.577</v>
      </c>
      <c r="O81">
        <f t="shared" ref="O81:O112" si="96">((U81-K81/2)*N81-M81)/(U81+K81/2)</f>
        <v>180.66635837976256</v>
      </c>
      <c r="P81">
        <f t="shared" ref="P81:P112" si="97">O81*(DM81+DN81)/1000</f>
        <v>17.993903175419732</v>
      </c>
      <c r="Q81">
        <f t="shared" ref="Q81:Q112" si="98">(DF81 - IF(AJ81&gt;1, M81*DA81*100/(AL81*DT81), 0))*(DM81+DN81)/1000</f>
        <v>34.816967291339999</v>
      </c>
      <c r="R81">
        <f t="shared" ref="R81:R112" si="99">2/((1/T81-1/S81)+SIGN(T81)*SQRT((1/T81-1/S81)*(1/T81-1/S81) + 4*DB81/((DB81+1)*(DB81+1))*(2*1/T81*1/S81-1/S81*1/S81)))</f>
        <v>0.42186715289835575</v>
      </c>
      <c r="S81">
        <f t="shared" ref="S81:S112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2.9189623613594957</v>
      </c>
      <c r="T81">
        <f t="shared" ref="T81:T112" si="101">K81*(1000-(1000*0.61365*EXP(17.502*X81/(240.97+X81))/(DM81+DN81)+DH81)/2)/(1000*0.61365*EXP(17.502*X81/(240.97+X81))/(DM81+DN81)-DH81)</f>
        <v>0.39068725143290944</v>
      </c>
      <c r="U81">
        <f t="shared" ref="U81:U112" si="102">1/((DB81+1)/(R81/1.6)+1/(S81/1.37)) + DB81/((DB81+1)/(R81/1.6) + DB81/(S81/1.37))</f>
        <v>0.24678860569029032</v>
      </c>
      <c r="V81">
        <f t="shared" ref="V81:V112" si="103">(CW81*CZ81)</f>
        <v>344.39980065810835</v>
      </c>
      <c r="W81">
        <f t="shared" ref="W81:W112" si="104">(DO81+(V81+2*0.95*0.0000000567*(((DO81+$B$7)+273)^4-(DO81+273)^4)-44100*K81)/(1.84*29.3*S81+8*0.95*0.0000000567*(DO81+273)^3))</f>
        <v>30.36968830775097</v>
      </c>
      <c r="X81">
        <f t="shared" ref="X81:X112" si="105">($C$7*DP81+$D$7*DQ81+$E$7*W81)</f>
        <v>29.9939</v>
      </c>
      <c r="Y81">
        <f t="shared" ref="Y81:Y112" si="106">0.61365*EXP(17.502*X81/(240.97+X81))</f>
        <v>4.2589572281822958</v>
      </c>
      <c r="Z81">
        <f t="shared" ref="Z81:Z112" si="107">(AA81/AB81*100)</f>
        <v>65.537991499462052</v>
      </c>
      <c r="AA81">
        <f t="shared" ref="AA81:AA112" si="108">DH81*(DM81+DN81)/1000</f>
        <v>2.777044982634</v>
      </c>
      <c r="AB81">
        <f t="shared" ref="AB81:AB112" si="109">0.61365*EXP(17.502*DO81/(240.97+DO81))</f>
        <v>4.237305598016067</v>
      </c>
      <c r="AC81">
        <f t="shared" ref="AC81:AC112" si="110">(Y81-DH81*(DM81+DN81)/1000)</f>
        <v>1.4819122455482958</v>
      </c>
      <c r="AD81">
        <f t="shared" ref="AD81:AD112" si="111">(-K81*44100)</f>
        <v>-265.741846561881</v>
      </c>
      <c r="AE81">
        <f t="shared" ref="AE81:AE112" si="112">2*29.3*S81*0.92*(DO81-X81)</f>
        <v>-13.958461665831781</v>
      </c>
      <c r="AF81">
        <f t="shared" ref="AF81:AF112" si="113">2*0.95*0.0000000567*(((DO81+$B$7)+273)^4-(X81+273)^4)</f>
        <v>-1.0627502492961196</v>
      </c>
      <c r="AG81">
        <f t="shared" ref="AG81:AG112" si="114">V81+AF81+AD81+AE81</f>
        <v>63.636742181099436</v>
      </c>
      <c r="AH81">
        <v>0</v>
      </c>
      <c r="AI81">
        <v>0</v>
      </c>
      <c r="AJ81">
        <f t="shared" ref="AJ81:AJ112" si="115">IF(AH81*$H$13&gt;=AL81,1,(AL81/(AL81-AH81*$H$13)))</f>
        <v>1</v>
      </c>
      <c r="AK81">
        <f t="shared" ref="AK81:AK112" si="116">(AJ81-1)*100</f>
        <v>0</v>
      </c>
      <c r="AL81">
        <f t="shared" ref="AL81:AL112" si="117">MAX(0,($B$13+$C$13*DT81)/(1+$D$13*DT81)*DM81/(DO81+273)*$E$13)</f>
        <v>52056.719413890911</v>
      </c>
      <c r="AM81" t="s">
        <v>417</v>
      </c>
      <c r="AN81">
        <v>10238.9</v>
      </c>
      <c r="AO81">
        <v>302.21199999999999</v>
      </c>
      <c r="AP81">
        <v>4052.3</v>
      </c>
      <c r="AQ81">
        <f t="shared" ref="AQ81:AQ112" si="118">1-AO81/AP81</f>
        <v>0.92542210596451402</v>
      </c>
      <c r="AR81">
        <v>-0.32343011824092421</v>
      </c>
      <c r="AS81" t="s">
        <v>748</v>
      </c>
      <c r="AT81">
        <v>10477.700000000001</v>
      </c>
      <c r="AU81">
        <v>796.82428000000004</v>
      </c>
      <c r="AV81">
        <v>1099.94180099201</v>
      </c>
      <c r="AW81">
        <f t="shared" ref="AW81:AW112" si="119">1-AU81/AV81</f>
        <v>0.27557596294516296</v>
      </c>
      <c r="AX81">
        <v>0.5</v>
      </c>
      <c r="AY81">
        <f t="shared" ref="AY81:AY112" si="120">CX81</f>
        <v>1513.3191003290542</v>
      </c>
      <c r="AZ81">
        <f t="shared" ref="AZ81:AZ112" si="121">M81</f>
        <v>40.087627069771813</v>
      </c>
      <c r="BA81">
        <f t="shared" ref="BA81:BA112" si="122">AW81*AX81*AY81</f>
        <v>208.5171841582434</v>
      </c>
      <c r="BB81">
        <f t="shared" ref="BB81:BB112" si="123">(AZ81-AR81)/AY81</f>
        <v>2.6703592903324753E-2</v>
      </c>
      <c r="BC81">
        <f t="shared" ref="BC81:BC112" si="124">(AP81-AV81)/AV81</f>
        <v>2.6841040101806586</v>
      </c>
      <c r="BD81">
        <f t="shared" ref="BD81:BD112" si="125">AO81/(AQ81+AO81/AV81)</f>
        <v>251.8066483673509</v>
      </c>
      <c r="BE81" t="s">
        <v>749</v>
      </c>
      <c r="BF81">
        <v>620.04999999999995</v>
      </c>
      <c r="BG81">
        <f t="shared" ref="BG81:BG112" si="126">IF(BF81&lt;&gt;0, BF81, BD81)</f>
        <v>620.04999999999995</v>
      </c>
      <c r="BH81">
        <f t="shared" ref="BH81:BH112" si="127">1-BG81/AV81</f>
        <v>0.43628835685597878</v>
      </c>
      <c r="BI81">
        <f t="shared" ref="BI81:BI112" si="128">(AV81-AU81)/(AV81-BG81)</f>
        <v>0.6316372156503185</v>
      </c>
      <c r="BJ81">
        <f t="shared" ref="BJ81:BJ112" si="129">(AP81-AV81)/(AP81-BG81)</f>
        <v>0.86018157156617092</v>
      </c>
      <c r="BK81">
        <f t="shared" ref="BK81:BK112" si="130">(AV81-AU81)/(AV81-AO81)</f>
        <v>0.37997517532261021</v>
      </c>
      <c r="BL81">
        <f t="shared" ref="BL81:BL112" si="131">(AP81-AV81)/(AP81-AO81)</f>
        <v>0.78727704496747541</v>
      </c>
      <c r="BM81">
        <f t="shared" ref="BM81:BM112" si="132">(BI81*BG81/AU81)</f>
        <v>0.49150943990308621</v>
      </c>
      <c r="BN81">
        <f t="shared" ref="BN81:BN112" si="133">(1-BM81)</f>
        <v>0.50849056009691385</v>
      </c>
      <c r="BO81">
        <v>5816</v>
      </c>
      <c r="BP81">
        <v>290.00000000000011</v>
      </c>
      <c r="BQ81">
        <v>1021.95</v>
      </c>
      <c r="BR81">
        <v>125</v>
      </c>
      <c r="BS81">
        <v>10477.700000000001</v>
      </c>
      <c r="BT81">
        <v>1017.62</v>
      </c>
      <c r="BU81">
        <v>4.33</v>
      </c>
      <c r="BV81">
        <v>300.00000000000011</v>
      </c>
      <c r="BW81">
        <v>38.299999999999997</v>
      </c>
      <c r="BX81">
        <v>1099.94180099201</v>
      </c>
      <c r="BY81">
        <v>1.1926718594473791</v>
      </c>
      <c r="BZ81">
        <v>-86.249091643690065</v>
      </c>
      <c r="CA81">
        <v>1.021310528864066</v>
      </c>
      <c r="CB81">
        <v>0.99608922498333152</v>
      </c>
      <c r="CC81">
        <v>-1.1354890322580651E-2</v>
      </c>
      <c r="CD81">
        <v>289.99999999999989</v>
      </c>
      <c r="CE81">
        <v>1012</v>
      </c>
      <c r="CF81">
        <v>705</v>
      </c>
      <c r="CG81">
        <v>10430.4</v>
      </c>
      <c r="CH81">
        <v>1017.25</v>
      </c>
      <c r="CI81">
        <v>-5.25</v>
      </c>
      <c r="CW81">
        <f t="shared" ref="CW81:CW112" si="134">$B$11*DU81+$C$11*DV81+$F$11*EG81*(1-EJ81)</f>
        <v>1800.16</v>
      </c>
      <c r="CX81">
        <f t="shared" ref="CX81:CX112" si="135">CW81*CY81</f>
        <v>1513.3191003290542</v>
      </c>
      <c r="CY81">
        <f t="shared" ref="CY81:CY112" si="136">($B$11*$D$9+$C$11*$D$9+$F$11*((ET81+EL81)/MAX(ET81+EL81+EU81, 0.1)*$I$9+EU81/MAX(ET81+EL81+EU81, 0.1)*$J$9))/($B$11+$C$11+$F$11)</f>
        <v>0.84065810835095445</v>
      </c>
      <c r="CZ81">
        <f t="shared" ref="CZ81:CZ112" si="137">($B$11*$K$9+$C$11*$K$9+$F$11*((ET81+EL81)/MAX(ET81+EL81+EU81, 0.1)*$P$9+EU81/MAX(ET81+EL81+EU81, 0.1)*$Q$9))/($B$11+$C$11+$F$11)</f>
        <v>0.1913162167019089</v>
      </c>
      <c r="DA81">
        <v>6</v>
      </c>
      <c r="DB81">
        <v>0.5</v>
      </c>
      <c r="DC81" t="s">
        <v>420</v>
      </c>
      <c r="DD81">
        <v>2</v>
      </c>
      <c r="DE81">
        <v>1693509139</v>
      </c>
      <c r="DF81">
        <v>349.577</v>
      </c>
      <c r="DG81">
        <v>400.17</v>
      </c>
      <c r="DH81">
        <v>27.8827</v>
      </c>
      <c r="DI81">
        <v>20.858799999999999</v>
      </c>
      <c r="DJ81">
        <v>351.887</v>
      </c>
      <c r="DK81">
        <v>27.522099999999998</v>
      </c>
      <c r="DL81">
        <v>500.39499999999998</v>
      </c>
      <c r="DM81">
        <v>99.497200000000007</v>
      </c>
      <c r="DN81">
        <v>0.10022</v>
      </c>
      <c r="DO81">
        <v>29.905200000000001</v>
      </c>
      <c r="DP81">
        <v>29.9939</v>
      </c>
      <c r="DQ81">
        <v>999.9</v>
      </c>
      <c r="DR81">
        <v>0</v>
      </c>
      <c r="DS81">
        <v>0</v>
      </c>
      <c r="DT81">
        <v>9990</v>
      </c>
      <c r="DU81">
        <v>0</v>
      </c>
      <c r="DV81">
        <v>1424.71</v>
      </c>
      <c r="DW81">
        <v>-50.593000000000004</v>
      </c>
      <c r="DX81">
        <v>359.60399999999998</v>
      </c>
      <c r="DY81">
        <v>408.69499999999999</v>
      </c>
      <c r="DZ81">
        <v>7.0238800000000001</v>
      </c>
      <c r="EA81">
        <v>400.17</v>
      </c>
      <c r="EB81">
        <v>20.858799999999999</v>
      </c>
      <c r="EC81">
        <v>2.7742499999999999</v>
      </c>
      <c r="ED81">
        <v>2.0753900000000001</v>
      </c>
      <c r="EE81">
        <v>22.7317</v>
      </c>
      <c r="EF81">
        <v>18.031600000000001</v>
      </c>
      <c r="EG81">
        <v>1800.16</v>
      </c>
      <c r="EH81">
        <v>0.97800299999999996</v>
      </c>
      <c r="EI81">
        <v>2.19968E-2</v>
      </c>
      <c r="EJ81">
        <v>0</v>
      </c>
      <c r="EK81">
        <v>799.173</v>
      </c>
      <c r="EL81">
        <v>4.9995000000000003</v>
      </c>
      <c r="EM81">
        <v>16292.4</v>
      </c>
      <c r="EN81">
        <v>16661.3</v>
      </c>
      <c r="EO81">
        <v>46.811999999999998</v>
      </c>
      <c r="EP81">
        <v>48.875</v>
      </c>
      <c r="EQ81">
        <v>48</v>
      </c>
      <c r="ER81">
        <v>47.375</v>
      </c>
      <c r="ES81">
        <v>48.125</v>
      </c>
      <c r="ET81">
        <v>1755.67</v>
      </c>
      <c r="EU81">
        <v>39.49</v>
      </c>
      <c r="EV81">
        <v>0</v>
      </c>
      <c r="EW81">
        <v>130.39999985694891</v>
      </c>
      <c r="EX81">
        <v>0</v>
      </c>
      <c r="EY81">
        <v>796.82428000000004</v>
      </c>
      <c r="EZ81">
        <v>18.793538486961811</v>
      </c>
      <c r="FA81">
        <v>267.71538535237818</v>
      </c>
      <c r="FB81">
        <v>16276.636</v>
      </c>
      <c r="FC81">
        <v>15</v>
      </c>
      <c r="FD81">
        <v>1693509111</v>
      </c>
      <c r="FE81" t="s">
        <v>750</v>
      </c>
      <c r="FF81">
        <v>1693509108</v>
      </c>
      <c r="FG81">
        <v>1693509111</v>
      </c>
      <c r="FH81">
        <v>74</v>
      </c>
      <c r="FI81">
        <v>-0.16</v>
      </c>
      <c r="FJ81">
        <v>-4.0000000000000001E-3</v>
      </c>
      <c r="FK81">
        <v>-2.3849999999999998</v>
      </c>
      <c r="FL81">
        <v>7.1999999999999995E-2</v>
      </c>
      <c r="FM81">
        <v>400</v>
      </c>
      <c r="FN81">
        <v>21</v>
      </c>
      <c r="FO81">
        <v>0.13</v>
      </c>
      <c r="FP81">
        <v>0.03</v>
      </c>
      <c r="FQ81">
        <v>39.77800281009084</v>
      </c>
      <c r="FR81">
        <v>0.6608686848852755</v>
      </c>
      <c r="FS81">
        <v>9.4958317820332705E-2</v>
      </c>
      <c r="FT81">
        <v>1</v>
      </c>
      <c r="FU81">
        <v>0.42537599728858561</v>
      </c>
      <c r="FV81">
        <v>1.2203791406415121E-2</v>
      </c>
      <c r="FW81">
        <v>2.7145313513562879E-3</v>
      </c>
      <c r="FX81">
        <v>1</v>
      </c>
      <c r="FY81">
        <v>2</v>
      </c>
      <c r="FZ81">
        <v>2</v>
      </c>
      <c r="GA81" t="s">
        <v>422</v>
      </c>
      <c r="GB81">
        <v>2.9703200000000001</v>
      </c>
      <c r="GC81">
        <v>2.8118300000000001</v>
      </c>
      <c r="GD81">
        <v>8.7653200000000001E-2</v>
      </c>
      <c r="GE81">
        <v>9.5874600000000004E-2</v>
      </c>
      <c r="GF81">
        <v>0.132544</v>
      </c>
      <c r="GG81">
        <v>0.107603</v>
      </c>
      <c r="GH81">
        <v>26944.9</v>
      </c>
      <c r="GI81">
        <v>24566.1</v>
      </c>
      <c r="GJ81">
        <v>26547.4</v>
      </c>
      <c r="GK81">
        <v>25638.6</v>
      </c>
      <c r="GL81">
        <v>31332.3</v>
      </c>
      <c r="GM81">
        <v>32232.1</v>
      </c>
      <c r="GN81">
        <v>37583.800000000003</v>
      </c>
      <c r="GO81">
        <v>37933.800000000003</v>
      </c>
      <c r="GP81">
        <v>1.9598</v>
      </c>
      <c r="GQ81">
        <v>2.008</v>
      </c>
      <c r="GR81">
        <v>1.6823399999999999E-2</v>
      </c>
      <c r="GS81">
        <v>0</v>
      </c>
      <c r="GT81">
        <v>29.72</v>
      </c>
      <c r="GU81">
        <v>999.9</v>
      </c>
      <c r="GV81">
        <v>55.9</v>
      </c>
      <c r="GW81">
        <v>32.4</v>
      </c>
      <c r="GX81">
        <v>27.442499999999999</v>
      </c>
      <c r="GY81">
        <v>61.643500000000003</v>
      </c>
      <c r="GZ81">
        <v>12.083299999999999</v>
      </c>
      <c r="HA81">
        <v>1</v>
      </c>
      <c r="HB81">
        <v>0.37905499999999998</v>
      </c>
      <c r="HC81">
        <v>3.4009</v>
      </c>
      <c r="HD81">
        <v>20.2715</v>
      </c>
      <c r="HE81">
        <v>5.2059100000000003</v>
      </c>
      <c r="HF81">
        <v>11.935700000000001</v>
      </c>
      <c r="HG81">
        <v>4.9878</v>
      </c>
      <c r="HH81">
        <v>3.2909999999999999</v>
      </c>
      <c r="HI81">
        <v>9999</v>
      </c>
      <c r="HJ81">
        <v>9999</v>
      </c>
      <c r="HK81">
        <v>9999</v>
      </c>
      <c r="HL81">
        <v>999.9</v>
      </c>
      <c r="HM81">
        <v>1.86981</v>
      </c>
      <c r="HN81">
        <v>1.87619</v>
      </c>
      <c r="HO81">
        <v>1.8739300000000001</v>
      </c>
      <c r="HP81">
        <v>1.87222</v>
      </c>
      <c r="HQ81">
        <v>1.87259</v>
      </c>
      <c r="HR81">
        <v>1.86999</v>
      </c>
      <c r="HS81">
        <v>1.87592</v>
      </c>
      <c r="HT81">
        <v>1.875</v>
      </c>
      <c r="HU81">
        <v>5</v>
      </c>
      <c r="HV81">
        <v>0</v>
      </c>
      <c r="HW81">
        <v>0</v>
      </c>
      <c r="HX81">
        <v>0</v>
      </c>
      <c r="HY81" t="s">
        <v>423</v>
      </c>
      <c r="HZ81" t="s">
        <v>424</v>
      </c>
      <c r="IA81" t="s">
        <v>425</v>
      </c>
      <c r="IB81" t="s">
        <v>425</v>
      </c>
      <c r="IC81" t="s">
        <v>425</v>
      </c>
      <c r="ID81" t="s">
        <v>425</v>
      </c>
      <c r="IE81">
        <v>0</v>
      </c>
      <c r="IF81">
        <v>100</v>
      </c>
      <c r="IG81">
        <v>100</v>
      </c>
      <c r="IH81">
        <v>-2.31</v>
      </c>
      <c r="II81">
        <v>0.36059999999999998</v>
      </c>
      <c r="IJ81">
        <v>-1.5803750855278831</v>
      </c>
      <c r="IK81">
        <v>-2.677719669153116E-3</v>
      </c>
      <c r="IL81">
        <v>1.9353498771248068E-6</v>
      </c>
      <c r="IM81">
        <v>-6.1862177325538213E-10</v>
      </c>
      <c r="IN81">
        <v>-0.23092383023096491</v>
      </c>
      <c r="IO81">
        <v>-1.5299015507423901E-2</v>
      </c>
      <c r="IP81">
        <v>1.742162107778985E-3</v>
      </c>
      <c r="IQ81">
        <v>-1.472690239905804E-5</v>
      </c>
      <c r="IR81">
        <v>3</v>
      </c>
      <c r="IS81">
        <v>2255</v>
      </c>
      <c r="IT81">
        <v>2</v>
      </c>
      <c r="IU81">
        <v>41</v>
      </c>
      <c r="IV81">
        <v>0.5</v>
      </c>
      <c r="IW81">
        <v>0.5</v>
      </c>
      <c r="IX81">
        <v>0.95703099999999997</v>
      </c>
      <c r="IY81">
        <v>2.5061</v>
      </c>
      <c r="IZ81">
        <v>1.5991200000000001</v>
      </c>
      <c r="JA81">
        <v>2.2717299999999998</v>
      </c>
      <c r="JB81">
        <v>1.5502899999999999</v>
      </c>
      <c r="JC81">
        <v>2.21069</v>
      </c>
      <c r="JD81">
        <v>36.292900000000003</v>
      </c>
      <c r="JE81">
        <v>15.7781</v>
      </c>
      <c r="JF81">
        <v>18</v>
      </c>
      <c r="JG81">
        <v>505.39</v>
      </c>
      <c r="JH81">
        <v>505.45299999999997</v>
      </c>
      <c r="JI81">
        <v>24.3461</v>
      </c>
      <c r="JJ81">
        <v>32.273699999999998</v>
      </c>
      <c r="JK81">
        <v>30.0002</v>
      </c>
      <c r="JL81">
        <v>32.163800000000002</v>
      </c>
      <c r="JM81">
        <v>32.1188</v>
      </c>
      <c r="JN81">
        <v>19.188600000000001</v>
      </c>
      <c r="JO81">
        <v>32.340600000000002</v>
      </c>
      <c r="JP81">
        <v>66.972999999999999</v>
      </c>
      <c r="JQ81">
        <v>24.413499999999999</v>
      </c>
      <c r="JR81">
        <v>400</v>
      </c>
      <c r="JS81">
        <v>20.802</v>
      </c>
      <c r="JT81">
        <v>99.120800000000003</v>
      </c>
      <c r="JU81">
        <v>98.539299999999997</v>
      </c>
    </row>
    <row r="82" spans="1:281" x14ac:dyDescent="0.25">
      <c r="A82">
        <v>66</v>
      </c>
      <c r="B82">
        <v>1693509245.5</v>
      </c>
      <c r="C82">
        <v>15265.900000095369</v>
      </c>
      <c r="D82" t="s">
        <v>751</v>
      </c>
      <c r="E82" t="s">
        <v>752</v>
      </c>
      <c r="F82" t="s">
        <v>413</v>
      </c>
      <c r="G82" t="s">
        <v>414</v>
      </c>
      <c r="H82" t="s">
        <v>707</v>
      </c>
      <c r="I82" t="s">
        <v>416</v>
      </c>
      <c r="J82">
        <v>1693509245.5</v>
      </c>
      <c r="K82">
        <f t="shared" si="92"/>
        <v>5.7523432019518693E-3</v>
      </c>
      <c r="L82">
        <f t="shared" si="93"/>
        <v>5.7523432019518692</v>
      </c>
      <c r="M82">
        <f t="shared" si="94"/>
        <v>41.172489914818449</v>
      </c>
      <c r="N82">
        <f t="shared" si="95"/>
        <v>447.565</v>
      </c>
      <c r="O82">
        <f t="shared" si="96"/>
        <v>262.53801920035539</v>
      </c>
      <c r="P82">
        <f t="shared" si="97"/>
        <v>26.14903874885383</v>
      </c>
      <c r="Q82">
        <f t="shared" si="98"/>
        <v>44.577903662399997</v>
      </c>
      <c r="R82">
        <f t="shared" si="99"/>
        <v>0.3977560886927558</v>
      </c>
      <c r="S82">
        <f t="shared" si="100"/>
        <v>2.9242728748306597</v>
      </c>
      <c r="T82">
        <f t="shared" si="101"/>
        <v>0.36995912674237746</v>
      </c>
      <c r="U82">
        <f t="shared" si="102"/>
        <v>0.23355981849590227</v>
      </c>
      <c r="V82">
        <f t="shared" si="103"/>
        <v>344.34850065820712</v>
      </c>
      <c r="W82">
        <f t="shared" si="104"/>
        <v>30.441318131739902</v>
      </c>
      <c r="X82">
        <f t="shared" si="105"/>
        <v>30.0061</v>
      </c>
      <c r="Y82">
        <f t="shared" si="106"/>
        <v>4.2619427724878678</v>
      </c>
      <c r="Z82">
        <f t="shared" si="107"/>
        <v>65.317120717631184</v>
      </c>
      <c r="AA82">
        <f t="shared" si="108"/>
        <v>2.7679405586879997</v>
      </c>
      <c r="AB82">
        <f t="shared" si="109"/>
        <v>4.2376953060345848</v>
      </c>
      <c r="AC82">
        <f t="shared" si="110"/>
        <v>1.4940022137998681</v>
      </c>
      <c r="AD82">
        <f t="shared" si="111"/>
        <v>-253.67833520607743</v>
      </c>
      <c r="AE82">
        <f t="shared" si="112"/>
        <v>-15.654982543327463</v>
      </c>
      <c r="AF82">
        <f t="shared" si="113"/>
        <v>-1.1898343995837644</v>
      </c>
      <c r="AG82">
        <f t="shared" si="114"/>
        <v>73.825348509218429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52208.084175559474</v>
      </c>
      <c r="AM82" t="s">
        <v>417</v>
      </c>
      <c r="AN82">
        <v>10238.9</v>
      </c>
      <c r="AO82">
        <v>302.21199999999999</v>
      </c>
      <c r="AP82">
        <v>4052.3</v>
      </c>
      <c r="AQ82">
        <f t="shared" si="118"/>
        <v>0.92542210596451402</v>
      </c>
      <c r="AR82">
        <v>-0.32343011824092421</v>
      </c>
      <c r="AS82" t="s">
        <v>753</v>
      </c>
      <c r="AT82">
        <v>10471.299999999999</v>
      </c>
      <c r="AU82">
        <v>817.08012000000008</v>
      </c>
      <c r="AV82">
        <v>1142.9907016393561</v>
      </c>
      <c r="AW82">
        <f t="shared" si="119"/>
        <v>0.28513843653488391</v>
      </c>
      <c r="AX82">
        <v>0.5</v>
      </c>
      <c r="AY82">
        <f t="shared" si="120"/>
        <v>1513.0923003291036</v>
      </c>
      <c r="AZ82">
        <f t="shared" si="121"/>
        <v>41.172489914818449</v>
      </c>
      <c r="BA82">
        <f t="shared" si="122"/>
        <v>215.7203864244058</v>
      </c>
      <c r="BB82">
        <f t="shared" si="123"/>
        <v>2.74245794681751E-2</v>
      </c>
      <c r="BC82">
        <f t="shared" si="124"/>
        <v>2.5453481766631274</v>
      </c>
      <c r="BD82">
        <f t="shared" si="125"/>
        <v>253.9966520527415</v>
      </c>
      <c r="BE82" t="s">
        <v>754</v>
      </c>
      <c r="BF82">
        <v>629.21</v>
      </c>
      <c r="BG82">
        <f t="shared" si="126"/>
        <v>629.21</v>
      </c>
      <c r="BH82">
        <f t="shared" si="127"/>
        <v>0.44950558294346254</v>
      </c>
      <c r="BI82">
        <f t="shared" si="128"/>
        <v>0.63433792004925504</v>
      </c>
      <c r="BJ82">
        <f t="shared" si="129"/>
        <v>0.84990733470654989</v>
      </c>
      <c r="BK82">
        <f t="shared" si="130"/>
        <v>0.38762944518443831</v>
      </c>
      <c r="BL82">
        <f t="shared" si="131"/>
        <v>0.77579760751231541</v>
      </c>
      <c r="BM82">
        <f t="shared" si="132"/>
        <v>0.48848546538397208</v>
      </c>
      <c r="BN82">
        <f t="shared" si="133"/>
        <v>0.51151453461602792</v>
      </c>
      <c r="BO82">
        <v>5818</v>
      </c>
      <c r="BP82">
        <v>290.00000000000011</v>
      </c>
      <c r="BQ82">
        <v>1057.3499999999999</v>
      </c>
      <c r="BR82">
        <v>155</v>
      </c>
      <c r="BS82">
        <v>10471.299999999999</v>
      </c>
      <c r="BT82">
        <v>1052.4100000000001</v>
      </c>
      <c r="BU82">
        <v>4.9400000000000004</v>
      </c>
      <c r="BV82">
        <v>300.00000000000011</v>
      </c>
      <c r="BW82">
        <v>38.299999999999997</v>
      </c>
      <c r="BX82">
        <v>1142.9907016393561</v>
      </c>
      <c r="BY82">
        <v>1.502005633789939</v>
      </c>
      <c r="BZ82">
        <v>-94.844728042404867</v>
      </c>
      <c r="CA82">
        <v>1.2862551355796561</v>
      </c>
      <c r="CB82">
        <v>0.99487663713524965</v>
      </c>
      <c r="CC82">
        <v>-1.135546184649612E-2</v>
      </c>
      <c r="CD82">
        <v>289.99999999999989</v>
      </c>
      <c r="CE82">
        <v>1044.8699999999999</v>
      </c>
      <c r="CF82">
        <v>735</v>
      </c>
      <c r="CG82">
        <v>10428.299999999999</v>
      </c>
      <c r="CH82">
        <v>1052.04</v>
      </c>
      <c r="CI82">
        <v>-7.17</v>
      </c>
      <c r="CW82">
        <f t="shared" si="134"/>
        <v>1799.89</v>
      </c>
      <c r="CX82">
        <f t="shared" si="135"/>
        <v>1513.0923003291036</v>
      </c>
      <c r="CY82">
        <f t="shared" si="136"/>
        <v>0.84065820707326755</v>
      </c>
      <c r="CZ82">
        <f t="shared" si="137"/>
        <v>0.19131641414653511</v>
      </c>
      <c r="DA82">
        <v>6</v>
      </c>
      <c r="DB82">
        <v>0.5</v>
      </c>
      <c r="DC82" t="s">
        <v>420</v>
      </c>
      <c r="DD82">
        <v>2</v>
      </c>
      <c r="DE82">
        <v>1693509245.5</v>
      </c>
      <c r="DF82">
        <v>447.565</v>
      </c>
      <c r="DG82">
        <v>500.03500000000003</v>
      </c>
      <c r="DH82">
        <v>27.790299999999998</v>
      </c>
      <c r="DI82">
        <v>21.082699999999999</v>
      </c>
      <c r="DJ82">
        <v>449.97500000000002</v>
      </c>
      <c r="DK82">
        <v>27.4345</v>
      </c>
      <c r="DL82">
        <v>500.25200000000001</v>
      </c>
      <c r="DM82">
        <v>99.500500000000002</v>
      </c>
      <c r="DN82">
        <v>0.10045999999999999</v>
      </c>
      <c r="DO82">
        <v>29.9068</v>
      </c>
      <c r="DP82">
        <v>30.0061</v>
      </c>
      <c r="DQ82">
        <v>999.9</v>
      </c>
      <c r="DR82">
        <v>0</v>
      </c>
      <c r="DS82">
        <v>0</v>
      </c>
      <c r="DT82">
        <v>10020</v>
      </c>
      <c r="DU82">
        <v>0</v>
      </c>
      <c r="DV82">
        <v>1418.51</v>
      </c>
      <c r="DW82">
        <v>-52.470599999999997</v>
      </c>
      <c r="DX82">
        <v>460.358</v>
      </c>
      <c r="DY82">
        <v>510.80399999999997</v>
      </c>
      <c r="DZ82">
        <v>6.7076000000000002</v>
      </c>
      <c r="EA82">
        <v>500.03500000000003</v>
      </c>
      <c r="EB82">
        <v>21.082699999999999</v>
      </c>
      <c r="EC82">
        <v>2.7651500000000002</v>
      </c>
      <c r="ED82">
        <v>2.0977399999999999</v>
      </c>
      <c r="EE82">
        <v>22.677499999999998</v>
      </c>
      <c r="EF82">
        <v>18.202100000000002</v>
      </c>
      <c r="EG82">
        <v>1799.89</v>
      </c>
      <c r="EH82">
        <v>0.97799999999999998</v>
      </c>
      <c r="EI82">
        <v>2.20003E-2</v>
      </c>
      <c r="EJ82">
        <v>0</v>
      </c>
      <c r="EK82">
        <v>817.149</v>
      </c>
      <c r="EL82">
        <v>4.9995000000000003</v>
      </c>
      <c r="EM82">
        <v>16624.099999999999</v>
      </c>
      <c r="EN82">
        <v>16658.8</v>
      </c>
      <c r="EO82">
        <v>46.75</v>
      </c>
      <c r="EP82">
        <v>48.75</v>
      </c>
      <c r="EQ82">
        <v>47.936999999999998</v>
      </c>
      <c r="ER82">
        <v>47.311999999999998</v>
      </c>
      <c r="ES82">
        <v>48.061999999999998</v>
      </c>
      <c r="ET82">
        <v>1755.4</v>
      </c>
      <c r="EU82">
        <v>39.49</v>
      </c>
      <c r="EV82">
        <v>0</v>
      </c>
      <c r="EW82">
        <v>104.5999999046326</v>
      </c>
      <c r="EX82">
        <v>0</v>
      </c>
      <c r="EY82">
        <v>817.08012000000008</v>
      </c>
      <c r="EZ82">
        <v>2.736230779195806</v>
      </c>
      <c r="FA82">
        <v>41.446153031386316</v>
      </c>
      <c r="FB82">
        <v>16651.448</v>
      </c>
      <c r="FC82">
        <v>15</v>
      </c>
      <c r="FD82">
        <v>1693509215.5</v>
      </c>
      <c r="FE82" t="s">
        <v>755</v>
      </c>
      <c r="FF82">
        <v>1693509212</v>
      </c>
      <c r="FG82">
        <v>1693509215.5</v>
      </c>
      <c r="FH82">
        <v>75</v>
      </c>
      <c r="FI82">
        <v>3.9E-2</v>
      </c>
      <c r="FJ82">
        <v>-1E-3</v>
      </c>
      <c r="FK82">
        <v>-2.4769999999999999</v>
      </c>
      <c r="FL82">
        <v>6.3E-2</v>
      </c>
      <c r="FM82">
        <v>500</v>
      </c>
      <c r="FN82">
        <v>21</v>
      </c>
      <c r="FO82">
        <v>0.11</v>
      </c>
      <c r="FP82">
        <v>0.02</v>
      </c>
      <c r="FQ82">
        <v>41.16035279171296</v>
      </c>
      <c r="FR82">
        <v>-0.27629971753190702</v>
      </c>
      <c r="FS82">
        <v>9.3196334233600409E-2</v>
      </c>
      <c r="FT82">
        <v>1</v>
      </c>
      <c r="FU82">
        <v>0.39960592987666371</v>
      </c>
      <c r="FV82">
        <v>3.2271067083093373E-2</v>
      </c>
      <c r="FW82">
        <v>3.178205739261775E-3</v>
      </c>
      <c r="FX82">
        <v>1</v>
      </c>
      <c r="FY82">
        <v>2</v>
      </c>
      <c r="FZ82">
        <v>2</v>
      </c>
      <c r="GA82" t="s">
        <v>422</v>
      </c>
      <c r="GB82">
        <v>2.9699499999999999</v>
      </c>
      <c r="GC82">
        <v>2.8123300000000002</v>
      </c>
      <c r="GD82">
        <v>0.106029</v>
      </c>
      <c r="GE82">
        <v>0.113424</v>
      </c>
      <c r="GF82">
        <v>0.132248</v>
      </c>
      <c r="GG82">
        <v>0.108419</v>
      </c>
      <c r="GH82">
        <v>26402.400000000001</v>
      </c>
      <c r="GI82">
        <v>24090.5</v>
      </c>
      <c r="GJ82">
        <v>26547.9</v>
      </c>
      <c r="GK82">
        <v>25640.400000000001</v>
      </c>
      <c r="GL82">
        <v>31344.9</v>
      </c>
      <c r="GM82">
        <v>32207.200000000001</v>
      </c>
      <c r="GN82">
        <v>37584.300000000003</v>
      </c>
      <c r="GO82">
        <v>37937.699999999997</v>
      </c>
      <c r="GP82">
        <v>1.9596</v>
      </c>
      <c r="GQ82">
        <v>2.0083000000000002</v>
      </c>
      <c r="GR82">
        <v>2.6076999999999999E-2</v>
      </c>
      <c r="GS82">
        <v>0</v>
      </c>
      <c r="GT82">
        <v>29.581600000000002</v>
      </c>
      <c r="GU82">
        <v>999.9</v>
      </c>
      <c r="GV82">
        <v>55.4</v>
      </c>
      <c r="GW82">
        <v>32.4</v>
      </c>
      <c r="GX82">
        <v>27.197500000000002</v>
      </c>
      <c r="GY82">
        <v>61.573500000000003</v>
      </c>
      <c r="GZ82">
        <v>11.650600000000001</v>
      </c>
      <c r="HA82">
        <v>1</v>
      </c>
      <c r="HB82">
        <v>0.37716499999999997</v>
      </c>
      <c r="HC82">
        <v>3.1111200000000001</v>
      </c>
      <c r="HD82">
        <v>20.2773</v>
      </c>
      <c r="HE82">
        <v>5.2095000000000002</v>
      </c>
      <c r="HF82">
        <v>11.9375</v>
      </c>
      <c r="HG82">
        <v>4.9874000000000001</v>
      </c>
      <c r="HH82">
        <v>3.2909999999999999</v>
      </c>
      <c r="HI82">
        <v>9999</v>
      </c>
      <c r="HJ82">
        <v>9999</v>
      </c>
      <c r="HK82">
        <v>9999</v>
      </c>
      <c r="HL82">
        <v>999.9</v>
      </c>
      <c r="HM82">
        <v>1.86981</v>
      </c>
      <c r="HN82">
        <v>1.87622</v>
      </c>
      <c r="HO82">
        <v>1.8739300000000001</v>
      </c>
      <c r="HP82">
        <v>1.8721000000000001</v>
      </c>
      <c r="HQ82">
        <v>1.87256</v>
      </c>
      <c r="HR82">
        <v>1.86998</v>
      </c>
      <c r="HS82">
        <v>1.87592</v>
      </c>
      <c r="HT82">
        <v>1.875</v>
      </c>
      <c r="HU82">
        <v>5</v>
      </c>
      <c r="HV82">
        <v>0</v>
      </c>
      <c r="HW82">
        <v>0</v>
      </c>
      <c r="HX82">
        <v>0</v>
      </c>
      <c r="HY82" t="s">
        <v>423</v>
      </c>
      <c r="HZ82" t="s">
        <v>424</v>
      </c>
      <c r="IA82" t="s">
        <v>425</v>
      </c>
      <c r="IB82" t="s">
        <v>425</v>
      </c>
      <c r="IC82" t="s">
        <v>425</v>
      </c>
      <c r="ID82" t="s">
        <v>425</v>
      </c>
      <c r="IE82">
        <v>0</v>
      </c>
      <c r="IF82">
        <v>100</v>
      </c>
      <c r="IG82">
        <v>100</v>
      </c>
      <c r="IH82">
        <v>-2.41</v>
      </c>
      <c r="II82">
        <v>0.35580000000000001</v>
      </c>
      <c r="IJ82">
        <v>-1.5411677447541221</v>
      </c>
      <c r="IK82">
        <v>-2.677719669153116E-3</v>
      </c>
      <c r="IL82">
        <v>1.9353498771248068E-6</v>
      </c>
      <c r="IM82">
        <v>-6.1862177325538213E-10</v>
      </c>
      <c r="IN82">
        <v>-0.23153870566560009</v>
      </c>
      <c r="IO82">
        <v>-1.5299015507423901E-2</v>
      </c>
      <c r="IP82">
        <v>1.742162107778985E-3</v>
      </c>
      <c r="IQ82">
        <v>-1.472690239905804E-5</v>
      </c>
      <c r="IR82">
        <v>3</v>
      </c>
      <c r="IS82">
        <v>2255</v>
      </c>
      <c r="IT82">
        <v>2</v>
      </c>
      <c r="IU82">
        <v>41</v>
      </c>
      <c r="IV82">
        <v>0.6</v>
      </c>
      <c r="IW82">
        <v>0.5</v>
      </c>
      <c r="IX82">
        <v>1.1425799999999999</v>
      </c>
      <c r="IY82">
        <v>2.4939</v>
      </c>
      <c r="IZ82">
        <v>1.5991200000000001</v>
      </c>
      <c r="JA82">
        <v>2.2705099999999998</v>
      </c>
      <c r="JB82">
        <v>1.5502899999999999</v>
      </c>
      <c r="JC82">
        <v>2.4182100000000002</v>
      </c>
      <c r="JD82">
        <v>36.316499999999998</v>
      </c>
      <c r="JE82">
        <v>15.769399999999999</v>
      </c>
      <c r="JF82">
        <v>18</v>
      </c>
      <c r="JG82">
        <v>505.39699999999999</v>
      </c>
      <c r="JH82">
        <v>505.81900000000002</v>
      </c>
      <c r="JI82">
        <v>24.665400000000002</v>
      </c>
      <c r="JJ82">
        <v>32.273699999999998</v>
      </c>
      <c r="JK82">
        <v>30.0002</v>
      </c>
      <c r="JL82">
        <v>32.180799999999998</v>
      </c>
      <c r="JM82">
        <v>32.138500000000001</v>
      </c>
      <c r="JN82">
        <v>22.901800000000001</v>
      </c>
      <c r="JO82">
        <v>30.972999999999999</v>
      </c>
      <c r="JP82">
        <v>65.994299999999996</v>
      </c>
      <c r="JQ82">
        <v>24.668800000000001</v>
      </c>
      <c r="JR82">
        <v>500</v>
      </c>
      <c r="JS82">
        <v>21.032900000000001</v>
      </c>
      <c r="JT82">
        <v>99.122399999999999</v>
      </c>
      <c r="JU82">
        <v>98.548000000000002</v>
      </c>
    </row>
    <row r="83" spans="1:281" x14ac:dyDescent="0.25">
      <c r="A83">
        <v>67</v>
      </c>
      <c r="B83">
        <v>1693509353</v>
      </c>
      <c r="C83">
        <v>15373.400000095369</v>
      </c>
      <c r="D83" t="s">
        <v>756</v>
      </c>
      <c r="E83" t="s">
        <v>757</v>
      </c>
      <c r="F83" t="s">
        <v>413</v>
      </c>
      <c r="G83" t="s">
        <v>414</v>
      </c>
      <c r="H83" t="s">
        <v>707</v>
      </c>
      <c r="I83" t="s">
        <v>416</v>
      </c>
      <c r="J83">
        <v>1693509353</v>
      </c>
      <c r="K83">
        <f t="shared" si="92"/>
        <v>5.3914684630821256E-3</v>
      </c>
      <c r="L83">
        <f t="shared" si="93"/>
        <v>5.3914684630821252</v>
      </c>
      <c r="M83">
        <f t="shared" si="94"/>
        <v>41.345712538814546</v>
      </c>
      <c r="N83">
        <f t="shared" si="95"/>
        <v>646.31600000000003</v>
      </c>
      <c r="O83">
        <f t="shared" si="96"/>
        <v>442.32609146152276</v>
      </c>
      <c r="P83">
        <f t="shared" si="97"/>
        <v>44.053131840165641</v>
      </c>
      <c r="Q83">
        <f t="shared" si="98"/>
        <v>64.369352177103593</v>
      </c>
      <c r="R83">
        <f t="shared" si="99"/>
        <v>0.36798603111179373</v>
      </c>
      <c r="S83">
        <f t="shared" si="100"/>
        <v>2.9276663662454325</v>
      </c>
      <c r="T83">
        <f t="shared" si="101"/>
        <v>0.34408590092909841</v>
      </c>
      <c r="U83">
        <f t="shared" si="102"/>
        <v>0.21707153362594658</v>
      </c>
      <c r="V83">
        <f t="shared" si="103"/>
        <v>344.35040065820345</v>
      </c>
      <c r="W83">
        <f t="shared" si="104"/>
        <v>30.508583225482322</v>
      </c>
      <c r="X83">
        <f t="shared" si="105"/>
        <v>30.030799999999999</v>
      </c>
      <c r="Y83">
        <f t="shared" si="106"/>
        <v>4.2679928610934397</v>
      </c>
      <c r="Z83">
        <f t="shared" si="107"/>
        <v>65.286693994901128</v>
      </c>
      <c r="AA83">
        <f t="shared" si="108"/>
        <v>2.7625351279455894</v>
      </c>
      <c r="AB83">
        <f t="shared" si="109"/>
        <v>4.231390745810077</v>
      </c>
      <c r="AC83">
        <f t="shared" si="110"/>
        <v>1.5054577331478503</v>
      </c>
      <c r="AD83">
        <f t="shared" si="111"/>
        <v>-237.76375922192173</v>
      </c>
      <c r="AE83">
        <f t="shared" si="112"/>
        <v>-23.659668735639677</v>
      </c>
      <c r="AF83">
        <f t="shared" si="113"/>
        <v>-1.7961240980015403</v>
      </c>
      <c r="AG83">
        <f t="shared" si="114"/>
        <v>81.130848602640498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52309.377022464454</v>
      </c>
      <c r="AM83" t="s">
        <v>417</v>
      </c>
      <c r="AN83">
        <v>10238.9</v>
      </c>
      <c r="AO83">
        <v>302.21199999999999</v>
      </c>
      <c r="AP83">
        <v>4052.3</v>
      </c>
      <c r="AQ83">
        <f t="shared" si="118"/>
        <v>0.92542210596451402</v>
      </c>
      <c r="AR83">
        <v>-0.32343011824092421</v>
      </c>
      <c r="AS83" t="s">
        <v>758</v>
      </c>
      <c r="AT83">
        <v>10471.4</v>
      </c>
      <c r="AU83">
        <v>817.97719230769223</v>
      </c>
      <c r="AV83">
        <v>1153.2962057548971</v>
      </c>
      <c r="AW83">
        <f t="shared" si="119"/>
        <v>0.29074838863942998</v>
      </c>
      <c r="AX83">
        <v>0.5</v>
      </c>
      <c r="AY83">
        <f t="shared" si="120"/>
        <v>1513.1007003291018</v>
      </c>
      <c r="AZ83">
        <f t="shared" si="121"/>
        <v>41.345712538814546</v>
      </c>
      <c r="BA83">
        <f t="shared" si="122"/>
        <v>219.96579523493966</v>
      </c>
      <c r="BB83">
        <f t="shared" si="123"/>
        <v>2.7538909107630682E-2</v>
      </c>
      <c r="BC83">
        <f t="shared" si="124"/>
        <v>2.5136680236865452</v>
      </c>
      <c r="BD83">
        <f t="shared" si="125"/>
        <v>254.50201675027088</v>
      </c>
      <c r="BE83" t="s">
        <v>759</v>
      </c>
      <c r="BF83">
        <v>629.02</v>
      </c>
      <c r="BG83">
        <f t="shared" si="126"/>
        <v>629.02</v>
      </c>
      <c r="BH83">
        <f t="shared" si="127"/>
        <v>0.45458937880726735</v>
      </c>
      <c r="BI83">
        <f t="shared" si="128"/>
        <v>0.63958464978280727</v>
      </c>
      <c r="BJ83">
        <f t="shared" si="129"/>
        <v>0.84684974476090269</v>
      </c>
      <c r="BK83">
        <f t="shared" si="130"/>
        <v>0.39399040797588603</v>
      </c>
      <c r="BL83">
        <f t="shared" si="131"/>
        <v>0.77304953756954586</v>
      </c>
      <c r="BM83">
        <f t="shared" si="132"/>
        <v>0.49183710767212563</v>
      </c>
      <c r="BN83">
        <f t="shared" si="133"/>
        <v>0.50816289232787437</v>
      </c>
      <c r="BO83">
        <v>5820</v>
      </c>
      <c r="BP83">
        <v>290.00000000000011</v>
      </c>
      <c r="BQ83">
        <v>1063.5</v>
      </c>
      <c r="BR83">
        <v>155</v>
      </c>
      <c r="BS83">
        <v>10471.4</v>
      </c>
      <c r="BT83">
        <v>1058.69</v>
      </c>
      <c r="BU83">
        <v>4.8099999999999996</v>
      </c>
      <c r="BV83">
        <v>300.00000000000011</v>
      </c>
      <c r="BW83">
        <v>38.299999999999997</v>
      </c>
      <c r="BX83">
        <v>1153.2962057548971</v>
      </c>
      <c r="BY83">
        <v>1.525803914455881</v>
      </c>
      <c r="BZ83">
        <v>-99.062575168691183</v>
      </c>
      <c r="CA83">
        <v>1.306644160796723</v>
      </c>
      <c r="CB83">
        <v>0.99515221908907037</v>
      </c>
      <c r="CC83">
        <v>-1.135552080088989E-2</v>
      </c>
      <c r="CD83">
        <v>289.99999999999989</v>
      </c>
      <c r="CE83">
        <v>1051.02</v>
      </c>
      <c r="CF83">
        <v>715</v>
      </c>
      <c r="CG83">
        <v>10430</v>
      </c>
      <c r="CH83">
        <v>1058.32</v>
      </c>
      <c r="CI83">
        <v>-7.3</v>
      </c>
      <c r="CW83">
        <f t="shared" si="134"/>
        <v>1799.9</v>
      </c>
      <c r="CX83">
        <f t="shared" si="135"/>
        <v>1513.1007003291018</v>
      </c>
      <c r="CY83">
        <f t="shared" si="136"/>
        <v>0.84065820341635744</v>
      </c>
      <c r="CZ83">
        <f t="shared" si="137"/>
        <v>0.19131640683271484</v>
      </c>
      <c r="DA83">
        <v>6</v>
      </c>
      <c r="DB83">
        <v>0.5</v>
      </c>
      <c r="DC83" t="s">
        <v>420</v>
      </c>
      <c r="DD83">
        <v>2</v>
      </c>
      <c r="DE83">
        <v>1693509353</v>
      </c>
      <c r="DF83">
        <v>646.31600000000003</v>
      </c>
      <c r="DG83">
        <v>700.06700000000001</v>
      </c>
      <c r="DH83">
        <v>27.7379</v>
      </c>
      <c r="DI83">
        <v>21.4529</v>
      </c>
      <c r="DJ83">
        <v>648.81700000000001</v>
      </c>
      <c r="DK83">
        <v>27.3871</v>
      </c>
      <c r="DL83">
        <v>500.42200000000003</v>
      </c>
      <c r="DM83">
        <v>99.494699999999995</v>
      </c>
      <c r="DN83">
        <v>9.9542099999999994E-2</v>
      </c>
      <c r="DO83">
        <v>29.8809</v>
      </c>
      <c r="DP83">
        <v>30.030799999999999</v>
      </c>
      <c r="DQ83">
        <v>999.9</v>
      </c>
      <c r="DR83">
        <v>0</v>
      </c>
      <c r="DS83">
        <v>0</v>
      </c>
      <c r="DT83">
        <v>10040</v>
      </c>
      <c r="DU83">
        <v>0</v>
      </c>
      <c r="DV83">
        <v>1410.99</v>
      </c>
      <c r="DW83">
        <v>-53.751199999999997</v>
      </c>
      <c r="DX83">
        <v>664.755</v>
      </c>
      <c r="DY83">
        <v>715.41499999999996</v>
      </c>
      <c r="DZ83">
        <v>6.2850099999999998</v>
      </c>
      <c r="EA83">
        <v>700.06700000000001</v>
      </c>
      <c r="EB83">
        <v>21.4529</v>
      </c>
      <c r="EC83">
        <v>2.7597800000000001</v>
      </c>
      <c r="ED83">
        <v>2.1344500000000002</v>
      </c>
      <c r="EE83">
        <v>22.645499999999998</v>
      </c>
      <c r="EF83">
        <v>18.4786</v>
      </c>
      <c r="EG83">
        <v>1799.9</v>
      </c>
      <c r="EH83">
        <v>0.97799999999999998</v>
      </c>
      <c r="EI83">
        <v>2.20003E-2</v>
      </c>
      <c r="EJ83">
        <v>0</v>
      </c>
      <c r="EK83">
        <v>817.904</v>
      </c>
      <c r="EL83">
        <v>4.9995000000000003</v>
      </c>
      <c r="EM83">
        <v>16725.5</v>
      </c>
      <c r="EN83">
        <v>16658.900000000001</v>
      </c>
      <c r="EO83">
        <v>46.75</v>
      </c>
      <c r="EP83">
        <v>48.686999999999998</v>
      </c>
      <c r="EQ83">
        <v>47.875</v>
      </c>
      <c r="ER83">
        <v>47.25</v>
      </c>
      <c r="ES83">
        <v>48</v>
      </c>
      <c r="ET83">
        <v>1755.41</v>
      </c>
      <c r="EU83">
        <v>39.49</v>
      </c>
      <c r="EV83">
        <v>0</v>
      </c>
      <c r="EW83">
        <v>105.7999999523163</v>
      </c>
      <c r="EX83">
        <v>0</v>
      </c>
      <c r="EY83">
        <v>817.97719230769223</v>
      </c>
      <c r="EZ83">
        <v>-2.405641021005128</v>
      </c>
      <c r="FA83">
        <v>-78.991453282150545</v>
      </c>
      <c r="FB83">
        <v>16717.90384615384</v>
      </c>
      <c r="FC83">
        <v>15</v>
      </c>
      <c r="FD83">
        <v>1693509324</v>
      </c>
      <c r="FE83" t="s">
        <v>760</v>
      </c>
      <c r="FF83">
        <v>1693509324</v>
      </c>
      <c r="FG83">
        <v>1693509318.5</v>
      </c>
      <c r="FH83">
        <v>76</v>
      </c>
      <c r="FI83">
        <v>0.13200000000000001</v>
      </c>
      <c r="FJ83">
        <v>-3.0000000000000001E-3</v>
      </c>
      <c r="FK83">
        <v>-2.5499999999999998</v>
      </c>
      <c r="FL83">
        <v>7.1999999999999995E-2</v>
      </c>
      <c r="FM83">
        <v>700</v>
      </c>
      <c r="FN83">
        <v>21</v>
      </c>
      <c r="FO83">
        <v>0.15</v>
      </c>
      <c r="FP83">
        <v>0.03</v>
      </c>
      <c r="FQ83">
        <v>41.457012016149953</v>
      </c>
      <c r="FR83">
        <v>-0.50625705573876878</v>
      </c>
      <c r="FS83">
        <v>0.13060240224509909</v>
      </c>
      <c r="FT83">
        <v>1</v>
      </c>
      <c r="FU83">
        <v>0.36130539159919728</v>
      </c>
      <c r="FV83">
        <v>4.6728903526508339E-2</v>
      </c>
      <c r="FW83">
        <v>4.0825179137632629E-3</v>
      </c>
      <c r="FX83">
        <v>1</v>
      </c>
      <c r="FY83">
        <v>2</v>
      </c>
      <c r="FZ83">
        <v>2</v>
      </c>
      <c r="GA83" t="s">
        <v>422</v>
      </c>
      <c r="GB83">
        <v>2.9704000000000002</v>
      </c>
      <c r="GC83">
        <v>2.8115899999999998</v>
      </c>
      <c r="GD83">
        <v>0.13825399999999999</v>
      </c>
      <c r="GE83">
        <v>0.144124</v>
      </c>
      <c r="GF83">
        <v>0.132077</v>
      </c>
      <c r="GG83">
        <v>0.109753</v>
      </c>
      <c r="GH83">
        <v>25450.5</v>
      </c>
      <c r="GI83">
        <v>23254.7</v>
      </c>
      <c r="GJ83">
        <v>26548.6</v>
      </c>
      <c r="GK83">
        <v>25639.599999999999</v>
      </c>
      <c r="GL83">
        <v>31353.7</v>
      </c>
      <c r="GM83">
        <v>32160.400000000001</v>
      </c>
      <c r="GN83">
        <v>37584.5</v>
      </c>
      <c r="GO83">
        <v>37936.800000000003</v>
      </c>
      <c r="GP83">
        <v>1.9587000000000001</v>
      </c>
      <c r="GQ83">
        <v>2.0099</v>
      </c>
      <c r="GR83">
        <v>3.01003E-2</v>
      </c>
      <c r="GS83">
        <v>0</v>
      </c>
      <c r="GT83">
        <v>29.540800000000001</v>
      </c>
      <c r="GU83">
        <v>999.9</v>
      </c>
      <c r="GV83">
        <v>55</v>
      </c>
      <c r="GW83">
        <v>32.5</v>
      </c>
      <c r="GX83">
        <v>27.150600000000001</v>
      </c>
      <c r="GY83">
        <v>61.243499999999997</v>
      </c>
      <c r="GZ83">
        <v>11.5304</v>
      </c>
      <c r="HA83">
        <v>1</v>
      </c>
      <c r="HB83">
        <v>0.37975599999999998</v>
      </c>
      <c r="HC83">
        <v>3.6126800000000001</v>
      </c>
      <c r="HD83">
        <v>20.267600000000002</v>
      </c>
      <c r="HE83">
        <v>5.2053099999999999</v>
      </c>
      <c r="HF83">
        <v>11.9339</v>
      </c>
      <c r="HG83">
        <v>4.9878</v>
      </c>
      <c r="HH83">
        <v>3.2909999999999999</v>
      </c>
      <c r="HI83">
        <v>9999</v>
      </c>
      <c r="HJ83">
        <v>9999</v>
      </c>
      <c r="HK83">
        <v>9999</v>
      </c>
      <c r="HL83">
        <v>999.9</v>
      </c>
      <c r="HM83">
        <v>1.86981</v>
      </c>
      <c r="HN83">
        <v>1.8762099999999999</v>
      </c>
      <c r="HO83">
        <v>1.8739300000000001</v>
      </c>
      <c r="HP83">
        <v>1.8721699999999999</v>
      </c>
      <c r="HQ83">
        <v>1.87259</v>
      </c>
      <c r="HR83">
        <v>1.8700699999999999</v>
      </c>
      <c r="HS83">
        <v>1.87592</v>
      </c>
      <c r="HT83">
        <v>1.875</v>
      </c>
      <c r="HU83">
        <v>5</v>
      </c>
      <c r="HV83">
        <v>0</v>
      </c>
      <c r="HW83">
        <v>0</v>
      </c>
      <c r="HX83">
        <v>0</v>
      </c>
      <c r="HY83" t="s">
        <v>423</v>
      </c>
      <c r="HZ83" t="s">
        <v>424</v>
      </c>
      <c r="IA83" t="s">
        <v>425</v>
      </c>
      <c r="IB83" t="s">
        <v>425</v>
      </c>
      <c r="IC83" t="s">
        <v>425</v>
      </c>
      <c r="ID83" t="s">
        <v>425</v>
      </c>
      <c r="IE83">
        <v>0</v>
      </c>
      <c r="IF83">
        <v>100</v>
      </c>
      <c r="IG83">
        <v>100</v>
      </c>
      <c r="IH83">
        <v>-2.5009999999999999</v>
      </c>
      <c r="II83">
        <v>0.3508</v>
      </c>
      <c r="IJ83">
        <v>-1.4092100320066061</v>
      </c>
      <c r="IK83">
        <v>-2.677719669153116E-3</v>
      </c>
      <c r="IL83">
        <v>1.9353498771248068E-6</v>
      </c>
      <c r="IM83">
        <v>-6.1862177325538213E-10</v>
      </c>
      <c r="IN83">
        <v>-0.23438075817255161</v>
      </c>
      <c r="IO83">
        <v>-1.5299015507423901E-2</v>
      </c>
      <c r="IP83">
        <v>1.742162107778985E-3</v>
      </c>
      <c r="IQ83">
        <v>-1.472690239905804E-5</v>
      </c>
      <c r="IR83">
        <v>3</v>
      </c>
      <c r="IS83">
        <v>2255</v>
      </c>
      <c r="IT83">
        <v>2</v>
      </c>
      <c r="IU83">
        <v>41</v>
      </c>
      <c r="IV83">
        <v>0.5</v>
      </c>
      <c r="IW83">
        <v>0.6</v>
      </c>
      <c r="IX83">
        <v>1.50024</v>
      </c>
      <c r="IY83">
        <v>2.49756</v>
      </c>
      <c r="IZ83">
        <v>1.6003400000000001</v>
      </c>
      <c r="JA83">
        <v>2.2705099999999998</v>
      </c>
      <c r="JB83">
        <v>1.5502899999999999</v>
      </c>
      <c r="JC83">
        <v>2.2619600000000002</v>
      </c>
      <c r="JD83">
        <v>36.340000000000003</v>
      </c>
      <c r="JE83">
        <v>15.7256</v>
      </c>
      <c r="JF83">
        <v>18</v>
      </c>
      <c r="JG83">
        <v>504.90300000000002</v>
      </c>
      <c r="JH83">
        <v>506.988</v>
      </c>
      <c r="JI83">
        <v>24.245799999999999</v>
      </c>
      <c r="JJ83">
        <v>32.270899999999997</v>
      </c>
      <c r="JK83">
        <v>30.000299999999999</v>
      </c>
      <c r="JL83">
        <v>32.191299999999998</v>
      </c>
      <c r="JM83">
        <v>32.149799999999999</v>
      </c>
      <c r="JN83">
        <v>30.028600000000001</v>
      </c>
      <c r="JO83">
        <v>29.406300000000002</v>
      </c>
      <c r="JP83">
        <v>65.418599999999998</v>
      </c>
      <c r="JQ83">
        <v>24.2179</v>
      </c>
      <c r="JR83">
        <v>700</v>
      </c>
      <c r="JS83">
        <v>21.5168</v>
      </c>
      <c r="JT83">
        <v>99.123699999999999</v>
      </c>
      <c r="JU83">
        <v>98.545299999999997</v>
      </c>
    </row>
    <row r="84" spans="1:281" x14ac:dyDescent="0.25">
      <c r="A84">
        <v>68</v>
      </c>
      <c r="B84">
        <v>1693509459</v>
      </c>
      <c r="C84">
        <v>15479.400000095369</v>
      </c>
      <c r="D84" t="s">
        <v>761</v>
      </c>
      <c r="E84" t="s">
        <v>762</v>
      </c>
      <c r="F84" t="s">
        <v>413</v>
      </c>
      <c r="G84" t="s">
        <v>414</v>
      </c>
      <c r="H84" t="s">
        <v>707</v>
      </c>
      <c r="I84" t="s">
        <v>416</v>
      </c>
      <c r="J84">
        <v>1693509459</v>
      </c>
      <c r="K84">
        <f t="shared" si="92"/>
        <v>5.0198856372099488E-3</v>
      </c>
      <c r="L84">
        <f t="shared" si="93"/>
        <v>5.0198856372099492</v>
      </c>
      <c r="M84">
        <f t="shared" si="94"/>
        <v>40.74627498180341</v>
      </c>
      <c r="N84">
        <f t="shared" si="95"/>
        <v>845.96400000000006</v>
      </c>
      <c r="O84">
        <f t="shared" si="96"/>
        <v>624.1091902276014</v>
      </c>
      <c r="P84">
        <f t="shared" si="97"/>
        <v>62.156866826582089</v>
      </c>
      <c r="Q84">
        <f t="shared" si="98"/>
        <v>84.252038764093214</v>
      </c>
      <c r="R84">
        <f t="shared" si="99"/>
        <v>0.33805049432749962</v>
      </c>
      <c r="S84">
        <f t="shared" si="100"/>
        <v>2.9188919737960886</v>
      </c>
      <c r="T84">
        <f t="shared" si="101"/>
        <v>0.31770871511468723</v>
      </c>
      <c r="U84">
        <f t="shared" si="102"/>
        <v>0.20029349228004545</v>
      </c>
      <c r="V84">
        <f t="shared" si="103"/>
        <v>344.36940065816685</v>
      </c>
      <c r="W84">
        <f t="shared" si="104"/>
        <v>30.508969475081155</v>
      </c>
      <c r="X84">
        <f t="shared" si="105"/>
        <v>29.996300000000002</v>
      </c>
      <c r="Y84">
        <f t="shared" si="106"/>
        <v>4.2595444043198469</v>
      </c>
      <c r="Z84">
        <f t="shared" si="107"/>
        <v>65.15107918255913</v>
      </c>
      <c r="AA84">
        <f t="shared" si="108"/>
        <v>2.74125573448298</v>
      </c>
      <c r="AB84">
        <f t="shared" si="109"/>
        <v>4.2075369569884433</v>
      </c>
      <c r="AC84">
        <f t="shared" si="110"/>
        <v>1.5182886698368669</v>
      </c>
      <c r="AD84">
        <f t="shared" si="111"/>
        <v>-221.37695660095875</v>
      </c>
      <c r="AE84">
        <f t="shared" si="112"/>
        <v>-33.628538084310136</v>
      </c>
      <c r="AF84">
        <f t="shared" si="113"/>
        <v>-2.5589020792821278</v>
      </c>
      <c r="AG84">
        <f t="shared" si="114"/>
        <v>86.805003893615847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52075.704112560372</v>
      </c>
      <c r="AM84" t="s">
        <v>417</v>
      </c>
      <c r="AN84">
        <v>10238.9</v>
      </c>
      <c r="AO84">
        <v>302.21199999999999</v>
      </c>
      <c r="AP84">
        <v>4052.3</v>
      </c>
      <c r="AQ84">
        <f t="shared" si="118"/>
        <v>0.92542210596451402</v>
      </c>
      <c r="AR84">
        <v>-0.32343011824092421</v>
      </c>
      <c r="AS84" t="s">
        <v>763</v>
      </c>
      <c r="AT84">
        <v>10480.799999999999</v>
      </c>
      <c r="AU84">
        <v>811.84943999999984</v>
      </c>
      <c r="AV84">
        <v>1142.912004117273</v>
      </c>
      <c r="AW84">
        <f t="shared" si="119"/>
        <v>0.28966583859880712</v>
      </c>
      <c r="AX84">
        <v>0.5</v>
      </c>
      <c r="AY84">
        <f t="shared" si="120"/>
        <v>1513.1847003290834</v>
      </c>
      <c r="AZ84">
        <f t="shared" si="121"/>
        <v>40.74627498180341</v>
      </c>
      <c r="BA84">
        <f t="shared" si="122"/>
        <v>219.1589575878543</v>
      </c>
      <c r="BB84">
        <f t="shared" si="123"/>
        <v>2.7141237346050749E-2</v>
      </c>
      <c r="BC84">
        <f t="shared" si="124"/>
        <v>2.545592298796258</v>
      </c>
      <c r="BD84">
        <f t="shared" si="125"/>
        <v>253.99276558644672</v>
      </c>
      <c r="BE84" t="s">
        <v>764</v>
      </c>
      <c r="BF84">
        <v>625.21</v>
      </c>
      <c r="BG84">
        <f t="shared" si="126"/>
        <v>625.21</v>
      </c>
      <c r="BH84">
        <f t="shared" si="127"/>
        <v>0.4529675095302893</v>
      </c>
      <c r="BI84">
        <f t="shared" si="128"/>
        <v>0.63948480300315558</v>
      </c>
      <c r="BJ84">
        <f t="shared" si="129"/>
        <v>0.84893831089429439</v>
      </c>
      <c r="BK84">
        <f t="shared" si="130"/>
        <v>0.39379393659559414</v>
      </c>
      <c r="BL84">
        <f t="shared" si="131"/>
        <v>0.7758185930257443</v>
      </c>
      <c r="BM84">
        <f t="shared" si="132"/>
        <v>0.49247098536596023</v>
      </c>
      <c r="BN84">
        <f t="shared" si="133"/>
        <v>0.50752901463403977</v>
      </c>
      <c r="BO84">
        <v>5822</v>
      </c>
      <c r="BP84">
        <v>290.00000000000011</v>
      </c>
      <c r="BQ84">
        <v>1056.8800000000001</v>
      </c>
      <c r="BR84">
        <v>115</v>
      </c>
      <c r="BS84">
        <v>10480.799999999999</v>
      </c>
      <c r="BT84">
        <v>1051.5999999999999</v>
      </c>
      <c r="BU84">
        <v>5.28</v>
      </c>
      <c r="BV84">
        <v>300.00000000000011</v>
      </c>
      <c r="BW84">
        <v>38.299999999999997</v>
      </c>
      <c r="BX84">
        <v>1142.912004117273</v>
      </c>
      <c r="BY84">
        <v>1.208854813801892</v>
      </c>
      <c r="BZ84">
        <v>-95.702756024883669</v>
      </c>
      <c r="CA84">
        <v>1.0352711358252891</v>
      </c>
      <c r="CB84">
        <v>0.99673414656775294</v>
      </c>
      <c r="CC84">
        <v>-1.135575061179089E-2</v>
      </c>
      <c r="CD84">
        <v>289.99999999999989</v>
      </c>
      <c r="CE84">
        <v>1044.83</v>
      </c>
      <c r="CF84">
        <v>715</v>
      </c>
      <c r="CG84">
        <v>10430.6</v>
      </c>
      <c r="CH84">
        <v>1051.1600000000001</v>
      </c>
      <c r="CI84">
        <v>-6.33</v>
      </c>
      <c r="CW84">
        <f t="shared" si="134"/>
        <v>1800</v>
      </c>
      <c r="CX84">
        <f t="shared" si="135"/>
        <v>1513.1847003290834</v>
      </c>
      <c r="CY84">
        <f t="shared" si="136"/>
        <v>0.8406581668494908</v>
      </c>
      <c r="CZ84">
        <f t="shared" si="137"/>
        <v>0.19131633369898157</v>
      </c>
      <c r="DA84">
        <v>6</v>
      </c>
      <c r="DB84">
        <v>0.5</v>
      </c>
      <c r="DC84" t="s">
        <v>420</v>
      </c>
      <c r="DD84">
        <v>2</v>
      </c>
      <c r="DE84">
        <v>1693509459</v>
      </c>
      <c r="DF84">
        <v>845.96400000000006</v>
      </c>
      <c r="DG84">
        <v>899.93100000000004</v>
      </c>
      <c r="DH84">
        <v>27.5246</v>
      </c>
      <c r="DI84">
        <v>21.6692</v>
      </c>
      <c r="DJ84">
        <v>848.57600000000002</v>
      </c>
      <c r="DK84">
        <v>27.180800000000001</v>
      </c>
      <c r="DL84">
        <v>500.22699999999998</v>
      </c>
      <c r="DM84">
        <v>99.493200000000002</v>
      </c>
      <c r="DN84">
        <v>9.97363E-2</v>
      </c>
      <c r="DO84">
        <v>29.782599999999999</v>
      </c>
      <c r="DP84">
        <v>29.996300000000002</v>
      </c>
      <c r="DQ84">
        <v>999.9</v>
      </c>
      <c r="DR84">
        <v>0</v>
      </c>
      <c r="DS84">
        <v>0</v>
      </c>
      <c r="DT84">
        <v>9990</v>
      </c>
      <c r="DU84">
        <v>0</v>
      </c>
      <c r="DV84">
        <v>1402.91</v>
      </c>
      <c r="DW84">
        <v>-53.967500000000001</v>
      </c>
      <c r="DX84">
        <v>869.90700000000004</v>
      </c>
      <c r="DY84">
        <v>919.86400000000003</v>
      </c>
      <c r="DZ84">
        <v>5.8553699999999997</v>
      </c>
      <c r="EA84">
        <v>899.93100000000004</v>
      </c>
      <c r="EB84">
        <v>21.6692</v>
      </c>
      <c r="EC84">
        <v>2.7385100000000002</v>
      </c>
      <c r="ED84">
        <v>2.1559400000000002</v>
      </c>
      <c r="EE84">
        <v>22.518000000000001</v>
      </c>
      <c r="EF84">
        <v>18.6386</v>
      </c>
      <c r="EG84">
        <v>1800</v>
      </c>
      <c r="EH84">
        <v>0.97799999999999998</v>
      </c>
      <c r="EI84">
        <v>2.20003E-2</v>
      </c>
      <c r="EJ84">
        <v>0</v>
      </c>
      <c r="EK84">
        <v>811.72799999999995</v>
      </c>
      <c r="EL84">
        <v>4.9995000000000003</v>
      </c>
      <c r="EM84">
        <v>16603</v>
      </c>
      <c r="EN84">
        <v>16659.8</v>
      </c>
      <c r="EO84">
        <v>46.625</v>
      </c>
      <c r="EP84">
        <v>48.561999999999998</v>
      </c>
      <c r="EQ84">
        <v>47.811999999999998</v>
      </c>
      <c r="ER84">
        <v>47.125</v>
      </c>
      <c r="ES84">
        <v>47.936999999999998</v>
      </c>
      <c r="ET84">
        <v>1755.51</v>
      </c>
      <c r="EU84">
        <v>39.49</v>
      </c>
      <c r="EV84">
        <v>0</v>
      </c>
      <c r="EW84">
        <v>103.7999999523163</v>
      </c>
      <c r="EX84">
        <v>0</v>
      </c>
      <c r="EY84">
        <v>811.84943999999984</v>
      </c>
      <c r="EZ84">
        <v>-4.1545384669548664</v>
      </c>
      <c r="FA84">
        <v>-123.4230776359214</v>
      </c>
      <c r="FB84">
        <v>16625.232</v>
      </c>
      <c r="FC84">
        <v>15</v>
      </c>
      <c r="FD84">
        <v>1693509427.5</v>
      </c>
      <c r="FE84" t="s">
        <v>765</v>
      </c>
      <c r="FF84">
        <v>1693509425</v>
      </c>
      <c r="FG84">
        <v>1693509427.5</v>
      </c>
      <c r="FH84">
        <v>77</v>
      </c>
      <c r="FI84">
        <v>5.2999999999999999E-2</v>
      </c>
      <c r="FJ84">
        <v>3.0000000000000001E-3</v>
      </c>
      <c r="FK84">
        <v>-2.6509999999999998</v>
      </c>
      <c r="FL84">
        <v>8.3000000000000004E-2</v>
      </c>
      <c r="FM84">
        <v>900</v>
      </c>
      <c r="FN84">
        <v>21</v>
      </c>
      <c r="FO84">
        <v>0.1</v>
      </c>
      <c r="FP84">
        <v>0.05</v>
      </c>
      <c r="FQ84">
        <v>40.830781974356213</v>
      </c>
      <c r="FR84">
        <v>-0.41104250940839387</v>
      </c>
      <c r="FS84">
        <v>0.13209453144123701</v>
      </c>
      <c r="FT84">
        <v>1</v>
      </c>
      <c r="FU84">
        <v>0.34296869533243712</v>
      </c>
      <c r="FV84">
        <v>-2.118229976482074E-2</v>
      </c>
      <c r="FW84">
        <v>2.6280578282318829E-3</v>
      </c>
      <c r="FX84">
        <v>1</v>
      </c>
      <c r="FY84">
        <v>2</v>
      </c>
      <c r="FZ84">
        <v>2</v>
      </c>
      <c r="GA84" t="s">
        <v>422</v>
      </c>
      <c r="GB84">
        <v>2.9698899999999999</v>
      </c>
      <c r="GC84">
        <v>2.81134</v>
      </c>
      <c r="GD84">
        <v>0.16603000000000001</v>
      </c>
      <c r="GE84">
        <v>0.17071800000000001</v>
      </c>
      <c r="GF84">
        <v>0.131382</v>
      </c>
      <c r="GG84">
        <v>0.110536</v>
      </c>
      <c r="GH84">
        <v>24630.9</v>
      </c>
      <c r="GI84">
        <v>22532.799999999999</v>
      </c>
      <c r="GJ84">
        <v>26550.400000000001</v>
      </c>
      <c r="GK84">
        <v>25641.4</v>
      </c>
      <c r="GL84">
        <v>31382.799999999999</v>
      </c>
      <c r="GM84">
        <v>32135.9</v>
      </c>
      <c r="GN84">
        <v>37586.9</v>
      </c>
      <c r="GO84">
        <v>37939</v>
      </c>
      <c r="GP84">
        <v>1.9584999999999999</v>
      </c>
      <c r="GQ84">
        <v>2.0110000000000001</v>
      </c>
      <c r="GR84">
        <v>3.5464799999999998E-2</v>
      </c>
      <c r="GS84">
        <v>0</v>
      </c>
      <c r="GT84">
        <v>29.418900000000001</v>
      </c>
      <c r="GU84">
        <v>999.9</v>
      </c>
      <c r="GV84">
        <v>54.6</v>
      </c>
      <c r="GW84">
        <v>32.5</v>
      </c>
      <c r="GX84">
        <v>26.955400000000001</v>
      </c>
      <c r="GY84">
        <v>61.533499999999997</v>
      </c>
      <c r="GZ84">
        <v>11.3622</v>
      </c>
      <c r="HA84">
        <v>1</v>
      </c>
      <c r="HB84">
        <v>0.37448199999999998</v>
      </c>
      <c r="HC84">
        <v>3.1528900000000002</v>
      </c>
      <c r="HD84">
        <v>20.276299999999999</v>
      </c>
      <c r="HE84">
        <v>5.2047100000000004</v>
      </c>
      <c r="HF84">
        <v>11.9345</v>
      </c>
      <c r="HG84">
        <v>4.9862000000000002</v>
      </c>
      <c r="HH84">
        <v>3.2900999999999998</v>
      </c>
      <c r="HI84">
        <v>9999</v>
      </c>
      <c r="HJ84">
        <v>9999</v>
      </c>
      <c r="HK84">
        <v>9999</v>
      </c>
      <c r="HL84">
        <v>999.9</v>
      </c>
      <c r="HM84">
        <v>1.86981</v>
      </c>
      <c r="HN84">
        <v>1.87616</v>
      </c>
      <c r="HO84">
        <v>1.8739300000000001</v>
      </c>
      <c r="HP84">
        <v>1.8721099999999999</v>
      </c>
      <c r="HQ84">
        <v>1.8726</v>
      </c>
      <c r="HR84">
        <v>1.86998</v>
      </c>
      <c r="HS84">
        <v>1.87592</v>
      </c>
      <c r="HT84">
        <v>1.875</v>
      </c>
      <c r="HU84">
        <v>5</v>
      </c>
      <c r="HV84">
        <v>0</v>
      </c>
      <c r="HW84">
        <v>0</v>
      </c>
      <c r="HX84">
        <v>0</v>
      </c>
      <c r="HY84" t="s">
        <v>423</v>
      </c>
      <c r="HZ84" t="s">
        <v>424</v>
      </c>
      <c r="IA84" t="s">
        <v>425</v>
      </c>
      <c r="IB84" t="s">
        <v>425</v>
      </c>
      <c r="IC84" t="s">
        <v>425</v>
      </c>
      <c r="ID84" t="s">
        <v>425</v>
      </c>
      <c r="IE84">
        <v>0</v>
      </c>
      <c r="IF84">
        <v>100</v>
      </c>
      <c r="IG84">
        <v>100</v>
      </c>
      <c r="IH84">
        <v>-2.6120000000000001</v>
      </c>
      <c r="II84">
        <v>0.34379999999999999</v>
      </c>
      <c r="IJ84">
        <v>-1.356023125023252</v>
      </c>
      <c r="IK84">
        <v>-2.677719669153116E-3</v>
      </c>
      <c r="IL84">
        <v>1.9353498771248068E-6</v>
      </c>
      <c r="IM84">
        <v>-6.1862177325538213E-10</v>
      </c>
      <c r="IN84">
        <v>-0.23176325792409561</v>
      </c>
      <c r="IO84">
        <v>-1.5299015507423901E-2</v>
      </c>
      <c r="IP84">
        <v>1.742162107778985E-3</v>
      </c>
      <c r="IQ84">
        <v>-1.472690239905804E-5</v>
      </c>
      <c r="IR84">
        <v>3</v>
      </c>
      <c r="IS84">
        <v>2255</v>
      </c>
      <c r="IT84">
        <v>2</v>
      </c>
      <c r="IU84">
        <v>41</v>
      </c>
      <c r="IV84">
        <v>0.6</v>
      </c>
      <c r="IW84">
        <v>0.5</v>
      </c>
      <c r="IX84">
        <v>1.8420399999999999</v>
      </c>
      <c r="IY84">
        <v>2.4890099999999999</v>
      </c>
      <c r="IZ84">
        <v>1.5991200000000001</v>
      </c>
      <c r="JA84">
        <v>2.2717299999999998</v>
      </c>
      <c r="JB84">
        <v>1.5502899999999999</v>
      </c>
      <c r="JC84">
        <v>2.33521</v>
      </c>
      <c r="JD84">
        <v>36.363500000000002</v>
      </c>
      <c r="JE84">
        <v>15.7081</v>
      </c>
      <c r="JF84">
        <v>18</v>
      </c>
      <c r="JG84">
        <v>504.61900000000003</v>
      </c>
      <c r="JH84">
        <v>507.58600000000001</v>
      </c>
      <c r="JI84">
        <v>24.499199999999998</v>
      </c>
      <c r="JJ84">
        <v>32.2395</v>
      </c>
      <c r="JK84">
        <v>30</v>
      </c>
      <c r="JL84">
        <v>32.1723</v>
      </c>
      <c r="JM84">
        <v>32.132899999999999</v>
      </c>
      <c r="JN84">
        <v>36.881500000000003</v>
      </c>
      <c r="JO84">
        <v>28.7349</v>
      </c>
      <c r="JP84">
        <v>65.276499999999999</v>
      </c>
      <c r="JQ84">
        <v>24.505199999999999</v>
      </c>
      <c r="JR84">
        <v>900</v>
      </c>
      <c r="JS84">
        <v>21.608499999999999</v>
      </c>
      <c r="JT84">
        <v>99.130300000000005</v>
      </c>
      <c r="JU84">
        <v>98.551599999999993</v>
      </c>
    </row>
    <row r="85" spans="1:281" x14ac:dyDescent="0.25">
      <c r="A85">
        <v>69</v>
      </c>
      <c r="B85">
        <v>1693509617.5</v>
      </c>
      <c r="C85">
        <v>15637.900000095369</v>
      </c>
      <c r="D85" t="s">
        <v>766</v>
      </c>
      <c r="E85" t="s">
        <v>767</v>
      </c>
      <c r="F85" t="s">
        <v>413</v>
      </c>
      <c r="G85" t="s">
        <v>414</v>
      </c>
      <c r="H85" t="s">
        <v>707</v>
      </c>
      <c r="I85" t="s">
        <v>416</v>
      </c>
      <c r="J85">
        <v>1693509617.5</v>
      </c>
      <c r="K85">
        <f t="shared" si="92"/>
        <v>4.300129335941775E-3</v>
      </c>
      <c r="L85">
        <f t="shared" si="93"/>
        <v>4.3001293359417749</v>
      </c>
      <c r="M85">
        <f t="shared" si="94"/>
        <v>39.831207502409733</v>
      </c>
      <c r="N85">
        <f t="shared" si="95"/>
        <v>1146.3499999999999</v>
      </c>
      <c r="O85">
        <f t="shared" si="96"/>
        <v>884.29711102089777</v>
      </c>
      <c r="P85">
        <f t="shared" si="97"/>
        <v>88.064100141702681</v>
      </c>
      <c r="Q85">
        <f t="shared" si="98"/>
        <v>114.16104377056499</v>
      </c>
      <c r="R85">
        <f t="shared" si="99"/>
        <v>0.28224350022663697</v>
      </c>
      <c r="S85">
        <f t="shared" si="100"/>
        <v>2.9135129812655869</v>
      </c>
      <c r="T85">
        <f t="shared" si="101"/>
        <v>0.2678857085766207</v>
      </c>
      <c r="U85">
        <f t="shared" si="102"/>
        <v>0.16865767166740719</v>
      </c>
      <c r="V85">
        <f t="shared" si="103"/>
        <v>344.36940065816685</v>
      </c>
      <c r="W85">
        <f t="shared" si="104"/>
        <v>30.616247376219874</v>
      </c>
      <c r="X85">
        <f t="shared" si="105"/>
        <v>30.028300000000002</v>
      </c>
      <c r="Y85">
        <f t="shared" si="106"/>
        <v>4.2673801636954076</v>
      </c>
      <c r="Z85">
        <f t="shared" si="107"/>
        <v>65.068588061784155</v>
      </c>
      <c r="AA85">
        <f t="shared" si="108"/>
        <v>2.7249270677085597</v>
      </c>
      <c r="AB85">
        <f t="shared" si="109"/>
        <v>4.1877765429936442</v>
      </c>
      <c r="AC85">
        <f t="shared" si="110"/>
        <v>1.5424530959868479</v>
      </c>
      <c r="AD85">
        <f t="shared" si="111"/>
        <v>-189.63570371503229</v>
      </c>
      <c r="AE85">
        <f t="shared" si="112"/>
        <v>-51.441509629561921</v>
      </c>
      <c r="AF85">
        <f t="shared" si="113"/>
        <v>-3.9206078951549079</v>
      </c>
      <c r="AG85">
        <f t="shared" si="114"/>
        <v>99.371579418417753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51936.195605901907</v>
      </c>
      <c r="AM85" t="s">
        <v>417</v>
      </c>
      <c r="AN85">
        <v>10238.9</v>
      </c>
      <c r="AO85">
        <v>302.21199999999999</v>
      </c>
      <c r="AP85">
        <v>4052.3</v>
      </c>
      <c r="AQ85">
        <f t="shared" si="118"/>
        <v>0.92542210596451402</v>
      </c>
      <c r="AR85">
        <v>-0.32343011824092421</v>
      </c>
      <c r="AS85" t="s">
        <v>768</v>
      </c>
      <c r="AT85">
        <v>10474.200000000001</v>
      </c>
      <c r="AU85">
        <v>801.02675999999997</v>
      </c>
      <c r="AV85">
        <v>1132.0835812466451</v>
      </c>
      <c r="AW85">
        <f t="shared" si="119"/>
        <v>0.29243143062112686</v>
      </c>
      <c r="AX85">
        <v>0.5</v>
      </c>
      <c r="AY85">
        <f t="shared" si="120"/>
        <v>1513.1847003290834</v>
      </c>
      <c r="AZ85">
        <f t="shared" si="121"/>
        <v>39.831207502409733</v>
      </c>
      <c r="BA85">
        <f t="shared" si="122"/>
        <v>221.25138335561749</v>
      </c>
      <c r="BB85">
        <f t="shared" si="123"/>
        <v>2.6536507811583034E-2</v>
      </c>
      <c r="BC85">
        <f t="shared" si="124"/>
        <v>2.5795060251095832</v>
      </c>
      <c r="BD85">
        <f t="shared" si="125"/>
        <v>253.45400672120951</v>
      </c>
      <c r="BE85" t="s">
        <v>769</v>
      </c>
      <c r="BF85">
        <v>621.45000000000005</v>
      </c>
      <c r="BG85">
        <f t="shared" si="126"/>
        <v>621.45000000000005</v>
      </c>
      <c r="BH85">
        <f t="shared" si="127"/>
        <v>0.45105643232131121</v>
      </c>
      <c r="BI85">
        <f t="shared" si="128"/>
        <v>0.64832559668013456</v>
      </c>
      <c r="BJ85">
        <f t="shared" si="129"/>
        <v>0.85116411931543345</v>
      </c>
      <c r="BK85">
        <f t="shared" si="130"/>
        <v>0.39892536234260095</v>
      </c>
      <c r="BL85">
        <f t="shared" si="131"/>
        <v>0.77870610469763779</v>
      </c>
      <c r="BM85">
        <f t="shared" si="132"/>
        <v>0.50298187548299844</v>
      </c>
      <c r="BN85">
        <f t="shared" si="133"/>
        <v>0.49701812451700156</v>
      </c>
      <c r="BO85">
        <v>5824</v>
      </c>
      <c r="BP85">
        <v>290.00000000000011</v>
      </c>
      <c r="BQ85">
        <v>1046.0999999999999</v>
      </c>
      <c r="BR85">
        <v>145</v>
      </c>
      <c r="BS85">
        <v>10474.200000000001</v>
      </c>
      <c r="BT85">
        <v>1040.45</v>
      </c>
      <c r="BU85">
        <v>5.65</v>
      </c>
      <c r="BV85">
        <v>300.00000000000011</v>
      </c>
      <c r="BW85">
        <v>38.299999999999997</v>
      </c>
      <c r="BX85">
        <v>1132.0835812466451</v>
      </c>
      <c r="BY85">
        <v>1.4486781677885401</v>
      </c>
      <c r="BZ85">
        <v>-95.975742083436259</v>
      </c>
      <c r="CA85">
        <v>1.2406676525986009</v>
      </c>
      <c r="CB85">
        <v>0.9953428663611178</v>
      </c>
      <c r="CC85">
        <v>-1.1355991768631821E-2</v>
      </c>
      <c r="CD85">
        <v>289.99999999999989</v>
      </c>
      <c r="CE85">
        <v>1034.17</v>
      </c>
      <c r="CF85">
        <v>685</v>
      </c>
      <c r="CG85">
        <v>10433.5</v>
      </c>
      <c r="CH85">
        <v>1040.0999999999999</v>
      </c>
      <c r="CI85">
        <v>-5.93</v>
      </c>
      <c r="CW85">
        <f t="shared" si="134"/>
        <v>1800</v>
      </c>
      <c r="CX85">
        <f t="shared" si="135"/>
        <v>1513.1847003290834</v>
      </c>
      <c r="CY85">
        <f t="shared" si="136"/>
        <v>0.8406581668494908</v>
      </c>
      <c r="CZ85">
        <f t="shared" si="137"/>
        <v>0.19131633369898157</v>
      </c>
      <c r="DA85">
        <v>6</v>
      </c>
      <c r="DB85">
        <v>0.5</v>
      </c>
      <c r="DC85" t="s">
        <v>420</v>
      </c>
      <c r="DD85">
        <v>2</v>
      </c>
      <c r="DE85">
        <v>1693509617.5</v>
      </c>
      <c r="DF85">
        <v>1146.3499999999999</v>
      </c>
      <c r="DG85">
        <v>1200.06</v>
      </c>
      <c r="DH85">
        <v>27.362400000000001</v>
      </c>
      <c r="DI85">
        <v>22.343699999999998</v>
      </c>
      <c r="DJ85">
        <v>1149.3800000000001</v>
      </c>
      <c r="DK85">
        <v>27.0337</v>
      </c>
      <c r="DL85">
        <v>500.02600000000001</v>
      </c>
      <c r="DM85">
        <v>99.486599999999996</v>
      </c>
      <c r="DN85">
        <v>9.9951899999999996E-2</v>
      </c>
      <c r="DO85">
        <v>29.700800000000001</v>
      </c>
      <c r="DP85">
        <v>30.028300000000002</v>
      </c>
      <c r="DQ85">
        <v>999.9</v>
      </c>
      <c r="DR85">
        <v>0</v>
      </c>
      <c r="DS85">
        <v>0</v>
      </c>
      <c r="DT85">
        <v>9960</v>
      </c>
      <c r="DU85">
        <v>0</v>
      </c>
      <c r="DV85">
        <v>1393.01</v>
      </c>
      <c r="DW85">
        <v>-53.7059</v>
      </c>
      <c r="DX85">
        <v>1178.5999999999999</v>
      </c>
      <c r="DY85">
        <v>1227.48</v>
      </c>
      <c r="DZ85">
        <v>5.0186799999999998</v>
      </c>
      <c r="EA85">
        <v>1200.06</v>
      </c>
      <c r="EB85">
        <v>22.343699999999998</v>
      </c>
      <c r="EC85">
        <v>2.7221899999999999</v>
      </c>
      <c r="ED85">
        <v>2.2229000000000001</v>
      </c>
      <c r="EE85">
        <v>22.419699999999999</v>
      </c>
      <c r="EF85">
        <v>19.128299999999999</v>
      </c>
      <c r="EG85">
        <v>1800</v>
      </c>
      <c r="EH85">
        <v>0.97799999999999998</v>
      </c>
      <c r="EI85">
        <v>2.20003E-2</v>
      </c>
      <c r="EJ85">
        <v>0</v>
      </c>
      <c r="EK85">
        <v>800.93200000000002</v>
      </c>
      <c r="EL85">
        <v>4.9995000000000003</v>
      </c>
      <c r="EM85">
        <v>16420.2</v>
      </c>
      <c r="EN85">
        <v>16659.8</v>
      </c>
      <c r="EO85">
        <v>46.5</v>
      </c>
      <c r="EP85">
        <v>48.436999999999998</v>
      </c>
      <c r="EQ85">
        <v>47.686999999999998</v>
      </c>
      <c r="ER85">
        <v>47</v>
      </c>
      <c r="ES85">
        <v>47.811999999999998</v>
      </c>
      <c r="ET85">
        <v>1755.51</v>
      </c>
      <c r="EU85">
        <v>39.49</v>
      </c>
      <c r="EV85">
        <v>0</v>
      </c>
      <c r="EW85">
        <v>156.5999999046326</v>
      </c>
      <c r="EX85">
        <v>0</v>
      </c>
      <c r="EY85">
        <v>801.02675999999997</v>
      </c>
      <c r="EZ85">
        <v>-3.4239230901151281</v>
      </c>
      <c r="FA85">
        <v>47.199999689455453</v>
      </c>
      <c r="FB85">
        <v>16437.964</v>
      </c>
      <c r="FC85">
        <v>15</v>
      </c>
      <c r="FD85">
        <v>1693509588.5</v>
      </c>
      <c r="FE85" t="s">
        <v>770</v>
      </c>
      <c r="FF85">
        <v>1693509588.5</v>
      </c>
      <c r="FG85">
        <v>1693509582</v>
      </c>
      <c r="FH85">
        <v>78</v>
      </c>
      <c r="FI85">
        <v>-0.216</v>
      </c>
      <c r="FJ85">
        <v>-8.0000000000000002E-3</v>
      </c>
      <c r="FK85">
        <v>-3.069</v>
      </c>
      <c r="FL85">
        <v>0.10100000000000001</v>
      </c>
      <c r="FM85">
        <v>1200</v>
      </c>
      <c r="FN85">
        <v>22</v>
      </c>
      <c r="FO85">
        <v>0.19</v>
      </c>
      <c r="FP85">
        <v>0.06</v>
      </c>
      <c r="FQ85">
        <v>39.946962401434099</v>
      </c>
      <c r="FR85">
        <v>-0.65745284978650376</v>
      </c>
      <c r="FS85">
        <v>0.14145444106805211</v>
      </c>
      <c r="FT85">
        <v>1</v>
      </c>
      <c r="FU85">
        <v>0.28376111042938412</v>
      </c>
      <c r="FV85">
        <v>1.6540877404294611E-2</v>
      </c>
      <c r="FW85">
        <v>2.3952881362631342E-3</v>
      </c>
      <c r="FX85">
        <v>1</v>
      </c>
      <c r="FY85">
        <v>2</v>
      </c>
      <c r="FZ85">
        <v>2</v>
      </c>
      <c r="GA85" t="s">
        <v>422</v>
      </c>
      <c r="GB85">
        <v>2.9693800000000001</v>
      </c>
      <c r="GC85">
        <v>2.8113000000000001</v>
      </c>
      <c r="GD85">
        <v>0.20221500000000001</v>
      </c>
      <c r="GE85">
        <v>0.20556199999999999</v>
      </c>
      <c r="GF85">
        <v>0.13088</v>
      </c>
      <c r="GG85">
        <v>0.112946</v>
      </c>
      <c r="GH85">
        <v>23562</v>
      </c>
      <c r="GI85">
        <v>21584</v>
      </c>
      <c r="GJ85">
        <v>26552.2</v>
      </c>
      <c r="GK85">
        <v>25641</v>
      </c>
      <c r="GL85">
        <v>31405.8</v>
      </c>
      <c r="GM85">
        <v>32050.7</v>
      </c>
      <c r="GN85">
        <v>37589.5</v>
      </c>
      <c r="GO85">
        <v>37938.300000000003</v>
      </c>
      <c r="GP85">
        <v>1.9589000000000001</v>
      </c>
      <c r="GQ85">
        <v>2.0131000000000001</v>
      </c>
      <c r="GR85">
        <v>3.8132100000000002E-2</v>
      </c>
      <c r="GS85">
        <v>0</v>
      </c>
      <c r="GT85">
        <v>29.407499999999999</v>
      </c>
      <c r="GU85">
        <v>999.9</v>
      </c>
      <c r="GV85">
        <v>54.3</v>
      </c>
      <c r="GW85">
        <v>32.6</v>
      </c>
      <c r="GX85">
        <v>26.961600000000001</v>
      </c>
      <c r="GY85">
        <v>61.6935</v>
      </c>
      <c r="GZ85">
        <v>12.1915</v>
      </c>
      <c r="HA85">
        <v>1</v>
      </c>
      <c r="HB85">
        <v>0.37545699999999999</v>
      </c>
      <c r="HC85">
        <v>3.6178300000000001</v>
      </c>
      <c r="HD85">
        <v>20.267800000000001</v>
      </c>
      <c r="HE85">
        <v>5.2088999999999999</v>
      </c>
      <c r="HF85">
        <v>11.9351</v>
      </c>
      <c r="HG85">
        <v>4.9874000000000001</v>
      </c>
      <c r="HH85">
        <v>3.2909999999999999</v>
      </c>
      <c r="HI85">
        <v>9999</v>
      </c>
      <c r="HJ85">
        <v>9999</v>
      </c>
      <c r="HK85">
        <v>9999</v>
      </c>
      <c r="HL85">
        <v>999.9</v>
      </c>
      <c r="HM85">
        <v>1.86981</v>
      </c>
      <c r="HN85">
        <v>1.8761300000000001</v>
      </c>
      <c r="HO85">
        <v>1.8739300000000001</v>
      </c>
      <c r="HP85">
        <v>1.8721300000000001</v>
      </c>
      <c r="HQ85">
        <v>1.87259</v>
      </c>
      <c r="HR85">
        <v>1.87001</v>
      </c>
      <c r="HS85">
        <v>1.87592</v>
      </c>
      <c r="HT85">
        <v>1.8749800000000001</v>
      </c>
      <c r="HU85">
        <v>5</v>
      </c>
      <c r="HV85">
        <v>0</v>
      </c>
      <c r="HW85">
        <v>0</v>
      </c>
      <c r="HX85">
        <v>0</v>
      </c>
      <c r="HY85" t="s">
        <v>423</v>
      </c>
      <c r="HZ85" t="s">
        <v>424</v>
      </c>
      <c r="IA85" t="s">
        <v>425</v>
      </c>
      <c r="IB85" t="s">
        <v>425</v>
      </c>
      <c r="IC85" t="s">
        <v>425</v>
      </c>
      <c r="ID85" t="s">
        <v>425</v>
      </c>
      <c r="IE85">
        <v>0</v>
      </c>
      <c r="IF85">
        <v>100</v>
      </c>
      <c r="IG85">
        <v>100</v>
      </c>
      <c r="IH85">
        <v>-3.03</v>
      </c>
      <c r="II85">
        <v>0.32869999999999999</v>
      </c>
      <c r="IJ85">
        <v>-1.57135641151504</v>
      </c>
      <c r="IK85">
        <v>-2.677719669153116E-3</v>
      </c>
      <c r="IL85">
        <v>1.9353498771248068E-6</v>
      </c>
      <c r="IM85">
        <v>-6.1862177325538213E-10</v>
      </c>
      <c r="IN85">
        <v>-0.23997421480844811</v>
      </c>
      <c r="IO85">
        <v>-1.5299015507423901E-2</v>
      </c>
      <c r="IP85">
        <v>1.742162107778985E-3</v>
      </c>
      <c r="IQ85">
        <v>-1.472690239905804E-5</v>
      </c>
      <c r="IR85">
        <v>3</v>
      </c>
      <c r="IS85">
        <v>2255</v>
      </c>
      <c r="IT85">
        <v>2</v>
      </c>
      <c r="IU85">
        <v>41</v>
      </c>
      <c r="IV85">
        <v>0.5</v>
      </c>
      <c r="IW85">
        <v>0.6</v>
      </c>
      <c r="IX85">
        <v>2.33643</v>
      </c>
      <c r="IY85">
        <v>2.47559</v>
      </c>
      <c r="IZ85">
        <v>1.5991200000000001</v>
      </c>
      <c r="JA85">
        <v>2.2717299999999998</v>
      </c>
      <c r="JB85">
        <v>1.5502899999999999</v>
      </c>
      <c r="JC85">
        <v>2.3852500000000001</v>
      </c>
      <c r="JD85">
        <v>36.387099999999997</v>
      </c>
      <c r="JE85">
        <v>15.6731</v>
      </c>
      <c r="JF85">
        <v>18</v>
      </c>
      <c r="JG85">
        <v>504.71899999999999</v>
      </c>
      <c r="JH85">
        <v>508.85899999999998</v>
      </c>
      <c r="JI85">
        <v>24.052099999999999</v>
      </c>
      <c r="JJ85">
        <v>32.216799999999999</v>
      </c>
      <c r="JK85">
        <v>30.000299999999999</v>
      </c>
      <c r="JL85">
        <v>32.152500000000003</v>
      </c>
      <c r="JM85">
        <v>32.116</v>
      </c>
      <c r="JN85">
        <v>46.767899999999997</v>
      </c>
      <c r="JO85">
        <v>26.2883</v>
      </c>
      <c r="JP85">
        <v>65.162999999999997</v>
      </c>
      <c r="JQ85">
        <v>24.0623</v>
      </c>
      <c r="JR85">
        <v>1200</v>
      </c>
      <c r="JS85">
        <v>22.314399999999999</v>
      </c>
      <c r="JT85">
        <v>99.137200000000007</v>
      </c>
      <c r="JU85">
        <v>98.549899999999994</v>
      </c>
    </row>
    <row r="86" spans="1:281" x14ac:dyDescent="0.25">
      <c r="A86">
        <v>70</v>
      </c>
      <c r="B86">
        <v>1693509775</v>
      </c>
      <c r="C86">
        <v>15795.400000095369</v>
      </c>
      <c r="D86" t="s">
        <v>771</v>
      </c>
      <c r="E86" t="s">
        <v>772</v>
      </c>
      <c r="F86" t="s">
        <v>413</v>
      </c>
      <c r="G86" t="s">
        <v>414</v>
      </c>
      <c r="H86" t="s">
        <v>707</v>
      </c>
      <c r="I86" t="s">
        <v>416</v>
      </c>
      <c r="J86">
        <v>1693509775</v>
      </c>
      <c r="K86">
        <f t="shared" si="92"/>
        <v>3.8831623559910889E-3</v>
      </c>
      <c r="L86">
        <f t="shared" si="93"/>
        <v>3.8831623559910891</v>
      </c>
      <c r="M86">
        <f t="shared" si="94"/>
        <v>39.021617416584753</v>
      </c>
      <c r="N86">
        <f t="shared" si="95"/>
        <v>1446.39</v>
      </c>
      <c r="O86">
        <f t="shared" si="96"/>
        <v>1158.9843221220349</v>
      </c>
      <c r="P86">
        <f t="shared" si="97"/>
        <v>115.41586057867366</v>
      </c>
      <c r="Q86">
        <f t="shared" si="98"/>
        <v>144.03675994230599</v>
      </c>
      <c r="R86">
        <f t="shared" si="99"/>
        <v>0.25557103949843996</v>
      </c>
      <c r="S86">
        <f t="shared" si="100"/>
        <v>2.922664911491816</v>
      </c>
      <c r="T86">
        <f t="shared" si="101"/>
        <v>0.24377278987442388</v>
      </c>
      <c r="U86">
        <f t="shared" si="102"/>
        <v>0.15337262467294246</v>
      </c>
      <c r="V86">
        <f t="shared" si="103"/>
        <v>344.36940065816685</v>
      </c>
      <c r="W86">
        <f t="shared" si="104"/>
        <v>30.599943358734645</v>
      </c>
      <c r="X86">
        <f t="shared" si="105"/>
        <v>29.983899999999998</v>
      </c>
      <c r="Y86">
        <f t="shared" si="106"/>
        <v>4.2565114201725756</v>
      </c>
      <c r="Z86">
        <f t="shared" si="107"/>
        <v>65.54944460865164</v>
      </c>
      <c r="AA86">
        <f t="shared" si="108"/>
        <v>2.72581295281134</v>
      </c>
      <c r="AB86">
        <f t="shared" si="109"/>
        <v>4.1584073962566714</v>
      </c>
      <c r="AC86">
        <f t="shared" si="110"/>
        <v>1.5306984673612356</v>
      </c>
      <c r="AD86">
        <f t="shared" si="111"/>
        <v>-171.24745989920703</v>
      </c>
      <c r="AE86">
        <f t="shared" si="112"/>
        <v>-63.861787850092462</v>
      </c>
      <c r="AF86">
        <f t="shared" si="113"/>
        <v>-4.8479751185588382</v>
      </c>
      <c r="AG86">
        <f t="shared" si="114"/>
        <v>104.4121777903085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52218.38822750601</v>
      </c>
      <c r="AM86" t="s">
        <v>417</v>
      </c>
      <c r="AN86">
        <v>10238.9</v>
      </c>
      <c r="AO86">
        <v>302.21199999999999</v>
      </c>
      <c r="AP86">
        <v>4052.3</v>
      </c>
      <c r="AQ86">
        <f t="shared" si="118"/>
        <v>0.92542210596451402</v>
      </c>
      <c r="AR86">
        <v>-0.32343011824092421</v>
      </c>
      <c r="AS86" t="s">
        <v>773</v>
      </c>
      <c r="AT86">
        <v>10476.299999999999</v>
      </c>
      <c r="AU86">
        <v>792.19061538461528</v>
      </c>
      <c r="AV86">
        <v>1119.7983370610009</v>
      </c>
      <c r="AW86">
        <f t="shared" si="119"/>
        <v>0.29255957151733047</v>
      </c>
      <c r="AX86">
        <v>0.5</v>
      </c>
      <c r="AY86">
        <f t="shared" si="120"/>
        <v>1513.1847003290834</v>
      </c>
      <c r="AZ86">
        <f t="shared" si="121"/>
        <v>39.021617416584753</v>
      </c>
      <c r="BA86">
        <f t="shared" si="122"/>
        <v>221.34833377742837</v>
      </c>
      <c r="BB86">
        <f t="shared" si="123"/>
        <v>2.6001483841509247E-2</v>
      </c>
      <c r="BC86">
        <f t="shared" si="124"/>
        <v>2.6187765831440517</v>
      </c>
      <c r="BD86">
        <f t="shared" si="125"/>
        <v>252.83299700248145</v>
      </c>
      <c r="BE86" t="s">
        <v>774</v>
      </c>
      <c r="BF86">
        <v>615.95000000000005</v>
      </c>
      <c r="BG86">
        <f t="shared" si="126"/>
        <v>615.95000000000005</v>
      </c>
      <c r="BH86">
        <f t="shared" si="127"/>
        <v>0.44994560215492962</v>
      </c>
      <c r="BI86">
        <f t="shared" si="128"/>
        <v>0.65021098131901189</v>
      </c>
      <c r="BJ86">
        <f t="shared" si="129"/>
        <v>0.85337688621327834</v>
      </c>
      <c r="BK86">
        <f t="shared" si="130"/>
        <v>0.40070107195534321</v>
      </c>
      <c r="BL86">
        <f t="shared" si="131"/>
        <v>0.78198209293728549</v>
      </c>
      <c r="BM86">
        <f t="shared" si="132"/>
        <v>0.50555692804944485</v>
      </c>
      <c r="BN86">
        <f t="shared" si="133"/>
        <v>0.49444307195055515</v>
      </c>
      <c r="BO86">
        <v>5826</v>
      </c>
      <c r="BP86">
        <v>290.00000000000011</v>
      </c>
      <c r="BQ86">
        <v>1034.3800000000001</v>
      </c>
      <c r="BR86">
        <v>135</v>
      </c>
      <c r="BS86">
        <v>10476.299999999999</v>
      </c>
      <c r="BT86">
        <v>1029.92</v>
      </c>
      <c r="BU86">
        <v>4.46</v>
      </c>
      <c r="BV86">
        <v>300.00000000000011</v>
      </c>
      <c r="BW86">
        <v>38.299999999999997</v>
      </c>
      <c r="BX86">
        <v>1119.7983370610009</v>
      </c>
      <c r="BY86">
        <v>1.5050988292309591</v>
      </c>
      <c r="BZ86">
        <v>-94.163787619130758</v>
      </c>
      <c r="CA86">
        <v>1.2890179121148599</v>
      </c>
      <c r="CB86">
        <v>0.99478042277443057</v>
      </c>
      <c r="CC86">
        <v>-1.135613548387098E-2</v>
      </c>
      <c r="CD86">
        <v>289.99999999999989</v>
      </c>
      <c r="CE86">
        <v>1024</v>
      </c>
      <c r="CF86">
        <v>675</v>
      </c>
      <c r="CG86">
        <v>10434.6</v>
      </c>
      <c r="CH86">
        <v>1029.56</v>
      </c>
      <c r="CI86">
        <v>-5.56</v>
      </c>
      <c r="CW86">
        <f t="shared" si="134"/>
        <v>1800</v>
      </c>
      <c r="CX86">
        <f t="shared" si="135"/>
        <v>1513.1847003290834</v>
      </c>
      <c r="CY86">
        <f t="shared" si="136"/>
        <v>0.8406581668494908</v>
      </c>
      <c r="CZ86">
        <f t="shared" si="137"/>
        <v>0.19131633369898157</v>
      </c>
      <c r="DA86">
        <v>6</v>
      </c>
      <c r="DB86">
        <v>0.5</v>
      </c>
      <c r="DC86" t="s">
        <v>420</v>
      </c>
      <c r="DD86">
        <v>2</v>
      </c>
      <c r="DE86">
        <v>1693509775</v>
      </c>
      <c r="DF86">
        <v>1446.39</v>
      </c>
      <c r="DG86">
        <v>1499.96</v>
      </c>
      <c r="DH86">
        <v>27.3721</v>
      </c>
      <c r="DI86">
        <v>22.839500000000001</v>
      </c>
      <c r="DJ86">
        <v>1449.62</v>
      </c>
      <c r="DK86">
        <v>27.040099999999999</v>
      </c>
      <c r="DL86">
        <v>499.96100000000001</v>
      </c>
      <c r="DM86">
        <v>99.483699999999999</v>
      </c>
      <c r="DN86">
        <v>9.9925399999999998E-2</v>
      </c>
      <c r="DO86">
        <v>29.578600000000002</v>
      </c>
      <c r="DP86">
        <v>29.983899999999998</v>
      </c>
      <c r="DQ86">
        <v>999.9</v>
      </c>
      <c r="DR86">
        <v>0</v>
      </c>
      <c r="DS86">
        <v>0</v>
      </c>
      <c r="DT86">
        <v>10012.5</v>
      </c>
      <c r="DU86">
        <v>0</v>
      </c>
      <c r="DV86">
        <v>1383.82</v>
      </c>
      <c r="DW86">
        <v>-53.573</v>
      </c>
      <c r="DX86">
        <v>1487.09</v>
      </c>
      <c r="DY86">
        <v>1535.02</v>
      </c>
      <c r="DZ86">
        <v>4.5326199999999996</v>
      </c>
      <c r="EA86">
        <v>1499.96</v>
      </c>
      <c r="EB86">
        <v>22.839500000000001</v>
      </c>
      <c r="EC86">
        <v>2.7230799999999999</v>
      </c>
      <c r="ED86">
        <v>2.27216</v>
      </c>
      <c r="EE86">
        <v>22.425000000000001</v>
      </c>
      <c r="EF86">
        <v>19.4803</v>
      </c>
      <c r="EG86">
        <v>1800</v>
      </c>
      <c r="EH86">
        <v>0.97799999999999998</v>
      </c>
      <c r="EI86">
        <v>2.20003E-2</v>
      </c>
      <c r="EJ86">
        <v>0</v>
      </c>
      <c r="EK86">
        <v>791.88499999999999</v>
      </c>
      <c r="EL86">
        <v>4.9995000000000003</v>
      </c>
      <c r="EM86">
        <v>16281.6</v>
      </c>
      <c r="EN86">
        <v>16659.8</v>
      </c>
      <c r="EO86">
        <v>46.436999999999998</v>
      </c>
      <c r="EP86">
        <v>48.436999999999998</v>
      </c>
      <c r="EQ86">
        <v>47.625</v>
      </c>
      <c r="ER86">
        <v>46.936999999999998</v>
      </c>
      <c r="ES86">
        <v>47.75</v>
      </c>
      <c r="ET86">
        <v>1755.51</v>
      </c>
      <c r="EU86">
        <v>39.49</v>
      </c>
      <c r="EV86">
        <v>0</v>
      </c>
      <c r="EW86">
        <v>155.60000014305109</v>
      </c>
      <c r="EX86">
        <v>0</v>
      </c>
      <c r="EY86">
        <v>792.19061538461528</v>
      </c>
      <c r="EZ86">
        <v>-2.2692649617929579</v>
      </c>
      <c r="FA86">
        <v>-130.02734991387319</v>
      </c>
      <c r="FB86">
        <v>16314.70384615385</v>
      </c>
      <c r="FC86">
        <v>15</v>
      </c>
      <c r="FD86">
        <v>1693509746</v>
      </c>
      <c r="FE86" t="s">
        <v>775</v>
      </c>
      <c r="FF86">
        <v>1693509746</v>
      </c>
      <c r="FG86">
        <v>1693509740.5</v>
      </c>
      <c r="FH86">
        <v>79</v>
      </c>
      <c r="FI86">
        <v>3.9E-2</v>
      </c>
      <c r="FJ86">
        <v>3.0000000000000001E-3</v>
      </c>
      <c r="FK86">
        <v>-3.2869999999999999</v>
      </c>
      <c r="FL86">
        <v>0.13600000000000001</v>
      </c>
      <c r="FM86">
        <v>1500</v>
      </c>
      <c r="FN86">
        <v>23</v>
      </c>
      <c r="FO86">
        <v>0.19</v>
      </c>
      <c r="FP86">
        <v>0.05</v>
      </c>
      <c r="FQ86">
        <v>39.202867158973319</v>
      </c>
      <c r="FR86">
        <v>0.22223208954416099</v>
      </c>
      <c r="FS86">
        <v>0.16051270282314681</v>
      </c>
      <c r="FT86">
        <v>1</v>
      </c>
      <c r="FU86">
        <v>0.2473112518490902</v>
      </c>
      <c r="FV86">
        <v>4.0089451600900737E-2</v>
      </c>
      <c r="FW86">
        <v>3.1366503502710248E-3</v>
      </c>
      <c r="FX86">
        <v>1</v>
      </c>
      <c r="FY86">
        <v>2</v>
      </c>
      <c r="FZ86">
        <v>2</v>
      </c>
      <c r="GA86" t="s">
        <v>422</v>
      </c>
      <c r="GB86">
        <v>2.9692099999999999</v>
      </c>
      <c r="GC86">
        <v>2.8117299999999998</v>
      </c>
      <c r="GD86">
        <v>0.23364299999999999</v>
      </c>
      <c r="GE86">
        <v>0.23603199999999999</v>
      </c>
      <c r="GF86">
        <v>0.13090299999999999</v>
      </c>
      <c r="GG86">
        <v>0.114701</v>
      </c>
      <c r="GH86">
        <v>22631.7</v>
      </c>
      <c r="GI86">
        <v>20755.099999999999</v>
      </c>
      <c r="GJ86">
        <v>26552.2</v>
      </c>
      <c r="GK86">
        <v>25642</v>
      </c>
      <c r="GL86">
        <v>31407.200000000001</v>
      </c>
      <c r="GM86">
        <v>31990.2</v>
      </c>
      <c r="GN86">
        <v>37589.5</v>
      </c>
      <c r="GO86">
        <v>37939.199999999997</v>
      </c>
      <c r="GP86">
        <v>1.9577</v>
      </c>
      <c r="GQ86">
        <v>2.0156000000000001</v>
      </c>
      <c r="GR86">
        <v>3.8117199999999997E-2</v>
      </c>
      <c r="GS86">
        <v>0</v>
      </c>
      <c r="GT86">
        <v>29.363199999999999</v>
      </c>
      <c r="GU86">
        <v>999.9</v>
      </c>
      <c r="GV86">
        <v>54.3</v>
      </c>
      <c r="GW86">
        <v>32.700000000000003</v>
      </c>
      <c r="GX86">
        <v>27.111999999999998</v>
      </c>
      <c r="GY86">
        <v>61.793500000000002</v>
      </c>
      <c r="GZ86">
        <v>12.383800000000001</v>
      </c>
      <c r="HA86">
        <v>1</v>
      </c>
      <c r="HB86">
        <v>0.36997999999999998</v>
      </c>
      <c r="HC86">
        <v>3.10988</v>
      </c>
      <c r="HD86">
        <v>20.277999999999999</v>
      </c>
      <c r="HE86">
        <v>5.2088999999999999</v>
      </c>
      <c r="HF86">
        <v>11.9345</v>
      </c>
      <c r="HG86">
        <v>4.9846000000000004</v>
      </c>
      <c r="HH86">
        <v>3.2909999999999999</v>
      </c>
      <c r="HI86">
        <v>9999</v>
      </c>
      <c r="HJ86">
        <v>9999</v>
      </c>
      <c r="HK86">
        <v>9999</v>
      </c>
      <c r="HL86">
        <v>999.9</v>
      </c>
      <c r="HM86">
        <v>1.86981</v>
      </c>
      <c r="HN86">
        <v>1.8761699999999999</v>
      </c>
      <c r="HO86">
        <v>1.8739300000000001</v>
      </c>
      <c r="HP86">
        <v>1.87215</v>
      </c>
      <c r="HQ86">
        <v>1.8726700000000001</v>
      </c>
      <c r="HR86">
        <v>1.87001</v>
      </c>
      <c r="HS86">
        <v>1.87592</v>
      </c>
      <c r="HT86">
        <v>1.875</v>
      </c>
      <c r="HU86">
        <v>5</v>
      </c>
      <c r="HV86">
        <v>0</v>
      </c>
      <c r="HW86">
        <v>0</v>
      </c>
      <c r="HX86">
        <v>0</v>
      </c>
      <c r="HY86" t="s">
        <v>423</v>
      </c>
      <c r="HZ86" t="s">
        <v>424</v>
      </c>
      <c r="IA86" t="s">
        <v>425</v>
      </c>
      <c r="IB86" t="s">
        <v>425</v>
      </c>
      <c r="IC86" t="s">
        <v>425</v>
      </c>
      <c r="ID86" t="s">
        <v>425</v>
      </c>
      <c r="IE86">
        <v>0</v>
      </c>
      <c r="IF86">
        <v>100</v>
      </c>
      <c r="IG86">
        <v>100</v>
      </c>
      <c r="IH86">
        <v>-3.23</v>
      </c>
      <c r="II86">
        <v>0.33200000000000002</v>
      </c>
      <c r="IJ86">
        <v>-1.533493067494681</v>
      </c>
      <c r="IK86">
        <v>-2.677719669153116E-3</v>
      </c>
      <c r="IL86">
        <v>1.9353498771248068E-6</v>
      </c>
      <c r="IM86">
        <v>-6.1862177325538213E-10</v>
      </c>
      <c r="IN86">
        <v>-0.23691738074733559</v>
      </c>
      <c r="IO86">
        <v>-1.5299015507423901E-2</v>
      </c>
      <c r="IP86">
        <v>1.742162107778985E-3</v>
      </c>
      <c r="IQ86">
        <v>-1.472690239905804E-5</v>
      </c>
      <c r="IR86">
        <v>3</v>
      </c>
      <c r="IS86">
        <v>2255</v>
      </c>
      <c r="IT86">
        <v>2</v>
      </c>
      <c r="IU86">
        <v>41</v>
      </c>
      <c r="IV86">
        <v>0.5</v>
      </c>
      <c r="IW86">
        <v>0.6</v>
      </c>
      <c r="IX86">
        <v>2.80884</v>
      </c>
      <c r="IY86">
        <v>2.4682599999999999</v>
      </c>
      <c r="IZ86">
        <v>1.5991200000000001</v>
      </c>
      <c r="JA86">
        <v>2.2705099999999998</v>
      </c>
      <c r="JB86">
        <v>1.5502899999999999</v>
      </c>
      <c r="JC86">
        <v>2.34009</v>
      </c>
      <c r="JD86">
        <v>36.387099999999997</v>
      </c>
      <c r="JE86">
        <v>15.646800000000001</v>
      </c>
      <c r="JF86">
        <v>18</v>
      </c>
      <c r="JG86">
        <v>503.81</v>
      </c>
      <c r="JH86">
        <v>510.42700000000002</v>
      </c>
      <c r="JI86">
        <v>24.060400000000001</v>
      </c>
      <c r="JJ86">
        <v>32.205399999999997</v>
      </c>
      <c r="JK86">
        <v>29.999700000000001</v>
      </c>
      <c r="JL86">
        <v>32.1355</v>
      </c>
      <c r="JM86">
        <v>32.101999999999997</v>
      </c>
      <c r="JN86">
        <v>56.234000000000002</v>
      </c>
      <c r="JO86">
        <v>25.064900000000002</v>
      </c>
      <c r="JP86">
        <v>65.888199999999998</v>
      </c>
      <c r="JQ86">
        <v>24.056799999999999</v>
      </c>
      <c r="JR86">
        <v>1500</v>
      </c>
      <c r="JS86">
        <v>22.733000000000001</v>
      </c>
      <c r="JT86">
        <v>99.137100000000004</v>
      </c>
      <c r="JU86">
        <v>98.552899999999994</v>
      </c>
    </row>
    <row r="87" spans="1:281" x14ac:dyDescent="0.25">
      <c r="A87">
        <v>71</v>
      </c>
      <c r="B87">
        <v>1693511630.5999999</v>
      </c>
      <c r="C87">
        <v>17651</v>
      </c>
      <c r="D87" t="s">
        <v>776</v>
      </c>
      <c r="E87" t="s">
        <v>777</v>
      </c>
      <c r="F87" t="s">
        <v>413</v>
      </c>
      <c r="G87" t="s">
        <v>778</v>
      </c>
      <c r="H87" t="s">
        <v>779</v>
      </c>
      <c r="I87" t="s">
        <v>416</v>
      </c>
      <c r="J87">
        <v>1693511630.5999999</v>
      </c>
      <c r="K87">
        <f t="shared" si="92"/>
        <v>4.129422560417745E-3</v>
      </c>
      <c r="L87">
        <f t="shared" si="93"/>
        <v>4.129422560417745</v>
      </c>
      <c r="M87">
        <f t="shared" si="94"/>
        <v>39.989309422493015</v>
      </c>
      <c r="N87">
        <f t="shared" si="95"/>
        <v>350.34399999999999</v>
      </c>
      <c r="O87">
        <f t="shared" si="96"/>
        <v>111.16912750822345</v>
      </c>
      <c r="P87">
        <f t="shared" si="97"/>
        <v>11.06668653901413</v>
      </c>
      <c r="Q87">
        <f t="shared" si="98"/>
        <v>34.876114580799999</v>
      </c>
      <c r="R87">
        <f t="shared" si="99"/>
        <v>0.28667767343626543</v>
      </c>
      <c r="S87">
        <f t="shared" si="100"/>
        <v>2.9101939324514459</v>
      </c>
      <c r="T87">
        <f t="shared" si="101"/>
        <v>0.27186196545098951</v>
      </c>
      <c r="U87">
        <f t="shared" si="102"/>
        <v>0.17118102899472196</v>
      </c>
      <c r="V87">
        <f t="shared" si="103"/>
        <v>344.3599006581851</v>
      </c>
      <c r="W87">
        <f t="shared" si="104"/>
        <v>31.232061891600477</v>
      </c>
      <c r="X87">
        <f t="shared" si="105"/>
        <v>30.0639</v>
      </c>
      <c r="Y87">
        <f t="shared" si="106"/>
        <v>4.2761122046351261</v>
      </c>
      <c r="Z87">
        <f t="shared" si="107"/>
        <v>65.11872334827126</v>
      </c>
      <c r="AA87">
        <f t="shared" si="108"/>
        <v>2.8179108973999996</v>
      </c>
      <c r="AB87">
        <f t="shared" si="109"/>
        <v>4.3273435849304134</v>
      </c>
      <c r="AC87">
        <f t="shared" si="110"/>
        <v>1.4582013072351265</v>
      </c>
      <c r="AD87">
        <f t="shared" si="111"/>
        <v>-182.10753491442256</v>
      </c>
      <c r="AE87">
        <f t="shared" si="112"/>
        <v>32.571272309440424</v>
      </c>
      <c r="AF87">
        <f t="shared" si="113"/>
        <v>2.4927162113546748</v>
      </c>
      <c r="AG87">
        <f t="shared" si="114"/>
        <v>197.31635426455762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51743.250693874048</v>
      </c>
      <c r="AM87" t="s">
        <v>417</v>
      </c>
      <c r="AN87">
        <v>10238.9</v>
      </c>
      <c r="AO87">
        <v>302.21199999999999</v>
      </c>
      <c r="AP87">
        <v>4052.3</v>
      </c>
      <c r="AQ87">
        <f t="shared" si="118"/>
        <v>0.92542210596451402</v>
      </c>
      <c r="AR87">
        <v>-0.32343011824092421</v>
      </c>
      <c r="AS87" t="s">
        <v>780</v>
      </c>
      <c r="AT87">
        <v>10460</v>
      </c>
      <c r="AU87">
        <v>792.79803846153845</v>
      </c>
      <c r="AV87">
        <v>1094.8215423342449</v>
      </c>
      <c r="AW87">
        <f t="shared" si="119"/>
        <v>0.27586551067379328</v>
      </c>
      <c r="AX87">
        <v>0.5</v>
      </c>
      <c r="AY87">
        <f t="shared" si="120"/>
        <v>1513.1427003290926</v>
      </c>
      <c r="AZ87">
        <f t="shared" si="121"/>
        <v>39.989309422493015</v>
      </c>
      <c r="BA87">
        <f t="shared" si="122"/>
        <v>208.71194187430385</v>
      </c>
      <c r="BB87">
        <f t="shared" si="123"/>
        <v>2.6641730176516953E-2</v>
      </c>
      <c r="BC87">
        <f t="shared" si="124"/>
        <v>2.7013338186241573</v>
      </c>
      <c r="BD87">
        <f t="shared" si="125"/>
        <v>251.5373408245523</v>
      </c>
      <c r="BE87" t="s">
        <v>781</v>
      </c>
      <c r="BF87">
        <v>601.29999999999995</v>
      </c>
      <c r="BG87">
        <f t="shared" si="126"/>
        <v>601.29999999999995</v>
      </c>
      <c r="BH87">
        <f t="shared" si="127"/>
        <v>0.45077807044426488</v>
      </c>
      <c r="BI87">
        <f t="shared" si="128"/>
        <v>0.61197633328061785</v>
      </c>
      <c r="BJ87">
        <f t="shared" si="129"/>
        <v>0.85699172925695599</v>
      </c>
      <c r="BK87">
        <f t="shared" si="130"/>
        <v>0.38104954298587357</v>
      </c>
      <c r="BL87">
        <f t="shared" si="131"/>
        <v>0.78864241523552381</v>
      </c>
      <c r="BM87">
        <f t="shared" si="132"/>
        <v>0.46415524679617076</v>
      </c>
      <c r="BN87">
        <f t="shared" si="133"/>
        <v>0.53584475320382929</v>
      </c>
      <c r="BO87">
        <v>5828</v>
      </c>
      <c r="BP87">
        <v>290.00000000000011</v>
      </c>
      <c r="BQ87">
        <v>1015.34</v>
      </c>
      <c r="BR87">
        <v>105</v>
      </c>
      <c r="BS87">
        <v>10460</v>
      </c>
      <c r="BT87">
        <v>1014.07</v>
      </c>
      <c r="BU87">
        <v>1.27</v>
      </c>
      <c r="BV87">
        <v>300.00000000000011</v>
      </c>
      <c r="BW87">
        <v>38.299999999999997</v>
      </c>
      <c r="BX87">
        <v>1094.8215423342449</v>
      </c>
      <c r="BY87">
        <v>1.025371421197947</v>
      </c>
      <c r="BZ87">
        <v>-84.470931346169337</v>
      </c>
      <c r="CA87">
        <v>0.8761602981772032</v>
      </c>
      <c r="CB87">
        <v>0.9969966613160236</v>
      </c>
      <c r="CC87">
        <v>-1.133133481646274E-2</v>
      </c>
      <c r="CD87">
        <v>289.99999999999989</v>
      </c>
      <c r="CE87">
        <v>1010.12</v>
      </c>
      <c r="CF87">
        <v>655</v>
      </c>
      <c r="CG87">
        <v>10412.799999999999</v>
      </c>
      <c r="CH87">
        <v>1013.7</v>
      </c>
      <c r="CI87">
        <v>-3.58</v>
      </c>
      <c r="CW87">
        <f t="shared" si="134"/>
        <v>1799.95</v>
      </c>
      <c r="CX87">
        <f t="shared" si="135"/>
        <v>1513.1427003290926</v>
      </c>
      <c r="CY87">
        <f t="shared" si="136"/>
        <v>0.84065818513241619</v>
      </c>
      <c r="CZ87">
        <f t="shared" si="137"/>
        <v>0.19131637026483242</v>
      </c>
      <c r="DA87">
        <v>6</v>
      </c>
      <c r="DB87">
        <v>0.5</v>
      </c>
      <c r="DC87" t="s">
        <v>420</v>
      </c>
      <c r="DD87">
        <v>2</v>
      </c>
      <c r="DE87">
        <v>1693511630.5999999</v>
      </c>
      <c r="DF87">
        <v>350.34399999999999</v>
      </c>
      <c r="DG87">
        <v>400.04</v>
      </c>
      <c r="DH87">
        <v>28.306999999999999</v>
      </c>
      <c r="DI87">
        <v>23.494599999999998</v>
      </c>
      <c r="DJ87">
        <v>352.84300000000002</v>
      </c>
      <c r="DK87">
        <v>27.8904</v>
      </c>
      <c r="DL87">
        <v>500.274</v>
      </c>
      <c r="DM87">
        <v>99.447699999999998</v>
      </c>
      <c r="DN87">
        <v>0.10050000000000001</v>
      </c>
      <c r="DO87">
        <v>30.2715</v>
      </c>
      <c r="DP87">
        <v>30.0639</v>
      </c>
      <c r="DQ87">
        <v>999.9</v>
      </c>
      <c r="DR87">
        <v>0</v>
      </c>
      <c r="DS87">
        <v>0</v>
      </c>
      <c r="DT87">
        <v>9945</v>
      </c>
      <c r="DU87">
        <v>0</v>
      </c>
      <c r="DV87">
        <v>758.47500000000002</v>
      </c>
      <c r="DW87">
        <v>-49.696300000000001</v>
      </c>
      <c r="DX87">
        <v>360.55</v>
      </c>
      <c r="DY87">
        <v>409.66500000000002</v>
      </c>
      <c r="DZ87">
        <v>4.8124500000000001</v>
      </c>
      <c r="EA87">
        <v>400.04</v>
      </c>
      <c r="EB87">
        <v>23.494599999999998</v>
      </c>
      <c r="EC87">
        <v>2.81507</v>
      </c>
      <c r="ED87">
        <v>2.3364799999999999</v>
      </c>
      <c r="EE87">
        <v>22.9727</v>
      </c>
      <c r="EF87">
        <v>19.930099999999999</v>
      </c>
      <c r="EG87">
        <v>1799.95</v>
      </c>
      <c r="EH87">
        <v>0.97799700000000001</v>
      </c>
      <c r="EI87">
        <v>2.2002799999999999E-2</v>
      </c>
      <c r="EJ87">
        <v>0</v>
      </c>
      <c r="EK87">
        <v>792.92100000000005</v>
      </c>
      <c r="EL87">
        <v>4.9995000000000003</v>
      </c>
      <c r="EM87">
        <v>15110.4</v>
      </c>
      <c r="EN87">
        <v>16659.400000000001</v>
      </c>
      <c r="EO87">
        <v>47</v>
      </c>
      <c r="EP87">
        <v>48.186999999999998</v>
      </c>
      <c r="EQ87">
        <v>47.936999999999998</v>
      </c>
      <c r="ER87">
        <v>46.936999999999998</v>
      </c>
      <c r="ES87">
        <v>48.311999999999998</v>
      </c>
      <c r="ET87">
        <v>1755.46</v>
      </c>
      <c r="EU87">
        <v>39.49</v>
      </c>
      <c r="EV87">
        <v>0</v>
      </c>
      <c r="EW87">
        <v>1853.6000001430509</v>
      </c>
      <c r="EX87">
        <v>0</v>
      </c>
      <c r="EY87">
        <v>792.79803846153845</v>
      </c>
      <c r="EZ87">
        <v>0.36427350939398101</v>
      </c>
      <c r="FA87">
        <v>-16.772649456297419</v>
      </c>
      <c r="FB87">
        <v>15097.64615384615</v>
      </c>
      <c r="FC87">
        <v>15</v>
      </c>
      <c r="FD87">
        <v>1693511601.5999999</v>
      </c>
      <c r="FE87" t="s">
        <v>782</v>
      </c>
      <c r="FF87">
        <v>1693511598.5999999</v>
      </c>
      <c r="FG87">
        <v>1693511601.5999999</v>
      </c>
      <c r="FH87">
        <v>81</v>
      </c>
      <c r="FI87">
        <v>0.12</v>
      </c>
      <c r="FJ87">
        <v>2.9000000000000001E-2</v>
      </c>
      <c r="FK87">
        <v>-2.573</v>
      </c>
      <c r="FL87">
        <v>0.20699999999999999</v>
      </c>
      <c r="FM87">
        <v>400</v>
      </c>
      <c r="FN87">
        <v>23</v>
      </c>
      <c r="FO87">
        <v>0.13</v>
      </c>
      <c r="FP87">
        <v>0.05</v>
      </c>
      <c r="FQ87">
        <v>40.020625634037998</v>
      </c>
      <c r="FR87">
        <v>-0.28565698420819069</v>
      </c>
      <c r="FS87">
        <v>8.1037203762198584E-2</v>
      </c>
      <c r="FT87">
        <v>1</v>
      </c>
      <c r="FU87">
        <v>0.28770613905807357</v>
      </c>
      <c r="FV87">
        <v>1.7662756798435791E-2</v>
      </c>
      <c r="FW87">
        <v>2.498962115315233E-3</v>
      </c>
      <c r="FX87">
        <v>1</v>
      </c>
      <c r="FY87">
        <v>2</v>
      </c>
      <c r="FZ87">
        <v>2</v>
      </c>
      <c r="GA87" t="s">
        <v>422</v>
      </c>
      <c r="GB87">
        <v>2.9718599999999999</v>
      </c>
      <c r="GC87">
        <v>2.8117200000000002</v>
      </c>
      <c r="GD87">
        <v>8.8231699999999996E-2</v>
      </c>
      <c r="GE87">
        <v>9.6278100000000005E-2</v>
      </c>
      <c r="GF87">
        <v>0.134293</v>
      </c>
      <c r="GG87">
        <v>0.11744599999999999</v>
      </c>
      <c r="GH87">
        <v>27003.5</v>
      </c>
      <c r="GI87">
        <v>24642.3</v>
      </c>
      <c r="GJ87">
        <v>26614.6</v>
      </c>
      <c r="GK87">
        <v>25719.9</v>
      </c>
      <c r="GL87">
        <v>31331.7</v>
      </c>
      <c r="GM87">
        <v>31962.3</v>
      </c>
      <c r="GN87">
        <v>37681.199999999997</v>
      </c>
      <c r="GO87">
        <v>38039.199999999997</v>
      </c>
      <c r="GP87">
        <v>1.9835</v>
      </c>
      <c r="GQ87">
        <v>1.9843999999999999</v>
      </c>
      <c r="GR87">
        <v>7.3492500000000002E-2</v>
      </c>
      <c r="GS87">
        <v>0</v>
      </c>
      <c r="GT87">
        <v>28.866900000000001</v>
      </c>
      <c r="GU87">
        <v>999.9</v>
      </c>
      <c r="GV87">
        <v>42.4</v>
      </c>
      <c r="GW87">
        <v>40.1</v>
      </c>
      <c r="GX87">
        <v>31.778600000000001</v>
      </c>
      <c r="GY87">
        <v>61.464599999999997</v>
      </c>
      <c r="GZ87">
        <v>14.2468</v>
      </c>
      <c r="HA87">
        <v>1</v>
      </c>
      <c r="HB87">
        <v>0.21435999999999999</v>
      </c>
      <c r="HC87">
        <v>1.1797</v>
      </c>
      <c r="HD87">
        <v>20.245699999999999</v>
      </c>
      <c r="HE87">
        <v>5.2100999999999997</v>
      </c>
      <c r="HF87">
        <v>11.9321</v>
      </c>
      <c r="HG87">
        <v>4.9875999999999996</v>
      </c>
      <c r="HH87">
        <v>3.2909999999999999</v>
      </c>
      <c r="HI87">
        <v>9999</v>
      </c>
      <c r="HJ87">
        <v>9999</v>
      </c>
      <c r="HK87">
        <v>9999</v>
      </c>
      <c r="HL87">
        <v>999.9</v>
      </c>
      <c r="HM87">
        <v>1.87134</v>
      </c>
      <c r="HN87">
        <v>1.8774</v>
      </c>
      <c r="HO87">
        <v>1.8751500000000001</v>
      </c>
      <c r="HP87">
        <v>1.8733299999999999</v>
      </c>
      <c r="HQ87">
        <v>1.87391</v>
      </c>
      <c r="HR87">
        <v>1.87127</v>
      </c>
      <c r="HS87">
        <v>1.87714</v>
      </c>
      <c r="HT87">
        <v>1.8762399999999999</v>
      </c>
      <c r="HU87">
        <v>5</v>
      </c>
      <c r="HV87">
        <v>0</v>
      </c>
      <c r="HW87">
        <v>0</v>
      </c>
      <c r="HX87">
        <v>0</v>
      </c>
      <c r="HY87" t="s">
        <v>423</v>
      </c>
      <c r="HZ87" t="s">
        <v>424</v>
      </c>
      <c r="IA87" t="s">
        <v>425</v>
      </c>
      <c r="IB87" t="s">
        <v>425</v>
      </c>
      <c r="IC87" t="s">
        <v>425</v>
      </c>
      <c r="ID87" t="s">
        <v>425</v>
      </c>
      <c r="IE87">
        <v>0</v>
      </c>
      <c r="IF87">
        <v>100</v>
      </c>
      <c r="IG87">
        <v>100</v>
      </c>
      <c r="IH87">
        <v>-2.4990000000000001</v>
      </c>
      <c r="II87">
        <v>0.41660000000000003</v>
      </c>
      <c r="IJ87">
        <v>-1.76838209731936</v>
      </c>
      <c r="IK87">
        <v>-2.677719669153116E-3</v>
      </c>
      <c r="IL87">
        <v>1.9353498771248068E-6</v>
      </c>
      <c r="IM87">
        <v>-6.1862177325538213E-10</v>
      </c>
      <c r="IN87">
        <v>-0.1923819570149071</v>
      </c>
      <c r="IO87">
        <v>-1.5299015507423901E-2</v>
      </c>
      <c r="IP87">
        <v>1.742162107778985E-3</v>
      </c>
      <c r="IQ87">
        <v>-1.472690239905804E-5</v>
      </c>
      <c r="IR87">
        <v>3</v>
      </c>
      <c r="IS87">
        <v>2255</v>
      </c>
      <c r="IT87">
        <v>2</v>
      </c>
      <c r="IU87">
        <v>41</v>
      </c>
      <c r="IV87">
        <v>0.5</v>
      </c>
      <c r="IW87">
        <v>0.5</v>
      </c>
      <c r="IX87">
        <v>0.94970699999999997</v>
      </c>
      <c r="IY87">
        <v>2.51831</v>
      </c>
      <c r="IZ87">
        <v>1.5991200000000001</v>
      </c>
      <c r="JA87">
        <v>2.2717299999999998</v>
      </c>
      <c r="JB87">
        <v>1.5502899999999999</v>
      </c>
      <c r="JC87">
        <v>2.3962400000000001</v>
      </c>
      <c r="JD87">
        <v>47.813400000000001</v>
      </c>
      <c r="JE87">
        <v>23.807300000000001</v>
      </c>
      <c r="JF87">
        <v>18</v>
      </c>
      <c r="JG87">
        <v>505.32600000000002</v>
      </c>
      <c r="JH87">
        <v>474.803</v>
      </c>
      <c r="JI87">
        <v>27.234300000000001</v>
      </c>
      <c r="JJ87">
        <v>30.228000000000002</v>
      </c>
      <c r="JK87">
        <v>30.0002</v>
      </c>
      <c r="JL87">
        <v>30.286200000000001</v>
      </c>
      <c r="JM87">
        <v>30.2621</v>
      </c>
      <c r="JN87">
        <v>19.0535</v>
      </c>
      <c r="JO87">
        <v>29.582699999999999</v>
      </c>
      <c r="JP87">
        <v>46.074599999999997</v>
      </c>
      <c r="JQ87">
        <v>27.218900000000001</v>
      </c>
      <c r="JR87">
        <v>400</v>
      </c>
      <c r="JS87">
        <v>23.484100000000002</v>
      </c>
      <c r="JT87">
        <v>99.375200000000007</v>
      </c>
      <c r="JU87">
        <v>98.828699999999998</v>
      </c>
    </row>
    <row r="88" spans="1:281" x14ac:dyDescent="0.25">
      <c r="A88">
        <v>72</v>
      </c>
      <c r="B88">
        <v>1693511736.5999999</v>
      </c>
      <c r="C88">
        <v>17757</v>
      </c>
      <c r="D88" t="s">
        <v>783</v>
      </c>
      <c r="E88" t="s">
        <v>784</v>
      </c>
      <c r="F88" t="s">
        <v>413</v>
      </c>
      <c r="G88" t="s">
        <v>778</v>
      </c>
      <c r="H88" t="s">
        <v>779</v>
      </c>
      <c r="I88" t="s">
        <v>416</v>
      </c>
      <c r="J88">
        <v>1693511736.5999999</v>
      </c>
      <c r="K88">
        <f t="shared" si="92"/>
        <v>4.1827673263710816E-3</v>
      </c>
      <c r="L88">
        <f t="shared" si="93"/>
        <v>4.1827673263710814</v>
      </c>
      <c r="M88">
        <f t="shared" si="94"/>
        <v>31.999964620981896</v>
      </c>
      <c r="N88">
        <f t="shared" si="95"/>
        <v>260.346</v>
      </c>
      <c r="O88">
        <f t="shared" si="96"/>
        <v>75.43117526501041</v>
      </c>
      <c r="P88">
        <f t="shared" si="97"/>
        <v>7.5087825303072702</v>
      </c>
      <c r="Q88">
        <f t="shared" si="98"/>
        <v>25.916094900647401</v>
      </c>
      <c r="R88">
        <f t="shared" si="99"/>
        <v>0.29653919578584514</v>
      </c>
      <c r="S88">
        <f t="shared" si="100"/>
        <v>2.9285430646202641</v>
      </c>
      <c r="T88">
        <f t="shared" si="101"/>
        <v>0.28081035379630981</v>
      </c>
      <c r="U88">
        <f t="shared" si="102"/>
        <v>0.17685009066562857</v>
      </c>
      <c r="V88">
        <f t="shared" si="103"/>
        <v>344.37890065814855</v>
      </c>
      <c r="W88">
        <f t="shared" si="104"/>
        <v>31.147877581678703</v>
      </c>
      <c r="X88">
        <f t="shared" si="105"/>
        <v>29.9895</v>
      </c>
      <c r="Y88">
        <f t="shared" si="106"/>
        <v>4.2578809218060645</v>
      </c>
      <c r="Z88">
        <f t="shared" si="107"/>
        <v>65.593171536284117</v>
      </c>
      <c r="AA88">
        <f t="shared" si="108"/>
        <v>2.82789902194027</v>
      </c>
      <c r="AB88">
        <f t="shared" si="109"/>
        <v>4.3112704504248027</v>
      </c>
      <c r="AC88">
        <f t="shared" si="110"/>
        <v>1.4299818998657945</v>
      </c>
      <c r="AD88">
        <f t="shared" si="111"/>
        <v>-184.46003909296471</v>
      </c>
      <c r="AE88">
        <f t="shared" si="112"/>
        <v>34.276532534228572</v>
      </c>
      <c r="AF88">
        <f t="shared" si="113"/>
        <v>2.6049893810129356</v>
      </c>
      <c r="AG88">
        <f t="shared" si="114"/>
        <v>196.80038348042538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52277.131222432909</v>
      </c>
      <c r="AM88" t="s">
        <v>417</v>
      </c>
      <c r="AN88">
        <v>10238.9</v>
      </c>
      <c r="AO88">
        <v>302.21199999999999</v>
      </c>
      <c r="AP88">
        <v>4052.3</v>
      </c>
      <c r="AQ88">
        <f t="shared" si="118"/>
        <v>0.92542210596451402</v>
      </c>
      <c r="AR88">
        <v>-0.32343011824092421</v>
      </c>
      <c r="AS88" t="s">
        <v>785</v>
      </c>
      <c r="AT88">
        <v>10439.200000000001</v>
      </c>
      <c r="AU88">
        <v>773.37432000000001</v>
      </c>
      <c r="AV88">
        <v>1016.2156059147929</v>
      </c>
      <c r="AW88">
        <f t="shared" si="119"/>
        <v>0.23896630252611428</v>
      </c>
      <c r="AX88">
        <v>0.5</v>
      </c>
      <c r="AY88">
        <f t="shared" si="120"/>
        <v>1513.2267003290742</v>
      </c>
      <c r="AZ88">
        <f t="shared" si="121"/>
        <v>31.999964620981896</v>
      </c>
      <c r="BA88">
        <f t="shared" si="122"/>
        <v>180.80509473071561</v>
      </c>
      <c r="BB88">
        <f t="shared" si="123"/>
        <v>2.1360576529738474E-2</v>
      </c>
      <c r="BC88">
        <f t="shared" si="124"/>
        <v>2.9876380331240213</v>
      </c>
      <c r="BD88">
        <f t="shared" si="125"/>
        <v>247.14515488168115</v>
      </c>
      <c r="BE88" t="s">
        <v>786</v>
      </c>
      <c r="BF88">
        <v>588.70000000000005</v>
      </c>
      <c r="BG88">
        <f t="shared" si="126"/>
        <v>588.70000000000005</v>
      </c>
      <c r="BH88">
        <f t="shared" si="127"/>
        <v>0.42069380102655007</v>
      </c>
      <c r="BI88">
        <f t="shared" si="128"/>
        <v>0.56802905567660855</v>
      </c>
      <c r="BJ88">
        <f t="shared" si="129"/>
        <v>0.8765690016414156</v>
      </c>
      <c r="BK88">
        <f t="shared" si="130"/>
        <v>0.34011212815047448</v>
      </c>
      <c r="BL88">
        <f t="shared" si="131"/>
        <v>0.80960350639377188</v>
      </c>
      <c r="BM88">
        <f t="shared" si="132"/>
        <v>0.43238920200611192</v>
      </c>
      <c r="BN88">
        <f t="shared" si="133"/>
        <v>0.56761079799388803</v>
      </c>
      <c r="BO88">
        <v>5830</v>
      </c>
      <c r="BP88">
        <v>290.00000000000011</v>
      </c>
      <c r="BQ88">
        <v>949.99</v>
      </c>
      <c r="BR88">
        <v>195</v>
      </c>
      <c r="BS88">
        <v>10439.200000000001</v>
      </c>
      <c r="BT88">
        <v>949.22</v>
      </c>
      <c r="BU88">
        <v>0.77</v>
      </c>
      <c r="BV88">
        <v>300.00000000000011</v>
      </c>
      <c r="BW88">
        <v>38.299999999999997</v>
      </c>
      <c r="BX88">
        <v>1016.2156059147929</v>
      </c>
      <c r="BY88">
        <v>1.068739629336205</v>
      </c>
      <c r="BZ88">
        <v>-69.94132777466973</v>
      </c>
      <c r="CA88">
        <v>0.91309571821062774</v>
      </c>
      <c r="CB88">
        <v>0.99525041933926384</v>
      </c>
      <c r="CC88">
        <v>-1.1329320800889889E-2</v>
      </c>
      <c r="CD88">
        <v>289.99999999999989</v>
      </c>
      <c r="CE88">
        <v>946.4</v>
      </c>
      <c r="CF88">
        <v>735</v>
      </c>
      <c r="CG88">
        <v>10404</v>
      </c>
      <c r="CH88">
        <v>948.99</v>
      </c>
      <c r="CI88">
        <v>-2.59</v>
      </c>
      <c r="CW88">
        <f t="shared" si="134"/>
        <v>1800.05</v>
      </c>
      <c r="CX88">
        <f t="shared" si="135"/>
        <v>1513.2267003290742</v>
      </c>
      <c r="CY88">
        <f t="shared" si="136"/>
        <v>0.84065814856758103</v>
      </c>
      <c r="CZ88">
        <f t="shared" si="137"/>
        <v>0.19131629713516213</v>
      </c>
      <c r="DA88">
        <v>6</v>
      </c>
      <c r="DB88">
        <v>0.5</v>
      </c>
      <c r="DC88" t="s">
        <v>420</v>
      </c>
      <c r="DD88">
        <v>2</v>
      </c>
      <c r="DE88">
        <v>1693511736.5999999</v>
      </c>
      <c r="DF88">
        <v>260.346</v>
      </c>
      <c r="DG88">
        <v>300.03699999999998</v>
      </c>
      <c r="DH88">
        <v>28.408300000000001</v>
      </c>
      <c r="DI88">
        <v>23.5335</v>
      </c>
      <c r="DJ88">
        <v>262.51299999999998</v>
      </c>
      <c r="DK88">
        <v>27.982900000000001</v>
      </c>
      <c r="DL88">
        <v>500.19799999999998</v>
      </c>
      <c r="DM88">
        <v>99.445400000000006</v>
      </c>
      <c r="DN88">
        <v>9.9416900000000002E-2</v>
      </c>
      <c r="DO88">
        <v>30.206600000000002</v>
      </c>
      <c r="DP88">
        <v>29.9895</v>
      </c>
      <c r="DQ88">
        <v>999.9</v>
      </c>
      <c r="DR88">
        <v>0</v>
      </c>
      <c r="DS88">
        <v>0</v>
      </c>
      <c r="DT88">
        <v>10050</v>
      </c>
      <c r="DU88">
        <v>0</v>
      </c>
      <c r="DV88">
        <v>1239.8699999999999</v>
      </c>
      <c r="DW88">
        <v>-39.6907</v>
      </c>
      <c r="DX88">
        <v>267.95800000000003</v>
      </c>
      <c r="DY88">
        <v>307.26799999999997</v>
      </c>
      <c r="DZ88">
        <v>4.8747800000000003</v>
      </c>
      <c r="EA88">
        <v>300.03699999999998</v>
      </c>
      <c r="EB88">
        <v>23.5335</v>
      </c>
      <c r="EC88">
        <v>2.8250700000000002</v>
      </c>
      <c r="ED88">
        <v>2.3403</v>
      </c>
      <c r="EE88">
        <v>23.031300000000002</v>
      </c>
      <c r="EF88">
        <v>19.956499999999998</v>
      </c>
      <c r="EG88">
        <v>1800.05</v>
      </c>
      <c r="EH88">
        <v>0.97800100000000001</v>
      </c>
      <c r="EI88">
        <v>2.1999299999999999E-2</v>
      </c>
      <c r="EJ88">
        <v>0</v>
      </c>
      <c r="EK88">
        <v>773.08500000000004</v>
      </c>
      <c r="EL88">
        <v>4.9995000000000003</v>
      </c>
      <c r="EM88">
        <v>14741.3</v>
      </c>
      <c r="EN88">
        <v>16660.2</v>
      </c>
      <c r="EO88">
        <v>47.061999999999998</v>
      </c>
      <c r="EP88">
        <v>48.311999999999998</v>
      </c>
      <c r="EQ88">
        <v>48</v>
      </c>
      <c r="ER88">
        <v>47.061999999999998</v>
      </c>
      <c r="ES88">
        <v>48.375</v>
      </c>
      <c r="ET88">
        <v>1755.56</v>
      </c>
      <c r="EU88">
        <v>39.49</v>
      </c>
      <c r="EV88">
        <v>0</v>
      </c>
      <c r="EW88">
        <v>104</v>
      </c>
      <c r="EX88">
        <v>0</v>
      </c>
      <c r="EY88">
        <v>773.37432000000001</v>
      </c>
      <c r="EZ88">
        <v>-3.590230771036123</v>
      </c>
      <c r="FA88">
        <v>-38.223076940844692</v>
      </c>
      <c r="FB88">
        <v>14747.272000000001</v>
      </c>
      <c r="FC88">
        <v>15</v>
      </c>
      <c r="FD88">
        <v>1693511710.5999999</v>
      </c>
      <c r="FE88" t="s">
        <v>787</v>
      </c>
      <c r="FF88">
        <v>1693511708.0999999</v>
      </c>
      <c r="FG88">
        <v>1693511710.5999999</v>
      </c>
      <c r="FH88">
        <v>82</v>
      </c>
      <c r="FI88">
        <v>0.182</v>
      </c>
      <c r="FJ88">
        <v>4.0000000000000001E-3</v>
      </c>
      <c r="FK88">
        <v>-2.2360000000000002</v>
      </c>
      <c r="FL88">
        <v>0.222</v>
      </c>
      <c r="FM88">
        <v>300</v>
      </c>
      <c r="FN88">
        <v>24</v>
      </c>
      <c r="FO88">
        <v>0.11</v>
      </c>
      <c r="FP88">
        <v>0.05</v>
      </c>
      <c r="FQ88">
        <v>31.91707226669801</v>
      </c>
      <c r="FR88">
        <v>-7.3047357362146445E-2</v>
      </c>
      <c r="FS88">
        <v>6.1946465215883033E-2</v>
      </c>
      <c r="FT88">
        <v>1</v>
      </c>
      <c r="FU88">
        <v>0.29604707788752738</v>
      </c>
      <c r="FV88">
        <v>4.0377715526898672E-2</v>
      </c>
      <c r="FW88">
        <v>4.7934483907790806E-3</v>
      </c>
      <c r="FX88">
        <v>1</v>
      </c>
      <c r="FY88">
        <v>2</v>
      </c>
      <c r="FZ88">
        <v>2</v>
      </c>
      <c r="GA88" t="s">
        <v>422</v>
      </c>
      <c r="GB88">
        <v>2.97167</v>
      </c>
      <c r="GC88">
        <v>2.8115600000000001</v>
      </c>
      <c r="GD88">
        <v>6.9255200000000003E-2</v>
      </c>
      <c r="GE88">
        <v>7.6561500000000005E-2</v>
      </c>
      <c r="GF88">
        <v>0.13461400000000001</v>
      </c>
      <c r="GG88">
        <v>0.117592</v>
      </c>
      <c r="GH88">
        <v>27566.7</v>
      </c>
      <c r="GI88">
        <v>25179.3</v>
      </c>
      <c r="GJ88">
        <v>26615.599999999999</v>
      </c>
      <c r="GK88">
        <v>25719.1</v>
      </c>
      <c r="GL88">
        <v>31319.599999999999</v>
      </c>
      <c r="GM88">
        <v>31954</v>
      </c>
      <c r="GN88">
        <v>37682.800000000003</v>
      </c>
      <c r="GO88">
        <v>38037.300000000003</v>
      </c>
      <c r="GP88">
        <v>1.9832000000000001</v>
      </c>
      <c r="GQ88">
        <v>1.9809000000000001</v>
      </c>
      <c r="GR88">
        <v>6.2614699999999995E-2</v>
      </c>
      <c r="GS88">
        <v>0</v>
      </c>
      <c r="GT88">
        <v>28.9696</v>
      </c>
      <c r="GU88">
        <v>999.9</v>
      </c>
      <c r="GV88">
        <v>41.4</v>
      </c>
      <c r="GW88">
        <v>40.5</v>
      </c>
      <c r="GX88">
        <v>31.6967</v>
      </c>
      <c r="GY88">
        <v>61.064599999999999</v>
      </c>
      <c r="GZ88">
        <v>14.7075</v>
      </c>
      <c r="HA88">
        <v>1</v>
      </c>
      <c r="HB88">
        <v>0.21485799999999999</v>
      </c>
      <c r="HC88">
        <v>1.4695199999999999</v>
      </c>
      <c r="HD88">
        <v>20.242599999999999</v>
      </c>
      <c r="HE88">
        <v>5.2100999999999997</v>
      </c>
      <c r="HF88">
        <v>11.9321</v>
      </c>
      <c r="HG88">
        <v>4.9878</v>
      </c>
      <c r="HH88">
        <v>3.2909999999999999</v>
      </c>
      <c r="HI88">
        <v>9999</v>
      </c>
      <c r="HJ88">
        <v>9999</v>
      </c>
      <c r="HK88">
        <v>9999</v>
      </c>
      <c r="HL88">
        <v>999.9</v>
      </c>
      <c r="HM88">
        <v>1.87134</v>
      </c>
      <c r="HN88">
        <v>1.87741</v>
      </c>
      <c r="HO88">
        <v>1.8751500000000001</v>
      </c>
      <c r="HP88">
        <v>1.8733299999999999</v>
      </c>
      <c r="HQ88">
        <v>1.8739300000000001</v>
      </c>
      <c r="HR88">
        <v>1.8713299999999999</v>
      </c>
      <c r="HS88">
        <v>1.87714</v>
      </c>
      <c r="HT88">
        <v>1.87629</v>
      </c>
      <c r="HU88">
        <v>5</v>
      </c>
      <c r="HV88">
        <v>0</v>
      </c>
      <c r="HW88">
        <v>0</v>
      </c>
      <c r="HX88">
        <v>0</v>
      </c>
      <c r="HY88" t="s">
        <v>423</v>
      </c>
      <c r="HZ88" t="s">
        <v>424</v>
      </c>
      <c r="IA88" t="s">
        <v>425</v>
      </c>
      <c r="IB88" t="s">
        <v>425</v>
      </c>
      <c r="IC88" t="s">
        <v>425</v>
      </c>
      <c r="ID88" t="s">
        <v>425</v>
      </c>
      <c r="IE88">
        <v>0</v>
      </c>
      <c r="IF88">
        <v>100</v>
      </c>
      <c r="IG88">
        <v>100</v>
      </c>
      <c r="IH88">
        <v>-2.1669999999999998</v>
      </c>
      <c r="II88">
        <v>0.4254</v>
      </c>
      <c r="IJ88">
        <v>-1.5863951235510489</v>
      </c>
      <c r="IK88">
        <v>-2.677719669153116E-3</v>
      </c>
      <c r="IL88">
        <v>1.9353498771248068E-6</v>
      </c>
      <c r="IM88">
        <v>-6.1862177325538213E-10</v>
      </c>
      <c r="IN88">
        <v>-0.18794791083802509</v>
      </c>
      <c r="IO88">
        <v>-1.5299015507423901E-2</v>
      </c>
      <c r="IP88">
        <v>1.742162107778985E-3</v>
      </c>
      <c r="IQ88">
        <v>-1.472690239905804E-5</v>
      </c>
      <c r="IR88">
        <v>3</v>
      </c>
      <c r="IS88">
        <v>2255</v>
      </c>
      <c r="IT88">
        <v>2</v>
      </c>
      <c r="IU88">
        <v>41</v>
      </c>
      <c r="IV88">
        <v>0.5</v>
      </c>
      <c r="IW88">
        <v>0.4</v>
      </c>
      <c r="IX88">
        <v>0.75927699999999998</v>
      </c>
      <c r="IY88">
        <v>2.5293000000000001</v>
      </c>
      <c r="IZ88">
        <v>1.5991200000000001</v>
      </c>
      <c r="JA88">
        <v>2.2717299999999998</v>
      </c>
      <c r="JB88">
        <v>1.5502899999999999</v>
      </c>
      <c r="JC88">
        <v>2.4377399999999998</v>
      </c>
      <c r="JD88">
        <v>47.9651</v>
      </c>
      <c r="JE88">
        <v>23.816099999999999</v>
      </c>
      <c r="JF88">
        <v>18</v>
      </c>
      <c r="JG88">
        <v>504.87299999999999</v>
      </c>
      <c r="JH88">
        <v>472.32100000000003</v>
      </c>
      <c r="JI88">
        <v>26.541399999999999</v>
      </c>
      <c r="JJ88">
        <v>30.212299999999999</v>
      </c>
      <c r="JK88">
        <v>30.0002</v>
      </c>
      <c r="JL88">
        <v>30.254899999999999</v>
      </c>
      <c r="JM88">
        <v>30.228300000000001</v>
      </c>
      <c r="JN88">
        <v>15.228300000000001</v>
      </c>
      <c r="JO88">
        <v>29.093800000000002</v>
      </c>
      <c r="JP88">
        <v>43.838900000000002</v>
      </c>
      <c r="JQ88">
        <v>26.547999999999998</v>
      </c>
      <c r="JR88">
        <v>300</v>
      </c>
      <c r="JS88">
        <v>23.4285</v>
      </c>
      <c r="JT88">
        <v>99.379199999999997</v>
      </c>
      <c r="JU88">
        <v>98.824399999999997</v>
      </c>
    </row>
    <row r="89" spans="1:281" x14ac:dyDescent="0.25">
      <c r="A89">
        <v>73</v>
      </c>
      <c r="B89">
        <v>1693511884.0999999</v>
      </c>
      <c r="C89">
        <v>17904.5</v>
      </c>
      <c r="D89" t="s">
        <v>788</v>
      </c>
      <c r="E89" t="s">
        <v>789</v>
      </c>
      <c r="F89" t="s">
        <v>413</v>
      </c>
      <c r="G89" t="s">
        <v>778</v>
      </c>
      <c r="H89" t="s">
        <v>779</v>
      </c>
      <c r="I89" t="s">
        <v>416</v>
      </c>
      <c r="J89">
        <v>1693511884.0999999</v>
      </c>
      <c r="K89">
        <f t="shared" si="92"/>
        <v>4.5949477210451319E-3</v>
      </c>
      <c r="L89">
        <f t="shared" si="93"/>
        <v>4.5949477210451315</v>
      </c>
      <c r="M89">
        <f t="shared" si="94"/>
        <v>23.790298517602029</v>
      </c>
      <c r="N89">
        <f t="shared" si="95"/>
        <v>170.386</v>
      </c>
      <c r="O89">
        <f t="shared" si="96"/>
        <v>41.459440104183074</v>
      </c>
      <c r="P89">
        <f t="shared" si="97"/>
        <v>4.1271003839451561</v>
      </c>
      <c r="Q89">
        <f t="shared" si="98"/>
        <v>16.961158285105</v>
      </c>
      <c r="R89">
        <f t="shared" si="99"/>
        <v>0.31673461585211943</v>
      </c>
      <c r="S89">
        <f t="shared" si="100"/>
        <v>2.9259310108480929</v>
      </c>
      <c r="T89">
        <f t="shared" si="101"/>
        <v>0.29884477501381485</v>
      </c>
      <c r="U89">
        <f t="shared" si="102"/>
        <v>0.18830105990829255</v>
      </c>
      <c r="V89">
        <f t="shared" si="103"/>
        <v>344.37700065815221</v>
      </c>
      <c r="W89">
        <f t="shared" si="104"/>
        <v>31.070851160831282</v>
      </c>
      <c r="X89">
        <f t="shared" si="105"/>
        <v>29.966899999999999</v>
      </c>
      <c r="Y89">
        <f t="shared" si="106"/>
        <v>4.2523563557716022</v>
      </c>
      <c r="Z89">
        <f t="shared" si="107"/>
        <v>64.276786246083049</v>
      </c>
      <c r="AA89">
        <f t="shared" si="108"/>
        <v>2.775806149264</v>
      </c>
      <c r="AB89">
        <f t="shared" si="109"/>
        <v>4.3185204354132658</v>
      </c>
      <c r="AC89">
        <f t="shared" si="110"/>
        <v>1.4765502065076022</v>
      </c>
      <c r="AD89">
        <f t="shared" si="111"/>
        <v>-202.63719449809031</v>
      </c>
      <c r="AE89">
        <f t="shared" si="112"/>
        <v>42.432811224690909</v>
      </c>
      <c r="AF89">
        <f t="shared" si="113"/>
        <v>3.2278462771784757</v>
      </c>
      <c r="AG89">
        <f t="shared" si="114"/>
        <v>187.40046366193127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52197.537993861268</v>
      </c>
      <c r="AM89" t="s">
        <v>417</v>
      </c>
      <c r="AN89">
        <v>10238.9</v>
      </c>
      <c r="AO89">
        <v>302.21199999999999</v>
      </c>
      <c r="AP89">
        <v>4052.3</v>
      </c>
      <c r="AQ89">
        <f t="shared" si="118"/>
        <v>0.92542210596451402</v>
      </c>
      <c r="AR89">
        <v>-0.32343011824092421</v>
      </c>
      <c r="AS89" t="s">
        <v>790</v>
      </c>
      <c r="AT89">
        <v>10455.799999999999</v>
      </c>
      <c r="AU89">
        <v>770.7152692307692</v>
      </c>
      <c r="AV89">
        <v>948.82914217592872</v>
      </c>
      <c r="AW89">
        <f t="shared" si="119"/>
        <v>0.18771964838336963</v>
      </c>
      <c r="AX89">
        <v>0.5</v>
      </c>
      <c r="AY89">
        <f t="shared" si="120"/>
        <v>1513.2183003290761</v>
      </c>
      <c r="AZ89">
        <f t="shared" si="121"/>
        <v>23.790298517602029</v>
      </c>
      <c r="BA89">
        <f t="shared" si="122"/>
        <v>142.0304036325272</v>
      </c>
      <c r="BB89">
        <f t="shared" si="123"/>
        <v>1.5935393214976976E-2</v>
      </c>
      <c r="BC89">
        <f t="shared" si="124"/>
        <v>3.27084268375964</v>
      </c>
      <c r="BD89">
        <f t="shared" si="125"/>
        <v>242.94886229559194</v>
      </c>
      <c r="BE89" t="s">
        <v>791</v>
      </c>
      <c r="BF89">
        <v>577.85</v>
      </c>
      <c r="BG89">
        <f t="shared" si="126"/>
        <v>577.85</v>
      </c>
      <c r="BH89">
        <f t="shared" si="127"/>
        <v>0.39098624366149892</v>
      </c>
      <c r="BI89">
        <f t="shared" si="128"/>
        <v>0.48011829425357005</v>
      </c>
      <c r="BJ89">
        <f t="shared" si="129"/>
        <v>0.89322651292264132</v>
      </c>
      <c r="BK89">
        <f t="shared" si="130"/>
        <v>0.27545491965429381</v>
      </c>
      <c r="BL89">
        <f t="shared" si="131"/>
        <v>0.82757280837784908</v>
      </c>
      <c r="BM89">
        <f t="shared" si="132"/>
        <v>0.35997257017021012</v>
      </c>
      <c r="BN89">
        <f t="shared" si="133"/>
        <v>0.64002742982978988</v>
      </c>
      <c r="BO89">
        <v>5832</v>
      </c>
      <c r="BP89">
        <v>290.00000000000011</v>
      </c>
      <c r="BQ89">
        <v>901.8</v>
      </c>
      <c r="BR89">
        <v>115</v>
      </c>
      <c r="BS89">
        <v>10455.799999999999</v>
      </c>
      <c r="BT89">
        <v>900.15</v>
      </c>
      <c r="BU89">
        <v>1.65</v>
      </c>
      <c r="BV89">
        <v>300.00000000000011</v>
      </c>
      <c r="BW89">
        <v>38.299999999999997</v>
      </c>
      <c r="BX89">
        <v>948.82914217592872</v>
      </c>
      <c r="BY89">
        <v>1.145316885828916</v>
      </c>
      <c r="BZ89">
        <v>-50.89814214493633</v>
      </c>
      <c r="CA89">
        <v>0.97846124858701922</v>
      </c>
      <c r="CB89">
        <v>0.98975833422756165</v>
      </c>
      <c r="CC89">
        <v>-1.1328545717463849E-2</v>
      </c>
      <c r="CD89">
        <v>289.99999999999989</v>
      </c>
      <c r="CE89">
        <v>899.4</v>
      </c>
      <c r="CF89">
        <v>695</v>
      </c>
      <c r="CG89">
        <v>10406.799999999999</v>
      </c>
      <c r="CH89">
        <v>899.92</v>
      </c>
      <c r="CI89">
        <v>-0.52</v>
      </c>
      <c r="CW89">
        <f t="shared" si="134"/>
        <v>1800.04</v>
      </c>
      <c r="CX89">
        <f t="shared" si="135"/>
        <v>1513.2183003290761</v>
      </c>
      <c r="CY89">
        <f t="shared" si="136"/>
        <v>0.84065815222388174</v>
      </c>
      <c r="CZ89">
        <f t="shared" si="137"/>
        <v>0.19131630444776351</v>
      </c>
      <c r="DA89">
        <v>6</v>
      </c>
      <c r="DB89">
        <v>0.5</v>
      </c>
      <c r="DC89" t="s">
        <v>420</v>
      </c>
      <c r="DD89">
        <v>2</v>
      </c>
      <c r="DE89">
        <v>1693511884.0999999</v>
      </c>
      <c r="DF89">
        <v>170.386</v>
      </c>
      <c r="DG89">
        <v>199.858</v>
      </c>
      <c r="DH89">
        <v>27.884799999999998</v>
      </c>
      <c r="DI89">
        <v>22.5275</v>
      </c>
      <c r="DJ89">
        <v>172.31800000000001</v>
      </c>
      <c r="DK89">
        <v>27.712800000000001</v>
      </c>
      <c r="DL89">
        <v>500.26900000000001</v>
      </c>
      <c r="DM89">
        <v>99.445800000000006</v>
      </c>
      <c r="DN89">
        <v>9.9692500000000003E-2</v>
      </c>
      <c r="DO89">
        <v>30.235900000000001</v>
      </c>
      <c r="DP89">
        <v>29.966899999999999</v>
      </c>
      <c r="DQ89">
        <v>999.9</v>
      </c>
      <c r="DR89">
        <v>0</v>
      </c>
      <c r="DS89">
        <v>0</v>
      </c>
      <c r="DT89">
        <v>10035</v>
      </c>
      <c r="DU89">
        <v>0</v>
      </c>
      <c r="DV89">
        <v>1321.13</v>
      </c>
      <c r="DW89">
        <v>-29.532900000000001</v>
      </c>
      <c r="DX89">
        <v>175.25399999999999</v>
      </c>
      <c r="DY89">
        <v>204.464</v>
      </c>
      <c r="DZ89">
        <v>5.5979799999999997</v>
      </c>
      <c r="EA89">
        <v>199.858</v>
      </c>
      <c r="EB89">
        <v>22.5275</v>
      </c>
      <c r="EC89">
        <v>2.7969599999999999</v>
      </c>
      <c r="ED89">
        <v>2.2402600000000001</v>
      </c>
      <c r="EE89">
        <v>22.866099999999999</v>
      </c>
      <c r="EF89">
        <v>19.2532</v>
      </c>
      <c r="EG89">
        <v>1800.04</v>
      </c>
      <c r="EH89">
        <v>0.97800100000000001</v>
      </c>
      <c r="EI89">
        <v>2.1999299999999999E-2</v>
      </c>
      <c r="EJ89">
        <v>0</v>
      </c>
      <c r="EK89">
        <v>770.423</v>
      </c>
      <c r="EL89">
        <v>4.9995000000000003</v>
      </c>
      <c r="EM89">
        <v>14686.4</v>
      </c>
      <c r="EN89">
        <v>16660.2</v>
      </c>
      <c r="EO89">
        <v>47.186999999999998</v>
      </c>
      <c r="EP89">
        <v>48.436999999999998</v>
      </c>
      <c r="EQ89">
        <v>48.125</v>
      </c>
      <c r="ER89">
        <v>47.125</v>
      </c>
      <c r="ES89">
        <v>48.436999999999998</v>
      </c>
      <c r="ET89">
        <v>1755.55</v>
      </c>
      <c r="EU89">
        <v>39.49</v>
      </c>
      <c r="EV89">
        <v>0</v>
      </c>
      <c r="EW89">
        <v>145.4000000953674</v>
      </c>
      <c r="EX89">
        <v>0</v>
      </c>
      <c r="EY89">
        <v>770.7152692307692</v>
      </c>
      <c r="EZ89">
        <v>-0.75449572610410731</v>
      </c>
      <c r="FA89">
        <v>-35.599999973684639</v>
      </c>
      <c r="FB89">
        <v>14690.957692307689</v>
      </c>
      <c r="FC89">
        <v>15</v>
      </c>
      <c r="FD89">
        <v>1693511911.0999999</v>
      </c>
      <c r="FE89" t="s">
        <v>792</v>
      </c>
      <c r="FF89">
        <v>1693511902.5999999</v>
      </c>
      <c r="FG89">
        <v>1693511911.0999999</v>
      </c>
      <c r="FH89">
        <v>83</v>
      </c>
      <c r="FI89">
        <v>0.121</v>
      </c>
      <c r="FJ89">
        <v>-5.0000000000000001E-3</v>
      </c>
      <c r="FK89">
        <v>-1.9319999999999999</v>
      </c>
      <c r="FL89">
        <v>0.17199999999999999</v>
      </c>
      <c r="FM89">
        <v>200</v>
      </c>
      <c r="FN89">
        <v>23</v>
      </c>
      <c r="FO89">
        <v>0.16</v>
      </c>
      <c r="FP89">
        <v>0.05</v>
      </c>
      <c r="FQ89">
        <v>23.81585361234756</v>
      </c>
      <c r="FR89">
        <v>0.65708137293243651</v>
      </c>
      <c r="FS89">
        <v>7.0301489145108018E-2</v>
      </c>
      <c r="FT89">
        <v>1</v>
      </c>
      <c r="FU89">
        <v>0.33530853781539949</v>
      </c>
      <c r="FV89">
        <v>9.4900660650623237E-3</v>
      </c>
      <c r="FW89">
        <v>1.4317882198341459E-3</v>
      </c>
      <c r="FX89">
        <v>1</v>
      </c>
      <c r="FY89">
        <v>2</v>
      </c>
      <c r="FZ89">
        <v>2</v>
      </c>
      <c r="GA89" t="s">
        <v>422</v>
      </c>
      <c r="GB89">
        <v>2.9718800000000001</v>
      </c>
      <c r="GC89">
        <v>2.8117000000000001</v>
      </c>
      <c r="GD89">
        <v>4.78559E-2</v>
      </c>
      <c r="GE89">
        <v>5.4066700000000002E-2</v>
      </c>
      <c r="GF89">
        <v>0.133711</v>
      </c>
      <c r="GG89">
        <v>0.114054</v>
      </c>
      <c r="GH89">
        <v>28200.5</v>
      </c>
      <c r="GI89">
        <v>25793.1</v>
      </c>
      <c r="GJ89">
        <v>26615.599999999999</v>
      </c>
      <c r="GK89">
        <v>25719.599999999999</v>
      </c>
      <c r="GL89">
        <v>31350.6</v>
      </c>
      <c r="GM89">
        <v>32081.9</v>
      </c>
      <c r="GN89">
        <v>37681.9</v>
      </c>
      <c r="GO89">
        <v>38038.9</v>
      </c>
      <c r="GP89">
        <v>1.9843999999999999</v>
      </c>
      <c r="GQ89">
        <v>1.9752000000000001</v>
      </c>
      <c r="GR89">
        <v>6.6101599999999996E-2</v>
      </c>
      <c r="GS89">
        <v>0</v>
      </c>
      <c r="GT89">
        <v>28.8902</v>
      </c>
      <c r="GU89">
        <v>999.9</v>
      </c>
      <c r="GV89">
        <v>39.799999999999997</v>
      </c>
      <c r="GW89">
        <v>41</v>
      </c>
      <c r="GX89">
        <v>31.291599999999999</v>
      </c>
      <c r="GY89">
        <v>61.084600000000002</v>
      </c>
      <c r="GZ89">
        <v>14.759600000000001</v>
      </c>
      <c r="HA89">
        <v>1</v>
      </c>
      <c r="HB89">
        <v>0.21341499999999999</v>
      </c>
      <c r="HC89">
        <v>0.51871500000000004</v>
      </c>
      <c r="HD89">
        <v>20.249300000000002</v>
      </c>
      <c r="HE89">
        <v>5.2100999999999997</v>
      </c>
      <c r="HF89">
        <v>11.9321</v>
      </c>
      <c r="HG89">
        <v>4.9882</v>
      </c>
      <c r="HH89">
        <v>3.2909999999999999</v>
      </c>
      <c r="HI89">
        <v>9999</v>
      </c>
      <c r="HJ89">
        <v>9999</v>
      </c>
      <c r="HK89">
        <v>9999</v>
      </c>
      <c r="HL89">
        <v>999.9</v>
      </c>
      <c r="HM89">
        <v>1.87134</v>
      </c>
      <c r="HN89">
        <v>1.8773599999999999</v>
      </c>
      <c r="HO89">
        <v>1.8751500000000001</v>
      </c>
      <c r="HP89">
        <v>1.8733200000000001</v>
      </c>
      <c r="HQ89">
        <v>1.8739300000000001</v>
      </c>
      <c r="HR89">
        <v>1.87134</v>
      </c>
      <c r="HS89">
        <v>1.87714</v>
      </c>
      <c r="HT89">
        <v>1.8763300000000001</v>
      </c>
      <c r="HU89">
        <v>5</v>
      </c>
      <c r="HV89">
        <v>0</v>
      </c>
      <c r="HW89">
        <v>0</v>
      </c>
      <c r="HX89">
        <v>0</v>
      </c>
      <c r="HY89" t="s">
        <v>423</v>
      </c>
      <c r="HZ89" t="s">
        <v>424</v>
      </c>
      <c r="IA89" t="s">
        <v>425</v>
      </c>
      <c r="IB89" t="s">
        <v>425</v>
      </c>
      <c r="IC89" t="s">
        <v>425</v>
      </c>
      <c r="ID89" t="s">
        <v>425</v>
      </c>
      <c r="IE89">
        <v>0</v>
      </c>
      <c r="IF89">
        <v>100</v>
      </c>
      <c r="IG89">
        <v>100</v>
      </c>
      <c r="IH89">
        <v>-1.9319999999999999</v>
      </c>
      <c r="II89">
        <v>0.17199999999999999</v>
      </c>
      <c r="IJ89">
        <v>-1.5863951235510489</v>
      </c>
      <c r="IK89">
        <v>-2.677719669153116E-3</v>
      </c>
      <c r="IL89">
        <v>1.9353498771248068E-6</v>
      </c>
      <c r="IM89">
        <v>-6.1862177325538213E-10</v>
      </c>
      <c r="IN89">
        <v>-0.18794791083802509</v>
      </c>
      <c r="IO89">
        <v>-1.5299015507423901E-2</v>
      </c>
      <c r="IP89">
        <v>1.742162107778985E-3</v>
      </c>
      <c r="IQ89">
        <v>-1.472690239905804E-5</v>
      </c>
      <c r="IR89">
        <v>3</v>
      </c>
      <c r="IS89">
        <v>2255</v>
      </c>
      <c r="IT89">
        <v>2</v>
      </c>
      <c r="IU89">
        <v>41</v>
      </c>
      <c r="IV89">
        <v>2.9</v>
      </c>
      <c r="IW89">
        <v>2.9</v>
      </c>
      <c r="IX89">
        <v>0.55908199999999997</v>
      </c>
      <c r="IY89">
        <v>2.5366200000000001</v>
      </c>
      <c r="IZ89">
        <v>1.5991200000000001</v>
      </c>
      <c r="JA89">
        <v>2.2705099999999998</v>
      </c>
      <c r="JB89">
        <v>1.5502899999999999</v>
      </c>
      <c r="JC89">
        <v>2.4291999999999998</v>
      </c>
      <c r="JD89">
        <v>48.300899999999999</v>
      </c>
      <c r="JE89">
        <v>23.807300000000001</v>
      </c>
      <c r="JF89">
        <v>18</v>
      </c>
      <c r="JG89">
        <v>505.48899999999998</v>
      </c>
      <c r="JH89">
        <v>468.57400000000001</v>
      </c>
      <c r="JI89">
        <v>27.657900000000001</v>
      </c>
      <c r="JJ89">
        <v>30.215</v>
      </c>
      <c r="JK89">
        <v>29.9999</v>
      </c>
      <c r="JL89">
        <v>30.236599999999999</v>
      </c>
      <c r="JM89">
        <v>30.2075</v>
      </c>
      <c r="JN89">
        <v>11.2341</v>
      </c>
      <c r="JO89">
        <v>30.7774</v>
      </c>
      <c r="JP89">
        <v>39.292499999999997</v>
      </c>
      <c r="JQ89">
        <v>27.674299999999999</v>
      </c>
      <c r="JR89">
        <v>200</v>
      </c>
      <c r="JS89">
        <v>22.606000000000002</v>
      </c>
      <c r="JT89">
        <v>99.378</v>
      </c>
      <c r="JU89">
        <v>98.827699999999993</v>
      </c>
    </row>
    <row r="90" spans="1:281" x14ac:dyDescent="0.25">
      <c r="A90">
        <v>74</v>
      </c>
      <c r="B90">
        <v>1693512038.5999999</v>
      </c>
      <c r="C90">
        <v>18059</v>
      </c>
      <c r="D90" t="s">
        <v>793</v>
      </c>
      <c r="E90" t="s">
        <v>794</v>
      </c>
      <c r="F90" t="s">
        <v>413</v>
      </c>
      <c r="G90" t="s">
        <v>778</v>
      </c>
      <c r="H90" t="s">
        <v>779</v>
      </c>
      <c r="I90" t="s">
        <v>416</v>
      </c>
      <c r="J90">
        <v>1693512038.5999999</v>
      </c>
      <c r="K90">
        <f t="shared" si="92"/>
        <v>5.2721389981377461E-3</v>
      </c>
      <c r="L90">
        <f t="shared" si="93"/>
        <v>5.2721389981377458</v>
      </c>
      <c r="M90">
        <f t="shared" si="94"/>
        <v>15.534733547111495</v>
      </c>
      <c r="N90">
        <f t="shared" si="95"/>
        <v>100.684</v>
      </c>
      <c r="O90">
        <f t="shared" si="96"/>
        <v>30.533888982319116</v>
      </c>
      <c r="P90">
        <f t="shared" si="97"/>
        <v>3.0393078533481588</v>
      </c>
      <c r="Q90">
        <f t="shared" si="98"/>
        <v>10.021968445739201</v>
      </c>
      <c r="R90">
        <f t="shared" si="99"/>
        <v>0.38471697270626132</v>
      </c>
      <c r="S90">
        <f t="shared" si="100"/>
        <v>2.931058931386096</v>
      </c>
      <c r="T90">
        <f t="shared" si="101"/>
        <v>0.35870455491442632</v>
      </c>
      <c r="U90">
        <f t="shared" si="102"/>
        <v>0.22638072544158025</v>
      </c>
      <c r="V90">
        <f t="shared" si="103"/>
        <v>344.40740065809371</v>
      </c>
      <c r="W90">
        <f t="shared" si="104"/>
        <v>30.909729612188762</v>
      </c>
      <c r="X90">
        <f t="shared" si="105"/>
        <v>29.965499999999999</v>
      </c>
      <c r="Y90">
        <f t="shared" si="106"/>
        <v>4.2520143315933261</v>
      </c>
      <c r="Z90">
        <f t="shared" si="107"/>
        <v>65.730629128835616</v>
      </c>
      <c r="AA90">
        <f t="shared" si="108"/>
        <v>2.8411470297522801</v>
      </c>
      <c r="AB90">
        <f t="shared" si="109"/>
        <v>4.3224096093519462</v>
      </c>
      <c r="AC90">
        <f t="shared" si="110"/>
        <v>1.410867301841046</v>
      </c>
      <c r="AD90">
        <f t="shared" si="111"/>
        <v>-232.50132981787459</v>
      </c>
      <c r="AE90">
        <f t="shared" si="112"/>
        <v>45.209307170052817</v>
      </c>
      <c r="AF90">
        <f t="shared" si="113"/>
        <v>3.433279550073201</v>
      </c>
      <c r="AG90">
        <f t="shared" si="114"/>
        <v>160.54865756034516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52341.088845838793</v>
      </c>
      <c r="AM90" t="s">
        <v>417</v>
      </c>
      <c r="AN90">
        <v>10238.9</v>
      </c>
      <c r="AO90">
        <v>302.21199999999999</v>
      </c>
      <c r="AP90">
        <v>4052.3</v>
      </c>
      <c r="AQ90">
        <f t="shared" si="118"/>
        <v>0.92542210596451402</v>
      </c>
      <c r="AR90">
        <v>-0.32343011824092421</v>
      </c>
      <c r="AS90" t="s">
        <v>795</v>
      </c>
      <c r="AT90">
        <v>10437</v>
      </c>
      <c r="AU90">
        <v>777.07961538461552</v>
      </c>
      <c r="AV90">
        <v>903.1979168562026</v>
      </c>
      <c r="AW90">
        <f t="shared" si="119"/>
        <v>0.13963528825506166</v>
      </c>
      <c r="AX90">
        <v>0.5</v>
      </c>
      <c r="AY90">
        <f t="shared" si="120"/>
        <v>1513.3527003290469</v>
      </c>
      <c r="AZ90">
        <f t="shared" si="121"/>
        <v>15.534733547111495</v>
      </c>
      <c r="BA90">
        <f t="shared" si="122"/>
        <v>105.65872027101121</v>
      </c>
      <c r="BB90">
        <f t="shared" si="123"/>
        <v>1.0478828670873876E-2</v>
      </c>
      <c r="BC90">
        <f t="shared" si="124"/>
        <v>3.4866135366044735</v>
      </c>
      <c r="BD90">
        <f t="shared" si="125"/>
        <v>239.84616902155983</v>
      </c>
      <c r="BE90" t="s">
        <v>796</v>
      </c>
      <c r="BF90">
        <v>583.45000000000005</v>
      </c>
      <c r="BG90">
        <f t="shared" si="126"/>
        <v>583.45000000000005</v>
      </c>
      <c r="BH90">
        <f t="shared" si="127"/>
        <v>0.35401755350495268</v>
      </c>
      <c r="BI90">
        <f t="shared" si="128"/>
        <v>0.39443040852805666</v>
      </c>
      <c r="BJ90">
        <f t="shared" si="129"/>
        <v>0.9078230777184938</v>
      </c>
      <c r="BK90">
        <f t="shared" si="130"/>
        <v>0.20985234085237855</v>
      </c>
      <c r="BL90">
        <f t="shared" si="131"/>
        <v>0.83974084958640904</v>
      </c>
      <c r="BM90">
        <f t="shared" si="132"/>
        <v>0.2961478042913166</v>
      </c>
      <c r="BN90">
        <f t="shared" si="133"/>
        <v>0.7038521957086834</v>
      </c>
      <c r="BO90">
        <v>5834</v>
      </c>
      <c r="BP90">
        <v>290.00000000000011</v>
      </c>
      <c r="BQ90">
        <v>868.34</v>
      </c>
      <c r="BR90">
        <v>205</v>
      </c>
      <c r="BS90">
        <v>10437</v>
      </c>
      <c r="BT90">
        <v>867.86</v>
      </c>
      <c r="BU90">
        <v>0.48</v>
      </c>
      <c r="BV90">
        <v>300.00000000000011</v>
      </c>
      <c r="BW90">
        <v>38.299999999999997</v>
      </c>
      <c r="BX90">
        <v>903.1979168562026</v>
      </c>
      <c r="BY90">
        <v>0.96060290139379922</v>
      </c>
      <c r="BZ90">
        <v>-36.881922771284643</v>
      </c>
      <c r="CA90">
        <v>0.82068663526028041</v>
      </c>
      <c r="CB90">
        <v>0.98632567232961765</v>
      </c>
      <c r="CC90">
        <v>-1.132877152391547E-2</v>
      </c>
      <c r="CD90">
        <v>289.99999999999989</v>
      </c>
      <c r="CE90">
        <v>866.64</v>
      </c>
      <c r="CF90">
        <v>705</v>
      </c>
      <c r="CG90">
        <v>10406.200000000001</v>
      </c>
      <c r="CH90">
        <v>867.76</v>
      </c>
      <c r="CI90">
        <v>-1.1200000000000001</v>
      </c>
      <c r="CW90">
        <f t="shared" si="134"/>
        <v>1800.2</v>
      </c>
      <c r="CX90">
        <f t="shared" si="135"/>
        <v>1513.3527003290469</v>
      </c>
      <c r="CY90">
        <f t="shared" si="136"/>
        <v>0.8406580937279452</v>
      </c>
      <c r="CZ90">
        <f t="shared" si="137"/>
        <v>0.1913161874558903</v>
      </c>
      <c r="DA90">
        <v>6</v>
      </c>
      <c r="DB90">
        <v>0.5</v>
      </c>
      <c r="DC90" t="s">
        <v>420</v>
      </c>
      <c r="DD90">
        <v>2</v>
      </c>
      <c r="DE90">
        <v>1693512038.5999999</v>
      </c>
      <c r="DF90">
        <v>100.684</v>
      </c>
      <c r="DG90">
        <v>119.958</v>
      </c>
      <c r="DH90">
        <v>28.543099999999999</v>
      </c>
      <c r="DI90">
        <v>22.398599999999998</v>
      </c>
      <c r="DJ90">
        <v>102.364</v>
      </c>
      <c r="DK90">
        <v>28.116199999999999</v>
      </c>
      <c r="DL90">
        <v>500.12099999999998</v>
      </c>
      <c r="DM90">
        <v>99.439700000000002</v>
      </c>
      <c r="DN90">
        <v>9.9138799999999999E-2</v>
      </c>
      <c r="DO90">
        <v>30.2516</v>
      </c>
      <c r="DP90">
        <v>29.965499999999999</v>
      </c>
      <c r="DQ90">
        <v>999.9</v>
      </c>
      <c r="DR90">
        <v>0</v>
      </c>
      <c r="DS90">
        <v>0</v>
      </c>
      <c r="DT90">
        <v>10065</v>
      </c>
      <c r="DU90">
        <v>0</v>
      </c>
      <c r="DV90">
        <v>940.31899999999996</v>
      </c>
      <c r="DW90">
        <v>-19.274699999999999</v>
      </c>
      <c r="DX90">
        <v>103.642</v>
      </c>
      <c r="DY90">
        <v>122.70699999999999</v>
      </c>
      <c r="DZ90">
        <v>6.1445499999999997</v>
      </c>
      <c r="EA90">
        <v>119.958</v>
      </c>
      <c r="EB90">
        <v>22.398599999999998</v>
      </c>
      <c r="EC90">
        <v>2.83832</v>
      </c>
      <c r="ED90">
        <v>2.2273100000000001</v>
      </c>
      <c r="EE90">
        <v>23.108699999999999</v>
      </c>
      <c r="EF90">
        <v>19.1601</v>
      </c>
      <c r="EG90">
        <v>1800.2</v>
      </c>
      <c r="EH90">
        <v>0.97800100000000001</v>
      </c>
      <c r="EI90">
        <v>2.1999299999999999E-2</v>
      </c>
      <c r="EJ90">
        <v>0</v>
      </c>
      <c r="EK90">
        <v>776.87800000000004</v>
      </c>
      <c r="EL90">
        <v>4.9995000000000003</v>
      </c>
      <c r="EM90">
        <v>14787.7</v>
      </c>
      <c r="EN90">
        <v>16661.7</v>
      </c>
      <c r="EO90">
        <v>47.186999999999998</v>
      </c>
      <c r="EP90">
        <v>48.436999999999998</v>
      </c>
      <c r="EQ90">
        <v>48.125</v>
      </c>
      <c r="ER90">
        <v>47.125</v>
      </c>
      <c r="ES90">
        <v>48.5</v>
      </c>
      <c r="ET90">
        <v>1755.71</v>
      </c>
      <c r="EU90">
        <v>39.49</v>
      </c>
      <c r="EV90">
        <v>0</v>
      </c>
      <c r="EW90">
        <v>152.60000014305109</v>
      </c>
      <c r="EX90">
        <v>0</v>
      </c>
      <c r="EY90">
        <v>777.07961538461552</v>
      </c>
      <c r="EZ90">
        <v>-0.51999998923495283</v>
      </c>
      <c r="FA90">
        <v>7.8632318423646624E-2</v>
      </c>
      <c r="FB90">
        <v>14787.596153846151</v>
      </c>
      <c r="FC90">
        <v>15</v>
      </c>
      <c r="FD90">
        <v>1693512010.5999999</v>
      </c>
      <c r="FE90" t="s">
        <v>797</v>
      </c>
      <c r="FF90">
        <v>1693512002.5999999</v>
      </c>
      <c r="FG90">
        <v>1693512010.5999999</v>
      </c>
      <c r="FH90">
        <v>84</v>
      </c>
      <c r="FI90">
        <v>3.9E-2</v>
      </c>
      <c r="FJ90">
        <v>0</v>
      </c>
      <c r="FK90">
        <v>-1.7250000000000001</v>
      </c>
      <c r="FL90">
        <v>0.17799999999999999</v>
      </c>
      <c r="FM90">
        <v>120</v>
      </c>
      <c r="FN90">
        <v>23</v>
      </c>
      <c r="FO90">
        <v>0.27</v>
      </c>
      <c r="FP90">
        <v>0.04</v>
      </c>
      <c r="FQ90">
        <v>15.438685053714</v>
      </c>
      <c r="FR90">
        <v>0.33770224178088137</v>
      </c>
      <c r="FS90">
        <v>6.0750045320221331E-2</v>
      </c>
      <c r="FT90">
        <v>1</v>
      </c>
      <c r="FU90">
        <v>0.3880382798169007</v>
      </c>
      <c r="FV90">
        <v>1.3042031000769149E-2</v>
      </c>
      <c r="FW90">
        <v>2.5130172386622351E-3</v>
      </c>
      <c r="FX90">
        <v>1</v>
      </c>
      <c r="FY90">
        <v>2</v>
      </c>
      <c r="FZ90">
        <v>2</v>
      </c>
      <c r="GA90" t="s">
        <v>422</v>
      </c>
      <c r="GB90">
        <v>2.9714900000000002</v>
      </c>
      <c r="GC90">
        <v>2.8113999999999999</v>
      </c>
      <c r="GD90">
        <v>2.9363400000000001E-2</v>
      </c>
      <c r="GE90">
        <v>3.3772999999999997E-2</v>
      </c>
      <c r="GF90">
        <v>0.13507</v>
      </c>
      <c r="GG90">
        <v>0.113598</v>
      </c>
      <c r="GH90">
        <v>28749.4</v>
      </c>
      <c r="GI90">
        <v>26349.1</v>
      </c>
      <c r="GJ90">
        <v>26616.7</v>
      </c>
      <c r="GK90">
        <v>25722.1</v>
      </c>
      <c r="GL90">
        <v>31300</v>
      </c>
      <c r="GM90">
        <v>32099.599999999999</v>
      </c>
      <c r="GN90">
        <v>37683.4</v>
      </c>
      <c r="GO90">
        <v>38042.1</v>
      </c>
      <c r="GP90">
        <v>1.9843999999999999</v>
      </c>
      <c r="GQ90">
        <v>1.9716</v>
      </c>
      <c r="GR90">
        <v>6.4283599999999996E-2</v>
      </c>
      <c r="GS90">
        <v>0</v>
      </c>
      <c r="GT90">
        <v>28.918399999999998</v>
      </c>
      <c r="GU90">
        <v>999.9</v>
      </c>
      <c r="GV90">
        <v>38.200000000000003</v>
      </c>
      <c r="GW90">
        <v>41.5</v>
      </c>
      <c r="GX90">
        <v>30.841100000000001</v>
      </c>
      <c r="GY90">
        <v>61.1646</v>
      </c>
      <c r="GZ90">
        <v>14.9679</v>
      </c>
      <c r="HA90">
        <v>1</v>
      </c>
      <c r="HB90">
        <v>0.210396</v>
      </c>
      <c r="HC90">
        <v>0.768486</v>
      </c>
      <c r="HD90">
        <v>20.2485</v>
      </c>
      <c r="HE90">
        <v>5.2077099999999996</v>
      </c>
      <c r="HF90">
        <v>11.9321</v>
      </c>
      <c r="HG90">
        <v>4.9871999999999996</v>
      </c>
      <c r="HH90">
        <v>3.2909999999999999</v>
      </c>
      <c r="HI90">
        <v>9999</v>
      </c>
      <c r="HJ90">
        <v>9999</v>
      </c>
      <c r="HK90">
        <v>9999</v>
      </c>
      <c r="HL90">
        <v>999.9</v>
      </c>
      <c r="HM90">
        <v>1.8714</v>
      </c>
      <c r="HN90">
        <v>1.8774200000000001</v>
      </c>
      <c r="HO90">
        <v>1.8751500000000001</v>
      </c>
      <c r="HP90">
        <v>1.8733900000000001</v>
      </c>
      <c r="HQ90">
        <v>1.8739300000000001</v>
      </c>
      <c r="HR90">
        <v>1.87134</v>
      </c>
      <c r="HS90">
        <v>1.87714</v>
      </c>
      <c r="HT90">
        <v>1.8763399999999999</v>
      </c>
      <c r="HU90">
        <v>5</v>
      </c>
      <c r="HV90">
        <v>0</v>
      </c>
      <c r="HW90">
        <v>0</v>
      </c>
      <c r="HX90">
        <v>0</v>
      </c>
      <c r="HY90" t="s">
        <v>423</v>
      </c>
      <c r="HZ90" t="s">
        <v>424</v>
      </c>
      <c r="IA90" t="s">
        <v>425</v>
      </c>
      <c r="IB90" t="s">
        <v>425</v>
      </c>
      <c r="IC90" t="s">
        <v>425</v>
      </c>
      <c r="ID90" t="s">
        <v>425</v>
      </c>
      <c r="IE90">
        <v>0</v>
      </c>
      <c r="IF90">
        <v>100</v>
      </c>
      <c r="IG90">
        <v>100</v>
      </c>
      <c r="IH90">
        <v>-1.68</v>
      </c>
      <c r="II90">
        <v>0.4269</v>
      </c>
      <c r="IJ90">
        <v>-1.4263863002031061</v>
      </c>
      <c r="IK90">
        <v>-2.677719669153116E-3</v>
      </c>
      <c r="IL90">
        <v>1.9353498771248068E-6</v>
      </c>
      <c r="IM90">
        <v>-6.1862177325538213E-10</v>
      </c>
      <c r="IN90">
        <v>-0.19281830244083339</v>
      </c>
      <c r="IO90">
        <v>-1.5299015507423901E-2</v>
      </c>
      <c r="IP90">
        <v>1.742162107778985E-3</v>
      </c>
      <c r="IQ90">
        <v>-1.472690239905804E-5</v>
      </c>
      <c r="IR90">
        <v>3</v>
      </c>
      <c r="IS90">
        <v>2255</v>
      </c>
      <c r="IT90">
        <v>2</v>
      </c>
      <c r="IU90">
        <v>41</v>
      </c>
      <c r="IV90">
        <v>0.6</v>
      </c>
      <c r="IW90">
        <v>0.5</v>
      </c>
      <c r="IX90">
        <v>0.394287</v>
      </c>
      <c r="IY90">
        <v>2.5476100000000002</v>
      </c>
      <c r="IZ90">
        <v>1.5991200000000001</v>
      </c>
      <c r="JA90">
        <v>2.2705099999999998</v>
      </c>
      <c r="JB90">
        <v>1.5502899999999999</v>
      </c>
      <c r="JC90">
        <v>2.4291999999999998</v>
      </c>
      <c r="JD90">
        <v>48.608800000000002</v>
      </c>
      <c r="JE90">
        <v>23.807300000000001</v>
      </c>
      <c r="JF90">
        <v>18</v>
      </c>
      <c r="JG90">
        <v>505.22899999999998</v>
      </c>
      <c r="JH90">
        <v>466.03699999999998</v>
      </c>
      <c r="JI90">
        <v>27.3996</v>
      </c>
      <c r="JJ90">
        <v>30.181000000000001</v>
      </c>
      <c r="JK90">
        <v>29.9999</v>
      </c>
      <c r="JL90">
        <v>30.205300000000001</v>
      </c>
      <c r="JM90">
        <v>30.171199999999999</v>
      </c>
      <c r="JN90">
        <v>7.9512799999999997</v>
      </c>
      <c r="JO90">
        <v>29.108000000000001</v>
      </c>
      <c r="JP90">
        <v>36.429600000000001</v>
      </c>
      <c r="JQ90">
        <v>27.4148</v>
      </c>
      <c r="JR90">
        <v>120</v>
      </c>
      <c r="JS90">
        <v>22.3553</v>
      </c>
      <c r="JT90">
        <v>99.381900000000002</v>
      </c>
      <c r="JU90">
        <v>98.836500000000001</v>
      </c>
    </row>
    <row r="91" spans="1:281" x14ac:dyDescent="0.25">
      <c r="A91">
        <v>75</v>
      </c>
      <c r="B91">
        <v>1693512150.5999999</v>
      </c>
      <c r="C91">
        <v>18171</v>
      </c>
      <c r="D91" t="s">
        <v>798</v>
      </c>
      <c r="E91" t="s">
        <v>799</v>
      </c>
      <c r="F91" t="s">
        <v>413</v>
      </c>
      <c r="G91" t="s">
        <v>778</v>
      </c>
      <c r="H91" t="s">
        <v>779</v>
      </c>
      <c r="I91" t="s">
        <v>416</v>
      </c>
      <c r="J91">
        <v>1693512150.5999999</v>
      </c>
      <c r="K91">
        <f t="shared" si="92"/>
        <v>5.6096283757015352E-3</v>
      </c>
      <c r="L91">
        <f t="shared" si="93"/>
        <v>5.6096283757015355</v>
      </c>
      <c r="M91">
        <f t="shared" si="94"/>
        <v>9.8306396141626085</v>
      </c>
      <c r="N91">
        <f t="shared" si="95"/>
        <v>57.8003</v>
      </c>
      <c r="O91">
        <f t="shared" si="96"/>
        <v>16.004540290751923</v>
      </c>
      <c r="P91">
        <f t="shared" si="97"/>
        <v>1.593134366977303</v>
      </c>
      <c r="Q91">
        <f t="shared" si="98"/>
        <v>5.7535950848152702</v>
      </c>
      <c r="R91">
        <f t="shared" si="99"/>
        <v>0.40967390182670482</v>
      </c>
      <c r="S91">
        <f t="shared" si="100"/>
        <v>2.9311206916148977</v>
      </c>
      <c r="T91">
        <f t="shared" si="101"/>
        <v>0.38031573517145389</v>
      </c>
      <c r="U91">
        <f t="shared" si="102"/>
        <v>0.2401594933832763</v>
      </c>
      <c r="V91">
        <f t="shared" si="103"/>
        <v>344.36180065818149</v>
      </c>
      <c r="W91">
        <f t="shared" si="104"/>
        <v>30.964263554664836</v>
      </c>
      <c r="X91">
        <f t="shared" si="105"/>
        <v>30.0185</v>
      </c>
      <c r="Y91">
        <f t="shared" si="106"/>
        <v>4.2649791290137351</v>
      </c>
      <c r="Z91">
        <f t="shared" si="107"/>
        <v>65.381235262632359</v>
      </c>
      <c r="AA91">
        <f t="shared" si="108"/>
        <v>2.8491993424456101</v>
      </c>
      <c r="AB91">
        <f t="shared" si="109"/>
        <v>4.3578242763394623</v>
      </c>
      <c r="AC91">
        <f t="shared" si="110"/>
        <v>1.415779786568125</v>
      </c>
      <c r="AD91">
        <f t="shared" si="111"/>
        <v>-247.3846113684377</v>
      </c>
      <c r="AE91">
        <f t="shared" si="112"/>
        <v>59.337478311741378</v>
      </c>
      <c r="AF91">
        <f t="shared" si="113"/>
        <v>4.5104638514257216</v>
      </c>
      <c r="AG91">
        <f t="shared" si="114"/>
        <v>160.82513145291085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52318.363601866047</v>
      </c>
      <c r="AM91" t="s">
        <v>417</v>
      </c>
      <c r="AN91">
        <v>10238.9</v>
      </c>
      <c r="AO91">
        <v>302.21199999999999</v>
      </c>
      <c r="AP91">
        <v>4052.3</v>
      </c>
      <c r="AQ91">
        <f t="shared" si="118"/>
        <v>0.92542210596451402</v>
      </c>
      <c r="AR91">
        <v>-0.32343011824092421</v>
      </c>
      <c r="AS91" t="s">
        <v>800</v>
      </c>
      <c r="AT91">
        <v>10441.200000000001</v>
      </c>
      <c r="AU91">
        <v>783.40253846153848</v>
      </c>
      <c r="AV91">
        <v>875.10905674450726</v>
      </c>
      <c r="AW91">
        <f t="shared" si="119"/>
        <v>0.10479438828358845</v>
      </c>
      <c r="AX91">
        <v>0.5</v>
      </c>
      <c r="AY91">
        <f t="shared" si="120"/>
        <v>1513.1511003290907</v>
      </c>
      <c r="AZ91">
        <f t="shared" si="121"/>
        <v>9.8306396141626085</v>
      </c>
      <c r="BA91">
        <f t="shared" si="122"/>
        <v>79.284871969812912</v>
      </c>
      <c r="BB91">
        <f t="shared" si="123"/>
        <v>6.7105457810493312E-3</v>
      </c>
      <c r="BC91">
        <f t="shared" si="124"/>
        <v>3.6306228563957039</v>
      </c>
      <c r="BD91">
        <f t="shared" si="125"/>
        <v>237.81910004581346</v>
      </c>
      <c r="BE91" t="s">
        <v>801</v>
      </c>
      <c r="BF91">
        <v>597.47</v>
      </c>
      <c r="BG91">
        <f t="shared" si="126"/>
        <v>597.47</v>
      </c>
      <c r="BH91">
        <f t="shared" si="127"/>
        <v>0.31726223675178511</v>
      </c>
      <c r="BI91">
        <f t="shared" si="128"/>
        <v>0.33030842043005565</v>
      </c>
      <c r="BJ91">
        <f t="shared" si="129"/>
        <v>0.91963741870236537</v>
      </c>
      <c r="BK91">
        <f t="shared" si="130"/>
        <v>0.16007503826968827</v>
      </c>
      <c r="BL91">
        <f t="shared" si="131"/>
        <v>0.84723103651314124</v>
      </c>
      <c r="BM91">
        <f t="shared" si="132"/>
        <v>0.25191311269159783</v>
      </c>
      <c r="BN91">
        <f t="shared" si="133"/>
        <v>0.74808688730840212</v>
      </c>
      <c r="BO91">
        <v>5836</v>
      </c>
      <c r="BP91">
        <v>290.00000000000011</v>
      </c>
      <c r="BQ91">
        <v>850.88</v>
      </c>
      <c r="BR91">
        <v>185</v>
      </c>
      <c r="BS91">
        <v>10441.200000000001</v>
      </c>
      <c r="BT91">
        <v>851.65</v>
      </c>
      <c r="BU91">
        <v>-0.77</v>
      </c>
      <c r="BV91">
        <v>300.00000000000011</v>
      </c>
      <c r="BW91">
        <v>38.299999999999997</v>
      </c>
      <c r="BX91">
        <v>875.10905674450726</v>
      </c>
      <c r="BY91">
        <v>0.91988859129668732</v>
      </c>
      <c r="BZ91">
        <v>-24.49179313042314</v>
      </c>
      <c r="CA91">
        <v>0.78593606898709856</v>
      </c>
      <c r="CB91">
        <v>0.97197495105647225</v>
      </c>
      <c r="CC91">
        <v>-1.1329026696329261E-2</v>
      </c>
      <c r="CD91">
        <v>289.99999999999989</v>
      </c>
      <c r="CE91">
        <v>849.85</v>
      </c>
      <c r="CF91">
        <v>645</v>
      </c>
      <c r="CG91">
        <v>10412.5</v>
      </c>
      <c r="CH91">
        <v>851.59</v>
      </c>
      <c r="CI91">
        <v>-1.74</v>
      </c>
      <c r="CW91">
        <f t="shared" si="134"/>
        <v>1799.96</v>
      </c>
      <c r="CX91">
        <f t="shared" si="135"/>
        <v>1513.1511003290907</v>
      </c>
      <c r="CY91">
        <f t="shared" si="136"/>
        <v>0.84065818147574978</v>
      </c>
      <c r="CZ91">
        <f t="shared" si="137"/>
        <v>0.19131636295149976</v>
      </c>
      <c r="DA91">
        <v>6</v>
      </c>
      <c r="DB91">
        <v>0.5</v>
      </c>
      <c r="DC91" t="s">
        <v>420</v>
      </c>
      <c r="DD91">
        <v>2</v>
      </c>
      <c r="DE91">
        <v>1693512150.5999999</v>
      </c>
      <c r="DF91">
        <v>57.8003</v>
      </c>
      <c r="DG91">
        <v>69.983400000000003</v>
      </c>
      <c r="DH91">
        <v>28.622900000000001</v>
      </c>
      <c r="DI91">
        <v>22.0855</v>
      </c>
      <c r="DJ91">
        <v>59.452500000000001</v>
      </c>
      <c r="DK91">
        <v>28.193899999999999</v>
      </c>
      <c r="DL91">
        <v>500.113</v>
      </c>
      <c r="DM91">
        <v>99.443200000000004</v>
      </c>
      <c r="DN91">
        <v>9.9450899999999995E-2</v>
      </c>
      <c r="DO91">
        <v>30.393999999999998</v>
      </c>
      <c r="DP91">
        <v>30.0185</v>
      </c>
      <c r="DQ91">
        <v>999.9</v>
      </c>
      <c r="DR91">
        <v>0</v>
      </c>
      <c r="DS91">
        <v>0</v>
      </c>
      <c r="DT91">
        <v>10065</v>
      </c>
      <c r="DU91">
        <v>0</v>
      </c>
      <c r="DV91">
        <v>1393.1</v>
      </c>
      <c r="DW91">
        <v>-12.1831</v>
      </c>
      <c r="DX91">
        <v>59.503500000000003</v>
      </c>
      <c r="DY91">
        <v>71.563999999999993</v>
      </c>
      <c r="DZ91">
        <v>6.5373999999999999</v>
      </c>
      <c r="EA91">
        <v>69.983400000000003</v>
      </c>
      <c r="EB91">
        <v>22.0855</v>
      </c>
      <c r="EC91">
        <v>2.8463500000000002</v>
      </c>
      <c r="ED91">
        <v>2.19625</v>
      </c>
      <c r="EE91">
        <v>23.1554</v>
      </c>
      <c r="EF91">
        <v>18.934999999999999</v>
      </c>
      <c r="EG91">
        <v>1799.96</v>
      </c>
      <c r="EH91">
        <v>0.97799700000000001</v>
      </c>
      <c r="EI91">
        <v>2.2002799999999999E-2</v>
      </c>
      <c r="EJ91">
        <v>0</v>
      </c>
      <c r="EK91">
        <v>782.79600000000005</v>
      </c>
      <c r="EL91">
        <v>4.9995000000000003</v>
      </c>
      <c r="EM91">
        <v>14883.4</v>
      </c>
      <c r="EN91">
        <v>16659.400000000001</v>
      </c>
      <c r="EO91">
        <v>47.186999999999998</v>
      </c>
      <c r="EP91">
        <v>48.375</v>
      </c>
      <c r="EQ91">
        <v>48.061999999999998</v>
      </c>
      <c r="ER91">
        <v>47.061999999999998</v>
      </c>
      <c r="ES91">
        <v>48.436999999999998</v>
      </c>
      <c r="ET91">
        <v>1755.47</v>
      </c>
      <c r="EU91">
        <v>39.49</v>
      </c>
      <c r="EV91">
        <v>0</v>
      </c>
      <c r="EW91">
        <v>110</v>
      </c>
      <c r="EX91">
        <v>0</v>
      </c>
      <c r="EY91">
        <v>783.40253846153848</v>
      </c>
      <c r="EZ91">
        <v>-1.7483760648864479</v>
      </c>
      <c r="FA91">
        <v>-42.208547010925948</v>
      </c>
      <c r="FB91">
        <v>14891.16923076923</v>
      </c>
      <c r="FC91">
        <v>15</v>
      </c>
      <c r="FD91">
        <v>1693512119.5999999</v>
      </c>
      <c r="FE91" t="s">
        <v>802</v>
      </c>
      <c r="FF91">
        <v>1693512106.5999999</v>
      </c>
      <c r="FG91">
        <v>1693512119.5999999</v>
      </c>
      <c r="FH91">
        <v>85</v>
      </c>
      <c r="FI91">
        <v>-7.2999999999999995E-2</v>
      </c>
      <c r="FJ91">
        <v>-2E-3</v>
      </c>
      <c r="FK91">
        <v>-1.6819999999999999</v>
      </c>
      <c r="FL91">
        <v>0.15</v>
      </c>
      <c r="FM91">
        <v>70</v>
      </c>
      <c r="FN91">
        <v>22</v>
      </c>
      <c r="FO91">
        <v>0.26</v>
      </c>
      <c r="FP91">
        <v>0.02</v>
      </c>
      <c r="FQ91">
        <v>9.686385581842277</v>
      </c>
      <c r="FR91">
        <v>8.7331064850317788E-2</v>
      </c>
      <c r="FS91">
        <v>5.9544422235307468E-2</v>
      </c>
      <c r="FT91">
        <v>1</v>
      </c>
      <c r="FU91">
        <v>0.41022013178512079</v>
      </c>
      <c r="FV91">
        <v>4.7865848922118662E-2</v>
      </c>
      <c r="FW91">
        <v>3.982457288778175E-3</v>
      </c>
      <c r="FX91">
        <v>1</v>
      </c>
      <c r="FY91">
        <v>2</v>
      </c>
      <c r="FZ91">
        <v>2</v>
      </c>
      <c r="GA91" t="s">
        <v>422</v>
      </c>
      <c r="GB91">
        <v>2.97153</v>
      </c>
      <c r="GC91">
        <v>2.8117200000000002</v>
      </c>
      <c r="GD91">
        <v>1.7278600000000002E-2</v>
      </c>
      <c r="GE91">
        <v>2.0043700000000001E-2</v>
      </c>
      <c r="GF91">
        <v>0.135352</v>
      </c>
      <c r="GG91">
        <v>0.112496</v>
      </c>
      <c r="GH91">
        <v>29109.7</v>
      </c>
      <c r="GI91">
        <v>26729</v>
      </c>
      <c r="GJ91">
        <v>26618.7</v>
      </c>
      <c r="GK91">
        <v>25727.1</v>
      </c>
      <c r="GL91">
        <v>31291.7</v>
      </c>
      <c r="GM91">
        <v>32143.5</v>
      </c>
      <c r="GN91">
        <v>37687.599999999999</v>
      </c>
      <c r="GO91">
        <v>38048</v>
      </c>
      <c r="GP91">
        <v>1.9858</v>
      </c>
      <c r="GQ91">
        <v>1.9698</v>
      </c>
      <c r="GR91">
        <v>7.0244100000000004E-2</v>
      </c>
      <c r="GS91">
        <v>0</v>
      </c>
      <c r="GT91">
        <v>28.874300000000002</v>
      </c>
      <c r="GU91">
        <v>999.9</v>
      </c>
      <c r="GV91">
        <v>37</v>
      </c>
      <c r="GW91">
        <v>41.9</v>
      </c>
      <c r="GX91">
        <v>30.5105</v>
      </c>
      <c r="GY91">
        <v>61.124600000000001</v>
      </c>
      <c r="GZ91">
        <v>14.166700000000001</v>
      </c>
      <c r="HA91">
        <v>1</v>
      </c>
      <c r="HB91">
        <v>0.20563999999999999</v>
      </c>
      <c r="HC91">
        <v>0.76369299999999996</v>
      </c>
      <c r="HD91">
        <v>20.2484</v>
      </c>
      <c r="HE91">
        <v>5.2083000000000004</v>
      </c>
      <c r="HF91">
        <v>11.9321</v>
      </c>
      <c r="HG91">
        <v>4.9874000000000001</v>
      </c>
      <c r="HH91">
        <v>3.2909999999999999</v>
      </c>
      <c r="HI91">
        <v>9999</v>
      </c>
      <c r="HJ91">
        <v>9999</v>
      </c>
      <c r="HK91">
        <v>9999</v>
      </c>
      <c r="HL91">
        <v>999.9</v>
      </c>
      <c r="HM91">
        <v>1.8714500000000001</v>
      </c>
      <c r="HN91">
        <v>1.87744</v>
      </c>
      <c r="HO91">
        <v>1.87517</v>
      </c>
      <c r="HP91">
        <v>1.8734200000000001</v>
      </c>
      <c r="HQ91">
        <v>1.8739300000000001</v>
      </c>
      <c r="HR91">
        <v>1.87134</v>
      </c>
      <c r="HS91">
        <v>1.87714</v>
      </c>
      <c r="HT91">
        <v>1.8763700000000001</v>
      </c>
      <c r="HU91">
        <v>5</v>
      </c>
      <c r="HV91">
        <v>0</v>
      </c>
      <c r="HW91">
        <v>0</v>
      </c>
      <c r="HX91">
        <v>0</v>
      </c>
      <c r="HY91" t="s">
        <v>423</v>
      </c>
      <c r="HZ91" t="s">
        <v>424</v>
      </c>
      <c r="IA91" t="s">
        <v>425</v>
      </c>
      <c r="IB91" t="s">
        <v>425</v>
      </c>
      <c r="IC91" t="s">
        <v>425</v>
      </c>
      <c r="ID91" t="s">
        <v>425</v>
      </c>
      <c r="IE91">
        <v>0</v>
      </c>
      <c r="IF91">
        <v>100</v>
      </c>
      <c r="IG91">
        <v>100</v>
      </c>
      <c r="IH91">
        <v>-1.6519999999999999</v>
      </c>
      <c r="II91">
        <v>0.42899999999999999</v>
      </c>
      <c r="IJ91">
        <v>-1.499714328843937</v>
      </c>
      <c r="IK91">
        <v>-2.677719669153116E-3</v>
      </c>
      <c r="IL91">
        <v>1.9353498771248068E-6</v>
      </c>
      <c r="IM91">
        <v>-6.1862177325538213E-10</v>
      </c>
      <c r="IN91">
        <v>-0.19437418366049211</v>
      </c>
      <c r="IO91">
        <v>-1.5299015507423901E-2</v>
      </c>
      <c r="IP91">
        <v>1.742162107778985E-3</v>
      </c>
      <c r="IQ91">
        <v>-1.472690239905804E-5</v>
      </c>
      <c r="IR91">
        <v>3</v>
      </c>
      <c r="IS91">
        <v>2255</v>
      </c>
      <c r="IT91">
        <v>2</v>
      </c>
      <c r="IU91">
        <v>41</v>
      </c>
      <c r="IV91">
        <v>0.7</v>
      </c>
      <c r="IW91">
        <v>0.5</v>
      </c>
      <c r="IX91">
        <v>0.29174800000000001</v>
      </c>
      <c r="IY91">
        <v>2.5805699999999998</v>
      </c>
      <c r="IZ91">
        <v>1.5991200000000001</v>
      </c>
      <c r="JA91">
        <v>2.2705099999999998</v>
      </c>
      <c r="JB91">
        <v>1.5502899999999999</v>
      </c>
      <c r="JC91">
        <v>2.2973599999999998</v>
      </c>
      <c r="JD91">
        <v>48.732599999999998</v>
      </c>
      <c r="JE91">
        <v>23.7986</v>
      </c>
      <c r="JF91">
        <v>18</v>
      </c>
      <c r="JG91">
        <v>505.69299999999998</v>
      </c>
      <c r="JH91">
        <v>464.52699999999999</v>
      </c>
      <c r="JI91">
        <v>27.655200000000001</v>
      </c>
      <c r="JJ91">
        <v>30.120999999999999</v>
      </c>
      <c r="JK91">
        <v>30</v>
      </c>
      <c r="JL91">
        <v>30.153199999999998</v>
      </c>
      <c r="JM91">
        <v>30.122</v>
      </c>
      <c r="JN91">
        <v>5.8917599999999997</v>
      </c>
      <c r="JO91">
        <v>28.965499999999999</v>
      </c>
      <c r="JP91">
        <v>33.826999999999998</v>
      </c>
      <c r="JQ91">
        <v>27.661100000000001</v>
      </c>
      <c r="JR91">
        <v>70</v>
      </c>
      <c r="JS91">
        <v>21.997199999999999</v>
      </c>
      <c r="JT91">
        <v>99.391400000000004</v>
      </c>
      <c r="JU91">
        <v>98.853499999999997</v>
      </c>
    </row>
    <row r="92" spans="1:281" x14ac:dyDescent="0.25">
      <c r="A92">
        <v>76</v>
      </c>
      <c r="B92">
        <v>1693512250.0999999</v>
      </c>
      <c r="C92">
        <v>18270.5</v>
      </c>
      <c r="D92" t="s">
        <v>803</v>
      </c>
      <c r="E92" t="s">
        <v>804</v>
      </c>
      <c r="F92" t="s">
        <v>413</v>
      </c>
      <c r="G92" t="s">
        <v>778</v>
      </c>
      <c r="H92" t="s">
        <v>779</v>
      </c>
      <c r="I92" t="s">
        <v>416</v>
      </c>
      <c r="J92">
        <v>1693512250.0999999</v>
      </c>
      <c r="K92">
        <f t="shared" si="92"/>
        <v>5.932577762054126E-3</v>
      </c>
      <c r="L92">
        <f t="shared" si="93"/>
        <v>5.9325777620541258</v>
      </c>
      <c r="M92">
        <f t="shared" si="94"/>
        <v>4.6396057907385293</v>
      </c>
      <c r="N92">
        <f t="shared" si="95"/>
        <v>24.3565</v>
      </c>
      <c r="O92">
        <f t="shared" si="96"/>
        <v>5.8981860336852137</v>
      </c>
      <c r="P92">
        <f t="shared" si="97"/>
        <v>0.58711233690122977</v>
      </c>
      <c r="Q92">
        <f t="shared" si="98"/>
        <v>2.4244744997980501</v>
      </c>
      <c r="R92">
        <f t="shared" si="99"/>
        <v>0.43908160783857347</v>
      </c>
      <c r="S92">
        <f t="shared" si="100"/>
        <v>2.9232281911511051</v>
      </c>
      <c r="T92">
        <f t="shared" si="101"/>
        <v>0.40545905536875959</v>
      </c>
      <c r="U92">
        <f t="shared" si="102"/>
        <v>0.25621787223632497</v>
      </c>
      <c r="V92">
        <f t="shared" si="103"/>
        <v>344.36998749173267</v>
      </c>
      <c r="W92">
        <f t="shared" si="104"/>
        <v>30.921369737922792</v>
      </c>
      <c r="X92">
        <f t="shared" si="105"/>
        <v>30.035499999999999</v>
      </c>
      <c r="Y92">
        <f t="shared" si="106"/>
        <v>4.2691449397489913</v>
      </c>
      <c r="Z92">
        <f t="shared" si="107"/>
        <v>65.592027437772856</v>
      </c>
      <c r="AA92">
        <f t="shared" si="108"/>
        <v>2.8648744969017597</v>
      </c>
      <c r="AB92">
        <f t="shared" si="109"/>
        <v>4.3677175547282259</v>
      </c>
      <c r="AC92">
        <f t="shared" si="110"/>
        <v>1.4042704428472317</v>
      </c>
      <c r="AD92">
        <f t="shared" si="111"/>
        <v>-261.62667930658694</v>
      </c>
      <c r="AE92">
        <f t="shared" si="112"/>
        <v>62.739396847876733</v>
      </c>
      <c r="AF92">
        <f t="shared" si="113"/>
        <v>4.7832718432491808</v>
      </c>
      <c r="AG92">
        <f t="shared" si="114"/>
        <v>150.26597687627162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52086.383391593554</v>
      </c>
      <c r="AM92" t="s">
        <v>417</v>
      </c>
      <c r="AN92">
        <v>10238.9</v>
      </c>
      <c r="AO92">
        <v>302.21199999999999</v>
      </c>
      <c r="AP92">
        <v>4052.3</v>
      </c>
      <c r="AQ92">
        <f t="shared" si="118"/>
        <v>0.92542210596451402</v>
      </c>
      <c r="AR92">
        <v>-0.32343011824092421</v>
      </c>
      <c r="AS92" t="s">
        <v>805</v>
      </c>
      <c r="AT92">
        <v>10425.9</v>
      </c>
      <c r="AU92">
        <v>789.62288461538458</v>
      </c>
      <c r="AV92">
        <v>855.36048786449669</v>
      </c>
      <c r="AW92">
        <f t="shared" si="119"/>
        <v>7.6853682373420606E-2</v>
      </c>
      <c r="AX92">
        <v>0.5</v>
      </c>
      <c r="AY92">
        <f t="shared" si="120"/>
        <v>1513.1849937458664</v>
      </c>
      <c r="AZ92">
        <f t="shared" si="121"/>
        <v>4.6396057907385293</v>
      </c>
      <c r="BA92">
        <f t="shared" si="122"/>
        <v>58.146919440785631</v>
      </c>
      <c r="BB92">
        <f t="shared" si="123"/>
        <v>3.2798606445954325E-3</v>
      </c>
      <c r="BC92">
        <f t="shared" si="124"/>
        <v>3.7375347090406543</v>
      </c>
      <c r="BD92">
        <f t="shared" si="125"/>
        <v>236.33623608013644</v>
      </c>
      <c r="BE92" t="s">
        <v>806</v>
      </c>
      <c r="BF92">
        <v>612.52</v>
      </c>
      <c r="BG92">
        <f t="shared" si="126"/>
        <v>612.52</v>
      </c>
      <c r="BH92">
        <f t="shared" si="127"/>
        <v>0.28390426178180761</v>
      </c>
      <c r="BI92">
        <f t="shared" si="128"/>
        <v>0.270702813304317</v>
      </c>
      <c r="BJ92">
        <f t="shared" si="129"/>
        <v>0.92940231995520162</v>
      </c>
      <c r="BK92">
        <f t="shared" si="130"/>
        <v>0.1188425977677366</v>
      </c>
      <c r="BL92">
        <f t="shared" si="131"/>
        <v>0.85249719796855528</v>
      </c>
      <c r="BM92">
        <f t="shared" si="132"/>
        <v>0.20998743885940521</v>
      </c>
      <c r="BN92">
        <f t="shared" si="133"/>
        <v>0.79001256114059482</v>
      </c>
      <c r="BO92">
        <v>5838</v>
      </c>
      <c r="BP92">
        <v>290.00000000000011</v>
      </c>
      <c r="BQ92">
        <v>837.75</v>
      </c>
      <c r="BR92">
        <v>275</v>
      </c>
      <c r="BS92">
        <v>10425.9</v>
      </c>
      <c r="BT92">
        <v>837.09</v>
      </c>
      <c r="BU92">
        <v>0.66</v>
      </c>
      <c r="BV92">
        <v>300.00000000000011</v>
      </c>
      <c r="BW92">
        <v>38.299999999999997</v>
      </c>
      <c r="BX92">
        <v>855.36048786449669</v>
      </c>
      <c r="BY92">
        <v>1.088406948787231</v>
      </c>
      <c r="BZ92">
        <v>-19.05362605594642</v>
      </c>
      <c r="CA92">
        <v>0.92991724688232091</v>
      </c>
      <c r="CB92">
        <v>0.93747535686719896</v>
      </c>
      <c r="CC92">
        <v>-1.132899110122359E-2</v>
      </c>
      <c r="CD92">
        <v>289.99999999999989</v>
      </c>
      <c r="CE92">
        <v>834.99</v>
      </c>
      <c r="CF92">
        <v>655</v>
      </c>
      <c r="CG92">
        <v>10411.4</v>
      </c>
      <c r="CH92">
        <v>837.06</v>
      </c>
      <c r="CI92">
        <v>-2.0699999999999998</v>
      </c>
      <c r="CW92">
        <f t="shared" si="134"/>
        <v>1800</v>
      </c>
      <c r="CX92">
        <f t="shared" si="135"/>
        <v>1513.1849937458664</v>
      </c>
      <c r="CY92">
        <f t="shared" si="136"/>
        <v>0.84065832985881472</v>
      </c>
      <c r="CZ92">
        <f t="shared" si="137"/>
        <v>0.19131665971762926</v>
      </c>
      <c r="DA92">
        <v>6</v>
      </c>
      <c r="DB92">
        <v>0.5</v>
      </c>
      <c r="DC92" t="s">
        <v>420</v>
      </c>
      <c r="DD92">
        <v>2</v>
      </c>
      <c r="DE92">
        <v>1693512250.0999999</v>
      </c>
      <c r="DF92">
        <v>24.3565</v>
      </c>
      <c r="DG92">
        <v>30.0946</v>
      </c>
      <c r="DH92">
        <v>28.780799999999999</v>
      </c>
      <c r="DI92">
        <v>21.87</v>
      </c>
      <c r="DJ92">
        <v>26.033100000000001</v>
      </c>
      <c r="DK92">
        <v>28.343499999999999</v>
      </c>
      <c r="DL92">
        <v>500.24599999999998</v>
      </c>
      <c r="DM92">
        <v>99.441199999999995</v>
      </c>
      <c r="DN92">
        <v>9.9969699999999995E-2</v>
      </c>
      <c r="DO92">
        <v>30.433599999999998</v>
      </c>
      <c r="DP92">
        <v>30.035499999999999</v>
      </c>
      <c r="DQ92">
        <v>999.9</v>
      </c>
      <c r="DR92">
        <v>0</v>
      </c>
      <c r="DS92">
        <v>0</v>
      </c>
      <c r="DT92">
        <v>10020</v>
      </c>
      <c r="DU92">
        <v>0</v>
      </c>
      <c r="DV92">
        <v>1381.13</v>
      </c>
      <c r="DW92">
        <v>-5.7380800000000001</v>
      </c>
      <c r="DX92">
        <v>25.078299999999999</v>
      </c>
      <c r="DY92">
        <v>30.767499999999998</v>
      </c>
      <c r="DZ92">
        <v>6.9107799999999999</v>
      </c>
      <c r="EA92">
        <v>30.0946</v>
      </c>
      <c r="EB92">
        <v>21.87</v>
      </c>
      <c r="EC92">
        <v>2.86199</v>
      </c>
      <c r="ED92">
        <v>2.1747800000000002</v>
      </c>
      <c r="EE92">
        <v>23.246099999999998</v>
      </c>
      <c r="EF92">
        <v>18.777699999999999</v>
      </c>
      <c r="EG92">
        <v>1800</v>
      </c>
      <c r="EH92">
        <v>0.97799700000000001</v>
      </c>
      <c r="EI92">
        <v>2.2002799999999999E-2</v>
      </c>
      <c r="EJ92">
        <v>0</v>
      </c>
      <c r="EK92">
        <v>789.13599999999997</v>
      </c>
      <c r="EL92">
        <v>4.9995000000000003</v>
      </c>
      <c r="EM92">
        <v>14985</v>
      </c>
      <c r="EN92">
        <v>16659.8</v>
      </c>
      <c r="EO92">
        <v>47.186999999999998</v>
      </c>
      <c r="EP92">
        <v>48.375</v>
      </c>
      <c r="EQ92">
        <v>48.125</v>
      </c>
      <c r="ER92">
        <v>47.125</v>
      </c>
      <c r="ES92">
        <v>48.5</v>
      </c>
      <c r="ET92">
        <v>1755.51</v>
      </c>
      <c r="EU92">
        <v>39.5</v>
      </c>
      <c r="EV92">
        <v>0</v>
      </c>
      <c r="EW92">
        <v>97.400000095367432</v>
      </c>
      <c r="EX92">
        <v>0</v>
      </c>
      <c r="EY92">
        <v>789.62288461538458</v>
      </c>
      <c r="EZ92">
        <v>-4.1247521398767697</v>
      </c>
      <c r="FA92">
        <v>-43.88376091501484</v>
      </c>
      <c r="FB92">
        <v>14991.392307692309</v>
      </c>
      <c r="FC92">
        <v>15</v>
      </c>
      <c r="FD92">
        <v>1693512222.0999999</v>
      </c>
      <c r="FE92" t="s">
        <v>807</v>
      </c>
      <c r="FF92">
        <v>1693512213.0999999</v>
      </c>
      <c r="FG92">
        <v>1693512222.0999999</v>
      </c>
      <c r="FH92">
        <v>86</v>
      </c>
      <c r="FI92">
        <v>-0.108</v>
      </c>
      <c r="FJ92">
        <v>1E-3</v>
      </c>
      <c r="FK92">
        <v>-1.6910000000000001</v>
      </c>
      <c r="FL92">
        <v>0.14899999999999999</v>
      </c>
      <c r="FM92">
        <v>30</v>
      </c>
      <c r="FN92">
        <v>22</v>
      </c>
      <c r="FO92">
        <v>1.02</v>
      </c>
      <c r="FP92">
        <v>0.03</v>
      </c>
      <c r="FQ92">
        <v>4.4828984285334634</v>
      </c>
      <c r="FR92">
        <v>-0.27890984470302332</v>
      </c>
      <c r="FS92">
        <v>7.0586464103053373E-2</v>
      </c>
      <c r="FT92">
        <v>1</v>
      </c>
      <c r="FU92">
        <v>0.44095958789942158</v>
      </c>
      <c r="FV92">
        <v>2.8287139142144788E-2</v>
      </c>
      <c r="FW92">
        <v>3.7256548532364491E-3</v>
      </c>
      <c r="FX92">
        <v>1</v>
      </c>
      <c r="FY92">
        <v>2</v>
      </c>
      <c r="FZ92">
        <v>2</v>
      </c>
      <c r="GA92" t="s">
        <v>422</v>
      </c>
      <c r="GB92">
        <v>2.97193</v>
      </c>
      <c r="GC92">
        <v>2.8118400000000001</v>
      </c>
      <c r="GD92">
        <v>7.6017699999999999E-3</v>
      </c>
      <c r="GE92">
        <v>8.6746400000000008E-3</v>
      </c>
      <c r="GF92">
        <v>0.13586200000000001</v>
      </c>
      <c r="GG92">
        <v>0.11173</v>
      </c>
      <c r="GH92">
        <v>29398.799999999999</v>
      </c>
      <c r="GI92">
        <v>27042.1</v>
      </c>
      <c r="GJ92">
        <v>26620.9</v>
      </c>
      <c r="GK92">
        <v>25730</v>
      </c>
      <c r="GL92">
        <v>31274</v>
      </c>
      <c r="GM92">
        <v>32174.2</v>
      </c>
      <c r="GN92">
        <v>37690.199999999997</v>
      </c>
      <c r="GO92">
        <v>38052.5</v>
      </c>
      <c r="GP92">
        <v>1.9872000000000001</v>
      </c>
      <c r="GQ92">
        <v>1.9675</v>
      </c>
      <c r="GR92">
        <v>6.6816799999999996E-2</v>
      </c>
      <c r="GS92">
        <v>0</v>
      </c>
      <c r="GT92">
        <v>28.947299999999998</v>
      </c>
      <c r="GU92">
        <v>999.9</v>
      </c>
      <c r="GV92">
        <v>36.200000000000003</v>
      </c>
      <c r="GW92">
        <v>42.2</v>
      </c>
      <c r="GX92">
        <v>30.329000000000001</v>
      </c>
      <c r="GY92">
        <v>61.294600000000003</v>
      </c>
      <c r="GZ92">
        <v>14.4191</v>
      </c>
      <c r="HA92">
        <v>1</v>
      </c>
      <c r="HB92">
        <v>0.202012</v>
      </c>
      <c r="HC92">
        <v>1.11971</v>
      </c>
      <c r="HD92">
        <v>20.2456</v>
      </c>
      <c r="HE92">
        <v>5.2088999999999999</v>
      </c>
      <c r="HF92">
        <v>11.9321</v>
      </c>
      <c r="HG92">
        <v>4.9878</v>
      </c>
      <c r="HH92">
        <v>3.2909999999999999</v>
      </c>
      <c r="HI92">
        <v>9999</v>
      </c>
      <c r="HJ92">
        <v>9999</v>
      </c>
      <c r="HK92">
        <v>9999</v>
      </c>
      <c r="HL92">
        <v>999.9</v>
      </c>
      <c r="HM92">
        <v>1.8714299999999999</v>
      </c>
      <c r="HN92">
        <v>1.87744</v>
      </c>
      <c r="HO92">
        <v>1.87517</v>
      </c>
      <c r="HP92">
        <v>1.87347</v>
      </c>
      <c r="HQ92">
        <v>1.8739300000000001</v>
      </c>
      <c r="HR92">
        <v>1.87134</v>
      </c>
      <c r="HS92">
        <v>1.87714</v>
      </c>
      <c r="HT92">
        <v>1.8763700000000001</v>
      </c>
      <c r="HU92">
        <v>5</v>
      </c>
      <c r="HV92">
        <v>0</v>
      </c>
      <c r="HW92">
        <v>0</v>
      </c>
      <c r="HX92">
        <v>0</v>
      </c>
      <c r="HY92" t="s">
        <v>423</v>
      </c>
      <c r="HZ92" t="s">
        <v>424</v>
      </c>
      <c r="IA92" t="s">
        <v>425</v>
      </c>
      <c r="IB92" t="s">
        <v>425</v>
      </c>
      <c r="IC92" t="s">
        <v>425</v>
      </c>
      <c r="ID92" t="s">
        <v>425</v>
      </c>
      <c r="IE92">
        <v>0</v>
      </c>
      <c r="IF92">
        <v>100</v>
      </c>
      <c r="IG92">
        <v>100</v>
      </c>
      <c r="IH92">
        <v>-1.677</v>
      </c>
      <c r="II92">
        <v>0.43730000000000002</v>
      </c>
      <c r="IJ92">
        <v>-1.6081031235836809</v>
      </c>
      <c r="IK92">
        <v>-2.677719669153116E-3</v>
      </c>
      <c r="IL92">
        <v>1.9353498771248068E-6</v>
      </c>
      <c r="IM92">
        <v>-6.1862177325538213E-10</v>
      </c>
      <c r="IN92">
        <v>-0.193347973440473</v>
      </c>
      <c r="IO92">
        <v>-1.5299015507423901E-2</v>
      </c>
      <c r="IP92">
        <v>1.742162107778985E-3</v>
      </c>
      <c r="IQ92">
        <v>-1.472690239905804E-5</v>
      </c>
      <c r="IR92">
        <v>3</v>
      </c>
      <c r="IS92">
        <v>2255</v>
      </c>
      <c r="IT92">
        <v>2</v>
      </c>
      <c r="IU92">
        <v>41</v>
      </c>
      <c r="IV92">
        <v>0.6</v>
      </c>
      <c r="IW92">
        <v>0.5</v>
      </c>
      <c r="IX92">
        <v>0.21118200000000001</v>
      </c>
      <c r="IY92">
        <v>2.5976599999999999</v>
      </c>
      <c r="IZ92">
        <v>1.5991200000000001</v>
      </c>
      <c r="JA92">
        <v>2.2705099999999998</v>
      </c>
      <c r="JB92">
        <v>1.5502899999999999</v>
      </c>
      <c r="JC92">
        <v>2.36816</v>
      </c>
      <c r="JD92">
        <v>48.950299999999999</v>
      </c>
      <c r="JE92">
        <v>23.7986</v>
      </c>
      <c r="JF92">
        <v>18</v>
      </c>
      <c r="JG92">
        <v>506.26</v>
      </c>
      <c r="JH92">
        <v>462.79300000000001</v>
      </c>
      <c r="JI92">
        <v>27.477499999999999</v>
      </c>
      <c r="JJ92">
        <v>30.084599999999998</v>
      </c>
      <c r="JK92">
        <v>30.0001</v>
      </c>
      <c r="JL92">
        <v>30.1142</v>
      </c>
      <c r="JM92">
        <v>30.083200000000001</v>
      </c>
      <c r="JN92">
        <v>4.2663099999999998</v>
      </c>
      <c r="JO92">
        <v>28.775300000000001</v>
      </c>
      <c r="JP92">
        <v>32.069000000000003</v>
      </c>
      <c r="JQ92">
        <v>27.463999999999999</v>
      </c>
      <c r="JR92">
        <v>30</v>
      </c>
      <c r="JS92">
        <v>21.7607</v>
      </c>
      <c r="JT92">
        <v>99.398899999999998</v>
      </c>
      <c r="JU92">
        <v>98.864800000000002</v>
      </c>
    </row>
    <row r="93" spans="1:281" x14ac:dyDescent="0.25">
      <c r="A93">
        <v>77</v>
      </c>
      <c r="B93">
        <v>1693512356.5999999</v>
      </c>
      <c r="C93">
        <v>18377</v>
      </c>
      <c r="D93" t="s">
        <v>808</v>
      </c>
      <c r="E93" t="s">
        <v>809</v>
      </c>
      <c r="F93" t="s">
        <v>413</v>
      </c>
      <c r="G93" t="s">
        <v>778</v>
      </c>
      <c r="H93" t="s">
        <v>779</v>
      </c>
      <c r="I93" t="s">
        <v>416</v>
      </c>
      <c r="J93">
        <v>1693512356.5999999</v>
      </c>
      <c r="K93">
        <f t="shared" si="92"/>
        <v>6.2299149744787031E-3</v>
      </c>
      <c r="L93">
        <f t="shared" si="93"/>
        <v>6.229914974478703</v>
      </c>
      <c r="M93">
        <f t="shared" si="94"/>
        <v>1.678782206088852</v>
      </c>
      <c r="N93">
        <f t="shared" si="95"/>
        <v>7.9815899999999997</v>
      </c>
      <c r="O93">
        <f t="shared" si="96"/>
        <v>1.7287361018475305</v>
      </c>
      <c r="P93">
        <f t="shared" si="97"/>
        <v>0.17208502076223295</v>
      </c>
      <c r="Q93">
        <f t="shared" si="98"/>
        <v>0.794518075603173</v>
      </c>
      <c r="R93">
        <f t="shared" si="99"/>
        <v>0.47051247067923713</v>
      </c>
      <c r="S93">
        <f t="shared" si="100"/>
        <v>2.9311418662092059</v>
      </c>
      <c r="T93">
        <f t="shared" si="101"/>
        <v>0.43222392556475475</v>
      </c>
      <c r="U93">
        <f t="shared" si="102"/>
        <v>0.27331990910395398</v>
      </c>
      <c r="V93">
        <f t="shared" si="103"/>
        <v>344.3871006583006</v>
      </c>
      <c r="W93">
        <f t="shared" si="104"/>
        <v>30.779860464426982</v>
      </c>
      <c r="X93">
        <f t="shared" si="105"/>
        <v>29.931699999999999</v>
      </c>
      <c r="Y93">
        <f t="shared" si="106"/>
        <v>4.2437641641602024</v>
      </c>
      <c r="Z93">
        <f t="shared" si="107"/>
        <v>65.722208322997773</v>
      </c>
      <c r="AA93">
        <f t="shared" si="108"/>
        <v>2.86017309366816</v>
      </c>
      <c r="AB93">
        <f t="shared" si="109"/>
        <v>4.3519126436098725</v>
      </c>
      <c r="AC93">
        <f t="shared" si="110"/>
        <v>1.3835910704920424</v>
      </c>
      <c r="AD93">
        <f t="shared" si="111"/>
        <v>-274.73925037451079</v>
      </c>
      <c r="AE93">
        <f t="shared" si="112"/>
        <v>69.30920371966377</v>
      </c>
      <c r="AF93">
        <f t="shared" si="113"/>
        <v>5.2655352114684106</v>
      </c>
      <c r="AG93">
        <f t="shared" si="114"/>
        <v>144.22258921492201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52323.08222020985</v>
      </c>
      <c r="AM93" t="s">
        <v>417</v>
      </c>
      <c r="AN93">
        <v>10238.9</v>
      </c>
      <c r="AO93">
        <v>302.21199999999999</v>
      </c>
      <c r="AP93">
        <v>4052.3</v>
      </c>
      <c r="AQ93">
        <f t="shared" si="118"/>
        <v>0.92542210596451402</v>
      </c>
      <c r="AR93">
        <v>-0.32343011824092421</v>
      </c>
      <c r="AS93" t="s">
        <v>810</v>
      </c>
      <c r="AT93">
        <v>10445.700000000001</v>
      </c>
      <c r="AU93">
        <v>790.66130769230767</v>
      </c>
      <c r="AV93">
        <v>839.72402802827037</v>
      </c>
      <c r="AW93">
        <f t="shared" si="119"/>
        <v>5.8427195957659217E-2</v>
      </c>
      <c r="AX93">
        <v>0.5</v>
      </c>
      <c r="AY93">
        <f t="shared" si="120"/>
        <v>1513.2606003291501</v>
      </c>
      <c r="AZ93">
        <f t="shared" si="121"/>
        <v>1.678782206088852</v>
      </c>
      <c r="BA93">
        <f t="shared" si="122"/>
        <v>44.207786815218135</v>
      </c>
      <c r="BB93">
        <f t="shared" si="123"/>
        <v>1.3231113820674865E-3</v>
      </c>
      <c r="BC93">
        <f t="shared" si="124"/>
        <v>3.8257521099105363</v>
      </c>
      <c r="BD93">
        <f t="shared" si="125"/>
        <v>235.12651682497014</v>
      </c>
      <c r="BE93" t="s">
        <v>811</v>
      </c>
      <c r="BF93">
        <v>621.09</v>
      </c>
      <c r="BG93">
        <f t="shared" si="126"/>
        <v>621.09</v>
      </c>
      <c r="BH93">
        <f t="shared" si="127"/>
        <v>0.26036414432684274</v>
      </c>
      <c r="BI93">
        <f t="shared" si="128"/>
        <v>0.22440569191552684</v>
      </c>
      <c r="BJ93">
        <f t="shared" si="129"/>
        <v>0.93628077907552432</v>
      </c>
      <c r="BK93">
        <f t="shared" si="130"/>
        <v>9.1277437113244E-2</v>
      </c>
      <c r="BL93">
        <f t="shared" si="131"/>
        <v>0.85666682274435413</v>
      </c>
      <c r="BM93">
        <f t="shared" si="132"/>
        <v>0.17627792056577271</v>
      </c>
      <c r="BN93">
        <f t="shared" si="133"/>
        <v>0.82372207943422726</v>
      </c>
      <c r="BO93">
        <v>5840</v>
      </c>
      <c r="BP93">
        <v>290.00000000000011</v>
      </c>
      <c r="BQ93">
        <v>825.8</v>
      </c>
      <c r="BR93">
        <v>165</v>
      </c>
      <c r="BS93">
        <v>10445.700000000001</v>
      </c>
      <c r="BT93">
        <v>825.16</v>
      </c>
      <c r="BU93">
        <v>0.64</v>
      </c>
      <c r="BV93">
        <v>300.00000000000011</v>
      </c>
      <c r="BW93">
        <v>38.299999999999997</v>
      </c>
      <c r="BX93">
        <v>839.72402802827037</v>
      </c>
      <c r="BY93">
        <v>0.99234948426543124</v>
      </c>
      <c r="BZ93">
        <v>-15.213943121717749</v>
      </c>
      <c r="CA93">
        <v>0.84788272209137927</v>
      </c>
      <c r="CB93">
        <v>0.91999256570534349</v>
      </c>
      <c r="CC93">
        <v>-1.13295997775306E-2</v>
      </c>
      <c r="CD93">
        <v>289.99999999999989</v>
      </c>
      <c r="CE93">
        <v>823.72</v>
      </c>
      <c r="CF93">
        <v>655</v>
      </c>
      <c r="CG93">
        <v>10411.9</v>
      </c>
      <c r="CH93">
        <v>825.11</v>
      </c>
      <c r="CI93">
        <v>-1.39</v>
      </c>
      <c r="CW93">
        <f t="shared" si="134"/>
        <v>1800.09</v>
      </c>
      <c r="CX93">
        <f t="shared" si="135"/>
        <v>1513.2606003291501</v>
      </c>
      <c r="CY93">
        <f t="shared" si="136"/>
        <v>0.84065830060116442</v>
      </c>
      <c r="CZ93">
        <f t="shared" si="137"/>
        <v>0.1913166012023291</v>
      </c>
      <c r="DA93">
        <v>6</v>
      </c>
      <c r="DB93">
        <v>0.5</v>
      </c>
      <c r="DC93" t="s">
        <v>420</v>
      </c>
      <c r="DD93">
        <v>2</v>
      </c>
      <c r="DE93">
        <v>1693512356.5999999</v>
      </c>
      <c r="DF93">
        <v>7.9815899999999997</v>
      </c>
      <c r="DG93">
        <v>10.054600000000001</v>
      </c>
      <c r="DH93">
        <v>28.732800000000001</v>
      </c>
      <c r="DI93">
        <v>21.475899999999999</v>
      </c>
      <c r="DJ93">
        <v>9.6761300000000006</v>
      </c>
      <c r="DK93">
        <v>28.299800000000001</v>
      </c>
      <c r="DL93">
        <v>500.28899999999999</v>
      </c>
      <c r="DM93">
        <v>99.444400000000002</v>
      </c>
      <c r="DN93">
        <v>9.9434700000000001E-2</v>
      </c>
      <c r="DO93">
        <v>30.3703</v>
      </c>
      <c r="DP93">
        <v>29.931699999999999</v>
      </c>
      <c r="DQ93">
        <v>999.9</v>
      </c>
      <c r="DR93">
        <v>0</v>
      </c>
      <c r="DS93">
        <v>0</v>
      </c>
      <c r="DT93">
        <v>10065</v>
      </c>
      <c r="DU93">
        <v>0</v>
      </c>
      <c r="DV93">
        <v>1144.33</v>
      </c>
      <c r="DW93">
        <v>-2.0729700000000002</v>
      </c>
      <c r="DX93">
        <v>8.2177100000000003</v>
      </c>
      <c r="DY93">
        <v>10.2752</v>
      </c>
      <c r="DZ93">
        <v>7.2568799999999998</v>
      </c>
      <c r="EA93">
        <v>10.054600000000001</v>
      </c>
      <c r="EB93">
        <v>21.475899999999999</v>
      </c>
      <c r="EC93">
        <v>2.85731</v>
      </c>
      <c r="ED93">
        <v>2.1356600000000001</v>
      </c>
      <c r="EE93">
        <v>23.219000000000001</v>
      </c>
      <c r="EF93">
        <v>18.4876</v>
      </c>
      <c r="EG93">
        <v>1800.09</v>
      </c>
      <c r="EH93">
        <v>0.97799700000000001</v>
      </c>
      <c r="EI93">
        <v>2.2002799999999999E-2</v>
      </c>
      <c r="EJ93">
        <v>0</v>
      </c>
      <c r="EK93">
        <v>790.20899999999995</v>
      </c>
      <c r="EL93">
        <v>4.9995000000000003</v>
      </c>
      <c r="EM93">
        <v>14998.5</v>
      </c>
      <c r="EN93">
        <v>16660.599999999999</v>
      </c>
      <c r="EO93">
        <v>47.186999999999998</v>
      </c>
      <c r="EP93">
        <v>48.311999999999998</v>
      </c>
      <c r="EQ93">
        <v>48.061999999999998</v>
      </c>
      <c r="ER93">
        <v>47.125</v>
      </c>
      <c r="ES93">
        <v>48.5</v>
      </c>
      <c r="ET93">
        <v>1755.59</v>
      </c>
      <c r="EU93">
        <v>39.5</v>
      </c>
      <c r="EV93">
        <v>0</v>
      </c>
      <c r="EW93">
        <v>104.6000001430511</v>
      </c>
      <c r="EX93">
        <v>0</v>
      </c>
      <c r="EY93">
        <v>790.66130769230767</v>
      </c>
      <c r="EZ93">
        <v>-1.9406495773542569</v>
      </c>
      <c r="FA93">
        <v>-66.423931355642765</v>
      </c>
      <c r="FB93">
        <v>15004.91923076923</v>
      </c>
      <c r="FC93">
        <v>15</v>
      </c>
      <c r="FD93">
        <v>1693512329.5999999</v>
      </c>
      <c r="FE93" t="s">
        <v>812</v>
      </c>
      <c r="FF93">
        <v>1693512318.5999999</v>
      </c>
      <c r="FG93">
        <v>1693512329.5999999</v>
      </c>
      <c r="FH93">
        <v>87</v>
      </c>
      <c r="FI93">
        <v>-6.0999999999999999E-2</v>
      </c>
      <c r="FJ93">
        <v>-2E-3</v>
      </c>
      <c r="FK93">
        <v>-1.7</v>
      </c>
      <c r="FL93">
        <v>0.13400000000000001</v>
      </c>
      <c r="FM93">
        <v>10</v>
      </c>
      <c r="FN93">
        <v>22</v>
      </c>
      <c r="FO93">
        <v>0.63</v>
      </c>
      <c r="FP93">
        <v>0.03</v>
      </c>
      <c r="FQ93">
        <v>1.637376405281632</v>
      </c>
      <c r="FR93">
        <v>-0.16295319182622331</v>
      </c>
      <c r="FS93">
        <v>4.9805838889954122E-2</v>
      </c>
      <c r="FT93">
        <v>1</v>
      </c>
      <c r="FU93">
        <v>0.47591833264041189</v>
      </c>
      <c r="FV93">
        <v>4.6896590964837392E-2</v>
      </c>
      <c r="FW93">
        <v>6.9984294036248484E-3</v>
      </c>
      <c r="FX93">
        <v>1</v>
      </c>
      <c r="FY93">
        <v>2</v>
      </c>
      <c r="FZ93">
        <v>2</v>
      </c>
      <c r="GA93" t="s">
        <v>422</v>
      </c>
      <c r="GB93">
        <v>2.97207</v>
      </c>
      <c r="GC93">
        <v>2.8117000000000001</v>
      </c>
      <c r="GD93">
        <v>2.82643E-3</v>
      </c>
      <c r="GE93">
        <v>2.89902E-3</v>
      </c>
      <c r="GF93">
        <v>0.13573099999999999</v>
      </c>
      <c r="GG93">
        <v>0.110319</v>
      </c>
      <c r="GH93">
        <v>29541.7</v>
      </c>
      <c r="GI93">
        <v>27200.3</v>
      </c>
      <c r="GJ93">
        <v>26622.1</v>
      </c>
      <c r="GK93">
        <v>25730.5</v>
      </c>
      <c r="GL93">
        <v>31278.9</v>
      </c>
      <c r="GM93">
        <v>32224.799999999999</v>
      </c>
      <c r="GN93">
        <v>37691</v>
      </c>
      <c r="GO93">
        <v>38052.400000000001</v>
      </c>
      <c r="GP93">
        <v>1.9875</v>
      </c>
      <c r="GQ93">
        <v>1.9655</v>
      </c>
      <c r="GR93">
        <v>6.0528499999999999E-2</v>
      </c>
      <c r="GS93">
        <v>0</v>
      </c>
      <c r="GT93">
        <v>28.945799999999998</v>
      </c>
      <c r="GU93">
        <v>999.9</v>
      </c>
      <c r="GV93">
        <v>35.200000000000003</v>
      </c>
      <c r="GW93">
        <v>42.5</v>
      </c>
      <c r="GX93">
        <v>29.9558</v>
      </c>
      <c r="GY93">
        <v>61.284599999999998</v>
      </c>
      <c r="GZ93">
        <v>14.7516</v>
      </c>
      <c r="HA93">
        <v>1</v>
      </c>
      <c r="HB93">
        <v>0.19939000000000001</v>
      </c>
      <c r="HC93">
        <v>0.54760299999999995</v>
      </c>
      <c r="HD93">
        <v>20.249300000000002</v>
      </c>
      <c r="HE93">
        <v>5.2095000000000002</v>
      </c>
      <c r="HF93">
        <v>11.9321</v>
      </c>
      <c r="HG93">
        <v>4.9885999999999999</v>
      </c>
      <c r="HH93">
        <v>3.2909999999999999</v>
      </c>
      <c r="HI93">
        <v>9999</v>
      </c>
      <c r="HJ93">
        <v>9999</v>
      </c>
      <c r="HK93">
        <v>9999</v>
      </c>
      <c r="HL93">
        <v>999.9</v>
      </c>
      <c r="HM93">
        <v>1.8714500000000001</v>
      </c>
      <c r="HN93">
        <v>1.87744</v>
      </c>
      <c r="HO93">
        <v>1.8751500000000001</v>
      </c>
      <c r="HP93">
        <v>1.87344</v>
      </c>
      <c r="HQ93">
        <v>1.8739300000000001</v>
      </c>
      <c r="HR93">
        <v>1.87134</v>
      </c>
      <c r="HS93">
        <v>1.8771599999999999</v>
      </c>
      <c r="HT93">
        <v>1.8763700000000001</v>
      </c>
      <c r="HU93">
        <v>5</v>
      </c>
      <c r="HV93">
        <v>0</v>
      </c>
      <c r="HW93">
        <v>0</v>
      </c>
      <c r="HX93">
        <v>0</v>
      </c>
      <c r="HY93" t="s">
        <v>423</v>
      </c>
      <c r="HZ93" t="s">
        <v>424</v>
      </c>
      <c r="IA93" t="s">
        <v>425</v>
      </c>
      <c r="IB93" t="s">
        <v>425</v>
      </c>
      <c r="IC93" t="s">
        <v>425</v>
      </c>
      <c r="ID93" t="s">
        <v>425</v>
      </c>
      <c r="IE93">
        <v>0</v>
      </c>
      <c r="IF93">
        <v>100</v>
      </c>
      <c r="IG93">
        <v>100</v>
      </c>
      <c r="IH93">
        <v>-1.6950000000000001</v>
      </c>
      <c r="II93">
        <v>0.433</v>
      </c>
      <c r="IJ93">
        <v>-1.6688093959850601</v>
      </c>
      <c r="IK93">
        <v>-2.677719669153116E-3</v>
      </c>
      <c r="IL93">
        <v>1.9353498771248068E-6</v>
      </c>
      <c r="IM93">
        <v>-6.1862177325538213E-10</v>
      </c>
      <c r="IN93">
        <v>-0.1955211363333412</v>
      </c>
      <c r="IO93">
        <v>-1.5299015507423901E-2</v>
      </c>
      <c r="IP93">
        <v>1.742162107778985E-3</v>
      </c>
      <c r="IQ93">
        <v>-1.472690239905804E-5</v>
      </c>
      <c r="IR93">
        <v>3</v>
      </c>
      <c r="IS93">
        <v>2255</v>
      </c>
      <c r="IT93">
        <v>2</v>
      </c>
      <c r="IU93">
        <v>41</v>
      </c>
      <c r="IV93">
        <v>0.6</v>
      </c>
      <c r="IW93">
        <v>0.5</v>
      </c>
      <c r="IX93">
        <v>0.17089799999999999</v>
      </c>
      <c r="IY93">
        <v>2.6184099999999999</v>
      </c>
      <c r="IZ93">
        <v>1.5991200000000001</v>
      </c>
      <c r="JA93">
        <v>2.2705099999999998</v>
      </c>
      <c r="JB93">
        <v>1.5502899999999999</v>
      </c>
      <c r="JC93">
        <v>2.33643</v>
      </c>
      <c r="JD93">
        <v>49.075299999999999</v>
      </c>
      <c r="JE93">
        <v>23.7986</v>
      </c>
      <c r="JF93">
        <v>18</v>
      </c>
      <c r="JG93">
        <v>506.173</v>
      </c>
      <c r="JH93">
        <v>461.27100000000002</v>
      </c>
      <c r="JI93">
        <v>27.697700000000001</v>
      </c>
      <c r="JJ93">
        <v>30.058499999999999</v>
      </c>
      <c r="JK93">
        <v>29.9999</v>
      </c>
      <c r="JL93">
        <v>30.080500000000001</v>
      </c>
      <c r="JM93">
        <v>30.047000000000001</v>
      </c>
      <c r="JN93">
        <v>3.4817300000000002</v>
      </c>
      <c r="JO93">
        <v>28.270700000000001</v>
      </c>
      <c r="JP93">
        <v>29.784500000000001</v>
      </c>
      <c r="JQ93">
        <v>27.6983</v>
      </c>
      <c r="JR93">
        <v>10</v>
      </c>
      <c r="JS93">
        <v>21.410299999999999</v>
      </c>
      <c r="JT93">
        <v>99.402000000000001</v>
      </c>
      <c r="JU93">
        <v>98.865700000000004</v>
      </c>
    </row>
    <row r="94" spans="1:281" x14ac:dyDescent="0.25">
      <c r="A94">
        <v>78</v>
      </c>
      <c r="B94">
        <v>1693512546.5</v>
      </c>
      <c r="C94">
        <v>18566.900000095371</v>
      </c>
      <c r="D94" t="s">
        <v>813</v>
      </c>
      <c r="E94" t="s">
        <v>814</v>
      </c>
      <c r="F94" t="s">
        <v>413</v>
      </c>
      <c r="G94" t="s">
        <v>778</v>
      </c>
      <c r="H94" t="s">
        <v>779</v>
      </c>
      <c r="I94" t="s">
        <v>416</v>
      </c>
      <c r="J94">
        <v>1693512546.5</v>
      </c>
      <c r="K94">
        <f t="shared" si="92"/>
        <v>6.0802407337254734E-3</v>
      </c>
      <c r="L94">
        <f t="shared" si="93"/>
        <v>6.0802407337254731</v>
      </c>
      <c r="M94">
        <f t="shared" si="94"/>
        <v>39.721133270528895</v>
      </c>
      <c r="N94">
        <f t="shared" si="95"/>
        <v>349.928</v>
      </c>
      <c r="O94">
        <f t="shared" si="96"/>
        <v>191.29126938432941</v>
      </c>
      <c r="P94">
        <f t="shared" si="97"/>
        <v>19.041487761562603</v>
      </c>
      <c r="Q94">
        <f t="shared" si="98"/>
        <v>34.832482166454398</v>
      </c>
      <c r="R94">
        <f t="shared" si="99"/>
        <v>0.44743034449710384</v>
      </c>
      <c r="S94">
        <f t="shared" si="100"/>
        <v>2.9232440495360907</v>
      </c>
      <c r="T94">
        <f t="shared" si="101"/>
        <v>0.41257156905766684</v>
      </c>
      <c r="U94">
        <f t="shared" si="102"/>
        <v>0.26076246550076382</v>
      </c>
      <c r="V94">
        <f t="shared" si="103"/>
        <v>344.40990065825673</v>
      </c>
      <c r="W94">
        <f t="shared" si="104"/>
        <v>30.89431155063539</v>
      </c>
      <c r="X94">
        <f t="shared" si="105"/>
        <v>29.9939</v>
      </c>
      <c r="Y94">
        <f t="shared" si="106"/>
        <v>4.2589572281822958</v>
      </c>
      <c r="Z94">
        <f t="shared" si="107"/>
        <v>65.079802011604315</v>
      </c>
      <c r="AA94">
        <f t="shared" si="108"/>
        <v>2.8443089590552</v>
      </c>
      <c r="AB94">
        <f t="shared" si="109"/>
        <v>4.370494179665811</v>
      </c>
      <c r="AC94">
        <f t="shared" si="110"/>
        <v>1.4146482691270958</v>
      </c>
      <c r="AD94">
        <f t="shared" si="111"/>
        <v>-268.13861635729336</v>
      </c>
      <c r="AE94">
        <f t="shared" si="112"/>
        <v>71.045148285924412</v>
      </c>
      <c r="AF94">
        <f t="shared" si="113"/>
        <v>5.4156591250849022</v>
      </c>
      <c r="AG94">
        <f t="shared" si="114"/>
        <v>152.73209171197271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52084.949467367143</v>
      </c>
      <c r="AM94" t="s">
        <v>417</v>
      </c>
      <c r="AN94">
        <v>10238.9</v>
      </c>
      <c r="AO94">
        <v>302.21199999999999</v>
      </c>
      <c r="AP94">
        <v>4052.3</v>
      </c>
      <c r="AQ94">
        <f t="shared" si="118"/>
        <v>0.92542210596451402</v>
      </c>
      <c r="AR94">
        <v>-0.32343011824092421</v>
      </c>
      <c r="AS94" t="s">
        <v>815</v>
      </c>
      <c r="AT94">
        <v>10447.9</v>
      </c>
      <c r="AU94">
        <v>772.47991999999999</v>
      </c>
      <c r="AV94">
        <v>1061.496996036567</v>
      </c>
      <c r="AW94">
        <f t="shared" si="119"/>
        <v>0.2722730983843602</v>
      </c>
      <c r="AX94">
        <v>0.5</v>
      </c>
      <c r="AY94">
        <f t="shared" si="120"/>
        <v>1513.3614003291282</v>
      </c>
      <c r="AZ94">
        <f t="shared" si="121"/>
        <v>39.721133270528895</v>
      </c>
      <c r="BA94">
        <f t="shared" si="122"/>
        <v>206.02379872145292</v>
      </c>
      <c r="BB94">
        <f t="shared" si="123"/>
        <v>2.6460674482685274E-2</v>
      </c>
      <c r="BC94">
        <f t="shared" si="124"/>
        <v>2.8175331773246057</v>
      </c>
      <c r="BD94">
        <f t="shared" si="125"/>
        <v>249.73604172902085</v>
      </c>
      <c r="BE94" t="s">
        <v>816</v>
      </c>
      <c r="BF94">
        <v>597.33000000000004</v>
      </c>
      <c r="BG94">
        <f t="shared" si="126"/>
        <v>597.33000000000004</v>
      </c>
      <c r="BH94">
        <f t="shared" si="127"/>
        <v>0.43727584512220052</v>
      </c>
      <c r="BI94">
        <f t="shared" si="128"/>
        <v>0.62265753167379079</v>
      </c>
      <c r="BJ94">
        <f t="shared" si="129"/>
        <v>0.86565238018374491</v>
      </c>
      <c r="BK94">
        <f t="shared" si="130"/>
        <v>0.38064373396711765</v>
      </c>
      <c r="BL94">
        <f t="shared" si="131"/>
        <v>0.7975287523821929</v>
      </c>
      <c r="BM94">
        <f t="shared" si="132"/>
        <v>0.48147791776219306</v>
      </c>
      <c r="BN94">
        <f t="shared" si="133"/>
        <v>0.51852208223780694</v>
      </c>
      <c r="BO94">
        <v>5842</v>
      </c>
      <c r="BP94">
        <v>290.00000000000011</v>
      </c>
      <c r="BQ94">
        <v>973.07</v>
      </c>
      <c r="BR94">
        <v>165</v>
      </c>
      <c r="BS94">
        <v>10447.9</v>
      </c>
      <c r="BT94">
        <v>971.25</v>
      </c>
      <c r="BU94">
        <v>1.82</v>
      </c>
      <c r="BV94">
        <v>300.00000000000011</v>
      </c>
      <c r="BW94">
        <v>38.299999999999997</v>
      </c>
      <c r="BX94">
        <v>1061.496996036567</v>
      </c>
      <c r="BY94">
        <v>1.485414745292525</v>
      </c>
      <c r="BZ94">
        <v>-94.293609316419847</v>
      </c>
      <c r="CA94">
        <v>1.2694091310318349</v>
      </c>
      <c r="CB94">
        <v>0.99495108016023981</v>
      </c>
      <c r="CC94">
        <v>-1.133240645161292E-2</v>
      </c>
      <c r="CD94">
        <v>289.99999999999989</v>
      </c>
      <c r="CE94">
        <v>954.62</v>
      </c>
      <c r="CF94">
        <v>625</v>
      </c>
      <c r="CG94">
        <v>10417.200000000001</v>
      </c>
      <c r="CH94">
        <v>970.98</v>
      </c>
      <c r="CI94">
        <v>-16.36</v>
      </c>
      <c r="CW94">
        <f t="shared" si="134"/>
        <v>1800.21</v>
      </c>
      <c r="CX94">
        <f t="shared" si="135"/>
        <v>1513.3614003291282</v>
      </c>
      <c r="CY94">
        <f t="shared" si="136"/>
        <v>0.84065825671956507</v>
      </c>
      <c r="CZ94">
        <f t="shared" si="137"/>
        <v>0.19131651343913028</v>
      </c>
      <c r="DA94">
        <v>6</v>
      </c>
      <c r="DB94">
        <v>0.5</v>
      </c>
      <c r="DC94" t="s">
        <v>420</v>
      </c>
      <c r="DD94">
        <v>2</v>
      </c>
      <c r="DE94">
        <v>1693512546.5</v>
      </c>
      <c r="DF94">
        <v>349.928</v>
      </c>
      <c r="DG94">
        <v>400.13799999999998</v>
      </c>
      <c r="DH94">
        <v>28.574000000000002</v>
      </c>
      <c r="DI94">
        <v>21.487400000000001</v>
      </c>
      <c r="DJ94">
        <v>352.29599999999999</v>
      </c>
      <c r="DK94">
        <v>28.153500000000001</v>
      </c>
      <c r="DL94">
        <v>500.08499999999998</v>
      </c>
      <c r="DM94">
        <v>99.442099999999996</v>
      </c>
      <c r="DN94">
        <v>9.9754800000000005E-2</v>
      </c>
      <c r="DO94">
        <v>30.444700000000001</v>
      </c>
      <c r="DP94">
        <v>29.9939</v>
      </c>
      <c r="DQ94">
        <v>999.9</v>
      </c>
      <c r="DR94">
        <v>0</v>
      </c>
      <c r="DS94">
        <v>0</v>
      </c>
      <c r="DT94">
        <v>10020</v>
      </c>
      <c r="DU94">
        <v>0</v>
      </c>
      <c r="DV94">
        <v>1352.31</v>
      </c>
      <c r="DW94">
        <v>-50.2104</v>
      </c>
      <c r="DX94">
        <v>360.221</v>
      </c>
      <c r="DY94">
        <v>408.92500000000001</v>
      </c>
      <c r="DZ94">
        <v>7.0865600000000004</v>
      </c>
      <c r="EA94">
        <v>400.13799999999998</v>
      </c>
      <c r="EB94">
        <v>21.487400000000001</v>
      </c>
      <c r="EC94">
        <v>2.84145</v>
      </c>
      <c r="ED94">
        <v>2.1367500000000001</v>
      </c>
      <c r="EE94">
        <v>23.126899999999999</v>
      </c>
      <c r="EF94">
        <v>18.495799999999999</v>
      </c>
      <c r="EG94">
        <v>1800.21</v>
      </c>
      <c r="EH94">
        <v>0.97799700000000001</v>
      </c>
      <c r="EI94">
        <v>2.2002799999999999E-2</v>
      </c>
      <c r="EJ94">
        <v>0</v>
      </c>
      <c r="EK94">
        <v>770.60799999999995</v>
      </c>
      <c r="EL94">
        <v>4.9995000000000003</v>
      </c>
      <c r="EM94">
        <v>14637.3</v>
      </c>
      <c r="EN94">
        <v>16661.7</v>
      </c>
      <c r="EO94">
        <v>47.186999999999998</v>
      </c>
      <c r="EP94">
        <v>48.375</v>
      </c>
      <c r="EQ94">
        <v>48.061999999999998</v>
      </c>
      <c r="ER94">
        <v>47.186999999999998</v>
      </c>
      <c r="ES94">
        <v>48.5</v>
      </c>
      <c r="ET94">
        <v>1755.71</v>
      </c>
      <c r="EU94">
        <v>39.5</v>
      </c>
      <c r="EV94">
        <v>0</v>
      </c>
      <c r="EW94">
        <v>188</v>
      </c>
      <c r="EX94">
        <v>0</v>
      </c>
      <c r="EY94">
        <v>772.47991999999999</v>
      </c>
      <c r="EZ94">
        <v>-17.338923108459799</v>
      </c>
      <c r="FA94">
        <v>-282.73846226453651</v>
      </c>
      <c r="FB94">
        <v>14669.252</v>
      </c>
      <c r="FC94">
        <v>15</v>
      </c>
      <c r="FD94">
        <v>1693512436</v>
      </c>
      <c r="FE94" t="s">
        <v>817</v>
      </c>
      <c r="FF94">
        <v>1693512434.5</v>
      </c>
      <c r="FG94">
        <v>1693512436</v>
      </c>
      <c r="FH94">
        <v>88</v>
      </c>
      <c r="FI94">
        <v>3.1E-2</v>
      </c>
      <c r="FJ94">
        <v>-6.0000000000000001E-3</v>
      </c>
      <c r="FK94">
        <v>-2.4430000000000001</v>
      </c>
      <c r="FL94">
        <v>0.109</v>
      </c>
      <c r="FM94">
        <v>401</v>
      </c>
      <c r="FN94">
        <v>21</v>
      </c>
      <c r="FO94">
        <v>0.17</v>
      </c>
      <c r="FP94">
        <v>0.03</v>
      </c>
      <c r="FQ94">
        <v>39.393837361861628</v>
      </c>
      <c r="FR94">
        <v>1.512596356323036</v>
      </c>
      <c r="FS94">
        <v>0.13864208218718491</v>
      </c>
      <c r="FT94">
        <v>0</v>
      </c>
      <c r="FU94">
        <v>0.44967992806863211</v>
      </c>
      <c r="FV94">
        <v>-2.7830836499682259E-2</v>
      </c>
      <c r="FW94">
        <v>2.1388236560738131E-3</v>
      </c>
      <c r="FX94">
        <v>1</v>
      </c>
      <c r="FY94">
        <v>1</v>
      </c>
      <c r="FZ94">
        <v>2</v>
      </c>
      <c r="GA94" t="s">
        <v>461</v>
      </c>
      <c r="GB94">
        <v>2.9715099999999999</v>
      </c>
      <c r="GC94">
        <v>2.81162</v>
      </c>
      <c r="GD94">
        <v>8.8175199999999995E-2</v>
      </c>
      <c r="GE94">
        <v>9.6333699999999994E-2</v>
      </c>
      <c r="GF94">
        <v>0.135245</v>
      </c>
      <c r="GG94">
        <v>0.110364</v>
      </c>
      <c r="GH94">
        <v>27012.6</v>
      </c>
      <c r="GI94">
        <v>24650.7</v>
      </c>
      <c r="GJ94">
        <v>26621.200000000001</v>
      </c>
      <c r="GK94">
        <v>25729.599999999999</v>
      </c>
      <c r="GL94">
        <v>31303.200000000001</v>
      </c>
      <c r="GM94">
        <v>32228.7</v>
      </c>
      <c r="GN94">
        <v>37690.9</v>
      </c>
      <c r="GO94">
        <v>38051</v>
      </c>
      <c r="GP94">
        <v>1.9883999999999999</v>
      </c>
      <c r="GQ94">
        <v>1.9634</v>
      </c>
      <c r="GR94">
        <v>5.8919199999999998E-2</v>
      </c>
      <c r="GS94">
        <v>0</v>
      </c>
      <c r="GT94">
        <v>29.034300000000002</v>
      </c>
      <c r="GU94">
        <v>999.9</v>
      </c>
      <c r="GV94">
        <v>33.5</v>
      </c>
      <c r="GW94">
        <v>43</v>
      </c>
      <c r="GX94">
        <v>29.2668</v>
      </c>
      <c r="GY94">
        <v>61.424599999999998</v>
      </c>
      <c r="GZ94">
        <v>14.4231</v>
      </c>
      <c r="HA94">
        <v>1</v>
      </c>
      <c r="HB94">
        <v>0.19963400000000001</v>
      </c>
      <c r="HC94">
        <v>0.64600199999999997</v>
      </c>
      <c r="HD94">
        <v>20.248799999999999</v>
      </c>
      <c r="HE94">
        <v>5.2100999999999997</v>
      </c>
      <c r="HF94">
        <v>11.9321</v>
      </c>
      <c r="HG94">
        <v>4.9875999999999996</v>
      </c>
      <c r="HH94">
        <v>3.2909999999999999</v>
      </c>
      <c r="HI94">
        <v>9999</v>
      </c>
      <c r="HJ94">
        <v>9999</v>
      </c>
      <c r="HK94">
        <v>9999</v>
      </c>
      <c r="HL94">
        <v>999.9</v>
      </c>
      <c r="HM94">
        <v>1.8714299999999999</v>
      </c>
      <c r="HN94">
        <v>1.87744</v>
      </c>
      <c r="HO94">
        <v>1.87517</v>
      </c>
      <c r="HP94">
        <v>1.87344</v>
      </c>
      <c r="HQ94">
        <v>1.8739300000000001</v>
      </c>
      <c r="HR94">
        <v>1.87134</v>
      </c>
      <c r="HS94">
        <v>1.8772</v>
      </c>
      <c r="HT94">
        <v>1.8763700000000001</v>
      </c>
      <c r="HU94">
        <v>5</v>
      </c>
      <c r="HV94">
        <v>0</v>
      </c>
      <c r="HW94">
        <v>0</v>
      </c>
      <c r="HX94">
        <v>0</v>
      </c>
      <c r="HY94" t="s">
        <v>423</v>
      </c>
      <c r="HZ94" t="s">
        <v>424</v>
      </c>
      <c r="IA94" t="s">
        <v>425</v>
      </c>
      <c r="IB94" t="s">
        <v>425</v>
      </c>
      <c r="IC94" t="s">
        <v>425</v>
      </c>
      <c r="ID94" t="s">
        <v>425</v>
      </c>
      <c r="IE94">
        <v>0</v>
      </c>
      <c r="IF94">
        <v>100</v>
      </c>
      <c r="IG94">
        <v>100</v>
      </c>
      <c r="IH94">
        <v>-2.3679999999999999</v>
      </c>
      <c r="II94">
        <v>0.42049999999999998</v>
      </c>
      <c r="IJ94">
        <v>-1.637683596079319</v>
      </c>
      <c r="IK94">
        <v>-2.677719669153116E-3</v>
      </c>
      <c r="IL94">
        <v>1.9353498771248068E-6</v>
      </c>
      <c r="IM94">
        <v>-6.1862177325538213E-10</v>
      </c>
      <c r="IN94">
        <v>-0.2010493517794322</v>
      </c>
      <c r="IO94">
        <v>-1.5299015507423901E-2</v>
      </c>
      <c r="IP94">
        <v>1.742162107778985E-3</v>
      </c>
      <c r="IQ94">
        <v>-1.472690239905804E-5</v>
      </c>
      <c r="IR94">
        <v>3</v>
      </c>
      <c r="IS94">
        <v>2255</v>
      </c>
      <c r="IT94">
        <v>2</v>
      </c>
      <c r="IU94">
        <v>41</v>
      </c>
      <c r="IV94">
        <v>1.9</v>
      </c>
      <c r="IW94">
        <v>1.8</v>
      </c>
      <c r="IX94">
        <v>0.95459000000000005</v>
      </c>
      <c r="IY94">
        <v>2.5622600000000002</v>
      </c>
      <c r="IZ94">
        <v>1.5991200000000001</v>
      </c>
      <c r="JA94">
        <v>2.2692899999999998</v>
      </c>
      <c r="JB94">
        <v>1.5502899999999999</v>
      </c>
      <c r="JC94">
        <v>2.36816</v>
      </c>
      <c r="JD94">
        <v>49.389400000000002</v>
      </c>
      <c r="JE94">
        <v>23.7986</v>
      </c>
      <c r="JF94">
        <v>18</v>
      </c>
      <c r="JG94">
        <v>506.55200000000002</v>
      </c>
      <c r="JH94">
        <v>459.79300000000001</v>
      </c>
      <c r="JI94">
        <v>27.8079</v>
      </c>
      <c r="JJ94">
        <v>30.061199999999999</v>
      </c>
      <c r="JK94">
        <v>30.0001</v>
      </c>
      <c r="JL94">
        <v>30.057099999999998</v>
      </c>
      <c r="JM94">
        <v>30.023800000000001</v>
      </c>
      <c r="JN94">
        <v>19.130700000000001</v>
      </c>
      <c r="JO94">
        <v>25.7028</v>
      </c>
      <c r="JP94">
        <v>25.4404</v>
      </c>
      <c r="JQ94">
        <v>27.8064</v>
      </c>
      <c r="JR94">
        <v>400</v>
      </c>
      <c r="JS94">
        <v>21.527799999999999</v>
      </c>
      <c r="JT94">
        <v>99.400599999999997</v>
      </c>
      <c r="JU94">
        <v>98.861999999999995</v>
      </c>
    </row>
    <row r="95" spans="1:281" x14ac:dyDescent="0.25">
      <c r="A95">
        <v>79</v>
      </c>
      <c r="B95">
        <v>1693512723.5</v>
      </c>
      <c r="C95">
        <v>18743.900000095371</v>
      </c>
      <c r="D95" t="s">
        <v>818</v>
      </c>
      <c r="E95" t="s">
        <v>819</v>
      </c>
      <c r="F95" t="s">
        <v>413</v>
      </c>
      <c r="G95" t="s">
        <v>778</v>
      </c>
      <c r="H95" t="s">
        <v>779</v>
      </c>
      <c r="I95" t="s">
        <v>416</v>
      </c>
      <c r="J95">
        <v>1693512723.5</v>
      </c>
      <c r="K95">
        <f t="shared" si="92"/>
        <v>5.6499448908899456E-3</v>
      </c>
      <c r="L95">
        <f t="shared" si="93"/>
        <v>5.6499448908899454</v>
      </c>
      <c r="M95">
        <f t="shared" si="94"/>
        <v>43.075288288907856</v>
      </c>
      <c r="N95">
        <f t="shared" si="95"/>
        <v>345.9</v>
      </c>
      <c r="O95">
        <f t="shared" si="96"/>
        <v>158.14174259008507</v>
      </c>
      <c r="P95">
        <f t="shared" si="97"/>
        <v>15.742818127041456</v>
      </c>
      <c r="Q95">
        <f t="shared" si="98"/>
        <v>34.433924281829995</v>
      </c>
      <c r="R95">
        <f t="shared" si="99"/>
        <v>0.40398916889325776</v>
      </c>
      <c r="S95">
        <f t="shared" si="100"/>
        <v>2.9255506401461751</v>
      </c>
      <c r="T95">
        <f t="shared" si="101"/>
        <v>0.37535937070419284</v>
      </c>
      <c r="U95">
        <f t="shared" si="102"/>
        <v>0.23700258479672626</v>
      </c>
      <c r="V95">
        <f t="shared" si="103"/>
        <v>344.3776006583189</v>
      </c>
      <c r="W95">
        <f t="shared" si="104"/>
        <v>30.931501022423944</v>
      </c>
      <c r="X95">
        <f t="shared" si="105"/>
        <v>30.057600000000001</v>
      </c>
      <c r="Y95">
        <f t="shared" si="106"/>
        <v>4.2745657947234328</v>
      </c>
      <c r="Z95">
        <f t="shared" si="107"/>
        <v>65.018902109662065</v>
      </c>
      <c r="AA95">
        <f t="shared" si="108"/>
        <v>2.82961444740228</v>
      </c>
      <c r="AB95">
        <f t="shared" si="109"/>
        <v>4.3519874307163802</v>
      </c>
      <c r="AC95">
        <f t="shared" si="110"/>
        <v>1.4449513473211528</v>
      </c>
      <c r="AD95">
        <f t="shared" si="111"/>
        <v>-249.16256968824661</v>
      </c>
      <c r="AE95">
        <f t="shared" si="112"/>
        <v>49.36707555291828</v>
      </c>
      <c r="AF95">
        <f t="shared" si="113"/>
        <v>3.7600124515142173</v>
      </c>
      <c r="AG95">
        <f t="shared" si="114"/>
        <v>148.34211897450479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52163.583822669738</v>
      </c>
      <c r="AM95" t="s">
        <v>417</v>
      </c>
      <c r="AN95">
        <v>10238.9</v>
      </c>
      <c r="AO95">
        <v>302.21199999999999</v>
      </c>
      <c r="AP95">
        <v>4052.3</v>
      </c>
      <c r="AQ95">
        <f t="shared" si="118"/>
        <v>0.92542210596451402</v>
      </c>
      <c r="AR95">
        <v>-0.32343011824092421</v>
      </c>
      <c r="AS95" t="s">
        <v>820</v>
      </c>
      <c r="AT95">
        <v>10441.4</v>
      </c>
      <c r="AU95">
        <v>778.56943999999999</v>
      </c>
      <c r="AV95">
        <v>1088.614200483185</v>
      </c>
      <c r="AW95">
        <f t="shared" si="119"/>
        <v>0.28480683087320613</v>
      </c>
      <c r="AX95">
        <v>0.5</v>
      </c>
      <c r="AY95">
        <f t="shared" si="120"/>
        <v>1513.2186003291592</v>
      </c>
      <c r="AZ95">
        <f t="shared" si="121"/>
        <v>43.075288288907856</v>
      </c>
      <c r="BA95">
        <f t="shared" si="122"/>
        <v>215.48749698906829</v>
      </c>
      <c r="BB95">
        <f t="shared" si="123"/>
        <v>2.8679741577131403E-2</v>
      </c>
      <c r="BC95">
        <f t="shared" si="124"/>
        <v>2.7224390405722922</v>
      </c>
      <c r="BD95">
        <f t="shared" si="125"/>
        <v>251.20824324672691</v>
      </c>
      <c r="BE95" t="s">
        <v>821</v>
      </c>
      <c r="BF95">
        <v>602.51</v>
      </c>
      <c r="BG95">
        <f t="shared" si="126"/>
        <v>602.51</v>
      </c>
      <c r="BH95">
        <f t="shared" si="127"/>
        <v>0.44653486999106395</v>
      </c>
      <c r="BI95">
        <f t="shared" si="128"/>
        <v>0.63781543170168487</v>
      </c>
      <c r="BJ95">
        <f t="shared" si="129"/>
        <v>0.85909165471429139</v>
      </c>
      <c r="BK95">
        <f t="shared" si="130"/>
        <v>0.39425723922527911</v>
      </c>
      <c r="BL95">
        <f t="shared" si="131"/>
        <v>0.79029766755255215</v>
      </c>
      <c r="BM95">
        <f t="shared" si="132"/>
        <v>0.49358497265777879</v>
      </c>
      <c r="BN95">
        <f t="shared" si="133"/>
        <v>0.50641502734222121</v>
      </c>
      <c r="BO95">
        <v>5844</v>
      </c>
      <c r="BP95">
        <v>290.00000000000011</v>
      </c>
      <c r="BQ95">
        <v>1006.63</v>
      </c>
      <c r="BR95">
        <v>195</v>
      </c>
      <c r="BS95">
        <v>10441.4</v>
      </c>
      <c r="BT95">
        <v>1002.38</v>
      </c>
      <c r="BU95">
        <v>4.25</v>
      </c>
      <c r="BV95">
        <v>300.00000000000011</v>
      </c>
      <c r="BW95">
        <v>38.299999999999997</v>
      </c>
      <c r="BX95">
        <v>1088.614200483185</v>
      </c>
      <c r="BY95">
        <v>1.281746663218666</v>
      </c>
      <c r="BZ95">
        <v>-90.041471079254023</v>
      </c>
      <c r="CA95">
        <v>1.095289951515215</v>
      </c>
      <c r="CB95">
        <v>0.99587394091502857</v>
      </c>
      <c r="CC95">
        <v>-1.133193236929923E-2</v>
      </c>
      <c r="CD95">
        <v>289.99999999999989</v>
      </c>
      <c r="CE95">
        <v>995.98</v>
      </c>
      <c r="CF95">
        <v>665</v>
      </c>
      <c r="CG95">
        <v>10412.299999999999</v>
      </c>
      <c r="CH95">
        <v>1002.14</v>
      </c>
      <c r="CI95">
        <v>-6.16</v>
      </c>
      <c r="CW95">
        <f t="shared" si="134"/>
        <v>1800.04</v>
      </c>
      <c r="CX95">
        <f t="shared" si="135"/>
        <v>1513.2186003291592</v>
      </c>
      <c r="CY95">
        <f t="shared" si="136"/>
        <v>0.84065831888689102</v>
      </c>
      <c r="CZ95">
        <f t="shared" si="137"/>
        <v>0.19131663777378219</v>
      </c>
      <c r="DA95">
        <v>6</v>
      </c>
      <c r="DB95">
        <v>0.5</v>
      </c>
      <c r="DC95" t="s">
        <v>420</v>
      </c>
      <c r="DD95">
        <v>2</v>
      </c>
      <c r="DE95">
        <v>1693512723.5</v>
      </c>
      <c r="DF95">
        <v>345.9</v>
      </c>
      <c r="DG95">
        <v>399.89600000000002</v>
      </c>
      <c r="DH95">
        <v>28.424399999999999</v>
      </c>
      <c r="DI95">
        <v>21.841999999999999</v>
      </c>
      <c r="DJ95">
        <v>348.35599999999999</v>
      </c>
      <c r="DK95">
        <v>28.0108</v>
      </c>
      <c r="DL95">
        <v>500.36599999999999</v>
      </c>
      <c r="DM95">
        <v>99.448999999999998</v>
      </c>
      <c r="DN95">
        <v>9.9783700000000003E-2</v>
      </c>
      <c r="DO95">
        <v>30.3706</v>
      </c>
      <c r="DP95">
        <v>30.057600000000001</v>
      </c>
      <c r="DQ95">
        <v>999.9</v>
      </c>
      <c r="DR95">
        <v>0</v>
      </c>
      <c r="DS95">
        <v>0</v>
      </c>
      <c r="DT95">
        <v>10032.5</v>
      </c>
      <c r="DU95">
        <v>0</v>
      </c>
      <c r="DV95">
        <v>1334.11</v>
      </c>
      <c r="DW95">
        <v>-53.995699999999999</v>
      </c>
      <c r="DX95">
        <v>356.02</v>
      </c>
      <c r="DY95">
        <v>408.82499999999999</v>
      </c>
      <c r="DZ95">
        <v>6.5823700000000001</v>
      </c>
      <c r="EA95">
        <v>399.89600000000002</v>
      </c>
      <c r="EB95">
        <v>21.841999999999999</v>
      </c>
      <c r="EC95">
        <v>2.8267699999999998</v>
      </c>
      <c r="ED95">
        <v>2.1721599999999999</v>
      </c>
      <c r="EE95">
        <v>23.0413</v>
      </c>
      <c r="EF95">
        <v>18.758500000000002</v>
      </c>
      <c r="EG95">
        <v>1800.04</v>
      </c>
      <c r="EH95">
        <v>0.97799700000000001</v>
      </c>
      <c r="EI95">
        <v>2.2002899999999999E-2</v>
      </c>
      <c r="EJ95">
        <v>0</v>
      </c>
      <c r="EK95">
        <v>779.59400000000005</v>
      </c>
      <c r="EL95">
        <v>4.9995000000000003</v>
      </c>
      <c r="EM95">
        <v>14795.6</v>
      </c>
      <c r="EN95">
        <v>16660.2</v>
      </c>
      <c r="EO95">
        <v>47.311999999999998</v>
      </c>
      <c r="EP95">
        <v>48.561999999999998</v>
      </c>
      <c r="EQ95">
        <v>48.186999999999998</v>
      </c>
      <c r="ER95">
        <v>47.375</v>
      </c>
      <c r="ES95">
        <v>48.625</v>
      </c>
      <c r="ET95">
        <v>1755.54</v>
      </c>
      <c r="EU95">
        <v>39.5</v>
      </c>
      <c r="EV95">
        <v>0</v>
      </c>
      <c r="EW95">
        <v>174.79999995231631</v>
      </c>
      <c r="EX95">
        <v>0</v>
      </c>
      <c r="EY95">
        <v>778.56943999999999</v>
      </c>
      <c r="EZ95">
        <v>9.6835384753642906</v>
      </c>
      <c r="FA95">
        <v>157.5846156016207</v>
      </c>
      <c r="FB95">
        <v>14777.468000000001</v>
      </c>
      <c r="FC95">
        <v>15</v>
      </c>
      <c r="FD95">
        <v>1693512619</v>
      </c>
      <c r="FE95" t="s">
        <v>822</v>
      </c>
      <c r="FF95">
        <v>1693512619</v>
      </c>
      <c r="FG95">
        <v>1693512617</v>
      </c>
      <c r="FH95">
        <v>89</v>
      </c>
      <c r="FI95">
        <v>-9.4E-2</v>
      </c>
      <c r="FJ95">
        <v>0</v>
      </c>
      <c r="FK95">
        <v>-2.536</v>
      </c>
      <c r="FL95">
        <v>0.13200000000000001</v>
      </c>
      <c r="FM95">
        <v>400</v>
      </c>
      <c r="FN95">
        <v>22</v>
      </c>
      <c r="FO95">
        <v>0.06</v>
      </c>
      <c r="FP95">
        <v>0.03</v>
      </c>
      <c r="FQ95">
        <v>43.097301125021787</v>
      </c>
      <c r="FR95">
        <v>0.57692330236019485</v>
      </c>
      <c r="FS95">
        <v>9.4181378769501792E-2</v>
      </c>
      <c r="FT95">
        <v>1</v>
      </c>
      <c r="FU95">
        <v>0.40709767466593438</v>
      </c>
      <c r="FV95">
        <v>-6.0907610899732009E-3</v>
      </c>
      <c r="FW95">
        <v>7.8817544169002332E-4</v>
      </c>
      <c r="FX95">
        <v>1</v>
      </c>
      <c r="FY95">
        <v>2</v>
      </c>
      <c r="FZ95">
        <v>2</v>
      </c>
      <c r="GA95" t="s">
        <v>422</v>
      </c>
      <c r="GB95">
        <v>2.9722</v>
      </c>
      <c r="GC95">
        <v>2.8117700000000001</v>
      </c>
      <c r="GD95">
        <v>8.7388900000000005E-2</v>
      </c>
      <c r="GE95">
        <v>9.6291399999999999E-2</v>
      </c>
      <c r="GF95">
        <v>0.134766</v>
      </c>
      <c r="GG95">
        <v>0.111646</v>
      </c>
      <c r="GH95">
        <v>27033.9</v>
      </c>
      <c r="GI95">
        <v>24649</v>
      </c>
      <c r="GJ95">
        <v>26619.5</v>
      </c>
      <c r="GK95">
        <v>25726.9</v>
      </c>
      <c r="GL95">
        <v>31318.5</v>
      </c>
      <c r="GM95">
        <v>32179.200000000001</v>
      </c>
      <c r="GN95">
        <v>37687.5</v>
      </c>
      <c r="GO95">
        <v>38047.300000000003</v>
      </c>
      <c r="GP95">
        <v>1.9876</v>
      </c>
      <c r="GQ95">
        <v>1.9604999999999999</v>
      </c>
      <c r="GR95">
        <v>5.9157599999999998E-2</v>
      </c>
      <c r="GS95">
        <v>0</v>
      </c>
      <c r="GT95">
        <v>29.0943</v>
      </c>
      <c r="GU95">
        <v>999.9</v>
      </c>
      <c r="GV95">
        <v>32.299999999999997</v>
      </c>
      <c r="GW95">
        <v>43.5</v>
      </c>
      <c r="GX95">
        <v>28.964200000000002</v>
      </c>
      <c r="GY95">
        <v>61.274700000000003</v>
      </c>
      <c r="GZ95">
        <v>14.5312</v>
      </c>
      <c r="HA95">
        <v>1</v>
      </c>
      <c r="HB95">
        <v>0.205285</v>
      </c>
      <c r="HC95">
        <v>1.29298</v>
      </c>
      <c r="HD95">
        <v>20.244199999999999</v>
      </c>
      <c r="HE95">
        <v>5.2065099999999997</v>
      </c>
      <c r="HF95">
        <v>11.9321</v>
      </c>
      <c r="HG95">
        <v>4.9880000000000004</v>
      </c>
      <c r="HH95">
        <v>3.2909999999999999</v>
      </c>
      <c r="HI95">
        <v>9999</v>
      </c>
      <c r="HJ95">
        <v>9999</v>
      </c>
      <c r="HK95">
        <v>9999</v>
      </c>
      <c r="HL95">
        <v>999.9</v>
      </c>
      <c r="HM95">
        <v>1.8714900000000001</v>
      </c>
      <c r="HN95">
        <v>1.8774200000000001</v>
      </c>
      <c r="HO95">
        <v>1.8752500000000001</v>
      </c>
      <c r="HP95">
        <v>1.8734599999999999</v>
      </c>
      <c r="HQ95">
        <v>1.8739300000000001</v>
      </c>
      <c r="HR95">
        <v>1.8713599999999999</v>
      </c>
      <c r="HS95">
        <v>1.8772</v>
      </c>
      <c r="HT95">
        <v>1.8763700000000001</v>
      </c>
      <c r="HU95">
        <v>5</v>
      </c>
      <c r="HV95">
        <v>0</v>
      </c>
      <c r="HW95">
        <v>0</v>
      </c>
      <c r="HX95">
        <v>0</v>
      </c>
      <c r="HY95" t="s">
        <v>423</v>
      </c>
      <c r="HZ95" t="s">
        <v>424</v>
      </c>
      <c r="IA95" t="s">
        <v>425</v>
      </c>
      <c r="IB95" t="s">
        <v>425</v>
      </c>
      <c r="IC95" t="s">
        <v>425</v>
      </c>
      <c r="ID95" t="s">
        <v>425</v>
      </c>
      <c r="IE95">
        <v>0</v>
      </c>
      <c r="IF95">
        <v>100</v>
      </c>
      <c r="IG95">
        <v>100</v>
      </c>
      <c r="IH95">
        <v>-2.456</v>
      </c>
      <c r="II95">
        <v>0.41360000000000002</v>
      </c>
      <c r="IJ95">
        <v>-1.731792537883726</v>
      </c>
      <c r="IK95">
        <v>-2.677719669153116E-3</v>
      </c>
      <c r="IL95">
        <v>1.9353498771248068E-6</v>
      </c>
      <c r="IM95">
        <v>-6.1862177325538213E-10</v>
      </c>
      <c r="IN95">
        <v>-0.2011629464188342</v>
      </c>
      <c r="IO95">
        <v>-1.5299015507423901E-2</v>
      </c>
      <c r="IP95">
        <v>1.742162107778985E-3</v>
      </c>
      <c r="IQ95">
        <v>-1.472690239905804E-5</v>
      </c>
      <c r="IR95">
        <v>3</v>
      </c>
      <c r="IS95">
        <v>2255</v>
      </c>
      <c r="IT95">
        <v>2</v>
      </c>
      <c r="IU95">
        <v>41</v>
      </c>
      <c r="IV95">
        <v>1.7</v>
      </c>
      <c r="IW95">
        <v>1.8</v>
      </c>
      <c r="IX95">
        <v>0.95459000000000005</v>
      </c>
      <c r="IY95">
        <v>2.5671400000000002</v>
      </c>
      <c r="IZ95">
        <v>1.5991200000000001</v>
      </c>
      <c r="JA95">
        <v>2.2692899999999998</v>
      </c>
      <c r="JB95">
        <v>1.5502899999999999</v>
      </c>
      <c r="JC95">
        <v>2.2997999999999998</v>
      </c>
      <c r="JD95">
        <v>49.706200000000003</v>
      </c>
      <c r="JE95">
        <v>23.7986</v>
      </c>
      <c r="JF95">
        <v>18</v>
      </c>
      <c r="JG95">
        <v>506.27800000000002</v>
      </c>
      <c r="JH95">
        <v>458.23</v>
      </c>
      <c r="JI95">
        <v>27.056100000000001</v>
      </c>
      <c r="JJ95">
        <v>30.1158</v>
      </c>
      <c r="JK95">
        <v>30.000399999999999</v>
      </c>
      <c r="JL95">
        <v>30.085699999999999</v>
      </c>
      <c r="JM95">
        <v>30.052199999999999</v>
      </c>
      <c r="JN95">
        <v>19.149799999999999</v>
      </c>
      <c r="JO95">
        <v>22.680800000000001</v>
      </c>
      <c r="JP95">
        <v>22.5275</v>
      </c>
      <c r="JQ95">
        <v>27.063500000000001</v>
      </c>
      <c r="JR95">
        <v>400</v>
      </c>
      <c r="JS95">
        <v>21.927600000000002</v>
      </c>
      <c r="JT95">
        <v>99.392700000000005</v>
      </c>
      <c r="JU95">
        <v>98.852099999999993</v>
      </c>
    </row>
    <row r="96" spans="1:281" x14ac:dyDescent="0.25">
      <c r="A96">
        <v>80</v>
      </c>
      <c r="B96">
        <v>1693512824</v>
      </c>
      <c r="C96">
        <v>18844.400000095371</v>
      </c>
      <c r="D96" t="s">
        <v>823</v>
      </c>
      <c r="E96" t="s">
        <v>824</v>
      </c>
      <c r="F96" t="s">
        <v>413</v>
      </c>
      <c r="G96" t="s">
        <v>778</v>
      </c>
      <c r="H96" t="s">
        <v>779</v>
      </c>
      <c r="I96" t="s">
        <v>416</v>
      </c>
      <c r="J96">
        <v>1693512824</v>
      </c>
      <c r="K96">
        <f t="shared" si="92"/>
        <v>5.5260680773704966E-3</v>
      </c>
      <c r="L96">
        <f t="shared" si="93"/>
        <v>5.5260680773704962</v>
      </c>
      <c r="M96">
        <f t="shared" si="94"/>
        <v>44.609036151277763</v>
      </c>
      <c r="N96">
        <f t="shared" si="95"/>
        <v>443.50599999999997</v>
      </c>
      <c r="O96">
        <f t="shared" si="96"/>
        <v>248.36669975892994</v>
      </c>
      <c r="P96">
        <f t="shared" si="97"/>
        <v>24.72608733551235</v>
      </c>
      <c r="Q96">
        <f t="shared" si="98"/>
        <v>44.153133654663598</v>
      </c>
      <c r="R96">
        <f t="shared" si="99"/>
        <v>0.40651738621905914</v>
      </c>
      <c r="S96">
        <f t="shared" si="100"/>
        <v>2.9260949499938249</v>
      </c>
      <c r="T96">
        <f t="shared" si="101"/>
        <v>0.37754688053813679</v>
      </c>
      <c r="U96">
        <f t="shared" si="102"/>
        <v>0.23839741104779136</v>
      </c>
      <c r="V96">
        <f t="shared" si="103"/>
        <v>344.39280065828962</v>
      </c>
      <c r="W96">
        <f t="shared" si="104"/>
        <v>30.832124442089388</v>
      </c>
      <c r="X96">
        <f t="shared" si="105"/>
        <v>29.917300000000001</v>
      </c>
      <c r="Y96">
        <f t="shared" si="106"/>
        <v>4.240253540139725</v>
      </c>
      <c r="Z96">
        <f t="shared" si="107"/>
        <v>65.632842886347674</v>
      </c>
      <c r="AA96">
        <f t="shared" si="108"/>
        <v>2.8348715854652999</v>
      </c>
      <c r="AB96">
        <f t="shared" si="109"/>
        <v>4.3192881197821515</v>
      </c>
      <c r="AC96">
        <f t="shared" si="110"/>
        <v>1.4053819546744251</v>
      </c>
      <c r="AD96">
        <f t="shared" si="111"/>
        <v>-243.69960221203891</v>
      </c>
      <c r="AE96">
        <f t="shared" si="112"/>
        <v>50.748699674706366</v>
      </c>
      <c r="AF96">
        <f t="shared" si="113"/>
        <v>3.8593282396161204</v>
      </c>
      <c r="AG96">
        <f t="shared" si="114"/>
        <v>155.30122636057317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52201.885754529081</v>
      </c>
      <c r="AM96" t="s">
        <v>417</v>
      </c>
      <c r="AN96">
        <v>10238.9</v>
      </c>
      <c r="AO96">
        <v>302.21199999999999</v>
      </c>
      <c r="AP96">
        <v>4052.3</v>
      </c>
      <c r="AQ96">
        <f t="shared" si="118"/>
        <v>0.92542210596451402</v>
      </c>
      <c r="AR96">
        <v>-0.32343011824092421</v>
      </c>
      <c r="AS96" t="s">
        <v>825</v>
      </c>
      <c r="AT96">
        <v>10447.6</v>
      </c>
      <c r="AU96">
        <v>789.76338461538444</v>
      </c>
      <c r="AV96">
        <v>1115.400391941118</v>
      </c>
      <c r="AW96">
        <f t="shared" si="119"/>
        <v>0.29194629092700186</v>
      </c>
      <c r="AX96">
        <v>0.5</v>
      </c>
      <c r="AY96">
        <f t="shared" si="120"/>
        <v>1513.2858003291446</v>
      </c>
      <c r="AZ96">
        <f t="shared" si="121"/>
        <v>44.609036151277763</v>
      </c>
      <c r="BA96">
        <f t="shared" si="122"/>
        <v>220.89908825929666</v>
      </c>
      <c r="BB96">
        <f t="shared" si="123"/>
        <v>2.9691989616069697E-2</v>
      </c>
      <c r="BC96">
        <f t="shared" si="124"/>
        <v>2.6330451641206896</v>
      </c>
      <c r="BD96">
        <f t="shared" si="125"/>
        <v>252.6081121309453</v>
      </c>
      <c r="BE96" t="s">
        <v>826</v>
      </c>
      <c r="BF96">
        <v>608.02</v>
      </c>
      <c r="BG96">
        <f t="shared" si="126"/>
        <v>608.02</v>
      </c>
      <c r="BH96">
        <f t="shared" si="127"/>
        <v>0.45488633104936416</v>
      </c>
      <c r="BI96">
        <f t="shared" si="128"/>
        <v>0.64180053564924522</v>
      </c>
      <c r="BJ96">
        <f t="shared" si="129"/>
        <v>0.85268898232979962</v>
      </c>
      <c r="BK96">
        <f t="shared" si="130"/>
        <v>0.40044473156881033</v>
      </c>
      <c r="BL96">
        <f t="shared" si="131"/>
        <v>0.78315485078187019</v>
      </c>
      <c r="BM96">
        <f t="shared" si="132"/>
        <v>0.4941069303630673</v>
      </c>
      <c r="BN96">
        <f t="shared" si="133"/>
        <v>0.5058930696369327</v>
      </c>
      <c r="BO96">
        <v>5846</v>
      </c>
      <c r="BP96">
        <v>290.00000000000011</v>
      </c>
      <c r="BQ96">
        <v>1031.92</v>
      </c>
      <c r="BR96">
        <v>165</v>
      </c>
      <c r="BS96">
        <v>10447.6</v>
      </c>
      <c r="BT96">
        <v>1026.7</v>
      </c>
      <c r="BU96">
        <v>5.22</v>
      </c>
      <c r="BV96">
        <v>300.00000000000011</v>
      </c>
      <c r="BW96">
        <v>38.299999999999997</v>
      </c>
      <c r="BX96">
        <v>1115.400391941118</v>
      </c>
      <c r="BY96">
        <v>1.1551589699337961</v>
      </c>
      <c r="BZ96">
        <v>-92.671518583805963</v>
      </c>
      <c r="CA96">
        <v>0.98713678418137429</v>
      </c>
      <c r="CB96">
        <v>0.99683304007939844</v>
      </c>
      <c r="CC96">
        <v>-1.133214794215795E-2</v>
      </c>
      <c r="CD96">
        <v>289.99999999999989</v>
      </c>
      <c r="CE96">
        <v>1020.26</v>
      </c>
      <c r="CF96">
        <v>675</v>
      </c>
      <c r="CG96">
        <v>10411.5</v>
      </c>
      <c r="CH96">
        <v>1026.3900000000001</v>
      </c>
      <c r="CI96">
        <v>-6.13</v>
      </c>
      <c r="CW96">
        <f t="shared" si="134"/>
        <v>1800.12</v>
      </c>
      <c r="CX96">
        <f t="shared" si="135"/>
        <v>1513.2858003291446</v>
      </c>
      <c r="CY96">
        <f t="shared" si="136"/>
        <v>0.84065828963021616</v>
      </c>
      <c r="CZ96">
        <f t="shared" si="137"/>
        <v>0.19131657926043244</v>
      </c>
      <c r="DA96">
        <v>6</v>
      </c>
      <c r="DB96">
        <v>0.5</v>
      </c>
      <c r="DC96" t="s">
        <v>420</v>
      </c>
      <c r="DD96">
        <v>2</v>
      </c>
      <c r="DE96">
        <v>1693512824</v>
      </c>
      <c r="DF96">
        <v>443.50599999999997</v>
      </c>
      <c r="DG96">
        <v>499.96600000000001</v>
      </c>
      <c r="DH96">
        <v>28.4755</v>
      </c>
      <c r="DI96">
        <v>22.034400000000002</v>
      </c>
      <c r="DJ96">
        <v>446.03500000000003</v>
      </c>
      <c r="DK96">
        <v>28.061399999999999</v>
      </c>
      <c r="DL96">
        <v>500.10500000000002</v>
      </c>
      <c r="DM96">
        <v>99.455100000000002</v>
      </c>
      <c r="DN96">
        <v>9.9660600000000002E-2</v>
      </c>
      <c r="DO96">
        <v>30.239000000000001</v>
      </c>
      <c r="DP96">
        <v>29.917300000000001</v>
      </c>
      <c r="DQ96">
        <v>999.9</v>
      </c>
      <c r="DR96">
        <v>0</v>
      </c>
      <c r="DS96">
        <v>0</v>
      </c>
      <c r="DT96">
        <v>10035</v>
      </c>
      <c r="DU96">
        <v>0</v>
      </c>
      <c r="DV96">
        <v>1322.41</v>
      </c>
      <c r="DW96">
        <v>-56.46</v>
      </c>
      <c r="DX96">
        <v>456.505</v>
      </c>
      <c r="DY96">
        <v>511.23099999999999</v>
      </c>
      <c r="DZ96">
        <v>6.4410600000000002</v>
      </c>
      <c r="EA96">
        <v>499.96600000000001</v>
      </c>
      <c r="EB96">
        <v>22.034400000000002</v>
      </c>
      <c r="EC96">
        <v>2.83203</v>
      </c>
      <c r="ED96">
        <v>2.1914400000000001</v>
      </c>
      <c r="EE96">
        <v>23.071999999999999</v>
      </c>
      <c r="EF96">
        <v>18.899899999999999</v>
      </c>
      <c r="EG96">
        <v>1800.12</v>
      </c>
      <c r="EH96">
        <v>0.97799700000000001</v>
      </c>
      <c r="EI96">
        <v>2.2002799999999999E-2</v>
      </c>
      <c r="EJ96">
        <v>0</v>
      </c>
      <c r="EK96">
        <v>789.81299999999999</v>
      </c>
      <c r="EL96">
        <v>4.9995000000000003</v>
      </c>
      <c r="EM96">
        <v>14994.7</v>
      </c>
      <c r="EN96">
        <v>16660.900000000001</v>
      </c>
      <c r="EO96">
        <v>47.311999999999998</v>
      </c>
      <c r="EP96">
        <v>48.561999999999998</v>
      </c>
      <c r="EQ96">
        <v>48.186999999999998</v>
      </c>
      <c r="ER96">
        <v>47.436999999999998</v>
      </c>
      <c r="ES96">
        <v>48.625</v>
      </c>
      <c r="ET96">
        <v>1755.62</v>
      </c>
      <c r="EU96">
        <v>39.5</v>
      </c>
      <c r="EV96">
        <v>0</v>
      </c>
      <c r="EW96">
        <v>98.400000095367432</v>
      </c>
      <c r="EX96">
        <v>0</v>
      </c>
      <c r="EY96">
        <v>789.76338461538444</v>
      </c>
      <c r="EZ96">
        <v>2.6871790606528861E-2</v>
      </c>
      <c r="FA96">
        <v>-15.005127911210559</v>
      </c>
      <c r="FB96">
        <v>14994.357692307691</v>
      </c>
      <c r="FC96">
        <v>15</v>
      </c>
      <c r="FD96">
        <v>1693512795</v>
      </c>
      <c r="FE96" t="s">
        <v>827</v>
      </c>
      <c r="FF96">
        <v>1693512791.5</v>
      </c>
      <c r="FG96">
        <v>1693512795</v>
      </c>
      <c r="FH96">
        <v>90</v>
      </c>
      <c r="FI96">
        <v>6.7000000000000004E-2</v>
      </c>
      <c r="FJ96">
        <v>-2E-3</v>
      </c>
      <c r="FK96">
        <v>-2.601</v>
      </c>
      <c r="FL96">
        <v>0.13200000000000001</v>
      </c>
      <c r="FM96">
        <v>500</v>
      </c>
      <c r="FN96">
        <v>22</v>
      </c>
      <c r="FO96">
        <v>0.12</v>
      </c>
      <c r="FP96">
        <v>0.03</v>
      </c>
      <c r="FQ96">
        <v>44.696742689014542</v>
      </c>
      <c r="FR96">
        <v>-0.51719516938095844</v>
      </c>
      <c r="FS96">
        <v>0.10326101863427251</v>
      </c>
      <c r="FT96">
        <v>1</v>
      </c>
      <c r="FU96">
        <v>0.40635419203741691</v>
      </c>
      <c r="FV96">
        <v>3.1983290915967758E-2</v>
      </c>
      <c r="FW96">
        <v>4.9206628007058412E-3</v>
      </c>
      <c r="FX96">
        <v>1</v>
      </c>
      <c r="FY96">
        <v>2</v>
      </c>
      <c r="FZ96">
        <v>2</v>
      </c>
      <c r="GA96" t="s">
        <v>422</v>
      </c>
      <c r="GB96">
        <v>2.9714900000000002</v>
      </c>
      <c r="GC96">
        <v>2.8116599999999998</v>
      </c>
      <c r="GD96">
        <v>0.10582999999999999</v>
      </c>
      <c r="GE96">
        <v>0.113943</v>
      </c>
      <c r="GF96">
        <v>0.134936</v>
      </c>
      <c r="GG96">
        <v>0.11234</v>
      </c>
      <c r="GH96">
        <v>26487.4</v>
      </c>
      <c r="GI96">
        <v>24166.3</v>
      </c>
      <c r="GJ96">
        <v>26619.5</v>
      </c>
      <c r="GK96">
        <v>25725.9</v>
      </c>
      <c r="GL96">
        <v>31313.8</v>
      </c>
      <c r="GM96">
        <v>32154.2</v>
      </c>
      <c r="GN96">
        <v>37687.5</v>
      </c>
      <c r="GO96">
        <v>38046</v>
      </c>
      <c r="GP96">
        <v>1.9859</v>
      </c>
      <c r="GQ96">
        <v>1.9593</v>
      </c>
      <c r="GR96">
        <v>5.5432299999999997E-2</v>
      </c>
      <c r="GS96">
        <v>0</v>
      </c>
      <c r="GT96">
        <v>29.014399999999998</v>
      </c>
      <c r="GU96">
        <v>999.9</v>
      </c>
      <c r="GV96">
        <v>31.7</v>
      </c>
      <c r="GW96">
        <v>43.7</v>
      </c>
      <c r="GX96">
        <v>28.718900000000001</v>
      </c>
      <c r="GY96">
        <v>61.3446</v>
      </c>
      <c r="GZ96">
        <v>15.2644</v>
      </c>
      <c r="HA96">
        <v>1</v>
      </c>
      <c r="HB96">
        <v>0.20621999999999999</v>
      </c>
      <c r="HC96">
        <v>0.86083900000000002</v>
      </c>
      <c r="HD96">
        <v>20.247399999999999</v>
      </c>
      <c r="HE96">
        <v>5.2100999999999997</v>
      </c>
      <c r="HF96">
        <v>11.9321</v>
      </c>
      <c r="HG96">
        <v>4.9878</v>
      </c>
      <c r="HH96">
        <v>3.2909999999999999</v>
      </c>
      <c r="HI96">
        <v>9999</v>
      </c>
      <c r="HJ96">
        <v>9999</v>
      </c>
      <c r="HK96">
        <v>9999</v>
      </c>
      <c r="HL96">
        <v>999.9</v>
      </c>
      <c r="HM96">
        <v>1.87147</v>
      </c>
      <c r="HN96">
        <v>1.87744</v>
      </c>
      <c r="HO96">
        <v>1.8752800000000001</v>
      </c>
      <c r="HP96">
        <v>1.87344</v>
      </c>
      <c r="HQ96">
        <v>1.8739600000000001</v>
      </c>
      <c r="HR96">
        <v>1.87134</v>
      </c>
      <c r="HS96">
        <v>1.87717</v>
      </c>
      <c r="HT96">
        <v>1.8763700000000001</v>
      </c>
      <c r="HU96">
        <v>5</v>
      </c>
      <c r="HV96">
        <v>0</v>
      </c>
      <c r="HW96">
        <v>0</v>
      </c>
      <c r="HX96">
        <v>0</v>
      </c>
      <c r="HY96" t="s">
        <v>423</v>
      </c>
      <c r="HZ96" t="s">
        <v>424</v>
      </c>
      <c r="IA96" t="s">
        <v>425</v>
      </c>
      <c r="IB96" t="s">
        <v>425</v>
      </c>
      <c r="IC96" t="s">
        <v>425</v>
      </c>
      <c r="ID96" t="s">
        <v>425</v>
      </c>
      <c r="IE96">
        <v>0</v>
      </c>
      <c r="IF96">
        <v>100</v>
      </c>
      <c r="IG96">
        <v>100</v>
      </c>
      <c r="IH96">
        <v>-2.5289999999999999</v>
      </c>
      <c r="II96">
        <v>0.41410000000000002</v>
      </c>
      <c r="IJ96">
        <v>-1.665189860934144</v>
      </c>
      <c r="IK96">
        <v>-2.677719669153116E-3</v>
      </c>
      <c r="IL96">
        <v>1.9353498771248068E-6</v>
      </c>
      <c r="IM96">
        <v>-6.1862177325538213E-10</v>
      </c>
      <c r="IN96">
        <v>-0.2030265269553419</v>
      </c>
      <c r="IO96">
        <v>-1.5299015507423901E-2</v>
      </c>
      <c r="IP96">
        <v>1.742162107778985E-3</v>
      </c>
      <c r="IQ96">
        <v>-1.472690239905804E-5</v>
      </c>
      <c r="IR96">
        <v>3</v>
      </c>
      <c r="IS96">
        <v>2255</v>
      </c>
      <c r="IT96">
        <v>2</v>
      </c>
      <c r="IU96">
        <v>41</v>
      </c>
      <c r="IV96">
        <v>0.5</v>
      </c>
      <c r="IW96">
        <v>0.5</v>
      </c>
      <c r="IX96">
        <v>1.1425799999999999</v>
      </c>
      <c r="IY96">
        <v>2.5488300000000002</v>
      </c>
      <c r="IZ96">
        <v>1.5991200000000001</v>
      </c>
      <c r="JA96">
        <v>2.2692899999999998</v>
      </c>
      <c r="JB96">
        <v>1.5502899999999999</v>
      </c>
      <c r="JC96">
        <v>2.4499499999999999</v>
      </c>
      <c r="JD96">
        <v>49.865600000000001</v>
      </c>
      <c r="JE96">
        <v>23.7986</v>
      </c>
      <c r="JF96">
        <v>18</v>
      </c>
      <c r="JG96">
        <v>505.40800000000002</v>
      </c>
      <c r="JH96">
        <v>457.63400000000001</v>
      </c>
      <c r="JI96">
        <v>27.270600000000002</v>
      </c>
      <c r="JJ96">
        <v>30.144500000000001</v>
      </c>
      <c r="JK96">
        <v>30</v>
      </c>
      <c r="JL96">
        <v>30.111599999999999</v>
      </c>
      <c r="JM96">
        <v>30.0702</v>
      </c>
      <c r="JN96">
        <v>22.892600000000002</v>
      </c>
      <c r="JO96">
        <v>21.367899999999999</v>
      </c>
      <c r="JP96">
        <v>21.7849</v>
      </c>
      <c r="JQ96">
        <v>27.2818</v>
      </c>
      <c r="JR96">
        <v>500</v>
      </c>
      <c r="JS96">
        <v>21.9847</v>
      </c>
      <c r="JT96">
        <v>99.392600000000002</v>
      </c>
      <c r="JU96">
        <v>98.848399999999998</v>
      </c>
    </row>
    <row r="97" spans="1:281" x14ac:dyDescent="0.25">
      <c r="A97">
        <v>81</v>
      </c>
      <c r="B97">
        <v>1693512934</v>
      </c>
      <c r="C97">
        <v>18954.400000095371</v>
      </c>
      <c r="D97" t="s">
        <v>828</v>
      </c>
      <c r="E97" t="s">
        <v>829</v>
      </c>
      <c r="F97" t="s">
        <v>413</v>
      </c>
      <c r="G97" t="s">
        <v>778</v>
      </c>
      <c r="H97" t="s">
        <v>779</v>
      </c>
      <c r="I97" t="s">
        <v>416</v>
      </c>
      <c r="J97">
        <v>1693512934</v>
      </c>
      <c r="K97">
        <f t="shared" si="92"/>
        <v>5.2837061980839546E-3</v>
      </c>
      <c r="L97">
        <f t="shared" si="93"/>
        <v>5.283706198083955</v>
      </c>
      <c r="M97">
        <f t="shared" si="94"/>
        <v>44.915437554387879</v>
      </c>
      <c r="N97">
        <f t="shared" si="95"/>
        <v>641.91</v>
      </c>
      <c r="O97">
        <f t="shared" si="96"/>
        <v>428.07634674056135</v>
      </c>
      <c r="P97">
        <f t="shared" si="97"/>
        <v>42.615475140306685</v>
      </c>
      <c r="Q97">
        <f t="shared" si="98"/>
        <v>63.902852506571996</v>
      </c>
      <c r="R97">
        <f t="shared" si="99"/>
        <v>0.37920660863860212</v>
      </c>
      <c r="S97">
        <f t="shared" si="100"/>
        <v>2.918168631083883</v>
      </c>
      <c r="T97">
        <f t="shared" si="101"/>
        <v>0.35380401894072738</v>
      </c>
      <c r="U97">
        <f t="shared" si="102"/>
        <v>0.22326787001357878</v>
      </c>
      <c r="V97">
        <f t="shared" si="103"/>
        <v>344.3966006582823</v>
      </c>
      <c r="W97">
        <f t="shared" si="104"/>
        <v>30.979122087913868</v>
      </c>
      <c r="X97">
        <f t="shared" si="105"/>
        <v>30.011700000000001</v>
      </c>
      <c r="Y97">
        <f t="shared" si="106"/>
        <v>4.2633137969128736</v>
      </c>
      <c r="Z97">
        <f t="shared" si="107"/>
        <v>65.201665445894548</v>
      </c>
      <c r="AA97">
        <f t="shared" si="108"/>
        <v>2.8295809972352801</v>
      </c>
      <c r="AB97">
        <f t="shared" si="109"/>
        <v>4.3397373025437735</v>
      </c>
      <c r="AC97">
        <f t="shared" si="110"/>
        <v>1.4337327996775935</v>
      </c>
      <c r="AD97">
        <f t="shared" si="111"/>
        <v>-233.01144333550241</v>
      </c>
      <c r="AE97">
        <f t="shared" si="112"/>
        <v>48.723337951916449</v>
      </c>
      <c r="AF97">
        <f t="shared" si="113"/>
        <v>3.7186201176563367</v>
      </c>
      <c r="AG97">
        <f t="shared" si="114"/>
        <v>163.82711539235265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51961.726363472008</v>
      </c>
      <c r="AM97" t="s">
        <v>417</v>
      </c>
      <c r="AN97">
        <v>10238.9</v>
      </c>
      <c r="AO97">
        <v>302.21199999999999</v>
      </c>
      <c r="AP97">
        <v>4052.3</v>
      </c>
      <c r="AQ97">
        <f t="shared" si="118"/>
        <v>0.92542210596451402</v>
      </c>
      <c r="AR97">
        <v>-0.32343011824092421</v>
      </c>
      <c r="AS97" t="s">
        <v>830</v>
      </c>
      <c r="AT97">
        <v>10450</v>
      </c>
      <c r="AU97">
        <v>788.92011538461531</v>
      </c>
      <c r="AV97">
        <v>1124.067934996544</v>
      </c>
      <c r="AW97">
        <f t="shared" si="119"/>
        <v>0.29815619606030219</v>
      </c>
      <c r="AX97">
        <v>0.5</v>
      </c>
      <c r="AY97">
        <f t="shared" si="120"/>
        <v>1513.3026003291411</v>
      </c>
      <c r="AZ97">
        <f t="shared" si="121"/>
        <v>44.915437554387879</v>
      </c>
      <c r="BA97">
        <f t="shared" si="122"/>
        <v>225.60027340115028</v>
      </c>
      <c r="BB97">
        <f t="shared" si="123"/>
        <v>2.9894131988400345E-2</v>
      </c>
      <c r="BC97">
        <f t="shared" si="124"/>
        <v>2.6050312208331601</v>
      </c>
      <c r="BD97">
        <f t="shared" si="125"/>
        <v>253.05001448510319</v>
      </c>
      <c r="BE97" t="s">
        <v>831</v>
      </c>
      <c r="BF97">
        <v>606.54</v>
      </c>
      <c r="BG97">
        <f t="shared" si="126"/>
        <v>606.54</v>
      </c>
      <c r="BH97">
        <f t="shared" si="127"/>
        <v>0.46040627873451012</v>
      </c>
      <c r="BI97">
        <f t="shared" si="128"/>
        <v>0.64759367939078827</v>
      </c>
      <c r="BJ97">
        <f t="shared" si="129"/>
        <v>0.84980731827041234</v>
      </c>
      <c r="BK97">
        <f t="shared" si="130"/>
        <v>0.40779387887895219</v>
      </c>
      <c r="BL97">
        <f t="shared" si="131"/>
        <v>0.78084356020537549</v>
      </c>
      <c r="BM97">
        <f t="shared" si="132"/>
        <v>0.49788497293695511</v>
      </c>
      <c r="BN97">
        <f t="shared" si="133"/>
        <v>0.50211502706304489</v>
      </c>
      <c r="BO97">
        <v>5848</v>
      </c>
      <c r="BP97">
        <v>290.00000000000011</v>
      </c>
      <c r="BQ97">
        <v>1034.82</v>
      </c>
      <c r="BR97">
        <v>155</v>
      </c>
      <c r="BS97">
        <v>10450</v>
      </c>
      <c r="BT97">
        <v>1030.6400000000001</v>
      </c>
      <c r="BU97">
        <v>4.18</v>
      </c>
      <c r="BV97">
        <v>300.00000000000011</v>
      </c>
      <c r="BW97">
        <v>38.299999999999997</v>
      </c>
      <c r="BX97">
        <v>1124.067934996544</v>
      </c>
      <c r="BY97">
        <v>1.317462749938449</v>
      </c>
      <c r="BZ97">
        <v>-97.636466672881454</v>
      </c>
      <c r="CA97">
        <v>1.12587026751599</v>
      </c>
      <c r="CB97">
        <v>0.99629065966895913</v>
      </c>
      <c r="CC97">
        <v>-1.133257397107898E-2</v>
      </c>
      <c r="CD97">
        <v>289.99999999999989</v>
      </c>
      <c r="CE97">
        <v>1022.97</v>
      </c>
      <c r="CF97">
        <v>675</v>
      </c>
      <c r="CG97">
        <v>10411.9</v>
      </c>
      <c r="CH97">
        <v>1030.29</v>
      </c>
      <c r="CI97">
        <v>-7.32</v>
      </c>
      <c r="CW97">
        <f t="shared" si="134"/>
        <v>1800.14</v>
      </c>
      <c r="CX97">
        <f t="shared" si="135"/>
        <v>1513.3026003291411</v>
      </c>
      <c r="CY97">
        <f t="shared" si="136"/>
        <v>0.84065828231645379</v>
      </c>
      <c r="CZ97">
        <f t="shared" si="137"/>
        <v>0.19131656463290761</v>
      </c>
      <c r="DA97">
        <v>6</v>
      </c>
      <c r="DB97">
        <v>0.5</v>
      </c>
      <c r="DC97" t="s">
        <v>420</v>
      </c>
      <c r="DD97">
        <v>2</v>
      </c>
      <c r="DE97">
        <v>1693512934</v>
      </c>
      <c r="DF97">
        <v>641.91</v>
      </c>
      <c r="DG97">
        <v>699.88199999999995</v>
      </c>
      <c r="DH97">
        <v>28.423400000000001</v>
      </c>
      <c r="DI97">
        <v>22.262799999999999</v>
      </c>
      <c r="DJ97">
        <v>644.702</v>
      </c>
      <c r="DK97">
        <v>28.013500000000001</v>
      </c>
      <c r="DL97">
        <v>499.97</v>
      </c>
      <c r="DM97">
        <v>99.452100000000002</v>
      </c>
      <c r="DN97">
        <v>9.9009200000000006E-2</v>
      </c>
      <c r="DO97">
        <v>30.321400000000001</v>
      </c>
      <c r="DP97">
        <v>30.011700000000001</v>
      </c>
      <c r="DQ97">
        <v>999.9</v>
      </c>
      <c r="DR97">
        <v>0</v>
      </c>
      <c r="DS97">
        <v>0</v>
      </c>
      <c r="DT97">
        <v>9990</v>
      </c>
      <c r="DU97">
        <v>0</v>
      </c>
      <c r="DV97">
        <v>1313.44</v>
      </c>
      <c r="DW97">
        <v>-57.971899999999998</v>
      </c>
      <c r="DX97">
        <v>660.69</v>
      </c>
      <c r="DY97">
        <v>715.81799999999998</v>
      </c>
      <c r="DZ97">
        <v>6.1606300000000003</v>
      </c>
      <c r="EA97">
        <v>699.88199999999995</v>
      </c>
      <c r="EB97">
        <v>22.262799999999999</v>
      </c>
      <c r="EC97">
        <v>2.8267699999999998</v>
      </c>
      <c r="ED97">
        <v>2.21408</v>
      </c>
      <c r="EE97">
        <v>23.0413</v>
      </c>
      <c r="EF97">
        <v>19.064599999999999</v>
      </c>
      <c r="EG97">
        <v>1800.14</v>
      </c>
      <c r="EH97">
        <v>0.97799700000000001</v>
      </c>
      <c r="EI97">
        <v>2.2002899999999999E-2</v>
      </c>
      <c r="EJ97">
        <v>0</v>
      </c>
      <c r="EK97">
        <v>788.49900000000002</v>
      </c>
      <c r="EL97">
        <v>4.9995000000000003</v>
      </c>
      <c r="EM97">
        <v>14959.8</v>
      </c>
      <c r="EN97">
        <v>16661.099999999999</v>
      </c>
      <c r="EO97">
        <v>47.25</v>
      </c>
      <c r="EP97">
        <v>48.375</v>
      </c>
      <c r="EQ97">
        <v>48.125</v>
      </c>
      <c r="ER97">
        <v>47.311999999999998</v>
      </c>
      <c r="ES97">
        <v>48.561999999999998</v>
      </c>
      <c r="ET97">
        <v>1755.64</v>
      </c>
      <c r="EU97">
        <v>39.5</v>
      </c>
      <c r="EV97">
        <v>0</v>
      </c>
      <c r="EW97">
        <v>108.2000000476837</v>
      </c>
      <c r="EX97">
        <v>0</v>
      </c>
      <c r="EY97">
        <v>788.92011538461531</v>
      </c>
      <c r="EZ97">
        <v>-3.2422905922940699</v>
      </c>
      <c r="FA97">
        <v>-82.082051271453025</v>
      </c>
      <c r="FB97">
        <v>14969.773076923069</v>
      </c>
      <c r="FC97">
        <v>15</v>
      </c>
      <c r="FD97">
        <v>1693512901.5</v>
      </c>
      <c r="FE97" t="s">
        <v>832</v>
      </c>
      <c r="FF97">
        <v>1693512901.5</v>
      </c>
      <c r="FG97">
        <v>1693512894.5</v>
      </c>
      <c r="FH97">
        <v>91</v>
      </c>
      <c r="FI97">
        <v>-3.9E-2</v>
      </c>
      <c r="FJ97">
        <v>-2E-3</v>
      </c>
      <c r="FK97">
        <v>-2.8450000000000002</v>
      </c>
      <c r="FL97">
        <v>0.13200000000000001</v>
      </c>
      <c r="FM97">
        <v>700</v>
      </c>
      <c r="FN97">
        <v>22</v>
      </c>
      <c r="FO97">
        <v>0.12</v>
      </c>
      <c r="FP97">
        <v>0.03</v>
      </c>
      <c r="FQ97">
        <v>45.015453191291009</v>
      </c>
      <c r="FR97">
        <v>-0.56479331616968653</v>
      </c>
      <c r="FS97">
        <v>8.2121712083092047E-2</v>
      </c>
      <c r="FT97">
        <v>1</v>
      </c>
      <c r="FU97">
        <v>0.3865695033484664</v>
      </c>
      <c r="FV97">
        <v>-2.967050720330603E-2</v>
      </c>
      <c r="FW97">
        <v>3.6080590132802691E-3</v>
      </c>
      <c r="FX97">
        <v>1</v>
      </c>
      <c r="FY97">
        <v>2</v>
      </c>
      <c r="FZ97">
        <v>2</v>
      </c>
      <c r="GA97" t="s">
        <v>422</v>
      </c>
      <c r="GB97">
        <v>2.9711599999999998</v>
      </c>
      <c r="GC97">
        <v>2.8106200000000001</v>
      </c>
      <c r="GD97">
        <v>0.138263</v>
      </c>
      <c r="GE97">
        <v>0.14474200000000001</v>
      </c>
      <c r="GF97">
        <v>0.13478200000000001</v>
      </c>
      <c r="GG97">
        <v>0.113162</v>
      </c>
      <c r="GH97">
        <v>25529.200000000001</v>
      </c>
      <c r="GI97">
        <v>23327.4</v>
      </c>
      <c r="GJ97">
        <v>26622.3</v>
      </c>
      <c r="GK97">
        <v>25727.200000000001</v>
      </c>
      <c r="GL97">
        <v>31325</v>
      </c>
      <c r="GM97">
        <v>32127.9</v>
      </c>
      <c r="GN97">
        <v>37691.800000000003</v>
      </c>
      <c r="GO97">
        <v>38047.5</v>
      </c>
      <c r="GP97">
        <v>1.9851000000000001</v>
      </c>
      <c r="GQ97">
        <v>1.9598</v>
      </c>
      <c r="GR97">
        <v>6.9916199999999998E-2</v>
      </c>
      <c r="GS97">
        <v>0</v>
      </c>
      <c r="GT97">
        <v>28.872900000000001</v>
      </c>
      <c r="GU97">
        <v>999.9</v>
      </c>
      <c r="GV97">
        <v>31.1</v>
      </c>
      <c r="GW97">
        <v>44</v>
      </c>
      <c r="GX97">
        <v>28.621500000000001</v>
      </c>
      <c r="GY97">
        <v>61.444600000000001</v>
      </c>
      <c r="GZ97">
        <v>15</v>
      </c>
      <c r="HA97">
        <v>1</v>
      </c>
      <c r="HB97">
        <v>0.201159</v>
      </c>
      <c r="HC97">
        <v>0.67956399999999995</v>
      </c>
      <c r="HD97">
        <v>20.246400000000001</v>
      </c>
      <c r="HE97">
        <v>5.1981200000000003</v>
      </c>
      <c r="HF97">
        <v>11.9321</v>
      </c>
      <c r="HG97">
        <v>4.9820000000000002</v>
      </c>
      <c r="HH97">
        <v>3.2888999999999999</v>
      </c>
      <c r="HI97">
        <v>9999</v>
      </c>
      <c r="HJ97">
        <v>9999</v>
      </c>
      <c r="HK97">
        <v>9999</v>
      </c>
      <c r="HL97">
        <v>999.9</v>
      </c>
      <c r="HM97">
        <v>1.87147</v>
      </c>
      <c r="HN97">
        <v>1.87744</v>
      </c>
      <c r="HO97">
        <v>1.8751800000000001</v>
      </c>
      <c r="HP97">
        <v>1.8734200000000001</v>
      </c>
      <c r="HQ97">
        <v>1.8739300000000001</v>
      </c>
      <c r="HR97">
        <v>1.87134</v>
      </c>
      <c r="HS97">
        <v>1.87717</v>
      </c>
      <c r="HT97">
        <v>1.8763700000000001</v>
      </c>
      <c r="HU97">
        <v>5</v>
      </c>
      <c r="HV97">
        <v>0</v>
      </c>
      <c r="HW97">
        <v>0</v>
      </c>
      <c r="HX97">
        <v>0</v>
      </c>
      <c r="HY97" t="s">
        <v>423</v>
      </c>
      <c r="HZ97" t="s">
        <v>424</v>
      </c>
      <c r="IA97" t="s">
        <v>425</v>
      </c>
      <c r="IB97" t="s">
        <v>425</v>
      </c>
      <c r="IC97" t="s">
        <v>425</v>
      </c>
      <c r="ID97" t="s">
        <v>425</v>
      </c>
      <c r="IE97">
        <v>0</v>
      </c>
      <c r="IF97">
        <v>100</v>
      </c>
      <c r="IG97">
        <v>100</v>
      </c>
      <c r="IH97">
        <v>-2.7919999999999998</v>
      </c>
      <c r="II97">
        <v>0.40989999999999999</v>
      </c>
      <c r="IJ97">
        <v>-1.7040657529305721</v>
      </c>
      <c r="IK97">
        <v>-2.677719669153116E-3</v>
      </c>
      <c r="IL97">
        <v>1.9353498771248068E-6</v>
      </c>
      <c r="IM97">
        <v>-6.1862177325538213E-10</v>
      </c>
      <c r="IN97">
        <v>-0.20495492174957181</v>
      </c>
      <c r="IO97">
        <v>-1.5299015507423901E-2</v>
      </c>
      <c r="IP97">
        <v>1.742162107778985E-3</v>
      </c>
      <c r="IQ97">
        <v>-1.472690239905804E-5</v>
      </c>
      <c r="IR97">
        <v>3</v>
      </c>
      <c r="IS97">
        <v>2255</v>
      </c>
      <c r="IT97">
        <v>2</v>
      </c>
      <c r="IU97">
        <v>41</v>
      </c>
      <c r="IV97">
        <v>0.5</v>
      </c>
      <c r="IW97">
        <v>0.7</v>
      </c>
      <c r="IX97">
        <v>1.50146</v>
      </c>
      <c r="IY97">
        <v>2.5561500000000001</v>
      </c>
      <c r="IZ97">
        <v>1.5991200000000001</v>
      </c>
      <c r="JA97">
        <v>2.2692899999999998</v>
      </c>
      <c r="JB97">
        <v>1.5502899999999999</v>
      </c>
      <c r="JC97">
        <v>2.2851599999999999</v>
      </c>
      <c r="JD97">
        <v>50.0578</v>
      </c>
      <c r="JE97">
        <v>23.816099999999999</v>
      </c>
      <c r="JF97">
        <v>18</v>
      </c>
      <c r="JG97">
        <v>504.61799999999999</v>
      </c>
      <c r="JH97">
        <v>457.69900000000001</v>
      </c>
      <c r="JI97">
        <v>27.584900000000001</v>
      </c>
      <c r="JJ97">
        <v>30.0898</v>
      </c>
      <c r="JK97">
        <v>29.999500000000001</v>
      </c>
      <c r="JL97">
        <v>30.0779</v>
      </c>
      <c r="JM97">
        <v>30.039200000000001</v>
      </c>
      <c r="JN97">
        <v>30.064299999999999</v>
      </c>
      <c r="JO97">
        <v>19.738900000000001</v>
      </c>
      <c r="JP97">
        <v>20.687799999999999</v>
      </c>
      <c r="JQ97">
        <v>27.603999999999999</v>
      </c>
      <c r="JR97">
        <v>700</v>
      </c>
      <c r="JS97">
        <v>22.219799999999999</v>
      </c>
      <c r="JT97">
        <v>99.403499999999994</v>
      </c>
      <c r="JU97">
        <v>98.852900000000005</v>
      </c>
    </row>
    <row r="98" spans="1:281" x14ac:dyDescent="0.25">
      <c r="A98">
        <v>82</v>
      </c>
      <c r="B98">
        <v>1693513046.5</v>
      </c>
      <c r="C98">
        <v>19066.900000095371</v>
      </c>
      <c r="D98" t="s">
        <v>833</v>
      </c>
      <c r="E98" t="s">
        <v>834</v>
      </c>
      <c r="F98" t="s">
        <v>413</v>
      </c>
      <c r="G98" t="s">
        <v>778</v>
      </c>
      <c r="H98" t="s">
        <v>779</v>
      </c>
      <c r="I98" t="s">
        <v>416</v>
      </c>
      <c r="J98">
        <v>1693513046.5</v>
      </c>
      <c r="K98">
        <f t="shared" si="92"/>
        <v>4.9600071431372492E-3</v>
      </c>
      <c r="L98">
        <f t="shared" si="93"/>
        <v>4.9600071431372497</v>
      </c>
      <c r="M98">
        <f t="shared" si="94"/>
        <v>44.54936589985234</v>
      </c>
      <c r="N98">
        <f t="shared" si="95"/>
        <v>841.62099999999998</v>
      </c>
      <c r="O98">
        <f t="shared" si="96"/>
        <v>611.51483616884786</v>
      </c>
      <c r="P98">
        <f t="shared" si="97"/>
        <v>60.877153291563715</v>
      </c>
      <c r="Q98">
        <f t="shared" si="98"/>
        <v>83.78454225475619</v>
      </c>
      <c r="R98">
        <f t="shared" si="99"/>
        <v>0.35399083636450135</v>
      </c>
      <c r="S98">
        <f t="shared" si="100"/>
        <v>2.9286612292349394</v>
      </c>
      <c r="T98">
        <f t="shared" si="101"/>
        <v>0.33182234057375437</v>
      </c>
      <c r="U98">
        <f t="shared" si="102"/>
        <v>0.20926491999084126</v>
      </c>
      <c r="V98">
        <f t="shared" si="103"/>
        <v>344.38900065829694</v>
      </c>
      <c r="W98">
        <f t="shared" si="104"/>
        <v>31.008927681993843</v>
      </c>
      <c r="X98">
        <f t="shared" si="105"/>
        <v>30.023</v>
      </c>
      <c r="Y98">
        <f t="shared" si="106"/>
        <v>4.2660814987132705</v>
      </c>
      <c r="Z98">
        <f t="shared" si="107"/>
        <v>65.430285781993746</v>
      </c>
      <c r="AA98">
        <f t="shared" si="108"/>
        <v>2.8310524465228197</v>
      </c>
      <c r="AB98">
        <f t="shared" si="109"/>
        <v>4.3268226826267639</v>
      </c>
      <c r="AC98">
        <f t="shared" si="110"/>
        <v>1.4350290521904507</v>
      </c>
      <c r="AD98">
        <f t="shared" si="111"/>
        <v>-218.73631501235269</v>
      </c>
      <c r="AE98">
        <f t="shared" si="112"/>
        <v>38.904092104542869</v>
      </c>
      <c r="AF98">
        <f t="shared" si="113"/>
        <v>2.9579703219559987</v>
      </c>
      <c r="AG98">
        <f t="shared" si="114"/>
        <v>167.51474807244313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52269.827223214044</v>
      </c>
      <c r="AM98" t="s">
        <v>417</v>
      </c>
      <c r="AN98">
        <v>10238.9</v>
      </c>
      <c r="AO98">
        <v>302.21199999999999</v>
      </c>
      <c r="AP98">
        <v>4052.3</v>
      </c>
      <c r="AQ98">
        <f t="shared" si="118"/>
        <v>0.92542210596451402</v>
      </c>
      <c r="AR98">
        <v>-0.32343011824092421</v>
      </c>
      <c r="AS98" t="s">
        <v>835</v>
      </c>
      <c r="AT98">
        <v>10458.9</v>
      </c>
      <c r="AU98">
        <v>783.57784615384617</v>
      </c>
      <c r="AV98">
        <v>1116.799051215804</v>
      </c>
      <c r="AW98">
        <f t="shared" si="119"/>
        <v>0.29837167635412687</v>
      </c>
      <c r="AX98">
        <v>0.5</v>
      </c>
      <c r="AY98">
        <f t="shared" si="120"/>
        <v>1513.2690003291482</v>
      </c>
      <c r="AZ98">
        <f t="shared" si="121"/>
        <v>44.54936589985234</v>
      </c>
      <c r="BA98">
        <f t="shared" si="122"/>
        <v>225.75830420147085</v>
      </c>
      <c r="BB98">
        <f t="shared" si="123"/>
        <v>2.9652887892590851E-2</v>
      </c>
      <c r="BC98">
        <f t="shared" si="124"/>
        <v>2.6284952029538897</v>
      </c>
      <c r="BD98">
        <f t="shared" si="125"/>
        <v>252.6797798996715</v>
      </c>
      <c r="BE98" t="s">
        <v>836</v>
      </c>
      <c r="BF98">
        <v>604.63</v>
      </c>
      <c r="BG98">
        <f t="shared" si="126"/>
        <v>604.63</v>
      </c>
      <c r="BH98">
        <f t="shared" si="127"/>
        <v>0.45860448274757293</v>
      </c>
      <c r="BI98">
        <f t="shared" si="128"/>
        <v>0.65060784963665064</v>
      </c>
      <c r="BJ98">
        <f t="shared" si="129"/>
        <v>0.85144487401178071</v>
      </c>
      <c r="BK98">
        <f t="shared" si="130"/>
        <v>0.4090676430034233</v>
      </c>
      <c r="BL98">
        <f t="shared" si="131"/>
        <v>0.78278188372758084</v>
      </c>
      <c r="BM98">
        <f t="shared" si="132"/>
        <v>0.50202673040933976</v>
      </c>
      <c r="BN98">
        <f t="shared" si="133"/>
        <v>0.49797326959066024</v>
      </c>
      <c r="BO98">
        <v>5850</v>
      </c>
      <c r="BP98">
        <v>290.00000000000011</v>
      </c>
      <c r="BQ98">
        <v>1028.1300000000001</v>
      </c>
      <c r="BR98">
        <v>115</v>
      </c>
      <c r="BS98">
        <v>10458.9</v>
      </c>
      <c r="BT98">
        <v>1024.53</v>
      </c>
      <c r="BU98">
        <v>3.6</v>
      </c>
      <c r="BV98">
        <v>300.00000000000011</v>
      </c>
      <c r="BW98">
        <v>38.299999999999997</v>
      </c>
      <c r="BX98">
        <v>1116.799051215804</v>
      </c>
      <c r="BY98">
        <v>1.219893491817946</v>
      </c>
      <c r="BZ98">
        <v>-96.502091438976748</v>
      </c>
      <c r="CA98">
        <v>1.0424660576059599</v>
      </c>
      <c r="CB98">
        <v>0.9967431953743503</v>
      </c>
      <c r="CC98">
        <v>-1.133222335928809E-2</v>
      </c>
      <c r="CD98">
        <v>289.99999999999989</v>
      </c>
      <c r="CE98">
        <v>1017.62</v>
      </c>
      <c r="CF98">
        <v>675</v>
      </c>
      <c r="CG98">
        <v>10411.700000000001</v>
      </c>
      <c r="CH98">
        <v>1024.1099999999999</v>
      </c>
      <c r="CI98">
        <v>-6.49</v>
      </c>
      <c r="CW98">
        <f t="shared" si="134"/>
        <v>1800.1</v>
      </c>
      <c r="CX98">
        <f t="shared" si="135"/>
        <v>1513.2690003291482</v>
      </c>
      <c r="CY98">
        <f t="shared" si="136"/>
        <v>0.84065829694414107</v>
      </c>
      <c r="CZ98">
        <f t="shared" si="137"/>
        <v>0.19131659388828229</v>
      </c>
      <c r="DA98">
        <v>6</v>
      </c>
      <c r="DB98">
        <v>0.5</v>
      </c>
      <c r="DC98" t="s">
        <v>420</v>
      </c>
      <c r="DD98">
        <v>2</v>
      </c>
      <c r="DE98">
        <v>1693513046.5</v>
      </c>
      <c r="DF98">
        <v>841.62099999999998</v>
      </c>
      <c r="DG98">
        <v>900.07799999999997</v>
      </c>
      <c r="DH98">
        <v>28.438099999999999</v>
      </c>
      <c r="DI98">
        <v>22.656500000000001</v>
      </c>
      <c r="DJ98">
        <v>844.47500000000002</v>
      </c>
      <c r="DK98">
        <v>28.026499999999999</v>
      </c>
      <c r="DL98">
        <v>500.09899999999999</v>
      </c>
      <c r="DM98">
        <v>99.452100000000002</v>
      </c>
      <c r="DN98">
        <v>9.9292199999999997E-2</v>
      </c>
      <c r="DO98">
        <v>30.269400000000001</v>
      </c>
      <c r="DP98">
        <v>30.023</v>
      </c>
      <c r="DQ98">
        <v>999.9</v>
      </c>
      <c r="DR98">
        <v>0</v>
      </c>
      <c r="DS98">
        <v>0</v>
      </c>
      <c r="DT98">
        <v>10050</v>
      </c>
      <c r="DU98">
        <v>0</v>
      </c>
      <c r="DV98">
        <v>1300.8499999999999</v>
      </c>
      <c r="DW98">
        <v>-58.457000000000001</v>
      </c>
      <c r="DX98">
        <v>866.25599999999997</v>
      </c>
      <c r="DY98">
        <v>920.94299999999998</v>
      </c>
      <c r="DZ98">
        <v>5.7815200000000004</v>
      </c>
      <c r="EA98">
        <v>900.07799999999997</v>
      </c>
      <c r="EB98">
        <v>22.656500000000001</v>
      </c>
      <c r="EC98">
        <v>2.82822</v>
      </c>
      <c r="ED98">
        <v>2.2532399999999999</v>
      </c>
      <c r="EE98">
        <v>23.049700000000001</v>
      </c>
      <c r="EF98">
        <v>19.3459</v>
      </c>
      <c r="EG98">
        <v>1800.1</v>
      </c>
      <c r="EH98">
        <v>0.97799700000000001</v>
      </c>
      <c r="EI98">
        <v>2.2002799999999999E-2</v>
      </c>
      <c r="EJ98">
        <v>0</v>
      </c>
      <c r="EK98">
        <v>783.37599999999998</v>
      </c>
      <c r="EL98">
        <v>4.9995000000000003</v>
      </c>
      <c r="EM98">
        <v>14852.1</v>
      </c>
      <c r="EN98">
        <v>16660.7</v>
      </c>
      <c r="EO98">
        <v>47.25</v>
      </c>
      <c r="EP98">
        <v>48.375</v>
      </c>
      <c r="EQ98">
        <v>48.125</v>
      </c>
      <c r="ER98">
        <v>47.25</v>
      </c>
      <c r="ES98">
        <v>48.561999999999998</v>
      </c>
      <c r="ET98">
        <v>1755.6</v>
      </c>
      <c r="EU98">
        <v>39.5</v>
      </c>
      <c r="EV98">
        <v>0</v>
      </c>
      <c r="EW98">
        <v>110.4000000953674</v>
      </c>
      <c r="EX98">
        <v>0</v>
      </c>
      <c r="EY98">
        <v>783.57784615384617</v>
      </c>
      <c r="EZ98">
        <v>-3.336000000948625</v>
      </c>
      <c r="FA98">
        <v>-62.639316297214762</v>
      </c>
      <c r="FB98">
        <v>14859.992307692301</v>
      </c>
      <c r="FC98">
        <v>15</v>
      </c>
      <c r="FD98">
        <v>1693513014</v>
      </c>
      <c r="FE98" t="s">
        <v>837</v>
      </c>
      <c r="FF98">
        <v>1693513012</v>
      </c>
      <c r="FG98">
        <v>1693513014</v>
      </c>
      <c r="FH98">
        <v>92</v>
      </c>
      <c r="FI98">
        <v>0.104</v>
      </c>
      <c r="FJ98">
        <v>1E-3</v>
      </c>
      <c r="FK98">
        <v>-2.8959999999999999</v>
      </c>
      <c r="FL98">
        <v>0.14799999999999999</v>
      </c>
      <c r="FM98">
        <v>900</v>
      </c>
      <c r="FN98">
        <v>22</v>
      </c>
      <c r="FO98">
        <v>0.15</v>
      </c>
      <c r="FP98">
        <v>0.02</v>
      </c>
      <c r="FQ98">
        <v>44.608713295390857</v>
      </c>
      <c r="FR98">
        <v>-0.54325701305635166</v>
      </c>
      <c r="FS98">
        <v>0.1142971731522283</v>
      </c>
      <c r="FT98">
        <v>1</v>
      </c>
      <c r="FU98">
        <v>0.3539619223327114</v>
      </c>
      <c r="FV98">
        <v>4.0844360896034729E-2</v>
      </c>
      <c r="FW98">
        <v>3.165246318587338E-3</v>
      </c>
      <c r="FX98">
        <v>1</v>
      </c>
      <c r="FY98">
        <v>2</v>
      </c>
      <c r="FZ98">
        <v>2</v>
      </c>
      <c r="GA98" t="s">
        <v>422</v>
      </c>
      <c r="GB98">
        <v>2.97153</v>
      </c>
      <c r="GC98">
        <v>2.81142</v>
      </c>
      <c r="GD98">
        <v>0.166216</v>
      </c>
      <c r="GE98">
        <v>0.17147399999999999</v>
      </c>
      <c r="GF98">
        <v>0.13483200000000001</v>
      </c>
      <c r="GG98">
        <v>0.114569</v>
      </c>
      <c r="GH98">
        <v>24701.3</v>
      </c>
      <c r="GI98">
        <v>22598.6</v>
      </c>
      <c r="GJ98">
        <v>26622.9</v>
      </c>
      <c r="GK98">
        <v>25728</v>
      </c>
      <c r="GL98">
        <v>31325.5</v>
      </c>
      <c r="GM98">
        <v>32079.7</v>
      </c>
      <c r="GN98">
        <v>37692.400000000001</v>
      </c>
      <c r="GO98">
        <v>38048.6</v>
      </c>
      <c r="GP98">
        <v>1.986</v>
      </c>
      <c r="GQ98">
        <v>1.9584999999999999</v>
      </c>
      <c r="GR98">
        <v>7.0005700000000004E-2</v>
      </c>
      <c r="GS98">
        <v>0</v>
      </c>
      <c r="GT98">
        <v>28.8827</v>
      </c>
      <c r="GU98">
        <v>999.9</v>
      </c>
      <c r="GV98">
        <v>30.5</v>
      </c>
      <c r="GW98">
        <v>44.3</v>
      </c>
      <c r="GX98">
        <v>28.5092</v>
      </c>
      <c r="GY98">
        <v>61.434699999999999</v>
      </c>
      <c r="GZ98">
        <v>14.6755</v>
      </c>
      <c r="HA98">
        <v>1</v>
      </c>
      <c r="HB98">
        <v>0.20122999999999999</v>
      </c>
      <c r="HC98">
        <v>1.47261</v>
      </c>
      <c r="HD98">
        <v>20.241199999999999</v>
      </c>
      <c r="HE98">
        <v>5.2017199999999999</v>
      </c>
      <c r="HF98">
        <v>11.9321</v>
      </c>
      <c r="HG98">
        <v>4.9854000000000003</v>
      </c>
      <c r="HH98">
        <v>3.2892000000000001</v>
      </c>
      <c r="HI98">
        <v>9999</v>
      </c>
      <c r="HJ98">
        <v>9999</v>
      </c>
      <c r="HK98">
        <v>9999</v>
      </c>
      <c r="HL98">
        <v>999.9</v>
      </c>
      <c r="HM98">
        <v>1.8714299999999999</v>
      </c>
      <c r="HN98">
        <v>1.87744</v>
      </c>
      <c r="HO98">
        <v>1.87517</v>
      </c>
      <c r="HP98">
        <v>1.87341</v>
      </c>
      <c r="HQ98">
        <v>1.8739300000000001</v>
      </c>
      <c r="HR98">
        <v>1.87134</v>
      </c>
      <c r="HS98">
        <v>1.87714</v>
      </c>
      <c r="HT98">
        <v>1.87635</v>
      </c>
      <c r="HU98">
        <v>5</v>
      </c>
      <c r="HV98">
        <v>0</v>
      </c>
      <c r="HW98">
        <v>0</v>
      </c>
      <c r="HX98">
        <v>0</v>
      </c>
      <c r="HY98" t="s">
        <v>423</v>
      </c>
      <c r="HZ98" t="s">
        <v>424</v>
      </c>
      <c r="IA98" t="s">
        <v>425</v>
      </c>
      <c r="IB98" t="s">
        <v>425</v>
      </c>
      <c r="IC98" t="s">
        <v>425</v>
      </c>
      <c r="ID98" t="s">
        <v>425</v>
      </c>
      <c r="IE98">
        <v>0</v>
      </c>
      <c r="IF98">
        <v>100</v>
      </c>
      <c r="IG98">
        <v>100</v>
      </c>
      <c r="IH98">
        <v>-2.8540000000000001</v>
      </c>
      <c r="II98">
        <v>0.41160000000000002</v>
      </c>
      <c r="IJ98">
        <v>-1.6003701967920101</v>
      </c>
      <c r="IK98">
        <v>-2.677719669153116E-3</v>
      </c>
      <c r="IL98">
        <v>1.9353498771248068E-6</v>
      </c>
      <c r="IM98">
        <v>-6.1862177325538213E-10</v>
      </c>
      <c r="IN98">
        <v>-0.20390845539164579</v>
      </c>
      <c r="IO98">
        <v>-1.5299015507423901E-2</v>
      </c>
      <c r="IP98">
        <v>1.742162107778985E-3</v>
      </c>
      <c r="IQ98">
        <v>-1.472690239905804E-5</v>
      </c>
      <c r="IR98">
        <v>3</v>
      </c>
      <c r="IS98">
        <v>2255</v>
      </c>
      <c r="IT98">
        <v>2</v>
      </c>
      <c r="IU98">
        <v>41</v>
      </c>
      <c r="IV98">
        <v>0.6</v>
      </c>
      <c r="IW98">
        <v>0.5</v>
      </c>
      <c r="IX98">
        <v>1.8469199999999999</v>
      </c>
      <c r="IY98">
        <v>2.5512700000000001</v>
      </c>
      <c r="IZ98">
        <v>1.5991200000000001</v>
      </c>
      <c r="JA98">
        <v>2.2680699999999998</v>
      </c>
      <c r="JB98">
        <v>1.5502899999999999</v>
      </c>
      <c r="JC98">
        <v>2.2766099999999998</v>
      </c>
      <c r="JD98">
        <v>50.0899</v>
      </c>
      <c r="JE98">
        <v>23.833600000000001</v>
      </c>
      <c r="JF98">
        <v>18</v>
      </c>
      <c r="JG98">
        <v>504.99700000000001</v>
      </c>
      <c r="JH98">
        <v>456.76100000000002</v>
      </c>
      <c r="JI98">
        <v>26.721499999999999</v>
      </c>
      <c r="JJ98">
        <v>30.063800000000001</v>
      </c>
      <c r="JK98">
        <v>30</v>
      </c>
      <c r="JL98">
        <v>30.054500000000001</v>
      </c>
      <c r="JM98">
        <v>30.0212</v>
      </c>
      <c r="JN98">
        <v>36.980800000000002</v>
      </c>
      <c r="JO98">
        <v>16.951799999999999</v>
      </c>
      <c r="JP98">
        <v>19.756699999999999</v>
      </c>
      <c r="JQ98">
        <v>26.723500000000001</v>
      </c>
      <c r="JR98">
        <v>900</v>
      </c>
      <c r="JS98">
        <v>22.641200000000001</v>
      </c>
      <c r="JT98">
        <v>99.4054</v>
      </c>
      <c r="JU98">
        <v>98.855800000000002</v>
      </c>
    </row>
    <row r="99" spans="1:281" x14ac:dyDescent="0.25">
      <c r="A99">
        <v>83</v>
      </c>
      <c r="B99">
        <v>1693513148</v>
      </c>
      <c r="C99">
        <v>19168.400000095371</v>
      </c>
      <c r="D99" t="s">
        <v>838</v>
      </c>
      <c r="E99" t="s">
        <v>839</v>
      </c>
      <c r="F99" t="s">
        <v>413</v>
      </c>
      <c r="G99" t="s">
        <v>778</v>
      </c>
      <c r="H99" t="s">
        <v>779</v>
      </c>
      <c r="I99" t="s">
        <v>416</v>
      </c>
      <c r="J99">
        <v>1693513148</v>
      </c>
      <c r="K99">
        <f t="shared" si="92"/>
        <v>4.7781276607421694E-3</v>
      </c>
      <c r="L99">
        <f t="shared" si="93"/>
        <v>4.778127660742169</v>
      </c>
      <c r="M99">
        <f t="shared" si="94"/>
        <v>43.35485018760307</v>
      </c>
      <c r="N99">
        <f t="shared" si="95"/>
        <v>1141.56</v>
      </c>
      <c r="O99">
        <f t="shared" si="96"/>
        <v>900.1146373195968</v>
      </c>
      <c r="P99">
        <f t="shared" si="97"/>
        <v>89.607924337756558</v>
      </c>
      <c r="Q99">
        <f t="shared" si="98"/>
        <v>113.6442158208</v>
      </c>
      <c r="R99">
        <f t="shared" si="99"/>
        <v>0.33713264117529801</v>
      </c>
      <c r="S99">
        <f t="shared" si="100"/>
        <v>2.915530038446037</v>
      </c>
      <c r="T99">
        <f t="shared" si="101"/>
        <v>0.31687579700688817</v>
      </c>
      <c r="U99">
        <f t="shared" si="102"/>
        <v>0.19976586289153064</v>
      </c>
      <c r="V99">
        <f t="shared" si="103"/>
        <v>344.328200658414</v>
      </c>
      <c r="W99">
        <f t="shared" si="104"/>
        <v>30.949627584783514</v>
      </c>
      <c r="X99">
        <f t="shared" si="105"/>
        <v>29.985099999999999</v>
      </c>
      <c r="Y99">
        <f t="shared" si="106"/>
        <v>4.2568048524868978</v>
      </c>
      <c r="Z99">
        <f t="shared" si="107"/>
        <v>65.3284199458042</v>
      </c>
      <c r="AA99">
        <f t="shared" si="108"/>
        <v>2.8089502028800002</v>
      </c>
      <c r="AB99">
        <f t="shared" si="109"/>
        <v>4.2997369371711072</v>
      </c>
      <c r="AC99">
        <f t="shared" si="110"/>
        <v>1.4478546496068976</v>
      </c>
      <c r="AD99">
        <f t="shared" si="111"/>
        <v>-210.71542983872968</v>
      </c>
      <c r="AE99">
        <f t="shared" si="112"/>
        <v>27.475423289636627</v>
      </c>
      <c r="AF99">
        <f t="shared" si="113"/>
        <v>2.0968999524362446</v>
      </c>
      <c r="AG99">
        <f t="shared" si="114"/>
        <v>163.18509406175718</v>
      </c>
      <c r="AH99">
        <v>0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51914.239755169729</v>
      </c>
      <c r="AM99" t="s">
        <v>417</v>
      </c>
      <c r="AN99">
        <v>10238.9</v>
      </c>
      <c r="AO99">
        <v>302.21199999999999</v>
      </c>
      <c r="AP99">
        <v>4052.3</v>
      </c>
      <c r="AQ99">
        <f t="shared" si="118"/>
        <v>0.92542210596451402</v>
      </c>
      <c r="AR99">
        <v>-0.32343011824092421</v>
      </c>
      <c r="AS99" t="s">
        <v>840</v>
      </c>
      <c r="AT99">
        <v>10451.6</v>
      </c>
      <c r="AU99">
        <v>779.76887999999997</v>
      </c>
      <c r="AV99">
        <v>1111.554984739912</v>
      </c>
      <c r="AW99">
        <f t="shared" si="119"/>
        <v>0.29848825230858489</v>
      </c>
      <c r="AX99">
        <v>0.5</v>
      </c>
      <c r="AY99">
        <f t="shared" si="120"/>
        <v>1513.0002003292068</v>
      </c>
      <c r="AZ99">
        <f t="shared" si="121"/>
        <v>43.35485018760307</v>
      </c>
      <c r="BA99">
        <f t="shared" si="122"/>
        <v>225.80639276940187</v>
      </c>
      <c r="BB99">
        <f t="shared" si="123"/>
        <v>2.8868654674560013E-2</v>
      </c>
      <c r="BC99">
        <f t="shared" si="124"/>
        <v>2.6456136274249902</v>
      </c>
      <c r="BD99">
        <f t="shared" si="125"/>
        <v>252.41035368051746</v>
      </c>
      <c r="BE99" t="s">
        <v>841</v>
      </c>
      <c r="BF99">
        <v>605.32000000000005</v>
      </c>
      <c r="BG99">
        <f t="shared" si="126"/>
        <v>605.32000000000005</v>
      </c>
      <c r="BH99">
        <f t="shared" si="127"/>
        <v>0.45542954841623395</v>
      </c>
      <c r="BI99">
        <f t="shared" si="128"/>
        <v>0.65539939897748001</v>
      </c>
      <c r="BJ99">
        <f t="shared" si="129"/>
        <v>0.85313666318344994</v>
      </c>
      <c r="BK99">
        <f t="shared" si="130"/>
        <v>0.40994499365004544</v>
      </c>
      <c r="BL99">
        <f t="shared" si="131"/>
        <v>0.78418026863905277</v>
      </c>
      <c r="BM99">
        <f t="shared" si="132"/>
        <v>0.5087742975701316</v>
      </c>
      <c r="BN99">
        <f t="shared" si="133"/>
        <v>0.4912257024298684</v>
      </c>
      <c r="BO99">
        <v>5852</v>
      </c>
      <c r="BP99">
        <v>290.00000000000011</v>
      </c>
      <c r="BQ99">
        <v>1023.17</v>
      </c>
      <c r="BR99">
        <v>145</v>
      </c>
      <c r="BS99">
        <v>10451.6</v>
      </c>
      <c r="BT99">
        <v>1019.43</v>
      </c>
      <c r="BU99">
        <v>3.74</v>
      </c>
      <c r="BV99">
        <v>300.00000000000011</v>
      </c>
      <c r="BW99">
        <v>38.299999999999997</v>
      </c>
      <c r="BX99">
        <v>1111.554984739912</v>
      </c>
      <c r="BY99">
        <v>1.3702414672177869</v>
      </c>
      <c r="BZ99">
        <v>-96.286941382334462</v>
      </c>
      <c r="CA99">
        <v>1.170904093949044</v>
      </c>
      <c r="CB99">
        <v>0.99587644909904882</v>
      </c>
      <c r="CC99">
        <v>-1.133221735261402E-2</v>
      </c>
      <c r="CD99">
        <v>289.99999999999989</v>
      </c>
      <c r="CE99">
        <v>1012.68</v>
      </c>
      <c r="CF99">
        <v>665</v>
      </c>
      <c r="CG99">
        <v>10412.200000000001</v>
      </c>
      <c r="CH99">
        <v>1019.08</v>
      </c>
      <c r="CI99">
        <v>-6.4</v>
      </c>
      <c r="CW99">
        <f t="shared" si="134"/>
        <v>1799.78</v>
      </c>
      <c r="CX99">
        <f t="shared" si="135"/>
        <v>1513.0002003292068</v>
      </c>
      <c r="CY99">
        <f t="shared" si="136"/>
        <v>0.84065841398904695</v>
      </c>
      <c r="CZ99">
        <f t="shared" si="137"/>
        <v>0.19131682797809399</v>
      </c>
      <c r="DA99">
        <v>6</v>
      </c>
      <c r="DB99">
        <v>0.5</v>
      </c>
      <c r="DC99" t="s">
        <v>420</v>
      </c>
      <c r="DD99">
        <v>2</v>
      </c>
      <c r="DE99">
        <v>1693513148</v>
      </c>
      <c r="DF99">
        <v>1141.56</v>
      </c>
      <c r="DG99">
        <v>1200.1199999999999</v>
      </c>
      <c r="DH99">
        <v>28.216000000000001</v>
      </c>
      <c r="DI99">
        <v>22.645099999999999</v>
      </c>
      <c r="DJ99">
        <v>1144.68</v>
      </c>
      <c r="DK99">
        <v>27.816299999999998</v>
      </c>
      <c r="DL99">
        <v>500.096</v>
      </c>
      <c r="DM99">
        <v>99.451599999999999</v>
      </c>
      <c r="DN99">
        <v>0.10008</v>
      </c>
      <c r="DO99">
        <v>30.1599</v>
      </c>
      <c r="DP99">
        <v>29.985099999999999</v>
      </c>
      <c r="DQ99">
        <v>999.9</v>
      </c>
      <c r="DR99">
        <v>0</v>
      </c>
      <c r="DS99">
        <v>0</v>
      </c>
      <c r="DT99">
        <v>9975</v>
      </c>
      <c r="DU99">
        <v>0</v>
      </c>
      <c r="DV99">
        <v>1288.6500000000001</v>
      </c>
      <c r="DW99">
        <v>-58.5608</v>
      </c>
      <c r="DX99">
        <v>1174.71</v>
      </c>
      <c r="DY99">
        <v>1227.93</v>
      </c>
      <c r="DZ99">
        <v>5.5708200000000003</v>
      </c>
      <c r="EA99">
        <v>1200.1199999999999</v>
      </c>
      <c r="EB99">
        <v>22.645099999999999</v>
      </c>
      <c r="EC99">
        <v>2.8061199999999999</v>
      </c>
      <c r="ED99">
        <v>2.2521</v>
      </c>
      <c r="EE99">
        <v>22.920100000000001</v>
      </c>
      <c r="EF99">
        <v>19.337800000000001</v>
      </c>
      <c r="EG99">
        <v>1799.78</v>
      </c>
      <c r="EH99">
        <v>0.97799400000000003</v>
      </c>
      <c r="EI99">
        <v>2.2006299999999999E-2</v>
      </c>
      <c r="EJ99">
        <v>0</v>
      </c>
      <c r="EK99">
        <v>779.76400000000001</v>
      </c>
      <c r="EL99">
        <v>4.9995000000000003</v>
      </c>
      <c r="EM99">
        <v>14786.6</v>
      </c>
      <c r="EN99">
        <v>16657.7</v>
      </c>
      <c r="EO99">
        <v>47.311999999999998</v>
      </c>
      <c r="EP99">
        <v>48.5</v>
      </c>
      <c r="EQ99">
        <v>48.186999999999998</v>
      </c>
      <c r="ER99">
        <v>47.311999999999998</v>
      </c>
      <c r="ES99">
        <v>48.625</v>
      </c>
      <c r="ET99">
        <v>1755.28</v>
      </c>
      <c r="EU99">
        <v>39.5</v>
      </c>
      <c r="EV99">
        <v>0</v>
      </c>
      <c r="EW99">
        <v>99.799999952316284</v>
      </c>
      <c r="EX99">
        <v>0</v>
      </c>
      <c r="EY99">
        <v>779.76887999999997</v>
      </c>
      <c r="EZ99">
        <v>-2.2585384499428822</v>
      </c>
      <c r="FA99">
        <v>-33.930769348761558</v>
      </c>
      <c r="FB99">
        <v>14793.308000000001</v>
      </c>
      <c r="FC99">
        <v>15</v>
      </c>
      <c r="FD99">
        <v>1693513112.5</v>
      </c>
      <c r="FE99" t="s">
        <v>842</v>
      </c>
      <c r="FF99">
        <v>1693513112.5</v>
      </c>
      <c r="FG99">
        <v>1693513109.5</v>
      </c>
      <c r="FH99">
        <v>93</v>
      </c>
      <c r="FI99">
        <v>-5.6000000000000001E-2</v>
      </c>
      <c r="FJ99">
        <v>-2E-3</v>
      </c>
      <c r="FK99">
        <v>-3.153</v>
      </c>
      <c r="FL99">
        <v>0.157</v>
      </c>
      <c r="FM99">
        <v>1200</v>
      </c>
      <c r="FN99">
        <v>22</v>
      </c>
      <c r="FO99">
        <v>0.12</v>
      </c>
      <c r="FP99">
        <v>0.03</v>
      </c>
      <c r="FQ99">
        <v>43.325334550361227</v>
      </c>
      <c r="FR99">
        <v>-0.33232853466661288</v>
      </c>
      <c r="FS99">
        <v>0.13007474709190359</v>
      </c>
      <c r="FT99">
        <v>1</v>
      </c>
      <c r="FU99">
        <v>0.3396632965161952</v>
      </c>
      <c r="FV99">
        <v>8.9419042939332394E-3</v>
      </c>
      <c r="FW99">
        <v>1.982501822557014E-3</v>
      </c>
      <c r="FX99">
        <v>1</v>
      </c>
      <c r="FY99">
        <v>2</v>
      </c>
      <c r="FZ99">
        <v>2</v>
      </c>
      <c r="GA99" t="s">
        <v>422</v>
      </c>
      <c r="GB99">
        <v>2.9715199999999999</v>
      </c>
      <c r="GC99">
        <v>2.8115600000000001</v>
      </c>
      <c r="GD99">
        <v>0.20252400000000001</v>
      </c>
      <c r="GE99">
        <v>0.206398</v>
      </c>
      <c r="GF99">
        <v>0.13412199999999999</v>
      </c>
      <c r="GG99">
        <v>0.114526</v>
      </c>
      <c r="GH99">
        <v>23624.3</v>
      </c>
      <c r="GI99">
        <v>21643.7</v>
      </c>
      <c r="GJ99">
        <v>26622.5</v>
      </c>
      <c r="GK99">
        <v>25726.400000000001</v>
      </c>
      <c r="GL99">
        <v>31353.599999999999</v>
      </c>
      <c r="GM99">
        <v>32081.599999999999</v>
      </c>
      <c r="GN99">
        <v>37691.199999999997</v>
      </c>
      <c r="GO99">
        <v>38046</v>
      </c>
      <c r="GP99">
        <v>1.9861</v>
      </c>
      <c r="GQ99">
        <v>1.9581999999999999</v>
      </c>
      <c r="GR99">
        <v>6.4477300000000001E-2</v>
      </c>
      <c r="GS99">
        <v>0</v>
      </c>
      <c r="GT99">
        <v>28.934799999999999</v>
      </c>
      <c r="GU99">
        <v>999.9</v>
      </c>
      <c r="GV99">
        <v>30.1</v>
      </c>
      <c r="GW99">
        <v>44.5</v>
      </c>
      <c r="GX99">
        <v>28.429400000000001</v>
      </c>
      <c r="GY99">
        <v>61.554699999999997</v>
      </c>
      <c r="GZ99">
        <v>15.2684</v>
      </c>
      <c r="HA99">
        <v>1</v>
      </c>
      <c r="HB99">
        <v>0.20144300000000001</v>
      </c>
      <c r="HC99">
        <v>0.90647100000000003</v>
      </c>
      <c r="HD99">
        <v>20.2471</v>
      </c>
      <c r="HE99">
        <v>5.2112999999999996</v>
      </c>
      <c r="HF99">
        <v>11.9321</v>
      </c>
      <c r="HG99">
        <v>4.9878</v>
      </c>
      <c r="HH99">
        <v>3.2909999999999999</v>
      </c>
      <c r="HI99">
        <v>9999</v>
      </c>
      <c r="HJ99">
        <v>9999</v>
      </c>
      <c r="HK99">
        <v>9999</v>
      </c>
      <c r="HL99">
        <v>999.9</v>
      </c>
      <c r="HM99">
        <v>1.8713599999999999</v>
      </c>
      <c r="HN99">
        <v>1.8773500000000001</v>
      </c>
      <c r="HO99">
        <v>1.8751500000000001</v>
      </c>
      <c r="HP99">
        <v>1.8733200000000001</v>
      </c>
      <c r="HQ99">
        <v>1.8739300000000001</v>
      </c>
      <c r="HR99">
        <v>1.87134</v>
      </c>
      <c r="HS99">
        <v>1.8771199999999999</v>
      </c>
      <c r="HT99">
        <v>1.87629</v>
      </c>
      <c r="HU99">
        <v>5</v>
      </c>
      <c r="HV99">
        <v>0</v>
      </c>
      <c r="HW99">
        <v>0</v>
      </c>
      <c r="HX99">
        <v>0</v>
      </c>
      <c r="HY99" t="s">
        <v>423</v>
      </c>
      <c r="HZ99" t="s">
        <v>424</v>
      </c>
      <c r="IA99" t="s">
        <v>425</v>
      </c>
      <c r="IB99" t="s">
        <v>425</v>
      </c>
      <c r="IC99" t="s">
        <v>425</v>
      </c>
      <c r="ID99" t="s">
        <v>425</v>
      </c>
      <c r="IE99">
        <v>0</v>
      </c>
      <c r="IF99">
        <v>100</v>
      </c>
      <c r="IG99">
        <v>100</v>
      </c>
      <c r="IH99">
        <v>-3.12</v>
      </c>
      <c r="II99">
        <v>0.3997</v>
      </c>
      <c r="IJ99">
        <v>-1.655157851970277</v>
      </c>
      <c r="IK99">
        <v>-2.677719669153116E-3</v>
      </c>
      <c r="IL99">
        <v>1.9353498771248068E-6</v>
      </c>
      <c r="IM99">
        <v>-6.1862177325538213E-10</v>
      </c>
      <c r="IN99">
        <v>-0.2058397043220139</v>
      </c>
      <c r="IO99">
        <v>-1.5299015507423901E-2</v>
      </c>
      <c r="IP99">
        <v>1.742162107778985E-3</v>
      </c>
      <c r="IQ99">
        <v>-1.472690239905804E-5</v>
      </c>
      <c r="IR99">
        <v>3</v>
      </c>
      <c r="IS99">
        <v>2255</v>
      </c>
      <c r="IT99">
        <v>2</v>
      </c>
      <c r="IU99">
        <v>41</v>
      </c>
      <c r="IV99">
        <v>0.6</v>
      </c>
      <c r="IW99">
        <v>0.6</v>
      </c>
      <c r="IX99">
        <v>2.34497</v>
      </c>
      <c r="IY99">
        <v>2.5366200000000001</v>
      </c>
      <c r="IZ99">
        <v>1.5991200000000001</v>
      </c>
      <c r="JA99">
        <v>2.2680699999999998</v>
      </c>
      <c r="JB99">
        <v>1.5502899999999999</v>
      </c>
      <c r="JC99">
        <v>2.4487299999999999</v>
      </c>
      <c r="JD99">
        <v>50.0899</v>
      </c>
      <c r="JE99">
        <v>23.903600000000001</v>
      </c>
      <c r="JF99">
        <v>18</v>
      </c>
      <c r="JG99">
        <v>505.12599999999998</v>
      </c>
      <c r="JH99">
        <v>456.637</v>
      </c>
      <c r="JI99">
        <v>26.697800000000001</v>
      </c>
      <c r="JJ99">
        <v>30.084599999999998</v>
      </c>
      <c r="JK99">
        <v>29.999400000000001</v>
      </c>
      <c r="JL99">
        <v>30.0623</v>
      </c>
      <c r="JM99">
        <v>30.029</v>
      </c>
      <c r="JN99">
        <v>46.952199999999998</v>
      </c>
      <c r="JO99">
        <v>16.211400000000001</v>
      </c>
      <c r="JP99">
        <v>19.282599999999999</v>
      </c>
      <c r="JQ99">
        <v>26.743400000000001</v>
      </c>
      <c r="JR99">
        <v>1200</v>
      </c>
      <c r="JS99">
        <v>22.6325</v>
      </c>
      <c r="JT99">
        <v>99.402900000000002</v>
      </c>
      <c r="JU99">
        <v>98.849299999999999</v>
      </c>
    </row>
    <row r="100" spans="1:281" x14ac:dyDescent="0.25">
      <c r="A100">
        <v>84</v>
      </c>
      <c r="B100">
        <v>1693513300</v>
      </c>
      <c r="C100">
        <v>19320.400000095371</v>
      </c>
      <c r="D100" t="s">
        <v>843</v>
      </c>
      <c r="E100" t="s">
        <v>844</v>
      </c>
      <c r="F100" t="s">
        <v>413</v>
      </c>
      <c r="G100" t="s">
        <v>778</v>
      </c>
      <c r="H100" t="s">
        <v>779</v>
      </c>
      <c r="I100" t="s">
        <v>416</v>
      </c>
      <c r="J100">
        <v>1693513300</v>
      </c>
      <c r="K100">
        <f t="shared" si="92"/>
        <v>4.242314173599237E-3</v>
      </c>
      <c r="L100">
        <f t="shared" si="93"/>
        <v>4.2423141735992367</v>
      </c>
      <c r="M100">
        <f t="shared" si="94"/>
        <v>42.52208334848892</v>
      </c>
      <c r="N100">
        <f t="shared" si="95"/>
        <v>1441.66</v>
      </c>
      <c r="O100">
        <f t="shared" si="96"/>
        <v>1167.4698969131075</v>
      </c>
      <c r="P100">
        <f t="shared" si="97"/>
        <v>116.21366609300291</v>
      </c>
      <c r="Q100">
        <f t="shared" si="98"/>
        <v>143.50742087880002</v>
      </c>
      <c r="R100">
        <f t="shared" si="99"/>
        <v>0.29383223476627046</v>
      </c>
      <c r="S100">
        <f t="shared" si="100"/>
        <v>2.9131817515999443</v>
      </c>
      <c r="T100">
        <f t="shared" si="101"/>
        <v>0.27830435973236023</v>
      </c>
      <c r="U100">
        <f t="shared" si="102"/>
        <v>0.17526693042045166</v>
      </c>
      <c r="V100">
        <f t="shared" si="103"/>
        <v>344.37190065832982</v>
      </c>
      <c r="W100">
        <f t="shared" si="104"/>
        <v>31.04327582895128</v>
      </c>
      <c r="X100">
        <f t="shared" si="105"/>
        <v>29.997299999999999</v>
      </c>
      <c r="Y100">
        <f t="shared" si="106"/>
        <v>4.2597890818653408</v>
      </c>
      <c r="Z100">
        <f t="shared" si="107"/>
        <v>65.20722464259633</v>
      </c>
      <c r="AA100">
        <f t="shared" si="108"/>
        <v>2.7961878348360001</v>
      </c>
      <c r="AB100">
        <f t="shared" si="109"/>
        <v>4.2881564890424775</v>
      </c>
      <c r="AC100">
        <f t="shared" si="110"/>
        <v>1.4636012470293407</v>
      </c>
      <c r="AD100">
        <f t="shared" si="111"/>
        <v>-187.08605505572635</v>
      </c>
      <c r="AE100">
        <f t="shared" si="112"/>
        <v>18.15561055086491</v>
      </c>
      <c r="AF100">
        <f t="shared" si="113"/>
        <v>1.386498142262542</v>
      </c>
      <c r="AG100">
        <f t="shared" si="114"/>
        <v>176.82795429573093</v>
      </c>
      <c r="AH100">
        <v>0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51855.243883681338</v>
      </c>
      <c r="AM100" t="s">
        <v>417</v>
      </c>
      <c r="AN100">
        <v>10238.9</v>
      </c>
      <c r="AO100">
        <v>302.21199999999999</v>
      </c>
      <c r="AP100">
        <v>4052.3</v>
      </c>
      <c r="AQ100">
        <f t="shared" si="118"/>
        <v>0.92542210596451402</v>
      </c>
      <c r="AR100">
        <v>-0.32343011824092421</v>
      </c>
      <c r="AS100" t="s">
        <v>845</v>
      </c>
      <c r="AT100">
        <v>10449.200000000001</v>
      </c>
      <c r="AU100">
        <v>774.70187999999996</v>
      </c>
      <c r="AV100">
        <v>1101.610717845467</v>
      </c>
      <c r="AW100">
        <f t="shared" si="119"/>
        <v>0.29675531705504476</v>
      </c>
      <c r="AX100">
        <v>0.5</v>
      </c>
      <c r="AY100">
        <f t="shared" si="120"/>
        <v>1513.1934003291651</v>
      </c>
      <c r="AZ100">
        <f t="shared" si="121"/>
        <v>42.52208334848892</v>
      </c>
      <c r="BA100">
        <f t="shared" si="122"/>
        <v>224.52409364014133</v>
      </c>
      <c r="BB100">
        <f t="shared" si="123"/>
        <v>2.8314631465752926E-2</v>
      </c>
      <c r="BC100">
        <f t="shared" si="124"/>
        <v>2.6785226708083405</v>
      </c>
      <c r="BD100">
        <f t="shared" si="125"/>
        <v>251.89401022775994</v>
      </c>
      <c r="BE100" t="s">
        <v>846</v>
      </c>
      <c r="BF100">
        <v>601.87</v>
      </c>
      <c r="BG100">
        <f t="shared" si="126"/>
        <v>601.87</v>
      </c>
      <c r="BH100">
        <f t="shared" si="127"/>
        <v>0.45364547543878397</v>
      </c>
      <c r="BI100">
        <f t="shared" si="128"/>
        <v>0.65415689811082367</v>
      </c>
      <c r="BJ100">
        <f t="shared" si="129"/>
        <v>0.85516566983087128</v>
      </c>
      <c r="BK100">
        <f t="shared" si="130"/>
        <v>0.40894341027534931</v>
      </c>
      <c r="BL100">
        <f t="shared" si="131"/>
        <v>0.78683201091668598</v>
      </c>
      <c r="BM100">
        <f t="shared" si="132"/>
        <v>0.50821796413603837</v>
      </c>
      <c r="BN100">
        <f t="shared" si="133"/>
        <v>0.49178203586396163</v>
      </c>
      <c r="BO100">
        <v>5854</v>
      </c>
      <c r="BP100">
        <v>290.00000000000011</v>
      </c>
      <c r="BQ100">
        <v>1016.14</v>
      </c>
      <c r="BR100">
        <v>155</v>
      </c>
      <c r="BS100">
        <v>10449.200000000001</v>
      </c>
      <c r="BT100">
        <v>1012.08</v>
      </c>
      <c r="BU100">
        <v>4.0599999999999996</v>
      </c>
      <c r="BV100">
        <v>300.00000000000011</v>
      </c>
      <c r="BW100">
        <v>38.299999999999997</v>
      </c>
      <c r="BX100">
        <v>1101.610717845467</v>
      </c>
      <c r="BY100">
        <v>1.4837137545458221</v>
      </c>
      <c r="BZ100">
        <v>-93.555913779536127</v>
      </c>
      <c r="CA100">
        <v>1.2678419896284501</v>
      </c>
      <c r="CB100">
        <v>0.99488414398460068</v>
      </c>
      <c r="CC100">
        <v>-1.1331542602892101E-2</v>
      </c>
      <c r="CD100">
        <v>289.99999999999989</v>
      </c>
      <c r="CE100">
        <v>1005.75</v>
      </c>
      <c r="CF100">
        <v>705</v>
      </c>
      <c r="CG100">
        <v>10408.200000000001</v>
      </c>
      <c r="CH100">
        <v>1011.72</v>
      </c>
      <c r="CI100">
        <v>-5.97</v>
      </c>
      <c r="CW100">
        <f t="shared" si="134"/>
        <v>1800.01</v>
      </c>
      <c r="CX100">
        <f t="shared" si="135"/>
        <v>1513.1934003291651</v>
      </c>
      <c r="CY100">
        <f t="shared" si="136"/>
        <v>0.84065832985881472</v>
      </c>
      <c r="CZ100">
        <f t="shared" si="137"/>
        <v>0.19131665971762926</v>
      </c>
      <c r="DA100">
        <v>6</v>
      </c>
      <c r="DB100">
        <v>0.5</v>
      </c>
      <c r="DC100" t="s">
        <v>420</v>
      </c>
      <c r="DD100">
        <v>2</v>
      </c>
      <c r="DE100">
        <v>1693513300</v>
      </c>
      <c r="DF100">
        <v>1441.66</v>
      </c>
      <c r="DG100">
        <v>1500</v>
      </c>
      <c r="DH100">
        <v>28.090199999999999</v>
      </c>
      <c r="DI100">
        <v>23.144600000000001</v>
      </c>
      <c r="DJ100">
        <v>1444.99</v>
      </c>
      <c r="DK100">
        <v>27.692799999999998</v>
      </c>
      <c r="DL100">
        <v>500.22</v>
      </c>
      <c r="DM100">
        <v>99.442800000000005</v>
      </c>
      <c r="DN100">
        <v>0.10038</v>
      </c>
      <c r="DO100">
        <v>30.1129</v>
      </c>
      <c r="DP100">
        <v>29.997299999999999</v>
      </c>
      <c r="DQ100">
        <v>999.9</v>
      </c>
      <c r="DR100">
        <v>0</v>
      </c>
      <c r="DS100">
        <v>0</v>
      </c>
      <c r="DT100">
        <v>9962.5</v>
      </c>
      <c r="DU100">
        <v>0</v>
      </c>
      <c r="DV100">
        <v>1273.3399999999999</v>
      </c>
      <c r="DW100">
        <v>-58.340600000000002</v>
      </c>
      <c r="DX100">
        <v>1483.32</v>
      </c>
      <c r="DY100">
        <v>1535.54</v>
      </c>
      <c r="DZ100">
        <v>4.9455400000000003</v>
      </c>
      <c r="EA100">
        <v>1500</v>
      </c>
      <c r="EB100">
        <v>23.144600000000001</v>
      </c>
      <c r="EC100">
        <v>2.7933699999999999</v>
      </c>
      <c r="ED100">
        <v>2.3015699999999999</v>
      </c>
      <c r="EE100">
        <v>22.844899999999999</v>
      </c>
      <c r="EF100">
        <v>19.6874</v>
      </c>
      <c r="EG100">
        <v>1800.01</v>
      </c>
      <c r="EH100">
        <v>0.97799700000000001</v>
      </c>
      <c r="EI100">
        <v>2.2002799999999999E-2</v>
      </c>
      <c r="EJ100">
        <v>0</v>
      </c>
      <c r="EK100">
        <v>774.19100000000003</v>
      </c>
      <c r="EL100">
        <v>4.9995000000000003</v>
      </c>
      <c r="EM100">
        <v>14697.8</v>
      </c>
      <c r="EN100">
        <v>16659.8</v>
      </c>
      <c r="EO100">
        <v>47.311999999999998</v>
      </c>
      <c r="EP100">
        <v>48.436999999999998</v>
      </c>
      <c r="EQ100">
        <v>48.186999999999998</v>
      </c>
      <c r="ER100">
        <v>47.311999999999998</v>
      </c>
      <c r="ES100">
        <v>48.561999999999998</v>
      </c>
      <c r="ET100">
        <v>1755.51</v>
      </c>
      <c r="EU100">
        <v>39.5</v>
      </c>
      <c r="EV100">
        <v>0</v>
      </c>
      <c r="EW100">
        <v>150</v>
      </c>
      <c r="EX100">
        <v>0</v>
      </c>
      <c r="EY100">
        <v>774.70187999999996</v>
      </c>
      <c r="EZ100">
        <v>-2.260461545811145</v>
      </c>
      <c r="FA100">
        <v>-20.669230815904839</v>
      </c>
      <c r="FB100">
        <v>14698.884</v>
      </c>
      <c r="FC100">
        <v>15</v>
      </c>
      <c r="FD100">
        <v>1693513264</v>
      </c>
      <c r="FE100" t="s">
        <v>847</v>
      </c>
      <c r="FF100">
        <v>1693513264</v>
      </c>
      <c r="FG100">
        <v>1693513263</v>
      </c>
      <c r="FH100">
        <v>94</v>
      </c>
      <c r="FI100">
        <v>1.2E-2</v>
      </c>
      <c r="FJ100">
        <v>4.0000000000000001E-3</v>
      </c>
      <c r="FK100">
        <v>-3.3969999999999998</v>
      </c>
      <c r="FL100">
        <v>0.16600000000000001</v>
      </c>
      <c r="FM100">
        <v>1500</v>
      </c>
      <c r="FN100">
        <v>23</v>
      </c>
      <c r="FO100">
        <v>0.25</v>
      </c>
      <c r="FP100">
        <v>0.05</v>
      </c>
      <c r="FQ100">
        <v>42.545624459052618</v>
      </c>
      <c r="FR100">
        <v>-4.6180823658816768E-2</v>
      </c>
      <c r="FS100">
        <v>0.1845888500931227</v>
      </c>
      <c r="FT100">
        <v>1</v>
      </c>
      <c r="FU100">
        <v>0.29499381889292431</v>
      </c>
      <c r="FV100">
        <v>1.281443483509488E-3</v>
      </c>
      <c r="FW100">
        <v>9.9274290135997084E-4</v>
      </c>
      <c r="FX100">
        <v>1</v>
      </c>
      <c r="FY100">
        <v>2</v>
      </c>
      <c r="FZ100">
        <v>2</v>
      </c>
      <c r="GA100" t="s">
        <v>422</v>
      </c>
      <c r="GB100">
        <v>2.9718399999999998</v>
      </c>
      <c r="GC100">
        <v>2.81175</v>
      </c>
      <c r="GD100">
        <v>0.234096</v>
      </c>
      <c r="GE100">
        <v>0.23693700000000001</v>
      </c>
      <c r="GF100">
        <v>0.13369800000000001</v>
      </c>
      <c r="GG100">
        <v>0.116284</v>
      </c>
      <c r="GH100">
        <v>22689.1</v>
      </c>
      <c r="GI100">
        <v>20809.8</v>
      </c>
      <c r="GJ100">
        <v>26623.599999999999</v>
      </c>
      <c r="GK100">
        <v>25726</v>
      </c>
      <c r="GL100">
        <v>31373</v>
      </c>
      <c r="GM100">
        <v>32018.7</v>
      </c>
      <c r="GN100">
        <v>37693.1</v>
      </c>
      <c r="GO100">
        <v>38044.400000000001</v>
      </c>
      <c r="GP100">
        <v>1.986</v>
      </c>
      <c r="GQ100">
        <v>1.9584999999999999</v>
      </c>
      <c r="GR100">
        <v>6.91861E-2</v>
      </c>
      <c r="GS100">
        <v>0</v>
      </c>
      <c r="GT100">
        <v>28.8704</v>
      </c>
      <c r="GU100">
        <v>999.9</v>
      </c>
      <c r="GV100">
        <v>29.5</v>
      </c>
      <c r="GW100">
        <v>44.8</v>
      </c>
      <c r="GX100">
        <v>28.2987</v>
      </c>
      <c r="GY100">
        <v>61.594700000000003</v>
      </c>
      <c r="GZ100">
        <v>15.4848</v>
      </c>
      <c r="HA100">
        <v>1</v>
      </c>
      <c r="HB100">
        <v>0.20009099999999999</v>
      </c>
      <c r="HC100">
        <v>1.36504</v>
      </c>
      <c r="HD100">
        <v>20.297499999999999</v>
      </c>
      <c r="HE100">
        <v>5.2107000000000001</v>
      </c>
      <c r="HF100">
        <v>11.9321</v>
      </c>
      <c r="HG100">
        <v>4.9880000000000004</v>
      </c>
      <c r="HH100">
        <v>3.2909999999999999</v>
      </c>
      <c r="HI100">
        <v>9999</v>
      </c>
      <c r="HJ100">
        <v>9999</v>
      </c>
      <c r="HK100">
        <v>9999</v>
      </c>
      <c r="HL100">
        <v>999.9</v>
      </c>
      <c r="HM100">
        <v>1.8711899999999999</v>
      </c>
      <c r="HN100">
        <v>1.8771100000000001</v>
      </c>
      <c r="HO100">
        <v>1.87486</v>
      </c>
      <c r="HP100">
        <v>1.8730800000000001</v>
      </c>
      <c r="HQ100">
        <v>1.8736299999999999</v>
      </c>
      <c r="HR100">
        <v>1.87103</v>
      </c>
      <c r="HS100">
        <v>1.8768499999999999</v>
      </c>
      <c r="HT100">
        <v>1.8760399999999999</v>
      </c>
      <c r="HU100">
        <v>5</v>
      </c>
      <c r="HV100">
        <v>0</v>
      </c>
      <c r="HW100">
        <v>0</v>
      </c>
      <c r="HX100">
        <v>0</v>
      </c>
      <c r="HY100" t="s">
        <v>423</v>
      </c>
      <c r="HZ100" t="s">
        <v>424</v>
      </c>
      <c r="IA100" t="s">
        <v>425</v>
      </c>
      <c r="IB100" t="s">
        <v>425</v>
      </c>
      <c r="IC100" t="s">
        <v>425</v>
      </c>
      <c r="ID100" t="s">
        <v>425</v>
      </c>
      <c r="IE100">
        <v>0</v>
      </c>
      <c r="IF100">
        <v>100</v>
      </c>
      <c r="IG100">
        <v>100</v>
      </c>
      <c r="IH100">
        <v>-3.33</v>
      </c>
      <c r="II100">
        <v>0.39739999999999998</v>
      </c>
      <c r="IJ100">
        <v>-1.6433875432251921</v>
      </c>
      <c r="IK100">
        <v>-2.677719669153116E-3</v>
      </c>
      <c r="IL100">
        <v>1.9353498771248068E-6</v>
      </c>
      <c r="IM100">
        <v>-6.1862177325538213E-10</v>
      </c>
      <c r="IN100">
        <v>-0.2022375551847127</v>
      </c>
      <c r="IO100">
        <v>-1.5299015507423901E-2</v>
      </c>
      <c r="IP100">
        <v>1.742162107778985E-3</v>
      </c>
      <c r="IQ100">
        <v>-1.472690239905804E-5</v>
      </c>
      <c r="IR100">
        <v>3</v>
      </c>
      <c r="IS100">
        <v>2255</v>
      </c>
      <c r="IT100">
        <v>2</v>
      </c>
      <c r="IU100">
        <v>41</v>
      </c>
      <c r="IV100">
        <v>0.6</v>
      </c>
      <c r="IW100">
        <v>0.6</v>
      </c>
      <c r="IX100">
        <v>2.8234900000000001</v>
      </c>
      <c r="IY100">
        <v>2.5341800000000001</v>
      </c>
      <c r="IZ100">
        <v>1.5991200000000001</v>
      </c>
      <c r="JA100">
        <v>2.2668499999999998</v>
      </c>
      <c r="JB100">
        <v>1.5502899999999999</v>
      </c>
      <c r="JC100">
        <v>2.3791500000000001</v>
      </c>
      <c r="JD100">
        <v>50.025700000000001</v>
      </c>
      <c r="JE100">
        <v>16.321000000000002</v>
      </c>
      <c r="JF100">
        <v>18</v>
      </c>
      <c r="JG100">
        <v>504.947</v>
      </c>
      <c r="JH100">
        <v>456.70100000000002</v>
      </c>
      <c r="JI100">
        <v>26.687200000000001</v>
      </c>
      <c r="JJ100">
        <v>30.066400000000002</v>
      </c>
      <c r="JK100">
        <v>30</v>
      </c>
      <c r="JL100">
        <v>30.048100000000002</v>
      </c>
      <c r="JM100">
        <v>30.013500000000001</v>
      </c>
      <c r="JN100">
        <v>56.530700000000003</v>
      </c>
      <c r="JO100">
        <v>12.6081</v>
      </c>
      <c r="JP100">
        <v>18.8277</v>
      </c>
      <c r="JQ100">
        <v>26.691700000000001</v>
      </c>
      <c r="JR100">
        <v>1500</v>
      </c>
      <c r="JS100">
        <v>23.093900000000001</v>
      </c>
      <c r="JT100">
        <v>99.407499999999999</v>
      </c>
      <c r="JU100">
        <v>98.846199999999996</v>
      </c>
    </row>
    <row r="101" spans="1:281" x14ac:dyDescent="0.25">
      <c r="A101">
        <v>85</v>
      </c>
      <c r="B101">
        <v>1693514742.5999999</v>
      </c>
      <c r="C101">
        <v>20763</v>
      </c>
      <c r="D101" t="s">
        <v>848</v>
      </c>
      <c r="E101" t="s">
        <v>849</v>
      </c>
      <c r="F101" t="s">
        <v>413</v>
      </c>
      <c r="G101" t="s">
        <v>494</v>
      </c>
      <c r="H101" t="s">
        <v>415</v>
      </c>
      <c r="I101" t="s">
        <v>415</v>
      </c>
      <c r="J101">
        <v>1693514742.5999999</v>
      </c>
      <c r="K101">
        <f t="shared" si="92"/>
        <v>3.783601152892876E-3</v>
      </c>
      <c r="L101">
        <f t="shared" si="93"/>
        <v>3.7836011528928761</v>
      </c>
      <c r="M101">
        <f t="shared" si="94"/>
        <v>38.982502884490387</v>
      </c>
      <c r="N101">
        <f t="shared" si="95"/>
        <v>351.50099999999998</v>
      </c>
      <c r="O101">
        <f t="shared" si="96"/>
        <v>104.45423330473371</v>
      </c>
      <c r="P101">
        <f t="shared" si="97"/>
        <v>10.395419469949779</v>
      </c>
      <c r="Q101">
        <f t="shared" si="98"/>
        <v>34.981831023034495</v>
      </c>
      <c r="R101">
        <f t="shared" si="99"/>
        <v>0.26929154824409818</v>
      </c>
      <c r="S101">
        <f t="shared" si="100"/>
        <v>2.9325033922717614</v>
      </c>
      <c r="T101">
        <f t="shared" si="101"/>
        <v>0.25626884441639308</v>
      </c>
      <c r="U101">
        <f t="shared" si="102"/>
        <v>0.16128557273060454</v>
      </c>
      <c r="V101">
        <f t="shared" si="103"/>
        <v>344.37570065832256</v>
      </c>
      <c r="W101">
        <f t="shared" si="104"/>
        <v>31.354083519012601</v>
      </c>
      <c r="X101">
        <f t="shared" si="105"/>
        <v>29.9741</v>
      </c>
      <c r="Y101">
        <f t="shared" si="106"/>
        <v>4.254115716025253</v>
      </c>
      <c r="Z101">
        <f t="shared" si="107"/>
        <v>65.4156968824567</v>
      </c>
      <c r="AA101">
        <f t="shared" si="108"/>
        <v>2.8371129700121998</v>
      </c>
      <c r="AB101">
        <f t="shared" si="109"/>
        <v>4.3370522752514802</v>
      </c>
      <c r="AC101">
        <f t="shared" si="110"/>
        <v>1.4170027460130532</v>
      </c>
      <c r="AD101">
        <f t="shared" si="111"/>
        <v>-166.85681084257584</v>
      </c>
      <c r="AE101">
        <f t="shared" si="112"/>
        <v>53.199681850518374</v>
      </c>
      <c r="AF101">
        <f t="shared" si="113"/>
        <v>4.039444937114709</v>
      </c>
      <c r="AG101">
        <f t="shared" si="114"/>
        <v>234.75801660337979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52371.784786983786</v>
      </c>
      <c r="AM101" t="s">
        <v>417</v>
      </c>
      <c r="AN101">
        <v>10238.9</v>
      </c>
      <c r="AO101">
        <v>302.21199999999999</v>
      </c>
      <c r="AP101">
        <v>4052.3</v>
      </c>
      <c r="AQ101">
        <f t="shared" si="118"/>
        <v>0.92542210596451402</v>
      </c>
      <c r="AR101">
        <v>-0.32343011824092421</v>
      </c>
      <c r="AS101" t="s">
        <v>850</v>
      </c>
      <c r="AT101">
        <v>10472.799999999999</v>
      </c>
      <c r="AU101">
        <v>711.8968799999999</v>
      </c>
      <c r="AV101">
        <v>1018.472276982725</v>
      </c>
      <c r="AW101">
        <f t="shared" si="119"/>
        <v>0.30101496517015669</v>
      </c>
      <c r="AX101">
        <v>0.5</v>
      </c>
      <c r="AY101">
        <f t="shared" si="120"/>
        <v>1513.2102003291611</v>
      </c>
      <c r="AZ101">
        <f t="shared" si="121"/>
        <v>38.982502884490387</v>
      </c>
      <c r="BA101">
        <f t="shared" si="122"/>
        <v>227.74945787360414</v>
      </c>
      <c r="BB101">
        <f t="shared" si="123"/>
        <v>2.5975196964824372E-2</v>
      </c>
      <c r="BC101">
        <f t="shared" si="124"/>
        <v>2.9788024589192958</v>
      </c>
      <c r="BD101">
        <f t="shared" si="125"/>
        <v>247.27840619027728</v>
      </c>
      <c r="BE101" t="s">
        <v>851</v>
      </c>
      <c r="BF101">
        <v>567.66</v>
      </c>
      <c r="BG101">
        <f t="shared" si="126"/>
        <v>567.66</v>
      </c>
      <c r="BH101">
        <f t="shared" si="127"/>
        <v>0.44263578613870469</v>
      </c>
      <c r="BI101">
        <f t="shared" si="128"/>
        <v>0.68005112690059455</v>
      </c>
      <c r="BJ101">
        <f t="shared" si="129"/>
        <v>0.87062873726332557</v>
      </c>
      <c r="BK101">
        <f t="shared" si="130"/>
        <v>0.42802233606222895</v>
      </c>
      <c r="BL101">
        <f t="shared" si="131"/>
        <v>0.80900174156373805</v>
      </c>
      <c r="BM101">
        <f t="shared" si="132"/>
        <v>0.54226649047315889</v>
      </c>
      <c r="BN101">
        <f t="shared" si="133"/>
        <v>0.45773350952684111</v>
      </c>
      <c r="BO101">
        <v>5856</v>
      </c>
      <c r="BP101">
        <v>290.00000000000011</v>
      </c>
      <c r="BQ101">
        <v>932.78</v>
      </c>
      <c r="BR101">
        <v>165</v>
      </c>
      <c r="BS101">
        <v>10472.799999999999</v>
      </c>
      <c r="BT101">
        <v>929.87</v>
      </c>
      <c r="BU101">
        <v>2.91</v>
      </c>
      <c r="BV101">
        <v>300.00000000000011</v>
      </c>
      <c r="BW101">
        <v>38.299999999999997</v>
      </c>
      <c r="BX101">
        <v>1018.472276982725</v>
      </c>
      <c r="BY101">
        <v>1.2286051699038429</v>
      </c>
      <c r="BZ101">
        <v>-92.790692635867416</v>
      </c>
      <c r="CA101">
        <v>1.052339964311128</v>
      </c>
      <c r="CB101">
        <v>0.99641160615301105</v>
      </c>
      <c r="CC101">
        <v>-1.1359668520578429E-2</v>
      </c>
      <c r="CD101">
        <v>289.99999999999989</v>
      </c>
      <c r="CE101">
        <v>921.24</v>
      </c>
      <c r="CF101">
        <v>635</v>
      </c>
      <c r="CG101">
        <v>10439.700000000001</v>
      </c>
      <c r="CH101">
        <v>929.59</v>
      </c>
      <c r="CI101">
        <v>-8.35</v>
      </c>
      <c r="CW101">
        <f t="shared" si="134"/>
        <v>1800.03</v>
      </c>
      <c r="CX101">
        <f t="shared" si="135"/>
        <v>1513.2102003291611</v>
      </c>
      <c r="CY101">
        <f t="shared" si="136"/>
        <v>0.84065832254415829</v>
      </c>
      <c r="CZ101">
        <f t="shared" si="137"/>
        <v>0.19131664508831661</v>
      </c>
      <c r="DA101">
        <v>6</v>
      </c>
      <c r="DB101">
        <v>0.5</v>
      </c>
      <c r="DC101" t="s">
        <v>420</v>
      </c>
      <c r="DD101">
        <v>2</v>
      </c>
      <c r="DE101">
        <v>1693514742.5999999</v>
      </c>
      <c r="DF101">
        <v>351.50099999999998</v>
      </c>
      <c r="DG101">
        <v>399.89800000000002</v>
      </c>
      <c r="DH101">
        <v>28.5076</v>
      </c>
      <c r="DI101">
        <v>24.0947</v>
      </c>
      <c r="DJ101">
        <v>354.08100000000002</v>
      </c>
      <c r="DK101">
        <v>28.067699999999999</v>
      </c>
      <c r="DL101">
        <v>499.77199999999999</v>
      </c>
      <c r="DM101">
        <v>99.422799999999995</v>
      </c>
      <c r="DN101">
        <v>9.8484500000000003E-2</v>
      </c>
      <c r="DO101">
        <v>30.310600000000001</v>
      </c>
      <c r="DP101">
        <v>29.9741</v>
      </c>
      <c r="DQ101">
        <v>999.9</v>
      </c>
      <c r="DR101">
        <v>0</v>
      </c>
      <c r="DS101">
        <v>0</v>
      </c>
      <c r="DT101">
        <v>10075</v>
      </c>
      <c r="DU101">
        <v>0</v>
      </c>
      <c r="DV101">
        <v>1525.17</v>
      </c>
      <c r="DW101">
        <v>-48.3964</v>
      </c>
      <c r="DX101">
        <v>361.81599999999997</v>
      </c>
      <c r="DY101">
        <v>409.77100000000002</v>
      </c>
      <c r="DZ101">
        <v>4.4129699999999996</v>
      </c>
      <c r="EA101">
        <v>399.89800000000002</v>
      </c>
      <c r="EB101">
        <v>24.0947</v>
      </c>
      <c r="EC101">
        <v>2.8343099999999999</v>
      </c>
      <c r="ED101">
        <v>2.3955600000000001</v>
      </c>
      <c r="EE101">
        <v>23.0853</v>
      </c>
      <c r="EF101">
        <v>20.3338</v>
      </c>
      <c r="EG101">
        <v>1800.03</v>
      </c>
      <c r="EH101">
        <v>0.97799599999999998</v>
      </c>
      <c r="EI101">
        <v>2.20039E-2</v>
      </c>
      <c r="EJ101">
        <v>0</v>
      </c>
      <c r="EK101">
        <v>711.72199999999998</v>
      </c>
      <c r="EL101">
        <v>4.9995000000000003</v>
      </c>
      <c r="EM101">
        <v>13697.3</v>
      </c>
      <c r="EN101">
        <v>16660.099999999999</v>
      </c>
      <c r="EO101">
        <v>48.311999999999998</v>
      </c>
      <c r="EP101">
        <v>49.625</v>
      </c>
      <c r="EQ101">
        <v>49.186999999999998</v>
      </c>
      <c r="ER101">
        <v>49</v>
      </c>
      <c r="ES101">
        <v>49.625</v>
      </c>
      <c r="ET101">
        <v>1755.53</v>
      </c>
      <c r="EU101">
        <v>39.5</v>
      </c>
      <c r="EV101">
        <v>0</v>
      </c>
      <c r="EW101">
        <v>1440.7999999523161</v>
      </c>
      <c r="EX101">
        <v>0</v>
      </c>
      <c r="EY101">
        <v>711.8968799999999</v>
      </c>
      <c r="EZ101">
        <v>0.26161538958554842</v>
      </c>
      <c r="FA101">
        <v>157.98461585342801</v>
      </c>
      <c r="FB101">
        <v>13649.696</v>
      </c>
      <c r="FC101">
        <v>15</v>
      </c>
      <c r="FD101">
        <v>1693514708.5999999</v>
      </c>
      <c r="FE101" t="s">
        <v>852</v>
      </c>
      <c r="FF101">
        <v>1693514708.5999999</v>
      </c>
      <c r="FG101">
        <v>1693514703.0999999</v>
      </c>
      <c r="FH101">
        <v>96</v>
      </c>
      <c r="FI101">
        <v>0.315</v>
      </c>
      <c r="FJ101">
        <v>-5.5E-2</v>
      </c>
      <c r="FK101">
        <v>-2.6509999999999998</v>
      </c>
      <c r="FL101">
        <v>0.24399999999999999</v>
      </c>
      <c r="FM101">
        <v>400</v>
      </c>
      <c r="FN101">
        <v>24</v>
      </c>
      <c r="FO101">
        <v>0.13</v>
      </c>
      <c r="FP101">
        <v>0.06</v>
      </c>
      <c r="FQ101">
        <v>39.099652186125716</v>
      </c>
      <c r="FR101">
        <v>-0.63588573313378538</v>
      </c>
      <c r="FS101">
        <v>0.1038049328699471</v>
      </c>
      <c r="FT101">
        <v>1</v>
      </c>
      <c r="FU101">
        <v>0.26656382927801769</v>
      </c>
      <c r="FV101">
        <v>3.7899349748388329E-2</v>
      </c>
      <c r="FW101">
        <v>2.9104918680971969E-3</v>
      </c>
      <c r="FX101">
        <v>1</v>
      </c>
      <c r="FY101">
        <v>2</v>
      </c>
      <c r="FZ101">
        <v>2</v>
      </c>
      <c r="GA101" t="s">
        <v>422</v>
      </c>
      <c r="GB101">
        <v>2.9710200000000002</v>
      </c>
      <c r="GC101">
        <v>2.8108300000000002</v>
      </c>
      <c r="GD101">
        <v>8.8597400000000007E-2</v>
      </c>
      <c r="GE101">
        <v>9.6382999999999996E-2</v>
      </c>
      <c r="GF101">
        <v>0.135046</v>
      </c>
      <c r="GG101">
        <v>0.11967</v>
      </c>
      <c r="GH101">
        <v>27016</v>
      </c>
      <c r="GI101">
        <v>24659.1</v>
      </c>
      <c r="GJ101">
        <v>26635.5</v>
      </c>
      <c r="GK101">
        <v>25737.7</v>
      </c>
      <c r="GL101">
        <v>31324</v>
      </c>
      <c r="GM101">
        <v>31895.599999999999</v>
      </c>
      <c r="GN101">
        <v>37711.599999999999</v>
      </c>
      <c r="GO101">
        <v>38056.6</v>
      </c>
      <c r="GP101">
        <v>1.9911000000000001</v>
      </c>
      <c r="GQ101">
        <v>1.9565999999999999</v>
      </c>
      <c r="GR101">
        <v>8.0913299999999994E-2</v>
      </c>
      <c r="GS101">
        <v>0</v>
      </c>
      <c r="GT101">
        <v>28.655899999999999</v>
      </c>
      <c r="GU101">
        <v>999.9</v>
      </c>
      <c r="GV101">
        <v>28.7</v>
      </c>
      <c r="GW101">
        <v>45.7</v>
      </c>
      <c r="GX101">
        <v>28.8443</v>
      </c>
      <c r="GY101">
        <v>61.293999999999997</v>
      </c>
      <c r="GZ101">
        <v>15.645</v>
      </c>
      <c r="HA101">
        <v>1</v>
      </c>
      <c r="HB101">
        <v>0.16644300000000001</v>
      </c>
      <c r="HC101">
        <v>0.73123099999999996</v>
      </c>
      <c r="HD101">
        <v>20.249199999999998</v>
      </c>
      <c r="HE101">
        <v>5.2053099999999999</v>
      </c>
      <c r="HF101">
        <v>11.9321</v>
      </c>
      <c r="HG101">
        <v>4.9884000000000004</v>
      </c>
      <c r="HH101">
        <v>3.2909999999999999</v>
      </c>
      <c r="HI101">
        <v>9999</v>
      </c>
      <c r="HJ101">
        <v>9999</v>
      </c>
      <c r="HK101">
        <v>9999</v>
      </c>
      <c r="HL101">
        <v>999.9</v>
      </c>
      <c r="HM101">
        <v>1.8710899999999999</v>
      </c>
      <c r="HN101">
        <v>1.8771199999999999</v>
      </c>
      <c r="HO101">
        <v>1.87486</v>
      </c>
      <c r="HP101">
        <v>1.8731500000000001</v>
      </c>
      <c r="HQ101">
        <v>1.8736299999999999</v>
      </c>
      <c r="HR101">
        <v>1.87103</v>
      </c>
      <c r="HS101">
        <v>1.8768499999999999</v>
      </c>
      <c r="HT101">
        <v>1.8760699999999999</v>
      </c>
      <c r="HU101">
        <v>5</v>
      </c>
      <c r="HV101">
        <v>0</v>
      </c>
      <c r="HW101">
        <v>0</v>
      </c>
      <c r="HX101">
        <v>0</v>
      </c>
      <c r="HY101" t="s">
        <v>423</v>
      </c>
      <c r="HZ101" t="s">
        <v>424</v>
      </c>
      <c r="IA101" t="s">
        <v>425</v>
      </c>
      <c r="IB101" t="s">
        <v>425</v>
      </c>
      <c r="IC101" t="s">
        <v>425</v>
      </c>
      <c r="ID101" t="s">
        <v>425</v>
      </c>
      <c r="IE101">
        <v>0</v>
      </c>
      <c r="IF101">
        <v>100</v>
      </c>
      <c r="IG101">
        <v>100</v>
      </c>
      <c r="IH101">
        <v>-2.58</v>
      </c>
      <c r="II101">
        <v>0.43990000000000001</v>
      </c>
      <c r="IJ101">
        <v>-1.846770780911547</v>
      </c>
      <c r="IK101">
        <v>-2.677719669153116E-3</v>
      </c>
      <c r="IL101">
        <v>1.9353498771248068E-6</v>
      </c>
      <c r="IM101">
        <v>-6.1862177325538213E-10</v>
      </c>
      <c r="IN101">
        <v>-0.17750652243391041</v>
      </c>
      <c r="IO101">
        <v>-1.5299015507423901E-2</v>
      </c>
      <c r="IP101">
        <v>1.742162107778985E-3</v>
      </c>
      <c r="IQ101">
        <v>-1.472690239905804E-5</v>
      </c>
      <c r="IR101">
        <v>3</v>
      </c>
      <c r="IS101">
        <v>2255</v>
      </c>
      <c r="IT101">
        <v>2</v>
      </c>
      <c r="IU101">
        <v>41</v>
      </c>
      <c r="IV101">
        <v>0.6</v>
      </c>
      <c r="IW101">
        <v>0.7</v>
      </c>
      <c r="IX101">
        <v>0.96435499999999996</v>
      </c>
      <c r="IY101">
        <v>2.5366200000000001</v>
      </c>
      <c r="IZ101">
        <v>1.5991200000000001</v>
      </c>
      <c r="JA101">
        <v>2.2656200000000002</v>
      </c>
      <c r="JB101">
        <v>1.5502899999999999</v>
      </c>
      <c r="JC101">
        <v>2.4682599999999999</v>
      </c>
      <c r="JD101">
        <v>49.294899999999998</v>
      </c>
      <c r="JE101">
        <v>23.921099999999999</v>
      </c>
      <c r="JF101">
        <v>18</v>
      </c>
      <c r="JG101">
        <v>505.2</v>
      </c>
      <c r="JH101">
        <v>452.81799999999998</v>
      </c>
      <c r="JI101">
        <v>27.2346</v>
      </c>
      <c r="JJ101">
        <v>29.6541</v>
      </c>
      <c r="JK101">
        <v>29.9999</v>
      </c>
      <c r="JL101">
        <v>29.689399999999999</v>
      </c>
      <c r="JM101">
        <v>29.6631</v>
      </c>
      <c r="JN101">
        <v>19.326599999999999</v>
      </c>
      <c r="JO101">
        <v>12.180300000000001</v>
      </c>
      <c r="JP101">
        <v>24.539100000000001</v>
      </c>
      <c r="JQ101">
        <v>27.236499999999999</v>
      </c>
      <c r="JR101">
        <v>400</v>
      </c>
      <c r="JS101">
        <v>24.048400000000001</v>
      </c>
      <c r="JT101">
        <v>99.454499999999996</v>
      </c>
      <c r="JU101">
        <v>98.883300000000006</v>
      </c>
    </row>
    <row r="102" spans="1:281" x14ac:dyDescent="0.25">
      <c r="A102">
        <v>86</v>
      </c>
      <c r="B102">
        <v>1693514853.0999999</v>
      </c>
      <c r="C102">
        <v>20873.5</v>
      </c>
      <c r="D102" t="s">
        <v>853</v>
      </c>
      <c r="E102" t="s">
        <v>854</v>
      </c>
      <c r="F102" t="s">
        <v>413</v>
      </c>
      <c r="G102" t="s">
        <v>494</v>
      </c>
      <c r="H102" t="s">
        <v>415</v>
      </c>
      <c r="I102" t="s">
        <v>415</v>
      </c>
      <c r="J102">
        <v>1693514853.0999999</v>
      </c>
      <c r="K102">
        <f t="shared" si="92"/>
        <v>3.7756293756622985E-3</v>
      </c>
      <c r="L102">
        <f t="shared" si="93"/>
        <v>3.7756293756622985</v>
      </c>
      <c r="M102">
        <f t="shared" si="94"/>
        <v>30.094319231533323</v>
      </c>
      <c r="N102">
        <f t="shared" si="95"/>
        <v>262.70499999999998</v>
      </c>
      <c r="O102">
        <f t="shared" si="96"/>
        <v>70.479657976499809</v>
      </c>
      <c r="P102">
        <f t="shared" si="97"/>
        <v>7.0142605927345114</v>
      </c>
      <c r="Q102">
        <f t="shared" si="98"/>
        <v>26.144867638669997</v>
      </c>
      <c r="R102">
        <f t="shared" si="99"/>
        <v>0.26682504015739439</v>
      </c>
      <c r="S102">
        <f t="shared" si="100"/>
        <v>2.9150021818693115</v>
      </c>
      <c r="T102">
        <f t="shared" si="101"/>
        <v>0.25396089377395076</v>
      </c>
      <c r="U102">
        <f t="shared" si="102"/>
        <v>0.15982965512874639</v>
      </c>
      <c r="V102">
        <f t="shared" si="103"/>
        <v>344.36430065834452</v>
      </c>
      <c r="W102">
        <f t="shared" si="104"/>
        <v>31.410877569681801</v>
      </c>
      <c r="X102">
        <f t="shared" si="105"/>
        <v>30.028099999999998</v>
      </c>
      <c r="Y102">
        <f t="shared" si="106"/>
        <v>4.2673311512151431</v>
      </c>
      <c r="Z102">
        <f t="shared" si="107"/>
        <v>65.312018458506856</v>
      </c>
      <c r="AA102">
        <f t="shared" si="108"/>
        <v>2.8405803300401997</v>
      </c>
      <c r="AB102">
        <f t="shared" si="109"/>
        <v>4.3492459689403695</v>
      </c>
      <c r="AC102">
        <f t="shared" si="110"/>
        <v>1.4267508211749433</v>
      </c>
      <c r="AD102">
        <f t="shared" si="111"/>
        <v>-166.50525546670735</v>
      </c>
      <c r="AE102">
        <f t="shared" si="112"/>
        <v>52.096417613993353</v>
      </c>
      <c r="AF102">
        <f t="shared" si="113"/>
        <v>3.9814519341530494</v>
      </c>
      <c r="AG102">
        <f t="shared" si="114"/>
        <v>233.93691473978356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51864.415045965157</v>
      </c>
      <c r="AM102" t="s">
        <v>417</v>
      </c>
      <c r="AN102">
        <v>10238.9</v>
      </c>
      <c r="AO102">
        <v>302.21199999999999</v>
      </c>
      <c r="AP102">
        <v>4052.3</v>
      </c>
      <c r="AQ102">
        <f t="shared" si="118"/>
        <v>0.92542210596451402</v>
      </c>
      <c r="AR102">
        <v>-0.32343011824092421</v>
      </c>
      <c r="AS102" t="s">
        <v>855</v>
      </c>
      <c r="AT102">
        <v>10478.799999999999</v>
      </c>
      <c r="AU102">
        <v>689.03791999999999</v>
      </c>
      <c r="AV102">
        <v>924.08326357997146</v>
      </c>
      <c r="AW102">
        <f t="shared" si="119"/>
        <v>0.25435515699027733</v>
      </c>
      <c r="AX102">
        <v>0.5</v>
      </c>
      <c r="AY102">
        <f t="shared" si="120"/>
        <v>1513.1598003291724</v>
      </c>
      <c r="AZ102">
        <f t="shared" si="121"/>
        <v>30.094319231533323</v>
      </c>
      <c r="BA102">
        <f t="shared" si="122"/>
        <v>192.43999928205167</v>
      </c>
      <c r="BB102">
        <f t="shared" si="123"/>
        <v>2.0102139472088259E-2</v>
      </c>
      <c r="BC102">
        <f t="shared" si="124"/>
        <v>3.3852109000449486</v>
      </c>
      <c r="BD102">
        <f t="shared" si="125"/>
        <v>241.29436596063499</v>
      </c>
      <c r="BE102" t="s">
        <v>856</v>
      </c>
      <c r="BF102">
        <v>552.79</v>
      </c>
      <c r="BG102">
        <f t="shared" si="126"/>
        <v>552.79</v>
      </c>
      <c r="BH102">
        <f t="shared" si="127"/>
        <v>0.40179632963111145</v>
      </c>
      <c r="BI102">
        <f t="shared" si="128"/>
        <v>0.63304499875297604</v>
      </c>
      <c r="BJ102">
        <f t="shared" si="129"/>
        <v>0.89390135659564585</v>
      </c>
      <c r="BK102">
        <f t="shared" si="130"/>
        <v>0.37796463246567924</v>
      </c>
      <c r="BL102">
        <f t="shared" si="131"/>
        <v>0.83417155448619562</v>
      </c>
      <c r="BM102">
        <f t="shared" si="132"/>
        <v>0.50786892085802426</v>
      </c>
      <c r="BN102">
        <f t="shared" si="133"/>
        <v>0.49213107914197574</v>
      </c>
      <c r="BO102">
        <v>5858</v>
      </c>
      <c r="BP102">
        <v>290.00000000000011</v>
      </c>
      <c r="BQ102">
        <v>858.93</v>
      </c>
      <c r="BR102">
        <v>135</v>
      </c>
      <c r="BS102">
        <v>10478.799999999999</v>
      </c>
      <c r="BT102">
        <v>856.55</v>
      </c>
      <c r="BU102">
        <v>2.38</v>
      </c>
      <c r="BV102">
        <v>300.00000000000011</v>
      </c>
      <c r="BW102">
        <v>38.299999999999997</v>
      </c>
      <c r="BX102">
        <v>924.08326357997146</v>
      </c>
      <c r="BY102">
        <v>1.0866457289911171</v>
      </c>
      <c r="BZ102">
        <v>-70.76319720781801</v>
      </c>
      <c r="CA102">
        <v>0.93066914837522063</v>
      </c>
      <c r="CB102">
        <v>0.99518012841316139</v>
      </c>
      <c r="CC102">
        <v>-1.135856373748609E-2</v>
      </c>
      <c r="CD102">
        <v>289.99999999999989</v>
      </c>
      <c r="CE102">
        <v>852.44</v>
      </c>
      <c r="CF102">
        <v>655</v>
      </c>
      <c r="CG102">
        <v>10436.700000000001</v>
      </c>
      <c r="CH102">
        <v>856.28</v>
      </c>
      <c r="CI102">
        <v>-3.84</v>
      </c>
      <c r="CW102">
        <f t="shared" si="134"/>
        <v>1799.97</v>
      </c>
      <c r="CX102">
        <f t="shared" si="135"/>
        <v>1513.1598003291724</v>
      </c>
      <c r="CY102">
        <f t="shared" si="136"/>
        <v>0.84065834448861498</v>
      </c>
      <c r="CZ102">
        <f t="shared" si="137"/>
        <v>0.19131668897722989</v>
      </c>
      <c r="DA102">
        <v>6</v>
      </c>
      <c r="DB102">
        <v>0.5</v>
      </c>
      <c r="DC102" t="s">
        <v>420</v>
      </c>
      <c r="DD102">
        <v>2</v>
      </c>
      <c r="DE102">
        <v>1693514853.0999999</v>
      </c>
      <c r="DF102">
        <v>262.70499999999998</v>
      </c>
      <c r="DG102">
        <v>299.98099999999999</v>
      </c>
      <c r="DH102">
        <v>28.542300000000001</v>
      </c>
      <c r="DI102">
        <v>24.144100000000002</v>
      </c>
      <c r="DJ102">
        <v>265.01499999999999</v>
      </c>
      <c r="DK102">
        <v>28.098299999999998</v>
      </c>
      <c r="DL102">
        <v>500.36799999999999</v>
      </c>
      <c r="DM102">
        <v>99.421599999999998</v>
      </c>
      <c r="DN102">
        <v>0.100174</v>
      </c>
      <c r="DO102">
        <v>30.3596</v>
      </c>
      <c r="DP102">
        <v>30.028099999999998</v>
      </c>
      <c r="DQ102">
        <v>999.9</v>
      </c>
      <c r="DR102">
        <v>0</v>
      </c>
      <c r="DS102">
        <v>0</v>
      </c>
      <c r="DT102">
        <v>9975</v>
      </c>
      <c r="DU102">
        <v>0</v>
      </c>
      <c r="DV102">
        <v>1517.43</v>
      </c>
      <c r="DW102">
        <v>-37.2759</v>
      </c>
      <c r="DX102">
        <v>270.42399999999998</v>
      </c>
      <c r="DY102">
        <v>307.40300000000002</v>
      </c>
      <c r="DZ102">
        <v>4.3982099999999997</v>
      </c>
      <c r="EA102">
        <v>299.98099999999999</v>
      </c>
      <c r="EB102">
        <v>24.144100000000002</v>
      </c>
      <c r="EC102">
        <v>2.83772</v>
      </c>
      <c r="ED102">
        <v>2.4004500000000002</v>
      </c>
      <c r="EE102">
        <v>23.1052</v>
      </c>
      <c r="EF102">
        <v>20.366800000000001</v>
      </c>
      <c r="EG102">
        <v>1799.97</v>
      </c>
      <c r="EH102">
        <v>0.97799599999999998</v>
      </c>
      <c r="EI102">
        <v>2.20039E-2</v>
      </c>
      <c r="EJ102">
        <v>0</v>
      </c>
      <c r="EK102">
        <v>688.81500000000005</v>
      </c>
      <c r="EL102">
        <v>4.9995000000000003</v>
      </c>
      <c r="EM102">
        <v>13194.3</v>
      </c>
      <c r="EN102">
        <v>16659.5</v>
      </c>
      <c r="EO102">
        <v>48.311999999999998</v>
      </c>
      <c r="EP102">
        <v>49.5</v>
      </c>
      <c r="EQ102">
        <v>49.186999999999998</v>
      </c>
      <c r="ER102">
        <v>48.936999999999998</v>
      </c>
      <c r="ES102">
        <v>49.625</v>
      </c>
      <c r="ET102">
        <v>1755.47</v>
      </c>
      <c r="EU102">
        <v>39.5</v>
      </c>
      <c r="EV102">
        <v>0</v>
      </c>
      <c r="EW102">
        <v>108.5999999046326</v>
      </c>
      <c r="EX102">
        <v>0</v>
      </c>
      <c r="EY102">
        <v>689.03791999999999</v>
      </c>
      <c r="EZ102">
        <v>-3.3408461535461318</v>
      </c>
      <c r="FA102">
        <v>-76.930769092870932</v>
      </c>
      <c r="FB102">
        <v>13206.004000000001</v>
      </c>
      <c r="FC102">
        <v>15</v>
      </c>
      <c r="FD102">
        <v>1693514818.5999999</v>
      </c>
      <c r="FE102" t="s">
        <v>857</v>
      </c>
      <c r="FF102">
        <v>1693514816.5999999</v>
      </c>
      <c r="FG102">
        <v>1693514818.5999999</v>
      </c>
      <c r="FH102">
        <v>97</v>
      </c>
      <c r="FI102">
        <v>0.122</v>
      </c>
      <c r="FJ102">
        <v>3.0000000000000001E-3</v>
      </c>
      <c r="FK102">
        <v>-2.3740000000000001</v>
      </c>
      <c r="FL102">
        <v>0.24299999999999999</v>
      </c>
      <c r="FM102">
        <v>300</v>
      </c>
      <c r="FN102">
        <v>24</v>
      </c>
      <c r="FO102">
        <v>0.14000000000000001</v>
      </c>
      <c r="FP102">
        <v>7.0000000000000007E-2</v>
      </c>
      <c r="FQ102">
        <v>30.043687757377839</v>
      </c>
      <c r="FR102">
        <v>9.236647434685076E-2</v>
      </c>
      <c r="FS102">
        <v>6.248828839471391E-2</v>
      </c>
      <c r="FT102">
        <v>1</v>
      </c>
      <c r="FU102">
        <v>0.26268225055350553</v>
      </c>
      <c r="FV102">
        <v>4.6099315598954263E-2</v>
      </c>
      <c r="FW102">
        <v>3.7215478831648901E-3</v>
      </c>
      <c r="FX102">
        <v>1</v>
      </c>
      <c r="FY102">
        <v>2</v>
      </c>
      <c r="FZ102">
        <v>2</v>
      </c>
      <c r="GA102" t="s">
        <v>422</v>
      </c>
      <c r="GB102">
        <v>2.97261</v>
      </c>
      <c r="GC102">
        <v>2.8116599999999998</v>
      </c>
      <c r="GD102">
        <v>6.9917800000000002E-2</v>
      </c>
      <c r="GE102">
        <v>7.66656E-2</v>
      </c>
      <c r="GF102">
        <v>0.13516500000000001</v>
      </c>
      <c r="GG102">
        <v>0.119856</v>
      </c>
      <c r="GH102">
        <v>27573.1</v>
      </c>
      <c r="GI102">
        <v>25199.9</v>
      </c>
      <c r="GJ102">
        <v>26638.6</v>
      </c>
      <c r="GK102">
        <v>25740.1</v>
      </c>
      <c r="GL102">
        <v>31320.400000000001</v>
      </c>
      <c r="GM102">
        <v>31889.9</v>
      </c>
      <c r="GN102">
        <v>37714.9</v>
      </c>
      <c r="GO102">
        <v>38059.699999999997</v>
      </c>
      <c r="GP102">
        <v>1.9933000000000001</v>
      </c>
      <c r="GQ102">
        <v>1.9565999999999999</v>
      </c>
      <c r="GR102">
        <v>8.6486300000000002E-2</v>
      </c>
      <c r="GS102">
        <v>0</v>
      </c>
      <c r="GT102">
        <v>28.6191</v>
      </c>
      <c r="GU102">
        <v>999.9</v>
      </c>
      <c r="GV102">
        <v>28.6</v>
      </c>
      <c r="GW102">
        <v>45.7</v>
      </c>
      <c r="GX102">
        <v>28.742899999999999</v>
      </c>
      <c r="GY102">
        <v>61.444000000000003</v>
      </c>
      <c r="GZ102">
        <v>15.648999999999999</v>
      </c>
      <c r="HA102">
        <v>1</v>
      </c>
      <c r="HB102">
        <v>0.16222600000000001</v>
      </c>
      <c r="HC102">
        <v>0.94141600000000003</v>
      </c>
      <c r="HD102">
        <v>20.248100000000001</v>
      </c>
      <c r="HE102">
        <v>5.2107000000000001</v>
      </c>
      <c r="HF102">
        <v>11.9321</v>
      </c>
      <c r="HG102">
        <v>4.9878</v>
      </c>
      <c r="HH102">
        <v>3.2909999999999999</v>
      </c>
      <c r="HI102">
        <v>9999</v>
      </c>
      <c r="HJ102">
        <v>9999</v>
      </c>
      <c r="HK102">
        <v>9999</v>
      </c>
      <c r="HL102">
        <v>999.9</v>
      </c>
      <c r="HM102">
        <v>1.8710800000000001</v>
      </c>
      <c r="HN102">
        <v>1.8771100000000001</v>
      </c>
      <c r="HO102">
        <v>1.87486</v>
      </c>
      <c r="HP102">
        <v>1.8730899999999999</v>
      </c>
      <c r="HQ102">
        <v>1.8736299999999999</v>
      </c>
      <c r="HR102">
        <v>1.87103</v>
      </c>
      <c r="HS102">
        <v>1.87683</v>
      </c>
      <c r="HT102">
        <v>1.87598</v>
      </c>
      <c r="HU102">
        <v>5</v>
      </c>
      <c r="HV102">
        <v>0</v>
      </c>
      <c r="HW102">
        <v>0</v>
      </c>
      <c r="HX102">
        <v>0</v>
      </c>
      <c r="HY102" t="s">
        <v>423</v>
      </c>
      <c r="HZ102" t="s">
        <v>424</v>
      </c>
      <c r="IA102" t="s">
        <v>425</v>
      </c>
      <c r="IB102" t="s">
        <v>425</v>
      </c>
      <c r="IC102" t="s">
        <v>425</v>
      </c>
      <c r="ID102" t="s">
        <v>425</v>
      </c>
      <c r="IE102">
        <v>0</v>
      </c>
      <c r="IF102">
        <v>100</v>
      </c>
      <c r="IG102">
        <v>100</v>
      </c>
      <c r="IH102">
        <v>-2.31</v>
      </c>
      <c r="II102">
        <v>0.44400000000000001</v>
      </c>
      <c r="IJ102">
        <v>-1.7243594379284839</v>
      </c>
      <c r="IK102">
        <v>-2.677719669153116E-3</v>
      </c>
      <c r="IL102">
        <v>1.9353498771248068E-6</v>
      </c>
      <c r="IM102">
        <v>-6.1862177325538213E-10</v>
      </c>
      <c r="IN102">
        <v>-0.17479674602729561</v>
      </c>
      <c r="IO102">
        <v>-1.5299015507423901E-2</v>
      </c>
      <c r="IP102">
        <v>1.742162107778985E-3</v>
      </c>
      <c r="IQ102">
        <v>-1.472690239905804E-5</v>
      </c>
      <c r="IR102">
        <v>3</v>
      </c>
      <c r="IS102">
        <v>2255</v>
      </c>
      <c r="IT102">
        <v>2</v>
      </c>
      <c r="IU102">
        <v>41</v>
      </c>
      <c r="IV102">
        <v>0.6</v>
      </c>
      <c r="IW102">
        <v>0.6</v>
      </c>
      <c r="IX102">
        <v>0.76904300000000003</v>
      </c>
      <c r="IY102">
        <v>2.5439500000000002</v>
      </c>
      <c r="IZ102">
        <v>1.5991200000000001</v>
      </c>
      <c r="JA102">
        <v>2.2644000000000002</v>
      </c>
      <c r="JB102">
        <v>1.5502899999999999</v>
      </c>
      <c r="JC102">
        <v>2.3815900000000001</v>
      </c>
      <c r="JD102">
        <v>49.169199999999996</v>
      </c>
      <c r="JE102">
        <v>23.912400000000002</v>
      </c>
      <c r="JF102">
        <v>18</v>
      </c>
      <c r="JG102">
        <v>506.089</v>
      </c>
      <c r="JH102">
        <v>452.34500000000003</v>
      </c>
      <c r="JI102">
        <v>27.2149</v>
      </c>
      <c r="JJ102">
        <v>29.595400000000001</v>
      </c>
      <c r="JK102">
        <v>29.9999</v>
      </c>
      <c r="JL102">
        <v>29.628299999999999</v>
      </c>
      <c r="JM102">
        <v>29.6023</v>
      </c>
      <c r="JN102">
        <v>15.432</v>
      </c>
      <c r="JO102">
        <v>11.8901</v>
      </c>
      <c r="JP102">
        <v>24.9604</v>
      </c>
      <c r="JQ102">
        <v>27.217099999999999</v>
      </c>
      <c r="JR102">
        <v>300</v>
      </c>
      <c r="JS102">
        <v>24.069400000000002</v>
      </c>
      <c r="JT102">
        <v>99.464399999999998</v>
      </c>
      <c r="JU102">
        <v>98.891800000000003</v>
      </c>
    </row>
    <row r="103" spans="1:281" x14ac:dyDescent="0.25">
      <c r="A103">
        <v>87</v>
      </c>
      <c r="B103">
        <v>1693514985.5999999</v>
      </c>
      <c r="C103">
        <v>21006</v>
      </c>
      <c r="D103" t="s">
        <v>858</v>
      </c>
      <c r="E103" t="s">
        <v>859</v>
      </c>
      <c r="F103" t="s">
        <v>413</v>
      </c>
      <c r="G103" t="s">
        <v>494</v>
      </c>
      <c r="H103" t="s">
        <v>415</v>
      </c>
      <c r="I103" t="s">
        <v>415</v>
      </c>
      <c r="J103">
        <v>1693514985.5999999</v>
      </c>
      <c r="K103">
        <f t="shared" si="92"/>
        <v>4.1347118226740419E-3</v>
      </c>
      <c r="L103">
        <f t="shared" si="93"/>
        <v>4.134711822674042</v>
      </c>
      <c r="M103">
        <f t="shared" si="94"/>
        <v>21.610210208177385</v>
      </c>
      <c r="N103">
        <f t="shared" si="95"/>
        <v>173.203</v>
      </c>
      <c r="O103">
        <f t="shared" si="96"/>
        <v>49.196165325203914</v>
      </c>
      <c r="P103">
        <f t="shared" si="97"/>
        <v>4.8961407619773532</v>
      </c>
      <c r="Q103">
        <f t="shared" si="98"/>
        <v>17.237649780039</v>
      </c>
      <c r="R103">
        <f t="shared" si="99"/>
        <v>0.2985680271359652</v>
      </c>
      <c r="S103">
        <f t="shared" si="100"/>
        <v>2.9176510798916571</v>
      </c>
      <c r="T103">
        <f t="shared" si="101"/>
        <v>0.28257335824625912</v>
      </c>
      <c r="U103">
        <f t="shared" si="102"/>
        <v>0.17797396808947424</v>
      </c>
      <c r="V103">
        <f t="shared" si="103"/>
        <v>344.3681006583372</v>
      </c>
      <c r="W103">
        <f t="shared" si="104"/>
        <v>31.261829444748642</v>
      </c>
      <c r="X103">
        <f t="shared" si="105"/>
        <v>29.929300000000001</v>
      </c>
      <c r="Y103">
        <f t="shared" si="106"/>
        <v>4.2431788843039016</v>
      </c>
      <c r="Z103">
        <f t="shared" si="107"/>
        <v>65.474571965045712</v>
      </c>
      <c r="AA103">
        <f t="shared" si="108"/>
        <v>2.8387389566054999</v>
      </c>
      <c r="AB103">
        <f t="shared" si="109"/>
        <v>4.335635761194423</v>
      </c>
      <c r="AC103">
        <f t="shared" si="110"/>
        <v>1.4044399276984016</v>
      </c>
      <c r="AD103">
        <f t="shared" si="111"/>
        <v>-182.34079137992524</v>
      </c>
      <c r="AE103">
        <f t="shared" si="112"/>
        <v>59.080529725180881</v>
      </c>
      <c r="AF103">
        <f t="shared" si="113"/>
        <v>4.5076865949040252</v>
      </c>
      <c r="AG103">
        <f t="shared" si="114"/>
        <v>225.6155255984969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51949.191372331465</v>
      </c>
      <c r="AM103" t="s">
        <v>417</v>
      </c>
      <c r="AN103">
        <v>10238.9</v>
      </c>
      <c r="AO103">
        <v>302.21199999999999</v>
      </c>
      <c r="AP103">
        <v>4052.3</v>
      </c>
      <c r="AQ103">
        <f t="shared" si="118"/>
        <v>0.92542210596451402</v>
      </c>
      <c r="AR103">
        <v>-0.32343011824092421</v>
      </c>
      <c r="AS103" t="s">
        <v>860</v>
      </c>
      <c r="AT103">
        <v>10463.5</v>
      </c>
      <c r="AU103">
        <v>685.44026923076922</v>
      </c>
      <c r="AV103">
        <v>853.33746241059384</v>
      </c>
      <c r="AW103">
        <f t="shared" si="119"/>
        <v>0.19675357121382164</v>
      </c>
      <c r="AX103">
        <v>0.5</v>
      </c>
      <c r="AY103">
        <f t="shared" si="120"/>
        <v>1513.1766003291684</v>
      </c>
      <c r="AZ103">
        <f t="shared" si="121"/>
        <v>21.610210208177385</v>
      </c>
      <c r="BA103">
        <f t="shared" si="122"/>
        <v>148.86144999597678</v>
      </c>
      <c r="BB103">
        <f t="shared" si="123"/>
        <v>1.4495096158404103E-2</v>
      </c>
      <c r="BC103">
        <f t="shared" si="124"/>
        <v>3.7487660843491555</v>
      </c>
      <c r="BD103">
        <f t="shared" si="125"/>
        <v>236.18152992371958</v>
      </c>
      <c r="BE103" t="s">
        <v>861</v>
      </c>
      <c r="BF103">
        <v>545.29</v>
      </c>
      <c r="BG103">
        <f t="shared" si="126"/>
        <v>545.29</v>
      </c>
      <c r="BH103">
        <f t="shared" si="127"/>
        <v>0.36099137326092579</v>
      </c>
      <c r="BI103">
        <f t="shared" si="128"/>
        <v>0.54503676760055841</v>
      </c>
      <c r="BJ103">
        <f t="shared" si="129"/>
        <v>0.9121623655448392</v>
      </c>
      <c r="BK103">
        <f t="shared" si="130"/>
        <v>0.30464423190583706</v>
      </c>
      <c r="BL103">
        <f t="shared" si="131"/>
        <v>0.8530366587635827</v>
      </c>
      <c r="BM103">
        <f t="shared" si="132"/>
        <v>0.43359445358884835</v>
      </c>
      <c r="BN103">
        <f t="shared" si="133"/>
        <v>0.56640554641115171</v>
      </c>
      <c r="BO103">
        <v>5860</v>
      </c>
      <c r="BP103">
        <v>290.00000000000011</v>
      </c>
      <c r="BQ103">
        <v>806.16</v>
      </c>
      <c r="BR103">
        <v>205</v>
      </c>
      <c r="BS103">
        <v>10463.5</v>
      </c>
      <c r="BT103">
        <v>805.45</v>
      </c>
      <c r="BU103">
        <v>0.71</v>
      </c>
      <c r="BV103">
        <v>300.00000000000011</v>
      </c>
      <c r="BW103">
        <v>38.299999999999997</v>
      </c>
      <c r="BX103">
        <v>853.33746241059384</v>
      </c>
      <c r="BY103">
        <v>1.1380822840223741</v>
      </c>
      <c r="BZ103">
        <v>-50.107993718419372</v>
      </c>
      <c r="CA103">
        <v>0.97469514534573398</v>
      </c>
      <c r="CB103">
        <v>0.98951653942283746</v>
      </c>
      <c r="CC103">
        <v>-1.135802580645163E-2</v>
      </c>
      <c r="CD103">
        <v>289.99999999999989</v>
      </c>
      <c r="CE103">
        <v>803.13</v>
      </c>
      <c r="CF103">
        <v>655</v>
      </c>
      <c r="CG103">
        <v>10436.299999999999</v>
      </c>
      <c r="CH103">
        <v>805.32</v>
      </c>
      <c r="CI103">
        <v>-2.19</v>
      </c>
      <c r="CW103">
        <f t="shared" si="134"/>
        <v>1799.99</v>
      </c>
      <c r="CX103">
        <f t="shared" si="135"/>
        <v>1513.1766003291684</v>
      </c>
      <c r="CY103">
        <f t="shared" si="136"/>
        <v>0.84065833717363347</v>
      </c>
      <c r="CZ103">
        <f t="shared" si="137"/>
        <v>0.19131667434726704</v>
      </c>
      <c r="DA103">
        <v>6</v>
      </c>
      <c r="DB103">
        <v>0.5</v>
      </c>
      <c r="DC103" t="s">
        <v>420</v>
      </c>
      <c r="DD103">
        <v>2</v>
      </c>
      <c r="DE103">
        <v>1693514985.5999999</v>
      </c>
      <c r="DF103">
        <v>173.203</v>
      </c>
      <c r="DG103">
        <v>199.97</v>
      </c>
      <c r="DH103">
        <v>28.523499999999999</v>
      </c>
      <c r="DI103">
        <v>23.707799999999999</v>
      </c>
      <c r="DJ103">
        <v>175.19200000000001</v>
      </c>
      <c r="DK103">
        <v>28.076000000000001</v>
      </c>
      <c r="DL103">
        <v>500.46</v>
      </c>
      <c r="DM103">
        <v>99.422700000000006</v>
      </c>
      <c r="DN103">
        <v>0.10011299999999999</v>
      </c>
      <c r="DO103">
        <v>30.3049</v>
      </c>
      <c r="DP103">
        <v>29.929300000000001</v>
      </c>
      <c r="DQ103">
        <v>999.9</v>
      </c>
      <c r="DR103">
        <v>0</v>
      </c>
      <c r="DS103">
        <v>0</v>
      </c>
      <c r="DT103">
        <v>9990</v>
      </c>
      <c r="DU103">
        <v>0</v>
      </c>
      <c r="DV103">
        <v>1507.37</v>
      </c>
      <c r="DW103">
        <v>-26.7667</v>
      </c>
      <c r="DX103">
        <v>178.28800000000001</v>
      </c>
      <c r="DY103">
        <v>204.82599999999999</v>
      </c>
      <c r="DZ103">
        <v>4.81562</v>
      </c>
      <c r="EA103">
        <v>199.97</v>
      </c>
      <c r="EB103">
        <v>23.707799999999999</v>
      </c>
      <c r="EC103">
        <v>2.83588</v>
      </c>
      <c r="ED103">
        <v>2.3571</v>
      </c>
      <c r="EE103">
        <v>23.0944</v>
      </c>
      <c r="EF103">
        <v>20.071999999999999</v>
      </c>
      <c r="EG103">
        <v>1799.99</v>
      </c>
      <c r="EH103">
        <v>0.97799599999999998</v>
      </c>
      <c r="EI103">
        <v>2.20039E-2</v>
      </c>
      <c r="EJ103">
        <v>0</v>
      </c>
      <c r="EK103">
        <v>685.46299999999997</v>
      </c>
      <c r="EL103">
        <v>4.9995000000000003</v>
      </c>
      <c r="EM103">
        <v>13125.6</v>
      </c>
      <c r="EN103">
        <v>16659.7</v>
      </c>
      <c r="EO103">
        <v>48.311999999999998</v>
      </c>
      <c r="EP103">
        <v>49.5</v>
      </c>
      <c r="EQ103">
        <v>49.186999999999998</v>
      </c>
      <c r="ER103">
        <v>48.875</v>
      </c>
      <c r="ES103">
        <v>49.625</v>
      </c>
      <c r="ET103">
        <v>1755.49</v>
      </c>
      <c r="EU103">
        <v>39.5</v>
      </c>
      <c r="EV103">
        <v>0</v>
      </c>
      <c r="EW103">
        <v>130.4000000953674</v>
      </c>
      <c r="EX103">
        <v>0</v>
      </c>
      <c r="EY103">
        <v>685.44026923076922</v>
      </c>
      <c r="EZ103">
        <v>-1.0352478647423471</v>
      </c>
      <c r="FA103">
        <v>-10.90256444792157</v>
      </c>
      <c r="FB103">
        <v>13131.380769230769</v>
      </c>
      <c r="FC103">
        <v>15</v>
      </c>
      <c r="FD103">
        <v>1693514943.5999999</v>
      </c>
      <c r="FE103" t="s">
        <v>862</v>
      </c>
      <c r="FF103">
        <v>1693514932.0999999</v>
      </c>
      <c r="FG103">
        <v>1693514943.5999999</v>
      </c>
      <c r="FH103">
        <v>98</v>
      </c>
      <c r="FI103">
        <v>0.14799999999999999</v>
      </c>
      <c r="FJ103">
        <v>4.0000000000000001E-3</v>
      </c>
      <c r="FK103">
        <v>-2.0430000000000001</v>
      </c>
      <c r="FL103">
        <v>0.247</v>
      </c>
      <c r="FM103">
        <v>200</v>
      </c>
      <c r="FN103">
        <v>24</v>
      </c>
      <c r="FO103">
        <v>0.16</v>
      </c>
      <c r="FP103">
        <v>0.04</v>
      </c>
      <c r="FQ103">
        <v>21.478316068832179</v>
      </c>
      <c r="FR103">
        <v>0.68027147213015593</v>
      </c>
      <c r="FS103">
        <v>5.7897204397367848E-2</v>
      </c>
      <c r="FT103">
        <v>1</v>
      </c>
      <c r="FU103">
        <v>0.29756808452804467</v>
      </c>
      <c r="FV103">
        <v>3.8554418393838448E-3</v>
      </c>
      <c r="FW103">
        <v>5.8687989423524412E-4</v>
      </c>
      <c r="FX103">
        <v>1</v>
      </c>
      <c r="FY103">
        <v>2</v>
      </c>
      <c r="FZ103">
        <v>2</v>
      </c>
      <c r="GA103" t="s">
        <v>422</v>
      </c>
      <c r="GB103">
        <v>2.9729100000000002</v>
      </c>
      <c r="GC103">
        <v>2.8117200000000002</v>
      </c>
      <c r="GD103">
        <v>4.8666800000000003E-2</v>
      </c>
      <c r="GE103">
        <v>5.4190200000000001E-2</v>
      </c>
      <c r="GF103">
        <v>0.13511100000000001</v>
      </c>
      <c r="GG103">
        <v>0.11836000000000001</v>
      </c>
      <c r="GH103">
        <v>28205.200000000001</v>
      </c>
      <c r="GI103">
        <v>25815.4</v>
      </c>
      <c r="GJ103">
        <v>26640.3</v>
      </c>
      <c r="GK103">
        <v>25742.1</v>
      </c>
      <c r="GL103">
        <v>31322.9</v>
      </c>
      <c r="GM103">
        <v>31945.1</v>
      </c>
      <c r="GN103">
        <v>37718</v>
      </c>
      <c r="GO103">
        <v>38062.800000000003</v>
      </c>
      <c r="GP103">
        <v>1.9943</v>
      </c>
      <c r="GQ103">
        <v>1.9565999999999999</v>
      </c>
      <c r="GR103">
        <v>8.1539200000000006E-2</v>
      </c>
      <c r="GS103">
        <v>0</v>
      </c>
      <c r="GT103">
        <v>28.6008</v>
      </c>
      <c r="GU103">
        <v>999.9</v>
      </c>
      <c r="GV103">
        <v>28.4</v>
      </c>
      <c r="GW103">
        <v>45.6</v>
      </c>
      <c r="GX103">
        <v>28.3978</v>
      </c>
      <c r="GY103">
        <v>61.384</v>
      </c>
      <c r="GZ103">
        <v>15.348599999999999</v>
      </c>
      <c r="HA103">
        <v>1</v>
      </c>
      <c r="HB103">
        <v>0.15759100000000001</v>
      </c>
      <c r="HC103">
        <v>0.52346400000000004</v>
      </c>
      <c r="HD103">
        <v>20.250399999999999</v>
      </c>
      <c r="HE103">
        <v>5.2065099999999997</v>
      </c>
      <c r="HF103">
        <v>11.9321</v>
      </c>
      <c r="HG103">
        <v>4.9875999999999996</v>
      </c>
      <c r="HH103">
        <v>3.2909999999999999</v>
      </c>
      <c r="HI103">
        <v>9999</v>
      </c>
      <c r="HJ103">
        <v>9999</v>
      </c>
      <c r="HK103">
        <v>9999</v>
      </c>
      <c r="HL103">
        <v>999.9</v>
      </c>
      <c r="HM103">
        <v>1.8710899999999999</v>
      </c>
      <c r="HN103">
        <v>1.87714</v>
      </c>
      <c r="HO103">
        <v>1.8748499999999999</v>
      </c>
      <c r="HP103">
        <v>1.87313</v>
      </c>
      <c r="HQ103">
        <v>1.8736299999999999</v>
      </c>
      <c r="HR103">
        <v>1.87103</v>
      </c>
      <c r="HS103">
        <v>1.87683</v>
      </c>
      <c r="HT103">
        <v>1.8760699999999999</v>
      </c>
      <c r="HU103">
        <v>5</v>
      </c>
      <c r="HV103">
        <v>0</v>
      </c>
      <c r="HW103">
        <v>0</v>
      </c>
      <c r="HX103">
        <v>0</v>
      </c>
      <c r="HY103" t="s">
        <v>423</v>
      </c>
      <c r="HZ103" t="s">
        <v>424</v>
      </c>
      <c r="IA103" t="s">
        <v>425</v>
      </c>
      <c r="IB103" t="s">
        <v>425</v>
      </c>
      <c r="IC103" t="s">
        <v>425</v>
      </c>
      <c r="ID103" t="s">
        <v>425</v>
      </c>
      <c r="IE103">
        <v>0</v>
      </c>
      <c r="IF103">
        <v>100</v>
      </c>
      <c r="IG103">
        <v>100</v>
      </c>
      <c r="IH103">
        <v>-1.9890000000000001</v>
      </c>
      <c r="II103">
        <v>0.44750000000000001</v>
      </c>
      <c r="IJ103">
        <v>-1.576283145031262</v>
      </c>
      <c r="IK103">
        <v>-2.677719669153116E-3</v>
      </c>
      <c r="IL103">
        <v>1.9353498771248068E-6</v>
      </c>
      <c r="IM103">
        <v>-6.1862177325538213E-10</v>
      </c>
      <c r="IN103">
        <v>-0.1703726900552941</v>
      </c>
      <c r="IO103">
        <v>-1.5299015507423901E-2</v>
      </c>
      <c r="IP103">
        <v>1.742162107778985E-3</v>
      </c>
      <c r="IQ103">
        <v>-1.472690239905804E-5</v>
      </c>
      <c r="IR103">
        <v>3</v>
      </c>
      <c r="IS103">
        <v>2255</v>
      </c>
      <c r="IT103">
        <v>2</v>
      </c>
      <c r="IU103">
        <v>41</v>
      </c>
      <c r="IV103">
        <v>0.9</v>
      </c>
      <c r="IW103">
        <v>0.7</v>
      </c>
      <c r="IX103">
        <v>0.56640599999999997</v>
      </c>
      <c r="IY103">
        <v>2.5561500000000001</v>
      </c>
      <c r="IZ103">
        <v>1.5991200000000001</v>
      </c>
      <c r="JA103">
        <v>2.2644000000000002</v>
      </c>
      <c r="JB103">
        <v>1.5502899999999999</v>
      </c>
      <c r="JC103">
        <v>2.34985</v>
      </c>
      <c r="JD103">
        <v>49.1066</v>
      </c>
      <c r="JE103">
        <v>23.912400000000002</v>
      </c>
      <c r="JF103">
        <v>18</v>
      </c>
      <c r="JG103">
        <v>506.23399999999998</v>
      </c>
      <c r="JH103">
        <v>451.87400000000002</v>
      </c>
      <c r="JI103">
        <v>27.4269</v>
      </c>
      <c r="JJ103">
        <v>29.5427</v>
      </c>
      <c r="JK103">
        <v>30.0001</v>
      </c>
      <c r="JL103">
        <v>29.569500000000001</v>
      </c>
      <c r="JM103">
        <v>29.541599999999999</v>
      </c>
      <c r="JN103">
        <v>11.3683</v>
      </c>
      <c r="JO103">
        <v>12.998200000000001</v>
      </c>
      <c r="JP103">
        <v>25.097899999999999</v>
      </c>
      <c r="JQ103">
        <v>27.4267</v>
      </c>
      <c r="JR103">
        <v>200</v>
      </c>
      <c r="JS103">
        <v>23.625299999999999</v>
      </c>
      <c r="JT103">
        <v>99.471800000000002</v>
      </c>
      <c r="JU103">
        <v>98.899699999999996</v>
      </c>
    </row>
    <row r="104" spans="1:281" x14ac:dyDescent="0.25">
      <c r="A104">
        <v>88</v>
      </c>
      <c r="B104">
        <v>1693515094.0999999</v>
      </c>
      <c r="C104">
        <v>21114.5</v>
      </c>
      <c r="D104" t="s">
        <v>863</v>
      </c>
      <c r="E104" t="s">
        <v>864</v>
      </c>
      <c r="F104" t="s">
        <v>413</v>
      </c>
      <c r="G104" t="s">
        <v>494</v>
      </c>
      <c r="H104" t="s">
        <v>415</v>
      </c>
      <c r="I104" t="s">
        <v>415</v>
      </c>
      <c r="J104">
        <v>1693515094.0999999</v>
      </c>
      <c r="K104">
        <f t="shared" si="92"/>
        <v>4.4248623897655019E-3</v>
      </c>
      <c r="L104">
        <f t="shared" si="93"/>
        <v>4.4248623897655017</v>
      </c>
      <c r="M104">
        <f t="shared" si="94"/>
        <v>13.87882795124005</v>
      </c>
      <c r="N104">
        <f t="shared" si="95"/>
        <v>102.872</v>
      </c>
      <c r="O104">
        <f t="shared" si="96"/>
        <v>28.750623302757507</v>
      </c>
      <c r="P104">
        <f t="shared" si="97"/>
        <v>2.8614442525409198</v>
      </c>
      <c r="Q104">
        <f t="shared" si="98"/>
        <v>10.238473442736</v>
      </c>
      <c r="R104">
        <f t="shared" si="99"/>
        <v>0.32190939092834675</v>
      </c>
      <c r="S104">
        <f t="shared" si="100"/>
        <v>2.9098037065690914</v>
      </c>
      <c r="T104">
        <f t="shared" si="101"/>
        <v>0.30335251059463192</v>
      </c>
      <c r="U104">
        <f t="shared" si="102"/>
        <v>0.19117337778096793</v>
      </c>
      <c r="V104">
        <f t="shared" si="103"/>
        <v>344.3681006583372</v>
      </c>
      <c r="W104">
        <f t="shared" si="104"/>
        <v>31.325481074518635</v>
      </c>
      <c r="X104">
        <f t="shared" si="105"/>
        <v>30.013000000000002</v>
      </c>
      <c r="Y104">
        <f t="shared" si="106"/>
        <v>4.2636321254055831</v>
      </c>
      <c r="Z104">
        <f t="shared" si="107"/>
        <v>65.537511049877565</v>
      </c>
      <c r="AA104">
        <f t="shared" si="108"/>
        <v>2.8638703759499999</v>
      </c>
      <c r="AB104">
        <f t="shared" si="109"/>
        <v>4.3698186428996983</v>
      </c>
      <c r="AC104">
        <f t="shared" si="110"/>
        <v>1.3997617494555832</v>
      </c>
      <c r="AD104">
        <f t="shared" si="111"/>
        <v>-195.13643138865862</v>
      </c>
      <c r="AE104">
        <f t="shared" si="112"/>
        <v>67.298661756848944</v>
      </c>
      <c r="AF104">
        <f t="shared" si="113"/>
        <v>5.1541839793674358</v>
      </c>
      <c r="AG104">
        <f t="shared" si="114"/>
        <v>221.68451500589492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51702.632547124434</v>
      </c>
      <c r="AM104" t="s">
        <v>417</v>
      </c>
      <c r="AN104">
        <v>10238.9</v>
      </c>
      <c r="AO104">
        <v>302.21199999999999</v>
      </c>
      <c r="AP104">
        <v>4052.3</v>
      </c>
      <c r="AQ104">
        <f t="shared" si="118"/>
        <v>0.92542210596451402</v>
      </c>
      <c r="AR104">
        <v>-0.32343011824092421</v>
      </c>
      <c r="AS104" t="s">
        <v>865</v>
      </c>
      <c r="AT104">
        <v>10454.4</v>
      </c>
      <c r="AU104">
        <v>691.03819230769238</v>
      </c>
      <c r="AV104">
        <v>811.24260494493399</v>
      </c>
      <c r="AW104">
        <f t="shared" si="119"/>
        <v>0.14817319985973976</v>
      </c>
      <c r="AX104">
        <v>0.5</v>
      </c>
      <c r="AY104">
        <f t="shared" si="120"/>
        <v>1513.1766003291684</v>
      </c>
      <c r="AZ104">
        <f t="shared" si="121"/>
        <v>13.87882795124005</v>
      </c>
      <c r="BA104">
        <f t="shared" si="122"/>
        <v>112.10610941182772</v>
      </c>
      <c r="BB104">
        <f t="shared" si="123"/>
        <v>9.3857240895685867E-3</v>
      </c>
      <c r="BC104">
        <f t="shared" si="124"/>
        <v>3.9951765049064014</v>
      </c>
      <c r="BD104">
        <f t="shared" si="125"/>
        <v>232.83760487080019</v>
      </c>
      <c r="BE104" t="s">
        <v>866</v>
      </c>
      <c r="BF104">
        <v>554.54999999999995</v>
      </c>
      <c r="BG104">
        <f t="shared" si="126"/>
        <v>554.54999999999995</v>
      </c>
      <c r="BH104">
        <f t="shared" si="127"/>
        <v>0.31641903837429486</v>
      </c>
      <c r="BI104">
        <f t="shared" si="128"/>
        <v>0.46828155670097305</v>
      </c>
      <c r="BJ104">
        <f t="shared" si="129"/>
        <v>0.9266120777800203</v>
      </c>
      <c r="BK104">
        <f t="shared" si="130"/>
        <v>0.23614378284827314</v>
      </c>
      <c r="BL104">
        <f t="shared" si="131"/>
        <v>0.86426169067367642</v>
      </c>
      <c r="BM104">
        <f t="shared" si="132"/>
        <v>0.37579042686673492</v>
      </c>
      <c r="BN104">
        <f t="shared" si="133"/>
        <v>0.62420957313326508</v>
      </c>
      <c r="BO104">
        <v>5862</v>
      </c>
      <c r="BP104">
        <v>290.00000000000011</v>
      </c>
      <c r="BQ104">
        <v>778.14</v>
      </c>
      <c r="BR104">
        <v>255</v>
      </c>
      <c r="BS104">
        <v>10454.4</v>
      </c>
      <c r="BT104">
        <v>777.67</v>
      </c>
      <c r="BU104">
        <v>0.47</v>
      </c>
      <c r="BV104">
        <v>300.00000000000011</v>
      </c>
      <c r="BW104">
        <v>38.299999999999997</v>
      </c>
      <c r="BX104">
        <v>811.24260494493399</v>
      </c>
      <c r="BY104">
        <v>1.091648919484304</v>
      </c>
      <c r="BZ104">
        <v>-35.095786106017677</v>
      </c>
      <c r="CA104">
        <v>0.93490276042750209</v>
      </c>
      <c r="CB104">
        <v>0.98051786812819419</v>
      </c>
      <c r="CC104">
        <v>-1.1357588876529471E-2</v>
      </c>
      <c r="CD104">
        <v>289.99999999999989</v>
      </c>
      <c r="CE104">
        <v>776.41</v>
      </c>
      <c r="CF104">
        <v>685</v>
      </c>
      <c r="CG104">
        <v>10433</v>
      </c>
      <c r="CH104">
        <v>777.6</v>
      </c>
      <c r="CI104">
        <v>-1.19</v>
      </c>
      <c r="CW104">
        <f t="shared" si="134"/>
        <v>1799.99</v>
      </c>
      <c r="CX104">
        <f t="shared" si="135"/>
        <v>1513.1766003291684</v>
      </c>
      <c r="CY104">
        <f t="shared" si="136"/>
        <v>0.84065833717363347</v>
      </c>
      <c r="CZ104">
        <f t="shared" si="137"/>
        <v>0.19131667434726704</v>
      </c>
      <c r="DA104">
        <v>6</v>
      </c>
      <c r="DB104">
        <v>0.5</v>
      </c>
      <c r="DC104" t="s">
        <v>420</v>
      </c>
      <c r="DD104">
        <v>2</v>
      </c>
      <c r="DE104">
        <v>1693515094.0999999</v>
      </c>
      <c r="DF104">
        <v>102.872</v>
      </c>
      <c r="DG104">
        <v>120.053</v>
      </c>
      <c r="DH104">
        <v>28.774999999999999</v>
      </c>
      <c r="DI104">
        <v>23.623899999999999</v>
      </c>
      <c r="DJ104">
        <v>104.685</v>
      </c>
      <c r="DK104">
        <v>28.322099999999999</v>
      </c>
      <c r="DL104">
        <v>500.577</v>
      </c>
      <c r="DM104">
        <v>99.4255</v>
      </c>
      <c r="DN104">
        <v>0.100838</v>
      </c>
      <c r="DO104">
        <v>30.442</v>
      </c>
      <c r="DP104">
        <v>30.013000000000002</v>
      </c>
      <c r="DQ104">
        <v>999.9</v>
      </c>
      <c r="DR104">
        <v>0</v>
      </c>
      <c r="DS104">
        <v>0</v>
      </c>
      <c r="DT104">
        <v>9945</v>
      </c>
      <c r="DU104">
        <v>0</v>
      </c>
      <c r="DV104">
        <v>1498.29</v>
      </c>
      <c r="DW104">
        <v>-17.180900000000001</v>
      </c>
      <c r="DX104">
        <v>105.92</v>
      </c>
      <c r="DY104">
        <v>122.958</v>
      </c>
      <c r="DZ104">
        <v>5.1511699999999996</v>
      </c>
      <c r="EA104">
        <v>120.053</v>
      </c>
      <c r="EB104">
        <v>23.623899999999999</v>
      </c>
      <c r="EC104">
        <v>2.86097</v>
      </c>
      <c r="ED104">
        <v>2.3488199999999999</v>
      </c>
      <c r="EE104">
        <v>23.240200000000002</v>
      </c>
      <c r="EF104">
        <v>20.0152</v>
      </c>
      <c r="EG104">
        <v>1799.99</v>
      </c>
      <c r="EH104">
        <v>0.97799599999999998</v>
      </c>
      <c r="EI104">
        <v>2.20039E-2</v>
      </c>
      <c r="EJ104">
        <v>0</v>
      </c>
      <c r="EK104">
        <v>690.82899999999995</v>
      </c>
      <c r="EL104">
        <v>4.9995000000000003</v>
      </c>
      <c r="EM104">
        <v>13203.6</v>
      </c>
      <c r="EN104">
        <v>16659.7</v>
      </c>
      <c r="EO104">
        <v>48.375</v>
      </c>
      <c r="EP104">
        <v>49.375</v>
      </c>
      <c r="EQ104">
        <v>49.186999999999998</v>
      </c>
      <c r="ER104">
        <v>48.936999999999998</v>
      </c>
      <c r="ES104">
        <v>49.625</v>
      </c>
      <c r="ET104">
        <v>1755.49</v>
      </c>
      <c r="EU104">
        <v>39.5</v>
      </c>
      <c r="EV104">
        <v>0</v>
      </c>
      <c r="EW104">
        <v>106.4000000953674</v>
      </c>
      <c r="EX104">
        <v>0</v>
      </c>
      <c r="EY104">
        <v>691.03819230769238</v>
      </c>
      <c r="EZ104">
        <v>-1.6729230624826801</v>
      </c>
      <c r="FA104">
        <v>-39.384615192538398</v>
      </c>
      <c r="FB104">
        <v>13210.876923076919</v>
      </c>
      <c r="FC104">
        <v>15</v>
      </c>
      <c r="FD104">
        <v>1693515059.5999999</v>
      </c>
      <c r="FE104" t="s">
        <v>867</v>
      </c>
      <c r="FF104">
        <v>1693515048.5999999</v>
      </c>
      <c r="FG104">
        <v>1693515059.5999999</v>
      </c>
      <c r="FH104">
        <v>99</v>
      </c>
      <c r="FI104">
        <v>2.3E-2</v>
      </c>
      <c r="FJ104">
        <v>-6.0000000000000001E-3</v>
      </c>
      <c r="FK104">
        <v>-1.8520000000000001</v>
      </c>
      <c r="FL104">
        <v>0.217</v>
      </c>
      <c r="FM104">
        <v>120</v>
      </c>
      <c r="FN104">
        <v>23</v>
      </c>
      <c r="FO104">
        <v>0.24</v>
      </c>
      <c r="FP104">
        <v>0.03</v>
      </c>
      <c r="FQ104">
        <v>13.71764654869239</v>
      </c>
      <c r="FR104">
        <v>0.64785350033790901</v>
      </c>
      <c r="FS104">
        <v>6.8521594523883317E-2</v>
      </c>
      <c r="FT104">
        <v>1</v>
      </c>
      <c r="FU104">
        <v>0.3137328581895707</v>
      </c>
      <c r="FV104">
        <v>4.2008334680616898E-2</v>
      </c>
      <c r="FW104">
        <v>3.2857922354093149E-3</v>
      </c>
      <c r="FX104">
        <v>1</v>
      </c>
      <c r="FY104">
        <v>2</v>
      </c>
      <c r="FZ104">
        <v>2</v>
      </c>
      <c r="GA104" t="s">
        <v>422</v>
      </c>
      <c r="GB104">
        <v>2.9732599999999998</v>
      </c>
      <c r="GC104">
        <v>2.8120599999999998</v>
      </c>
      <c r="GD104">
        <v>3.0063099999999999E-2</v>
      </c>
      <c r="GE104">
        <v>3.3865899999999997E-2</v>
      </c>
      <c r="GF104">
        <v>0.13595299999999999</v>
      </c>
      <c r="GG104">
        <v>0.11808200000000001</v>
      </c>
      <c r="GH104">
        <v>28757.1</v>
      </c>
      <c r="GI104">
        <v>26371.9</v>
      </c>
      <c r="GJ104">
        <v>26640.6</v>
      </c>
      <c r="GK104">
        <v>25743.7</v>
      </c>
      <c r="GL104">
        <v>31290</v>
      </c>
      <c r="GM104">
        <v>31955</v>
      </c>
      <c r="GN104">
        <v>37717.9</v>
      </c>
      <c r="GO104">
        <v>38064.5</v>
      </c>
      <c r="GP104">
        <v>1.9952000000000001</v>
      </c>
      <c r="GQ104">
        <v>1.9570000000000001</v>
      </c>
      <c r="GR104">
        <v>8.6158499999999999E-2</v>
      </c>
      <c r="GS104">
        <v>0</v>
      </c>
      <c r="GT104">
        <v>28.609300000000001</v>
      </c>
      <c r="GU104">
        <v>999.9</v>
      </c>
      <c r="GV104">
        <v>28.2</v>
      </c>
      <c r="GW104">
        <v>45.6</v>
      </c>
      <c r="GX104">
        <v>28.195499999999999</v>
      </c>
      <c r="GY104">
        <v>61.433999999999997</v>
      </c>
      <c r="GZ104">
        <v>15.3405</v>
      </c>
      <c r="HA104">
        <v>1</v>
      </c>
      <c r="HB104">
        <v>0.15550800000000001</v>
      </c>
      <c r="HC104">
        <v>1.02674</v>
      </c>
      <c r="HD104">
        <v>20.247499999999999</v>
      </c>
      <c r="HE104">
        <v>5.2100999999999997</v>
      </c>
      <c r="HF104">
        <v>11.9321</v>
      </c>
      <c r="HG104">
        <v>4.9885999999999999</v>
      </c>
      <c r="HH104">
        <v>3.2909999999999999</v>
      </c>
      <c r="HI104">
        <v>9999</v>
      </c>
      <c r="HJ104">
        <v>9999</v>
      </c>
      <c r="HK104">
        <v>9999</v>
      </c>
      <c r="HL104">
        <v>999.9</v>
      </c>
      <c r="HM104">
        <v>1.8710899999999999</v>
      </c>
      <c r="HN104">
        <v>1.87714</v>
      </c>
      <c r="HO104">
        <v>1.8748499999999999</v>
      </c>
      <c r="HP104">
        <v>1.8730899999999999</v>
      </c>
      <c r="HQ104">
        <v>1.8736299999999999</v>
      </c>
      <c r="HR104">
        <v>1.8710500000000001</v>
      </c>
      <c r="HS104">
        <v>1.8768499999999999</v>
      </c>
      <c r="HT104">
        <v>1.8760600000000001</v>
      </c>
      <c r="HU104">
        <v>5</v>
      </c>
      <c r="HV104">
        <v>0</v>
      </c>
      <c r="HW104">
        <v>0</v>
      </c>
      <c r="HX104">
        <v>0</v>
      </c>
      <c r="HY104" t="s">
        <v>423</v>
      </c>
      <c r="HZ104" t="s">
        <v>424</v>
      </c>
      <c r="IA104" t="s">
        <v>425</v>
      </c>
      <c r="IB104" t="s">
        <v>425</v>
      </c>
      <c r="IC104" t="s">
        <v>425</v>
      </c>
      <c r="ID104" t="s">
        <v>425</v>
      </c>
      <c r="IE104">
        <v>0</v>
      </c>
      <c r="IF104">
        <v>100</v>
      </c>
      <c r="IG104">
        <v>100</v>
      </c>
      <c r="IH104">
        <v>-1.8129999999999999</v>
      </c>
      <c r="II104">
        <v>0.45290000000000002</v>
      </c>
      <c r="IJ104">
        <v>-1.553171963169609</v>
      </c>
      <c r="IK104">
        <v>-2.677719669153116E-3</v>
      </c>
      <c r="IL104">
        <v>1.9353498771248068E-6</v>
      </c>
      <c r="IM104">
        <v>-6.1862177325538213E-10</v>
      </c>
      <c r="IN104">
        <v>-0.17667136839850969</v>
      </c>
      <c r="IO104">
        <v>-1.5299015507423901E-2</v>
      </c>
      <c r="IP104">
        <v>1.742162107778985E-3</v>
      </c>
      <c r="IQ104">
        <v>-1.472690239905804E-5</v>
      </c>
      <c r="IR104">
        <v>3</v>
      </c>
      <c r="IS104">
        <v>2255</v>
      </c>
      <c r="IT104">
        <v>2</v>
      </c>
      <c r="IU104">
        <v>41</v>
      </c>
      <c r="IV104">
        <v>0.8</v>
      </c>
      <c r="IW104">
        <v>0.6</v>
      </c>
      <c r="IX104">
        <v>0.39917000000000002</v>
      </c>
      <c r="IY104">
        <v>2.5659200000000002</v>
      </c>
      <c r="IZ104">
        <v>1.5991200000000001</v>
      </c>
      <c r="JA104">
        <v>2.2644000000000002</v>
      </c>
      <c r="JB104">
        <v>1.5502899999999999</v>
      </c>
      <c r="JC104">
        <v>2.35107</v>
      </c>
      <c r="JD104">
        <v>49.043999999999997</v>
      </c>
      <c r="JE104">
        <v>23.912400000000002</v>
      </c>
      <c r="JF104">
        <v>18</v>
      </c>
      <c r="JG104">
        <v>506.45499999999998</v>
      </c>
      <c r="JH104">
        <v>451.78399999999999</v>
      </c>
      <c r="JI104">
        <v>27.282399999999999</v>
      </c>
      <c r="JJ104">
        <v>29.501300000000001</v>
      </c>
      <c r="JK104">
        <v>29.9999</v>
      </c>
      <c r="JL104">
        <v>29.527699999999999</v>
      </c>
      <c r="JM104">
        <v>29.498699999999999</v>
      </c>
      <c r="JN104">
        <v>8.0297599999999996</v>
      </c>
      <c r="JO104">
        <v>12.1647</v>
      </c>
      <c r="JP104">
        <v>25.523199999999999</v>
      </c>
      <c r="JQ104">
        <v>27.2818</v>
      </c>
      <c r="JR104">
        <v>120</v>
      </c>
      <c r="JS104">
        <v>23.553699999999999</v>
      </c>
      <c r="JT104">
        <v>99.472200000000001</v>
      </c>
      <c r="JU104">
        <v>98.904700000000005</v>
      </c>
    </row>
    <row r="105" spans="1:281" x14ac:dyDescent="0.25">
      <c r="A105">
        <v>89</v>
      </c>
      <c r="B105">
        <v>1693515215.5999999</v>
      </c>
      <c r="C105">
        <v>21236</v>
      </c>
      <c r="D105" t="s">
        <v>868</v>
      </c>
      <c r="E105" t="s">
        <v>869</v>
      </c>
      <c r="F105" t="s">
        <v>413</v>
      </c>
      <c r="G105" t="s">
        <v>494</v>
      </c>
      <c r="H105" t="s">
        <v>415</v>
      </c>
      <c r="I105" t="s">
        <v>415</v>
      </c>
      <c r="J105">
        <v>1693515215.5999999</v>
      </c>
      <c r="K105">
        <f t="shared" si="92"/>
        <v>4.9591981904754546E-3</v>
      </c>
      <c r="L105">
        <f t="shared" si="93"/>
        <v>4.9591981904754547</v>
      </c>
      <c r="M105">
        <f t="shared" si="94"/>
        <v>8.8722682685058114</v>
      </c>
      <c r="N105">
        <f t="shared" si="95"/>
        <v>59.079500000000003</v>
      </c>
      <c r="O105">
        <f t="shared" si="96"/>
        <v>16.926303304186863</v>
      </c>
      <c r="P105">
        <f t="shared" si="97"/>
        <v>1.6845152343414367</v>
      </c>
      <c r="Q105">
        <f t="shared" si="98"/>
        <v>5.8796251017585002</v>
      </c>
      <c r="R105">
        <f t="shared" si="99"/>
        <v>0.36426752645917593</v>
      </c>
      <c r="S105">
        <f t="shared" si="100"/>
        <v>2.9149740265135926</v>
      </c>
      <c r="T105">
        <f t="shared" si="101"/>
        <v>0.34073650638437175</v>
      </c>
      <c r="U105">
        <f t="shared" si="102"/>
        <v>0.21494768842790149</v>
      </c>
      <c r="V105">
        <f t="shared" si="103"/>
        <v>344.37570065832256</v>
      </c>
      <c r="W105">
        <f t="shared" si="104"/>
        <v>31.227872984788128</v>
      </c>
      <c r="X105">
        <f t="shared" si="105"/>
        <v>30.026499999999999</v>
      </c>
      <c r="Y105">
        <f t="shared" si="106"/>
        <v>4.2669390690337368</v>
      </c>
      <c r="Z105">
        <f t="shared" si="107"/>
        <v>65.525573329725987</v>
      </c>
      <c r="AA105">
        <f t="shared" si="108"/>
        <v>2.8704218383275002</v>
      </c>
      <c r="AB105">
        <f t="shared" si="109"/>
        <v>4.3806130835108918</v>
      </c>
      <c r="AC105">
        <f t="shared" si="110"/>
        <v>1.3965172307062366</v>
      </c>
      <c r="AD105">
        <f t="shared" si="111"/>
        <v>-218.70064019996755</v>
      </c>
      <c r="AE105">
        <f t="shared" si="112"/>
        <v>72.0699437584001</v>
      </c>
      <c r="AF105">
        <f t="shared" si="113"/>
        <v>5.5113538763796406</v>
      </c>
      <c r="AG105">
        <f t="shared" si="114"/>
        <v>203.25635809313474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51842.133274314372</v>
      </c>
      <c r="AM105" t="s">
        <v>417</v>
      </c>
      <c r="AN105">
        <v>10238.9</v>
      </c>
      <c r="AO105">
        <v>302.21199999999999</v>
      </c>
      <c r="AP105">
        <v>4052.3</v>
      </c>
      <c r="AQ105">
        <f t="shared" si="118"/>
        <v>0.92542210596451402</v>
      </c>
      <c r="AR105">
        <v>-0.32343011824092421</v>
      </c>
      <c r="AS105" t="s">
        <v>870</v>
      </c>
      <c r="AT105">
        <v>10459.5</v>
      </c>
      <c r="AU105">
        <v>695.13838461538455</v>
      </c>
      <c r="AV105">
        <v>781.52776410297167</v>
      </c>
      <c r="AW105">
        <f t="shared" si="119"/>
        <v>0.11053910488611218</v>
      </c>
      <c r="AX105">
        <v>0.5</v>
      </c>
      <c r="AY105">
        <f t="shared" si="120"/>
        <v>1513.2102003291611</v>
      </c>
      <c r="AZ105">
        <f t="shared" si="121"/>
        <v>8.8722682685058114</v>
      </c>
      <c r="BA105">
        <f t="shared" si="122"/>
        <v>83.634450524459979</v>
      </c>
      <c r="BB105">
        <f t="shared" si="123"/>
        <v>6.0769471318303575E-3</v>
      </c>
      <c r="BC105">
        <f t="shared" si="124"/>
        <v>4.1851004994700123</v>
      </c>
      <c r="BD105">
        <f t="shared" si="125"/>
        <v>230.32415140367533</v>
      </c>
      <c r="BE105" t="s">
        <v>871</v>
      </c>
      <c r="BF105">
        <v>563.09</v>
      </c>
      <c r="BG105">
        <f t="shared" si="126"/>
        <v>563.09</v>
      </c>
      <c r="BH105">
        <f t="shared" si="127"/>
        <v>0.27950096482329312</v>
      </c>
      <c r="BI105">
        <f t="shared" si="128"/>
        <v>0.39548738214910101</v>
      </c>
      <c r="BJ105">
        <f t="shared" si="129"/>
        <v>0.93739621172042631</v>
      </c>
      <c r="BK105">
        <f t="shared" si="130"/>
        <v>0.18023479709511087</v>
      </c>
      <c r="BL105">
        <f t="shared" si="131"/>
        <v>0.87218546228702587</v>
      </c>
      <c r="BM105">
        <f t="shared" si="132"/>
        <v>0.3203606575941752</v>
      </c>
      <c r="BN105">
        <f t="shared" si="133"/>
        <v>0.6796393424058248</v>
      </c>
      <c r="BO105">
        <v>5864</v>
      </c>
      <c r="BP105">
        <v>290.00000000000011</v>
      </c>
      <c r="BQ105">
        <v>758.26</v>
      </c>
      <c r="BR105">
        <v>225</v>
      </c>
      <c r="BS105">
        <v>10459.5</v>
      </c>
      <c r="BT105">
        <v>758.73</v>
      </c>
      <c r="BU105">
        <v>-0.47</v>
      </c>
      <c r="BV105">
        <v>300.00000000000011</v>
      </c>
      <c r="BW105">
        <v>38.299999999999997</v>
      </c>
      <c r="BX105">
        <v>781.52776410297167</v>
      </c>
      <c r="BY105">
        <v>1.1497246584094569</v>
      </c>
      <c r="BZ105">
        <v>-23.84723769888711</v>
      </c>
      <c r="CA105">
        <v>0.98464589625957355</v>
      </c>
      <c r="CB105">
        <v>0.95443930539209887</v>
      </c>
      <c r="CC105">
        <v>-1.135748008898778E-2</v>
      </c>
      <c r="CD105">
        <v>289.99999999999989</v>
      </c>
      <c r="CE105">
        <v>757.88</v>
      </c>
      <c r="CF105">
        <v>705</v>
      </c>
      <c r="CG105">
        <v>10431.200000000001</v>
      </c>
      <c r="CH105">
        <v>758.67</v>
      </c>
      <c r="CI105">
        <v>-0.79</v>
      </c>
      <c r="CW105">
        <f t="shared" si="134"/>
        <v>1800.03</v>
      </c>
      <c r="CX105">
        <f t="shared" si="135"/>
        <v>1513.2102003291611</v>
      </c>
      <c r="CY105">
        <f t="shared" si="136"/>
        <v>0.84065832254415829</v>
      </c>
      <c r="CZ105">
        <f t="shared" si="137"/>
        <v>0.19131664508831661</v>
      </c>
      <c r="DA105">
        <v>6</v>
      </c>
      <c r="DB105">
        <v>0.5</v>
      </c>
      <c r="DC105" t="s">
        <v>420</v>
      </c>
      <c r="DD105">
        <v>2</v>
      </c>
      <c r="DE105">
        <v>1693515215.5999999</v>
      </c>
      <c r="DF105">
        <v>59.079500000000003</v>
      </c>
      <c r="DG105">
        <v>70.074200000000005</v>
      </c>
      <c r="DH105">
        <v>28.842500000000001</v>
      </c>
      <c r="DI105">
        <v>23.065000000000001</v>
      </c>
      <c r="DJ105">
        <v>60.861699999999999</v>
      </c>
      <c r="DK105">
        <v>28.3874</v>
      </c>
      <c r="DL105">
        <v>500.16399999999999</v>
      </c>
      <c r="DM105">
        <v>99.42</v>
      </c>
      <c r="DN105">
        <v>0.100563</v>
      </c>
      <c r="DO105">
        <v>30.485099999999999</v>
      </c>
      <c r="DP105">
        <v>30.026499999999999</v>
      </c>
      <c r="DQ105">
        <v>999.9</v>
      </c>
      <c r="DR105">
        <v>0</v>
      </c>
      <c r="DS105">
        <v>0</v>
      </c>
      <c r="DT105">
        <v>9975</v>
      </c>
      <c r="DU105">
        <v>0</v>
      </c>
      <c r="DV105">
        <v>1488.69</v>
      </c>
      <c r="DW105">
        <v>-10.9947</v>
      </c>
      <c r="DX105">
        <v>60.834099999999999</v>
      </c>
      <c r="DY105">
        <v>71.7286</v>
      </c>
      <c r="DZ105">
        <v>5.7774400000000004</v>
      </c>
      <c r="EA105">
        <v>70.074200000000005</v>
      </c>
      <c r="EB105">
        <v>23.065000000000001</v>
      </c>
      <c r="EC105">
        <v>2.8675199999999998</v>
      </c>
      <c r="ED105">
        <v>2.29312</v>
      </c>
      <c r="EE105">
        <v>23.277999999999999</v>
      </c>
      <c r="EF105">
        <v>19.6282</v>
      </c>
      <c r="EG105">
        <v>1800.03</v>
      </c>
      <c r="EH105">
        <v>0.97799599999999998</v>
      </c>
      <c r="EI105">
        <v>2.20039E-2</v>
      </c>
      <c r="EJ105">
        <v>0</v>
      </c>
      <c r="EK105">
        <v>694.54600000000005</v>
      </c>
      <c r="EL105">
        <v>4.9995000000000003</v>
      </c>
      <c r="EM105">
        <v>13273.5</v>
      </c>
      <c r="EN105">
        <v>16660</v>
      </c>
      <c r="EO105">
        <v>48.375</v>
      </c>
      <c r="EP105">
        <v>49.311999999999998</v>
      </c>
      <c r="EQ105">
        <v>49.186999999999998</v>
      </c>
      <c r="ER105">
        <v>48.875</v>
      </c>
      <c r="ES105">
        <v>49.625</v>
      </c>
      <c r="ET105">
        <v>1755.53</v>
      </c>
      <c r="EU105">
        <v>39.5</v>
      </c>
      <c r="EV105">
        <v>0</v>
      </c>
      <c r="EW105">
        <v>119.5999999046326</v>
      </c>
      <c r="EX105">
        <v>0</v>
      </c>
      <c r="EY105">
        <v>695.13838461538455</v>
      </c>
      <c r="EZ105">
        <v>-0.82694015179490754</v>
      </c>
      <c r="FA105">
        <v>-29.463247747314369</v>
      </c>
      <c r="FB105">
        <v>13275.06923076923</v>
      </c>
      <c r="FC105">
        <v>15</v>
      </c>
      <c r="FD105">
        <v>1693515184.5999999</v>
      </c>
      <c r="FE105" t="s">
        <v>872</v>
      </c>
      <c r="FF105">
        <v>1693515178.5999999</v>
      </c>
      <c r="FG105">
        <v>1693515184.5999999</v>
      </c>
      <c r="FH105">
        <v>100</v>
      </c>
      <c r="FI105">
        <v>-7.2999999999999995E-2</v>
      </c>
      <c r="FJ105">
        <v>-1E-3</v>
      </c>
      <c r="FK105">
        <v>-1.8089999999999999</v>
      </c>
      <c r="FL105">
        <v>0.20699999999999999</v>
      </c>
      <c r="FM105">
        <v>70</v>
      </c>
      <c r="FN105">
        <v>23</v>
      </c>
      <c r="FO105">
        <v>0.36</v>
      </c>
      <c r="FP105">
        <v>0.03</v>
      </c>
      <c r="FQ105">
        <v>8.8018137928094848</v>
      </c>
      <c r="FR105">
        <v>0.19274329332329779</v>
      </c>
      <c r="FS105">
        <v>4.7355252268647542E-2</v>
      </c>
      <c r="FT105">
        <v>1</v>
      </c>
      <c r="FU105">
        <v>0.35783990970609042</v>
      </c>
      <c r="FV105">
        <v>4.7287621747452102E-2</v>
      </c>
      <c r="FW105">
        <v>3.5775809682556349E-3</v>
      </c>
      <c r="FX105">
        <v>1</v>
      </c>
      <c r="FY105">
        <v>2</v>
      </c>
      <c r="FZ105">
        <v>2</v>
      </c>
      <c r="GA105" t="s">
        <v>422</v>
      </c>
      <c r="GB105">
        <v>2.9721899999999999</v>
      </c>
      <c r="GC105">
        <v>2.8120400000000001</v>
      </c>
      <c r="GD105">
        <v>1.7716900000000001E-2</v>
      </c>
      <c r="GE105">
        <v>2.0107900000000001E-2</v>
      </c>
      <c r="GF105">
        <v>0.13617599999999999</v>
      </c>
      <c r="GG105">
        <v>0.11612599999999999</v>
      </c>
      <c r="GH105">
        <v>29124.3</v>
      </c>
      <c r="GI105">
        <v>26750.2</v>
      </c>
      <c r="GJ105">
        <v>26641.599999999999</v>
      </c>
      <c r="GK105">
        <v>25746.2</v>
      </c>
      <c r="GL105">
        <v>31281.9</v>
      </c>
      <c r="GM105">
        <v>32027.3</v>
      </c>
      <c r="GN105">
        <v>37719.5</v>
      </c>
      <c r="GO105">
        <v>38067.300000000003</v>
      </c>
      <c r="GP105">
        <v>1.9950000000000001</v>
      </c>
      <c r="GQ105">
        <v>1.9567000000000001</v>
      </c>
      <c r="GR105">
        <v>8.5637000000000005E-2</v>
      </c>
      <c r="GS105">
        <v>0</v>
      </c>
      <c r="GT105">
        <v>28.631399999999999</v>
      </c>
      <c r="GU105">
        <v>999.9</v>
      </c>
      <c r="GV105">
        <v>28.1</v>
      </c>
      <c r="GW105">
        <v>45.6</v>
      </c>
      <c r="GX105">
        <v>28.098199999999999</v>
      </c>
      <c r="GY105">
        <v>61.274000000000001</v>
      </c>
      <c r="GZ105">
        <v>14.863799999999999</v>
      </c>
      <c r="HA105">
        <v>1</v>
      </c>
      <c r="HB105">
        <v>0.153445</v>
      </c>
      <c r="HC105">
        <v>0.78313699999999997</v>
      </c>
      <c r="HD105">
        <v>20.249300000000002</v>
      </c>
      <c r="HE105">
        <v>5.2053099999999999</v>
      </c>
      <c r="HF105">
        <v>11.9321</v>
      </c>
      <c r="HG105">
        <v>4.9885999999999999</v>
      </c>
      <c r="HH105">
        <v>3.2909999999999999</v>
      </c>
      <c r="HI105">
        <v>9999</v>
      </c>
      <c r="HJ105">
        <v>9999</v>
      </c>
      <c r="HK105">
        <v>9999</v>
      </c>
      <c r="HL105">
        <v>999.9</v>
      </c>
      <c r="HM105">
        <v>1.8710599999999999</v>
      </c>
      <c r="HN105">
        <v>1.8770899999999999</v>
      </c>
      <c r="HO105">
        <v>1.8748499999999999</v>
      </c>
      <c r="HP105">
        <v>1.8730899999999999</v>
      </c>
      <c r="HQ105">
        <v>1.8736299999999999</v>
      </c>
      <c r="HR105">
        <v>1.87103</v>
      </c>
      <c r="HS105">
        <v>1.87683</v>
      </c>
      <c r="HT105">
        <v>1.8760399999999999</v>
      </c>
      <c r="HU105">
        <v>5</v>
      </c>
      <c r="HV105">
        <v>0</v>
      </c>
      <c r="HW105">
        <v>0</v>
      </c>
      <c r="HX105">
        <v>0</v>
      </c>
      <c r="HY105" t="s">
        <v>423</v>
      </c>
      <c r="HZ105" t="s">
        <v>424</v>
      </c>
      <c r="IA105" t="s">
        <v>425</v>
      </c>
      <c r="IB105" t="s">
        <v>425</v>
      </c>
      <c r="IC105" t="s">
        <v>425</v>
      </c>
      <c r="ID105" t="s">
        <v>425</v>
      </c>
      <c r="IE105">
        <v>0</v>
      </c>
      <c r="IF105">
        <v>100</v>
      </c>
      <c r="IG105">
        <v>100</v>
      </c>
      <c r="IH105">
        <v>-1.782</v>
      </c>
      <c r="II105">
        <v>0.4551</v>
      </c>
      <c r="IJ105">
        <v>-1.6262969642326639</v>
      </c>
      <c r="IK105">
        <v>-2.677719669153116E-3</v>
      </c>
      <c r="IL105">
        <v>1.9353498771248068E-6</v>
      </c>
      <c r="IM105">
        <v>-6.1862177325538213E-10</v>
      </c>
      <c r="IN105">
        <v>-0.17767069467326371</v>
      </c>
      <c r="IO105">
        <v>-1.5299015507423901E-2</v>
      </c>
      <c r="IP105">
        <v>1.742162107778985E-3</v>
      </c>
      <c r="IQ105">
        <v>-1.472690239905804E-5</v>
      </c>
      <c r="IR105">
        <v>3</v>
      </c>
      <c r="IS105">
        <v>2255</v>
      </c>
      <c r="IT105">
        <v>2</v>
      </c>
      <c r="IU105">
        <v>41</v>
      </c>
      <c r="IV105">
        <v>0.6</v>
      </c>
      <c r="IW105">
        <v>0.5</v>
      </c>
      <c r="IX105">
        <v>0.29418899999999998</v>
      </c>
      <c r="IY105">
        <v>2.5769000000000002</v>
      </c>
      <c r="IZ105">
        <v>1.5991200000000001</v>
      </c>
      <c r="JA105">
        <v>2.2644000000000002</v>
      </c>
      <c r="JB105">
        <v>1.5502899999999999</v>
      </c>
      <c r="JC105">
        <v>2.4194300000000002</v>
      </c>
      <c r="JD105">
        <v>48.981499999999997</v>
      </c>
      <c r="JE105">
        <v>23.921099999999999</v>
      </c>
      <c r="JF105">
        <v>18</v>
      </c>
      <c r="JG105">
        <v>506.01900000000001</v>
      </c>
      <c r="JH105">
        <v>451.30900000000003</v>
      </c>
      <c r="JI105">
        <v>27.493099999999998</v>
      </c>
      <c r="JJ105">
        <v>29.473400000000002</v>
      </c>
      <c r="JK105">
        <v>30.0002</v>
      </c>
      <c r="JL105">
        <v>29.491199999999999</v>
      </c>
      <c r="JM105">
        <v>29.460899999999999</v>
      </c>
      <c r="JN105">
        <v>5.9355900000000004</v>
      </c>
      <c r="JO105">
        <v>15.288</v>
      </c>
      <c r="JP105">
        <v>25.734300000000001</v>
      </c>
      <c r="JQ105">
        <v>27.499300000000002</v>
      </c>
      <c r="JR105">
        <v>70</v>
      </c>
      <c r="JS105">
        <v>22.8764</v>
      </c>
      <c r="JT105">
        <v>99.476200000000006</v>
      </c>
      <c r="JU105">
        <v>98.9131</v>
      </c>
    </row>
    <row r="106" spans="1:281" x14ac:dyDescent="0.25">
      <c r="A106">
        <v>90</v>
      </c>
      <c r="B106">
        <v>1693515334.0999999</v>
      </c>
      <c r="C106">
        <v>21354.5</v>
      </c>
      <c r="D106" t="s">
        <v>873</v>
      </c>
      <c r="E106" t="s">
        <v>874</v>
      </c>
      <c r="F106" t="s">
        <v>413</v>
      </c>
      <c r="G106" t="s">
        <v>494</v>
      </c>
      <c r="H106" t="s">
        <v>415</v>
      </c>
      <c r="I106" t="s">
        <v>415</v>
      </c>
      <c r="J106">
        <v>1693515334.0999999</v>
      </c>
      <c r="K106">
        <f t="shared" si="92"/>
        <v>5.276474789924622E-3</v>
      </c>
      <c r="L106">
        <f t="shared" si="93"/>
        <v>5.276474789924622</v>
      </c>
      <c r="M106">
        <f t="shared" si="94"/>
        <v>4.1234505749300361</v>
      </c>
      <c r="N106">
        <f t="shared" si="95"/>
        <v>24.9436</v>
      </c>
      <c r="O106">
        <f t="shared" si="96"/>
        <v>6.716912447708304</v>
      </c>
      <c r="P106">
        <f t="shared" si="97"/>
        <v>0.66847034554037532</v>
      </c>
      <c r="Q106">
        <f t="shared" si="98"/>
        <v>2.48239902497312</v>
      </c>
      <c r="R106">
        <f t="shared" si="99"/>
        <v>0.39279639689502482</v>
      </c>
      <c r="S106">
        <f t="shared" si="100"/>
        <v>2.9228687083661531</v>
      </c>
      <c r="T106">
        <f t="shared" si="101"/>
        <v>0.36565090773240894</v>
      </c>
      <c r="U106">
        <f t="shared" si="102"/>
        <v>0.23081421189360835</v>
      </c>
      <c r="V106">
        <f t="shared" si="103"/>
        <v>344.37950065831524</v>
      </c>
      <c r="W106">
        <f t="shared" si="104"/>
        <v>31.161235104521996</v>
      </c>
      <c r="X106">
        <f t="shared" si="105"/>
        <v>30.0093</v>
      </c>
      <c r="Y106">
        <f t="shared" si="106"/>
        <v>4.262726167958145</v>
      </c>
      <c r="Z106">
        <f t="shared" si="107"/>
        <v>65.635065182790768</v>
      </c>
      <c r="AA106">
        <f t="shared" si="108"/>
        <v>2.8781322584640003</v>
      </c>
      <c r="AB106">
        <f t="shared" si="109"/>
        <v>4.3850527922057037</v>
      </c>
      <c r="AC106">
        <f t="shared" si="110"/>
        <v>1.3845939094941446</v>
      </c>
      <c r="AD106">
        <f t="shared" si="111"/>
        <v>-232.69253823567584</v>
      </c>
      <c r="AE106">
        <f t="shared" si="112"/>
        <v>77.76459386698285</v>
      </c>
      <c r="AF106">
        <f t="shared" si="113"/>
        <v>5.9307895994557649</v>
      </c>
      <c r="AG106">
        <f t="shared" si="114"/>
        <v>195.38234588907801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52063.824566963289</v>
      </c>
      <c r="AM106" t="s">
        <v>417</v>
      </c>
      <c r="AN106">
        <v>10238.9</v>
      </c>
      <c r="AO106">
        <v>302.21199999999999</v>
      </c>
      <c r="AP106">
        <v>4052.3</v>
      </c>
      <c r="AQ106">
        <f t="shared" si="118"/>
        <v>0.92542210596451402</v>
      </c>
      <c r="AR106">
        <v>-0.32343011824092421</v>
      </c>
      <c r="AS106" t="s">
        <v>875</v>
      </c>
      <c r="AT106">
        <v>10459.5</v>
      </c>
      <c r="AU106">
        <v>699.68564000000015</v>
      </c>
      <c r="AV106">
        <v>759.46657557387891</v>
      </c>
      <c r="AW106">
        <f t="shared" si="119"/>
        <v>7.8714373346458699E-2</v>
      </c>
      <c r="AX106">
        <v>0.5</v>
      </c>
      <c r="AY106">
        <f t="shared" si="120"/>
        <v>1513.2270003291576</v>
      </c>
      <c r="AZ106">
        <f t="shared" si="121"/>
        <v>4.1234505749300361</v>
      </c>
      <c r="BA106">
        <f t="shared" si="122"/>
        <v>59.556357530925546</v>
      </c>
      <c r="BB106">
        <f t="shared" si="123"/>
        <v>2.9386739016708484E-3</v>
      </c>
      <c r="BC106">
        <f t="shared" si="124"/>
        <v>4.3357186877354597</v>
      </c>
      <c r="BD106">
        <f t="shared" si="125"/>
        <v>228.36912468658795</v>
      </c>
      <c r="BE106" t="s">
        <v>876</v>
      </c>
      <c r="BF106">
        <v>579.15</v>
      </c>
      <c r="BG106">
        <f t="shared" si="126"/>
        <v>579.15</v>
      </c>
      <c r="BH106">
        <f t="shared" si="127"/>
        <v>0.23742529477037955</v>
      </c>
      <c r="BI106">
        <f t="shared" si="128"/>
        <v>0.33153322362971255</v>
      </c>
      <c r="BJ106">
        <f t="shared" si="129"/>
        <v>0.94808269853767368</v>
      </c>
      <c r="BK106">
        <f t="shared" si="130"/>
        <v>0.1307388460768282</v>
      </c>
      <c r="BL106">
        <f t="shared" si="131"/>
        <v>0.87806830784400824</v>
      </c>
      <c r="BM106">
        <f t="shared" si="132"/>
        <v>0.27441961859492781</v>
      </c>
      <c r="BN106">
        <f t="shared" si="133"/>
        <v>0.72558038140507219</v>
      </c>
      <c r="BO106">
        <v>5866</v>
      </c>
      <c r="BP106">
        <v>290.00000000000011</v>
      </c>
      <c r="BQ106">
        <v>745.15</v>
      </c>
      <c r="BR106">
        <v>225</v>
      </c>
      <c r="BS106">
        <v>10459.5</v>
      </c>
      <c r="BT106">
        <v>744.51</v>
      </c>
      <c r="BU106">
        <v>0.64</v>
      </c>
      <c r="BV106">
        <v>300.00000000000011</v>
      </c>
      <c r="BW106">
        <v>38.299999999999997</v>
      </c>
      <c r="BX106">
        <v>759.46657557387891</v>
      </c>
      <c r="BY106">
        <v>0.94045596708391799</v>
      </c>
      <c r="BZ106">
        <v>-15.639141693986771</v>
      </c>
      <c r="CA106">
        <v>0.80541746675435977</v>
      </c>
      <c r="CB106">
        <v>0.93087047902642706</v>
      </c>
      <c r="CC106">
        <v>-1.1357420912124589E-2</v>
      </c>
      <c r="CD106">
        <v>289.99999999999989</v>
      </c>
      <c r="CE106">
        <v>743.36</v>
      </c>
      <c r="CF106">
        <v>625</v>
      </c>
      <c r="CG106">
        <v>10439.4</v>
      </c>
      <c r="CH106">
        <v>744.49</v>
      </c>
      <c r="CI106">
        <v>-1.1299999999999999</v>
      </c>
      <c r="CW106">
        <f t="shared" si="134"/>
        <v>1800.05</v>
      </c>
      <c r="CX106">
        <f t="shared" si="135"/>
        <v>1513.2270003291576</v>
      </c>
      <c r="CY106">
        <f t="shared" si="136"/>
        <v>0.8406583152296645</v>
      </c>
      <c r="CZ106">
        <f t="shared" si="137"/>
        <v>0.19131663045932903</v>
      </c>
      <c r="DA106">
        <v>6</v>
      </c>
      <c r="DB106">
        <v>0.5</v>
      </c>
      <c r="DC106" t="s">
        <v>420</v>
      </c>
      <c r="DD106">
        <v>2</v>
      </c>
      <c r="DE106">
        <v>1693515334.0999999</v>
      </c>
      <c r="DF106">
        <v>24.9436</v>
      </c>
      <c r="DG106">
        <v>30.049299999999999</v>
      </c>
      <c r="DH106">
        <v>28.92</v>
      </c>
      <c r="DI106">
        <v>22.771799999999999</v>
      </c>
      <c r="DJ106">
        <v>26.7136</v>
      </c>
      <c r="DK106">
        <v>28.461500000000001</v>
      </c>
      <c r="DL106">
        <v>500.03699999999998</v>
      </c>
      <c r="DM106">
        <v>99.4208</v>
      </c>
      <c r="DN106">
        <v>9.9679199999999996E-2</v>
      </c>
      <c r="DO106">
        <v>30.502800000000001</v>
      </c>
      <c r="DP106">
        <v>30.0093</v>
      </c>
      <c r="DQ106">
        <v>999.9</v>
      </c>
      <c r="DR106">
        <v>0</v>
      </c>
      <c r="DS106">
        <v>0</v>
      </c>
      <c r="DT106">
        <v>10020</v>
      </c>
      <c r="DU106">
        <v>0</v>
      </c>
      <c r="DV106">
        <v>1476.52</v>
      </c>
      <c r="DW106">
        <v>-5.1057399999999999</v>
      </c>
      <c r="DX106">
        <v>25.686399999999999</v>
      </c>
      <c r="DY106">
        <v>30.749500000000001</v>
      </c>
      <c r="DZ106">
        <v>6.1482200000000002</v>
      </c>
      <c r="EA106">
        <v>30.049299999999999</v>
      </c>
      <c r="EB106">
        <v>22.771799999999999</v>
      </c>
      <c r="EC106">
        <v>2.8752499999999999</v>
      </c>
      <c r="ED106">
        <v>2.2639900000000002</v>
      </c>
      <c r="EE106">
        <v>23.322600000000001</v>
      </c>
      <c r="EF106">
        <v>19.4224</v>
      </c>
      <c r="EG106">
        <v>1800.05</v>
      </c>
      <c r="EH106">
        <v>0.97799599999999998</v>
      </c>
      <c r="EI106">
        <v>2.2003999999999999E-2</v>
      </c>
      <c r="EJ106">
        <v>0</v>
      </c>
      <c r="EK106">
        <v>699.53599999999994</v>
      </c>
      <c r="EL106">
        <v>4.9995000000000003</v>
      </c>
      <c r="EM106">
        <v>13337.1</v>
      </c>
      <c r="EN106">
        <v>16660.2</v>
      </c>
      <c r="EO106">
        <v>48.375</v>
      </c>
      <c r="EP106">
        <v>49.311999999999998</v>
      </c>
      <c r="EQ106">
        <v>49.186999999999998</v>
      </c>
      <c r="ER106">
        <v>48.936999999999998</v>
      </c>
      <c r="ES106">
        <v>49.625</v>
      </c>
      <c r="ET106">
        <v>1755.55</v>
      </c>
      <c r="EU106">
        <v>39.5</v>
      </c>
      <c r="EV106">
        <v>0</v>
      </c>
      <c r="EW106">
        <v>116.5999999046326</v>
      </c>
      <c r="EX106">
        <v>0</v>
      </c>
      <c r="EY106">
        <v>699.68564000000015</v>
      </c>
      <c r="EZ106">
        <v>-1.1674615269545809</v>
      </c>
      <c r="FA106">
        <v>-64.869231078770937</v>
      </c>
      <c r="FB106">
        <v>13342.744000000001</v>
      </c>
      <c r="FC106">
        <v>15</v>
      </c>
      <c r="FD106">
        <v>1693515303.0999999</v>
      </c>
      <c r="FE106" t="s">
        <v>877</v>
      </c>
      <c r="FF106">
        <v>1693515294.0999999</v>
      </c>
      <c r="FG106">
        <v>1693515303.0999999</v>
      </c>
      <c r="FH106">
        <v>101</v>
      </c>
      <c r="FI106">
        <v>-7.3999999999999996E-2</v>
      </c>
      <c r="FJ106">
        <v>0</v>
      </c>
      <c r="FK106">
        <v>-1.7829999999999999</v>
      </c>
      <c r="FL106">
        <v>0.19400000000000001</v>
      </c>
      <c r="FM106">
        <v>30</v>
      </c>
      <c r="FN106">
        <v>23</v>
      </c>
      <c r="FO106">
        <v>0.82</v>
      </c>
      <c r="FP106">
        <v>0.04</v>
      </c>
      <c r="FQ106">
        <v>4.094071913787876</v>
      </c>
      <c r="FR106">
        <v>0.14421972469291891</v>
      </c>
      <c r="FS106">
        <v>5.7251687282650433E-2</v>
      </c>
      <c r="FT106">
        <v>1</v>
      </c>
      <c r="FU106">
        <v>0.38650914990058871</v>
      </c>
      <c r="FV106">
        <v>4.4922747111779023E-2</v>
      </c>
      <c r="FW106">
        <v>3.81692948961181E-3</v>
      </c>
      <c r="FX106">
        <v>1</v>
      </c>
      <c r="FY106">
        <v>2</v>
      </c>
      <c r="FZ106">
        <v>2</v>
      </c>
      <c r="GA106" t="s">
        <v>422</v>
      </c>
      <c r="GB106">
        <v>2.9718599999999999</v>
      </c>
      <c r="GC106">
        <v>2.81155</v>
      </c>
      <c r="GD106">
        <v>7.8148599999999999E-3</v>
      </c>
      <c r="GE106">
        <v>8.6780299999999998E-3</v>
      </c>
      <c r="GF106">
        <v>0.13642699999999999</v>
      </c>
      <c r="GG106">
        <v>0.115094</v>
      </c>
      <c r="GH106">
        <v>29418.3</v>
      </c>
      <c r="GI106">
        <v>27062.400000000001</v>
      </c>
      <c r="GJ106">
        <v>26642</v>
      </c>
      <c r="GK106">
        <v>25746.6</v>
      </c>
      <c r="GL106">
        <v>31272</v>
      </c>
      <c r="GM106">
        <v>32064.7</v>
      </c>
      <c r="GN106">
        <v>37719.599999999999</v>
      </c>
      <c r="GO106">
        <v>38068.300000000003</v>
      </c>
      <c r="GP106">
        <v>1.9964</v>
      </c>
      <c r="GQ106">
        <v>1.9569000000000001</v>
      </c>
      <c r="GR106">
        <v>8.1270899999999993E-2</v>
      </c>
      <c r="GS106">
        <v>0</v>
      </c>
      <c r="GT106">
        <v>28.685400000000001</v>
      </c>
      <c r="GU106">
        <v>999.9</v>
      </c>
      <c r="GV106">
        <v>27.8</v>
      </c>
      <c r="GW106">
        <v>45.6</v>
      </c>
      <c r="GX106">
        <v>27.796199999999999</v>
      </c>
      <c r="GY106">
        <v>61.433999999999997</v>
      </c>
      <c r="GZ106">
        <v>14.988</v>
      </c>
      <c r="HA106">
        <v>1</v>
      </c>
      <c r="HB106">
        <v>0.153943</v>
      </c>
      <c r="HC106">
        <v>0.90387799999999996</v>
      </c>
      <c r="HD106">
        <v>20.2484</v>
      </c>
      <c r="HE106">
        <v>5.2100999999999997</v>
      </c>
      <c r="HF106">
        <v>11.9321</v>
      </c>
      <c r="HG106">
        <v>4.9880000000000004</v>
      </c>
      <c r="HH106">
        <v>3.2909999999999999</v>
      </c>
      <c r="HI106">
        <v>9999</v>
      </c>
      <c r="HJ106">
        <v>9999</v>
      </c>
      <c r="HK106">
        <v>9999</v>
      </c>
      <c r="HL106">
        <v>999.9</v>
      </c>
      <c r="HM106">
        <v>1.87114</v>
      </c>
      <c r="HN106">
        <v>1.8771199999999999</v>
      </c>
      <c r="HO106">
        <v>1.87486</v>
      </c>
      <c r="HP106">
        <v>1.8730599999999999</v>
      </c>
      <c r="HQ106">
        <v>1.8736299999999999</v>
      </c>
      <c r="HR106">
        <v>1.87103</v>
      </c>
      <c r="HS106">
        <v>1.87683</v>
      </c>
      <c r="HT106">
        <v>1.8760600000000001</v>
      </c>
      <c r="HU106">
        <v>5</v>
      </c>
      <c r="HV106">
        <v>0</v>
      </c>
      <c r="HW106">
        <v>0</v>
      </c>
      <c r="HX106">
        <v>0</v>
      </c>
      <c r="HY106" t="s">
        <v>423</v>
      </c>
      <c r="HZ106" t="s">
        <v>424</v>
      </c>
      <c r="IA106" t="s">
        <v>425</v>
      </c>
      <c r="IB106" t="s">
        <v>425</v>
      </c>
      <c r="IC106" t="s">
        <v>425</v>
      </c>
      <c r="ID106" t="s">
        <v>425</v>
      </c>
      <c r="IE106">
        <v>0</v>
      </c>
      <c r="IF106">
        <v>100</v>
      </c>
      <c r="IG106">
        <v>100</v>
      </c>
      <c r="IH106">
        <v>-1.77</v>
      </c>
      <c r="II106">
        <v>0.45850000000000002</v>
      </c>
      <c r="IJ106">
        <v>-1.6998226555224789</v>
      </c>
      <c r="IK106">
        <v>-2.677719669153116E-3</v>
      </c>
      <c r="IL106">
        <v>1.9353498771248068E-6</v>
      </c>
      <c r="IM106">
        <v>-6.1862177325538213E-10</v>
      </c>
      <c r="IN106">
        <v>-0.1777980520066014</v>
      </c>
      <c r="IO106">
        <v>-1.5299015507423901E-2</v>
      </c>
      <c r="IP106">
        <v>1.742162107778985E-3</v>
      </c>
      <c r="IQ106">
        <v>-1.472690239905804E-5</v>
      </c>
      <c r="IR106">
        <v>3</v>
      </c>
      <c r="IS106">
        <v>2255</v>
      </c>
      <c r="IT106">
        <v>2</v>
      </c>
      <c r="IU106">
        <v>41</v>
      </c>
      <c r="IV106">
        <v>0.7</v>
      </c>
      <c r="IW106">
        <v>0.5</v>
      </c>
      <c r="IX106">
        <v>0.21240200000000001</v>
      </c>
      <c r="IY106">
        <v>2.6000999999999999</v>
      </c>
      <c r="IZ106">
        <v>1.5991200000000001</v>
      </c>
      <c r="JA106">
        <v>2.2631800000000002</v>
      </c>
      <c r="JB106">
        <v>1.5502899999999999</v>
      </c>
      <c r="JC106">
        <v>2.4243199999999998</v>
      </c>
      <c r="JD106">
        <v>48.981499999999997</v>
      </c>
      <c r="JE106">
        <v>23.921099999999999</v>
      </c>
      <c r="JF106">
        <v>18</v>
      </c>
      <c r="JG106">
        <v>506.84699999999998</v>
      </c>
      <c r="JH106">
        <v>451.33100000000002</v>
      </c>
      <c r="JI106">
        <v>27.4238</v>
      </c>
      <c r="JJ106">
        <v>29.475899999999999</v>
      </c>
      <c r="JK106">
        <v>30.0002</v>
      </c>
      <c r="JL106">
        <v>29.483599999999999</v>
      </c>
      <c r="JM106">
        <v>29.4483</v>
      </c>
      <c r="JN106">
        <v>4.2884000000000002</v>
      </c>
      <c r="JO106">
        <v>14.9352</v>
      </c>
      <c r="JP106">
        <v>25.7319</v>
      </c>
      <c r="JQ106">
        <v>27.412500000000001</v>
      </c>
      <c r="JR106">
        <v>30</v>
      </c>
      <c r="JS106">
        <v>22.606300000000001</v>
      </c>
      <c r="JT106">
        <v>99.477099999999993</v>
      </c>
      <c r="JU106">
        <v>98.915000000000006</v>
      </c>
    </row>
    <row r="107" spans="1:281" x14ac:dyDescent="0.25">
      <c r="A107">
        <v>91</v>
      </c>
      <c r="B107">
        <v>1693515444.0999999</v>
      </c>
      <c r="C107">
        <v>21464.5</v>
      </c>
      <c r="D107" t="s">
        <v>878</v>
      </c>
      <c r="E107" t="s">
        <v>879</v>
      </c>
      <c r="F107" t="s">
        <v>413</v>
      </c>
      <c r="G107" t="s">
        <v>494</v>
      </c>
      <c r="H107" t="s">
        <v>415</v>
      </c>
      <c r="I107" t="s">
        <v>415</v>
      </c>
      <c r="J107">
        <v>1693515444.0999999</v>
      </c>
      <c r="K107">
        <f t="shared" si="92"/>
        <v>5.4403553903395758E-3</v>
      </c>
      <c r="L107">
        <f t="shared" si="93"/>
        <v>5.440355390339576</v>
      </c>
      <c r="M107">
        <f t="shared" si="94"/>
        <v>1.4934967854302728</v>
      </c>
      <c r="N107">
        <f t="shared" si="95"/>
        <v>8.1620200000000001</v>
      </c>
      <c r="O107">
        <f t="shared" si="96"/>
        <v>1.7770921491016456</v>
      </c>
      <c r="P107">
        <f t="shared" si="97"/>
        <v>0.17684924963093851</v>
      </c>
      <c r="Q107">
        <f t="shared" si="98"/>
        <v>0.81225225895145803</v>
      </c>
      <c r="R107">
        <f t="shared" si="99"/>
        <v>0.40615907308740495</v>
      </c>
      <c r="S107">
        <f t="shared" si="100"/>
        <v>2.9149089160880006</v>
      </c>
      <c r="T107">
        <f t="shared" si="101"/>
        <v>0.37713518203641994</v>
      </c>
      <c r="U107">
        <f t="shared" si="102"/>
        <v>0.23814410626333271</v>
      </c>
      <c r="V107">
        <f t="shared" si="103"/>
        <v>344.39090065829322</v>
      </c>
      <c r="W107">
        <f t="shared" si="104"/>
        <v>31.160040524102069</v>
      </c>
      <c r="X107">
        <f t="shared" si="105"/>
        <v>30.0124</v>
      </c>
      <c r="Y107">
        <f t="shared" si="106"/>
        <v>4.2634852019889324</v>
      </c>
      <c r="Z107">
        <f t="shared" si="107"/>
        <v>65.515478242955922</v>
      </c>
      <c r="AA107">
        <f t="shared" si="108"/>
        <v>2.8794381490617602</v>
      </c>
      <c r="AB107">
        <f t="shared" si="109"/>
        <v>4.3950501870469845</v>
      </c>
      <c r="AC107">
        <f t="shared" si="110"/>
        <v>1.3840470529271722</v>
      </c>
      <c r="AD107">
        <f t="shared" si="111"/>
        <v>-239.9196727139753</v>
      </c>
      <c r="AE107">
        <f t="shared" si="112"/>
        <v>83.320171540489184</v>
      </c>
      <c r="AF107">
        <f t="shared" si="113"/>
        <v>6.3731960849303251</v>
      </c>
      <c r="AG107">
        <f t="shared" si="114"/>
        <v>194.16459556973743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51830.383848089208</v>
      </c>
      <c r="AM107" t="s">
        <v>417</v>
      </c>
      <c r="AN107">
        <v>10238.9</v>
      </c>
      <c r="AO107">
        <v>302.21199999999999</v>
      </c>
      <c r="AP107">
        <v>4052.3</v>
      </c>
      <c r="AQ107">
        <f t="shared" si="118"/>
        <v>0.92542210596451402</v>
      </c>
      <c r="AR107">
        <v>-0.32343011824092421</v>
      </c>
      <c r="AS107" t="s">
        <v>880</v>
      </c>
      <c r="AT107">
        <v>10458</v>
      </c>
      <c r="AU107">
        <v>701.43069230769231</v>
      </c>
      <c r="AV107">
        <v>748.41620407943981</v>
      </c>
      <c r="AW107">
        <f t="shared" si="119"/>
        <v>6.2779923143887806E-2</v>
      </c>
      <c r="AX107">
        <v>0.5</v>
      </c>
      <c r="AY107">
        <f t="shared" si="120"/>
        <v>1513.2774003291465</v>
      </c>
      <c r="AZ107">
        <f t="shared" si="121"/>
        <v>1.4934967854302728</v>
      </c>
      <c r="BA107">
        <f t="shared" si="122"/>
        <v>47.501719444023081</v>
      </c>
      <c r="BB107">
        <f t="shared" si="123"/>
        <v>1.2006568678525199E-3</v>
      </c>
      <c r="BC107">
        <f t="shared" si="124"/>
        <v>4.4145006186555964</v>
      </c>
      <c r="BD107">
        <f t="shared" si="125"/>
        <v>227.35969540761027</v>
      </c>
      <c r="BE107" t="s">
        <v>881</v>
      </c>
      <c r="BF107">
        <v>586.84</v>
      </c>
      <c r="BG107">
        <f t="shared" si="126"/>
        <v>586.84</v>
      </c>
      <c r="BH107">
        <f t="shared" si="127"/>
        <v>0.21589084148462589</v>
      </c>
      <c r="BI107">
        <f t="shared" si="128"/>
        <v>0.29079474938430183</v>
      </c>
      <c r="BJ107">
        <f t="shared" si="129"/>
        <v>0.95337525059315653</v>
      </c>
      <c r="BK107">
        <f t="shared" si="130"/>
        <v>0.10530046857958883</v>
      </c>
      <c r="BL107">
        <f t="shared" si="131"/>
        <v>0.8810150044267121</v>
      </c>
      <c r="BM107">
        <f t="shared" si="132"/>
        <v>0.24328845686413977</v>
      </c>
      <c r="BN107">
        <f t="shared" si="133"/>
        <v>0.7567115431358602</v>
      </c>
      <c r="BO107">
        <v>5868</v>
      </c>
      <c r="BP107">
        <v>290.00000000000011</v>
      </c>
      <c r="BQ107">
        <v>737.19</v>
      </c>
      <c r="BR107">
        <v>235</v>
      </c>
      <c r="BS107">
        <v>10458</v>
      </c>
      <c r="BT107">
        <v>736.08</v>
      </c>
      <c r="BU107">
        <v>1.1100000000000001</v>
      </c>
      <c r="BV107">
        <v>300.00000000000011</v>
      </c>
      <c r="BW107">
        <v>38.299999999999997</v>
      </c>
      <c r="BX107">
        <v>748.41620407943981</v>
      </c>
      <c r="BY107">
        <v>1.0548951894239951</v>
      </c>
      <c r="BZ107">
        <v>-12.90264696815561</v>
      </c>
      <c r="CA107">
        <v>0.90344847317012278</v>
      </c>
      <c r="CB107">
        <v>0.87929096223896375</v>
      </c>
      <c r="CC107">
        <v>-1.1357700111234719E-2</v>
      </c>
      <c r="CD107">
        <v>289.99999999999989</v>
      </c>
      <c r="CE107">
        <v>735.07</v>
      </c>
      <c r="CF107">
        <v>625</v>
      </c>
      <c r="CG107">
        <v>10439.700000000001</v>
      </c>
      <c r="CH107">
        <v>736.06</v>
      </c>
      <c r="CI107">
        <v>-0.99</v>
      </c>
      <c r="CW107">
        <f t="shared" si="134"/>
        <v>1800.11</v>
      </c>
      <c r="CX107">
        <f t="shared" si="135"/>
        <v>1513.2774003291465</v>
      </c>
      <c r="CY107">
        <f t="shared" si="136"/>
        <v>0.84065829328715835</v>
      </c>
      <c r="CZ107">
        <f t="shared" si="137"/>
        <v>0.19131658657431672</v>
      </c>
      <c r="DA107">
        <v>6</v>
      </c>
      <c r="DB107">
        <v>0.5</v>
      </c>
      <c r="DC107" t="s">
        <v>420</v>
      </c>
      <c r="DD107">
        <v>2</v>
      </c>
      <c r="DE107">
        <v>1693515444.0999999</v>
      </c>
      <c r="DF107">
        <v>8.1620200000000001</v>
      </c>
      <c r="DG107">
        <v>10.007899999999999</v>
      </c>
      <c r="DH107">
        <v>28.9344</v>
      </c>
      <c r="DI107">
        <v>22.593499999999999</v>
      </c>
      <c r="DJ107">
        <v>9.9493100000000005</v>
      </c>
      <c r="DK107">
        <v>28.4788</v>
      </c>
      <c r="DL107">
        <v>499.892</v>
      </c>
      <c r="DM107">
        <v>99.416300000000007</v>
      </c>
      <c r="DN107">
        <v>9.9782899999999994E-2</v>
      </c>
      <c r="DO107">
        <v>30.5426</v>
      </c>
      <c r="DP107">
        <v>30.0124</v>
      </c>
      <c r="DQ107">
        <v>999.9</v>
      </c>
      <c r="DR107">
        <v>0</v>
      </c>
      <c r="DS107">
        <v>0</v>
      </c>
      <c r="DT107">
        <v>9975</v>
      </c>
      <c r="DU107">
        <v>0</v>
      </c>
      <c r="DV107">
        <v>1469.74</v>
      </c>
      <c r="DW107">
        <v>-1.84592</v>
      </c>
      <c r="DX107">
        <v>8.4052199999999999</v>
      </c>
      <c r="DY107">
        <v>10.2393</v>
      </c>
      <c r="DZ107">
        <v>6.3408899999999999</v>
      </c>
      <c r="EA107">
        <v>10.007899999999999</v>
      </c>
      <c r="EB107">
        <v>22.593499999999999</v>
      </c>
      <c r="EC107">
        <v>2.8765499999999999</v>
      </c>
      <c r="ED107">
        <v>2.2461600000000002</v>
      </c>
      <c r="EE107">
        <v>23.330100000000002</v>
      </c>
      <c r="EF107">
        <v>19.295400000000001</v>
      </c>
      <c r="EG107">
        <v>1800.11</v>
      </c>
      <c r="EH107">
        <v>0.97799599999999998</v>
      </c>
      <c r="EI107">
        <v>2.20039E-2</v>
      </c>
      <c r="EJ107">
        <v>0</v>
      </c>
      <c r="EK107">
        <v>701.505</v>
      </c>
      <c r="EL107">
        <v>4.9995000000000003</v>
      </c>
      <c r="EM107">
        <v>13353.4</v>
      </c>
      <c r="EN107">
        <v>16660.8</v>
      </c>
      <c r="EO107">
        <v>48.375</v>
      </c>
      <c r="EP107">
        <v>49.25</v>
      </c>
      <c r="EQ107">
        <v>49.186999999999998</v>
      </c>
      <c r="ER107">
        <v>48.936999999999998</v>
      </c>
      <c r="ES107">
        <v>49.625</v>
      </c>
      <c r="ET107">
        <v>1755.61</v>
      </c>
      <c r="EU107">
        <v>39.5</v>
      </c>
      <c r="EV107">
        <v>0</v>
      </c>
      <c r="EW107">
        <v>108.19999980926509</v>
      </c>
      <c r="EX107">
        <v>0</v>
      </c>
      <c r="EY107">
        <v>701.43069230769231</v>
      </c>
      <c r="EZ107">
        <v>-1.2833504176614461</v>
      </c>
      <c r="FA107">
        <v>-25.53846145402137</v>
      </c>
      <c r="FB107">
        <v>13359.06923076923</v>
      </c>
      <c r="FC107">
        <v>15</v>
      </c>
      <c r="FD107">
        <v>1693515412.5999999</v>
      </c>
      <c r="FE107" t="s">
        <v>882</v>
      </c>
      <c r="FF107">
        <v>1693515407.0999999</v>
      </c>
      <c r="FG107">
        <v>1693515412.5999999</v>
      </c>
      <c r="FH107">
        <v>102</v>
      </c>
      <c r="FI107">
        <v>-6.0999999999999999E-2</v>
      </c>
      <c r="FJ107">
        <v>-4.0000000000000001E-3</v>
      </c>
      <c r="FK107">
        <v>-1.792</v>
      </c>
      <c r="FL107">
        <v>0.17599999999999999</v>
      </c>
      <c r="FM107">
        <v>10</v>
      </c>
      <c r="FN107">
        <v>22</v>
      </c>
      <c r="FO107">
        <v>0.86</v>
      </c>
      <c r="FP107">
        <v>0.04</v>
      </c>
      <c r="FQ107">
        <v>1.450356149952194</v>
      </c>
      <c r="FR107">
        <v>-5.2918723378067689E-2</v>
      </c>
      <c r="FS107">
        <v>3.6979966258978383E-2</v>
      </c>
      <c r="FT107">
        <v>1</v>
      </c>
      <c r="FU107">
        <v>0.4005936764899955</v>
      </c>
      <c r="FV107">
        <v>4.6742424573789958E-2</v>
      </c>
      <c r="FW107">
        <v>3.6944501406676682E-3</v>
      </c>
      <c r="FX107">
        <v>1</v>
      </c>
      <c r="FY107">
        <v>2</v>
      </c>
      <c r="FZ107">
        <v>2</v>
      </c>
      <c r="GA107" t="s">
        <v>422</v>
      </c>
      <c r="GB107">
        <v>2.9714900000000002</v>
      </c>
      <c r="GC107">
        <v>2.8112599999999999</v>
      </c>
      <c r="GD107">
        <v>2.9112700000000001E-3</v>
      </c>
      <c r="GE107">
        <v>2.8905699999999999E-3</v>
      </c>
      <c r="GF107">
        <v>0.13648099999999999</v>
      </c>
      <c r="GG107">
        <v>0.11445900000000001</v>
      </c>
      <c r="GH107">
        <v>29564.1</v>
      </c>
      <c r="GI107">
        <v>27222.5</v>
      </c>
      <c r="GJ107">
        <v>26642.5</v>
      </c>
      <c r="GK107">
        <v>25748.6</v>
      </c>
      <c r="GL107">
        <v>31270.1</v>
      </c>
      <c r="GM107">
        <v>32089.5</v>
      </c>
      <c r="GN107">
        <v>37720.300000000003</v>
      </c>
      <c r="GO107">
        <v>38070.800000000003</v>
      </c>
      <c r="GP107">
        <v>1.9961</v>
      </c>
      <c r="GQ107">
        <v>1.9570000000000001</v>
      </c>
      <c r="GR107">
        <v>8.0555699999999994E-2</v>
      </c>
      <c r="GS107">
        <v>0</v>
      </c>
      <c r="GT107">
        <v>28.700099999999999</v>
      </c>
      <c r="GU107">
        <v>999.9</v>
      </c>
      <c r="GV107">
        <v>27.6</v>
      </c>
      <c r="GW107">
        <v>45.5</v>
      </c>
      <c r="GX107">
        <v>27.4556</v>
      </c>
      <c r="GY107">
        <v>61.444000000000003</v>
      </c>
      <c r="GZ107">
        <v>15.2204</v>
      </c>
      <c r="HA107">
        <v>1</v>
      </c>
      <c r="HB107">
        <v>0.15390200000000001</v>
      </c>
      <c r="HC107">
        <v>0.79577299999999995</v>
      </c>
      <c r="HD107">
        <v>20.248100000000001</v>
      </c>
      <c r="HE107">
        <v>5.2071100000000001</v>
      </c>
      <c r="HF107">
        <v>11.9321</v>
      </c>
      <c r="HG107">
        <v>4.9878</v>
      </c>
      <c r="HH107">
        <v>3.2900999999999998</v>
      </c>
      <c r="HI107">
        <v>9999</v>
      </c>
      <c r="HJ107">
        <v>9999</v>
      </c>
      <c r="HK107">
        <v>9999</v>
      </c>
      <c r="HL107">
        <v>999.9</v>
      </c>
      <c r="HM107">
        <v>1.8710899999999999</v>
      </c>
      <c r="HN107">
        <v>1.8771199999999999</v>
      </c>
      <c r="HO107">
        <v>1.8748499999999999</v>
      </c>
      <c r="HP107">
        <v>1.87314</v>
      </c>
      <c r="HQ107">
        <v>1.8736299999999999</v>
      </c>
      <c r="HR107">
        <v>1.87103</v>
      </c>
      <c r="HS107">
        <v>1.87683</v>
      </c>
      <c r="HT107">
        <v>1.8760699999999999</v>
      </c>
      <c r="HU107">
        <v>5</v>
      </c>
      <c r="HV107">
        <v>0</v>
      </c>
      <c r="HW107">
        <v>0</v>
      </c>
      <c r="HX107">
        <v>0</v>
      </c>
      <c r="HY107" t="s">
        <v>423</v>
      </c>
      <c r="HZ107" t="s">
        <v>424</v>
      </c>
      <c r="IA107" t="s">
        <v>425</v>
      </c>
      <c r="IB107" t="s">
        <v>425</v>
      </c>
      <c r="IC107" t="s">
        <v>425</v>
      </c>
      <c r="ID107" t="s">
        <v>425</v>
      </c>
      <c r="IE107">
        <v>0</v>
      </c>
      <c r="IF107">
        <v>100</v>
      </c>
      <c r="IG107">
        <v>100</v>
      </c>
      <c r="IH107">
        <v>-1.7869999999999999</v>
      </c>
      <c r="II107">
        <v>0.4556</v>
      </c>
      <c r="IJ107">
        <v>-1.7608428594942021</v>
      </c>
      <c r="IK107">
        <v>-2.677719669153116E-3</v>
      </c>
      <c r="IL107">
        <v>1.9353498771248068E-6</v>
      </c>
      <c r="IM107">
        <v>-6.1862177325538213E-10</v>
      </c>
      <c r="IN107">
        <v>-0.1814799456903039</v>
      </c>
      <c r="IO107">
        <v>-1.5299015507423901E-2</v>
      </c>
      <c r="IP107">
        <v>1.742162107778985E-3</v>
      </c>
      <c r="IQ107">
        <v>-1.472690239905804E-5</v>
      </c>
      <c r="IR107">
        <v>3</v>
      </c>
      <c r="IS107">
        <v>2255</v>
      </c>
      <c r="IT107">
        <v>2</v>
      </c>
      <c r="IU107">
        <v>41</v>
      </c>
      <c r="IV107">
        <v>0.6</v>
      </c>
      <c r="IW107">
        <v>0.5</v>
      </c>
      <c r="IX107">
        <v>0.17211899999999999</v>
      </c>
      <c r="IY107">
        <v>2.6135299999999999</v>
      </c>
      <c r="IZ107">
        <v>1.5991200000000001</v>
      </c>
      <c r="JA107">
        <v>2.2644000000000002</v>
      </c>
      <c r="JB107">
        <v>1.5502899999999999</v>
      </c>
      <c r="JC107">
        <v>2.4169900000000002</v>
      </c>
      <c r="JD107">
        <v>48.981499999999997</v>
      </c>
      <c r="JE107">
        <v>23.921099999999999</v>
      </c>
      <c r="JF107">
        <v>18</v>
      </c>
      <c r="JG107">
        <v>506.59100000000001</v>
      </c>
      <c r="JH107">
        <v>451.334</v>
      </c>
      <c r="JI107">
        <v>27.523199999999999</v>
      </c>
      <c r="JJ107">
        <v>29.475899999999999</v>
      </c>
      <c r="JK107">
        <v>30.0002</v>
      </c>
      <c r="JL107">
        <v>29.475999999999999</v>
      </c>
      <c r="JM107">
        <v>29.440799999999999</v>
      </c>
      <c r="JN107">
        <v>3.49173</v>
      </c>
      <c r="JO107">
        <v>14.7271</v>
      </c>
      <c r="JP107">
        <v>25.7255</v>
      </c>
      <c r="JQ107">
        <v>27.527799999999999</v>
      </c>
      <c r="JR107">
        <v>10</v>
      </c>
      <c r="JS107">
        <v>22.4529</v>
      </c>
      <c r="JT107">
        <v>99.478800000000007</v>
      </c>
      <c r="JU107">
        <v>98.9221</v>
      </c>
    </row>
    <row r="108" spans="1:281" x14ac:dyDescent="0.25">
      <c r="A108">
        <v>92</v>
      </c>
      <c r="B108">
        <v>1693515621.5999999</v>
      </c>
      <c r="C108">
        <v>21642</v>
      </c>
      <c r="D108" t="s">
        <v>883</v>
      </c>
      <c r="E108" t="s">
        <v>884</v>
      </c>
      <c r="F108" t="s">
        <v>413</v>
      </c>
      <c r="G108" t="s">
        <v>494</v>
      </c>
      <c r="H108" t="s">
        <v>415</v>
      </c>
      <c r="I108" t="s">
        <v>415</v>
      </c>
      <c r="J108">
        <v>1693515621.5999999</v>
      </c>
      <c r="K108">
        <f t="shared" si="92"/>
        <v>5.2304728143899989E-3</v>
      </c>
      <c r="L108">
        <f t="shared" si="93"/>
        <v>5.2304728143899988</v>
      </c>
      <c r="M108">
        <f t="shared" si="94"/>
        <v>40.715858226004954</v>
      </c>
      <c r="N108">
        <f t="shared" si="95"/>
        <v>348.89800000000002</v>
      </c>
      <c r="O108">
        <f t="shared" si="96"/>
        <v>161.12317452325391</v>
      </c>
      <c r="P108">
        <f t="shared" si="97"/>
        <v>16.033671845181292</v>
      </c>
      <c r="Q108">
        <f t="shared" si="98"/>
        <v>34.719499885677209</v>
      </c>
      <c r="R108">
        <f t="shared" si="99"/>
        <v>0.38035520628258163</v>
      </c>
      <c r="S108">
        <f t="shared" si="100"/>
        <v>2.9253351013802988</v>
      </c>
      <c r="T108">
        <f t="shared" si="101"/>
        <v>0.35486215285637301</v>
      </c>
      <c r="U108">
        <f t="shared" si="102"/>
        <v>0.22393675011172315</v>
      </c>
      <c r="V108">
        <f t="shared" si="103"/>
        <v>344.37000065833354</v>
      </c>
      <c r="W108">
        <f t="shared" si="104"/>
        <v>31.296355692715217</v>
      </c>
      <c r="X108">
        <f t="shared" si="105"/>
        <v>30.034500000000001</v>
      </c>
      <c r="Y108">
        <f t="shared" si="106"/>
        <v>4.2688997939359998</v>
      </c>
      <c r="Z108">
        <f t="shared" si="107"/>
        <v>64.64014093650276</v>
      </c>
      <c r="AA108">
        <f t="shared" si="108"/>
        <v>2.8546478726461002</v>
      </c>
      <c r="AB108">
        <f t="shared" si="109"/>
        <v>4.4162154216994587</v>
      </c>
      <c r="AC108">
        <f t="shared" si="110"/>
        <v>1.4142519212898996</v>
      </c>
      <c r="AD108">
        <f t="shared" si="111"/>
        <v>-230.66385111459894</v>
      </c>
      <c r="AE108">
        <f t="shared" si="112"/>
        <v>93.380485330082209</v>
      </c>
      <c r="AF108">
        <f t="shared" si="113"/>
        <v>7.1209934069277416</v>
      </c>
      <c r="AG108">
        <f t="shared" si="114"/>
        <v>214.20762828074459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52112.653095202746</v>
      </c>
      <c r="AM108" t="s">
        <v>417</v>
      </c>
      <c r="AN108">
        <v>10238.9</v>
      </c>
      <c r="AO108">
        <v>302.21199999999999</v>
      </c>
      <c r="AP108">
        <v>4052.3</v>
      </c>
      <c r="AQ108">
        <f t="shared" si="118"/>
        <v>0.92542210596451402</v>
      </c>
      <c r="AR108">
        <v>-0.32343011824092421</v>
      </c>
      <c r="AS108" t="s">
        <v>885</v>
      </c>
      <c r="AT108">
        <v>10465.9</v>
      </c>
      <c r="AU108">
        <v>706.51215999999999</v>
      </c>
      <c r="AV108">
        <v>1022.3838516071791</v>
      </c>
      <c r="AW108">
        <f t="shared" si="119"/>
        <v>0.30895606489737815</v>
      </c>
      <c r="AX108">
        <v>0.5</v>
      </c>
      <c r="AY108">
        <f t="shared" si="120"/>
        <v>1513.1850003291668</v>
      </c>
      <c r="AZ108">
        <f t="shared" si="121"/>
        <v>40.715858226004954</v>
      </c>
      <c r="BA108">
        <f t="shared" si="122"/>
        <v>233.7538415817186</v>
      </c>
      <c r="BB108">
        <f t="shared" si="123"/>
        <v>2.7121130816997591E-2</v>
      </c>
      <c r="BC108">
        <f t="shared" si="124"/>
        <v>2.9635798175311723</v>
      </c>
      <c r="BD108">
        <f t="shared" si="125"/>
        <v>247.5083196631183</v>
      </c>
      <c r="BE108" t="s">
        <v>886</v>
      </c>
      <c r="BF108">
        <v>565.75</v>
      </c>
      <c r="BG108">
        <f t="shared" si="126"/>
        <v>565.75</v>
      </c>
      <c r="BH108">
        <f t="shared" si="127"/>
        <v>0.44663640851658049</v>
      </c>
      <c r="BI108">
        <f t="shared" si="128"/>
        <v>0.6917395425140509</v>
      </c>
      <c r="BJ108">
        <f t="shared" si="129"/>
        <v>0.86902988581630003</v>
      </c>
      <c r="BK108">
        <f t="shared" si="130"/>
        <v>0.43860599508611825</v>
      </c>
      <c r="BL108">
        <f t="shared" si="131"/>
        <v>0.80795867947440725</v>
      </c>
      <c r="BM108">
        <f t="shared" si="132"/>
        <v>0.55392060934566834</v>
      </c>
      <c r="BN108">
        <f t="shared" si="133"/>
        <v>0.44607939065433166</v>
      </c>
      <c r="BO108">
        <v>5870</v>
      </c>
      <c r="BP108">
        <v>290.00000000000011</v>
      </c>
      <c r="BQ108">
        <v>918.7</v>
      </c>
      <c r="BR108">
        <v>205</v>
      </c>
      <c r="BS108">
        <v>10465.9</v>
      </c>
      <c r="BT108">
        <v>917.63</v>
      </c>
      <c r="BU108">
        <v>1.07</v>
      </c>
      <c r="BV108">
        <v>300.00000000000011</v>
      </c>
      <c r="BW108">
        <v>38.299999999999997</v>
      </c>
      <c r="BX108">
        <v>1022.3838516071791</v>
      </c>
      <c r="BY108">
        <v>1.270611291444474</v>
      </c>
      <c r="BZ108">
        <v>-109.6304578727665</v>
      </c>
      <c r="CA108">
        <v>1.088437101604905</v>
      </c>
      <c r="CB108">
        <v>0.99724763981424458</v>
      </c>
      <c r="CC108">
        <v>-1.1361202447163521E-2</v>
      </c>
      <c r="CD108">
        <v>289.99999999999989</v>
      </c>
      <c r="CE108">
        <v>894.35</v>
      </c>
      <c r="CF108">
        <v>635</v>
      </c>
      <c r="CG108">
        <v>10440.799999999999</v>
      </c>
      <c r="CH108">
        <v>917.38</v>
      </c>
      <c r="CI108">
        <v>-23.03</v>
      </c>
      <c r="CW108">
        <f t="shared" si="134"/>
        <v>1800</v>
      </c>
      <c r="CX108">
        <f t="shared" si="135"/>
        <v>1513.1850003291668</v>
      </c>
      <c r="CY108">
        <f t="shared" si="136"/>
        <v>0.84065833351620378</v>
      </c>
      <c r="CZ108">
        <f t="shared" si="137"/>
        <v>0.19131666703240752</v>
      </c>
      <c r="DA108">
        <v>6</v>
      </c>
      <c r="DB108">
        <v>0.5</v>
      </c>
      <c r="DC108" t="s">
        <v>420</v>
      </c>
      <c r="DD108">
        <v>2</v>
      </c>
      <c r="DE108">
        <v>1693515621.5999999</v>
      </c>
      <c r="DF108">
        <v>348.89800000000002</v>
      </c>
      <c r="DG108">
        <v>399.95600000000002</v>
      </c>
      <c r="DH108">
        <v>28.686499999999999</v>
      </c>
      <c r="DI108">
        <v>22.588899999999999</v>
      </c>
      <c r="DJ108">
        <v>351.34399999999999</v>
      </c>
      <c r="DK108">
        <v>28.2484</v>
      </c>
      <c r="DL108">
        <v>499.911</v>
      </c>
      <c r="DM108">
        <v>99.412000000000006</v>
      </c>
      <c r="DN108">
        <v>9.9891400000000005E-2</v>
      </c>
      <c r="DO108">
        <v>30.6266</v>
      </c>
      <c r="DP108">
        <v>30.034500000000001</v>
      </c>
      <c r="DQ108">
        <v>999.9</v>
      </c>
      <c r="DR108">
        <v>0</v>
      </c>
      <c r="DS108">
        <v>0</v>
      </c>
      <c r="DT108">
        <v>10035</v>
      </c>
      <c r="DU108">
        <v>0</v>
      </c>
      <c r="DV108">
        <v>1454.18</v>
      </c>
      <c r="DW108">
        <v>-51.057499999999997</v>
      </c>
      <c r="DX108">
        <v>359.202</v>
      </c>
      <c r="DY108">
        <v>409.19900000000001</v>
      </c>
      <c r="DZ108">
        <v>6.09755</v>
      </c>
      <c r="EA108">
        <v>399.95600000000002</v>
      </c>
      <c r="EB108">
        <v>22.588899999999999</v>
      </c>
      <c r="EC108">
        <v>2.8517800000000002</v>
      </c>
      <c r="ED108">
        <v>2.2456100000000001</v>
      </c>
      <c r="EE108">
        <v>23.186900000000001</v>
      </c>
      <c r="EF108">
        <v>19.291499999999999</v>
      </c>
      <c r="EG108">
        <v>1800</v>
      </c>
      <c r="EH108">
        <v>0.977993</v>
      </c>
      <c r="EI108">
        <v>2.2007499999999999E-2</v>
      </c>
      <c r="EJ108">
        <v>0</v>
      </c>
      <c r="EK108">
        <v>704.68600000000004</v>
      </c>
      <c r="EL108">
        <v>4.9995000000000003</v>
      </c>
      <c r="EM108">
        <v>13407.8</v>
      </c>
      <c r="EN108">
        <v>16659.8</v>
      </c>
      <c r="EO108">
        <v>48.311999999999998</v>
      </c>
      <c r="EP108">
        <v>49.125</v>
      </c>
      <c r="EQ108">
        <v>49.186999999999998</v>
      </c>
      <c r="ER108">
        <v>48.936999999999998</v>
      </c>
      <c r="ES108">
        <v>49.625</v>
      </c>
      <c r="ET108">
        <v>1755.5</v>
      </c>
      <c r="EU108">
        <v>39.5</v>
      </c>
      <c r="EV108">
        <v>0</v>
      </c>
      <c r="EW108">
        <v>175.79999995231631</v>
      </c>
      <c r="EX108">
        <v>0</v>
      </c>
      <c r="EY108">
        <v>706.51215999999999</v>
      </c>
      <c r="EZ108">
        <v>-15.411692306445319</v>
      </c>
      <c r="FA108">
        <v>-280.04615397938221</v>
      </c>
      <c r="FB108">
        <v>13439.82</v>
      </c>
      <c r="FC108">
        <v>15</v>
      </c>
      <c r="FD108">
        <v>1693515530.0999999</v>
      </c>
      <c r="FE108" t="s">
        <v>887</v>
      </c>
      <c r="FF108">
        <v>1693515525.0999999</v>
      </c>
      <c r="FG108">
        <v>1693515530.0999999</v>
      </c>
      <c r="FH108">
        <v>103</v>
      </c>
      <c r="FI108">
        <v>4.3999999999999997E-2</v>
      </c>
      <c r="FJ108">
        <v>-7.0000000000000001E-3</v>
      </c>
      <c r="FK108">
        <v>-2.5219999999999998</v>
      </c>
      <c r="FL108">
        <v>0.16700000000000001</v>
      </c>
      <c r="FM108">
        <v>400</v>
      </c>
      <c r="FN108">
        <v>22</v>
      </c>
      <c r="FO108">
        <v>0.25</v>
      </c>
      <c r="FP108">
        <v>0.04</v>
      </c>
      <c r="FQ108">
        <v>40.863171897696112</v>
      </c>
      <c r="FR108">
        <v>0.63213815581877841</v>
      </c>
      <c r="FS108">
        <v>7.6749860974149819E-2</v>
      </c>
      <c r="FT108">
        <v>1</v>
      </c>
      <c r="FU108">
        <v>0.38475975211930158</v>
      </c>
      <c r="FV108">
        <v>-2.6774983951535821E-2</v>
      </c>
      <c r="FW108">
        <v>2.071745752362417E-3</v>
      </c>
      <c r="FX108">
        <v>1</v>
      </c>
      <c r="FY108">
        <v>2</v>
      </c>
      <c r="FZ108">
        <v>2</v>
      </c>
      <c r="GA108" t="s">
        <v>422</v>
      </c>
      <c r="GB108">
        <v>2.9715099999999999</v>
      </c>
      <c r="GC108">
        <v>2.81189</v>
      </c>
      <c r="GD108">
        <v>8.80962E-2</v>
      </c>
      <c r="GE108">
        <v>9.6424700000000002E-2</v>
      </c>
      <c r="GF108">
        <v>0.13570599999999999</v>
      </c>
      <c r="GG108">
        <v>0.114438</v>
      </c>
      <c r="GH108">
        <v>27038.400000000001</v>
      </c>
      <c r="GI108">
        <v>24668.1</v>
      </c>
      <c r="GJ108">
        <v>26642.3</v>
      </c>
      <c r="GK108">
        <v>25747.599999999999</v>
      </c>
      <c r="GL108">
        <v>31304.6</v>
      </c>
      <c r="GM108">
        <v>32096.9</v>
      </c>
      <c r="GN108">
        <v>37719.5</v>
      </c>
      <c r="GO108">
        <v>38070.699999999997</v>
      </c>
      <c r="GP108">
        <v>1.9963</v>
      </c>
      <c r="GQ108">
        <v>1.9588000000000001</v>
      </c>
      <c r="GR108">
        <v>7.9795699999999997E-2</v>
      </c>
      <c r="GS108">
        <v>0</v>
      </c>
      <c r="GT108">
        <v>28.7346</v>
      </c>
      <c r="GU108">
        <v>999.9</v>
      </c>
      <c r="GV108">
        <v>27.4</v>
      </c>
      <c r="GW108">
        <v>45.5</v>
      </c>
      <c r="GX108">
        <v>27.2561</v>
      </c>
      <c r="GY108">
        <v>61.444000000000003</v>
      </c>
      <c r="GZ108">
        <v>15.9255</v>
      </c>
      <c r="HA108">
        <v>1</v>
      </c>
      <c r="HB108">
        <v>0.154472</v>
      </c>
      <c r="HC108">
        <v>0.84606800000000004</v>
      </c>
      <c r="HD108">
        <v>20.248899999999999</v>
      </c>
      <c r="HE108">
        <v>5.2100999999999997</v>
      </c>
      <c r="HF108">
        <v>11.9321</v>
      </c>
      <c r="HG108">
        <v>4.9888000000000003</v>
      </c>
      <c r="HH108">
        <v>3.2909999999999999</v>
      </c>
      <c r="HI108">
        <v>9999</v>
      </c>
      <c r="HJ108">
        <v>9999</v>
      </c>
      <c r="HK108">
        <v>9999</v>
      </c>
      <c r="HL108">
        <v>999.9</v>
      </c>
      <c r="HM108">
        <v>1.87114</v>
      </c>
      <c r="HN108">
        <v>1.87714</v>
      </c>
      <c r="HO108">
        <v>1.8748800000000001</v>
      </c>
      <c r="HP108">
        <v>1.8730800000000001</v>
      </c>
      <c r="HQ108">
        <v>1.8736299999999999</v>
      </c>
      <c r="HR108">
        <v>1.87103</v>
      </c>
      <c r="HS108">
        <v>1.87683</v>
      </c>
      <c r="HT108">
        <v>1.8760699999999999</v>
      </c>
      <c r="HU108">
        <v>5</v>
      </c>
      <c r="HV108">
        <v>0</v>
      </c>
      <c r="HW108">
        <v>0</v>
      </c>
      <c r="HX108">
        <v>0</v>
      </c>
      <c r="HY108" t="s">
        <v>423</v>
      </c>
      <c r="HZ108" t="s">
        <v>424</v>
      </c>
      <c r="IA108" t="s">
        <v>425</v>
      </c>
      <c r="IB108" t="s">
        <v>425</v>
      </c>
      <c r="IC108" t="s">
        <v>425</v>
      </c>
      <c r="ID108" t="s">
        <v>425</v>
      </c>
      <c r="IE108">
        <v>0</v>
      </c>
      <c r="IF108">
        <v>100</v>
      </c>
      <c r="IG108">
        <v>100</v>
      </c>
      <c r="IH108">
        <v>-2.4460000000000002</v>
      </c>
      <c r="II108">
        <v>0.43809999999999999</v>
      </c>
      <c r="IJ108">
        <v>-1.7168503675045119</v>
      </c>
      <c r="IK108">
        <v>-2.677719669153116E-3</v>
      </c>
      <c r="IL108">
        <v>1.9353498771248068E-6</v>
      </c>
      <c r="IM108">
        <v>-6.1862177325538213E-10</v>
      </c>
      <c r="IN108">
        <v>-0.18800442932159089</v>
      </c>
      <c r="IO108">
        <v>-1.5299015507423901E-2</v>
      </c>
      <c r="IP108">
        <v>1.742162107778985E-3</v>
      </c>
      <c r="IQ108">
        <v>-1.472690239905804E-5</v>
      </c>
      <c r="IR108">
        <v>3</v>
      </c>
      <c r="IS108">
        <v>2255</v>
      </c>
      <c r="IT108">
        <v>2</v>
      </c>
      <c r="IU108">
        <v>41</v>
      </c>
      <c r="IV108">
        <v>1.6</v>
      </c>
      <c r="IW108">
        <v>1.5</v>
      </c>
      <c r="IX108">
        <v>0.96557599999999999</v>
      </c>
      <c r="IY108">
        <v>2.5537100000000001</v>
      </c>
      <c r="IZ108">
        <v>1.5991200000000001</v>
      </c>
      <c r="JA108">
        <v>2.2644000000000002</v>
      </c>
      <c r="JB108">
        <v>1.5502899999999999</v>
      </c>
      <c r="JC108">
        <v>2.4426299999999999</v>
      </c>
      <c r="JD108">
        <v>48.981499999999997</v>
      </c>
      <c r="JE108">
        <v>23.921099999999999</v>
      </c>
      <c r="JF108">
        <v>18</v>
      </c>
      <c r="JG108">
        <v>506.67599999999999</v>
      </c>
      <c r="JH108">
        <v>452.42500000000001</v>
      </c>
      <c r="JI108">
        <v>27.628900000000002</v>
      </c>
      <c r="JJ108">
        <v>29.481000000000002</v>
      </c>
      <c r="JK108">
        <v>30.0002</v>
      </c>
      <c r="JL108">
        <v>29.471</v>
      </c>
      <c r="JM108">
        <v>29.440799999999999</v>
      </c>
      <c r="JN108">
        <v>19.355499999999999</v>
      </c>
      <c r="JO108">
        <v>12.654</v>
      </c>
      <c r="JP108">
        <v>25.817599999999999</v>
      </c>
      <c r="JQ108">
        <v>27.5991</v>
      </c>
      <c r="JR108">
        <v>400</v>
      </c>
      <c r="JS108">
        <v>22.710100000000001</v>
      </c>
      <c r="JT108">
        <v>99.477199999999996</v>
      </c>
      <c r="JU108">
        <v>98.920500000000004</v>
      </c>
    </row>
    <row r="109" spans="1:281" x14ac:dyDescent="0.25">
      <c r="A109">
        <v>93</v>
      </c>
      <c r="B109">
        <v>1693515811.0999999</v>
      </c>
      <c r="C109">
        <v>21831.5</v>
      </c>
      <c r="D109" t="s">
        <v>888</v>
      </c>
      <c r="E109" t="s">
        <v>889</v>
      </c>
      <c r="F109" t="s">
        <v>413</v>
      </c>
      <c r="G109" t="s">
        <v>494</v>
      </c>
      <c r="H109" t="s">
        <v>415</v>
      </c>
      <c r="I109" t="s">
        <v>415</v>
      </c>
      <c r="J109">
        <v>1693515811.0999999</v>
      </c>
      <c r="K109">
        <f t="shared" si="92"/>
        <v>4.9494099442460261E-3</v>
      </c>
      <c r="L109">
        <f t="shared" si="93"/>
        <v>4.9494099442460264</v>
      </c>
      <c r="M109">
        <f t="shared" si="94"/>
        <v>44.411566043129618</v>
      </c>
      <c r="N109">
        <f t="shared" si="95"/>
        <v>344.66199999999998</v>
      </c>
      <c r="O109">
        <f t="shared" si="96"/>
        <v>130.99016024212386</v>
      </c>
      <c r="P109">
        <f t="shared" si="97"/>
        <v>13.035381266347084</v>
      </c>
      <c r="Q109">
        <f t="shared" si="98"/>
        <v>34.298763889723993</v>
      </c>
      <c r="R109">
        <f t="shared" si="99"/>
        <v>0.36137938652703283</v>
      </c>
      <c r="S109">
        <f t="shared" si="100"/>
        <v>2.9201247167145894</v>
      </c>
      <c r="T109">
        <f t="shared" si="101"/>
        <v>0.33824536052949705</v>
      </c>
      <c r="U109">
        <f t="shared" si="102"/>
        <v>0.21335832022011414</v>
      </c>
      <c r="V109">
        <f t="shared" si="103"/>
        <v>344.3853006578006</v>
      </c>
      <c r="W109">
        <f t="shared" si="104"/>
        <v>31.235356464527445</v>
      </c>
      <c r="X109">
        <f t="shared" si="105"/>
        <v>29.959199999999999</v>
      </c>
      <c r="Y109">
        <f t="shared" si="106"/>
        <v>4.2504755194652235</v>
      </c>
      <c r="Z109">
        <f t="shared" si="107"/>
        <v>64.950999667533466</v>
      </c>
      <c r="AA109">
        <f t="shared" si="108"/>
        <v>2.8462454970828004</v>
      </c>
      <c r="AB109">
        <f t="shared" si="109"/>
        <v>4.3821427101229515</v>
      </c>
      <c r="AC109">
        <f t="shared" si="110"/>
        <v>1.4042300223824231</v>
      </c>
      <c r="AD109">
        <f t="shared" si="111"/>
        <v>-218.26897854124974</v>
      </c>
      <c r="AE109">
        <f t="shared" si="112"/>
        <v>83.752634303039031</v>
      </c>
      <c r="AF109">
        <f t="shared" si="113"/>
        <v>6.3915249886938872</v>
      </c>
      <c r="AG109">
        <f t="shared" si="114"/>
        <v>216.26048140828379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51987.522584217186</v>
      </c>
      <c r="AM109" t="s">
        <v>417</v>
      </c>
      <c r="AN109">
        <v>10238.9</v>
      </c>
      <c r="AO109">
        <v>302.21199999999999</v>
      </c>
      <c r="AP109">
        <v>4052.3</v>
      </c>
      <c r="AQ109">
        <f t="shared" si="118"/>
        <v>0.92542210596451402</v>
      </c>
      <c r="AR109">
        <v>-0.32343011824092421</v>
      </c>
      <c r="AS109" t="s">
        <v>890</v>
      </c>
      <c r="AT109">
        <v>10472.9</v>
      </c>
      <c r="AU109">
        <v>727.78111538461542</v>
      </c>
      <c r="AV109">
        <v>1077.3440425734959</v>
      </c>
      <c r="AW109">
        <f t="shared" si="119"/>
        <v>0.32446731348127678</v>
      </c>
      <c r="AX109">
        <v>0.5</v>
      </c>
      <c r="AY109">
        <f t="shared" si="120"/>
        <v>1513.2597003289002</v>
      </c>
      <c r="AZ109">
        <f t="shared" si="121"/>
        <v>44.411566043129618</v>
      </c>
      <c r="BA109">
        <f t="shared" si="122"/>
        <v>245.5016547826001</v>
      </c>
      <c r="BB109">
        <f t="shared" si="123"/>
        <v>2.9562008524807466E-2</v>
      </c>
      <c r="BC109">
        <f t="shared" si="124"/>
        <v>2.7613796891846216</v>
      </c>
      <c r="BD109">
        <f t="shared" si="125"/>
        <v>250.6032893965851</v>
      </c>
      <c r="BE109" t="s">
        <v>891</v>
      </c>
      <c r="BF109">
        <v>579.66999999999996</v>
      </c>
      <c r="BG109">
        <f t="shared" si="126"/>
        <v>579.66999999999996</v>
      </c>
      <c r="BH109">
        <f t="shared" si="127"/>
        <v>0.46194532378411035</v>
      </c>
      <c r="BI109">
        <f t="shared" si="128"/>
        <v>0.70239332833449397</v>
      </c>
      <c r="BJ109">
        <f t="shared" si="129"/>
        <v>0.85668670645202738</v>
      </c>
      <c r="BK109">
        <f t="shared" si="130"/>
        <v>0.4509721028023892</v>
      </c>
      <c r="BL109">
        <f t="shared" si="131"/>
        <v>0.79330297247064707</v>
      </c>
      <c r="BM109">
        <f t="shared" si="132"/>
        <v>0.55944889476897652</v>
      </c>
      <c r="BN109">
        <f t="shared" si="133"/>
        <v>0.44055110523102348</v>
      </c>
      <c r="BO109">
        <v>5872</v>
      </c>
      <c r="BP109">
        <v>290.00000000000011</v>
      </c>
      <c r="BQ109">
        <v>975.58</v>
      </c>
      <c r="BR109">
        <v>175</v>
      </c>
      <c r="BS109">
        <v>10472.9</v>
      </c>
      <c r="BT109">
        <v>969.63</v>
      </c>
      <c r="BU109">
        <v>5.95</v>
      </c>
      <c r="BV109">
        <v>300.00000000000011</v>
      </c>
      <c r="BW109">
        <v>38.299999999999997</v>
      </c>
      <c r="BX109">
        <v>1077.3440425734959</v>
      </c>
      <c r="BY109">
        <v>1.1227506436862851</v>
      </c>
      <c r="BZ109">
        <v>-112.802961121102</v>
      </c>
      <c r="CA109">
        <v>0.96186694889218971</v>
      </c>
      <c r="CB109">
        <v>0.99796828038810936</v>
      </c>
      <c r="CC109">
        <v>-1.1362261401557281E-2</v>
      </c>
      <c r="CD109">
        <v>289.99999999999989</v>
      </c>
      <c r="CE109">
        <v>954.1</v>
      </c>
      <c r="CF109">
        <v>655</v>
      </c>
      <c r="CG109">
        <v>10439.700000000001</v>
      </c>
      <c r="CH109">
        <v>969.29</v>
      </c>
      <c r="CI109">
        <v>-15.19</v>
      </c>
      <c r="CW109">
        <f t="shared" si="134"/>
        <v>1800.09</v>
      </c>
      <c r="CX109">
        <f t="shared" si="135"/>
        <v>1513.2597003289002</v>
      </c>
      <c r="CY109">
        <f t="shared" si="136"/>
        <v>0.84065780062602435</v>
      </c>
      <c r="CZ109">
        <f t="shared" si="137"/>
        <v>0.19131560125204886</v>
      </c>
      <c r="DA109">
        <v>6</v>
      </c>
      <c r="DB109">
        <v>0.5</v>
      </c>
      <c r="DC109" t="s">
        <v>420</v>
      </c>
      <c r="DD109">
        <v>2</v>
      </c>
      <c r="DE109">
        <v>1693515811.0999999</v>
      </c>
      <c r="DF109">
        <v>344.66199999999998</v>
      </c>
      <c r="DG109">
        <v>399.92599999999999</v>
      </c>
      <c r="DH109">
        <v>28.601400000000002</v>
      </c>
      <c r="DI109">
        <v>22.84</v>
      </c>
      <c r="DJ109">
        <v>347.18599999999998</v>
      </c>
      <c r="DK109">
        <v>28.158300000000001</v>
      </c>
      <c r="DL109">
        <v>500.69600000000003</v>
      </c>
      <c r="DM109">
        <v>99.414000000000001</v>
      </c>
      <c r="DN109">
        <v>0.100202</v>
      </c>
      <c r="DO109">
        <v>30.491199999999999</v>
      </c>
      <c r="DP109">
        <v>29.959199999999999</v>
      </c>
      <c r="DQ109">
        <v>999.9</v>
      </c>
      <c r="DR109">
        <v>0</v>
      </c>
      <c r="DS109">
        <v>0</v>
      </c>
      <c r="DT109">
        <v>10005</v>
      </c>
      <c r="DU109">
        <v>0</v>
      </c>
      <c r="DV109">
        <v>1436.05</v>
      </c>
      <c r="DW109">
        <v>-55.263800000000003</v>
      </c>
      <c r="DX109">
        <v>354.81</v>
      </c>
      <c r="DY109">
        <v>409.27300000000002</v>
      </c>
      <c r="DZ109">
        <v>5.7613599999999998</v>
      </c>
      <c r="EA109">
        <v>399.92599999999999</v>
      </c>
      <c r="EB109">
        <v>22.84</v>
      </c>
      <c r="EC109">
        <v>2.8433799999999998</v>
      </c>
      <c r="ED109">
        <v>2.2706200000000001</v>
      </c>
      <c r="EE109">
        <v>23.138100000000001</v>
      </c>
      <c r="EF109">
        <v>19.4694</v>
      </c>
      <c r="EG109">
        <v>1800.09</v>
      </c>
      <c r="EH109">
        <v>0.97801000000000005</v>
      </c>
      <c r="EI109">
        <v>2.1989999999999999E-2</v>
      </c>
      <c r="EJ109">
        <v>0</v>
      </c>
      <c r="EK109">
        <v>729.27200000000005</v>
      </c>
      <c r="EL109">
        <v>4.9995000000000003</v>
      </c>
      <c r="EM109">
        <v>13840.8</v>
      </c>
      <c r="EN109">
        <v>16660.7</v>
      </c>
      <c r="EO109">
        <v>48.25</v>
      </c>
      <c r="EP109">
        <v>48.936999999999998</v>
      </c>
      <c r="EQ109">
        <v>49.061999999999998</v>
      </c>
      <c r="ER109">
        <v>48.811999999999998</v>
      </c>
      <c r="ES109">
        <v>49.561999999999998</v>
      </c>
      <c r="ET109">
        <v>1755.62</v>
      </c>
      <c r="EU109">
        <v>39.47</v>
      </c>
      <c r="EV109">
        <v>0</v>
      </c>
      <c r="EW109">
        <v>187.79999995231631</v>
      </c>
      <c r="EX109">
        <v>0</v>
      </c>
      <c r="EY109">
        <v>727.78111538461542</v>
      </c>
      <c r="EZ109">
        <v>13.40564102313173</v>
      </c>
      <c r="FA109">
        <v>224.71453003211269</v>
      </c>
      <c r="FB109">
        <v>13815.865384615379</v>
      </c>
      <c r="FC109">
        <v>15</v>
      </c>
      <c r="FD109">
        <v>1693515722.0999999</v>
      </c>
      <c r="FE109" t="s">
        <v>892</v>
      </c>
      <c r="FF109">
        <v>1693515714.0999999</v>
      </c>
      <c r="FG109">
        <v>1693515722.0999999</v>
      </c>
      <c r="FH109">
        <v>104</v>
      </c>
      <c r="FI109">
        <v>-8.5000000000000006E-2</v>
      </c>
      <c r="FJ109">
        <v>8.9999999999999993E-3</v>
      </c>
      <c r="FK109">
        <v>-2.6070000000000002</v>
      </c>
      <c r="FL109">
        <v>0.20300000000000001</v>
      </c>
      <c r="FM109">
        <v>400</v>
      </c>
      <c r="FN109">
        <v>23</v>
      </c>
      <c r="FO109">
        <v>7.0000000000000007E-2</v>
      </c>
      <c r="FP109">
        <v>0.03</v>
      </c>
      <c r="FQ109">
        <v>44.170798945483533</v>
      </c>
      <c r="FR109">
        <v>1.1891442142172759</v>
      </c>
      <c r="FS109">
        <v>0.1117279550004224</v>
      </c>
      <c r="FT109">
        <v>0</v>
      </c>
      <c r="FU109">
        <v>0.36121659391359418</v>
      </c>
      <c r="FV109">
        <v>-5.4294923378047184E-3</v>
      </c>
      <c r="FW109">
        <v>1.0406649884256399E-3</v>
      </c>
      <c r="FX109">
        <v>1</v>
      </c>
      <c r="FY109">
        <v>1</v>
      </c>
      <c r="FZ109">
        <v>2</v>
      </c>
      <c r="GA109" t="s">
        <v>461</v>
      </c>
      <c r="GB109">
        <v>2.9735900000000002</v>
      </c>
      <c r="GC109">
        <v>2.8119499999999999</v>
      </c>
      <c r="GD109">
        <v>8.7260000000000004E-2</v>
      </c>
      <c r="GE109">
        <v>9.6416500000000002E-2</v>
      </c>
      <c r="GF109">
        <v>0.13539599999999999</v>
      </c>
      <c r="GG109">
        <v>0.11532299999999999</v>
      </c>
      <c r="GH109">
        <v>27061.3</v>
      </c>
      <c r="GI109">
        <v>24665.5</v>
      </c>
      <c r="GJ109">
        <v>26640.5</v>
      </c>
      <c r="GK109">
        <v>25744.799999999999</v>
      </c>
      <c r="GL109">
        <v>31314.6</v>
      </c>
      <c r="GM109">
        <v>32060.9</v>
      </c>
      <c r="GN109">
        <v>37717.4</v>
      </c>
      <c r="GO109">
        <v>38066</v>
      </c>
      <c r="GP109">
        <v>1.9957</v>
      </c>
      <c r="GQ109">
        <v>1.9595</v>
      </c>
      <c r="GR109">
        <v>8.2552399999999998E-2</v>
      </c>
      <c r="GS109">
        <v>0</v>
      </c>
      <c r="GT109">
        <v>28.6142</v>
      </c>
      <c r="GU109">
        <v>999.9</v>
      </c>
      <c r="GV109">
        <v>27.4</v>
      </c>
      <c r="GW109">
        <v>45.4</v>
      </c>
      <c r="GX109">
        <v>27.117899999999999</v>
      </c>
      <c r="GY109">
        <v>61.134099999999997</v>
      </c>
      <c r="GZ109">
        <v>14.851800000000001</v>
      </c>
      <c r="HA109">
        <v>1</v>
      </c>
      <c r="HB109">
        <v>0.15618899999999999</v>
      </c>
      <c r="HC109">
        <v>0.16450999999999999</v>
      </c>
      <c r="HD109">
        <v>20.251799999999999</v>
      </c>
      <c r="HE109">
        <v>5.2107000000000001</v>
      </c>
      <c r="HF109">
        <v>11.9321</v>
      </c>
      <c r="HG109">
        <v>4.9884000000000004</v>
      </c>
      <c r="HH109">
        <v>3.2909999999999999</v>
      </c>
      <c r="HI109">
        <v>9999</v>
      </c>
      <c r="HJ109">
        <v>9999</v>
      </c>
      <c r="HK109">
        <v>9999</v>
      </c>
      <c r="HL109">
        <v>999.9</v>
      </c>
      <c r="HM109">
        <v>1.8710899999999999</v>
      </c>
      <c r="HN109">
        <v>1.87714</v>
      </c>
      <c r="HO109">
        <v>1.8748499999999999</v>
      </c>
      <c r="HP109">
        <v>1.8731500000000001</v>
      </c>
      <c r="HQ109">
        <v>1.8736299999999999</v>
      </c>
      <c r="HR109">
        <v>1.87103</v>
      </c>
      <c r="HS109">
        <v>1.87683</v>
      </c>
      <c r="HT109">
        <v>1.8760699999999999</v>
      </c>
      <c r="HU109">
        <v>5</v>
      </c>
      <c r="HV109">
        <v>0</v>
      </c>
      <c r="HW109">
        <v>0</v>
      </c>
      <c r="HX109">
        <v>0</v>
      </c>
      <c r="HY109" t="s">
        <v>423</v>
      </c>
      <c r="HZ109" t="s">
        <v>424</v>
      </c>
      <c r="IA109" t="s">
        <v>425</v>
      </c>
      <c r="IB109" t="s">
        <v>425</v>
      </c>
      <c r="IC109" t="s">
        <v>425</v>
      </c>
      <c r="ID109" t="s">
        <v>425</v>
      </c>
      <c r="IE109">
        <v>0</v>
      </c>
      <c r="IF109">
        <v>100</v>
      </c>
      <c r="IG109">
        <v>100</v>
      </c>
      <c r="IH109">
        <v>-2.524</v>
      </c>
      <c r="II109">
        <v>0.44309999999999999</v>
      </c>
      <c r="IJ109">
        <v>-1.8018904816441339</v>
      </c>
      <c r="IK109">
        <v>-2.677719669153116E-3</v>
      </c>
      <c r="IL109">
        <v>1.9353498771248068E-6</v>
      </c>
      <c r="IM109">
        <v>-6.1862177325538213E-10</v>
      </c>
      <c r="IN109">
        <v>-0.17862763699464371</v>
      </c>
      <c r="IO109">
        <v>-1.5299015507423901E-2</v>
      </c>
      <c r="IP109">
        <v>1.742162107778985E-3</v>
      </c>
      <c r="IQ109">
        <v>-1.472690239905804E-5</v>
      </c>
      <c r="IR109">
        <v>3</v>
      </c>
      <c r="IS109">
        <v>2255</v>
      </c>
      <c r="IT109">
        <v>2</v>
      </c>
      <c r="IU109">
        <v>41</v>
      </c>
      <c r="IV109">
        <v>1.6</v>
      </c>
      <c r="IW109">
        <v>1.5</v>
      </c>
      <c r="IX109">
        <v>0.96557599999999999</v>
      </c>
      <c r="IY109">
        <v>2.5659200000000002</v>
      </c>
      <c r="IZ109">
        <v>1.5991200000000001</v>
      </c>
      <c r="JA109">
        <v>2.2644000000000002</v>
      </c>
      <c r="JB109">
        <v>1.5502899999999999</v>
      </c>
      <c r="JC109">
        <v>2.31934</v>
      </c>
      <c r="JD109">
        <v>48.9191</v>
      </c>
      <c r="JE109">
        <v>23.912400000000002</v>
      </c>
      <c r="JF109">
        <v>18</v>
      </c>
      <c r="JG109">
        <v>506.55</v>
      </c>
      <c r="JH109">
        <v>453.04599999999999</v>
      </c>
      <c r="JI109">
        <v>27.9361</v>
      </c>
      <c r="JJ109">
        <v>29.521599999999999</v>
      </c>
      <c r="JK109">
        <v>30</v>
      </c>
      <c r="JL109">
        <v>29.5014</v>
      </c>
      <c r="JM109">
        <v>29.465900000000001</v>
      </c>
      <c r="JN109">
        <v>19.364899999999999</v>
      </c>
      <c r="JO109">
        <v>11.3513</v>
      </c>
      <c r="JP109">
        <v>26.502800000000001</v>
      </c>
      <c r="JQ109">
        <v>27.941800000000001</v>
      </c>
      <c r="JR109">
        <v>400</v>
      </c>
      <c r="JS109">
        <v>22.892499999999998</v>
      </c>
      <c r="JT109">
        <v>99.471199999999996</v>
      </c>
      <c r="JU109">
        <v>98.908799999999999</v>
      </c>
    </row>
    <row r="110" spans="1:281" x14ac:dyDescent="0.25">
      <c r="A110">
        <v>94</v>
      </c>
      <c r="B110">
        <v>1693515923.0999999</v>
      </c>
      <c r="C110">
        <v>21943.5</v>
      </c>
      <c r="D110" t="s">
        <v>893</v>
      </c>
      <c r="E110" t="s">
        <v>894</v>
      </c>
      <c r="F110" t="s">
        <v>413</v>
      </c>
      <c r="G110" t="s">
        <v>494</v>
      </c>
      <c r="H110" t="s">
        <v>415</v>
      </c>
      <c r="I110" t="s">
        <v>415</v>
      </c>
      <c r="J110">
        <v>1693515923.0999999</v>
      </c>
      <c r="K110">
        <f t="shared" si="92"/>
        <v>4.7487015899637282E-3</v>
      </c>
      <c r="L110">
        <f t="shared" si="93"/>
        <v>4.7487015899637282</v>
      </c>
      <c r="M110">
        <f t="shared" si="94"/>
        <v>47.677104795227748</v>
      </c>
      <c r="N110">
        <f t="shared" si="95"/>
        <v>440.34899999999999</v>
      </c>
      <c r="O110">
        <f t="shared" si="96"/>
        <v>199.51924392096711</v>
      </c>
      <c r="P110">
        <f t="shared" si="97"/>
        <v>19.855061590038716</v>
      </c>
      <c r="Q110">
        <f t="shared" si="98"/>
        <v>43.821118927130996</v>
      </c>
      <c r="R110">
        <f t="shared" si="99"/>
        <v>0.34524828188953183</v>
      </c>
      <c r="S110">
        <f t="shared" si="100"/>
        <v>2.9043117180405749</v>
      </c>
      <c r="T110">
        <f t="shared" si="101"/>
        <v>0.32396084091417204</v>
      </c>
      <c r="U110">
        <f t="shared" si="102"/>
        <v>0.20427864591915468</v>
      </c>
      <c r="V110">
        <f t="shared" si="103"/>
        <v>344.40100065844166</v>
      </c>
      <c r="W110">
        <f t="shared" si="104"/>
        <v>31.297000097474207</v>
      </c>
      <c r="X110">
        <f t="shared" si="105"/>
        <v>30.012599999999999</v>
      </c>
      <c r="Y110">
        <f t="shared" si="106"/>
        <v>4.263534175970884</v>
      </c>
      <c r="Z110">
        <f t="shared" si="107"/>
        <v>65.176919414476245</v>
      </c>
      <c r="AA110">
        <f t="shared" si="108"/>
        <v>2.8570120832304999</v>
      </c>
      <c r="AB110">
        <f t="shared" si="109"/>
        <v>4.3834721077595731</v>
      </c>
      <c r="AC110">
        <f t="shared" si="110"/>
        <v>1.4065220927403841</v>
      </c>
      <c r="AD110">
        <f t="shared" si="111"/>
        <v>-209.4177401174004</v>
      </c>
      <c r="AE110">
        <f t="shared" si="112"/>
        <v>75.767732892679703</v>
      </c>
      <c r="AF110">
        <f t="shared" si="113"/>
        <v>5.8153321738166808</v>
      </c>
      <c r="AG110">
        <f t="shared" si="114"/>
        <v>216.56632560753764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51537.18650273385</v>
      </c>
      <c r="AM110" t="s">
        <v>417</v>
      </c>
      <c r="AN110">
        <v>10238.9</v>
      </c>
      <c r="AO110">
        <v>302.21199999999999</v>
      </c>
      <c r="AP110">
        <v>4052.3</v>
      </c>
      <c r="AQ110">
        <f t="shared" si="118"/>
        <v>0.92542210596451402</v>
      </c>
      <c r="AR110">
        <v>-0.32343011824092421</v>
      </c>
      <c r="AS110" t="s">
        <v>895</v>
      </c>
      <c r="AT110">
        <v>10475.6</v>
      </c>
      <c r="AU110">
        <v>752.68795999999986</v>
      </c>
      <c r="AV110">
        <v>1139.3268649786739</v>
      </c>
      <c r="AW110">
        <f t="shared" si="119"/>
        <v>0.33935731427338123</v>
      </c>
      <c r="AX110">
        <v>0.5</v>
      </c>
      <c r="AY110">
        <f t="shared" si="120"/>
        <v>1513.319700329221</v>
      </c>
      <c r="AZ110">
        <f t="shared" si="121"/>
        <v>47.677104795227748</v>
      </c>
      <c r="BA110">
        <f t="shared" si="122"/>
        <v>256.77805457036129</v>
      </c>
      <c r="BB110">
        <f t="shared" si="123"/>
        <v>3.1718700881926146E-2</v>
      </c>
      <c r="BC110">
        <f t="shared" si="124"/>
        <v>2.5567492741214801</v>
      </c>
      <c r="BD110">
        <f t="shared" si="125"/>
        <v>253.81527146295815</v>
      </c>
      <c r="BE110" t="s">
        <v>896</v>
      </c>
      <c r="BF110">
        <v>582.24</v>
      </c>
      <c r="BG110">
        <f t="shared" si="126"/>
        <v>582.24</v>
      </c>
      <c r="BH110">
        <f t="shared" si="127"/>
        <v>0.48896140528477883</v>
      </c>
      <c r="BI110">
        <f t="shared" si="128"/>
        <v>0.69403701520314098</v>
      </c>
      <c r="BJ110">
        <f t="shared" si="129"/>
        <v>0.83945901080134799</v>
      </c>
      <c r="BK110">
        <f t="shared" si="130"/>
        <v>0.4618707911590173</v>
      </c>
      <c r="BL110">
        <f t="shared" si="131"/>
        <v>0.77677460769489304</v>
      </c>
      <c r="BM110">
        <f t="shared" si="132"/>
        <v>0.536870699687925</v>
      </c>
      <c r="BN110">
        <f t="shared" si="133"/>
        <v>0.463129300312075</v>
      </c>
      <c r="BO110">
        <v>5874</v>
      </c>
      <c r="BP110">
        <v>290.00000000000011</v>
      </c>
      <c r="BQ110">
        <v>1031.94</v>
      </c>
      <c r="BR110">
        <v>165</v>
      </c>
      <c r="BS110">
        <v>10475.6</v>
      </c>
      <c r="BT110">
        <v>1026.23</v>
      </c>
      <c r="BU110">
        <v>5.71</v>
      </c>
      <c r="BV110">
        <v>300.00000000000011</v>
      </c>
      <c r="BW110">
        <v>38.299999999999997</v>
      </c>
      <c r="BX110">
        <v>1139.3268649786739</v>
      </c>
      <c r="BY110">
        <v>1.3262534307721621</v>
      </c>
      <c r="BZ110">
        <v>-118.47380298072051</v>
      </c>
      <c r="CA110">
        <v>1.13626894732058</v>
      </c>
      <c r="CB110">
        <v>0.99743103300257829</v>
      </c>
      <c r="CC110">
        <v>-1.1362943937708571E-2</v>
      </c>
      <c r="CD110">
        <v>289.99999999999989</v>
      </c>
      <c r="CE110">
        <v>1010.8</v>
      </c>
      <c r="CF110">
        <v>635</v>
      </c>
      <c r="CG110">
        <v>10442.5</v>
      </c>
      <c r="CH110">
        <v>1025.8699999999999</v>
      </c>
      <c r="CI110">
        <v>-15.07</v>
      </c>
      <c r="CW110">
        <f t="shared" si="134"/>
        <v>1800.16</v>
      </c>
      <c r="CX110">
        <f t="shared" si="135"/>
        <v>1513.319700329221</v>
      </c>
      <c r="CY110">
        <f t="shared" si="136"/>
        <v>0.84065844165475345</v>
      </c>
      <c r="CZ110">
        <f t="shared" si="137"/>
        <v>0.19131688330950675</v>
      </c>
      <c r="DA110">
        <v>6</v>
      </c>
      <c r="DB110">
        <v>0.5</v>
      </c>
      <c r="DC110" t="s">
        <v>420</v>
      </c>
      <c r="DD110">
        <v>2</v>
      </c>
      <c r="DE110">
        <v>1693515923.0999999</v>
      </c>
      <c r="DF110">
        <v>440.34899999999999</v>
      </c>
      <c r="DG110">
        <v>500.03800000000001</v>
      </c>
      <c r="DH110">
        <v>28.709499999999998</v>
      </c>
      <c r="DI110">
        <v>23.177700000000002</v>
      </c>
      <c r="DJ110">
        <v>443.00799999999998</v>
      </c>
      <c r="DK110">
        <v>28.262</v>
      </c>
      <c r="DL110">
        <v>500.27499999999998</v>
      </c>
      <c r="DM110">
        <v>99.413300000000007</v>
      </c>
      <c r="DN110">
        <v>0.101219</v>
      </c>
      <c r="DO110">
        <v>30.496500000000001</v>
      </c>
      <c r="DP110">
        <v>30.012599999999999</v>
      </c>
      <c r="DQ110">
        <v>999.9</v>
      </c>
      <c r="DR110">
        <v>0</v>
      </c>
      <c r="DS110">
        <v>0</v>
      </c>
      <c r="DT110">
        <v>9915</v>
      </c>
      <c r="DU110">
        <v>0</v>
      </c>
      <c r="DV110">
        <v>1429.76</v>
      </c>
      <c r="DW110">
        <v>-59.689100000000003</v>
      </c>
      <c r="DX110">
        <v>453.36500000000001</v>
      </c>
      <c r="DY110">
        <v>511.90300000000002</v>
      </c>
      <c r="DZ110">
        <v>5.5318399999999999</v>
      </c>
      <c r="EA110">
        <v>500.03800000000001</v>
      </c>
      <c r="EB110">
        <v>23.177700000000002</v>
      </c>
      <c r="EC110">
        <v>2.8541099999999999</v>
      </c>
      <c r="ED110">
        <v>2.3041700000000001</v>
      </c>
      <c r="EE110">
        <v>23.200399999999998</v>
      </c>
      <c r="EF110">
        <v>19.7056</v>
      </c>
      <c r="EG110">
        <v>1800.16</v>
      </c>
      <c r="EH110">
        <v>0.977993</v>
      </c>
      <c r="EI110">
        <v>2.2007499999999999E-2</v>
      </c>
      <c r="EJ110">
        <v>0</v>
      </c>
      <c r="EK110">
        <v>752.68799999999999</v>
      </c>
      <c r="EL110">
        <v>4.9995000000000003</v>
      </c>
      <c r="EM110">
        <v>14256.8</v>
      </c>
      <c r="EN110">
        <v>16661.2</v>
      </c>
      <c r="EO110">
        <v>48.25</v>
      </c>
      <c r="EP110">
        <v>48.811999999999998</v>
      </c>
      <c r="EQ110">
        <v>49</v>
      </c>
      <c r="ER110">
        <v>48.686999999999998</v>
      </c>
      <c r="ES110">
        <v>49.5</v>
      </c>
      <c r="ET110">
        <v>1755.65</v>
      </c>
      <c r="EU110">
        <v>39.51</v>
      </c>
      <c r="EV110">
        <v>0</v>
      </c>
      <c r="EW110">
        <v>109.7999999523163</v>
      </c>
      <c r="EX110">
        <v>0</v>
      </c>
      <c r="EY110">
        <v>752.68795999999986</v>
      </c>
      <c r="EZ110">
        <v>1.389000012448331</v>
      </c>
      <c r="FA110">
        <v>-11.153846111085461</v>
      </c>
      <c r="FB110">
        <v>14258.4</v>
      </c>
      <c r="FC110">
        <v>15</v>
      </c>
      <c r="FD110">
        <v>1693515889.5999999</v>
      </c>
      <c r="FE110" t="s">
        <v>897</v>
      </c>
      <c r="FF110">
        <v>1693515883.5999999</v>
      </c>
      <c r="FG110">
        <v>1693515889.5999999</v>
      </c>
      <c r="FH110">
        <v>105</v>
      </c>
      <c r="FI110">
        <v>3.0000000000000001E-3</v>
      </c>
      <c r="FJ110">
        <v>-1E-3</v>
      </c>
      <c r="FK110">
        <v>-2.7349999999999999</v>
      </c>
      <c r="FL110">
        <v>0.21</v>
      </c>
      <c r="FM110">
        <v>500</v>
      </c>
      <c r="FN110">
        <v>23</v>
      </c>
      <c r="FO110">
        <v>0.09</v>
      </c>
      <c r="FP110">
        <v>0.02</v>
      </c>
      <c r="FQ110">
        <v>47.775485915389787</v>
      </c>
      <c r="FR110">
        <v>-0.37204289560917458</v>
      </c>
      <c r="FS110">
        <v>0.1083380825353895</v>
      </c>
      <c r="FT110">
        <v>1</v>
      </c>
      <c r="FU110">
        <v>0.35483636041678368</v>
      </c>
      <c r="FV110">
        <v>-2.41669127761663E-2</v>
      </c>
      <c r="FW110">
        <v>5.0999929026451464E-3</v>
      </c>
      <c r="FX110">
        <v>1</v>
      </c>
      <c r="FY110">
        <v>2</v>
      </c>
      <c r="FZ110">
        <v>2</v>
      </c>
      <c r="GA110" t="s">
        <v>422</v>
      </c>
      <c r="GB110">
        <v>2.9724499999999998</v>
      </c>
      <c r="GC110">
        <v>2.8121800000000001</v>
      </c>
      <c r="GD110">
        <v>0.105404</v>
      </c>
      <c r="GE110">
        <v>0.11408600000000001</v>
      </c>
      <c r="GF110">
        <v>0.13574</v>
      </c>
      <c r="GG110">
        <v>0.11651</v>
      </c>
      <c r="GH110">
        <v>26523.599999999999</v>
      </c>
      <c r="GI110">
        <v>24182.7</v>
      </c>
      <c r="GJ110">
        <v>26640.799999999999</v>
      </c>
      <c r="GK110">
        <v>25744.400000000001</v>
      </c>
      <c r="GL110">
        <v>31303.200000000001</v>
      </c>
      <c r="GM110">
        <v>32018.7</v>
      </c>
      <c r="GN110">
        <v>37717.300000000003</v>
      </c>
      <c r="GO110">
        <v>38065.599999999999</v>
      </c>
      <c r="GP110">
        <v>1.9950000000000001</v>
      </c>
      <c r="GQ110">
        <v>1.9601</v>
      </c>
      <c r="GR110">
        <v>7.9661599999999999E-2</v>
      </c>
      <c r="GS110">
        <v>0</v>
      </c>
      <c r="GT110">
        <v>28.7149</v>
      </c>
      <c r="GU110">
        <v>999.9</v>
      </c>
      <c r="GV110">
        <v>27.6</v>
      </c>
      <c r="GW110">
        <v>45.4</v>
      </c>
      <c r="GX110">
        <v>27.316800000000001</v>
      </c>
      <c r="GY110">
        <v>61.664099999999998</v>
      </c>
      <c r="GZ110">
        <v>15.7532</v>
      </c>
      <c r="HA110">
        <v>1</v>
      </c>
      <c r="HB110">
        <v>0.15814</v>
      </c>
      <c r="HC110">
        <v>1.3374600000000001</v>
      </c>
      <c r="HD110">
        <v>20.245200000000001</v>
      </c>
      <c r="HE110">
        <v>5.2107000000000001</v>
      </c>
      <c r="HF110">
        <v>11.9321</v>
      </c>
      <c r="HG110">
        <v>4.9880000000000004</v>
      </c>
      <c r="HH110">
        <v>3.2909999999999999</v>
      </c>
      <c r="HI110">
        <v>9999</v>
      </c>
      <c r="HJ110">
        <v>9999</v>
      </c>
      <c r="HK110">
        <v>9999</v>
      </c>
      <c r="HL110">
        <v>999.9</v>
      </c>
      <c r="HM110">
        <v>1.8710800000000001</v>
      </c>
      <c r="HN110">
        <v>1.8771199999999999</v>
      </c>
      <c r="HO110">
        <v>1.8749</v>
      </c>
      <c r="HP110">
        <v>1.8731100000000001</v>
      </c>
      <c r="HQ110">
        <v>1.8736299999999999</v>
      </c>
      <c r="HR110">
        <v>1.87103</v>
      </c>
      <c r="HS110">
        <v>1.8768499999999999</v>
      </c>
      <c r="HT110">
        <v>1.8760699999999999</v>
      </c>
      <c r="HU110">
        <v>5</v>
      </c>
      <c r="HV110">
        <v>0</v>
      </c>
      <c r="HW110">
        <v>0</v>
      </c>
      <c r="HX110">
        <v>0</v>
      </c>
      <c r="HY110" t="s">
        <v>423</v>
      </c>
      <c r="HZ110" t="s">
        <v>424</v>
      </c>
      <c r="IA110" t="s">
        <v>425</v>
      </c>
      <c r="IB110" t="s">
        <v>425</v>
      </c>
      <c r="IC110" t="s">
        <v>425</v>
      </c>
      <c r="ID110" t="s">
        <v>425</v>
      </c>
      <c r="IE110">
        <v>0</v>
      </c>
      <c r="IF110">
        <v>100</v>
      </c>
      <c r="IG110">
        <v>100</v>
      </c>
      <c r="IH110">
        <v>-2.6589999999999998</v>
      </c>
      <c r="II110">
        <v>0.44750000000000001</v>
      </c>
      <c r="IJ110">
        <v>-1.7989563055486171</v>
      </c>
      <c r="IK110">
        <v>-2.677719669153116E-3</v>
      </c>
      <c r="IL110">
        <v>1.9353498771248068E-6</v>
      </c>
      <c r="IM110">
        <v>-6.1862177325538213E-10</v>
      </c>
      <c r="IN110">
        <v>-0.17915789908656249</v>
      </c>
      <c r="IO110">
        <v>-1.5299015507423901E-2</v>
      </c>
      <c r="IP110">
        <v>1.742162107778985E-3</v>
      </c>
      <c r="IQ110">
        <v>-1.472690239905804E-5</v>
      </c>
      <c r="IR110">
        <v>3</v>
      </c>
      <c r="IS110">
        <v>2255</v>
      </c>
      <c r="IT110">
        <v>2</v>
      </c>
      <c r="IU110">
        <v>41</v>
      </c>
      <c r="IV110">
        <v>0.7</v>
      </c>
      <c r="IW110">
        <v>0.6</v>
      </c>
      <c r="IX110">
        <v>1.15479</v>
      </c>
      <c r="IY110">
        <v>2.5524900000000001</v>
      </c>
      <c r="IZ110">
        <v>1.5991200000000001</v>
      </c>
      <c r="JA110">
        <v>2.2631800000000002</v>
      </c>
      <c r="JB110">
        <v>1.5502899999999999</v>
      </c>
      <c r="JC110">
        <v>2.35229</v>
      </c>
      <c r="JD110">
        <v>48.887999999999998</v>
      </c>
      <c r="JE110">
        <v>23.912400000000002</v>
      </c>
      <c r="JF110">
        <v>18</v>
      </c>
      <c r="JG110">
        <v>506.10399999999998</v>
      </c>
      <c r="JH110">
        <v>453.42899999999997</v>
      </c>
      <c r="JI110">
        <v>26.7715</v>
      </c>
      <c r="JJ110">
        <v>29.518999999999998</v>
      </c>
      <c r="JK110">
        <v>30.0001</v>
      </c>
      <c r="JL110">
        <v>29.5014</v>
      </c>
      <c r="JM110">
        <v>29.468399999999999</v>
      </c>
      <c r="JN110">
        <v>23.1449</v>
      </c>
      <c r="JO110">
        <v>10.981400000000001</v>
      </c>
      <c r="JP110">
        <v>28.139700000000001</v>
      </c>
      <c r="JQ110">
        <v>26.779199999999999</v>
      </c>
      <c r="JR110">
        <v>500</v>
      </c>
      <c r="JS110">
        <v>23.287099999999999</v>
      </c>
      <c r="JT110">
        <v>99.471599999999995</v>
      </c>
      <c r="JU110">
        <v>98.907499999999999</v>
      </c>
    </row>
    <row r="111" spans="1:281" x14ac:dyDescent="0.25">
      <c r="A111">
        <v>95</v>
      </c>
      <c r="B111">
        <v>1693516050.5999999</v>
      </c>
      <c r="C111">
        <v>22071</v>
      </c>
      <c r="D111" t="s">
        <v>898</v>
      </c>
      <c r="E111" t="s">
        <v>899</v>
      </c>
      <c r="F111" t="s">
        <v>413</v>
      </c>
      <c r="G111" t="s">
        <v>494</v>
      </c>
      <c r="H111" t="s">
        <v>415</v>
      </c>
      <c r="I111" t="s">
        <v>415</v>
      </c>
      <c r="J111">
        <v>1693516050.5999999</v>
      </c>
      <c r="K111">
        <f t="shared" si="92"/>
        <v>4.3208468763963866E-3</v>
      </c>
      <c r="L111">
        <f t="shared" si="93"/>
        <v>4.320846876396387</v>
      </c>
      <c r="M111">
        <f t="shared" si="94"/>
        <v>47.898318436031452</v>
      </c>
      <c r="N111">
        <f t="shared" si="95"/>
        <v>639.18100000000004</v>
      </c>
      <c r="O111">
        <f t="shared" si="96"/>
        <v>364.93860117300358</v>
      </c>
      <c r="P111">
        <f t="shared" si="97"/>
        <v>36.31660323475441</v>
      </c>
      <c r="Q111">
        <f t="shared" si="98"/>
        <v>63.607638922222996</v>
      </c>
      <c r="R111">
        <f t="shared" si="99"/>
        <v>0.30668403349275303</v>
      </c>
      <c r="S111">
        <f t="shared" si="100"/>
        <v>2.9122398365235176</v>
      </c>
      <c r="T111">
        <f t="shared" si="101"/>
        <v>0.2898048646247427</v>
      </c>
      <c r="U111">
        <f t="shared" si="102"/>
        <v>0.1825671091388921</v>
      </c>
      <c r="V111">
        <f t="shared" si="103"/>
        <v>344.34980065803677</v>
      </c>
      <c r="W111">
        <f t="shared" si="104"/>
        <v>31.305951163331407</v>
      </c>
      <c r="X111">
        <f t="shared" si="105"/>
        <v>30.004300000000001</v>
      </c>
      <c r="Y111">
        <f t="shared" si="106"/>
        <v>4.2615021676765465</v>
      </c>
      <c r="Z111">
        <f t="shared" si="107"/>
        <v>64.948085795893334</v>
      </c>
      <c r="AA111">
        <f t="shared" si="108"/>
        <v>2.8306638770783996</v>
      </c>
      <c r="AB111">
        <f t="shared" si="109"/>
        <v>4.3583484291963259</v>
      </c>
      <c r="AC111">
        <f t="shared" si="110"/>
        <v>1.4308382905981469</v>
      </c>
      <c r="AD111">
        <f t="shared" si="111"/>
        <v>-190.54934724908065</v>
      </c>
      <c r="AE111">
        <f t="shared" si="112"/>
        <v>61.51443129931576</v>
      </c>
      <c r="AF111">
        <f t="shared" si="113"/>
        <v>4.705976069832678</v>
      </c>
      <c r="AG111">
        <f t="shared" si="114"/>
        <v>220.02086077810455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51779.46296929862</v>
      </c>
      <c r="AM111" t="s">
        <v>417</v>
      </c>
      <c r="AN111">
        <v>10238.9</v>
      </c>
      <c r="AO111">
        <v>302.21199999999999</v>
      </c>
      <c r="AP111">
        <v>4052.3</v>
      </c>
      <c r="AQ111">
        <f t="shared" si="118"/>
        <v>0.92542210596451402</v>
      </c>
      <c r="AR111">
        <v>-0.32343011824092421</v>
      </c>
      <c r="AS111" t="s">
        <v>900</v>
      </c>
      <c r="AT111">
        <v>10476.1</v>
      </c>
      <c r="AU111">
        <v>753.38952000000006</v>
      </c>
      <c r="AV111">
        <v>1154.4047834965099</v>
      </c>
      <c r="AW111">
        <f t="shared" si="119"/>
        <v>0.34737837994910059</v>
      </c>
      <c r="AX111">
        <v>0.5</v>
      </c>
      <c r="AY111">
        <f t="shared" si="120"/>
        <v>1513.1004003290184</v>
      </c>
      <c r="AZ111">
        <f t="shared" si="121"/>
        <v>47.898318436031452</v>
      </c>
      <c r="BA111">
        <f t="shared" si="122"/>
        <v>262.80918288331497</v>
      </c>
      <c r="BB111">
        <f t="shared" si="123"/>
        <v>3.1869496924187397E-2</v>
      </c>
      <c r="BC111">
        <f t="shared" si="124"/>
        <v>2.5102938396757355</v>
      </c>
      <c r="BD111">
        <f t="shared" si="125"/>
        <v>254.55596056715487</v>
      </c>
      <c r="BE111" t="s">
        <v>901</v>
      </c>
      <c r="BF111">
        <v>589.35</v>
      </c>
      <c r="BG111">
        <f t="shared" si="126"/>
        <v>589.35</v>
      </c>
      <c r="BH111">
        <f t="shared" si="127"/>
        <v>0.48947716743259517</v>
      </c>
      <c r="BI111">
        <f t="shared" si="128"/>
        <v>0.70969271512942911</v>
      </c>
      <c r="BJ111">
        <f t="shared" si="129"/>
        <v>0.8368284891504324</v>
      </c>
      <c r="BK111">
        <f t="shared" si="130"/>
        <v>0.47056871550960766</v>
      </c>
      <c r="BL111">
        <f t="shared" si="131"/>
        <v>0.77275392377551944</v>
      </c>
      <c r="BM111">
        <f t="shared" si="132"/>
        <v>0.55516753360403659</v>
      </c>
      <c r="BN111">
        <f t="shared" si="133"/>
        <v>0.44483246639596341</v>
      </c>
      <c r="BO111">
        <v>5876</v>
      </c>
      <c r="BP111">
        <v>290.00000000000011</v>
      </c>
      <c r="BQ111">
        <v>1040.3499999999999</v>
      </c>
      <c r="BR111">
        <v>165</v>
      </c>
      <c r="BS111">
        <v>10476.1</v>
      </c>
      <c r="BT111">
        <v>1035.94</v>
      </c>
      <c r="BU111">
        <v>4.41</v>
      </c>
      <c r="BV111">
        <v>300.00000000000011</v>
      </c>
      <c r="BW111">
        <v>38.299999999999997</v>
      </c>
      <c r="BX111">
        <v>1154.4047834965099</v>
      </c>
      <c r="BY111">
        <v>1.5148273108744601</v>
      </c>
      <c r="BZ111">
        <v>-124.1010296198405</v>
      </c>
      <c r="CA111">
        <v>1.2979049227614761</v>
      </c>
      <c r="CB111">
        <v>0.99694673165477621</v>
      </c>
      <c r="CC111">
        <v>-1.136354215795329E-2</v>
      </c>
      <c r="CD111">
        <v>289.99999999999989</v>
      </c>
      <c r="CE111">
        <v>1020.54</v>
      </c>
      <c r="CF111">
        <v>635</v>
      </c>
      <c r="CG111">
        <v>10443.1</v>
      </c>
      <c r="CH111">
        <v>1035.57</v>
      </c>
      <c r="CI111">
        <v>-15.03</v>
      </c>
      <c r="CW111">
        <f t="shared" si="134"/>
        <v>1799.9</v>
      </c>
      <c r="CX111">
        <f t="shared" si="135"/>
        <v>1513.1004003290184</v>
      </c>
      <c r="CY111">
        <f t="shared" si="136"/>
        <v>0.84065803674038464</v>
      </c>
      <c r="CZ111">
        <f t="shared" si="137"/>
        <v>0.19131607348076934</v>
      </c>
      <c r="DA111">
        <v>6</v>
      </c>
      <c r="DB111">
        <v>0.5</v>
      </c>
      <c r="DC111" t="s">
        <v>420</v>
      </c>
      <c r="DD111">
        <v>2</v>
      </c>
      <c r="DE111">
        <v>1693516050.5999999</v>
      </c>
      <c r="DF111">
        <v>639.18100000000004</v>
      </c>
      <c r="DG111">
        <v>699.93899999999996</v>
      </c>
      <c r="DH111">
        <v>28.444800000000001</v>
      </c>
      <c r="DI111">
        <v>23.4101</v>
      </c>
      <c r="DJ111">
        <v>642.14300000000003</v>
      </c>
      <c r="DK111">
        <v>28.015899999999998</v>
      </c>
      <c r="DL111">
        <v>500.28100000000001</v>
      </c>
      <c r="DM111">
        <v>99.414199999999994</v>
      </c>
      <c r="DN111">
        <v>0.10008300000000001</v>
      </c>
      <c r="DO111">
        <v>30.396100000000001</v>
      </c>
      <c r="DP111">
        <v>30.004300000000001</v>
      </c>
      <c r="DQ111">
        <v>999.9</v>
      </c>
      <c r="DR111">
        <v>0</v>
      </c>
      <c r="DS111">
        <v>0</v>
      </c>
      <c r="DT111">
        <v>9960</v>
      </c>
      <c r="DU111">
        <v>0</v>
      </c>
      <c r="DV111">
        <v>1417.65</v>
      </c>
      <c r="DW111">
        <v>-60.758699999999997</v>
      </c>
      <c r="DX111">
        <v>657.89400000000001</v>
      </c>
      <c r="DY111">
        <v>716.71799999999996</v>
      </c>
      <c r="DZ111">
        <v>5.0347600000000003</v>
      </c>
      <c r="EA111">
        <v>699.93899999999996</v>
      </c>
      <c r="EB111">
        <v>23.4101</v>
      </c>
      <c r="EC111">
        <v>2.82782</v>
      </c>
      <c r="ED111">
        <v>2.3272900000000001</v>
      </c>
      <c r="EE111">
        <v>23.0474</v>
      </c>
      <c r="EF111">
        <v>19.866599999999998</v>
      </c>
      <c r="EG111">
        <v>1799.9</v>
      </c>
      <c r="EH111">
        <v>0.97800600000000004</v>
      </c>
      <c r="EI111">
        <v>2.1993599999999999E-2</v>
      </c>
      <c r="EJ111">
        <v>0</v>
      </c>
      <c r="EK111">
        <v>752.88</v>
      </c>
      <c r="EL111">
        <v>4.9995000000000003</v>
      </c>
      <c r="EM111">
        <v>14253</v>
      </c>
      <c r="EN111">
        <v>16658.900000000001</v>
      </c>
      <c r="EO111">
        <v>48.186999999999998</v>
      </c>
      <c r="EP111">
        <v>48.686999999999998</v>
      </c>
      <c r="EQ111">
        <v>49</v>
      </c>
      <c r="ER111">
        <v>48.561999999999998</v>
      </c>
      <c r="ES111">
        <v>49.436999999999998</v>
      </c>
      <c r="ET111">
        <v>1755.42</v>
      </c>
      <c r="EU111">
        <v>39.479999999999997</v>
      </c>
      <c r="EV111">
        <v>0</v>
      </c>
      <c r="EW111">
        <v>125.3999998569489</v>
      </c>
      <c r="EX111">
        <v>0</v>
      </c>
      <c r="EY111">
        <v>753.38952000000006</v>
      </c>
      <c r="EZ111">
        <v>-5.0711538393166053</v>
      </c>
      <c r="FA111">
        <v>-51.54615379220062</v>
      </c>
      <c r="FB111">
        <v>14259.951999999999</v>
      </c>
      <c r="FC111">
        <v>15</v>
      </c>
      <c r="FD111">
        <v>1693516016.0999999</v>
      </c>
      <c r="FE111" t="s">
        <v>902</v>
      </c>
      <c r="FF111">
        <v>1693516016.0999999</v>
      </c>
      <c r="FG111">
        <v>1693516012.0999999</v>
      </c>
      <c r="FH111">
        <v>106</v>
      </c>
      <c r="FI111">
        <v>-7.8E-2</v>
      </c>
      <c r="FJ111">
        <v>-7.0000000000000001E-3</v>
      </c>
      <c r="FK111">
        <v>-3.0179999999999998</v>
      </c>
      <c r="FL111">
        <v>0.20399999999999999</v>
      </c>
      <c r="FM111">
        <v>700</v>
      </c>
      <c r="FN111">
        <v>23</v>
      </c>
      <c r="FO111">
        <v>0.11</v>
      </c>
      <c r="FP111">
        <v>0.04</v>
      </c>
      <c r="FQ111">
        <v>48.030367144930459</v>
      </c>
      <c r="FR111">
        <v>-0.5469420914764479</v>
      </c>
      <c r="FS111">
        <v>0.10913136046505351</v>
      </c>
      <c r="FT111">
        <v>1</v>
      </c>
      <c r="FU111">
        <v>0.31316693729509759</v>
      </c>
      <c r="FV111">
        <v>-3.7863753674123438E-2</v>
      </c>
      <c r="FW111">
        <v>3.1884160144503549E-3</v>
      </c>
      <c r="FX111">
        <v>1</v>
      </c>
      <c r="FY111">
        <v>2</v>
      </c>
      <c r="FZ111">
        <v>2</v>
      </c>
      <c r="GA111" t="s">
        <v>422</v>
      </c>
      <c r="GB111">
        <v>2.9724599999999999</v>
      </c>
      <c r="GC111">
        <v>2.8114300000000001</v>
      </c>
      <c r="GD111">
        <v>0.13800999999999999</v>
      </c>
      <c r="GE111">
        <v>0.14490500000000001</v>
      </c>
      <c r="GF111">
        <v>0.13491700000000001</v>
      </c>
      <c r="GG111">
        <v>0.117329</v>
      </c>
      <c r="GH111">
        <v>25557.4</v>
      </c>
      <c r="GI111">
        <v>23339.7</v>
      </c>
      <c r="GJ111">
        <v>26641.599999999999</v>
      </c>
      <c r="GK111">
        <v>25742.799999999999</v>
      </c>
      <c r="GL111">
        <v>31337.200000000001</v>
      </c>
      <c r="GM111">
        <v>31988.7</v>
      </c>
      <c r="GN111">
        <v>37718.6</v>
      </c>
      <c r="GO111">
        <v>38062.6</v>
      </c>
      <c r="GP111">
        <v>1.9943</v>
      </c>
      <c r="GQ111">
        <v>1.9617</v>
      </c>
      <c r="GR111">
        <v>8.41171E-2</v>
      </c>
      <c r="GS111">
        <v>0</v>
      </c>
      <c r="GT111">
        <v>28.633900000000001</v>
      </c>
      <c r="GU111">
        <v>999.9</v>
      </c>
      <c r="GV111">
        <v>27.9</v>
      </c>
      <c r="GW111">
        <v>45.3</v>
      </c>
      <c r="GX111">
        <v>27.470700000000001</v>
      </c>
      <c r="GY111">
        <v>61.504100000000001</v>
      </c>
      <c r="GZ111">
        <v>15.536899999999999</v>
      </c>
      <c r="HA111">
        <v>1</v>
      </c>
      <c r="HB111">
        <v>0.15753</v>
      </c>
      <c r="HC111">
        <v>1.12913</v>
      </c>
      <c r="HD111">
        <v>20.2471</v>
      </c>
      <c r="HE111">
        <v>5.2088999999999999</v>
      </c>
      <c r="HF111">
        <v>11.9321</v>
      </c>
      <c r="HG111">
        <v>4.9885999999999999</v>
      </c>
      <c r="HH111">
        <v>3.2909999999999999</v>
      </c>
      <c r="HI111">
        <v>9999</v>
      </c>
      <c r="HJ111">
        <v>9999</v>
      </c>
      <c r="HK111">
        <v>9999</v>
      </c>
      <c r="HL111">
        <v>999.9</v>
      </c>
      <c r="HM111">
        <v>1.8710599999999999</v>
      </c>
      <c r="HN111">
        <v>1.87714</v>
      </c>
      <c r="HO111">
        <v>1.87486</v>
      </c>
      <c r="HP111">
        <v>1.87313</v>
      </c>
      <c r="HQ111">
        <v>1.8736299999999999</v>
      </c>
      <c r="HR111">
        <v>1.87103</v>
      </c>
      <c r="HS111">
        <v>1.8768499999999999</v>
      </c>
      <c r="HT111">
        <v>1.8760699999999999</v>
      </c>
      <c r="HU111">
        <v>5</v>
      </c>
      <c r="HV111">
        <v>0</v>
      </c>
      <c r="HW111">
        <v>0</v>
      </c>
      <c r="HX111">
        <v>0</v>
      </c>
      <c r="HY111" t="s">
        <v>423</v>
      </c>
      <c r="HZ111" t="s">
        <v>424</v>
      </c>
      <c r="IA111" t="s">
        <v>425</v>
      </c>
      <c r="IB111" t="s">
        <v>425</v>
      </c>
      <c r="IC111" t="s">
        <v>425</v>
      </c>
      <c r="ID111" t="s">
        <v>425</v>
      </c>
      <c r="IE111">
        <v>0</v>
      </c>
      <c r="IF111">
        <v>100</v>
      </c>
      <c r="IG111">
        <v>100</v>
      </c>
      <c r="IH111">
        <v>-2.9620000000000002</v>
      </c>
      <c r="II111">
        <v>0.4289</v>
      </c>
      <c r="IJ111">
        <v>-1.87751164598541</v>
      </c>
      <c r="IK111">
        <v>-2.677719669153116E-3</v>
      </c>
      <c r="IL111">
        <v>1.9353498771248068E-6</v>
      </c>
      <c r="IM111">
        <v>-6.1862177325538213E-10</v>
      </c>
      <c r="IN111">
        <v>-0.18603359809672351</v>
      </c>
      <c r="IO111">
        <v>-1.5299015507423901E-2</v>
      </c>
      <c r="IP111">
        <v>1.742162107778985E-3</v>
      </c>
      <c r="IQ111">
        <v>-1.472690239905804E-5</v>
      </c>
      <c r="IR111">
        <v>3</v>
      </c>
      <c r="IS111">
        <v>2255</v>
      </c>
      <c r="IT111">
        <v>2</v>
      </c>
      <c r="IU111">
        <v>41</v>
      </c>
      <c r="IV111">
        <v>0.6</v>
      </c>
      <c r="IW111">
        <v>0.6</v>
      </c>
      <c r="IX111">
        <v>1.5173300000000001</v>
      </c>
      <c r="IY111">
        <v>2.5439500000000002</v>
      </c>
      <c r="IZ111">
        <v>1.5991200000000001</v>
      </c>
      <c r="JA111">
        <v>2.2644000000000002</v>
      </c>
      <c r="JB111">
        <v>1.5502899999999999</v>
      </c>
      <c r="JC111">
        <v>2.34375</v>
      </c>
      <c r="JD111">
        <v>48.794699999999999</v>
      </c>
      <c r="JE111">
        <v>23.912400000000002</v>
      </c>
      <c r="JF111">
        <v>18</v>
      </c>
      <c r="JG111">
        <v>505.70100000000002</v>
      </c>
      <c r="JH111">
        <v>454.42200000000003</v>
      </c>
      <c r="JI111">
        <v>26.978999999999999</v>
      </c>
      <c r="JJ111">
        <v>29.524100000000001</v>
      </c>
      <c r="JK111">
        <v>30.0001</v>
      </c>
      <c r="JL111">
        <v>29.506399999999999</v>
      </c>
      <c r="JM111">
        <v>29.4709</v>
      </c>
      <c r="JN111">
        <v>30.397300000000001</v>
      </c>
      <c r="JO111">
        <v>12.529500000000001</v>
      </c>
      <c r="JP111">
        <v>29.622</v>
      </c>
      <c r="JQ111">
        <v>26.971599999999999</v>
      </c>
      <c r="JR111">
        <v>700</v>
      </c>
      <c r="JS111">
        <v>23.418700000000001</v>
      </c>
      <c r="JT111">
        <v>99.474900000000005</v>
      </c>
      <c r="JU111">
        <v>98.900400000000005</v>
      </c>
    </row>
    <row r="112" spans="1:281" x14ac:dyDescent="0.25">
      <c r="A112">
        <v>96</v>
      </c>
      <c r="B112">
        <v>1693516185</v>
      </c>
      <c r="C112">
        <v>22205.400000095371</v>
      </c>
      <c r="D112" t="s">
        <v>903</v>
      </c>
      <c r="E112" t="s">
        <v>904</v>
      </c>
      <c r="F112" t="s">
        <v>413</v>
      </c>
      <c r="G112" t="s">
        <v>494</v>
      </c>
      <c r="H112" t="s">
        <v>415</v>
      </c>
      <c r="I112" t="s">
        <v>415</v>
      </c>
      <c r="J112">
        <v>1693516185</v>
      </c>
      <c r="K112">
        <f t="shared" si="92"/>
        <v>3.5505916647285349E-3</v>
      </c>
      <c r="L112">
        <f t="shared" si="93"/>
        <v>3.5505916647285347</v>
      </c>
      <c r="M112">
        <f t="shared" si="94"/>
        <v>46.702901419570253</v>
      </c>
      <c r="N112">
        <f t="shared" si="95"/>
        <v>840.25699999999995</v>
      </c>
      <c r="O112">
        <f t="shared" si="96"/>
        <v>507.09232978606252</v>
      </c>
      <c r="P112">
        <f t="shared" si="97"/>
        <v>50.461774000749202</v>
      </c>
      <c r="Q112">
        <f t="shared" si="98"/>
        <v>83.615658029053691</v>
      </c>
      <c r="R112">
        <f t="shared" si="99"/>
        <v>0.24510962827644758</v>
      </c>
      <c r="S112">
        <f t="shared" si="100"/>
        <v>2.9358121208681522</v>
      </c>
      <c r="T112">
        <f t="shared" si="101"/>
        <v>0.23428179623540005</v>
      </c>
      <c r="U112">
        <f t="shared" si="102"/>
        <v>0.1473590973435227</v>
      </c>
      <c r="V112">
        <f t="shared" si="103"/>
        <v>344.36310065801115</v>
      </c>
      <c r="W112">
        <f t="shared" si="104"/>
        <v>31.435638282644796</v>
      </c>
      <c r="X112">
        <f t="shared" si="105"/>
        <v>30.031099999999999</v>
      </c>
      <c r="Y112">
        <f t="shared" si="106"/>
        <v>4.2680663899327689</v>
      </c>
      <c r="Z112">
        <f t="shared" si="107"/>
        <v>64.790393075744703</v>
      </c>
      <c r="AA112">
        <f t="shared" si="108"/>
        <v>2.8136024039234</v>
      </c>
      <c r="AB112">
        <f t="shared" si="109"/>
        <v>4.3426228339656676</v>
      </c>
      <c r="AC112">
        <f t="shared" si="110"/>
        <v>1.4544639860093689</v>
      </c>
      <c r="AD112">
        <f t="shared" si="111"/>
        <v>-156.5810924145284</v>
      </c>
      <c r="AE112">
        <f t="shared" si="112"/>
        <v>47.78337437388759</v>
      </c>
      <c r="AF112">
        <f t="shared" si="113"/>
        <v>3.6255201845817107</v>
      </c>
      <c r="AG112">
        <f t="shared" si="114"/>
        <v>239.19090280195206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52462.236974651569</v>
      </c>
      <c r="AM112" t="s">
        <v>417</v>
      </c>
      <c r="AN112">
        <v>10238.9</v>
      </c>
      <c r="AO112">
        <v>302.21199999999999</v>
      </c>
      <c r="AP112">
        <v>4052.3</v>
      </c>
      <c r="AQ112">
        <f t="shared" si="118"/>
        <v>0.92542210596451402</v>
      </c>
      <c r="AR112">
        <v>-0.32343011824092421</v>
      </c>
      <c r="AS112" t="s">
        <v>905</v>
      </c>
      <c r="AT112">
        <v>10476.5</v>
      </c>
      <c r="AU112">
        <v>744.49483999999995</v>
      </c>
      <c r="AV112">
        <v>1138.491567922593</v>
      </c>
      <c r="AW112">
        <f t="shared" si="119"/>
        <v>0.34606907861559255</v>
      </c>
      <c r="AX112">
        <v>0.5</v>
      </c>
      <c r="AY112">
        <f t="shared" si="120"/>
        <v>1513.1592003290054</v>
      </c>
      <c r="AZ112">
        <f t="shared" si="121"/>
        <v>46.702901419570253</v>
      </c>
      <c r="BA112">
        <f t="shared" si="122"/>
        <v>261.82880512828285</v>
      </c>
      <c r="BB112">
        <f t="shared" si="123"/>
        <v>3.1078244462040917E-2</v>
      </c>
      <c r="BC112">
        <f t="shared" si="124"/>
        <v>2.5593588166790173</v>
      </c>
      <c r="BD112">
        <f t="shared" si="125"/>
        <v>253.77379255504565</v>
      </c>
      <c r="BE112" t="s">
        <v>906</v>
      </c>
      <c r="BF112">
        <v>582.71</v>
      </c>
      <c r="BG112">
        <f t="shared" si="126"/>
        <v>582.71</v>
      </c>
      <c r="BH112">
        <f t="shared" si="127"/>
        <v>0.48817363569651051</v>
      </c>
      <c r="BI112">
        <f t="shared" si="128"/>
        <v>0.70890571163645955</v>
      </c>
      <c r="BJ112">
        <f t="shared" si="129"/>
        <v>0.83981347423684261</v>
      </c>
      <c r="BK112">
        <f t="shared" si="130"/>
        <v>0.47113040068804102</v>
      </c>
      <c r="BL112">
        <f t="shared" si="131"/>
        <v>0.77699734834953382</v>
      </c>
      <c r="BM112">
        <f t="shared" si="132"/>
        <v>0.55485468136714211</v>
      </c>
      <c r="BN112">
        <f t="shared" si="133"/>
        <v>0.44514531863285789</v>
      </c>
      <c r="BO112">
        <v>5878</v>
      </c>
      <c r="BP112">
        <v>290.00000000000011</v>
      </c>
      <c r="BQ112">
        <v>1026.73</v>
      </c>
      <c r="BR112">
        <v>165</v>
      </c>
      <c r="BS112">
        <v>10476.5</v>
      </c>
      <c r="BT112">
        <v>1023.03</v>
      </c>
      <c r="BU112">
        <v>3.7</v>
      </c>
      <c r="BV112">
        <v>300.00000000000011</v>
      </c>
      <c r="BW112">
        <v>38.299999999999997</v>
      </c>
      <c r="BX112">
        <v>1138.491567922593</v>
      </c>
      <c r="BY112">
        <v>1.284303915187015</v>
      </c>
      <c r="BZ112">
        <v>-120.96239106970521</v>
      </c>
      <c r="CA112">
        <v>1.1004364284111989</v>
      </c>
      <c r="CB112">
        <v>0.99768803111510063</v>
      </c>
      <c r="CC112">
        <v>-1.136388765294772E-2</v>
      </c>
      <c r="CD112">
        <v>289.99999999999989</v>
      </c>
      <c r="CE112">
        <v>1008.99</v>
      </c>
      <c r="CF112">
        <v>645</v>
      </c>
      <c r="CG112">
        <v>10442.4</v>
      </c>
      <c r="CH112">
        <v>1022.65</v>
      </c>
      <c r="CI112">
        <v>-13.66</v>
      </c>
      <c r="CW112">
        <f t="shared" si="134"/>
        <v>1799.97</v>
      </c>
      <c r="CX112">
        <f t="shared" si="135"/>
        <v>1513.1592003290054</v>
      </c>
      <c r="CY112">
        <f t="shared" si="136"/>
        <v>0.84065801114963323</v>
      </c>
      <c r="CZ112">
        <f t="shared" si="137"/>
        <v>0.19131602229926672</v>
      </c>
      <c r="DA112">
        <v>6</v>
      </c>
      <c r="DB112">
        <v>0.5</v>
      </c>
      <c r="DC112" t="s">
        <v>420</v>
      </c>
      <c r="DD112">
        <v>2</v>
      </c>
      <c r="DE112">
        <v>1693516185</v>
      </c>
      <c r="DF112">
        <v>840.25699999999995</v>
      </c>
      <c r="DG112">
        <v>899.90300000000002</v>
      </c>
      <c r="DH112">
        <v>28.274000000000001</v>
      </c>
      <c r="DI112">
        <v>24.132200000000001</v>
      </c>
      <c r="DJ112">
        <v>843.48599999999999</v>
      </c>
      <c r="DK112">
        <v>27.850899999999999</v>
      </c>
      <c r="DL112">
        <v>499.81200000000001</v>
      </c>
      <c r="DM112">
        <v>99.412999999999997</v>
      </c>
      <c r="DN112">
        <v>9.9004099999999998E-2</v>
      </c>
      <c r="DO112">
        <v>30.332999999999998</v>
      </c>
      <c r="DP112">
        <v>30.031099999999999</v>
      </c>
      <c r="DQ112">
        <v>999.9</v>
      </c>
      <c r="DR112">
        <v>0</v>
      </c>
      <c r="DS112">
        <v>0</v>
      </c>
      <c r="DT112">
        <v>10095</v>
      </c>
      <c r="DU112">
        <v>0</v>
      </c>
      <c r="DV112">
        <v>1406.72</v>
      </c>
      <c r="DW112">
        <v>-59.6464</v>
      </c>
      <c r="DX112">
        <v>864.70500000000004</v>
      </c>
      <c r="DY112">
        <v>922.15700000000004</v>
      </c>
      <c r="DZ112">
        <v>4.1417799999999998</v>
      </c>
      <c r="EA112">
        <v>899.90300000000002</v>
      </c>
      <c r="EB112">
        <v>24.132200000000001</v>
      </c>
      <c r="EC112">
        <v>2.81081</v>
      </c>
      <c r="ED112">
        <v>2.39906</v>
      </c>
      <c r="EE112">
        <v>22.947700000000001</v>
      </c>
      <c r="EF112">
        <v>20.357399999999998</v>
      </c>
      <c r="EG112">
        <v>1799.97</v>
      </c>
      <c r="EH112">
        <v>0.97800600000000004</v>
      </c>
      <c r="EI112">
        <v>2.1993599999999999E-2</v>
      </c>
      <c r="EJ112">
        <v>0</v>
      </c>
      <c r="EK112">
        <v>743.71</v>
      </c>
      <c r="EL112">
        <v>4.9995000000000003</v>
      </c>
      <c r="EM112">
        <v>14073.4</v>
      </c>
      <c r="EN112">
        <v>16659.599999999999</v>
      </c>
      <c r="EO112">
        <v>48.061999999999998</v>
      </c>
      <c r="EP112">
        <v>48.561999999999998</v>
      </c>
      <c r="EQ112">
        <v>48.875</v>
      </c>
      <c r="ER112">
        <v>48.5</v>
      </c>
      <c r="ES112">
        <v>49.375</v>
      </c>
      <c r="ET112">
        <v>1755.49</v>
      </c>
      <c r="EU112">
        <v>39.479999999999997</v>
      </c>
      <c r="EV112">
        <v>0</v>
      </c>
      <c r="EW112">
        <v>132.79999995231631</v>
      </c>
      <c r="EX112">
        <v>0</v>
      </c>
      <c r="EY112">
        <v>744.49483999999995</v>
      </c>
      <c r="EZ112">
        <v>-5.8738461534766691</v>
      </c>
      <c r="FA112">
        <v>-97.346153977568989</v>
      </c>
      <c r="FB112">
        <v>14083.48</v>
      </c>
      <c r="FC112">
        <v>15</v>
      </c>
      <c r="FD112">
        <v>1693516139.5</v>
      </c>
      <c r="FE112" t="s">
        <v>907</v>
      </c>
      <c r="FF112">
        <v>1693516139.5</v>
      </c>
      <c r="FG112">
        <v>1693516127</v>
      </c>
      <c r="FH112">
        <v>107</v>
      </c>
      <c r="FI112">
        <v>-9.9000000000000005E-2</v>
      </c>
      <c r="FJ112">
        <v>2E-3</v>
      </c>
      <c r="FK112">
        <v>-3.2719999999999998</v>
      </c>
      <c r="FL112">
        <v>0.217</v>
      </c>
      <c r="FM112">
        <v>900</v>
      </c>
      <c r="FN112">
        <v>23</v>
      </c>
      <c r="FO112">
        <v>0.13</v>
      </c>
      <c r="FP112">
        <v>0.06</v>
      </c>
      <c r="FQ112">
        <v>46.977462551901368</v>
      </c>
      <c r="FR112">
        <v>5.7869724335865479E-2</v>
      </c>
      <c r="FS112">
        <v>0.1016840477482532</v>
      </c>
      <c r="FT112">
        <v>1</v>
      </c>
      <c r="FU112">
        <v>0.25365599800067379</v>
      </c>
      <c r="FV112">
        <v>-4.7451904253730207E-2</v>
      </c>
      <c r="FW112">
        <v>3.9187819892235066E-3</v>
      </c>
      <c r="FX112">
        <v>1</v>
      </c>
      <c r="FY112">
        <v>2</v>
      </c>
      <c r="FZ112">
        <v>2</v>
      </c>
      <c r="GA112" t="s">
        <v>422</v>
      </c>
      <c r="GB112">
        <v>2.9712499999999999</v>
      </c>
      <c r="GC112">
        <v>2.8115299999999999</v>
      </c>
      <c r="GD112">
        <v>0.16622200000000001</v>
      </c>
      <c r="GE112">
        <v>0.171629</v>
      </c>
      <c r="GF112">
        <v>0.13436200000000001</v>
      </c>
      <c r="GG112">
        <v>0.11984300000000001</v>
      </c>
      <c r="GH112">
        <v>24720.799999999999</v>
      </c>
      <c r="GI112">
        <v>22608.3</v>
      </c>
      <c r="GJ112">
        <v>26641.7</v>
      </c>
      <c r="GK112">
        <v>25740.799999999999</v>
      </c>
      <c r="GL112">
        <v>31359</v>
      </c>
      <c r="GM112">
        <v>31896.5</v>
      </c>
      <c r="GN112">
        <v>37717.699999999997</v>
      </c>
      <c r="GO112">
        <v>38058.9</v>
      </c>
      <c r="GP112">
        <v>1.994</v>
      </c>
      <c r="GQ112">
        <v>1.9646999999999999</v>
      </c>
      <c r="GR112">
        <v>9.0867299999999998E-2</v>
      </c>
      <c r="GS112">
        <v>0</v>
      </c>
      <c r="GT112">
        <v>28.550699999999999</v>
      </c>
      <c r="GU112">
        <v>999.9</v>
      </c>
      <c r="GV112">
        <v>28.4</v>
      </c>
      <c r="GW112">
        <v>45.2</v>
      </c>
      <c r="GX112">
        <v>27.8184</v>
      </c>
      <c r="GY112">
        <v>61.144100000000002</v>
      </c>
      <c r="GZ112">
        <v>15.380599999999999</v>
      </c>
      <c r="HA112">
        <v>1</v>
      </c>
      <c r="HB112">
        <v>0.15704299999999999</v>
      </c>
      <c r="HC112">
        <v>1.2919</v>
      </c>
      <c r="HD112">
        <v>20.245699999999999</v>
      </c>
      <c r="HE112">
        <v>5.2095000000000002</v>
      </c>
      <c r="HF112">
        <v>11.9321</v>
      </c>
      <c r="HG112">
        <v>4.9875999999999996</v>
      </c>
      <c r="HH112">
        <v>3.2909999999999999</v>
      </c>
      <c r="HI112">
        <v>9999</v>
      </c>
      <c r="HJ112">
        <v>9999</v>
      </c>
      <c r="HK112">
        <v>9999</v>
      </c>
      <c r="HL112">
        <v>999.9</v>
      </c>
      <c r="HM112">
        <v>1.87103</v>
      </c>
      <c r="HN112">
        <v>1.8771199999999999</v>
      </c>
      <c r="HO112">
        <v>1.87486</v>
      </c>
      <c r="HP112">
        <v>1.8730899999999999</v>
      </c>
      <c r="HQ112">
        <v>1.8736299999999999</v>
      </c>
      <c r="HR112">
        <v>1.87103</v>
      </c>
      <c r="HS112">
        <v>1.8768499999999999</v>
      </c>
      <c r="HT112">
        <v>1.8760399999999999</v>
      </c>
      <c r="HU112">
        <v>5</v>
      </c>
      <c r="HV112">
        <v>0</v>
      </c>
      <c r="HW112">
        <v>0</v>
      </c>
      <c r="HX112">
        <v>0</v>
      </c>
      <c r="HY112" t="s">
        <v>423</v>
      </c>
      <c r="HZ112" t="s">
        <v>424</v>
      </c>
      <c r="IA112" t="s">
        <v>425</v>
      </c>
      <c r="IB112" t="s">
        <v>425</v>
      </c>
      <c r="IC112" t="s">
        <v>425</v>
      </c>
      <c r="ID112" t="s">
        <v>425</v>
      </c>
      <c r="IE112">
        <v>0</v>
      </c>
      <c r="IF112">
        <v>100</v>
      </c>
      <c r="IG112">
        <v>100</v>
      </c>
      <c r="IH112">
        <v>-3.2290000000000001</v>
      </c>
      <c r="II112">
        <v>0.42309999999999998</v>
      </c>
      <c r="IJ112">
        <v>-1.975991743297326</v>
      </c>
      <c r="IK112">
        <v>-2.677719669153116E-3</v>
      </c>
      <c r="IL112">
        <v>1.9353498771248068E-6</v>
      </c>
      <c r="IM112">
        <v>-6.1862177325538213E-10</v>
      </c>
      <c r="IN112">
        <v>-0.18398340905326591</v>
      </c>
      <c r="IO112">
        <v>-1.5299015507423901E-2</v>
      </c>
      <c r="IP112">
        <v>1.742162107778985E-3</v>
      </c>
      <c r="IQ112">
        <v>-1.472690239905804E-5</v>
      </c>
      <c r="IR112">
        <v>3</v>
      </c>
      <c r="IS112">
        <v>2255</v>
      </c>
      <c r="IT112">
        <v>2</v>
      </c>
      <c r="IU112">
        <v>41</v>
      </c>
      <c r="IV112">
        <v>0.8</v>
      </c>
      <c r="IW112">
        <v>1</v>
      </c>
      <c r="IX112">
        <v>1.86646</v>
      </c>
      <c r="IY112">
        <v>2.5366200000000001</v>
      </c>
      <c r="IZ112">
        <v>1.5991200000000001</v>
      </c>
      <c r="JA112">
        <v>2.2644000000000002</v>
      </c>
      <c r="JB112">
        <v>1.5502899999999999</v>
      </c>
      <c r="JC112">
        <v>2.4438499999999999</v>
      </c>
      <c r="JD112">
        <v>48.732599999999998</v>
      </c>
      <c r="JE112">
        <v>23.921099999999999</v>
      </c>
      <c r="JF112">
        <v>18</v>
      </c>
      <c r="JG112">
        <v>505.44600000000003</v>
      </c>
      <c r="JH112">
        <v>456.21199999999999</v>
      </c>
      <c r="JI112">
        <v>26.9238</v>
      </c>
      <c r="JJ112">
        <v>29.511399999999998</v>
      </c>
      <c r="JK112">
        <v>30.0002</v>
      </c>
      <c r="JL112">
        <v>29.498799999999999</v>
      </c>
      <c r="JM112">
        <v>29.465900000000001</v>
      </c>
      <c r="JN112">
        <v>37.388100000000001</v>
      </c>
      <c r="JO112">
        <v>12.1692</v>
      </c>
      <c r="JP112">
        <v>32.273000000000003</v>
      </c>
      <c r="JQ112">
        <v>26.912299999999998</v>
      </c>
      <c r="JR112">
        <v>900</v>
      </c>
      <c r="JS112">
        <v>24.066700000000001</v>
      </c>
      <c r="JT112">
        <v>99.473699999999994</v>
      </c>
      <c r="JU112">
        <v>98.891599999999997</v>
      </c>
    </row>
    <row r="113" spans="1:281" x14ac:dyDescent="0.25">
      <c r="A113">
        <v>97</v>
      </c>
      <c r="B113">
        <v>1693516308</v>
      </c>
      <c r="C113">
        <v>22328.400000095371</v>
      </c>
      <c r="D113" t="s">
        <v>908</v>
      </c>
      <c r="E113" t="s">
        <v>909</v>
      </c>
      <c r="F113" t="s">
        <v>413</v>
      </c>
      <c r="G113" t="s">
        <v>494</v>
      </c>
      <c r="H113" t="s">
        <v>415</v>
      </c>
      <c r="I113" t="s">
        <v>415</v>
      </c>
      <c r="J113">
        <v>1693516308</v>
      </c>
      <c r="K113">
        <f t="shared" ref="K113:K128" si="138">(L113)/1000</f>
        <v>3.1126741690599975E-3</v>
      </c>
      <c r="L113">
        <f t="shared" ref="L113:L128" si="139">1000*DL113*AJ113*(DH113-DI113)/(100*DA113*(1000-AJ113*DH113))</f>
        <v>3.1126741690599977</v>
      </c>
      <c r="M113">
        <f t="shared" ref="M113:M128" si="140">DL113*AJ113*(DG113-DF113*(1000-AJ113*DI113)/(1000-AJ113*DH113))/(100*DA113)</f>
        <v>44.998912727925834</v>
      </c>
      <c r="N113">
        <f t="shared" ref="N113:N128" si="141">DF113 - IF(AJ113&gt;1, M113*DA113*100/(AL113*DT113), 0)</f>
        <v>1141.69</v>
      </c>
      <c r="O113">
        <f t="shared" ref="O113:O128" si="142">((U113-K113/2)*N113-M113)/(U113+K113/2)</f>
        <v>766.48135830175613</v>
      </c>
      <c r="P113">
        <f t="shared" ref="P113:P128" si="143">O113*(DM113+DN113)/1000</f>
        <v>76.269856201616349</v>
      </c>
      <c r="Q113">
        <f t="shared" ref="Q113:Q128" si="144">(DF113 - IF(AJ113&gt;1, M113*DA113*100/(AL113*DT113), 0))*(DM113+DN113)/1000</f>
        <v>113.60554458852501</v>
      </c>
      <c r="R113">
        <f t="shared" ref="R113:R128" si="145">2/((1/T113-1/S113)+SIGN(T113)*SQRT((1/T113-1/S113)*(1/T113-1/S113) + 4*DB113/((DB113+1)*(DB113+1))*(2*1/T113*1/S113-1/S113*1/S113)))</f>
        <v>0.21158433808926455</v>
      </c>
      <c r="S113">
        <f t="shared" ref="S113:S128" si="146">IF(LEFT(DC113,1)&lt;&gt;"0",IF(LEFT(DC113,1)="1",3,DD113),$D$5+$E$5*(DT113*DM113/($K$5*1000))+$F$5*(DT113*DM113/($K$5*1000))*MAX(MIN(DA113,$J$5),$I$5)*MAX(MIN(DA113,$J$5),$I$5)+$G$5*MAX(MIN(DA113,$J$5),$I$5)*(DT113*DM113/($K$5*1000))+$H$5*(DT113*DM113/($K$5*1000))*(DT113*DM113/($K$5*1000)))</f>
        <v>2.9199925994656408</v>
      </c>
      <c r="T113">
        <f t="shared" ref="T113:T128" si="147">K113*(1000-(1000*0.61365*EXP(17.502*X113/(240.97+X113))/(DM113+DN113)+DH113)/2)/(1000*0.61365*EXP(17.502*X113/(240.97+X113))/(DM113+DN113)-DH113)</f>
        <v>0.20342099729787022</v>
      </c>
      <c r="U113">
        <f t="shared" ref="U113:U128" si="148">1/((DB113+1)/(R113/1.6)+1/(S113/1.37)) + DB113/((DB113+1)/(R113/1.6) + DB113/(S113/1.37))</f>
        <v>0.12784532456229228</v>
      </c>
      <c r="V113">
        <f t="shared" ref="V113:V128" si="149">(CW113*CZ113)</f>
        <v>344.36880065800011</v>
      </c>
      <c r="W113">
        <f t="shared" ref="W113:W128" si="150">(DO113+(V113+2*0.95*0.0000000567*(((DO113+$B$7)+273)^4-(DO113+273)^4)-44100*K113)/(1.84*29.3*S113+8*0.95*0.0000000567*(DO113+273)^3))</f>
        <v>31.505334398139915</v>
      </c>
      <c r="X113">
        <f t="shared" ref="X113:X128" si="151">($C$7*DP113+$D$7*DQ113+$E$7*W113)</f>
        <v>30.044599999999999</v>
      </c>
      <c r="Y113">
        <f t="shared" ref="Y113:Y128" si="152">0.61365*EXP(17.502*X113/(240.97+X113))</f>
        <v>4.2713763305072776</v>
      </c>
      <c r="Z113">
        <f t="shared" ref="Z113:Z128" si="153">(AA113/AB113*100)</f>
        <v>64.728515280991388</v>
      </c>
      <c r="AA113">
        <f t="shared" ref="AA113:AA128" si="154">DH113*(DM113+DN113)/1000</f>
        <v>2.8028883667327502</v>
      </c>
      <c r="AB113">
        <f t="shared" ref="AB113:AB128" si="155">0.61365*EXP(17.502*DO113/(240.97+DO113))</f>
        <v>4.3302219347457598</v>
      </c>
      <c r="AC113">
        <f t="shared" ref="AC113:AC128" si="156">(Y113-DH113*(DM113+DN113)/1000)</f>
        <v>1.4684879637745274</v>
      </c>
      <c r="AD113">
        <f t="shared" ref="AD113:AD128" si="157">(-K113*44100)</f>
        <v>-137.2689308555459</v>
      </c>
      <c r="AE113">
        <f t="shared" ref="AE113:AE128" si="158">2*29.3*S113*0.92*(DO113-X113)</f>
        <v>37.545299883840713</v>
      </c>
      <c r="AF113">
        <f t="shared" ref="AF113:AF128" si="159">2*0.95*0.0000000567*(((DO113+$B$7)+273)^4-(X113+273)^4)</f>
        <v>2.8636328969243423</v>
      </c>
      <c r="AG113">
        <f t="shared" ref="AG113:AG128" si="160">V113+AF113+AD113+AE113</f>
        <v>247.50880258321928</v>
      </c>
      <c r="AH113">
        <v>0</v>
      </c>
      <c r="AI113">
        <v>0</v>
      </c>
      <c r="AJ113">
        <f t="shared" ref="AJ113:AJ128" si="161">IF(AH113*$H$13&gt;=AL113,1,(AL113/(AL113-AH113*$H$13)))</f>
        <v>1</v>
      </c>
      <c r="AK113">
        <f t="shared" ref="AK113:AK128" si="162">(AJ113-1)*100</f>
        <v>0</v>
      </c>
      <c r="AL113">
        <f t="shared" ref="AL113:AL128" si="163">MAX(0,($B$13+$C$13*DT113)/(1+$D$13*DT113)*DM113/(DO113+273)*$E$13)</f>
        <v>52019.269478720904</v>
      </c>
      <c r="AM113" t="s">
        <v>417</v>
      </c>
      <c r="AN113">
        <v>10238.9</v>
      </c>
      <c r="AO113">
        <v>302.21199999999999</v>
      </c>
      <c r="AP113">
        <v>4052.3</v>
      </c>
      <c r="AQ113">
        <f t="shared" ref="AQ113:AQ128" si="164">1-AO113/AP113</f>
        <v>0.92542210596451402</v>
      </c>
      <c r="AR113">
        <v>-0.32343011824092421</v>
      </c>
      <c r="AS113" t="s">
        <v>910</v>
      </c>
      <c r="AT113">
        <v>10481.1</v>
      </c>
      <c r="AU113">
        <v>738.5402307692309</v>
      </c>
      <c r="AV113">
        <v>1125.5613481322921</v>
      </c>
      <c r="AW113">
        <f t="shared" ref="AW113:AW128" si="165">1-AU113/AV113</f>
        <v>0.34384719944876152</v>
      </c>
      <c r="AX113">
        <v>0.5</v>
      </c>
      <c r="AY113">
        <f t="shared" ref="AY113:AY128" si="166">CX113</f>
        <v>1513.184400329</v>
      </c>
      <c r="AZ113">
        <f t="shared" ref="AZ113:AZ128" si="167">M113</f>
        <v>44.998912727925834</v>
      </c>
      <c r="BA113">
        <f t="shared" ref="BA113:BA128" si="168">AW113*AX113*AY113</f>
        <v>260.15210915134014</v>
      </c>
      <c r="BB113">
        <f t="shared" ref="BB113:BB128" si="169">(AZ113-AR113)/AY113</f>
        <v>2.9951632356448207E-2</v>
      </c>
      <c r="BC113">
        <f t="shared" ref="BC113:BC128" si="170">(AP113-AV113)/AV113</f>
        <v>2.6002480066717037</v>
      </c>
      <c r="BD113">
        <f t="shared" ref="BD113:BD128" si="171">AO113/(AQ113+AO113/AV113)</f>
        <v>253.12562125939635</v>
      </c>
      <c r="BE113" t="s">
        <v>911</v>
      </c>
      <c r="BF113">
        <v>584.86</v>
      </c>
      <c r="BG113">
        <f t="shared" ref="BG113:BG128" si="172">IF(BF113&lt;&gt;0, BF113, BD113)</f>
        <v>584.86</v>
      </c>
      <c r="BH113">
        <f t="shared" ref="BH113:BH128" si="173">1-BG113/AV113</f>
        <v>0.48038372055819845</v>
      </c>
      <c r="BI113">
        <f t="shared" ref="BI113:BI128" si="174">(AV113-AU113)/(AV113-BG113)</f>
        <v>0.71577612798622003</v>
      </c>
      <c r="BJ113">
        <f t="shared" ref="BJ113:BJ128" si="175">(AP113-AV113)/(AP113-BG113)</f>
        <v>0.84406324316144132</v>
      </c>
      <c r="BK113">
        <f t="shared" ref="BK113:BK128" si="176">(AV113-AU113)/(AV113-AO113)</f>
        <v>0.4700569912892873</v>
      </c>
      <c r="BL113">
        <f t="shared" ref="BL113:BL128" si="177">(AP113-AV113)/(AP113-AO113)</f>
        <v>0.78044532604773753</v>
      </c>
      <c r="BM113">
        <f t="shared" ref="BM113:BM128" si="178">(BI113*BG113/AU113)</f>
        <v>0.56683279904467132</v>
      </c>
      <c r="BN113">
        <f t="shared" ref="BN113:BN128" si="179">(1-BM113)</f>
        <v>0.43316720095532868</v>
      </c>
      <c r="BO113">
        <v>5880</v>
      </c>
      <c r="BP113">
        <v>290.00000000000011</v>
      </c>
      <c r="BQ113">
        <v>1015.89</v>
      </c>
      <c r="BR113">
        <v>145</v>
      </c>
      <c r="BS113">
        <v>10481.1</v>
      </c>
      <c r="BT113">
        <v>1012.91</v>
      </c>
      <c r="BU113">
        <v>2.98</v>
      </c>
      <c r="BV113">
        <v>300.00000000000011</v>
      </c>
      <c r="BW113">
        <v>38.299999999999997</v>
      </c>
      <c r="BX113">
        <v>1125.5613481322921</v>
      </c>
      <c r="BY113">
        <v>1.2894590505916741</v>
      </c>
      <c r="BZ113">
        <v>-118.0758874119043</v>
      </c>
      <c r="CA113">
        <v>1.104882212925465</v>
      </c>
      <c r="CB113">
        <v>0.9975542948290187</v>
      </c>
      <c r="CC113">
        <v>-1.136404805339265E-2</v>
      </c>
      <c r="CD113">
        <v>289.99999999999989</v>
      </c>
      <c r="CE113">
        <v>999.42</v>
      </c>
      <c r="CF113">
        <v>635</v>
      </c>
      <c r="CG113">
        <v>10443.799999999999</v>
      </c>
      <c r="CH113">
        <v>1012.5</v>
      </c>
      <c r="CI113">
        <v>-13.08</v>
      </c>
      <c r="CW113">
        <f t="shared" ref="CW113:CW128" si="180">$B$11*DU113+$C$11*DV113+$F$11*EG113*(1-EJ113)</f>
        <v>1800</v>
      </c>
      <c r="CX113">
        <f t="shared" ref="CX113:CX128" si="181">CW113*CY113</f>
        <v>1513.184400329</v>
      </c>
      <c r="CY113">
        <f t="shared" ref="CY113:CY128" si="182">($B$11*$D$9+$C$11*$D$9+$F$11*((ET113+EL113)/MAX(ET113+EL113+EU113, 0.1)*$I$9+EU113/MAX(ET113+EL113+EU113, 0.1)*$J$9))/($B$11+$C$11+$F$11)</f>
        <v>0.84065800018277781</v>
      </c>
      <c r="CZ113">
        <f t="shared" ref="CZ113:CZ128" si="183">($B$11*$K$9+$C$11*$K$9+$F$11*((ET113+EL113)/MAX(ET113+EL113+EU113, 0.1)*$P$9+EU113/MAX(ET113+EL113+EU113, 0.1)*$Q$9))/($B$11+$C$11+$F$11)</f>
        <v>0.19131600036555563</v>
      </c>
      <c r="DA113">
        <v>6</v>
      </c>
      <c r="DB113">
        <v>0.5</v>
      </c>
      <c r="DC113" t="s">
        <v>420</v>
      </c>
      <c r="DD113">
        <v>2</v>
      </c>
      <c r="DE113">
        <v>1693516308</v>
      </c>
      <c r="DF113">
        <v>1141.69</v>
      </c>
      <c r="DG113">
        <v>1199.95</v>
      </c>
      <c r="DH113">
        <v>28.167899999999999</v>
      </c>
      <c r="DI113">
        <v>24.5381</v>
      </c>
      <c r="DJ113">
        <v>1145.1500000000001</v>
      </c>
      <c r="DK113">
        <v>27.743200000000002</v>
      </c>
      <c r="DL113">
        <v>500.02699999999999</v>
      </c>
      <c r="DM113">
        <v>99.406499999999994</v>
      </c>
      <c r="DN113">
        <v>9.9972500000000006E-2</v>
      </c>
      <c r="DO113">
        <v>30.283100000000001</v>
      </c>
      <c r="DP113">
        <v>30.044599999999999</v>
      </c>
      <c r="DQ113">
        <v>999.9</v>
      </c>
      <c r="DR113">
        <v>0</v>
      </c>
      <c r="DS113">
        <v>0</v>
      </c>
      <c r="DT113">
        <v>10005</v>
      </c>
      <c r="DU113">
        <v>0</v>
      </c>
      <c r="DV113">
        <v>1396.73</v>
      </c>
      <c r="DW113">
        <v>-58.262799999999999</v>
      </c>
      <c r="DX113">
        <v>1174.78</v>
      </c>
      <c r="DY113">
        <v>1230.1400000000001</v>
      </c>
      <c r="DZ113">
        <v>3.62982</v>
      </c>
      <c r="EA113">
        <v>1199.95</v>
      </c>
      <c r="EB113">
        <v>24.5381</v>
      </c>
      <c r="EC113">
        <v>2.8000699999999998</v>
      </c>
      <c r="ED113">
        <v>2.4392399999999999</v>
      </c>
      <c r="EE113">
        <v>22.884499999999999</v>
      </c>
      <c r="EF113">
        <v>20.6267</v>
      </c>
      <c r="EG113">
        <v>1800</v>
      </c>
      <c r="EH113">
        <v>0.97800600000000004</v>
      </c>
      <c r="EI113">
        <v>2.1993599999999999E-2</v>
      </c>
      <c r="EJ113">
        <v>0</v>
      </c>
      <c r="EK113">
        <v>737.78800000000001</v>
      </c>
      <c r="EL113">
        <v>4.9995000000000003</v>
      </c>
      <c r="EM113">
        <v>13943.8</v>
      </c>
      <c r="EN113">
        <v>16659.900000000001</v>
      </c>
      <c r="EO113">
        <v>48</v>
      </c>
      <c r="EP113">
        <v>48.436999999999998</v>
      </c>
      <c r="EQ113">
        <v>48.811999999999998</v>
      </c>
      <c r="ER113">
        <v>48.25</v>
      </c>
      <c r="ES113">
        <v>49.25</v>
      </c>
      <c r="ET113">
        <v>1755.52</v>
      </c>
      <c r="EU113">
        <v>39.479999999999997</v>
      </c>
      <c r="EV113">
        <v>0</v>
      </c>
      <c r="EW113">
        <v>121.19999980926509</v>
      </c>
      <c r="EX113">
        <v>0</v>
      </c>
      <c r="EY113">
        <v>738.5402307692309</v>
      </c>
      <c r="EZ113">
        <v>-6.2650256302385108</v>
      </c>
      <c r="FA113">
        <v>-122.14700856710451</v>
      </c>
      <c r="FB113">
        <v>13959</v>
      </c>
      <c r="FC113">
        <v>15</v>
      </c>
      <c r="FD113">
        <v>1693516261.5</v>
      </c>
      <c r="FE113" t="s">
        <v>912</v>
      </c>
      <c r="FF113">
        <v>1693516261.5</v>
      </c>
      <c r="FG113">
        <v>1693516250.5</v>
      </c>
      <c r="FH113">
        <v>108</v>
      </c>
      <c r="FI113">
        <v>-3.1E-2</v>
      </c>
      <c r="FJ113">
        <v>7.0000000000000001E-3</v>
      </c>
      <c r="FK113">
        <v>-3.504</v>
      </c>
      <c r="FL113">
        <v>0.25900000000000001</v>
      </c>
      <c r="FM113">
        <v>1200</v>
      </c>
      <c r="FN113">
        <v>24</v>
      </c>
      <c r="FO113">
        <v>0.13</v>
      </c>
      <c r="FP113">
        <v>0.04</v>
      </c>
      <c r="FQ113">
        <v>45.342623240753767</v>
      </c>
      <c r="FR113">
        <v>-0.57252332162996444</v>
      </c>
      <c r="FS113">
        <v>0.1183460199908337</v>
      </c>
      <c r="FT113">
        <v>1</v>
      </c>
      <c r="FU113">
        <v>0.21431962480486019</v>
      </c>
      <c r="FV113">
        <v>-2.2008002378609538E-2</v>
      </c>
      <c r="FW113">
        <v>2.6998576385646742E-3</v>
      </c>
      <c r="FX113">
        <v>1</v>
      </c>
      <c r="FY113">
        <v>2</v>
      </c>
      <c r="FZ113">
        <v>2</v>
      </c>
      <c r="GA113" t="s">
        <v>422</v>
      </c>
      <c r="GB113">
        <v>2.9718300000000002</v>
      </c>
      <c r="GC113">
        <v>2.8117100000000002</v>
      </c>
      <c r="GD113">
        <v>0.20272399999999999</v>
      </c>
      <c r="GE113">
        <v>0.20658899999999999</v>
      </c>
      <c r="GF113">
        <v>0.133989</v>
      </c>
      <c r="GG113">
        <v>0.12123299999999999</v>
      </c>
      <c r="GH113">
        <v>23637.8</v>
      </c>
      <c r="GI113">
        <v>21651</v>
      </c>
      <c r="GJ113">
        <v>26641.599999999999</v>
      </c>
      <c r="GK113">
        <v>25737.599999999999</v>
      </c>
      <c r="GL113">
        <v>31375.8</v>
      </c>
      <c r="GM113">
        <v>31844.6</v>
      </c>
      <c r="GN113">
        <v>37718.199999999997</v>
      </c>
      <c r="GO113">
        <v>38054.199999999997</v>
      </c>
      <c r="GP113">
        <v>1.9935</v>
      </c>
      <c r="GQ113">
        <v>1.9663999999999999</v>
      </c>
      <c r="GR113">
        <v>9.6782999999999994E-2</v>
      </c>
      <c r="GS113">
        <v>0</v>
      </c>
      <c r="GT113">
        <v>28.467700000000001</v>
      </c>
      <c r="GU113">
        <v>999.9</v>
      </c>
      <c r="GV113">
        <v>29.2</v>
      </c>
      <c r="GW113">
        <v>45.2</v>
      </c>
      <c r="GX113">
        <v>28.606200000000001</v>
      </c>
      <c r="GY113">
        <v>61.504100000000001</v>
      </c>
      <c r="GZ113">
        <v>15.536899999999999</v>
      </c>
      <c r="HA113">
        <v>1</v>
      </c>
      <c r="HB113">
        <v>0.15707299999999999</v>
      </c>
      <c r="HC113">
        <v>1.1331</v>
      </c>
      <c r="HD113">
        <v>20.247199999999999</v>
      </c>
      <c r="HE113">
        <v>5.2100999999999997</v>
      </c>
      <c r="HF113">
        <v>11.9321</v>
      </c>
      <c r="HG113">
        <v>4.9880000000000004</v>
      </c>
      <c r="HH113">
        <v>3.2909999999999999</v>
      </c>
      <c r="HI113">
        <v>9999</v>
      </c>
      <c r="HJ113">
        <v>9999</v>
      </c>
      <c r="HK113">
        <v>9999</v>
      </c>
      <c r="HL113">
        <v>999.9</v>
      </c>
      <c r="HM113">
        <v>1.87103</v>
      </c>
      <c r="HN113">
        <v>1.8771100000000001</v>
      </c>
      <c r="HO113">
        <v>1.87486</v>
      </c>
      <c r="HP113">
        <v>1.87313</v>
      </c>
      <c r="HQ113">
        <v>1.8736299999999999</v>
      </c>
      <c r="HR113">
        <v>1.87103</v>
      </c>
      <c r="HS113">
        <v>1.87683</v>
      </c>
      <c r="HT113">
        <v>1.8759999999999999</v>
      </c>
      <c r="HU113">
        <v>5</v>
      </c>
      <c r="HV113">
        <v>0</v>
      </c>
      <c r="HW113">
        <v>0</v>
      </c>
      <c r="HX113">
        <v>0</v>
      </c>
      <c r="HY113" t="s">
        <v>423</v>
      </c>
      <c r="HZ113" t="s">
        <v>424</v>
      </c>
      <c r="IA113" t="s">
        <v>425</v>
      </c>
      <c r="IB113" t="s">
        <v>425</v>
      </c>
      <c r="IC113" t="s">
        <v>425</v>
      </c>
      <c r="ID113" t="s">
        <v>425</v>
      </c>
      <c r="IE113">
        <v>0</v>
      </c>
      <c r="IF113">
        <v>100</v>
      </c>
      <c r="IG113">
        <v>100</v>
      </c>
      <c r="IH113">
        <v>-3.46</v>
      </c>
      <c r="II113">
        <v>0.42470000000000002</v>
      </c>
      <c r="IJ113">
        <v>-2.0059158721743979</v>
      </c>
      <c r="IK113">
        <v>-2.677719669153116E-3</v>
      </c>
      <c r="IL113">
        <v>1.9353498771248068E-6</v>
      </c>
      <c r="IM113">
        <v>-6.1862177325538213E-10</v>
      </c>
      <c r="IN113">
        <v>-0.1772933572718145</v>
      </c>
      <c r="IO113">
        <v>-1.5299015507423901E-2</v>
      </c>
      <c r="IP113">
        <v>1.742162107778985E-3</v>
      </c>
      <c r="IQ113">
        <v>-1.472690239905804E-5</v>
      </c>
      <c r="IR113">
        <v>3</v>
      </c>
      <c r="IS113">
        <v>2255</v>
      </c>
      <c r="IT113">
        <v>2</v>
      </c>
      <c r="IU113">
        <v>41</v>
      </c>
      <c r="IV113">
        <v>0.8</v>
      </c>
      <c r="IW113">
        <v>1</v>
      </c>
      <c r="IX113">
        <v>2.36938</v>
      </c>
      <c r="IY113">
        <v>2.5317400000000001</v>
      </c>
      <c r="IZ113">
        <v>1.5991200000000001</v>
      </c>
      <c r="JA113">
        <v>2.2631800000000002</v>
      </c>
      <c r="JB113">
        <v>1.5502899999999999</v>
      </c>
      <c r="JC113">
        <v>2.3938000000000001</v>
      </c>
      <c r="JD113">
        <v>48.701599999999999</v>
      </c>
      <c r="JE113">
        <v>23.921099999999999</v>
      </c>
      <c r="JF113">
        <v>18</v>
      </c>
      <c r="JG113">
        <v>505.15</v>
      </c>
      <c r="JH113">
        <v>457.27100000000002</v>
      </c>
      <c r="JI113">
        <v>26.918500000000002</v>
      </c>
      <c r="JJ113">
        <v>29.508900000000001</v>
      </c>
      <c r="JK113">
        <v>30.0002</v>
      </c>
      <c r="JL113">
        <v>29.5014</v>
      </c>
      <c r="JM113">
        <v>29.468399999999999</v>
      </c>
      <c r="JN113">
        <v>47.4499</v>
      </c>
      <c r="JO113">
        <v>14.5928</v>
      </c>
      <c r="JP113">
        <v>34.814399999999999</v>
      </c>
      <c r="JQ113">
        <v>26.909300000000002</v>
      </c>
      <c r="JR113">
        <v>1200</v>
      </c>
      <c r="JS113">
        <v>24.530200000000001</v>
      </c>
      <c r="JT113">
        <v>99.474100000000007</v>
      </c>
      <c r="JU113">
        <v>98.879300000000001</v>
      </c>
    </row>
    <row r="114" spans="1:281" x14ac:dyDescent="0.25">
      <c r="A114">
        <v>98</v>
      </c>
      <c r="B114">
        <v>1693516434.5</v>
      </c>
      <c r="C114">
        <v>22454.900000095371</v>
      </c>
      <c r="D114" t="s">
        <v>913</v>
      </c>
      <c r="E114" t="s">
        <v>914</v>
      </c>
      <c r="F114" t="s">
        <v>413</v>
      </c>
      <c r="G114" t="s">
        <v>494</v>
      </c>
      <c r="H114" t="s">
        <v>415</v>
      </c>
      <c r="I114" t="s">
        <v>415</v>
      </c>
      <c r="J114">
        <v>1693516434.5</v>
      </c>
      <c r="K114">
        <f t="shared" si="138"/>
        <v>2.5658458828716588E-3</v>
      </c>
      <c r="L114">
        <f t="shared" si="139"/>
        <v>2.5658458828716588</v>
      </c>
      <c r="M114">
        <f t="shared" si="140"/>
        <v>43.617777605675094</v>
      </c>
      <c r="N114">
        <f t="shared" si="141"/>
        <v>1443.16</v>
      </c>
      <c r="O114">
        <f t="shared" si="142"/>
        <v>1002.2114173192851</v>
      </c>
      <c r="P114">
        <f t="shared" si="143"/>
        <v>99.722493445664156</v>
      </c>
      <c r="Q114">
        <f t="shared" si="144"/>
        <v>143.59795862832001</v>
      </c>
      <c r="R114">
        <f t="shared" si="145"/>
        <v>0.17446811318569827</v>
      </c>
      <c r="S114">
        <f t="shared" si="146"/>
        <v>2.9172883805806578</v>
      </c>
      <c r="T114">
        <f t="shared" si="147"/>
        <v>0.16887188236847617</v>
      </c>
      <c r="U114">
        <f t="shared" si="148"/>
        <v>0.10603277237686488</v>
      </c>
      <c r="V114">
        <f t="shared" si="149"/>
        <v>344.35930065801847</v>
      </c>
      <c r="W114">
        <f t="shared" si="150"/>
        <v>31.521195254393895</v>
      </c>
      <c r="X114">
        <f t="shared" si="151"/>
        <v>29.9955</v>
      </c>
      <c r="Y114">
        <f t="shared" si="152"/>
        <v>4.2593486711021713</v>
      </c>
      <c r="Z114">
        <f t="shared" si="153"/>
        <v>65.163673946152215</v>
      </c>
      <c r="AA114">
        <f t="shared" si="154"/>
        <v>2.8011432774780003</v>
      </c>
      <c r="AB114">
        <f t="shared" si="155"/>
        <v>4.2986269923833884</v>
      </c>
      <c r="AC114">
        <f t="shared" si="156"/>
        <v>1.458205393624171</v>
      </c>
      <c r="AD114">
        <f t="shared" si="157"/>
        <v>-113.15380343464015</v>
      </c>
      <c r="AE114">
        <f t="shared" si="158"/>
        <v>25.148568502700982</v>
      </c>
      <c r="AF114">
        <f t="shared" si="159"/>
        <v>1.9182156112411293</v>
      </c>
      <c r="AG114">
        <f t="shared" si="160"/>
        <v>258.27228133732041</v>
      </c>
      <c r="AH114">
        <v>0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51964.04094987391</v>
      </c>
      <c r="AM114" t="s">
        <v>417</v>
      </c>
      <c r="AN114">
        <v>10238.9</v>
      </c>
      <c r="AO114">
        <v>302.21199999999999</v>
      </c>
      <c r="AP114">
        <v>4052.3</v>
      </c>
      <c r="AQ114">
        <f t="shared" si="164"/>
        <v>0.92542210596451402</v>
      </c>
      <c r="AR114">
        <v>-0.32343011824092421</v>
      </c>
      <c r="AS114" t="s">
        <v>915</v>
      </c>
      <c r="AT114">
        <v>10474.200000000001</v>
      </c>
      <c r="AU114">
        <v>731.99746153846149</v>
      </c>
      <c r="AV114">
        <v>1110.4350894785939</v>
      </c>
      <c r="AW114">
        <f t="shared" si="165"/>
        <v>0.3408012152406209</v>
      </c>
      <c r="AX114">
        <v>0.5</v>
      </c>
      <c r="AY114">
        <f t="shared" si="166"/>
        <v>1513.1424003290092</v>
      </c>
      <c r="AZ114">
        <f t="shared" si="167"/>
        <v>43.617777605675094</v>
      </c>
      <c r="BA114">
        <f t="shared" si="168"/>
        <v>257.84038443211824</v>
      </c>
      <c r="BB114">
        <f t="shared" si="169"/>
        <v>2.9039704203888336E-2</v>
      </c>
      <c r="BC114">
        <f t="shared" si="170"/>
        <v>2.6492902992670757</v>
      </c>
      <c r="BD114">
        <f t="shared" si="171"/>
        <v>252.35256162221393</v>
      </c>
      <c r="BE114" t="s">
        <v>916</v>
      </c>
      <c r="BF114">
        <v>579.5</v>
      </c>
      <c r="BG114">
        <f t="shared" si="172"/>
        <v>579.5</v>
      </c>
      <c r="BH114">
        <f t="shared" si="173"/>
        <v>0.47813248564388855</v>
      </c>
      <c r="BI114">
        <f t="shared" si="174"/>
        <v>0.71277569601168766</v>
      </c>
      <c r="BJ114">
        <f t="shared" si="175"/>
        <v>0.84711613410544984</v>
      </c>
      <c r="BK114">
        <f t="shared" si="176"/>
        <v>0.46823412108193113</v>
      </c>
      <c r="BL114">
        <f t="shared" si="177"/>
        <v>0.784478900367513</v>
      </c>
      <c r="BM114">
        <f t="shared" si="178"/>
        <v>0.56428271618681003</v>
      </c>
      <c r="BN114">
        <f t="shared" si="179"/>
        <v>0.43571728381318997</v>
      </c>
      <c r="BO114">
        <v>5882</v>
      </c>
      <c r="BP114">
        <v>290.00000000000011</v>
      </c>
      <c r="BQ114">
        <v>1002.42</v>
      </c>
      <c r="BR114">
        <v>175</v>
      </c>
      <c r="BS114">
        <v>10474.200000000001</v>
      </c>
      <c r="BT114">
        <v>1000.19</v>
      </c>
      <c r="BU114">
        <v>2.23</v>
      </c>
      <c r="BV114">
        <v>300.00000000000011</v>
      </c>
      <c r="BW114">
        <v>38.299999999999997</v>
      </c>
      <c r="BX114">
        <v>1110.4350894785939</v>
      </c>
      <c r="BY114">
        <v>1.15787043466322</v>
      </c>
      <c r="BZ114">
        <v>-115.4705146858547</v>
      </c>
      <c r="CA114">
        <v>0.99210242951771854</v>
      </c>
      <c r="CB114">
        <v>0.99793731876227909</v>
      </c>
      <c r="CC114">
        <v>-1.1363782202447169E-2</v>
      </c>
      <c r="CD114">
        <v>289.99999999999989</v>
      </c>
      <c r="CE114">
        <v>987.64</v>
      </c>
      <c r="CF114">
        <v>665</v>
      </c>
      <c r="CG114">
        <v>10440.299999999999</v>
      </c>
      <c r="CH114">
        <v>999.83</v>
      </c>
      <c r="CI114">
        <v>-12.19</v>
      </c>
      <c r="CW114">
        <f t="shared" si="180"/>
        <v>1799.95</v>
      </c>
      <c r="CX114">
        <f t="shared" si="181"/>
        <v>1513.1424003290092</v>
      </c>
      <c r="CY114">
        <f t="shared" si="182"/>
        <v>0.84065801846107346</v>
      </c>
      <c r="CZ114">
        <f t="shared" si="183"/>
        <v>0.19131603692214699</v>
      </c>
      <c r="DA114">
        <v>6</v>
      </c>
      <c r="DB114">
        <v>0.5</v>
      </c>
      <c r="DC114" t="s">
        <v>420</v>
      </c>
      <c r="DD114">
        <v>2</v>
      </c>
      <c r="DE114">
        <v>1693516434.5</v>
      </c>
      <c r="DF114">
        <v>1443.16</v>
      </c>
      <c r="DG114">
        <v>1499.91</v>
      </c>
      <c r="DH114">
        <v>28.151499999999999</v>
      </c>
      <c r="DI114">
        <v>25.161000000000001</v>
      </c>
      <c r="DJ114">
        <v>1446.86</v>
      </c>
      <c r="DK114">
        <v>27.722300000000001</v>
      </c>
      <c r="DL114">
        <v>500.30700000000002</v>
      </c>
      <c r="DM114">
        <v>99.402100000000004</v>
      </c>
      <c r="DN114">
        <v>0.100352</v>
      </c>
      <c r="DO114">
        <v>30.1554</v>
      </c>
      <c r="DP114">
        <v>29.9955</v>
      </c>
      <c r="DQ114">
        <v>999.9</v>
      </c>
      <c r="DR114">
        <v>0</v>
      </c>
      <c r="DS114">
        <v>0</v>
      </c>
      <c r="DT114">
        <v>9990</v>
      </c>
      <c r="DU114">
        <v>0</v>
      </c>
      <c r="DV114">
        <v>1384.89</v>
      </c>
      <c r="DW114">
        <v>-56.744300000000003</v>
      </c>
      <c r="DX114">
        <v>1484.97</v>
      </c>
      <c r="DY114">
        <v>1538.62</v>
      </c>
      <c r="DZ114">
        <v>2.9905400000000002</v>
      </c>
      <c r="EA114">
        <v>1499.91</v>
      </c>
      <c r="EB114">
        <v>25.161000000000001</v>
      </c>
      <c r="EC114">
        <v>2.7983199999999999</v>
      </c>
      <c r="ED114">
        <v>2.5010500000000002</v>
      </c>
      <c r="EE114">
        <v>22.874199999999998</v>
      </c>
      <c r="EF114">
        <v>21.0334</v>
      </c>
      <c r="EG114">
        <v>1799.95</v>
      </c>
      <c r="EH114">
        <v>0.97800600000000004</v>
      </c>
      <c r="EI114">
        <v>2.1993599999999999E-2</v>
      </c>
      <c r="EJ114">
        <v>0</v>
      </c>
      <c r="EK114">
        <v>731.31299999999999</v>
      </c>
      <c r="EL114">
        <v>4.9995000000000003</v>
      </c>
      <c r="EM114">
        <v>13818.3</v>
      </c>
      <c r="EN114">
        <v>16659.400000000001</v>
      </c>
      <c r="EO114">
        <v>48</v>
      </c>
      <c r="EP114">
        <v>48.436999999999998</v>
      </c>
      <c r="EQ114">
        <v>48.811999999999998</v>
      </c>
      <c r="ER114">
        <v>48.25</v>
      </c>
      <c r="ES114">
        <v>49.311999999999998</v>
      </c>
      <c r="ET114">
        <v>1755.47</v>
      </c>
      <c r="EU114">
        <v>39.479999999999997</v>
      </c>
      <c r="EV114">
        <v>0</v>
      </c>
      <c r="EW114">
        <v>124.7999999523163</v>
      </c>
      <c r="EX114">
        <v>0</v>
      </c>
      <c r="EY114">
        <v>731.99746153846149</v>
      </c>
      <c r="EZ114">
        <v>-4.9824957169646709</v>
      </c>
      <c r="FA114">
        <v>-91.41196596315919</v>
      </c>
      <c r="FB114">
        <v>13829.369230769231</v>
      </c>
      <c r="FC114">
        <v>15</v>
      </c>
      <c r="FD114">
        <v>1693516400</v>
      </c>
      <c r="FE114" t="s">
        <v>917</v>
      </c>
      <c r="FF114">
        <v>1693516400</v>
      </c>
      <c r="FG114">
        <v>1693516384.5</v>
      </c>
      <c r="FH114">
        <v>109</v>
      </c>
      <c r="FI114">
        <v>0.01</v>
      </c>
      <c r="FJ114">
        <v>5.0000000000000001E-3</v>
      </c>
      <c r="FK114">
        <v>-3.75</v>
      </c>
      <c r="FL114">
        <v>0.28499999999999998</v>
      </c>
      <c r="FM114">
        <v>1500</v>
      </c>
      <c r="FN114">
        <v>25</v>
      </c>
      <c r="FO114">
        <v>0.13</v>
      </c>
      <c r="FP114">
        <v>0.06</v>
      </c>
      <c r="FQ114">
        <v>43.844104209063502</v>
      </c>
      <c r="FR114">
        <v>-0.13743363450553139</v>
      </c>
      <c r="FS114">
        <v>0.15252487819594909</v>
      </c>
      <c r="FT114">
        <v>1</v>
      </c>
      <c r="FU114">
        <v>0.17578152820559881</v>
      </c>
      <c r="FV114">
        <v>-1.9471926331108079E-2</v>
      </c>
      <c r="FW114">
        <v>1.5979086016688121E-3</v>
      </c>
      <c r="FX114">
        <v>1</v>
      </c>
      <c r="FY114">
        <v>2</v>
      </c>
      <c r="FZ114">
        <v>2</v>
      </c>
      <c r="GA114" t="s">
        <v>422</v>
      </c>
      <c r="GB114">
        <v>2.9725199999999998</v>
      </c>
      <c r="GC114">
        <v>2.81196</v>
      </c>
      <c r="GD114">
        <v>0.234434</v>
      </c>
      <c r="GE114">
        <v>0.23715800000000001</v>
      </c>
      <c r="GF114">
        <v>0.133905</v>
      </c>
      <c r="GG114">
        <v>0.123349</v>
      </c>
      <c r="GH114">
        <v>22694.5</v>
      </c>
      <c r="GI114">
        <v>20813.2</v>
      </c>
      <c r="GJ114">
        <v>26638.9</v>
      </c>
      <c r="GK114">
        <v>25734.2</v>
      </c>
      <c r="GL114">
        <v>31378.400000000001</v>
      </c>
      <c r="GM114">
        <v>31765.8</v>
      </c>
      <c r="GN114">
        <v>37714.300000000003</v>
      </c>
      <c r="GO114">
        <v>38048.9</v>
      </c>
      <c r="GP114">
        <v>1.9924999999999999</v>
      </c>
      <c r="GQ114">
        <v>1.9690000000000001</v>
      </c>
      <c r="GR114">
        <v>8.5830699999999996E-2</v>
      </c>
      <c r="GS114">
        <v>0</v>
      </c>
      <c r="GT114">
        <v>28.597100000000001</v>
      </c>
      <c r="GU114">
        <v>999.9</v>
      </c>
      <c r="GV114">
        <v>30.1</v>
      </c>
      <c r="GW114">
        <v>45.1</v>
      </c>
      <c r="GX114">
        <v>29.337299999999999</v>
      </c>
      <c r="GY114">
        <v>61.354100000000003</v>
      </c>
      <c r="GZ114">
        <v>14.4191</v>
      </c>
      <c r="HA114">
        <v>1</v>
      </c>
      <c r="HB114">
        <v>0.16193099999999999</v>
      </c>
      <c r="HC114">
        <v>1.68919</v>
      </c>
      <c r="HD114">
        <v>20.2424</v>
      </c>
      <c r="HE114">
        <v>5.2088999999999999</v>
      </c>
      <c r="HF114">
        <v>11.9321</v>
      </c>
      <c r="HG114">
        <v>4.9882</v>
      </c>
      <c r="HH114">
        <v>3.2909999999999999</v>
      </c>
      <c r="HI114">
        <v>9999</v>
      </c>
      <c r="HJ114">
        <v>9999</v>
      </c>
      <c r="HK114">
        <v>9999</v>
      </c>
      <c r="HL114">
        <v>999.9</v>
      </c>
      <c r="HM114">
        <v>1.8710500000000001</v>
      </c>
      <c r="HN114">
        <v>1.8771100000000001</v>
      </c>
      <c r="HO114">
        <v>1.8748499999999999</v>
      </c>
      <c r="HP114">
        <v>1.87313</v>
      </c>
      <c r="HQ114">
        <v>1.8736299999999999</v>
      </c>
      <c r="HR114">
        <v>1.87103</v>
      </c>
      <c r="HS114">
        <v>1.87683</v>
      </c>
      <c r="HT114">
        <v>1.87601</v>
      </c>
      <c r="HU114">
        <v>5</v>
      </c>
      <c r="HV114">
        <v>0</v>
      </c>
      <c r="HW114">
        <v>0</v>
      </c>
      <c r="HX114">
        <v>0</v>
      </c>
      <c r="HY114" t="s">
        <v>423</v>
      </c>
      <c r="HZ114" t="s">
        <v>424</v>
      </c>
      <c r="IA114" t="s">
        <v>425</v>
      </c>
      <c r="IB114" t="s">
        <v>425</v>
      </c>
      <c r="IC114" t="s">
        <v>425</v>
      </c>
      <c r="ID114" t="s">
        <v>425</v>
      </c>
      <c r="IE114">
        <v>0</v>
      </c>
      <c r="IF114">
        <v>100</v>
      </c>
      <c r="IG114">
        <v>100</v>
      </c>
      <c r="IH114">
        <v>-3.7</v>
      </c>
      <c r="II114">
        <v>0.42920000000000003</v>
      </c>
      <c r="IJ114">
        <v>-1.996404570995304</v>
      </c>
      <c r="IK114">
        <v>-2.677719669153116E-3</v>
      </c>
      <c r="IL114">
        <v>1.9353498771248068E-6</v>
      </c>
      <c r="IM114">
        <v>-6.1862177325538213E-10</v>
      </c>
      <c r="IN114">
        <v>-0.171820577921873</v>
      </c>
      <c r="IO114">
        <v>-1.5299015507423901E-2</v>
      </c>
      <c r="IP114">
        <v>1.742162107778985E-3</v>
      </c>
      <c r="IQ114">
        <v>-1.472690239905804E-5</v>
      </c>
      <c r="IR114">
        <v>3</v>
      </c>
      <c r="IS114">
        <v>2255</v>
      </c>
      <c r="IT114">
        <v>2</v>
      </c>
      <c r="IU114">
        <v>41</v>
      </c>
      <c r="IV114">
        <v>0.6</v>
      </c>
      <c r="IW114">
        <v>0.8</v>
      </c>
      <c r="IX114">
        <v>2.8515600000000001</v>
      </c>
      <c r="IY114">
        <v>2.5341800000000001</v>
      </c>
      <c r="IZ114">
        <v>1.5991200000000001</v>
      </c>
      <c r="JA114">
        <v>2.2644000000000002</v>
      </c>
      <c r="JB114">
        <v>1.5502899999999999</v>
      </c>
      <c r="JC114">
        <v>2.4426299999999999</v>
      </c>
      <c r="JD114">
        <v>48.670699999999997</v>
      </c>
      <c r="JE114">
        <v>23.921099999999999</v>
      </c>
      <c r="JF114">
        <v>18</v>
      </c>
      <c r="JG114">
        <v>504.70499999999998</v>
      </c>
      <c r="JH114">
        <v>459.04199999999997</v>
      </c>
      <c r="JI114">
        <v>25.9498</v>
      </c>
      <c r="JJ114">
        <v>29.541899999999998</v>
      </c>
      <c r="JK114">
        <v>30.000299999999999</v>
      </c>
      <c r="JL114">
        <v>29.524100000000001</v>
      </c>
      <c r="JM114">
        <v>29.491099999999999</v>
      </c>
      <c r="JN114">
        <v>57.088900000000002</v>
      </c>
      <c r="JO114">
        <v>16.511900000000001</v>
      </c>
      <c r="JP114">
        <v>37.452599999999997</v>
      </c>
      <c r="JQ114">
        <v>25.954699999999999</v>
      </c>
      <c r="JR114">
        <v>1500</v>
      </c>
      <c r="JS114">
        <v>25.098800000000001</v>
      </c>
      <c r="JT114">
        <v>99.463999999999999</v>
      </c>
      <c r="JU114">
        <v>98.865799999999993</v>
      </c>
    </row>
    <row r="115" spans="1:281" x14ac:dyDescent="0.25">
      <c r="A115">
        <v>99</v>
      </c>
      <c r="B115">
        <v>1693519048.5999999</v>
      </c>
      <c r="C115">
        <v>25069</v>
      </c>
      <c r="D115" t="s">
        <v>918</v>
      </c>
      <c r="E115" t="s">
        <v>919</v>
      </c>
      <c r="F115" t="s">
        <v>413</v>
      </c>
      <c r="G115" t="s">
        <v>778</v>
      </c>
      <c r="H115" t="s">
        <v>416</v>
      </c>
      <c r="I115" t="s">
        <v>415</v>
      </c>
      <c r="J115">
        <v>1693519048.5999999</v>
      </c>
      <c r="K115">
        <f t="shared" si="138"/>
        <v>4.3294795864652685E-3</v>
      </c>
      <c r="L115">
        <f t="shared" si="139"/>
        <v>4.3294795864652684</v>
      </c>
      <c r="M115">
        <f t="shared" si="140"/>
        <v>42.449197303059357</v>
      </c>
      <c r="N115">
        <f t="shared" si="141"/>
        <v>347.29700000000003</v>
      </c>
      <c r="O115">
        <f t="shared" si="142"/>
        <v>111.70457028586915</v>
      </c>
      <c r="P115">
        <f t="shared" si="143"/>
        <v>11.116414234607586</v>
      </c>
      <c r="Q115">
        <f t="shared" si="144"/>
        <v>34.561677329373303</v>
      </c>
      <c r="R115">
        <f t="shared" si="145"/>
        <v>0.30984436395475951</v>
      </c>
      <c r="S115">
        <f t="shared" si="146"/>
        <v>2.925414446370489</v>
      </c>
      <c r="T115">
        <f t="shared" si="147"/>
        <v>0.29269894900310917</v>
      </c>
      <c r="U115">
        <f t="shared" si="148"/>
        <v>0.18439818427157104</v>
      </c>
      <c r="V115">
        <f t="shared" si="149"/>
        <v>344.33330065823634</v>
      </c>
      <c r="W115">
        <f t="shared" si="150"/>
        <v>31.201066782512786</v>
      </c>
      <c r="X115">
        <f t="shared" si="151"/>
        <v>29.9818</v>
      </c>
      <c r="Y115">
        <f t="shared" si="152"/>
        <v>4.2559979560397858</v>
      </c>
      <c r="Z115">
        <f t="shared" si="153"/>
        <v>65.450291571905822</v>
      </c>
      <c r="AA115">
        <f t="shared" si="154"/>
        <v>2.8364505075273607</v>
      </c>
      <c r="AB115">
        <f t="shared" si="155"/>
        <v>4.3337477028824907</v>
      </c>
      <c r="AC115">
        <f t="shared" si="156"/>
        <v>1.4195474485124251</v>
      </c>
      <c r="AD115">
        <f t="shared" si="157"/>
        <v>-190.93004976311835</v>
      </c>
      <c r="AE115">
        <f t="shared" si="158"/>
        <v>49.75906471612501</v>
      </c>
      <c r="AF115">
        <f t="shared" si="159"/>
        <v>3.7872496759808563</v>
      </c>
      <c r="AG115">
        <f t="shared" si="160"/>
        <v>206.94956528722383</v>
      </c>
      <c r="AH115">
        <v>0</v>
      </c>
      <c r="AI115">
        <v>0</v>
      </c>
      <c r="AJ115">
        <f t="shared" si="161"/>
        <v>1</v>
      </c>
      <c r="AK115">
        <f t="shared" si="162"/>
        <v>0</v>
      </c>
      <c r="AL115">
        <f t="shared" si="163"/>
        <v>52171.595042865185</v>
      </c>
      <c r="AM115" t="s">
        <v>417</v>
      </c>
      <c r="AN115">
        <v>10238.9</v>
      </c>
      <c r="AO115">
        <v>302.21199999999999</v>
      </c>
      <c r="AP115">
        <v>4052.3</v>
      </c>
      <c r="AQ115">
        <f t="shared" si="164"/>
        <v>0.92542210596451402</v>
      </c>
      <c r="AR115">
        <v>-0.32343011824092421</v>
      </c>
      <c r="AS115" t="s">
        <v>920</v>
      </c>
      <c r="AT115">
        <v>10467</v>
      </c>
      <c r="AU115">
        <v>733.92896153846164</v>
      </c>
      <c r="AV115">
        <v>1070.104028363821</v>
      </c>
      <c r="AW115">
        <f t="shared" si="165"/>
        <v>0.31415176273971035</v>
      </c>
      <c r="AX115">
        <v>0.5</v>
      </c>
      <c r="AY115">
        <f t="shared" si="166"/>
        <v>1513.0251003291178</v>
      </c>
      <c r="AZ115">
        <f t="shared" si="167"/>
        <v>42.449197303059357</v>
      </c>
      <c r="BA115">
        <f t="shared" si="168"/>
        <v>237.65975116890974</v>
      </c>
      <c r="BB115">
        <f t="shared" si="169"/>
        <v>2.8269608621824083E-2</v>
      </c>
      <c r="BC115">
        <f t="shared" si="170"/>
        <v>2.786828095765538</v>
      </c>
      <c r="BD115">
        <f t="shared" si="171"/>
        <v>250.20951308192534</v>
      </c>
      <c r="BE115" t="s">
        <v>921</v>
      </c>
      <c r="BF115">
        <v>572.79999999999995</v>
      </c>
      <c r="BG115">
        <f t="shared" si="172"/>
        <v>572.79999999999995</v>
      </c>
      <c r="BH115">
        <f t="shared" si="173"/>
        <v>0.46472493812045013</v>
      </c>
      <c r="BI115">
        <f t="shared" si="174"/>
        <v>0.67599506067024684</v>
      </c>
      <c r="BJ115">
        <f t="shared" si="175"/>
        <v>0.85707600851736709</v>
      </c>
      <c r="BK115">
        <f t="shared" si="176"/>
        <v>0.4377894995754304</v>
      </c>
      <c r="BL115">
        <f t="shared" si="177"/>
        <v>0.79523359762122348</v>
      </c>
      <c r="BM115">
        <f t="shared" si="178"/>
        <v>0.52758508117767688</v>
      </c>
      <c r="BN115">
        <f t="shared" si="179"/>
        <v>0.47241491882232312</v>
      </c>
      <c r="BO115">
        <v>5884</v>
      </c>
      <c r="BP115">
        <v>290.00000000000011</v>
      </c>
      <c r="BQ115">
        <v>978.1</v>
      </c>
      <c r="BR115">
        <v>225</v>
      </c>
      <c r="BS115">
        <v>10467</v>
      </c>
      <c r="BT115">
        <v>978.64</v>
      </c>
      <c r="BU115">
        <v>-0.54</v>
      </c>
      <c r="BV115">
        <v>300.00000000000011</v>
      </c>
      <c r="BW115">
        <v>38.299999999999997</v>
      </c>
      <c r="BX115">
        <v>1070.104028363821</v>
      </c>
      <c r="BY115">
        <v>1.106559002203404</v>
      </c>
      <c r="BZ115">
        <v>-95.733917810085089</v>
      </c>
      <c r="CA115">
        <v>0.94836246344063868</v>
      </c>
      <c r="CB115">
        <v>0.99725979289169753</v>
      </c>
      <c r="CC115">
        <v>-1.136627541713014E-2</v>
      </c>
      <c r="CD115">
        <v>289.99999999999989</v>
      </c>
      <c r="CE115">
        <v>972.33</v>
      </c>
      <c r="CF115">
        <v>675</v>
      </c>
      <c r="CG115">
        <v>10441.799999999999</v>
      </c>
      <c r="CH115">
        <v>978.42</v>
      </c>
      <c r="CI115">
        <v>-6.09</v>
      </c>
      <c r="CW115">
        <f t="shared" si="180"/>
        <v>1799.81</v>
      </c>
      <c r="CX115">
        <f t="shared" si="181"/>
        <v>1513.0251003291178</v>
      </c>
      <c r="CY115">
        <f t="shared" si="182"/>
        <v>0.84065823633001147</v>
      </c>
      <c r="CZ115">
        <f t="shared" si="183"/>
        <v>0.19131647266002319</v>
      </c>
      <c r="DA115">
        <v>6</v>
      </c>
      <c r="DB115">
        <v>0.5</v>
      </c>
      <c r="DC115" t="s">
        <v>420</v>
      </c>
      <c r="DD115">
        <v>2</v>
      </c>
      <c r="DE115">
        <v>1693519048.5999999</v>
      </c>
      <c r="DF115">
        <v>347.29700000000003</v>
      </c>
      <c r="DG115">
        <v>399.98399999999998</v>
      </c>
      <c r="DH115">
        <v>28.502400000000002</v>
      </c>
      <c r="DI115">
        <v>23.4605</v>
      </c>
      <c r="DJ115">
        <v>349.81799999999998</v>
      </c>
      <c r="DK115">
        <v>28.094200000000001</v>
      </c>
      <c r="DL115">
        <v>500.53500000000003</v>
      </c>
      <c r="DM115">
        <v>99.416499999999999</v>
      </c>
      <c r="DN115">
        <v>9.9698899999999993E-2</v>
      </c>
      <c r="DO115">
        <v>30.2973</v>
      </c>
      <c r="DP115">
        <v>29.9818</v>
      </c>
      <c r="DQ115">
        <v>999.9</v>
      </c>
      <c r="DR115">
        <v>0</v>
      </c>
      <c r="DS115">
        <v>0</v>
      </c>
      <c r="DT115">
        <v>10035</v>
      </c>
      <c r="DU115">
        <v>0</v>
      </c>
      <c r="DV115">
        <v>1261.83</v>
      </c>
      <c r="DW115">
        <v>-52.686900000000001</v>
      </c>
      <c r="DX115">
        <v>357.48599999999999</v>
      </c>
      <c r="DY115">
        <v>409.59300000000002</v>
      </c>
      <c r="DZ115">
        <v>5.0419299999999998</v>
      </c>
      <c r="EA115">
        <v>399.98399999999998</v>
      </c>
      <c r="EB115">
        <v>23.4605</v>
      </c>
      <c r="EC115">
        <v>2.8336100000000002</v>
      </c>
      <c r="ED115">
        <v>2.33236</v>
      </c>
      <c r="EE115">
        <v>23.081199999999999</v>
      </c>
      <c r="EF115">
        <v>19.901700000000002</v>
      </c>
      <c r="EG115">
        <v>1799.81</v>
      </c>
      <c r="EH115">
        <v>0.97799899999999995</v>
      </c>
      <c r="EI115">
        <v>2.2000700000000002E-2</v>
      </c>
      <c r="EJ115">
        <v>0</v>
      </c>
      <c r="EK115">
        <v>734.21799999999996</v>
      </c>
      <c r="EL115">
        <v>4.9995000000000003</v>
      </c>
      <c r="EM115">
        <v>13962.7</v>
      </c>
      <c r="EN115">
        <v>16658.099999999999</v>
      </c>
      <c r="EO115">
        <v>47.936999999999998</v>
      </c>
      <c r="EP115">
        <v>48.311999999999998</v>
      </c>
      <c r="EQ115">
        <v>48.625</v>
      </c>
      <c r="ER115">
        <v>48.25</v>
      </c>
      <c r="ES115">
        <v>49.186999999999998</v>
      </c>
      <c r="ET115">
        <v>1755.32</v>
      </c>
      <c r="EU115">
        <v>39.49</v>
      </c>
      <c r="EV115">
        <v>0</v>
      </c>
      <c r="EW115">
        <v>2612.3999998569489</v>
      </c>
      <c r="EX115">
        <v>0</v>
      </c>
      <c r="EY115">
        <v>733.92896153846164</v>
      </c>
      <c r="EZ115">
        <v>0.95914529526075332</v>
      </c>
      <c r="FA115">
        <v>39.094017056719238</v>
      </c>
      <c r="FB115">
        <v>13955.76538461539</v>
      </c>
      <c r="FC115">
        <v>15</v>
      </c>
      <c r="FD115">
        <v>1693519021.0999999</v>
      </c>
      <c r="FE115" t="s">
        <v>922</v>
      </c>
      <c r="FF115">
        <v>1693519021.0999999</v>
      </c>
      <c r="FG115">
        <v>1693519019.5999999</v>
      </c>
      <c r="FH115">
        <v>112</v>
      </c>
      <c r="FI115">
        <v>0.36199999999999999</v>
      </c>
      <c r="FJ115">
        <v>-8.1000000000000003E-2</v>
      </c>
      <c r="FK115">
        <v>-2.6</v>
      </c>
      <c r="FL115">
        <v>0.18</v>
      </c>
      <c r="FM115">
        <v>400</v>
      </c>
      <c r="FN115">
        <v>23</v>
      </c>
      <c r="FO115">
        <v>0.13</v>
      </c>
      <c r="FP115">
        <v>0.04</v>
      </c>
      <c r="FQ115">
        <v>42.506449260556828</v>
      </c>
      <c r="FR115">
        <v>-0.39139677027792802</v>
      </c>
      <c r="FS115">
        <v>9.4928833546610428E-2</v>
      </c>
      <c r="FT115">
        <v>1</v>
      </c>
      <c r="FU115">
        <v>0.30946614867885619</v>
      </c>
      <c r="FV115">
        <v>2.9871713538091399E-2</v>
      </c>
      <c r="FW115">
        <v>3.007705566075926E-3</v>
      </c>
      <c r="FX115">
        <v>1</v>
      </c>
      <c r="FY115">
        <v>2</v>
      </c>
      <c r="FZ115">
        <v>2</v>
      </c>
      <c r="GA115" t="s">
        <v>422</v>
      </c>
      <c r="GB115">
        <v>2.97193</v>
      </c>
      <c r="GC115">
        <v>2.8117100000000002</v>
      </c>
      <c r="GD115">
        <v>8.7488999999999997E-2</v>
      </c>
      <c r="GE115">
        <v>9.6117400000000006E-2</v>
      </c>
      <c r="GF115">
        <v>0.13478000000000001</v>
      </c>
      <c r="GG115">
        <v>0.117159</v>
      </c>
      <c r="GH115">
        <v>27009.4</v>
      </c>
      <c r="GI115">
        <v>24609.7</v>
      </c>
      <c r="GJ115">
        <v>26600.9</v>
      </c>
      <c r="GK115">
        <v>25684.2</v>
      </c>
      <c r="GL115">
        <v>31298.7</v>
      </c>
      <c r="GM115">
        <v>31925.4</v>
      </c>
      <c r="GN115">
        <v>37656.6</v>
      </c>
      <c r="GO115">
        <v>37982</v>
      </c>
      <c r="GP115">
        <v>1.9759</v>
      </c>
      <c r="GQ115">
        <v>1.9951000000000001</v>
      </c>
      <c r="GR115">
        <v>7.6472799999999994E-2</v>
      </c>
      <c r="GS115">
        <v>0</v>
      </c>
      <c r="GT115">
        <v>28.7361</v>
      </c>
      <c r="GU115">
        <v>999.9</v>
      </c>
      <c r="GV115">
        <v>40.1</v>
      </c>
      <c r="GW115">
        <v>38.6</v>
      </c>
      <c r="GX115">
        <v>27.736699999999999</v>
      </c>
      <c r="GY115">
        <v>61.306199999999997</v>
      </c>
      <c r="GZ115">
        <v>12.932700000000001</v>
      </c>
      <c r="HA115">
        <v>1</v>
      </c>
      <c r="HB115">
        <v>0.26051800000000003</v>
      </c>
      <c r="HC115">
        <v>1.3047800000000001</v>
      </c>
      <c r="HD115">
        <v>20.301100000000002</v>
      </c>
      <c r="HE115">
        <v>5.2107000000000001</v>
      </c>
      <c r="HF115">
        <v>11.9321</v>
      </c>
      <c r="HG115">
        <v>4.9875999999999996</v>
      </c>
      <c r="HH115">
        <v>3.2909999999999999</v>
      </c>
      <c r="HI115">
        <v>9999</v>
      </c>
      <c r="HJ115">
        <v>9999</v>
      </c>
      <c r="HK115">
        <v>9999</v>
      </c>
      <c r="HL115">
        <v>999.9</v>
      </c>
      <c r="HM115">
        <v>1.87012</v>
      </c>
      <c r="HN115">
        <v>1.87635</v>
      </c>
      <c r="HO115">
        <v>1.87408</v>
      </c>
      <c r="HP115">
        <v>1.8723799999999999</v>
      </c>
      <c r="HQ115">
        <v>1.87277</v>
      </c>
      <c r="HR115">
        <v>1.8702700000000001</v>
      </c>
      <c r="HS115">
        <v>1.8760699999999999</v>
      </c>
      <c r="HT115">
        <v>1.8751500000000001</v>
      </c>
      <c r="HU115">
        <v>5</v>
      </c>
      <c r="HV115">
        <v>0</v>
      </c>
      <c r="HW115">
        <v>0</v>
      </c>
      <c r="HX115">
        <v>0</v>
      </c>
      <c r="HY115" t="s">
        <v>423</v>
      </c>
      <c r="HZ115" t="s">
        <v>424</v>
      </c>
      <c r="IA115" t="s">
        <v>425</v>
      </c>
      <c r="IB115" t="s">
        <v>425</v>
      </c>
      <c r="IC115" t="s">
        <v>425</v>
      </c>
      <c r="ID115" t="s">
        <v>425</v>
      </c>
      <c r="IE115">
        <v>0</v>
      </c>
      <c r="IF115">
        <v>100</v>
      </c>
      <c r="IG115">
        <v>100</v>
      </c>
      <c r="IH115">
        <v>-2.5209999999999999</v>
      </c>
      <c r="II115">
        <v>0.40820000000000001</v>
      </c>
      <c r="IJ115">
        <v>-1.794698426814388</v>
      </c>
      <c r="IK115">
        <v>-2.677719669153116E-3</v>
      </c>
      <c r="IL115">
        <v>1.9353498771248068E-6</v>
      </c>
      <c r="IM115">
        <v>-6.1862177325538213E-10</v>
      </c>
      <c r="IN115">
        <v>-0.21044491001934529</v>
      </c>
      <c r="IO115">
        <v>-1.5299015507423901E-2</v>
      </c>
      <c r="IP115">
        <v>1.742162107778985E-3</v>
      </c>
      <c r="IQ115">
        <v>-1.472690239905804E-5</v>
      </c>
      <c r="IR115">
        <v>3</v>
      </c>
      <c r="IS115">
        <v>2255</v>
      </c>
      <c r="IT115">
        <v>2</v>
      </c>
      <c r="IU115">
        <v>41</v>
      </c>
      <c r="IV115">
        <v>0.5</v>
      </c>
      <c r="IW115">
        <v>0.5</v>
      </c>
      <c r="IX115">
        <v>0.97045899999999996</v>
      </c>
      <c r="IY115">
        <v>2.52319</v>
      </c>
      <c r="IZ115">
        <v>1.6003400000000001</v>
      </c>
      <c r="JA115">
        <v>2.2607400000000002</v>
      </c>
      <c r="JB115">
        <v>1.5502899999999999</v>
      </c>
      <c r="JC115">
        <v>2.2644000000000002</v>
      </c>
      <c r="JD115">
        <v>39.994199999999999</v>
      </c>
      <c r="JE115">
        <v>15.891999999999999</v>
      </c>
      <c r="JF115">
        <v>18</v>
      </c>
      <c r="JG115">
        <v>504.714</v>
      </c>
      <c r="JH115">
        <v>485.738</v>
      </c>
      <c r="JI115">
        <v>27.034500000000001</v>
      </c>
      <c r="JJ115">
        <v>30.8431</v>
      </c>
      <c r="JK115">
        <v>30</v>
      </c>
      <c r="JL115">
        <v>30.802</v>
      </c>
      <c r="JM115">
        <v>30.764700000000001</v>
      </c>
      <c r="JN115">
        <v>19.466200000000001</v>
      </c>
      <c r="JO115">
        <v>26.130700000000001</v>
      </c>
      <c r="JP115">
        <v>59.287700000000001</v>
      </c>
      <c r="JQ115">
        <v>27.0413</v>
      </c>
      <c r="JR115">
        <v>400</v>
      </c>
      <c r="JS115">
        <v>23.373899999999999</v>
      </c>
      <c r="JT115">
        <v>99.316100000000006</v>
      </c>
      <c r="JU115">
        <v>98.684600000000003</v>
      </c>
    </row>
    <row r="116" spans="1:281" x14ac:dyDescent="0.25">
      <c r="A116">
        <v>100</v>
      </c>
      <c r="B116">
        <v>1693519157.5999999</v>
      </c>
      <c r="C116">
        <v>25178</v>
      </c>
      <c r="D116" t="s">
        <v>923</v>
      </c>
      <c r="E116" t="s">
        <v>924</v>
      </c>
      <c r="F116" t="s">
        <v>413</v>
      </c>
      <c r="G116" t="s">
        <v>778</v>
      </c>
      <c r="H116" t="s">
        <v>416</v>
      </c>
      <c r="I116" t="s">
        <v>415</v>
      </c>
      <c r="J116">
        <v>1693519157.5999999</v>
      </c>
      <c r="K116">
        <f t="shared" si="138"/>
        <v>4.4738781810375831E-3</v>
      </c>
      <c r="L116">
        <f t="shared" si="139"/>
        <v>4.4738781810375832</v>
      </c>
      <c r="M116">
        <f t="shared" si="140"/>
        <v>34.168895268001066</v>
      </c>
      <c r="N116">
        <f t="shared" si="141"/>
        <v>257.62</v>
      </c>
      <c r="O116">
        <f t="shared" si="142"/>
        <v>75.327850163037979</v>
      </c>
      <c r="P116">
        <f t="shared" si="143"/>
        <v>7.4964470120408491</v>
      </c>
      <c r="Q116">
        <f t="shared" si="144"/>
        <v>25.637724627240001</v>
      </c>
      <c r="R116">
        <f t="shared" si="145"/>
        <v>0.32241654907884215</v>
      </c>
      <c r="S116">
        <f t="shared" si="146"/>
        <v>2.9302383684853153</v>
      </c>
      <c r="T116">
        <f t="shared" si="147"/>
        <v>0.30392478042133492</v>
      </c>
      <c r="U116">
        <f t="shared" si="148"/>
        <v>0.1915259618165728</v>
      </c>
      <c r="V116">
        <f t="shared" si="149"/>
        <v>344.37128749496878</v>
      </c>
      <c r="W116">
        <f t="shared" si="150"/>
        <v>31.263886988188283</v>
      </c>
      <c r="X116">
        <f t="shared" si="151"/>
        <v>30.009899999999998</v>
      </c>
      <c r="Y116">
        <f t="shared" si="152"/>
        <v>4.2628730685789007</v>
      </c>
      <c r="Z116">
        <f t="shared" si="153"/>
        <v>65.38836728824856</v>
      </c>
      <c r="AA116">
        <f t="shared" si="154"/>
        <v>2.8502935906421998</v>
      </c>
      <c r="AB116">
        <f t="shared" si="155"/>
        <v>4.3590224207271921</v>
      </c>
      <c r="AC116">
        <f t="shared" si="156"/>
        <v>1.4125794779367009</v>
      </c>
      <c r="AD116">
        <f t="shared" si="157"/>
        <v>-197.29802778375742</v>
      </c>
      <c r="AE116">
        <f t="shared" si="158"/>
        <v>61.436481747480862</v>
      </c>
      <c r="AF116">
        <f t="shared" si="159"/>
        <v>4.6713354595323766</v>
      </c>
      <c r="AG116">
        <f t="shared" si="160"/>
        <v>213.18107691822459</v>
      </c>
      <c r="AH116">
        <v>0</v>
      </c>
      <c r="AI116">
        <v>0</v>
      </c>
      <c r="AJ116">
        <f t="shared" si="161"/>
        <v>1</v>
      </c>
      <c r="AK116">
        <f t="shared" si="162"/>
        <v>0</v>
      </c>
      <c r="AL116">
        <f t="shared" si="163"/>
        <v>52291.784627174427</v>
      </c>
      <c r="AM116" t="s">
        <v>417</v>
      </c>
      <c r="AN116">
        <v>10238.9</v>
      </c>
      <c r="AO116">
        <v>302.21199999999999</v>
      </c>
      <c r="AP116">
        <v>4052.3</v>
      </c>
      <c r="AQ116">
        <f t="shared" si="164"/>
        <v>0.92542210596451402</v>
      </c>
      <c r="AR116">
        <v>-0.32343011824092421</v>
      </c>
      <c r="AS116" t="s">
        <v>925</v>
      </c>
      <c r="AT116">
        <v>10456.4</v>
      </c>
      <c r="AU116">
        <v>711.55565384615386</v>
      </c>
      <c r="AV116">
        <v>978.790795025997</v>
      </c>
      <c r="AW116">
        <f t="shared" si="165"/>
        <v>0.27302580136416721</v>
      </c>
      <c r="AX116">
        <v>0.5</v>
      </c>
      <c r="AY116">
        <f t="shared" si="166"/>
        <v>1513.1930937474842</v>
      </c>
      <c r="AZ116">
        <f t="shared" si="167"/>
        <v>34.168895268001066</v>
      </c>
      <c r="BA116">
        <f t="shared" si="168"/>
        <v>206.57037851956514</v>
      </c>
      <c r="BB116">
        <f t="shared" si="169"/>
        <v>2.2794397839088956E-2</v>
      </c>
      <c r="BC116">
        <f t="shared" si="170"/>
        <v>3.1401084078363954</v>
      </c>
      <c r="BD116">
        <f t="shared" si="171"/>
        <v>244.86812757295021</v>
      </c>
      <c r="BE116" t="s">
        <v>926</v>
      </c>
      <c r="BF116">
        <v>558.13</v>
      </c>
      <c r="BG116">
        <f t="shared" si="172"/>
        <v>558.13</v>
      </c>
      <c r="BH116">
        <f t="shared" si="173"/>
        <v>0.42977600235280522</v>
      </c>
      <c r="BI116">
        <f t="shared" si="174"/>
        <v>0.63527465440017505</v>
      </c>
      <c r="BJ116">
        <f t="shared" si="175"/>
        <v>0.87961066718963399</v>
      </c>
      <c r="BK116">
        <f t="shared" si="176"/>
        <v>0.39498007201005292</v>
      </c>
      <c r="BL116">
        <f t="shared" si="177"/>
        <v>0.81958322177346321</v>
      </c>
      <c r="BM116">
        <f t="shared" si="178"/>
        <v>0.49829671220212202</v>
      </c>
      <c r="BN116">
        <f t="shared" si="179"/>
        <v>0.50170328779787798</v>
      </c>
      <c r="BO116">
        <v>5886</v>
      </c>
      <c r="BP116">
        <v>290.00000000000011</v>
      </c>
      <c r="BQ116">
        <v>906.33</v>
      </c>
      <c r="BR116">
        <v>295</v>
      </c>
      <c r="BS116">
        <v>10456.4</v>
      </c>
      <c r="BT116">
        <v>905.72</v>
      </c>
      <c r="BU116">
        <v>0.61</v>
      </c>
      <c r="BV116">
        <v>300.00000000000011</v>
      </c>
      <c r="BW116">
        <v>38.299999999999997</v>
      </c>
      <c r="BX116">
        <v>978.790795025997</v>
      </c>
      <c r="BY116">
        <v>1.152511031320149</v>
      </c>
      <c r="BZ116">
        <v>-76.406053031822651</v>
      </c>
      <c r="CA116">
        <v>0.98765958692397171</v>
      </c>
      <c r="CB116">
        <v>0.9953431750787276</v>
      </c>
      <c r="CC116">
        <v>-1.136499199110123E-2</v>
      </c>
      <c r="CD116">
        <v>289.99999999999989</v>
      </c>
      <c r="CE116">
        <v>902.15</v>
      </c>
      <c r="CF116">
        <v>645</v>
      </c>
      <c r="CG116">
        <v>10444</v>
      </c>
      <c r="CH116">
        <v>905.63</v>
      </c>
      <c r="CI116">
        <v>-3.48</v>
      </c>
      <c r="CW116">
        <f t="shared" si="180"/>
        <v>1800.01</v>
      </c>
      <c r="CX116">
        <f t="shared" si="181"/>
        <v>1513.1930937474842</v>
      </c>
      <c r="CY116">
        <f t="shared" si="182"/>
        <v>0.84065815953660494</v>
      </c>
      <c r="CZ116">
        <f t="shared" si="183"/>
        <v>0.19131631907321003</v>
      </c>
      <c r="DA116">
        <v>6</v>
      </c>
      <c r="DB116">
        <v>0.5</v>
      </c>
      <c r="DC116" t="s">
        <v>420</v>
      </c>
      <c r="DD116">
        <v>2</v>
      </c>
      <c r="DE116">
        <v>1693519157.5999999</v>
      </c>
      <c r="DF116">
        <v>257.62</v>
      </c>
      <c r="DG116">
        <v>299.95299999999997</v>
      </c>
      <c r="DH116">
        <v>28.641100000000002</v>
      </c>
      <c r="DI116">
        <v>23.432700000000001</v>
      </c>
      <c r="DJ116">
        <v>259.79399999999998</v>
      </c>
      <c r="DK116">
        <v>28.2241</v>
      </c>
      <c r="DL116">
        <v>500.62299999999999</v>
      </c>
      <c r="DM116">
        <v>99.417900000000003</v>
      </c>
      <c r="DN116">
        <v>9.9701999999999999E-2</v>
      </c>
      <c r="DO116">
        <v>30.398800000000001</v>
      </c>
      <c r="DP116">
        <v>30.009899999999998</v>
      </c>
      <c r="DQ116">
        <v>999.9</v>
      </c>
      <c r="DR116">
        <v>0</v>
      </c>
      <c r="DS116">
        <v>0</v>
      </c>
      <c r="DT116">
        <v>10062.5</v>
      </c>
      <c r="DU116">
        <v>0</v>
      </c>
      <c r="DV116">
        <v>1248.18</v>
      </c>
      <c r="DW116">
        <v>-42.332500000000003</v>
      </c>
      <c r="DX116">
        <v>265.21600000000001</v>
      </c>
      <c r="DY116">
        <v>307.14999999999998</v>
      </c>
      <c r="DZ116">
        <v>5.2083500000000003</v>
      </c>
      <c r="EA116">
        <v>299.95299999999997</v>
      </c>
      <c r="EB116">
        <v>23.432700000000001</v>
      </c>
      <c r="EC116">
        <v>2.8474400000000002</v>
      </c>
      <c r="ED116">
        <v>2.3296299999999999</v>
      </c>
      <c r="EE116">
        <v>23.1617</v>
      </c>
      <c r="EF116">
        <v>19.8828</v>
      </c>
      <c r="EG116">
        <v>1800.01</v>
      </c>
      <c r="EH116">
        <v>0.97800299999999996</v>
      </c>
      <c r="EI116">
        <v>2.1997099999999999E-2</v>
      </c>
      <c r="EJ116">
        <v>0</v>
      </c>
      <c r="EK116">
        <v>711.18100000000004</v>
      </c>
      <c r="EL116">
        <v>4.9995000000000003</v>
      </c>
      <c r="EM116">
        <v>13535.4</v>
      </c>
      <c r="EN116">
        <v>16659.900000000001</v>
      </c>
      <c r="EO116">
        <v>47.936999999999998</v>
      </c>
      <c r="EP116">
        <v>48.311999999999998</v>
      </c>
      <c r="EQ116">
        <v>48.625</v>
      </c>
      <c r="ER116">
        <v>48.186999999999998</v>
      </c>
      <c r="ES116">
        <v>49.25</v>
      </c>
      <c r="ET116">
        <v>1755.53</v>
      </c>
      <c r="EU116">
        <v>39.49</v>
      </c>
      <c r="EV116">
        <v>0</v>
      </c>
      <c r="EW116">
        <v>106.7999999523163</v>
      </c>
      <c r="EX116">
        <v>0</v>
      </c>
      <c r="EY116">
        <v>711.55565384615386</v>
      </c>
      <c r="EZ116">
        <v>-3.4789401819040848</v>
      </c>
      <c r="FA116">
        <v>-77.678632543608046</v>
      </c>
      <c r="FB116">
        <v>13546.06538461538</v>
      </c>
      <c r="FC116">
        <v>15</v>
      </c>
      <c r="FD116">
        <v>1693519130.0999999</v>
      </c>
      <c r="FE116" t="s">
        <v>927</v>
      </c>
      <c r="FF116">
        <v>1693519121.5999999</v>
      </c>
      <c r="FG116">
        <v>1693519130.0999999</v>
      </c>
      <c r="FH116">
        <v>113</v>
      </c>
      <c r="FI116">
        <v>0.19700000000000001</v>
      </c>
      <c r="FJ116">
        <v>3.0000000000000001E-3</v>
      </c>
      <c r="FK116">
        <v>-2.2480000000000002</v>
      </c>
      <c r="FL116">
        <v>0.186</v>
      </c>
      <c r="FM116">
        <v>300</v>
      </c>
      <c r="FN116">
        <v>23</v>
      </c>
      <c r="FO116">
        <v>0.15</v>
      </c>
      <c r="FP116">
        <v>0.06</v>
      </c>
      <c r="FQ116">
        <v>34.08519363762786</v>
      </c>
      <c r="FR116">
        <v>0.4817317415511192</v>
      </c>
      <c r="FS116">
        <v>7.3703990119794172E-2</v>
      </c>
      <c r="FT116">
        <v>1</v>
      </c>
      <c r="FU116">
        <v>0.32024221255605889</v>
      </c>
      <c r="FV116">
        <v>4.0333075133291652E-2</v>
      </c>
      <c r="FW116">
        <v>4.5321647927308514E-3</v>
      </c>
      <c r="FX116">
        <v>1</v>
      </c>
      <c r="FY116">
        <v>2</v>
      </c>
      <c r="FZ116">
        <v>2</v>
      </c>
      <c r="GA116" t="s">
        <v>422</v>
      </c>
      <c r="GB116">
        <v>2.9721899999999999</v>
      </c>
      <c r="GC116">
        <v>2.8119499999999999</v>
      </c>
      <c r="GD116">
        <v>6.8529800000000002E-2</v>
      </c>
      <c r="GE116">
        <v>7.64151E-2</v>
      </c>
      <c r="GF116">
        <v>0.13522300000000001</v>
      </c>
      <c r="GG116">
        <v>0.11706800000000001</v>
      </c>
      <c r="GH116">
        <v>27571.7</v>
      </c>
      <c r="GI116">
        <v>25147.599999999999</v>
      </c>
      <c r="GJ116">
        <v>26601.8</v>
      </c>
      <c r="GK116">
        <v>25685.4</v>
      </c>
      <c r="GL116">
        <v>31281.5</v>
      </c>
      <c r="GM116">
        <v>31928.7</v>
      </c>
      <c r="GN116">
        <v>37657.4</v>
      </c>
      <c r="GO116">
        <v>37983.599999999999</v>
      </c>
      <c r="GP116">
        <v>1.9762999999999999</v>
      </c>
      <c r="GQ116">
        <v>1.9976</v>
      </c>
      <c r="GR116">
        <v>7.8737699999999994E-2</v>
      </c>
      <c r="GS116">
        <v>0</v>
      </c>
      <c r="GT116">
        <v>28.7272</v>
      </c>
      <c r="GU116">
        <v>999.9</v>
      </c>
      <c r="GV116">
        <v>40.700000000000003</v>
      </c>
      <c r="GW116">
        <v>38.4</v>
      </c>
      <c r="GX116">
        <v>27.848600000000001</v>
      </c>
      <c r="GY116">
        <v>61.416200000000003</v>
      </c>
      <c r="GZ116">
        <v>12.6082</v>
      </c>
      <c r="HA116">
        <v>1</v>
      </c>
      <c r="HB116">
        <v>0.25923800000000002</v>
      </c>
      <c r="HC116">
        <v>1.6831700000000001</v>
      </c>
      <c r="HD116">
        <v>20.297499999999999</v>
      </c>
      <c r="HE116">
        <v>5.2112999999999996</v>
      </c>
      <c r="HF116">
        <v>11.9321</v>
      </c>
      <c r="HG116">
        <v>4.9882</v>
      </c>
      <c r="HH116">
        <v>3.2909999999999999</v>
      </c>
      <c r="HI116">
        <v>9999</v>
      </c>
      <c r="HJ116">
        <v>9999</v>
      </c>
      <c r="HK116">
        <v>9999</v>
      </c>
      <c r="HL116">
        <v>999.9</v>
      </c>
      <c r="HM116">
        <v>1.87012</v>
      </c>
      <c r="HN116">
        <v>1.8763300000000001</v>
      </c>
      <c r="HO116">
        <v>1.87408</v>
      </c>
      <c r="HP116">
        <v>1.87233</v>
      </c>
      <c r="HQ116">
        <v>1.8728</v>
      </c>
      <c r="HR116">
        <v>1.8702099999999999</v>
      </c>
      <c r="HS116">
        <v>1.87609</v>
      </c>
      <c r="HT116">
        <v>1.8751500000000001</v>
      </c>
      <c r="HU116">
        <v>5</v>
      </c>
      <c r="HV116">
        <v>0</v>
      </c>
      <c r="HW116">
        <v>0</v>
      </c>
      <c r="HX116">
        <v>0</v>
      </c>
      <c r="HY116" t="s">
        <v>423</v>
      </c>
      <c r="HZ116" t="s">
        <v>424</v>
      </c>
      <c r="IA116" t="s">
        <v>425</v>
      </c>
      <c r="IB116" t="s">
        <v>425</v>
      </c>
      <c r="IC116" t="s">
        <v>425</v>
      </c>
      <c r="ID116" t="s">
        <v>425</v>
      </c>
      <c r="IE116">
        <v>0</v>
      </c>
      <c r="IF116">
        <v>100</v>
      </c>
      <c r="IG116">
        <v>100</v>
      </c>
      <c r="IH116">
        <v>-2.1739999999999999</v>
      </c>
      <c r="II116">
        <v>0.41699999999999998</v>
      </c>
      <c r="IJ116">
        <v>-1.5981942918685701</v>
      </c>
      <c r="IK116">
        <v>-2.677719669153116E-3</v>
      </c>
      <c r="IL116">
        <v>1.9353498771248068E-6</v>
      </c>
      <c r="IM116">
        <v>-6.1862177325538213E-10</v>
      </c>
      <c r="IN116">
        <v>-0.20793955317199189</v>
      </c>
      <c r="IO116">
        <v>-1.5299015507423901E-2</v>
      </c>
      <c r="IP116">
        <v>1.742162107778985E-3</v>
      </c>
      <c r="IQ116">
        <v>-1.472690239905804E-5</v>
      </c>
      <c r="IR116">
        <v>3</v>
      </c>
      <c r="IS116">
        <v>2255</v>
      </c>
      <c r="IT116">
        <v>2</v>
      </c>
      <c r="IU116">
        <v>41</v>
      </c>
      <c r="IV116">
        <v>0.6</v>
      </c>
      <c r="IW116">
        <v>0.5</v>
      </c>
      <c r="IX116">
        <v>0.775146</v>
      </c>
      <c r="IY116">
        <v>2.5134300000000001</v>
      </c>
      <c r="IZ116">
        <v>1.5991200000000001</v>
      </c>
      <c r="JA116">
        <v>2.2619600000000002</v>
      </c>
      <c r="JB116">
        <v>1.5502899999999999</v>
      </c>
      <c r="JC116">
        <v>2.33887</v>
      </c>
      <c r="JD116">
        <v>39.868000000000002</v>
      </c>
      <c r="JE116">
        <v>15.8832</v>
      </c>
      <c r="JF116">
        <v>18</v>
      </c>
      <c r="JG116">
        <v>504.82400000000001</v>
      </c>
      <c r="JH116">
        <v>487.22300000000001</v>
      </c>
      <c r="JI116">
        <v>26.911999999999999</v>
      </c>
      <c r="JJ116">
        <v>30.816299999999998</v>
      </c>
      <c r="JK116">
        <v>30</v>
      </c>
      <c r="JL116">
        <v>30.783799999999999</v>
      </c>
      <c r="JM116">
        <v>30.748699999999999</v>
      </c>
      <c r="JN116">
        <v>15.5451</v>
      </c>
      <c r="JO116">
        <v>26.594000000000001</v>
      </c>
      <c r="JP116">
        <v>60.121499999999997</v>
      </c>
      <c r="JQ116">
        <v>26.9087</v>
      </c>
      <c r="JR116">
        <v>300</v>
      </c>
      <c r="JS116">
        <v>23.3261</v>
      </c>
      <c r="JT116">
        <v>99.318600000000004</v>
      </c>
      <c r="JU116">
        <v>98.688999999999993</v>
      </c>
    </row>
    <row r="117" spans="1:281" x14ac:dyDescent="0.25">
      <c r="A117">
        <v>101</v>
      </c>
      <c r="B117">
        <v>1693519295.5999999</v>
      </c>
      <c r="C117">
        <v>25316</v>
      </c>
      <c r="D117" t="s">
        <v>928</v>
      </c>
      <c r="E117" t="s">
        <v>929</v>
      </c>
      <c r="F117" t="s">
        <v>413</v>
      </c>
      <c r="G117" t="s">
        <v>778</v>
      </c>
      <c r="H117" t="s">
        <v>416</v>
      </c>
      <c r="I117" t="s">
        <v>415</v>
      </c>
      <c r="J117">
        <v>1693519295.5999999</v>
      </c>
      <c r="K117">
        <f t="shared" si="138"/>
        <v>5.0112290150011339E-3</v>
      </c>
      <c r="L117">
        <f t="shared" si="139"/>
        <v>5.0112290150011338</v>
      </c>
      <c r="M117">
        <f t="shared" si="140"/>
        <v>25.269491332519603</v>
      </c>
      <c r="N117">
        <f t="shared" si="141"/>
        <v>168.81200000000001</v>
      </c>
      <c r="O117">
        <f t="shared" si="142"/>
        <v>49.654788307329582</v>
      </c>
      <c r="P117">
        <f t="shared" si="143"/>
        <v>4.9416420496060249</v>
      </c>
      <c r="Q117">
        <f t="shared" si="144"/>
        <v>16.800161799400001</v>
      </c>
      <c r="R117">
        <f t="shared" si="145"/>
        <v>0.36738559586329567</v>
      </c>
      <c r="S117">
        <f t="shared" si="146"/>
        <v>2.9096911982040421</v>
      </c>
      <c r="T117">
        <f t="shared" si="147"/>
        <v>0.34342380164427977</v>
      </c>
      <c r="U117">
        <f t="shared" si="148"/>
        <v>0.2166623783820677</v>
      </c>
      <c r="V117">
        <f t="shared" si="149"/>
        <v>344.36880065800011</v>
      </c>
      <c r="W117">
        <f t="shared" si="150"/>
        <v>31.11075416715989</v>
      </c>
      <c r="X117">
        <f t="shared" si="151"/>
        <v>29.934899999999999</v>
      </c>
      <c r="Y117">
        <f t="shared" si="152"/>
        <v>4.2445446467485795</v>
      </c>
      <c r="Z117">
        <f t="shared" si="153"/>
        <v>65.314788760463586</v>
      </c>
      <c r="AA117">
        <f t="shared" si="154"/>
        <v>2.8440711791049997</v>
      </c>
      <c r="AB117">
        <f t="shared" si="155"/>
        <v>4.3544061507040741</v>
      </c>
      <c r="AC117">
        <f t="shared" si="156"/>
        <v>1.4004734676435797</v>
      </c>
      <c r="AD117">
        <f t="shared" si="157"/>
        <v>-220.99519956155001</v>
      </c>
      <c r="AE117">
        <f t="shared" si="158"/>
        <v>69.868682894272396</v>
      </c>
      <c r="AF117">
        <f t="shared" si="159"/>
        <v>5.3475207562963272</v>
      </c>
      <c r="AG117">
        <f t="shared" si="160"/>
        <v>198.58980474701883</v>
      </c>
      <c r="AH117">
        <v>0</v>
      </c>
      <c r="AI117">
        <v>0</v>
      </c>
      <c r="AJ117">
        <f t="shared" si="161"/>
        <v>1</v>
      </c>
      <c r="AK117">
        <f t="shared" si="162"/>
        <v>0</v>
      </c>
      <c r="AL117">
        <f t="shared" si="163"/>
        <v>51709.81881018397</v>
      </c>
      <c r="AM117" t="s">
        <v>417</v>
      </c>
      <c r="AN117">
        <v>10238.9</v>
      </c>
      <c r="AO117">
        <v>302.21199999999999</v>
      </c>
      <c r="AP117">
        <v>4052.3</v>
      </c>
      <c r="AQ117">
        <f t="shared" si="164"/>
        <v>0.92542210596451402</v>
      </c>
      <c r="AR117">
        <v>-0.32343011824092421</v>
      </c>
      <c r="AS117" t="s">
        <v>930</v>
      </c>
      <c r="AT117">
        <v>10471.1</v>
      </c>
      <c r="AU117">
        <v>711.50396153846168</v>
      </c>
      <c r="AV117">
        <v>908.4431170434184</v>
      </c>
      <c r="AW117">
        <f t="shared" si="165"/>
        <v>0.21678754762973684</v>
      </c>
      <c r="AX117">
        <v>0.5</v>
      </c>
      <c r="AY117">
        <f t="shared" si="166"/>
        <v>1513.184400329</v>
      </c>
      <c r="AZ117">
        <f t="shared" si="167"/>
        <v>25.269491332519603</v>
      </c>
      <c r="BA117">
        <f t="shared" si="168"/>
        <v>164.01976762944895</v>
      </c>
      <c r="BB117">
        <f t="shared" si="169"/>
        <v>1.6913286606177049E-2</v>
      </c>
      <c r="BC117">
        <f t="shared" si="170"/>
        <v>3.4607085726935214</v>
      </c>
      <c r="BD117">
        <f t="shared" si="171"/>
        <v>240.21447890145942</v>
      </c>
      <c r="BE117" t="s">
        <v>931</v>
      </c>
      <c r="BF117">
        <v>551.87</v>
      </c>
      <c r="BG117">
        <f t="shared" si="172"/>
        <v>551.87</v>
      </c>
      <c r="BH117">
        <f t="shared" si="173"/>
        <v>0.3925101201756106</v>
      </c>
      <c r="BI117">
        <f t="shared" si="174"/>
        <v>0.55231072139680193</v>
      </c>
      <c r="BJ117">
        <f t="shared" si="175"/>
        <v>0.89813448146558617</v>
      </c>
      <c r="BK117">
        <f t="shared" si="176"/>
        <v>0.32485820996029785</v>
      </c>
      <c r="BL117">
        <f t="shared" si="177"/>
        <v>0.83834216235901182</v>
      </c>
      <c r="BM117">
        <f t="shared" si="178"/>
        <v>0.42839356390677852</v>
      </c>
      <c r="BN117">
        <f t="shared" si="179"/>
        <v>0.57160643609322148</v>
      </c>
      <c r="BO117">
        <v>5888</v>
      </c>
      <c r="BP117">
        <v>290.00000000000011</v>
      </c>
      <c r="BQ117">
        <v>856.85</v>
      </c>
      <c r="BR117">
        <v>195</v>
      </c>
      <c r="BS117">
        <v>10471.1</v>
      </c>
      <c r="BT117">
        <v>856.6</v>
      </c>
      <c r="BU117">
        <v>0.25</v>
      </c>
      <c r="BV117">
        <v>300.00000000000011</v>
      </c>
      <c r="BW117">
        <v>38.299999999999997</v>
      </c>
      <c r="BX117">
        <v>908.4431170434184</v>
      </c>
      <c r="BY117">
        <v>1.0460818454635821</v>
      </c>
      <c r="BZ117">
        <v>-54.282274117044857</v>
      </c>
      <c r="CA117">
        <v>0.89640325643789764</v>
      </c>
      <c r="CB117">
        <v>0.9924221628273554</v>
      </c>
      <c r="CC117">
        <v>-1.136418843159067E-2</v>
      </c>
      <c r="CD117">
        <v>289.99999999999989</v>
      </c>
      <c r="CE117">
        <v>855.03</v>
      </c>
      <c r="CF117">
        <v>745</v>
      </c>
      <c r="CG117">
        <v>10433.9</v>
      </c>
      <c r="CH117">
        <v>856.42</v>
      </c>
      <c r="CI117">
        <v>-1.39</v>
      </c>
      <c r="CW117">
        <f t="shared" si="180"/>
        <v>1800</v>
      </c>
      <c r="CX117">
        <f t="shared" si="181"/>
        <v>1513.184400329</v>
      </c>
      <c r="CY117">
        <f t="shared" si="182"/>
        <v>0.84065800018277781</v>
      </c>
      <c r="CZ117">
        <f t="shared" si="183"/>
        <v>0.19131600036555563</v>
      </c>
      <c r="DA117">
        <v>6</v>
      </c>
      <c r="DB117">
        <v>0.5</v>
      </c>
      <c r="DC117" t="s">
        <v>420</v>
      </c>
      <c r="DD117">
        <v>2</v>
      </c>
      <c r="DE117">
        <v>1693519295.5999999</v>
      </c>
      <c r="DF117">
        <v>168.81200000000001</v>
      </c>
      <c r="DG117">
        <v>200.15899999999999</v>
      </c>
      <c r="DH117">
        <v>28.5779</v>
      </c>
      <c r="DI117">
        <v>22.7347</v>
      </c>
      <c r="DJ117">
        <v>170.755</v>
      </c>
      <c r="DK117">
        <v>28.162400000000002</v>
      </c>
      <c r="DL117">
        <v>499.86500000000001</v>
      </c>
      <c r="DM117">
        <v>99.4191</v>
      </c>
      <c r="DN117">
        <v>0.10085</v>
      </c>
      <c r="DO117">
        <v>30.380299999999998</v>
      </c>
      <c r="DP117">
        <v>29.934899999999999</v>
      </c>
      <c r="DQ117">
        <v>999.9</v>
      </c>
      <c r="DR117">
        <v>0</v>
      </c>
      <c r="DS117">
        <v>0</v>
      </c>
      <c r="DT117">
        <v>9945</v>
      </c>
      <c r="DU117">
        <v>0</v>
      </c>
      <c r="DV117">
        <v>1238.4000000000001</v>
      </c>
      <c r="DW117">
        <v>-31.346599999999999</v>
      </c>
      <c r="DX117">
        <v>173.779</v>
      </c>
      <c r="DY117">
        <v>204.815</v>
      </c>
      <c r="DZ117">
        <v>5.8431499999999996</v>
      </c>
      <c r="EA117">
        <v>200.15899999999999</v>
      </c>
      <c r="EB117">
        <v>22.7347</v>
      </c>
      <c r="EC117">
        <v>2.84118</v>
      </c>
      <c r="ED117">
        <v>2.2602600000000002</v>
      </c>
      <c r="EE117">
        <v>23.125299999999999</v>
      </c>
      <c r="EF117">
        <v>19.396000000000001</v>
      </c>
      <c r="EG117">
        <v>1800</v>
      </c>
      <c r="EH117">
        <v>0.97800299999999996</v>
      </c>
      <c r="EI117">
        <v>2.1997099999999999E-2</v>
      </c>
      <c r="EJ117">
        <v>0</v>
      </c>
      <c r="EK117">
        <v>711.452</v>
      </c>
      <c r="EL117">
        <v>4.9995000000000003</v>
      </c>
      <c r="EM117">
        <v>13541.3</v>
      </c>
      <c r="EN117">
        <v>16659.8</v>
      </c>
      <c r="EO117">
        <v>47.936999999999998</v>
      </c>
      <c r="EP117">
        <v>48.311999999999998</v>
      </c>
      <c r="EQ117">
        <v>48.625</v>
      </c>
      <c r="ER117">
        <v>48.25</v>
      </c>
      <c r="ES117">
        <v>49.25</v>
      </c>
      <c r="ET117">
        <v>1755.52</v>
      </c>
      <c r="EU117">
        <v>39.479999999999997</v>
      </c>
      <c r="EV117">
        <v>0</v>
      </c>
      <c r="EW117">
        <v>136.20000004768369</v>
      </c>
      <c r="EX117">
        <v>0</v>
      </c>
      <c r="EY117">
        <v>711.50396153846168</v>
      </c>
      <c r="EZ117">
        <v>-1.0267692367999519</v>
      </c>
      <c r="FA117">
        <v>-4.967521379631493</v>
      </c>
      <c r="FB117">
        <v>13542.08846153846</v>
      </c>
      <c r="FC117">
        <v>15</v>
      </c>
      <c r="FD117">
        <v>1693519231.5999999</v>
      </c>
      <c r="FE117" t="s">
        <v>932</v>
      </c>
      <c r="FF117">
        <v>1693519221.0999999</v>
      </c>
      <c r="FG117">
        <v>1693519231.5999999</v>
      </c>
      <c r="FH117">
        <v>114</v>
      </c>
      <c r="FI117">
        <v>5.8999999999999997E-2</v>
      </c>
      <c r="FJ117">
        <v>1E-3</v>
      </c>
      <c r="FK117">
        <v>-2.0059999999999998</v>
      </c>
      <c r="FL117">
        <v>0.182</v>
      </c>
      <c r="FM117">
        <v>200</v>
      </c>
      <c r="FN117">
        <v>23</v>
      </c>
      <c r="FO117">
        <v>0.17</v>
      </c>
      <c r="FP117">
        <v>0.05</v>
      </c>
      <c r="FQ117">
        <v>25.05551813439148</v>
      </c>
      <c r="FR117">
        <v>0.65524467815495246</v>
      </c>
      <c r="FS117">
        <v>8.2308969953771516E-2</v>
      </c>
      <c r="FT117">
        <v>1</v>
      </c>
      <c r="FU117">
        <v>0.36072271278439749</v>
      </c>
      <c r="FV117">
        <v>3.8538635388030637E-2</v>
      </c>
      <c r="FW117">
        <v>3.011943838457337E-3</v>
      </c>
      <c r="FX117">
        <v>1</v>
      </c>
      <c r="FY117">
        <v>2</v>
      </c>
      <c r="FZ117">
        <v>2</v>
      </c>
      <c r="GA117" t="s">
        <v>422</v>
      </c>
      <c r="GB117">
        <v>2.9702099999999998</v>
      </c>
      <c r="GC117">
        <v>2.8120599999999998</v>
      </c>
      <c r="GD117">
        <v>4.7375899999999999E-2</v>
      </c>
      <c r="GE117">
        <v>5.4044500000000002E-2</v>
      </c>
      <c r="GF117">
        <v>0.13502700000000001</v>
      </c>
      <c r="GG117">
        <v>0.114624</v>
      </c>
      <c r="GH117">
        <v>28201.4</v>
      </c>
      <c r="GI117">
        <v>25760.2</v>
      </c>
      <c r="GJ117">
        <v>26605.1</v>
      </c>
      <c r="GK117">
        <v>25688.7</v>
      </c>
      <c r="GL117">
        <v>31290.799999999999</v>
      </c>
      <c r="GM117">
        <v>32019.3</v>
      </c>
      <c r="GN117">
        <v>37662.199999999997</v>
      </c>
      <c r="GO117">
        <v>37988.199999999997</v>
      </c>
      <c r="GP117">
        <v>1.9772000000000001</v>
      </c>
      <c r="GQ117">
        <v>1.9986999999999999</v>
      </c>
      <c r="GR117">
        <v>7.5340299999999999E-2</v>
      </c>
      <c r="GS117">
        <v>0</v>
      </c>
      <c r="GT117">
        <v>28.7075</v>
      </c>
      <c r="GU117">
        <v>999.9</v>
      </c>
      <c r="GV117">
        <v>41.2</v>
      </c>
      <c r="GW117">
        <v>38.1</v>
      </c>
      <c r="GX117">
        <v>27.741800000000001</v>
      </c>
      <c r="GY117">
        <v>61.5062</v>
      </c>
      <c r="GZ117">
        <v>13.072900000000001</v>
      </c>
      <c r="HA117">
        <v>1</v>
      </c>
      <c r="HB117">
        <v>0.25420700000000002</v>
      </c>
      <c r="HC117">
        <v>1.02565</v>
      </c>
      <c r="HD117">
        <v>20.3034</v>
      </c>
      <c r="HE117">
        <v>5.2100999999999997</v>
      </c>
      <c r="HF117">
        <v>11.9321</v>
      </c>
      <c r="HG117">
        <v>4.9878</v>
      </c>
      <c r="HH117">
        <v>3.2909999999999999</v>
      </c>
      <c r="HI117">
        <v>9999</v>
      </c>
      <c r="HJ117">
        <v>9999</v>
      </c>
      <c r="HK117">
        <v>9999</v>
      </c>
      <c r="HL117">
        <v>999.9</v>
      </c>
      <c r="HM117">
        <v>1.87012</v>
      </c>
      <c r="HN117">
        <v>1.87635</v>
      </c>
      <c r="HO117">
        <v>1.87408</v>
      </c>
      <c r="HP117">
        <v>1.8723099999999999</v>
      </c>
      <c r="HQ117">
        <v>1.8728100000000001</v>
      </c>
      <c r="HR117">
        <v>1.8702700000000001</v>
      </c>
      <c r="HS117">
        <v>1.87609</v>
      </c>
      <c r="HT117">
        <v>1.8751800000000001</v>
      </c>
      <c r="HU117">
        <v>5</v>
      </c>
      <c r="HV117">
        <v>0</v>
      </c>
      <c r="HW117">
        <v>0</v>
      </c>
      <c r="HX117">
        <v>0</v>
      </c>
      <c r="HY117" t="s">
        <v>423</v>
      </c>
      <c r="HZ117" t="s">
        <v>424</v>
      </c>
      <c r="IA117" t="s">
        <v>425</v>
      </c>
      <c r="IB117" t="s">
        <v>425</v>
      </c>
      <c r="IC117" t="s">
        <v>425</v>
      </c>
      <c r="ID117" t="s">
        <v>425</v>
      </c>
      <c r="IE117">
        <v>0</v>
      </c>
      <c r="IF117">
        <v>100</v>
      </c>
      <c r="IG117">
        <v>100</v>
      </c>
      <c r="IH117">
        <v>-1.9430000000000001</v>
      </c>
      <c r="II117">
        <v>0.41549999999999998</v>
      </c>
      <c r="IJ117">
        <v>-1.5391425908564409</v>
      </c>
      <c r="IK117">
        <v>-2.677719669153116E-3</v>
      </c>
      <c r="IL117">
        <v>1.9353498771248068E-6</v>
      </c>
      <c r="IM117">
        <v>-6.1862177325538213E-10</v>
      </c>
      <c r="IN117">
        <v>-0.20650462289998089</v>
      </c>
      <c r="IO117">
        <v>-1.5299015507423901E-2</v>
      </c>
      <c r="IP117">
        <v>1.742162107778985E-3</v>
      </c>
      <c r="IQ117">
        <v>-1.472690239905804E-5</v>
      </c>
      <c r="IR117">
        <v>3</v>
      </c>
      <c r="IS117">
        <v>2255</v>
      </c>
      <c r="IT117">
        <v>2</v>
      </c>
      <c r="IU117">
        <v>41</v>
      </c>
      <c r="IV117">
        <v>1.2</v>
      </c>
      <c r="IW117">
        <v>1.1000000000000001</v>
      </c>
      <c r="IX117">
        <v>0.57006800000000002</v>
      </c>
      <c r="IY117">
        <v>2.5134300000000001</v>
      </c>
      <c r="IZ117">
        <v>1.5991200000000001</v>
      </c>
      <c r="JA117">
        <v>2.2607400000000002</v>
      </c>
      <c r="JB117">
        <v>1.5502899999999999</v>
      </c>
      <c r="JC117">
        <v>2.4267599999999998</v>
      </c>
      <c r="JD117">
        <v>39.742199999999997</v>
      </c>
      <c r="JE117">
        <v>15.874499999999999</v>
      </c>
      <c r="JF117">
        <v>18</v>
      </c>
      <c r="JG117">
        <v>505.15199999999999</v>
      </c>
      <c r="JH117">
        <v>487.69499999999999</v>
      </c>
      <c r="JI117">
        <v>27.217199999999998</v>
      </c>
      <c r="JJ117">
        <v>30.787800000000001</v>
      </c>
      <c r="JK117">
        <v>29.9999</v>
      </c>
      <c r="JL117">
        <v>30.753900000000002</v>
      </c>
      <c r="JM117">
        <v>30.7195</v>
      </c>
      <c r="JN117">
        <v>11.4579</v>
      </c>
      <c r="JO117">
        <v>29.8294</v>
      </c>
      <c r="JP117">
        <v>60.1783</v>
      </c>
      <c r="JQ117">
        <v>27.247699999999998</v>
      </c>
      <c r="JR117">
        <v>200</v>
      </c>
      <c r="JS117">
        <v>22.6282</v>
      </c>
      <c r="JT117">
        <v>99.331199999999995</v>
      </c>
      <c r="JU117">
        <v>98.701300000000003</v>
      </c>
    </row>
    <row r="118" spans="1:281" x14ac:dyDescent="0.25">
      <c r="A118">
        <v>102</v>
      </c>
      <c r="B118">
        <v>1693519427.5</v>
      </c>
      <c r="C118">
        <v>25447.900000095371</v>
      </c>
      <c r="D118" t="s">
        <v>933</v>
      </c>
      <c r="E118" t="s">
        <v>934</v>
      </c>
      <c r="F118" t="s">
        <v>413</v>
      </c>
      <c r="G118" t="s">
        <v>778</v>
      </c>
      <c r="H118" t="s">
        <v>416</v>
      </c>
      <c r="I118" t="s">
        <v>415</v>
      </c>
      <c r="J118">
        <v>1693519427.5</v>
      </c>
      <c r="K118">
        <f t="shared" si="138"/>
        <v>5.5045884114653977E-3</v>
      </c>
      <c r="L118">
        <f t="shared" si="139"/>
        <v>5.5045884114653978</v>
      </c>
      <c r="M118">
        <f t="shared" si="140"/>
        <v>16.407133345143535</v>
      </c>
      <c r="N118">
        <f t="shared" si="141"/>
        <v>99.655699999999996</v>
      </c>
      <c r="O118">
        <f t="shared" si="142"/>
        <v>29.780771778107056</v>
      </c>
      <c r="P118">
        <f t="shared" si="143"/>
        <v>2.9640604406425344</v>
      </c>
      <c r="Q118">
        <f t="shared" si="144"/>
        <v>9.9186656496151997</v>
      </c>
      <c r="R118">
        <f t="shared" si="145"/>
        <v>0.40938422388038004</v>
      </c>
      <c r="S118">
        <f t="shared" si="146"/>
        <v>2.912500143144658</v>
      </c>
      <c r="T118">
        <f t="shared" si="147"/>
        <v>0.37989299876912191</v>
      </c>
      <c r="U118">
        <f t="shared" si="148"/>
        <v>0.23990551436697816</v>
      </c>
      <c r="V118">
        <f t="shared" si="149"/>
        <v>344.38080065814489</v>
      </c>
      <c r="W118">
        <f t="shared" si="150"/>
        <v>31.060036077024559</v>
      </c>
      <c r="X118">
        <f t="shared" si="151"/>
        <v>29.953499999999998</v>
      </c>
      <c r="Y118">
        <f t="shared" si="152"/>
        <v>4.2490836791104245</v>
      </c>
      <c r="Z118">
        <f t="shared" si="153"/>
        <v>65.349363616694362</v>
      </c>
      <c r="AA118">
        <f t="shared" si="154"/>
        <v>2.8584128593848002</v>
      </c>
      <c r="AB118">
        <f t="shared" si="155"/>
        <v>4.3740485005344123</v>
      </c>
      <c r="AC118">
        <f t="shared" si="156"/>
        <v>1.3906708197256243</v>
      </c>
      <c r="AD118">
        <f t="shared" si="157"/>
        <v>-242.75234894562405</v>
      </c>
      <c r="AE118">
        <f t="shared" si="158"/>
        <v>79.357254880280607</v>
      </c>
      <c r="AF118">
        <f t="shared" si="159"/>
        <v>6.0708069563550362</v>
      </c>
      <c r="AG118">
        <f t="shared" si="160"/>
        <v>187.05651354915651</v>
      </c>
      <c r="AH118">
        <v>0</v>
      </c>
      <c r="AI118">
        <v>0</v>
      </c>
      <c r="AJ118">
        <f t="shared" si="161"/>
        <v>1</v>
      </c>
      <c r="AK118">
        <f t="shared" si="162"/>
        <v>0</v>
      </c>
      <c r="AL118">
        <f t="shared" si="163"/>
        <v>51776.454270999733</v>
      </c>
      <c r="AM118" t="s">
        <v>417</v>
      </c>
      <c r="AN118">
        <v>10238.9</v>
      </c>
      <c r="AO118">
        <v>302.21199999999999</v>
      </c>
      <c r="AP118">
        <v>4052.3</v>
      </c>
      <c r="AQ118">
        <f t="shared" si="164"/>
        <v>0.92542210596451402</v>
      </c>
      <c r="AR118">
        <v>-0.32343011824092421</v>
      </c>
      <c r="AS118" t="s">
        <v>935</v>
      </c>
      <c r="AT118">
        <v>10462.1</v>
      </c>
      <c r="AU118">
        <v>720.53956000000017</v>
      </c>
      <c r="AV118">
        <v>859.03895014279783</v>
      </c>
      <c r="AW118">
        <f t="shared" si="165"/>
        <v>0.16122597248911119</v>
      </c>
      <c r="AX118">
        <v>0.5</v>
      </c>
      <c r="AY118">
        <f t="shared" si="166"/>
        <v>1513.2351003290723</v>
      </c>
      <c r="AZ118">
        <f t="shared" si="167"/>
        <v>16.407133345143535</v>
      </c>
      <c r="BA118">
        <f t="shared" si="168"/>
        <v>121.98640032760622</v>
      </c>
      <c r="BB118">
        <f t="shared" si="169"/>
        <v>1.1056156085558804E-2</v>
      </c>
      <c r="BC118">
        <f t="shared" si="170"/>
        <v>3.7172482683426487</v>
      </c>
      <c r="BD118">
        <f t="shared" si="171"/>
        <v>236.61618515005276</v>
      </c>
      <c r="BE118" t="s">
        <v>936</v>
      </c>
      <c r="BF118">
        <v>553.47</v>
      </c>
      <c r="BG118">
        <f t="shared" si="172"/>
        <v>553.47</v>
      </c>
      <c r="BH118">
        <f t="shared" si="173"/>
        <v>0.35571023885704267</v>
      </c>
      <c r="BI118">
        <f t="shared" si="174"/>
        <v>0.45325086229498918</v>
      </c>
      <c r="BJ118">
        <f t="shared" si="175"/>
        <v>0.91266539096132193</v>
      </c>
      <c r="BK118">
        <f t="shared" si="176"/>
        <v>0.24872968182894092</v>
      </c>
      <c r="BL118">
        <f t="shared" si="177"/>
        <v>0.85151629771280091</v>
      </c>
      <c r="BM118">
        <f t="shared" si="178"/>
        <v>0.3481568100916036</v>
      </c>
      <c r="BN118">
        <f t="shared" si="179"/>
        <v>0.6518431899083964</v>
      </c>
      <c r="BO118">
        <v>5890</v>
      </c>
      <c r="BP118">
        <v>290.00000000000011</v>
      </c>
      <c r="BQ118">
        <v>824.11</v>
      </c>
      <c r="BR118">
        <v>245</v>
      </c>
      <c r="BS118">
        <v>10462.1</v>
      </c>
      <c r="BT118">
        <v>824.61</v>
      </c>
      <c r="BU118">
        <v>-0.5</v>
      </c>
      <c r="BV118">
        <v>300.00000000000011</v>
      </c>
      <c r="BW118">
        <v>38.299999999999997</v>
      </c>
      <c r="BX118">
        <v>859.03895014279783</v>
      </c>
      <c r="BY118">
        <v>1.0309177982402571</v>
      </c>
      <c r="BZ118">
        <v>-36.023817264474552</v>
      </c>
      <c r="CA118">
        <v>0.88341998326078697</v>
      </c>
      <c r="CB118">
        <v>0.98343997962036944</v>
      </c>
      <c r="CC118">
        <v>-1.136401490545051E-2</v>
      </c>
      <c r="CD118">
        <v>289.99999999999989</v>
      </c>
      <c r="CE118">
        <v>822.97</v>
      </c>
      <c r="CF118">
        <v>725</v>
      </c>
      <c r="CG118">
        <v>10435.700000000001</v>
      </c>
      <c r="CH118">
        <v>824.52</v>
      </c>
      <c r="CI118">
        <v>-1.55</v>
      </c>
      <c r="CW118">
        <f t="shared" si="180"/>
        <v>1800.06</v>
      </c>
      <c r="CX118">
        <f t="shared" si="181"/>
        <v>1513.2351003290723</v>
      </c>
      <c r="CY118">
        <f t="shared" si="182"/>
        <v>0.84065814491132096</v>
      </c>
      <c r="CZ118">
        <f t="shared" si="183"/>
        <v>0.19131628982264198</v>
      </c>
      <c r="DA118">
        <v>6</v>
      </c>
      <c r="DB118">
        <v>0.5</v>
      </c>
      <c r="DC118" t="s">
        <v>420</v>
      </c>
      <c r="DD118">
        <v>2</v>
      </c>
      <c r="DE118">
        <v>1693519427.5</v>
      </c>
      <c r="DF118">
        <v>99.655699999999996</v>
      </c>
      <c r="DG118">
        <v>120.01300000000001</v>
      </c>
      <c r="DH118">
        <v>28.7193</v>
      </c>
      <c r="DI118">
        <v>22.3002</v>
      </c>
      <c r="DJ118">
        <v>101.395</v>
      </c>
      <c r="DK118">
        <v>28.298300000000001</v>
      </c>
      <c r="DL118">
        <v>499.74299999999999</v>
      </c>
      <c r="DM118">
        <v>99.429000000000002</v>
      </c>
      <c r="DN118">
        <v>0.10033599999999999</v>
      </c>
      <c r="DO118">
        <v>30.4589</v>
      </c>
      <c r="DP118">
        <v>29.953499999999998</v>
      </c>
      <c r="DQ118">
        <v>999.9</v>
      </c>
      <c r="DR118">
        <v>0</v>
      </c>
      <c r="DS118">
        <v>0</v>
      </c>
      <c r="DT118">
        <v>9960</v>
      </c>
      <c r="DU118">
        <v>0</v>
      </c>
      <c r="DV118">
        <v>1222.95</v>
      </c>
      <c r="DW118">
        <v>-20.357500000000002</v>
      </c>
      <c r="DX118">
        <v>102.602</v>
      </c>
      <c r="DY118">
        <v>122.751</v>
      </c>
      <c r="DZ118">
        <v>6.4190500000000004</v>
      </c>
      <c r="EA118">
        <v>120.01300000000001</v>
      </c>
      <c r="EB118">
        <v>22.3002</v>
      </c>
      <c r="EC118">
        <v>2.8555299999999999</v>
      </c>
      <c r="ED118">
        <v>2.2172900000000002</v>
      </c>
      <c r="EE118">
        <v>23.208600000000001</v>
      </c>
      <c r="EF118">
        <v>19.087800000000001</v>
      </c>
      <c r="EG118">
        <v>1800.06</v>
      </c>
      <c r="EH118">
        <v>0.97800299999999996</v>
      </c>
      <c r="EI118">
        <v>2.1997099999999999E-2</v>
      </c>
      <c r="EJ118">
        <v>0</v>
      </c>
      <c r="EK118">
        <v>720.24</v>
      </c>
      <c r="EL118">
        <v>4.9995000000000003</v>
      </c>
      <c r="EM118">
        <v>13690.4</v>
      </c>
      <c r="EN118">
        <v>16660.400000000001</v>
      </c>
      <c r="EO118">
        <v>47.936999999999998</v>
      </c>
      <c r="EP118">
        <v>48.25</v>
      </c>
      <c r="EQ118">
        <v>48.625</v>
      </c>
      <c r="ER118">
        <v>48.186999999999998</v>
      </c>
      <c r="ES118">
        <v>49.25</v>
      </c>
      <c r="ET118">
        <v>1755.57</v>
      </c>
      <c r="EU118">
        <v>39.49</v>
      </c>
      <c r="EV118">
        <v>0</v>
      </c>
      <c r="EW118">
        <v>130.20000004768369</v>
      </c>
      <c r="EX118">
        <v>0</v>
      </c>
      <c r="EY118">
        <v>720.53956000000017</v>
      </c>
      <c r="EZ118">
        <v>-1.825384626481005</v>
      </c>
      <c r="FA118">
        <v>-29.64615385348705</v>
      </c>
      <c r="FB118">
        <v>13694.208000000001</v>
      </c>
      <c r="FC118">
        <v>15</v>
      </c>
      <c r="FD118">
        <v>1693519384</v>
      </c>
      <c r="FE118" t="s">
        <v>937</v>
      </c>
      <c r="FF118">
        <v>1693519370</v>
      </c>
      <c r="FG118">
        <v>1693519384</v>
      </c>
      <c r="FH118">
        <v>115</v>
      </c>
      <c r="FI118">
        <v>5.1999999999999998E-2</v>
      </c>
      <c r="FJ118">
        <v>-1E-3</v>
      </c>
      <c r="FK118">
        <v>-1.7849999999999999</v>
      </c>
      <c r="FL118">
        <v>0.153</v>
      </c>
      <c r="FM118">
        <v>120</v>
      </c>
      <c r="FN118">
        <v>22</v>
      </c>
      <c r="FO118">
        <v>0.25</v>
      </c>
      <c r="FP118">
        <v>0.04</v>
      </c>
      <c r="FQ118">
        <v>16.31275104822037</v>
      </c>
      <c r="FR118">
        <v>0.5584542111398576</v>
      </c>
      <c r="FS118">
        <v>6.5153338632496102E-2</v>
      </c>
      <c r="FT118">
        <v>1</v>
      </c>
      <c r="FU118">
        <v>0.41080545547862829</v>
      </c>
      <c r="FV118">
        <v>4.1139526961083131E-3</v>
      </c>
      <c r="FW118">
        <v>1.3335819217300199E-3</v>
      </c>
      <c r="FX118">
        <v>1</v>
      </c>
      <c r="FY118">
        <v>2</v>
      </c>
      <c r="FZ118">
        <v>2</v>
      </c>
      <c r="GA118" t="s">
        <v>422</v>
      </c>
      <c r="GB118">
        <v>2.9699499999999999</v>
      </c>
      <c r="GC118">
        <v>2.81168</v>
      </c>
      <c r="GD118">
        <v>2.9046200000000001E-2</v>
      </c>
      <c r="GE118">
        <v>3.3730299999999998E-2</v>
      </c>
      <c r="GF118">
        <v>0.13550799999999999</v>
      </c>
      <c r="GG118">
        <v>0.11310199999999999</v>
      </c>
      <c r="GH118">
        <v>28746.3</v>
      </c>
      <c r="GI118">
        <v>26316.1</v>
      </c>
      <c r="GJ118">
        <v>26607.1</v>
      </c>
      <c r="GK118">
        <v>25691.3</v>
      </c>
      <c r="GL118">
        <v>31274.2</v>
      </c>
      <c r="GM118">
        <v>32075.9</v>
      </c>
      <c r="GN118">
        <v>37665.699999999997</v>
      </c>
      <c r="GO118">
        <v>37991.9</v>
      </c>
      <c r="GP118">
        <v>1.9782</v>
      </c>
      <c r="GQ118">
        <v>2.0003000000000002</v>
      </c>
      <c r="GR118">
        <v>7.8290700000000005E-2</v>
      </c>
      <c r="GS118">
        <v>0</v>
      </c>
      <c r="GT118">
        <v>28.678000000000001</v>
      </c>
      <c r="GU118">
        <v>999.9</v>
      </c>
      <c r="GV118">
        <v>41.3</v>
      </c>
      <c r="GW118">
        <v>37.9</v>
      </c>
      <c r="GX118">
        <v>27.505199999999999</v>
      </c>
      <c r="GY118">
        <v>61.296199999999999</v>
      </c>
      <c r="GZ118">
        <v>13.277200000000001</v>
      </c>
      <c r="HA118">
        <v>1</v>
      </c>
      <c r="HB118">
        <v>0.24934999999999999</v>
      </c>
      <c r="HC118">
        <v>0.91851799999999995</v>
      </c>
      <c r="HD118">
        <v>20.304400000000001</v>
      </c>
      <c r="HE118">
        <v>5.2107000000000001</v>
      </c>
      <c r="HF118">
        <v>11.9321</v>
      </c>
      <c r="HG118">
        <v>4.9875999999999996</v>
      </c>
      <c r="HH118">
        <v>3.2909999999999999</v>
      </c>
      <c r="HI118">
        <v>9999</v>
      </c>
      <c r="HJ118">
        <v>9999</v>
      </c>
      <c r="HK118">
        <v>9999</v>
      </c>
      <c r="HL118">
        <v>999.9</v>
      </c>
      <c r="HM118">
        <v>1.87012</v>
      </c>
      <c r="HN118">
        <v>1.87629</v>
      </c>
      <c r="HO118">
        <v>1.87408</v>
      </c>
      <c r="HP118">
        <v>1.8723099999999999</v>
      </c>
      <c r="HQ118">
        <v>1.8728100000000001</v>
      </c>
      <c r="HR118">
        <v>1.87026</v>
      </c>
      <c r="HS118">
        <v>1.8760699999999999</v>
      </c>
      <c r="HT118">
        <v>1.87517</v>
      </c>
      <c r="HU118">
        <v>5</v>
      </c>
      <c r="HV118">
        <v>0</v>
      </c>
      <c r="HW118">
        <v>0</v>
      </c>
      <c r="HX118">
        <v>0</v>
      </c>
      <c r="HY118" t="s">
        <v>423</v>
      </c>
      <c r="HZ118" t="s">
        <v>424</v>
      </c>
      <c r="IA118" t="s">
        <v>425</v>
      </c>
      <c r="IB118" t="s">
        <v>425</v>
      </c>
      <c r="IC118" t="s">
        <v>425</v>
      </c>
      <c r="ID118" t="s">
        <v>425</v>
      </c>
      <c r="IE118">
        <v>0</v>
      </c>
      <c r="IF118">
        <v>100</v>
      </c>
      <c r="IG118">
        <v>100</v>
      </c>
      <c r="IH118">
        <v>-1.7390000000000001</v>
      </c>
      <c r="II118">
        <v>0.42099999999999999</v>
      </c>
      <c r="IJ118">
        <v>-1.486853050976922</v>
      </c>
      <c r="IK118">
        <v>-2.677719669153116E-3</v>
      </c>
      <c r="IL118">
        <v>1.9353498771248068E-6</v>
      </c>
      <c r="IM118">
        <v>-6.1862177325538213E-10</v>
      </c>
      <c r="IN118">
        <v>-0.20747213647557691</v>
      </c>
      <c r="IO118">
        <v>-1.5299015507423901E-2</v>
      </c>
      <c r="IP118">
        <v>1.742162107778985E-3</v>
      </c>
      <c r="IQ118">
        <v>-1.472690239905804E-5</v>
      </c>
      <c r="IR118">
        <v>3</v>
      </c>
      <c r="IS118">
        <v>2255</v>
      </c>
      <c r="IT118">
        <v>2</v>
      </c>
      <c r="IU118">
        <v>41</v>
      </c>
      <c r="IV118">
        <v>1</v>
      </c>
      <c r="IW118">
        <v>0.7</v>
      </c>
      <c r="IX118">
        <v>0.40283200000000002</v>
      </c>
      <c r="IY118">
        <v>2.5305200000000001</v>
      </c>
      <c r="IZ118">
        <v>1.5991200000000001</v>
      </c>
      <c r="JA118">
        <v>2.2607400000000002</v>
      </c>
      <c r="JB118">
        <v>1.5502899999999999</v>
      </c>
      <c r="JC118">
        <v>2.4328599999999998</v>
      </c>
      <c r="JD118">
        <v>39.641800000000003</v>
      </c>
      <c r="JE118">
        <v>15.8482</v>
      </c>
      <c r="JF118">
        <v>18</v>
      </c>
      <c r="JG118">
        <v>505.44400000000002</v>
      </c>
      <c r="JH118">
        <v>488.40199999999999</v>
      </c>
      <c r="JI118">
        <v>27.550799999999999</v>
      </c>
      <c r="JJ118">
        <v>30.735900000000001</v>
      </c>
      <c r="JK118">
        <v>29.9999</v>
      </c>
      <c r="JL118">
        <v>30.711300000000001</v>
      </c>
      <c r="JM118">
        <v>30.6797</v>
      </c>
      <c r="JN118">
        <v>8.1079899999999991</v>
      </c>
      <c r="JO118">
        <v>29.998899999999999</v>
      </c>
      <c r="JP118">
        <v>59.933700000000002</v>
      </c>
      <c r="JQ118">
        <v>27.552600000000002</v>
      </c>
      <c r="JR118">
        <v>120</v>
      </c>
      <c r="JS118">
        <v>22.3125</v>
      </c>
      <c r="JT118">
        <v>99.339699999999993</v>
      </c>
      <c r="JU118">
        <v>98.710899999999995</v>
      </c>
    </row>
    <row r="119" spans="1:281" x14ac:dyDescent="0.25">
      <c r="A119">
        <v>103</v>
      </c>
      <c r="B119">
        <v>1693519532</v>
      </c>
      <c r="C119">
        <v>25552.400000095371</v>
      </c>
      <c r="D119" t="s">
        <v>938</v>
      </c>
      <c r="E119" t="s">
        <v>939</v>
      </c>
      <c r="F119" t="s">
        <v>413</v>
      </c>
      <c r="G119" t="s">
        <v>778</v>
      </c>
      <c r="H119" t="s">
        <v>416</v>
      </c>
      <c r="I119" t="s">
        <v>415</v>
      </c>
      <c r="J119">
        <v>1693519532</v>
      </c>
      <c r="K119">
        <f t="shared" si="138"/>
        <v>5.8797077785383471E-3</v>
      </c>
      <c r="L119">
        <f t="shared" si="139"/>
        <v>5.8797077785383474</v>
      </c>
      <c r="M119">
        <f t="shared" si="140"/>
        <v>10.188029628803916</v>
      </c>
      <c r="N119">
        <f t="shared" si="141"/>
        <v>57.385599999999997</v>
      </c>
      <c r="O119">
        <f t="shared" si="142"/>
        <v>17.091470279136207</v>
      </c>
      <c r="P119">
        <f t="shared" si="143"/>
        <v>1.7010922623492908</v>
      </c>
      <c r="Q119">
        <f t="shared" si="144"/>
        <v>5.7115156587455997</v>
      </c>
      <c r="R119">
        <f t="shared" si="145"/>
        <v>0.44277662728824541</v>
      </c>
      <c r="S119">
        <f t="shared" si="146"/>
        <v>2.9308665828900424</v>
      </c>
      <c r="T119">
        <f t="shared" si="147"/>
        <v>0.40869109142257254</v>
      </c>
      <c r="U119">
        <f t="shared" si="148"/>
        <v>0.25827537176306858</v>
      </c>
      <c r="V119">
        <f t="shared" si="149"/>
        <v>344.36560065817417</v>
      </c>
      <c r="W119">
        <f t="shared" si="150"/>
        <v>31.055831224800436</v>
      </c>
      <c r="X119">
        <f t="shared" si="151"/>
        <v>30.003</v>
      </c>
      <c r="Y119">
        <f t="shared" si="152"/>
        <v>4.2611839777791918</v>
      </c>
      <c r="Z119">
        <f t="shared" si="153"/>
        <v>65.494777343406412</v>
      </c>
      <c r="AA119">
        <f t="shared" si="154"/>
        <v>2.8806698694906001</v>
      </c>
      <c r="AB119">
        <f t="shared" si="155"/>
        <v>4.3983199673868461</v>
      </c>
      <c r="AC119">
        <f t="shared" si="156"/>
        <v>1.3805141082885917</v>
      </c>
      <c r="AD119">
        <f t="shared" si="157"/>
        <v>-259.2951130335411</v>
      </c>
      <c r="AE119">
        <f t="shared" si="158"/>
        <v>87.315706655185707</v>
      </c>
      <c r="AF119">
        <f t="shared" si="159"/>
        <v>6.6425709107461444</v>
      </c>
      <c r="AG119">
        <f t="shared" si="160"/>
        <v>179.02876519056491</v>
      </c>
      <c r="AH119">
        <v>0</v>
      </c>
      <c r="AI119">
        <v>0</v>
      </c>
      <c r="AJ119">
        <f t="shared" si="161"/>
        <v>1</v>
      </c>
      <c r="AK119">
        <f t="shared" si="162"/>
        <v>0</v>
      </c>
      <c r="AL119">
        <f t="shared" si="163"/>
        <v>52282.939551378258</v>
      </c>
      <c r="AM119" t="s">
        <v>417</v>
      </c>
      <c r="AN119">
        <v>10238.9</v>
      </c>
      <c r="AO119">
        <v>302.21199999999999</v>
      </c>
      <c r="AP119">
        <v>4052.3</v>
      </c>
      <c r="AQ119">
        <f t="shared" si="164"/>
        <v>0.92542210596451402</v>
      </c>
      <c r="AR119">
        <v>-0.32343011824092421</v>
      </c>
      <c r="AS119" t="s">
        <v>940</v>
      </c>
      <c r="AT119">
        <v>10472</v>
      </c>
      <c r="AU119">
        <v>727.66996000000017</v>
      </c>
      <c r="AV119">
        <v>822.75947664433909</v>
      </c>
      <c r="AW119">
        <f t="shared" si="165"/>
        <v>0.11557389412537156</v>
      </c>
      <c r="AX119">
        <v>0.5</v>
      </c>
      <c r="AY119">
        <f t="shared" si="166"/>
        <v>1513.1679003290872</v>
      </c>
      <c r="AZ119">
        <f t="shared" si="167"/>
        <v>10.188029628803916</v>
      </c>
      <c r="BA119">
        <f t="shared" si="168"/>
        <v>87.441353353272348</v>
      </c>
      <c r="BB119">
        <f t="shared" si="169"/>
        <v>6.9466578988087073E-3</v>
      </c>
      <c r="BC119">
        <f t="shared" si="170"/>
        <v>3.9252547251445646</v>
      </c>
      <c r="BD119">
        <f t="shared" si="171"/>
        <v>233.77682081373055</v>
      </c>
      <c r="BE119" t="s">
        <v>941</v>
      </c>
      <c r="BF119">
        <v>565.27</v>
      </c>
      <c r="BG119">
        <f t="shared" si="172"/>
        <v>565.27</v>
      </c>
      <c r="BH119">
        <f t="shared" si="173"/>
        <v>0.31295838450201918</v>
      </c>
      <c r="BI119">
        <f t="shared" si="174"/>
        <v>0.36929476840594389</v>
      </c>
      <c r="BJ119">
        <f t="shared" si="175"/>
        <v>0.92615794052694156</v>
      </c>
      <c r="BK119">
        <f t="shared" si="176"/>
        <v>0.18267213061395407</v>
      </c>
      <c r="BL119">
        <f t="shared" si="177"/>
        <v>0.86119059695550104</v>
      </c>
      <c r="BM119">
        <f t="shared" si="178"/>
        <v>0.28687628349647393</v>
      </c>
      <c r="BN119">
        <f t="shared" si="179"/>
        <v>0.71312371650352602</v>
      </c>
      <c r="BO119">
        <v>5892</v>
      </c>
      <c r="BP119">
        <v>290.00000000000011</v>
      </c>
      <c r="BQ119">
        <v>797.45</v>
      </c>
      <c r="BR119">
        <v>195</v>
      </c>
      <c r="BS119">
        <v>10472</v>
      </c>
      <c r="BT119">
        <v>797.48</v>
      </c>
      <c r="BU119">
        <v>-0.03</v>
      </c>
      <c r="BV119">
        <v>300.00000000000011</v>
      </c>
      <c r="BW119">
        <v>38.299999999999997</v>
      </c>
      <c r="BX119">
        <v>822.75947664433909</v>
      </c>
      <c r="BY119">
        <v>1.326373385108063</v>
      </c>
      <c r="BZ119">
        <v>-26.47108218793533</v>
      </c>
      <c r="CA119">
        <v>1.1366981324120999</v>
      </c>
      <c r="CB119">
        <v>0.95090448423599638</v>
      </c>
      <c r="CC119">
        <v>-1.1364898776418249E-2</v>
      </c>
      <c r="CD119">
        <v>289.99999999999989</v>
      </c>
      <c r="CE119">
        <v>794.8</v>
      </c>
      <c r="CF119">
        <v>645</v>
      </c>
      <c r="CG119">
        <v>10444.4</v>
      </c>
      <c r="CH119">
        <v>797.41</v>
      </c>
      <c r="CI119">
        <v>-2.61</v>
      </c>
      <c r="CW119">
        <f t="shared" si="180"/>
        <v>1799.98</v>
      </c>
      <c r="CX119">
        <f t="shared" si="181"/>
        <v>1513.1679003290872</v>
      </c>
      <c r="CY119">
        <f t="shared" si="182"/>
        <v>0.84065817416253907</v>
      </c>
      <c r="CZ119">
        <f t="shared" si="183"/>
        <v>0.19131634832507816</v>
      </c>
      <c r="DA119">
        <v>6</v>
      </c>
      <c r="DB119">
        <v>0.5</v>
      </c>
      <c r="DC119" t="s">
        <v>420</v>
      </c>
      <c r="DD119">
        <v>2</v>
      </c>
      <c r="DE119">
        <v>1693519532</v>
      </c>
      <c r="DF119">
        <v>57.385599999999997</v>
      </c>
      <c r="DG119">
        <v>69.999099999999999</v>
      </c>
      <c r="DH119">
        <v>28.943100000000001</v>
      </c>
      <c r="DI119">
        <v>22.100899999999999</v>
      </c>
      <c r="DJ119">
        <v>59.113500000000002</v>
      </c>
      <c r="DK119">
        <v>28.512</v>
      </c>
      <c r="DL119">
        <v>500.67500000000001</v>
      </c>
      <c r="DM119">
        <v>99.428799999999995</v>
      </c>
      <c r="DN119">
        <v>9.9926000000000001E-2</v>
      </c>
      <c r="DO119">
        <v>30.555599999999998</v>
      </c>
      <c r="DP119">
        <v>30.003</v>
      </c>
      <c r="DQ119">
        <v>999.9</v>
      </c>
      <c r="DR119">
        <v>0</v>
      </c>
      <c r="DS119">
        <v>0</v>
      </c>
      <c r="DT119">
        <v>10065</v>
      </c>
      <c r="DU119">
        <v>0</v>
      </c>
      <c r="DV119">
        <v>1213.55</v>
      </c>
      <c r="DW119">
        <v>-12.6136</v>
      </c>
      <c r="DX119">
        <v>59.095999999999997</v>
      </c>
      <c r="DY119">
        <v>71.581100000000006</v>
      </c>
      <c r="DZ119">
        <v>6.8422099999999997</v>
      </c>
      <c r="EA119">
        <v>69.999099999999999</v>
      </c>
      <c r="EB119">
        <v>22.100899999999999</v>
      </c>
      <c r="EC119">
        <v>2.87778</v>
      </c>
      <c r="ED119">
        <v>2.19747</v>
      </c>
      <c r="EE119">
        <v>23.337199999999999</v>
      </c>
      <c r="EF119">
        <v>18.943899999999999</v>
      </c>
      <c r="EG119">
        <v>1799.98</v>
      </c>
      <c r="EH119">
        <v>0.97799899999999995</v>
      </c>
      <c r="EI119">
        <v>2.2000700000000002E-2</v>
      </c>
      <c r="EJ119">
        <v>0</v>
      </c>
      <c r="EK119">
        <v>727.41099999999994</v>
      </c>
      <c r="EL119">
        <v>4.9995000000000003</v>
      </c>
      <c r="EM119">
        <v>13807.6</v>
      </c>
      <c r="EN119">
        <v>16659.599999999999</v>
      </c>
      <c r="EO119">
        <v>47.875</v>
      </c>
      <c r="EP119">
        <v>48.186999999999998</v>
      </c>
      <c r="EQ119">
        <v>48.561999999999998</v>
      </c>
      <c r="ER119">
        <v>48.125</v>
      </c>
      <c r="ES119">
        <v>49.186999999999998</v>
      </c>
      <c r="ET119">
        <v>1755.49</v>
      </c>
      <c r="EU119">
        <v>39.49</v>
      </c>
      <c r="EV119">
        <v>0</v>
      </c>
      <c r="EW119">
        <v>102.5999999046326</v>
      </c>
      <c r="EX119">
        <v>0</v>
      </c>
      <c r="EY119">
        <v>727.66996000000017</v>
      </c>
      <c r="EZ119">
        <v>-2.8673076884305502</v>
      </c>
      <c r="FA119">
        <v>-57.030769364736422</v>
      </c>
      <c r="FB119">
        <v>13813.896000000001</v>
      </c>
      <c r="FC119">
        <v>15</v>
      </c>
      <c r="FD119">
        <v>1693519502.5</v>
      </c>
      <c r="FE119" t="s">
        <v>942</v>
      </c>
      <c r="FF119">
        <v>1693519494</v>
      </c>
      <c r="FG119">
        <v>1693519502.5</v>
      </c>
      <c r="FH119">
        <v>116</v>
      </c>
      <c r="FI119">
        <v>-8.8999999999999996E-2</v>
      </c>
      <c r="FJ119">
        <v>0</v>
      </c>
      <c r="FK119">
        <v>-1.7589999999999999</v>
      </c>
      <c r="FL119">
        <v>0.14000000000000001</v>
      </c>
      <c r="FM119">
        <v>70</v>
      </c>
      <c r="FN119">
        <v>22</v>
      </c>
      <c r="FO119">
        <v>0.43</v>
      </c>
      <c r="FP119">
        <v>0.04</v>
      </c>
      <c r="FQ119">
        <v>10.137353835628691</v>
      </c>
      <c r="FR119">
        <v>8.5327795474643461E-2</v>
      </c>
      <c r="FS119">
        <v>3.8397785921175993E-2</v>
      </c>
      <c r="FT119">
        <v>1</v>
      </c>
      <c r="FU119">
        <v>0.44090378667435992</v>
      </c>
      <c r="FV119">
        <v>4.9824444289316962E-2</v>
      </c>
      <c r="FW119">
        <v>4.9337548388106176E-3</v>
      </c>
      <c r="FX119">
        <v>1</v>
      </c>
      <c r="FY119">
        <v>2</v>
      </c>
      <c r="FZ119">
        <v>2</v>
      </c>
      <c r="GA119" t="s">
        <v>422</v>
      </c>
      <c r="GB119">
        <v>2.9724599999999999</v>
      </c>
      <c r="GC119">
        <v>2.8121999999999998</v>
      </c>
      <c r="GD119">
        <v>1.7150200000000001E-2</v>
      </c>
      <c r="GE119">
        <v>2.0011999999999999E-2</v>
      </c>
      <c r="GF119">
        <v>0.13623499999999999</v>
      </c>
      <c r="GG119">
        <v>0.112402</v>
      </c>
      <c r="GH119">
        <v>29099.3</v>
      </c>
      <c r="GI119">
        <v>26693.7</v>
      </c>
      <c r="GJ119">
        <v>26607.7</v>
      </c>
      <c r="GK119">
        <v>25694.9</v>
      </c>
      <c r="GL119">
        <v>31246.9</v>
      </c>
      <c r="GM119">
        <v>32104.5</v>
      </c>
      <c r="GN119">
        <v>37666.6</v>
      </c>
      <c r="GO119">
        <v>37997</v>
      </c>
      <c r="GP119">
        <v>1.98</v>
      </c>
      <c r="GQ119">
        <v>2.0019999999999998</v>
      </c>
      <c r="GR119">
        <v>8.2239499999999993E-2</v>
      </c>
      <c r="GS119">
        <v>0</v>
      </c>
      <c r="GT119">
        <v>28.6632</v>
      </c>
      <c r="GU119">
        <v>999.9</v>
      </c>
      <c r="GV119">
        <v>41.5</v>
      </c>
      <c r="GW119">
        <v>37.700000000000003</v>
      </c>
      <c r="GX119">
        <v>27.335899999999999</v>
      </c>
      <c r="GY119">
        <v>61.266199999999998</v>
      </c>
      <c r="GZ119">
        <v>12.5641</v>
      </c>
      <c r="HA119">
        <v>1</v>
      </c>
      <c r="HB119">
        <v>0.245091</v>
      </c>
      <c r="HC119">
        <v>1.06467</v>
      </c>
      <c r="HD119">
        <v>20.303699999999999</v>
      </c>
      <c r="HE119">
        <v>5.2088999999999999</v>
      </c>
      <c r="HF119">
        <v>11.9321</v>
      </c>
      <c r="HG119">
        <v>4.9875999999999996</v>
      </c>
      <c r="HH119">
        <v>3.2909999999999999</v>
      </c>
      <c r="HI119">
        <v>9999</v>
      </c>
      <c r="HJ119">
        <v>9999</v>
      </c>
      <c r="HK119">
        <v>9999</v>
      </c>
      <c r="HL119">
        <v>999.9</v>
      </c>
      <c r="HM119">
        <v>1.87009</v>
      </c>
      <c r="HN119">
        <v>1.8763700000000001</v>
      </c>
      <c r="HO119">
        <v>1.87408</v>
      </c>
      <c r="HP119">
        <v>1.8722799999999999</v>
      </c>
      <c r="HQ119">
        <v>1.8728400000000001</v>
      </c>
      <c r="HR119">
        <v>1.8702700000000001</v>
      </c>
      <c r="HS119">
        <v>1.8760699999999999</v>
      </c>
      <c r="HT119">
        <v>1.8751500000000001</v>
      </c>
      <c r="HU119">
        <v>5</v>
      </c>
      <c r="HV119">
        <v>0</v>
      </c>
      <c r="HW119">
        <v>0</v>
      </c>
      <c r="HX119">
        <v>0</v>
      </c>
      <c r="HY119" t="s">
        <v>423</v>
      </c>
      <c r="HZ119" t="s">
        <v>424</v>
      </c>
      <c r="IA119" t="s">
        <v>425</v>
      </c>
      <c r="IB119" t="s">
        <v>425</v>
      </c>
      <c r="IC119" t="s">
        <v>425</v>
      </c>
      <c r="ID119" t="s">
        <v>425</v>
      </c>
      <c r="IE119">
        <v>0</v>
      </c>
      <c r="IF119">
        <v>100</v>
      </c>
      <c r="IG119">
        <v>100</v>
      </c>
      <c r="IH119">
        <v>-1.728</v>
      </c>
      <c r="II119">
        <v>0.43109999999999998</v>
      </c>
      <c r="IJ119">
        <v>-1.57628499277999</v>
      </c>
      <c r="IK119">
        <v>-2.677719669153116E-3</v>
      </c>
      <c r="IL119">
        <v>1.9353498771248068E-6</v>
      </c>
      <c r="IM119">
        <v>-6.1862177325538213E-10</v>
      </c>
      <c r="IN119">
        <v>-0.20761289525920079</v>
      </c>
      <c r="IO119">
        <v>-1.5299015507423901E-2</v>
      </c>
      <c r="IP119">
        <v>1.742162107778985E-3</v>
      </c>
      <c r="IQ119">
        <v>-1.472690239905804E-5</v>
      </c>
      <c r="IR119">
        <v>3</v>
      </c>
      <c r="IS119">
        <v>2255</v>
      </c>
      <c r="IT119">
        <v>2</v>
      </c>
      <c r="IU119">
        <v>41</v>
      </c>
      <c r="IV119">
        <v>0.6</v>
      </c>
      <c r="IW119">
        <v>0.5</v>
      </c>
      <c r="IX119">
        <v>0.29785200000000001</v>
      </c>
      <c r="IY119">
        <v>2.5500500000000001</v>
      </c>
      <c r="IZ119">
        <v>1.5991200000000001</v>
      </c>
      <c r="JA119">
        <v>2.2619600000000002</v>
      </c>
      <c r="JB119">
        <v>1.5502899999999999</v>
      </c>
      <c r="JC119">
        <v>2.3645</v>
      </c>
      <c r="JD119">
        <v>39.541600000000003</v>
      </c>
      <c r="JE119">
        <v>15.821899999999999</v>
      </c>
      <c r="JF119">
        <v>18</v>
      </c>
      <c r="JG119">
        <v>506.24700000000001</v>
      </c>
      <c r="JH119">
        <v>489.13200000000001</v>
      </c>
      <c r="JI119">
        <v>27.7301</v>
      </c>
      <c r="JJ119">
        <v>30.682500000000001</v>
      </c>
      <c r="JK119">
        <v>29.9999</v>
      </c>
      <c r="JL119">
        <v>30.668700000000001</v>
      </c>
      <c r="JM119">
        <v>30.634799999999998</v>
      </c>
      <c r="JN119">
        <v>6.0135300000000003</v>
      </c>
      <c r="JO119">
        <v>30.608699999999999</v>
      </c>
      <c r="JP119">
        <v>59.989600000000003</v>
      </c>
      <c r="JQ119">
        <v>27.728000000000002</v>
      </c>
      <c r="JR119">
        <v>70</v>
      </c>
      <c r="JS119">
        <v>22.0153</v>
      </c>
      <c r="JT119">
        <v>99.341999999999999</v>
      </c>
      <c r="JU119">
        <v>98.724400000000003</v>
      </c>
    </row>
    <row r="120" spans="1:281" x14ac:dyDescent="0.25">
      <c r="A120">
        <v>104</v>
      </c>
      <c r="B120">
        <v>1693519651.5</v>
      </c>
      <c r="C120">
        <v>25671.900000095371</v>
      </c>
      <c r="D120" t="s">
        <v>943</v>
      </c>
      <c r="E120" t="s">
        <v>944</v>
      </c>
      <c r="F120" t="s">
        <v>413</v>
      </c>
      <c r="G120" t="s">
        <v>778</v>
      </c>
      <c r="H120" t="s">
        <v>416</v>
      </c>
      <c r="I120" t="s">
        <v>415</v>
      </c>
      <c r="J120">
        <v>1693519651.5</v>
      </c>
      <c r="K120">
        <f t="shared" si="138"/>
        <v>6.2720969874365358E-3</v>
      </c>
      <c r="L120">
        <f t="shared" si="139"/>
        <v>6.2720969874365355</v>
      </c>
      <c r="M120">
        <f t="shared" si="140"/>
        <v>4.6479364012919833</v>
      </c>
      <c r="N120">
        <f t="shared" si="141"/>
        <v>24.196000000000002</v>
      </c>
      <c r="O120">
        <f t="shared" si="142"/>
        <v>7.050824041181623</v>
      </c>
      <c r="P120">
        <f t="shared" si="143"/>
        <v>0.70175186277242174</v>
      </c>
      <c r="Q120">
        <f t="shared" si="144"/>
        <v>2.4081707290480003</v>
      </c>
      <c r="R120">
        <f t="shared" si="145"/>
        <v>0.47711161898524945</v>
      </c>
      <c r="S120">
        <f t="shared" si="146"/>
        <v>2.9203836470101421</v>
      </c>
      <c r="T120">
        <f t="shared" si="147"/>
        <v>0.43765752841780858</v>
      </c>
      <c r="U120">
        <f t="shared" si="148"/>
        <v>0.2768083551991084</v>
      </c>
      <c r="V120">
        <f t="shared" si="149"/>
        <v>344.38080065814489</v>
      </c>
      <c r="W120">
        <f t="shared" si="150"/>
        <v>31.020578182371185</v>
      </c>
      <c r="X120">
        <f t="shared" si="151"/>
        <v>30.023800000000001</v>
      </c>
      <c r="Y120">
        <f t="shared" si="152"/>
        <v>4.2662775015427838</v>
      </c>
      <c r="Z120">
        <f t="shared" si="153"/>
        <v>65.490546213327008</v>
      </c>
      <c r="AA120">
        <f t="shared" si="154"/>
        <v>2.8912281200810002</v>
      </c>
      <c r="AB120">
        <f t="shared" si="155"/>
        <v>4.4147259219112289</v>
      </c>
      <c r="AC120">
        <f t="shared" si="156"/>
        <v>1.3750493814617837</v>
      </c>
      <c r="AD120">
        <f t="shared" si="157"/>
        <v>-276.59947714595125</v>
      </c>
      <c r="AE120">
        <f t="shared" si="158"/>
        <v>93.978158364715568</v>
      </c>
      <c r="AF120">
        <f t="shared" si="159"/>
        <v>7.1781322761065116</v>
      </c>
      <c r="AG120">
        <f t="shared" si="160"/>
        <v>168.93761415301572</v>
      </c>
      <c r="AH120">
        <v>0</v>
      </c>
      <c r="AI120">
        <v>0</v>
      </c>
      <c r="AJ120">
        <f t="shared" si="161"/>
        <v>1</v>
      </c>
      <c r="AK120">
        <f t="shared" si="162"/>
        <v>0</v>
      </c>
      <c r="AL120">
        <f t="shared" si="163"/>
        <v>51973.032851762182</v>
      </c>
      <c r="AM120" t="s">
        <v>417</v>
      </c>
      <c r="AN120">
        <v>10238.9</v>
      </c>
      <c r="AO120">
        <v>302.21199999999999</v>
      </c>
      <c r="AP120">
        <v>4052.3</v>
      </c>
      <c r="AQ120">
        <f t="shared" si="164"/>
        <v>0.92542210596451402</v>
      </c>
      <c r="AR120">
        <v>-0.32343011824092421</v>
      </c>
      <c r="AS120" t="s">
        <v>945</v>
      </c>
      <c r="AT120">
        <v>10480.6</v>
      </c>
      <c r="AU120">
        <v>734.90872000000002</v>
      </c>
      <c r="AV120">
        <v>793.20105532768332</v>
      </c>
      <c r="AW120">
        <f t="shared" si="165"/>
        <v>7.3489987104974119E-2</v>
      </c>
      <c r="AX120">
        <v>0.5</v>
      </c>
      <c r="AY120">
        <f t="shared" si="166"/>
        <v>1513.2351003290723</v>
      </c>
      <c r="AZ120">
        <f t="shared" si="167"/>
        <v>4.6479364012919833</v>
      </c>
      <c r="BA120">
        <f t="shared" si="168"/>
        <v>55.60381400498887</v>
      </c>
      <c r="BB120">
        <f t="shared" si="169"/>
        <v>3.2852572071926035E-3</v>
      </c>
      <c r="BC120">
        <f t="shared" si="170"/>
        <v>4.1087930011968199</v>
      </c>
      <c r="BD120">
        <f t="shared" si="171"/>
        <v>231.32745480649248</v>
      </c>
      <c r="BE120" t="s">
        <v>946</v>
      </c>
      <c r="BF120">
        <v>583.44000000000005</v>
      </c>
      <c r="BG120">
        <f t="shared" si="172"/>
        <v>583.44000000000005</v>
      </c>
      <c r="BH120">
        <f t="shared" si="173"/>
        <v>0.2644487849817948</v>
      </c>
      <c r="BI120">
        <f t="shared" si="174"/>
        <v>0.27789875120822849</v>
      </c>
      <c r="BJ120">
        <f t="shared" si="175"/>
        <v>0.93953026200893575</v>
      </c>
      <c r="BK120">
        <f t="shared" si="176"/>
        <v>0.11872430697824685</v>
      </c>
      <c r="BL120">
        <f t="shared" si="177"/>
        <v>0.86907265767425101</v>
      </c>
      <c r="BM120">
        <f t="shared" si="178"/>
        <v>0.22062229361617705</v>
      </c>
      <c r="BN120">
        <f t="shared" si="179"/>
        <v>0.77937770638382298</v>
      </c>
      <c r="BO120">
        <v>5894</v>
      </c>
      <c r="BP120">
        <v>290.00000000000011</v>
      </c>
      <c r="BQ120">
        <v>779.46</v>
      </c>
      <c r="BR120">
        <v>155</v>
      </c>
      <c r="BS120">
        <v>10480.6</v>
      </c>
      <c r="BT120">
        <v>777.84</v>
      </c>
      <c r="BU120">
        <v>1.62</v>
      </c>
      <c r="BV120">
        <v>300.00000000000011</v>
      </c>
      <c r="BW120">
        <v>38.299999999999997</v>
      </c>
      <c r="BX120">
        <v>793.20105532768332</v>
      </c>
      <c r="BY120">
        <v>0.80497489447724235</v>
      </c>
      <c r="BZ120">
        <v>-16.09655502419832</v>
      </c>
      <c r="CA120">
        <v>0.68988733681540504</v>
      </c>
      <c r="CB120">
        <v>0.95108223881813747</v>
      </c>
      <c r="CC120">
        <v>-1.136508898776418E-2</v>
      </c>
      <c r="CD120">
        <v>289.99999999999989</v>
      </c>
      <c r="CE120">
        <v>775.82</v>
      </c>
      <c r="CF120">
        <v>705</v>
      </c>
      <c r="CG120">
        <v>10438.799999999999</v>
      </c>
      <c r="CH120">
        <v>777.78</v>
      </c>
      <c r="CI120">
        <v>-1.96</v>
      </c>
      <c r="CW120">
        <f t="shared" si="180"/>
        <v>1800.06</v>
      </c>
      <c r="CX120">
        <f t="shared" si="181"/>
        <v>1513.2351003290723</v>
      </c>
      <c r="CY120">
        <f t="shared" si="182"/>
        <v>0.84065814491132096</v>
      </c>
      <c r="CZ120">
        <f t="shared" si="183"/>
        <v>0.19131628982264198</v>
      </c>
      <c r="DA120">
        <v>6</v>
      </c>
      <c r="DB120">
        <v>0.5</v>
      </c>
      <c r="DC120" t="s">
        <v>420</v>
      </c>
      <c r="DD120">
        <v>2</v>
      </c>
      <c r="DE120">
        <v>1693519651.5</v>
      </c>
      <c r="DF120">
        <v>24.196000000000002</v>
      </c>
      <c r="DG120">
        <v>29.954000000000001</v>
      </c>
      <c r="DH120">
        <v>29.049499999999998</v>
      </c>
      <c r="DI120">
        <v>21.7437</v>
      </c>
      <c r="DJ120">
        <v>25.910900000000002</v>
      </c>
      <c r="DK120">
        <v>28.6113</v>
      </c>
      <c r="DL120">
        <v>500.142</v>
      </c>
      <c r="DM120">
        <v>99.428700000000006</v>
      </c>
      <c r="DN120">
        <v>9.8937999999999998E-2</v>
      </c>
      <c r="DO120">
        <v>30.620699999999999</v>
      </c>
      <c r="DP120">
        <v>30.023800000000001</v>
      </c>
      <c r="DQ120">
        <v>999.9</v>
      </c>
      <c r="DR120">
        <v>0</v>
      </c>
      <c r="DS120">
        <v>0</v>
      </c>
      <c r="DT120">
        <v>10005</v>
      </c>
      <c r="DU120">
        <v>0</v>
      </c>
      <c r="DV120">
        <v>1201.68</v>
      </c>
      <c r="DW120">
        <v>-5.7579799999999999</v>
      </c>
      <c r="DX120">
        <v>24.919899999999998</v>
      </c>
      <c r="DY120">
        <v>30.619800000000001</v>
      </c>
      <c r="DZ120">
        <v>7.3057800000000004</v>
      </c>
      <c r="EA120">
        <v>29.954000000000001</v>
      </c>
      <c r="EB120">
        <v>21.7437</v>
      </c>
      <c r="EC120">
        <v>2.88835</v>
      </c>
      <c r="ED120">
        <v>2.16194</v>
      </c>
      <c r="EE120">
        <v>23.3979</v>
      </c>
      <c r="EF120">
        <v>18.6831</v>
      </c>
      <c r="EG120">
        <v>1800.06</v>
      </c>
      <c r="EH120">
        <v>0.97799899999999995</v>
      </c>
      <c r="EI120">
        <v>2.2000700000000002E-2</v>
      </c>
      <c r="EJ120">
        <v>0</v>
      </c>
      <c r="EK120">
        <v>735.09400000000005</v>
      </c>
      <c r="EL120">
        <v>4.9995000000000003</v>
      </c>
      <c r="EM120">
        <v>13928.6</v>
      </c>
      <c r="EN120">
        <v>16660.400000000001</v>
      </c>
      <c r="EO120">
        <v>47.875</v>
      </c>
      <c r="EP120">
        <v>48.061999999999998</v>
      </c>
      <c r="EQ120">
        <v>48.5</v>
      </c>
      <c r="ER120">
        <v>48.061999999999998</v>
      </c>
      <c r="ES120">
        <v>49.186999999999998</v>
      </c>
      <c r="ET120">
        <v>1755.57</v>
      </c>
      <c r="EU120">
        <v>39.49</v>
      </c>
      <c r="EV120">
        <v>0</v>
      </c>
      <c r="EW120">
        <v>117.80000019073491</v>
      </c>
      <c r="EX120">
        <v>0</v>
      </c>
      <c r="EY120">
        <v>734.90872000000002</v>
      </c>
      <c r="EZ120">
        <v>-0.64399999199495506</v>
      </c>
      <c r="FA120">
        <v>-30.07692297150075</v>
      </c>
      <c r="FB120">
        <v>13932.828</v>
      </c>
      <c r="FC120">
        <v>15</v>
      </c>
      <c r="FD120">
        <v>1693519619.5</v>
      </c>
      <c r="FE120" t="s">
        <v>947</v>
      </c>
      <c r="FF120">
        <v>1693519611.5</v>
      </c>
      <c r="FG120">
        <v>1693519619.5</v>
      </c>
      <c r="FH120">
        <v>117</v>
      </c>
      <c r="FI120">
        <v>-7.0999999999999994E-2</v>
      </c>
      <c r="FJ120">
        <v>2E-3</v>
      </c>
      <c r="FK120">
        <v>-1.73</v>
      </c>
      <c r="FL120">
        <v>0.13200000000000001</v>
      </c>
      <c r="FM120">
        <v>30</v>
      </c>
      <c r="FN120">
        <v>22</v>
      </c>
      <c r="FO120">
        <v>0.62</v>
      </c>
      <c r="FP120">
        <v>0.04</v>
      </c>
      <c r="FQ120">
        <v>4.6715164284252166</v>
      </c>
      <c r="FR120">
        <v>-5.8591196308100141E-2</v>
      </c>
      <c r="FS120">
        <v>6.6753724973229414E-2</v>
      </c>
      <c r="FT120">
        <v>1</v>
      </c>
      <c r="FU120">
        <v>0.47461715298746482</v>
      </c>
      <c r="FV120">
        <v>3.5532929671296898E-2</v>
      </c>
      <c r="FW120">
        <v>3.096474285211068E-3</v>
      </c>
      <c r="FX120">
        <v>1</v>
      </c>
      <c r="FY120">
        <v>2</v>
      </c>
      <c r="FZ120">
        <v>2</v>
      </c>
      <c r="GA120" t="s">
        <v>422</v>
      </c>
      <c r="GB120">
        <v>2.9711099999999999</v>
      </c>
      <c r="GC120">
        <v>2.8106800000000001</v>
      </c>
      <c r="GD120">
        <v>7.5528399999999999E-3</v>
      </c>
      <c r="GE120">
        <v>8.6190499999999996E-3</v>
      </c>
      <c r="GF120">
        <v>0.13658300000000001</v>
      </c>
      <c r="GG120">
        <v>0.111133</v>
      </c>
      <c r="GH120">
        <v>29388.400000000001</v>
      </c>
      <c r="GI120">
        <v>27009.599999999999</v>
      </c>
      <c r="GJ120">
        <v>26612</v>
      </c>
      <c r="GK120">
        <v>25700.1</v>
      </c>
      <c r="GL120">
        <v>31237.200000000001</v>
      </c>
      <c r="GM120">
        <v>32155.4</v>
      </c>
      <c r="GN120">
        <v>37671.9</v>
      </c>
      <c r="GO120">
        <v>38003.9</v>
      </c>
      <c r="GP120">
        <v>1.9790000000000001</v>
      </c>
      <c r="GQ120">
        <v>2.0038999999999998</v>
      </c>
      <c r="GR120">
        <v>8.0347100000000005E-2</v>
      </c>
      <c r="GS120">
        <v>0</v>
      </c>
      <c r="GT120">
        <v>28.7149</v>
      </c>
      <c r="GU120">
        <v>999.9</v>
      </c>
      <c r="GV120">
        <v>41.6</v>
      </c>
      <c r="GW120">
        <v>37.5</v>
      </c>
      <c r="GX120">
        <v>27.109000000000002</v>
      </c>
      <c r="GY120">
        <v>61.426200000000001</v>
      </c>
      <c r="GZ120">
        <v>13.137</v>
      </c>
      <c r="HA120">
        <v>1</v>
      </c>
      <c r="HB120">
        <v>0.240976</v>
      </c>
      <c r="HC120">
        <v>1.3247199999999999</v>
      </c>
      <c r="HD120">
        <v>20.299800000000001</v>
      </c>
      <c r="HE120">
        <v>5.1963200000000001</v>
      </c>
      <c r="HF120">
        <v>11.9321</v>
      </c>
      <c r="HG120">
        <v>4.9842000000000004</v>
      </c>
      <c r="HH120">
        <v>3.2886000000000002</v>
      </c>
      <c r="HI120">
        <v>9999</v>
      </c>
      <c r="HJ120">
        <v>9999</v>
      </c>
      <c r="HK120">
        <v>9999</v>
      </c>
      <c r="HL120">
        <v>999.9</v>
      </c>
      <c r="HM120">
        <v>1.87009</v>
      </c>
      <c r="HN120">
        <v>1.8762799999999999</v>
      </c>
      <c r="HO120">
        <v>1.87408</v>
      </c>
      <c r="HP120">
        <v>1.8723000000000001</v>
      </c>
      <c r="HQ120">
        <v>1.8728400000000001</v>
      </c>
      <c r="HR120">
        <v>1.87022</v>
      </c>
      <c r="HS120">
        <v>1.87609</v>
      </c>
      <c r="HT120">
        <v>1.87517</v>
      </c>
      <c r="HU120">
        <v>5</v>
      </c>
      <c r="HV120">
        <v>0</v>
      </c>
      <c r="HW120">
        <v>0</v>
      </c>
      <c r="HX120">
        <v>0</v>
      </c>
      <c r="HY120" t="s">
        <v>423</v>
      </c>
      <c r="HZ120" t="s">
        <v>424</v>
      </c>
      <c r="IA120" t="s">
        <v>425</v>
      </c>
      <c r="IB120" t="s">
        <v>425</v>
      </c>
      <c r="IC120" t="s">
        <v>425</v>
      </c>
      <c r="ID120" t="s">
        <v>425</v>
      </c>
      <c r="IE120">
        <v>0</v>
      </c>
      <c r="IF120">
        <v>100</v>
      </c>
      <c r="IG120">
        <v>100</v>
      </c>
      <c r="IH120">
        <v>-1.7150000000000001</v>
      </c>
      <c r="II120">
        <v>0.43819999999999998</v>
      </c>
      <c r="IJ120">
        <v>-1.6468236798894409</v>
      </c>
      <c r="IK120">
        <v>-2.677719669153116E-3</v>
      </c>
      <c r="IL120">
        <v>1.9353498771248068E-6</v>
      </c>
      <c r="IM120">
        <v>-6.1862177325538213E-10</v>
      </c>
      <c r="IN120">
        <v>-0.2053633927976779</v>
      </c>
      <c r="IO120">
        <v>-1.5299015507423901E-2</v>
      </c>
      <c r="IP120">
        <v>1.742162107778985E-3</v>
      </c>
      <c r="IQ120">
        <v>-1.472690239905804E-5</v>
      </c>
      <c r="IR120">
        <v>3</v>
      </c>
      <c r="IS120">
        <v>2255</v>
      </c>
      <c r="IT120">
        <v>2</v>
      </c>
      <c r="IU120">
        <v>41</v>
      </c>
      <c r="IV120">
        <v>0.7</v>
      </c>
      <c r="IW120">
        <v>0.5</v>
      </c>
      <c r="IX120">
        <v>0.21606400000000001</v>
      </c>
      <c r="IY120">
        <v>2.5732400000000002</v>
      </c>
      <c r="IZ120">
        <v>1.6003400000000001</v>
      </c>
      <c r="JA120">
        <v>2.2619600000000002</v>
      </c>
      <c r="JB120">
        <v>1.5502899999999999</v>
      </c>
      <c r="JC120">
        <v>2.2717299999999998</v>
      </c>
      <c r="JD120">
        <v>39.4666</v>
      </c>
      <c r="JE120">
        <v>15.7957</v>
      </c>
      <c r="JF120">
        <v>18</v>
      </c>
      <c r="JG120">
        <v>505.14600000000002</v>
      </c>
      <c r="JH120">
        <v>489.90499999999997</v>
      </c>
      <c r="JI120">
        <v>27.427099999999999</v>
      </c>
      <c r="JJ120">
        <v>30.6266</v>
      </c>
      <c r="JK120">
        <v>30</v>
      </c>
      <c r="JL120">
        <v>30.6129</v>
      </c>
      <c r="JM120">
        <v>30.5793</v>
      </c>
      <c r="JN120">
        <v>4.3654000000000002</v>
      </c>
      <c r="JO120">
        <v>30.8476</v>
      </c>
      <c r="JP120">
        <v>59.823300000000003</v>
      </c>
      <c r="JQ120">
        <v>27.433800000000002</v>
      </c>
      <c r="JR120">
        <v>30</v>
      </c>
      <c r="JS120">
        <v>21.783100000000001</v>
      </c>
      <c r="JT120">
        <v>99.356899999999996</v>
      </c>
      <c r="JU120">
        <v>98.743300000000005</v>
      </c>
    </row>
    <row r="121" spans="1:281" x14ac:dyDescent="0.25">
      <c r="A121">
        <v>105</v>
      </c>
      <c r="B121">
        <v>1693519797</v>
      </c>
      <c r="C121">
        <v>25817.400000095371</v>
      </c>
      <c r="D121" t="s">
        <v>948</v>
      </c>
      <c r="E121" t="s">
        <v>949</v>
      </c>
      <c r="F121" t="s">
        <v>413</v>
      </c>
      <c r="G121" t="s">
        <v>778</v>
      </c>
      <c r="H121" t="s">
        <v>416</v>
      </c>
      <c r="I121" t="s">
        <v>415</v>
      </c>
      <c r="J121">
        <v>1693519797</v>
      </c>
      <c r="K121">
        <f t="shared" si="138"/>
        <v>6.4886020117634162E-3</v>
      </c>
      <c r="L121">
        <f t="shared" si="139"/>
        <v>6.4886020117634162</v>
      </c>
      <c r="M121">
        <f t="shared" si="140"/>
        <v>1.6411210749361604</v>
      </c>
      <c r="N121">
        <f t="shared" si="141"/>
        <v>7.9120499999999998</v>
      </c>
      <c r="O121">
        <f t="shared" si="142"/>
        <v>2.1235789852356786</v>
      </c>
      <c r="P121">
        <f t="shared" si="143"/>
        <v>0.21137514864078047</v>
      </c>
      <c r="Q121">
        <f t="shared" si="144"/>
        <v>0.78754346150099996</v>
      </c>
      <c r="R121">
        <f t="shared" si="145"/>
        <v>0.50014201516656021</v>
      </c>
      <c r="S121">
        <f t="shared" si="146"/>
        <v>2.9157098640518191</v>
      </c>
      <c r="T121">
        <f t="shared" si="147"/>
        <v>0.45690869373710064</v>
      </c>
      <c r="U121">
        <f t="shared" si="148"/>
        <v>0.28914020159704645</v>
      </c>
      <c r="V121">
        <f t="shared" si="149"/>
        <v>344.39410065811933</v>
      </c>
      <c r="W121">
        <f t="shared" si="150"/>
        <v>30.902155421919183</v>
      </c>
      <c r="X121">
        <f t="shared" si="151"/>
        <v>29.9621</v>
      </c>
      <c r="Y121">
        <f t="shared" si="152"/>
        <v>4.2511838012588923</v>
      </c>
      <c r="Z121">
        <f t="shared" si="153"/>
        <v>65.660177050885778</v>
      </c>
      <c r="AA121">
        <f t="shared" si="154"/>
        <v>2.8883411887939996</v>
      </c>
      <c r="AB121">
        <f t="shared" si="155"/>
        <v>4.3989238508381918</v>
      </c>
      <c r="AC121">
        <f t="shared" si="156"/>
        <v>1.3628426124648927</v>
      </c>
      <c r="AD121">
        <f t="shared" si="157"/>
        <v>-286.14734871876664</v>
      </c>
      <c r="AE121">
        <f t="shared" si="158"/>
        <v>93.670563938674945</v>
      </c>
      <c r="AF121">
        <f t="shared" si="159"/>
        <v>7.1616989753184823</v>
      </c>
      <c r="AG121">
        <f t="shared" si="160"/>
        <v>159.07901485334611</v>
      </c>
      <c r="AH121">
        <v>0</v>
      </c>
      <c r="AI121">
        <v>0</v>
      </c>
      <c r="AJ121">
        <f t="shared" si="161"/>
        <v>1</v>
      </c>
      <c r="AK121">
        <f t="shared" si="162"/>
        <v>0</v>
      </c>
      <c r="AL121">
        <f t="shared" si="163"/>
        <v>51850.962067443943</v>
      </c>
      <c r="AM121" t="s">
        <v>417</v>
      </c>
      <c r="AN121">
        <v>10238.9</v>
      </c>
      <c r="AO121">
        <v>302.21199999999999</v>
      </c>
      <c r="AP121">
        <v>4052.3</v>
      </c>
      <c r="AQ121">
        <f t="shared" si="164"/>
        <v>0.92542210596451402</v>
      </c>
      <c r="AR121">
        <v>-0.32343011824092421</v>
      </c>
      <c r="AS121" t="s">
        <v>950</v>
      </c>
      <c r="AT121">
        <v>10492.8</v>
      </c>
      <c r="AU121">
        <v>738.62630769230759</v>
      </c>
      <c r="AV121">
        <v>783.80210410618781</v>
      </c>
      <c r="AW121">
        <f t="shared" si="165"/>
        <v>5.7636737866883725E-2</v>
      </c>
      <c r="AX121">
        <v>0.5</v>
      </c>
      <c r="AY121">
        <f t="shared" si="166"/>
        <v>1513.2939003290596</v>
      </c>
      <c r="AZ121">
        <f t="shared" si="167"/>
        <v>1.6411210749361604</v>
      </c>
      <c r="BA121">
        <f t="shared" si="168"/>
        <v>43.610661924410039</v>
      </c>
      <c r="BB121">
        <f t="shared" si="169"/>
        <v>1.298195408538884E-3</v>
      </c>
      <c r="BC121">
        <f t="shared" si="170"/>
        <v>4.1700550161460184</v>
      </c>
      <c r="BD121">
        <f t="shared" si="171"/>
        <v>230.52128246534707</v>
      </c>
      <c r="BE121" t="s">
        <v>951</v>
      </c>
      <c r="BF121">
        <v>591.13</v>
      </c>
      <c r="BG121">
        <f t="shared" si="172"/>
        <v>591.13</v>
      </c>
      <c r="BH121">
        <f t="shared" si="173"/>
        <v>0.24581728359341715</v>
      </c>
      <c r="BI121">
        <f t="shared" si="174"/>
        <v>0.2344698347664402</v>
      </c>
      <c r="BJ121">
        <f t="shared" si="175"/>
        <v>0.9443332445080167</v>
      </c>
      <c r="BK121">
        <f t="shared" si="176"/>
        <v>9.3805491493071089E-2</v>
      </c>
      <c r="BL121">
        <f t="shared" si="177"/>
        <v>0.87157898585148186</v>
      </c>
      <c r="BM121">
        <f t="shared" si="178"/>
        <v>0.18764854701495934</v>
      </c>
      <c r="BN121">
        <f t="shared" si="179"/>
        <v>0.81235145298504063</v>
      </c>
      <c r="BO121">
        <v>5896</v>
      </c>
      <c r="BP121">
        <v>290.00000000000011</v>
      </c>
      <c r="BQ121">
        <v>773.06</v>
      </c>
      <c r="BR121">
        <v>105</v>
      </c>
      <c r="BS121">
        <v>10492.8</v>
      </c>
      <c r="BT121">
        <v>771.13</v>
      </c>
      <c r="BU121">
        <v>1.93</v>
      </c>
      <c r="BV121">
        <v>300.00000000000011</v>
      </c>
      <c r="BW121">
        <v>38.299999999999997</v>
      </c>
      <c r="BX121">
        <v>783.80210410618781</v>
      </c>
      <c r="BY121">
        <v>1.073865519619212</v>
      </c>
      <c r="BZ121">
        <v>-13.29514858792014</v>
      </c>
      <c r="CA121">
        <v>0.92037290412498673</v>
      </c>
      <c r="CB121">
        <v>0.88169150109950012</v>
      </c>
      <c r="CC121">
        <v>-1.1365565517241379E-2</v>
      </c>
      <c r="CD121">
        <v>289.99999999999989</v>
      </c>
      <c r="CE121">
        <v>769.89</v>
      </c>
      <c r="CF121">
        <v>655</v>
      </c>
      <c r="CG121">
        <v>10444.200000000001</v>
      </c>
      <c r="CH121">
        <v>771.07</v>
      </c>
      <c r="CI121">
        <v>-1.18</v>
      </c>
      <c r="CW121">
        <f t="shared" si="180"/>
        <v>1800.13</v>
      </c>
      <c r="CX121">
        <f t="shared" si="181"/>
        <v>1513.2939003290596</v>
      </c>
      <c r="CY121">
        <f t="shared" si="182"/>
        <v>0.84065811931863788</v>
      </c>
      <c r="CZ121">
        <f t="shared" si="183"/>
        <v>0.19131623863727582</v>
      </c>
      <c r="DA121">
        <v>6</v>
      </c>
      <c r="DB121">
        <v>0.5</v>
      </c>
      <c r="DC121" t="s">
        <v>420</v>
      </c>
      <c r="DD121">
        <v>2</v>
      </c>
      <c r="DE121">
        <v>1693519797</v>
      </c>
      <c r="DF121">
        <v>7.9120499999999998</v>
      </c>
      <c r="DG121">
        <v>9.9412599999999998</v>
      </c>
      <c r="DH121">
        <v>29.017700000000001</v>
      </c>
      <c r="DI121">
        <v>21.463799999999999</v>
      </c>
      <c r="DJ121">
        <v>9.6375600000000006</v>
      </c>
      <c r="DK121">
        <v>28.582699999999999</v>
      </c>
      <c r="DL121">
        <v>500.42899999999997</v>
      </c>
      <c r="DM121">
        <v>99.436899999999994</v>
      </c>
      <c r="DN121">
        <v>0.10032000000000001</v>
      </c>
      <c r="DO121">
        <v>30.558</v>
      </c>
      <c r="DP121">
        <v>29.9621</v>
      </c>
      <c r="DQ121">
        <v>999.9</v>
      </c>
      <c r="DR121">
        <v>0</v>
      </c>
      <c r="DS121">
        <v>0</v>
      </c>
      <c r="DT121">
        <v>9977.5</v>
      </c>
      <c r="DU121">
        <v>0</v>
      </c>
      <c r="DV121">
        <v>1184.7</v>
      </c>
      <c r="DW121">
        <v>-2.02921</v>
      </c>
      <c r="DX121">
        <v>8.1485000000000003</v>
      </c>
      <c r="DY121">
        <v>10.1593</v>
      </c>
      <c r="DZ121">
        <v>7.5538699999999999</v>
      </c>
      <c r="EA121">
        <v>9.9412599999999998</v>
      </c>
      <c r="EB121">
        <v>21.463799999999999</v>
      </c>
      <c r="EC121">
        <v>2.8854299999999999</v>
      </c>
      <c r="ED121">
        <v>2.1343000000000001</v>
      </c>
      <c r="EE121">
        <v>23.3811</v>
      </c>
      <c r="EF121">
        <v>18.477499999999999</v>
      </c>
      <c r="EG121">
        <v>1800.13</v>
      </c>
      <c r="EH121">
        <v>0.97799899999999995</v>
      </c>
      <c r="EI121">
        <v>2.2000700000000002E-2</v>
      </c>
      <c r="EJ121">
        <v>0</v>
      </c>
      <c r="EK121">
        <v>738.52800000000002</v>
      </c>
      <c r="EL121">
        <v>4.9995000000000003</v>
      </c>
      <c r="EM121">
        <v>13984.8</v>
      </c>
      <c r="EN121">
        <v>16661</v>
      </c>
      <c r="EO121">
        <v>47.811999999999998</v>
      </c>
      <c r="EP121">
        <v>48.061999999999998</v>
      </c>
      <c r="EQ121">
        <v>48.5</v>
      </c>
      <c r="ER121">
        <v>48.061999999999998</v>
      </c>
      <c r="ES121">
        <v>49.186999999999998</v>
      </c>
      <c r="ET121">
        <v>1755.64</v>
      </c>
      <c r="EU121">
        <v>39.49</v>
      </c>
      <c r="EV121">
        <v>0</v>
      </c>
      <c r="EW121">
        <v>143.4000000953674</v>
      </c>
      <c r="EX121">
        <v>0</v>
      </c>
      <c r="EY121">
        <v>738.62630769230759</v>
      </c>
      <c r="EZ121">
        <v>-1.868102562430652</v>
      </c>
      <c r="FA121">
        <v>-10.47863243071915</v>
      </c>
      <c r="FB121">
        <v>13984.29615384615</v>
      </c>
      <c r="FC121">
        <v>15</v>
      </c>
      <c r="FD121">
        <v>1693519766.5</v>
      </c>
      <c r="FE121" t="s">
        <v>952</v>
      </c>
      <c r="FF121">
        <v>1693519761.5</v>
      </c>
      <c r="FG121">
        <v>1693519766.5</v>
      </c>
      <c r="FH121">
        <v>118</v>
      </c>
      <c r="FI121">
        <v>-5.2999999999999999E-2</v>
      </c>
      <c r="FJ121">
        <v>-2E-3</v>
      </c>
      <c r="FK121">
        <v>-1.7310000000000001</v>
      </c>
      <c r="FL121">
        <v>0.11700000000000001</v>
      </c>
      <c r="FM121">
        <v>10</v>
      </c>
      <c r="FN121">
        <v>21</v>
      </c>
      <c r="FO121">
        <v>0.74</v>
      </c>
      <c r="FP121">
        <v>0.03</v>
      </c>
      <c r="FQ121">
        <v>1.687192304316993</v>
      </c>
      <c r="FR121">
        <v>-2.8220043020136532E-2</v>
      </c>
      <c r="FS121">
        <v>3.4961686590435678E-2</v>
      </c>
      <c r="FT121">
        <v>1</v>
      </c>
      <c r="FU121">
        <v>0.49985243001606439</v>
      </c>
      <c r="FV121">
        <v>4.3994258393332791E-2</v>
      </c>
      <c r="FW121">
        <v>4.3431770848860393E-3</v>
      </c>
      <c r="FX121">
        <v>1</v>
      </c>
      <c r="FY121">
        <v>2</v>
      </c>
      <c r="FZ121">
        <v>2</v>
      </c>
      <c r="GA121" t="s">
        <v>422</v>
      </c>
      <c r="GB121">
        <v>2.9719099999999998</v>
      </c>
      <c r="GC121">
        <v>2.81182</v>
      </c>
      <c r="GD121">
        <v>2.8105999999999999E-3</v>
      </c>
      <c r="GE121">
        <v>2.8616900000000001E-3</v>
      </c>
      <c r="GF121">
        <v>0.136518</v>
      </c>
      <c r="GG121">
        <v>0.11014699999999999</v>
      </c>
      <c r="GH121">
        <v>29530.5</v>
      </c>
      <c r="GI121">
        <v>27170.6</v>
      </c>
      <c r="GJ121">
        <v>26613.4</v>
      </c>
      <c r="GK121">
        <v>25703.8</v>
      </c>
      <c r="GL121">
        <v>31240.799999999999</v>
      </c>
      <c r="GM121">
        <v>32194.799999999999</v>
      </c>
      <c r="GN121">
        <v>37674.300000000003</v>
      </c>
      <c r="GO121">
        <v>38008.9</v>
      </c>
      <c r="GP121">
        <v>1.9812000000000001</v>
      </c>
      <c r="GQ121">
        <v>2.0055000000000001</v>
      </c>
      <c r="GR121">
        <v>7.2613399999999995E-2</v>
      </c>
      <c r="GS121">
        <v>0</v>
      </c>
      <c r="GT121">
        <v>28.779199999999999</v>
      </c>
      <c r="GU121">
        <v>999.9</v>
      </c>
      <c r="GV121">
        <v>41.6</v>
      </c>
      <c r="GW121">
        <v>37.299999999999997</v>
      </c>
      <c r="GX121">
        <v>26.8125</v>
      </c>
      <c r="GY121">
        <v>61.196199999999997</v>
      </c>
      <c r="GZ121">
        <v>12.6242</v>
      </c>
      <c r="HA121">
        <v>1</v>
      </c>
      <c r="HB121">
        <v>0.23477600000000001</v>
      </c>
      <c r="HC121">
        <v>1.09145</v>
      </c>
      <c r="HD121">
        <v>20.3034</v>
      </c>
      <c r="HE121">
        <v>5.2107000000000001</v>
      </c>
      <c r="HF121">
        <v>11.9321</v>
      </c>
      <c r="HG121">
        <v>4.9878</v>
      </c>
      <c r="HH121">
        <v>3.2909999999999999</v>
      </c>
      <c r="HI121">
        <v>9999</v>
      </c>
      <c r="HJ121">
        <v>9999</v>
      </c>
      <c r="HK121">
        <v>9999</v>
      </c>
      <c r="HL121">
        <v>999.9</v>
      </c>
      <c r="HM121">
        <v>1.8700699999999999</v>
      </c>
      <c r="HN121">
        <v>1.87635</v>
      </c>
      <c r="HO121">
        <v>1.87408</v>
      </c>
      <c r="HP121">
        <v>1.87235</v>
      </c>
      <c r="HQ121">
        <v>1.8727400000000001</v>
      </c>
      <c r="HR121">
        <v>1.8702700000000001</v>
      </c>
      <c r="HS121">
        <v>1.8760699999999999</v>
      </c>
      <c r="HT121">
        <v>1.8751500000000001</v>
      </c>
      <c r="HU121">
        <v>5</v>
      </c>
      <c r="HV121">
        <v>0</v>
      </c>
      <c r="HW121">
        <v>0</v>
      </c>
      <c r="HX121">
        <v>0</v>
      </c>
      <c r="HY121" t="s">
        <v>423</v>
      </c>
      <c r="HZ121" t="s">
        <v>424</v>
      </c>
      <c r="IA121" t="s">
        <v>425</v>
      </c>
      <c r="IB121" t="s">
        <v>425</v>
      </c>
      <c r="IC121" t="s">
        <v>425</v>
      </c>
      <c r="ID121" t="s">
        <v>425</v>
      </c>
      <c r="IE121">
        <v>0</v>
      </c>
      <c r="IF121">
        <v>100</v>
      </c>
      <c r="IG121">
        <v>100</v>
      </c>
      <c r="IH121">
        <v>-1.726</v>
      </c>
      <c r="II121">
        <v>0.435</v>
      </c>
      <c r="IJ121">
        <v>-1.6998836110812381</v>
      </c>
      <c r="IK121">
        <v>-2.677719669153116E-3</v>
      </c>
      <c r="IL121">
        <v>1.9353498771248068E-6</v>
      </c>
      <c r="IM121">
        <v>-6.1862177325538213E-10</v>
      </c>
      <c r="IN121">
        <v>-0.20715303289061601</v>
      </c>
      <c r="IO121">
        <v>-1.5299015507423901E-2</v>
      </c>
      <c r="IP121">
        <v>1.742162107778985E-3</v>
      </c>
      <c r="IQ121">
        <v>-1.472690239905804E-5</v>
      </c>
      <c r="IR121">
        <v>3</v>
      </c>
      <c r="IS121">
        <v>2255</v>
      </c>
      <c r="IT121">
        <v>2</v>
      </c>
      <c r="IU121">
        <v>41</v>
      </c>
      <c r="IV121">
        <v>0.6</v>
      </c>
      <c r="IW121">
        <v>0.5</v>
      </c>
      <c r="IX121">
        <v>0.17578099999999999</v>
      </c>
      <c r="IY121">
        <v>2.5793499999999998</v>
      </c>
      <c r="IZ121">
        <v>1.5991200000000001</v>
      </c>
      <c r="JA121">
        <v>2.2619600000000002</v>
      </c>
      <c r="JB121">
        <v>1.5502899999999999</v>
      </c>
      <c r="JC121">
        <v>2.4072300000000002</v>
      </c>
      <c r="JD121">
        <v>39.341799999999999</v>
      </c>
      <c r="JE121">
        <v>15.7781</v>
      </c>
      <c r="JF121">
        <v>18</v>
      </c>
      <c r="JG121">
        <v>506.05200000000002</v>
      </c>
      <c r="JH121">
        <v>490.43900000000002</v>
      </c>
      <c r="JI121">
        <v>27.5273</v>
      </c>
      <c r="JJ121">
        <v>30.573399999999999</v>
      </c>
      <c r="JK121">
        <v>29.9999</v>
      </c>
      <c r="JL121">
        <v>30.552</v>
      </c>
      <c r="JM121">
        <v>30.518699999999999</v>
      </c>
      <c r="JN121">
        <v>3.5714299999999999</v>
      </c>
      <c r="JO121">
        <v>30.908799999999999</v>
      </c>
      <c r="JP121">
        <v>59.371000000000002</v>
      </c>
      <c r="JQ121">
        <v>27.5305</v>
      </c>
      <c r="JR121">
        <v>10</v>
      </c>
      <c r="JS121">
        <v>21.407699999999998</v>
      </c>
      <c r="JT121">
        <v>99.362799999999993</v>
      </c>
      <c r="JU121">
        <v>98.756699999999995</v>
      </c>
    </row>
    <row r="122" spans="1:281" x14ac:dyDescent="0.25">
      <c r="A122">
        <v>106</v>
      </c>
      <c r="B122">
        <v>1693519986.5</v>
      </c>
      <c r="C122">
        <v>26006.900000095371</v>
      </c>
      <c r="D122" t="s">
        <v>953</v>
      </c>
      <c r="E122" t="s">
        <v>954</v>
      </c>
      <c r="F122" t="s">
        <v>413</v>
      </c>
      <c r="G122" t="s">
        <v>778</v>
      </c>
      <c r="H122" t="s">
        <v>416</v>
      </c>
      <c r="I122" t="s">
        <v>415</v>
      </c>
      <c r="J122">
        <v>1693519986.5</v>
      </c>
      <c r="K122">
        <f t="shared" si="138"/>
        <v>6.2318091708153068E-3</v>
      </c>
      <c r="L122">
        <f t="shared" si="139"/>
        <v>6.2318091708153069</v>
      </c>
      <c r="M122">
        <f t="shared" si="140"/>
        <v>36.901711497144561</v>
      </c>
      <c r="N122">
        <f t="shared" si="141"/>
        <v>353.03899999999999</v>
      </c>
      <c r="O122">
        <f t="shared" si="142"/>
        <v>209.98308627598337</v>
      </c>
      <c r="P122">
        <f t="shared" si="143"/>
        <v>20.90072024815009</v>
      </c>
      <c r="Q122">
        <f t="shared" si="144"/>
        <v>35.139827242983991</v>
      </c>
      <c r="R122">
        <f t="shared" si="145"/>
        <v>0.46486628893215742</v>
      </c>
      <c r="S122">
        <f t="shared" si="146"/>
        <v>2.9231295145726905</v>
      </c>
      <c r="T122">
        <f t="shared" si="147"/>
        <v>0.42735834870723383</v>
      </c>
      <c r="U122">
        <f t="shared" si="148"/>
        <v>0.27021626433446777</v>
      </c>
      <c r="V122">
        <f t="shared" si="149"/>
        <v>344.3586006583555</v>
      </c>
      <c r="W122">
        <f t="shared" si="150"/>
        <v>31.06895985753323</v>
      </c>
      <c r="X122">
        <f t="shared" si="151"/>
        <v>30.038399999999999</v>
      </c>
      <c r="Y122">
        <f t="shared" si="152"/>
        <v>4.2698559319865188</v>
      </c>
      <c r="Z122">
        <f t="shared" si="153"/>
        <v>64.877928787621642</v>
      </c>
      <c r="AA122">
        <f t="shared" si="154"/>
        <v>2.8704773407327999</v>
      </c>
      <c r="AB122">
        <f t="shared" si="155"/>
        <v>4.4244281443221283</v>
      </c>
      <c r="AC122">
        <f t="shared" si="156"/>
        <v>1.3993785912537189</v>
      </c>
      <c r="AD122">
        <f t="shared" si="157"/>
        <v>-274.82278443295502</v>
      </c>
      <c r="AE122">
        <f t="shared" si="158"/>
        <v>97.817204432451248</v>
      </c>
      <c r="AF122">
        <f t="shared" si="159"/>
        <v>7.4663007581729275</v>
      </c>
      <c r="AG122">
        <f t="shared" si="160"/>
        <v>174.81932141602465</v>
      </c>
      <c r="AH122">
        <v>0</v>
      </c>
      <c r="AI122">
        <v>0</v>
      </c>
      <c r="AJ122">
        <f t="shared" si="161"/>
        <v>1</v>
      </c>
      <c r="AK122">
        <f t="shared" si="162"/>
        <v>0</v>
      </c>
      <c r="AL122">
        <f t="shared" si="163"/>
        <v>52044.77252107246</v>
      </c>
      <c r="AM122" t="s">
        <v>417</v>
      </c>
      <c r="AN122">
        <v>10238.9</v>
      </c>
      <c r="AO122">
        <v>302.21199999999999</v>
      </c>
      <c r="AP122">
        <v>4052.3</v>
      </c>
      <c r="AQ122">
        <f t="shared" si="164"/>
        <v>0.92542210596451402</v>
      </c>
      <c r="AR122">
        <v>-0.32343011824092421</v>
      </c>
      <c r="AS122" t="s">
        <v>955</v>
      </c>
      <c r="AT122">
        <v>10465.6</v>
      </c>
      <c r="AU122">
        <v>708.51975999999991</v>
      </c>
      <c r="AV122">
        <v>981.97876338046524</v>
      </c>
      <c r="AW122">
        <f t="shared" si="165"/>
        <v>0.27847751252693265</v>
      </c>
      <c r="AX122">
        <v>0.5</v>
      </c>
      <c r="AY122">
        <f t="shared" si="166"/>
        <v>1513.1346003291778</v>
      </c>
      <c r="AZ122">
        <f t="shared" si="167"/>
        <v>36.901711497144561</v>
      </c>
      <c r="BA122">
        <f t="shared" si="168"/>
        <v>210.68697980905193</v>
      </c>
      <c r="BB122">
        <f t="shared" si="169"/>
        <v>2.4601341881473907E-2</v>
      </c>
      <c r="BC122">
        <f t="shared" si="170"/>
        <v>3.1266676542473726</v>
      </c>
      <c r="BD122">
        <f t="shared" si="171"/>
        <v>245.06716714100227</v>
      </c>
      <c r="BE122" t="s">
        <v>956</v>
      </c>
      <c r="BF122">
        <v>559.73</v>
      </c>
      <c r="BG122">
        <f t="shared" si="172"/>
        <v>559.73</v>
      </c>
      <c r="BH122">
        <f t="shared" si="173"/>
        <v>0.42999785649831412</v>
      </c>
      <c r="BI122">
        <f t="shared" si="174"/>
        <v>0.64762535049526337</v>
      </c>
      <c r="BJ122">
        <f t="shared" si="175"/>
        <v>0.87910084454127901</v>
      </c>
      <c r="BK122">
        <f t="shared" si="176"/>
        <v>0.40228357447274959</v>
      </c>
      <c r="BL122">
        <f t="shared" si="177"/>
        <v>0.81873311682806771</v>
      </c>
      <c r="BM122">
        <f t="shared" si="178"/>
        <v>0.51162346895267086</v>
      </c>
      <c r="BN122">
        <f t="shared" si="179"/>
        <v>0.48837653104732914</v>
      </c>
      <c r="BO122">
        <v>5898</v>
      </c>
      <c r="BP122">
        <v>290.00000000000011</v>
      </c>
      <c r="BQ122">
        <v>894.93</v>
      </c>
      <c r="BR122">
        <v>245</v>
      </c>
      <c r="BS122">
        <v>10465.6</v>
      </c>
      <c r="BT122">
        <v>893.96</v>
      </c>
      <c r="BU122">
        <v>0.97</v>
      </c>
      <c r="BV122">
        <v>300.00000000000011</v>
      </c>
      <c r="BW122">
        <v>38.299999999999997</v>
      </c>
      <c r="BX122">
        <v>981.97876338046524</v>
      </c>
      <c r="BY122">
        <v>1.2289877477268369</v>
      </c>
      <c r="BZ122">
        <v>-92.116449004559271</v>
      </c>
      <c r="CA122">
        <v>1.053499978200277</v>
      </c>
      <c r="CB122">
        <v>0.99635107354343866</v>
      </c>
      <c r="CC122">
        <v>-1.136839977753059E-2</v>
      </c>
      <c r="CD122">
        <v>289.99999999999989</v>
      </c>
      <c r="CE122">
        <v>877.38</v>
      </c>
      <c r="CF122">
        <v>645</v>
      </c>
      <c r="CG122">
        <v>10446.9</v>
      </c>
      <c r="CH122">
        <v>893.8</v>
      </c>
      <c r="CI122">
        <v>-16.420000000000002</v>
      </c>
      <c r="CW122">
        <f t="shared" si="180"/>
        <v>1799.94</v>
      </c>
      <c r="CX122">
        <f t="shared" si="181"/>
        <v>1513.1346003291778</v>
      </c>
      <c r="CY122">
        <f t="shared" si="182"/>
        <v>0.84065835546139189</v>
      </c>
      <c r="CZ122">
        <f t="shared" si="183"/>
        <v>0.19131671092278379</v>
      </c>
      <c r="DA122">
        <v>6</v>
      </c>
      <c r="DB122">
        <v>0.5</v>
      </c>
      <c r="DC122" t="s">
        <v>420</v>
      </c>
      <c r="DD122">
        <v>2</v>
      </c>
      <c r="DE122">
        <v>1693519986.5</v>
      </c>
      <c r="DF122">
        <v>353.03899999999999</v>
      </c>
      <c r="DG122">
        <v>399.97399999999999</v>
      </c>
      <c r="DH122">
        <v>28.838799999999999</v>
      </c>
      <c r="DI122">
        <v>21.574300000000001</v>
      </c>
      <c r="DJ122">
        <v>355.43200000000002</v>
      </c>
      <c r="DK122">
        <v>28.414300000000001</v>
      </c>
      <c r="DL122">
        <v>499.863</v>
      </c>
      <c r="DM122">
        <v>99.435599999999994</v>
      </c>
      <c r="DN122">
        <v>9.9655999999999995E-2</v>
      </c>
      <c r="DO122">
        <v>30.659099999999999</v>
      </c>
      <c r="DP122">
        <v>30.038399999999999</v>
      </c>
      <c r="DQ122">
        <v>999.9</v>
      </c>
      <c r="DR122">
        <v>0</v>
      </c>
      <c r="DS122">
        <v>0</v>
      </c>
      <c r="DT122">
        <v>10020</v>
      </c>
      <c r="DU122">
        <v>0</v>
      </c>
      <c r="DV122">
        <v>1164.75</v>
      </c>
      <c r="DW122">
        <v>-46.934399999999997</v>
      </c>
      <c r="DX122">
        <v>363.52300000000002</v>
      </c>
      <c r="DY122">
        <v>408.79300000000001</v>
      </c>
      <c r="DZ122">
        <v>7.2645099999999996</v>
      </c>
      <c r="EA122">
        <v>399.97399999999999</v>
      </c>
      <c r="EB122">
        <v>21.574300000000001</v>
      </c>
      <c r="EC122">
        <v>2.86761</v>
      </c>
      <c r="ED122">
        <v>2.1452599999999999</v>
      </c>
      <c r="EE122">
        <v>23.278500000000001</v>
      </c>
      <c r="EF122">
        <v>18.5593</v>
      </c>
      <c r="EG122">
        <v>1799.94</v>
      </c>
      <c r="EH122">
        <v>0.97799599999999998</v>
      </c>
      <c r="EI122">
        <v>2.2004300000000001E-2</v>
      </c>
      <c r="EJ122">
        <v>0</v>
      </c>
      <c r="EK122">
        <v>707.67600000000004</v>
      </c>
      <c r="EL122">
        <v>4.9995000000000003</v>
      </c>
      <c r="EM122">
        <v>13425.1</v>
      </c>
      <c r="EN122">
        <v>16659.2</v>
      </c>
      <c r="EO122">
        <v>47.811999999999998</v>
      </c>
      <c r="EP122">
        <v>48.061999999999998</v>
      </c>
      <c r="EQ122">
        <v>48.5</v>
      </c>
      <c r="ER122">
        <v>48.061999999999998</v>
      </c>
      <c r="ES122">
        <v>49.125</v>
      </c>
      <c r="ET122">
        <v>1755.44</v>
      </c>
      <c r="EU122">
        <v>39.5</v>
      </c>
      <c r="EV122">
        <v>0</v>
      </c>
      <c r="EW122">
        <v>187.4000000953674</v>
      </c>
      <c r="EX122">
        <v>0</v>
      </c>
      <c r="EY122">
        <v>708.51975999999991</v>
      </c>
      <c r="EZ122">
        <v>-8.8153846049800535</v>
      </c>
      <c r="FA122">
        <v>-164.06153829076081</v>
      </c>
      <c r="FB122">
        <v>13445.791999999999</v>
      </c>
      <c r="FC122">
        <v>15</v>
      </c>
      <c r="FD122">
        <v>1693519876.5</v>
      </c>
      <c r="FE122" t="s">
        <v>957</v>
      </c>
      <c r="FF122">
        <v>1693519869</v>
      </c>
      <c r="FG122">
        <v>1693519876.5</v>
      </c>
      <c r="FH122">
        <v>119</v>
      </c>
      <c r="FI122">
        <v>4.2999999999999997E-2</v>
      </c>
      <c r="FJ122">
        <v>-2E-3</v>
      </c>
      <c r="FK122">
        <v>-2.4620000000000002</v>
      </c>
      <c r="FL122">
        <v>0.109</v>
      </c>
      <c r="FM122">
        <v>400</v>
      </c>
      <c r="FN122">
        <v>21</v>
      </c>
      <c r="FO122">
        <v>0.21</v>
      </c>
      <c r="FP122">
        <v>0.02</v>
      </c>
      <c r="FQ122">
        <v>36.598749575529759</v>
      </c>
      <c r="FR122">
        <v>1.750573847627513</v>
      </c>
      <c r="FS122">
        <v>0.14449594384513459</v>
      </c>
      <c r="FT122">
        <v>0</v>
      </c>
      <c r="FU122">
        <v>0.46617540657447942</v>
      </c>
      <c r="FV122">
        <v>3.9901757141832112E-3</v>
      </c>
      <c r="FW122">
        <v>1.172029460267985E-3</v>
      </c>
      <c r="FX122">
        <v>1</v>
      </c>
      <c r="FY122">
        <v>1</v>
      </c>
      <c r="FZ122">
        <v>2</v>
      </c>
      <c r="GA122" t="s">
        <v>461</v>
      </c>
      <c r="GB122">
        <v>2.9704999999999999</v>
      </c>
      <c r="GC122">
        <v>2.8115199999999998</v>
      </c>
      <c r="GD122">
        <v>8.8698799999999994E-2</v>
      </c>
      <c r="GE122">
        <v>9.6197199999999997E-2</v>
      </c>
      <c r="GF122">
        <v>0.13598199999999999</v>
      </c>
      <c r="GG122">
        <v>0.110566</v>
      </c>
      <c r="GH122">
        <v>26991</v>
      </c>
      <c r="GI122">
        <v>24631.1</v>
      </c>
      <c r="GJ122">
        <v>26616.799999999999</v>
      </c>
      <c r="GK122">
        <v>25707.4</v>
      </c>
      <c r="GL122">
        <v>31270.9</v>
      </c>
      <c r="GM122">
        <v>32190.799999999999</v>
      </c>
      <c r="GN122">
        <v>37679.9</v>
      </c>
      <c r="GO122">
        <v>38014.199999999997</v>
      </c>
      <c r="GP122">
        <v>1.9830000000000001</v>
      </c>
      <c r="GQ122">
        <v>2.0099</v>
      </c>
      <c r="GR122">
        <v>7.6562199999999997E-2</v>
      </c>
      <c r="GS122">
        <v>0</v>
      </c>
      <c r="GT122">
        <v>28.7912</v>
      </c>
      <c r="GU122">
        <v>999.9</v>
      </c>
      <c r="GV122">
        <v>41.6</v>
      </c>
      <c r="GW122">
        <v>37</v>
      </c>
      <c r="GX122">
        <v>26.3781</v>
      </c>
      <c r="GY122">
        <v>61.496200000000002</v>
      </c>
      <c r="GZ122">
        <v>13.493600000000001</v>
      </c>
      <c r="HA122">
        <v>1</v>
      </c>
      <c r="HB122">
        <v>0.228933</v>
      </c>
      <c r="HC122">
        <v>1.3503400000000001</v>
      </c>
      <c r="HD122">
        <v>20.301200000000001</v>
      </c>
      <c r="HE122">
        <v>5.2107000000000001</v>
      </c>
      <c r="HF122">
        <v>11.9321</v>
      </c>
      <c r="HG122">
        <v>4.9878</v>
      </c>
      <c r="HH122">
        <v>3.2909999999999999</v>
      </c>
      <c r="HI122">
        <v>9999</v>
      </c>
      <c r="HJ122">
        <v>9999</v>
      </c>
      <c r="HK122">
        <v>9999</v>
      </c>
      <c r="HL122">
        <v>999.9</v>
      </c>
      <c r="HM122">
        <v>1.8700600000000001</v>
      </c>
      <c r="HN122">
        <v>1.87626</v>
      </c>
      <c r="HO122">
        <v>1.87408</v>
      </c>
      <c r="HP122">
        <v>1.8723099999999999</v>
      </c>
      <c r="HQ122">
        <v>1.8727199999999999</v>
      </c>
      <c r="HR122">
        <v>1.8702099999999999</v>
      </c>
      <c r="HS122">
        <v>1.8760699999999999</v>
      </c>
      <c r="HT122">
        <v>1.8751800000000001</v>
      </c>
      <c r="HU122">
        <v>5</v>
      </c>
      <c r="HV122">
        <v>0</v>
      </c>
      <c r="HW122">
        <v>0</v>
      </c>
      <c r="HX122">
        <v>0</v>
      </c>
      <c r="HY122" t="s">
        <v>423</v>
      </c>
      <c r="HZ122" t="s">
        <v>424</v>
      </c>
      <c r="IA122" t="s">
        <v>425</v>
      </c>
      <c r="IB122" t="s">
        <v>425</v>
      </c>
      <c r="IC122" t="s">
        <v>425</v>
      </c>
      <c r="ID122" t="s">
        <v>425</v>
      </c>
      <c r="IE122">
        <v>0</v>
      </c>
      <c r="IF122">
        <v>100</v>
      </c>
      <c r="IG122">
        <v>100</v>
      </c>
      <c r="IH122">
        <v>-2.3929999999999998</v>
      </c>
      <c r="II122">
        <v>0.42449999999999999</v>
      </c>
      <c r="IJ122">
        <v>-1.6570709372641399</v>
      </c>
      <c r="IK122">
        <v>-2.677719669153116E-3</v>
      </c>
      <c r="IL122">
        <v>1.9353498771248068E-6</v>
      </c>
      <c r="IM122">
        <v>-6.1862177325538213E-10</v>
      </c>
      <c r="IN122">
        <v>-0.2095338002231531</v>
      </c>
      <c r="IO122">
        <v>-1.5299015507423901E-2</v>
      </c>
      <c r="IP122">
        <v>1.742162107778985E-3</v>
      </c>
      <c r="IQ122">
        <v>-1.472690239905804E-5</v>
      </c>
      <c r="IR122">
        <v>3</v>
      </c>
      <c r="IS122">
        <v>2255</v>
      </c>
      <c r="IT122">
        <v>2</v>
      </c>
      <c r="IU122">
        <v>41</v>
      </c>
      <c r="IV122">
        <v>2</v>
      </c>
      <c r="IW122">
        <v>1.8</v>
      </c>
      <c r="IX122">
        <v>0.96679700000000002</v>
      </c>
      <c r="IY122">
        <v>2.52075</v>
      </c>
      <c r="IZ122">
        <v>1.5991200000000001</v>
      </c>
      <c r="JA122">
        <v>2.2631800000000002</v>
      </c>
      <c r="JB122">
        <v>1.5502899999999999</v>
      </c>
      <c r="JC122">
        <v>2.3718300000000001</v>
      </c>
      <c r="JD122">
        <v>39.192399999999999</v>
      </c>
      <c r="JE122">
        <v>15.734400000000001</v>
      </c>
      <c r="JF122">
        <v>18</v>
      </c>
      <c r="JG122">
        <v>506.52800000000002</v>
      </c>
      <c r="JH122">
        <v>492.64299999999997</v>
      </c>
      <c r="JI122">
        <v>27.561299999999999</v>
      </c>
      <c r="JJ122">
        <v>30.499199999999998</v>
      </c>
      <c r="JK122">
        <v>30.0001</v>
      </c>
      <c r="JL122">
        <v>30.470099999999999</v>
      </c>
      <c r="JM122">
        <v>30.439800000000002</v>
      </c>
      <c r="JN122">
        <v>19.381499999999999</v>
      </c>
      <c r="JO122">
        <v>29.220800000000001</v>
      </c>
      <c r="JP122">
        <v>58.742199999999997</v>
      </c>
      <c r="JQ122">
        <v>27.553100000000001</v>
      </c>
      <c r="JR122">
        <v>400</v>
      </c>
      <c r="JS122">
        <v>21.6129</v>
      </c>
      <c r="JT122">
        <v>99.376800000000003</v>
      </c>
      <c r="JU122">
        <v>98.770399999999995</v>
      </c>
    </row>
    <row r="123" spans="1:281" x14ac:dyDescent="0.25">
      <c r="A123">
        <v>107</v>
      </c>
      <c r="B123">
        <v>1693520176</v>
      </c>
      <c r="C123">
        <v>26196.400000095371</v>
      </c>
      <c r="D123" t="s">
        <v>958</v>
      </c>
      <c r="E123" t="s">
        <v>959</v>
      </c>
      <c r="F123" t="s">
        <v>413</v>
      </c>
      <c r="G123" t="s">
        <v>778</v>
      </c>
      <c r="H123" t="s">
        <v>416</v>
      </c>
      <c r="I123" t="s">
        <v>415</v>
      </c>
      <c r="J123">
        <v>1693520176</v>
      </c>
      <c r="K123">
        <f t="shared" si="138"/>
        <v>5.9729372837508277E-3</v>
      </c>
      <c r="L123">
        <f t="shared" si="139"/>
        <v>5.9729372837508281</v>
      </c>
      <c r="M123">
        <f t="shared" si="140"/>
        <v>44.284584652824869</v>
      </c>
      <c r="N123">
        <f t="shared" si="141"/>
        <v>344.27800000000002</v>
      </c>
      <c r="O123">
        <f t="shared" si="142"/>
        <v>165.38284478228499</v>
      </c>
      <c r="P123">
        <f t="shared" si="143"/>
        <v>16.461268002773217</v>
      </c>
      <c r="Q123">
        <f t="shared" si="144"/>
        <v>34.267474555292004</v>
      </c>
      <c r="R123">
        <f t="shared" si="145"/>
        <v>0.43889268670271314</v>
      </c>
      <c r="S123">
        <f t="shared" si="146"/>
        <v>2.9125845613389707</v>
      </c>
      <c r="T123">
        <f t="shared" si="147"/>
        <v>0.40518520781429812</v>
      </c>
      <c r="U123">
        <f t="shared" si="148"/>
        <v>0.25605316548685886</v>
      </c>
      <c r="V123">
        <f t="shared" si="149"/>
        <v>344.38330065830792</v>
      </c>
      <c r="W123">
        <f t="shared" si="150"/>
        <v>30.983452314524158</v>
      </c>
      <c r="X123">
        <f t="shared" si="151"/>
        <v>30.008099999999999</v>
      </c>
      <c r="Y123">
        <f t="shared" si="152"/>
        <v>4.2624323799518171</v>
      </c>
      <c r="Z123">
        <f t="shared" si="153"/>
        <v>64.931947507665797</v>
      </c>
      <c r="AA123">
        <f t="shared" si="154"/>
        <v>2.8475771892260004</v>
      </c>
      <c r="AB123">
        <f t="shared" si="155"/>
        <v>4.3854794111786317</v>
      </c>
      <c r="AC123">
        <f t="shared" si="156"/>
        <v>1.4148551907258167</v>
      </c>
      <c r="AD123">
        <f t="shared" si="157"/>
        <v>-263.40653421341148</v>
      </c>
      <c r="AE123">
        <f t="shared" si="158"/>
        <v>77.946345703518233</v>
      </c>
      <c r="AF123">
        <f t="shared" si="159"/>
        <v>5.9656560511293408</v>
      </c>
      <c r="AG123">
        <f t="shared" si="160"/>
        <v>164.88876819954399</v>
      </c>
      <c r="AH123">
        <v>0</v>
      </c>
      <c r="AI123">
        <v>0</v>
      </c>
      <c r="AJ123">
        <f t="shared" si="161"/>
        <v>1</v>
      </c>
      <c r="AK123">
        <f t="shared" si="162"/>
        <v>0</v>
      </c>
      <c r="AL123">
        <f t="shared" si="163"/>
        <v>51771.174290007686</v>
      </c>
      <c r="AM123" t="s">
        <v>417</v>
      </c>
      <c r="AN123">
        <v>10238.9</v>
      </c>
      <c r="AO123">
        <v>302.21199999999999</v>
      </c>
      <c r="AP123">
        <v>4052.3</v>
      </c>
      <c r="AQ123">
        <f t="shared" si="164"/>
        <v>0.92542210596451402</v>
      </c>
      <c r="AR123">
        <v>-0.32343011824092421</v>
      </c>
      <c r="AS123" t="s">
        <v>960</v>
      </c>
      <c r="AT123">
        <v>10488.6</v>
      </c>
      <c r="AU123">
        <v>724.49780769230756</v>
      </c>
      <c r="AV123">
        <v>1060.0213735603411</v>
      </c>
      <c r="AW123">
        <f t="shared" si="165"/>
        <v>0.31652528358092968</v>
      </c>
      <c r="AX123">
        <v>0.5</v>
      </c>
      <c r="AY123">
        <f t="shared" si="166"/>
        <v>1513.2438003291541</v>
      </c>
      <c r="AZ123">
        <f t="shared" si="167"/>
        <v>44.284584652824869</v>
      </c>
      <c r="BA123">
        <f t="shared" si="168"/>
        <v>239.4899615131346</v>
      </c>
      <c r="BB123">
        <f t="shared" si="169"/>
        <v>2.9478405767373938E-2</v>
      </c>
      <c r="BC123">
        <f t="shared" si="170"/>
        <v>2.8228474454145762</v>
      </c>
      <c r="BD123">
        <f t="shared" si="171"/>
        <v>249.6542777334808</v>
      </c>
      <c r="BE123" t="s">
        <v>961</v>
      </c>
      <c r="BF123">
        <v>567.39</v>
      </c>
      <c r="BG123">
        <f t="shared" si="172"/>
        <v>567.39</v>
      </c>
      <c r="BH123">
        <f t="shared" si="173"/>
        <v>0.46473720799205975</v>
      </c>
      <c r="BI123">
        <f t="shared" si="174"/>
        <v>0.68108444544069657</v>
      </c>
      <c r="BJ123">
        <f t="shared" si="175"/>
        <v>0.85863870987763213</v>
      </c>
      <c r="BK123">
        <f t="shared" si="176"/>
        <v>0.44275457334563734</v>
      </c>
      <c r="BL123">
        <f t="shared" si="177"/>
        <v>0.79792224247528565</v>
      </c>
      <c r="BM123">
        <f t="shared" si="178"/>
        <v>0.53339085280257625</v>
      </c>
      <c r="BN123">
        <f t="shared" si="179"/>
        <v>0.46660914719742375</v>
      </c>
      <c r="BO123">
        <v>5900</v>
      </c>
      <c r="BP123">
        <v>290.00000000000011</v>
      </c>
      <c r="BQ123">
        <v>964.99</v>
      </c>
      <c r="BR123">
        <v>135</v>
      </c>
      <c r="BS123">
        <v>10488.6</v>
      </c>
      <c r="BT123">
        <v>963.02</v>
      </c>
      <c r="BU123">
        <v>1.97</v>
      </c>
      <c r="BV123">
        <v>300.00000000000011</v>
      </c>
      <c r="BW123">
        <v>38.299999999999997</v>
      </c>
      <c r="BX123">
        <v>1060.0213735603411</v>
      </c>
      <c r="BY123">
        <v>1.303899125772668</v>
      </c>
      <c r="BZ123">
        <v>-101.7436734923597</v>
      </c>
      <c r="CA123">
        <v>1.1178481059986869</v>
      </c>
      <c r="CB123">
        <v>0.99663144703294904</v>
      </c>
      <c r="CC123">
        <v>-1.1369746162402661E-2</v>
      </c>
      <c r="CD123">
        <v>289.99999999999989</v>
      </c>
      <c r="CE123">
        <v>952.33</v>
      </c>
      <c r="CF123">
        <v>645</v>
      </c>
      <c r="CG123">
        <v>10448.200000000001</v>
      </c>
      <c r="CH123">
        <v>962.64</v>
      </c>
      <c r="CI123">
        <v>-10.31</v>
      </c>
      <c r="CW123">
        <f t="shared" si="180"/>
        <v>1800.07</v>
      </c>
      <c r="CX123">
        <f t="shared" si="181"/>
        <v>1513.2438003291541</v>
      </c>
      <c r="CY123">
        <f t="shared" si="182"/>
        <v>0.84065830791533336</v>
      </c>
      <c r="CZ123">
        <f t="shared" si="183"/>
        <v>0.19131661583066653</v>
      </c>
      <c r="DA123">
        <v>6</v>
      </c>
      <c r="DB123">
        <v>0.5</v>
      </c>
      <c r="DC123" t="s">
        <v>420</v>
      </c>
      <c r="DD123">
        <v>2</v>
      </c>
      <c r="DE123">
        <v>1693520176</v>
      </c>
      <c r="DF123">
        <v>344.27800000000002</v>
      </c>
      <c r="DG123">
        <v>399.86900000000003</v>
      </c>
      <c r="DH123">
        <v>28.609000000000002</v>
      </c>
      <c r="DI123">
        <v>21.648800000000001</v>
      </c>
      <c r="DJ123">
        <v>346.73399999999998</v>
      </c>
      <c r="DK123">
        <v>28.189699999999998</v>
      </c>
      <c r="DL123">
        <v>500.16300000000001</v>
      </c>
      <c r="DM123">
        <v>99.433800000000005</v>
      </c>
      <c r="DN123">
        <v>0.10051400000000001</v>
      </c>
      <c r="DO123">
        <v>30.5045</v>
      </c>
      <c r="DP123">
        <v>30.008099999999999</v>
      </c>
      <c r="DQ123">
        <v>999.9</v>
      </c>
      <c r="DR123">
        <v>0</v>
      </c>
      <c r="DS123">
        <v>0</v>
      </c>
      <c r="DT123">
        <v>9960</v>
      </c>
      <c r="DU123">
        <v>0</v>
      </c>
      <c r="DV123">
        <v>1144.24</v>
      </c>
      <c r="DW123">
        <v>-55.591299999999997</v>
      </c>
      <c r="DX123">
        <v>354.41699999999997</v>
      </c>
      <c r="DY123">
        <v>408.71699999999998</v>
      </c>
      <c r="DZ123">
        <v>6.9602399999999998</v>
      </c>
      <c r="EA123">
        <v>399.86900000000003</v>
      </c>
      <c r="EB123">
        <v>21.648800000000001</v>
      </c>
      <c r="EC123">
        <v>2.8447</v>
      </c>
      <c r="ED123">
        <v>2.1526200000000002</v>
      </c>
      <c r="EE123">
        <v>23.145800000000001</v>
      </c>
      <c r="EF123">
        <v>18.614000000000001</v>
      </c>
      <c r="EG123">
        <v>1800.07</v>
      </c>
      <c r="EH123">
        <v>0.97799599999999998</v>
      </c>
      <c r="EI123">
        <v>2.2004300000000001E-2</v>
      </c>
      <c r="EJ123">
        <v>0</v>
      </c>
      <c r="EK123">
        <v>725.42399999999998</v>
      </c>
      <c r="EL123">
        <v>4.9995000000000003</v>
      </c>
      <c r="EM123">
        <v>13742.5</v>
      </c>
      <c r="EN123">
        <v>16660.5</v>
      </c>
      <c r="EO123">
        <v>47.75</v>
      </c>
      <c r="EP123">
        <v>48</v>
      </c>
      <c r="EQ123">
        <v>48.436999999999998</v>
      </c>
      <c r="ER123">
        <v>47.936999999999998</v>
      </c>
      <c r="ES123">
        <v>49.061999999999998</v>
      </c>
      <c r="ET123">
        <v>1755.57</v>
      </c>
      <c r="EU123">
        <v>39.5</v>
      </c>
      <c r="EV123">
        <v>0</v>
      </c>
      <c r="EW123">
        <v>187.4000000953674</v>
      </c>
      <c r="EX123">
        <v>0</v>
      </c>
      <c r="EY123">
        <v>724.49780769230756</v>
      </c>
      <c r="EZ123">
        <v>7.8189743522391018</v>
      </c>
      <c r="FA123">
        <v>125.39145296532</v>
      </c>
      <c r="FB123">
        <v>13728.457692307689</v>
      </c>
      <c r="FC123">
        <v>15</v>
      </c>
      <c r="FD123">
        <v>1693520060.5</v>
      </c>
      <c r="FE123" t="s">
        <v>962</v>
      </c>
      <c r="FF123">
        <v>1693520046</v>
      </c>
      <c r="FG123">
        <v>1693520060.5</v>
      </c>
      <c r="FH123">
        <v>120</v>
      </c>
      <c r="FI123">
        <v>-7.8E-2</v>
      </c>
      <c r="FJ123">
        <v>6.0000000000000001E-3</v>
      </c>
      <c r="FK123">
        <v>-2.54</v>
      </c>
      <c r="FL123">
        <v>0.127</v>
      </c>
      <c r="FM123">
        <v>400</v>
      </c>
      <c r="FN123">
        <v>22</v>
      </c>
      <c r="FO123">
        <v>0.12</v>
      </c>
      <c r="FP123">
        <v>0.02</v>
      </c>
      <c r="FQ123">
        <v>44.323210780409987</v>
      </c>
      <c r="FR123">
        <v>1.3230471438642419</v>
      </c>
      <c r="FS123">
        <v>0.12887544061833919</v>
      </c>
      <c r="FT123">
        <v>0</v>
      </c>
      <c r="FU123">
        <v>0.44098788257048921</v>
      </c>
      <c r="FV123">
        <v>-8.0315883981141624E-3</v>
      </c>
      <c r="FW123">
        <v>9.8048520987809875E-4</v>
      </c>
      <c r="FX123">
        <v>1</v>
      </c>
      <c r="FY123">
        <v>1</v>
      </c>
      <c r="FZ123">
        <v>2</v>
      </c>
      <c r="GA123" t="s">
        <v>461</v>
      </c>
      <c r="GB123">
        <v>2.9713500000000002</v>
      </c>
      <c r="GC123">
        <v>2.8118599999999998</v>
      </c>
      <c r="GD123">
        <v>8.6985199999999999E-2</v>
      </c>
      <c r="GE123">
        <v>9.6196599999999993E-2</v>
      </c>
      <c r="GF123">
        <v>0.13525300000000001</v>
      </c>
      <c r="GG123">
        <v>0.11085399999999999</v>
      </c>
      <c r="GH123">
        <v>27046.3</v>
      </c>
      <c r="GI123">
        <v>24635.8</v>
      </c>
      <c r="GJ123">
        <v>26621</v>
      </c>
      <c r="GK123">
        <v>25711.8</v>
      </c>
      <c r="GL123">
        <v>31301.5</v>
      </c>
      <c r="GM123">
        <v>32185.599999999999</v>
      </c>
      <c r="GN123">
        <v>37685.5</v>
      </c>
      <c r="GO123">
        <v>38020.5</v>
      </c>
      <c r="GP123">
        <v>1.9839</v>
      </c>
      <c r="GQ123">
        <v>2.0137999999999998</v>
      </c>
      <c r="GR123">
        <v>8.2552399999999998E-2</v>
      </c>
      <c r="GS123">
        <v>0</v>
      </c>
      <c r="GT123">
        <v>28.6632</v>
      </c>
      <c r="GU123">
        <v>999.9</v>
      </c>
      <c r="GV123">
        <v>41.9</v>
      </c>
      <c r="GW123">
        <v>36.799999999999997</v>
      </c>
      <c r="GX123">
        <v>26.2804</v>
      </c>
      <c r="GY123">
        <v>61.216200000000001</v>
      </c>
      <c r="GZ123">
        <v>12.7965</v>
      </c>
      <c r="HA123">
        <v>1</v>
      </c>
      <c r="HB123">
        <v>0.22004099999999999</v>
      </c>
      <c r="HC123">
        <v>0.992614</v>
      </c>
      <c r="HD123">
        <v>20.304600000000001</v>
      </c>
      <c r="HE123">
        <v>5.2095000000000002</v>
      </c>
      <c r="HF123">
        <v>11.9321</v>
      </c>
      <c r="HG123">
        <v>4.9880000000000004</v>
      </c>
      <c r="HH123">
        <v>3.2909999999999999</v>
      </c>
      <c r="HI123">
        <v>9999</v>
      </c>
      <c r="HJ123">
        <v>9999</v>
      </c>
      <c r="HK123">
        <v>9999</v>
      </c>
      <c r="HL123">
        <v>999.9</v>
      </c>
      <c r="HM123">
        <v>1.86999</v>
      </c>
      <c r="HN123">
        <v>1.87626</v>
      </c>
      <c r="HO123">
        <v>1.87408</v>
      </c>
      <c r="HP123">
        <v>1.8723000000000001</v>
      </c>
      <c r="HQ123">
        <v>1.8727400000000001</v>
      </c>
      <c r="HR123">
        <v>1.8702000000000001</v>
      </c>
      <c r="HS123">
        <v>1.8760699999999999</v>
      </c>
      <c r="HT123">
        <v>1.8751500000000001</v>
      </c>
      <c r="HU123">
        <v>5</v>
      </c>
      <c r="HV123">
        <v>0</v>
      </c>
      <c r="HW123">
        <v>0</v>
      </c>
      <c r="HX123">
        <v>0</v>
      </c>
      <c r="HY123" t="s">
        <v>423</v>
      </c>
      <c r="HZ123" t="s">
        <v>424</v>
      </c>
      <c r="IA123" t="s">
        <v>425</v>
      </c>
      <c r="IB123" t="s">
        <v>425</v>
      </c>
      <c r="IC123" t="s">
        <v>425</v>
      </c>
      <c r="ID123" t="s">
        <v>425</v>
      </c>
      <c r="IE123">
        <v>0</v>
      </c>
      <c r="IF123">
        <v>100</v>
      </c>
      <c r="IG123">
        <v>100</v>
      </c>
      <c r="IH123">
        <v>-2.456</v>
      </c>
      <c r="II123">
        <v>0.41930000000000001</v>
      </c>
      <c r="IJ123">
        <v>-1.7350731023467449</v>
      </c>
      <c r="IK123">
        <v>-2.677719669153116E-3</v>
      </c>
      <c r="IL123">
        <v>1.9353498771248068E-6</v>
      </c>
      <c r="IM123">
        <v>-6.1862177325538213E-10</v>
      </c>
      <c r="IN123">
        <v>-0.20393611127338829</v>
      </c>
      <c r="IO123">
        <v>-1.5299015507423901E-2</v>
      </c>
      <c r="IP123">
        <v>1.742162107778985E-3</v>
      </c>
      <c r="IQ123">
        <v>-1.472690239905804E-5</v>
      </c>
      <c r="IR123">
        <v>3</v>
      </c>
      <c r="IS123">
        <v>2255</v>
      </c>
      <c r="IT123">
        <v>2</v>
      </c>
      <c r="IU123">
        <v>41</v>
      </c>
      <c r="IV123">
        <v>2.2000000000000002</v>
      </c>
      <c r="IW123">
        <v>1.9</v>
      </c>
      <c r="IX123">
        <v>0.96679700000000002</v>
      </c>
      <c r="IY123">
        <v>2.52075</v>
      </c>
      <c r="IZ123">
        <v>1.5991200000000001</v>
      </c>
      <c r="JA123">
        <v>2.2631800000000002</v>
      </c>
      <c r="JB123">
        <v>1.5502899999999999</v>
      </c>
      <c r="JC123">
        <v>2.4365199999999998</v>
      </c>
      <c r="JD123">
        <v>39.018799999999999</v>
      </c>
      <c r="JE123">
        <v>15.699299999999999</v>
      </c>
      <c r="JF123">
        <v>18</v>
      </c>
      <c r="JG123">
        <v>506.38499999999999</v>
      </c>
      <c r="JH123">
        <v>494.46199999999999</v>
      </c>
      <c r="JI123">
        <v>27.588799999999999</v>
      </c>
      <c r="JJ123">
        <v>30.417200000000001</v>
      </c>
      <c r="JK123">
        <v>29.9998</v>
      </c>
      <c r="JL123">
        <v>30.383299999999998</v>
      </c>
      <c r="JM123">
        <v>30.353400000000001</v>
      </c>
      <c r="JN123">
        <v>19.3734</v>
      </c>
      <c r="JO123">
        <v>29.144400000000001</v>
      </c>
      <c r="JP123">
        <v>59.345399999999998</v>
      </c>
      <c r="JQ123">
        <v>27.589200000000002</v>
      </c>
      <c r="JR123">
        <v>400</v>
      </c>
      <c r="JS123">
        <v>21.667200000000001</v>
      </c>
      <c r="JT123">
        <v>99.391800000000003</v>
      </c>
      <c r="JU123">
        <v>98.787099999999995</v>
      </c>
    </row>
    <row r="124" spans="1:281" x14ac:dyDescent="0.25">
      <c r="A124">
        <v>108</v>
      </c>
      <c r="B124">
        <v>1693520279.5</v>
      </c>
      <c r="C124">
        <v>26299.900000095371</v>
      </c>
      <c r="D124" t="s">
        <v>963</v>
      </c>
      <c r="E124" t="s">
        <v>964</v>
      </c>
      <c r="F124" t="s">
        <v>413</v>
      </c>
      <c r="G124" t="s">
        <v>778</v>
      </c>
      <c r="H124" t="s">
        <v>416</v>
      </c>
      <c r="I124" t="s">
        <v>415</v>
      </c>
      <c r="J124">
        <v>1693520279.5</v>
      </c>
      <c r="K124">
        <f t="shared" si="138"/>
        <v>5.7547040709756579E-3</v>
      </c>
      <c r="L124">
        <f t="shared" si="139"/>
        <v>5.7547040709756576</v>
      </c>
      <c r="M124">
        <f t="shared" si="140"/>
        <v>46.391360318760114</v>
      </c>
      <c r="N124">
        <f t="shared" si="141"/>
        <v>441.23899999999998</v>
      </c>
      <c r="O124">
        <f t="shared" si="142"/>
        <v>246.89001331210892</v>
      </c>
      <c r="P124">
        <f t="shared" si="143"/>
        <v>24.573048325453801</v>
      </c>
      <c r="Q124">
        <f t="shared" si="144"/>
        <v>43.916670118074499</v>
      </c>
      <c r="R124">
        <f t="shared" si="145"/>
        <v>0.42563737335355667</v>
      </c>
      <c r="S124">
        <f t="shared" si="146"/>
        <v>2.9256665709461802</v>
      </c>
      <c r="T124">
        <f t="shared" si="147"/>
        <v>0.39398701007792386</v>
      </c>
      <c r="U124">
        <f t="shared" si="148"/>
        <v>0.24888912754442333</v>
      </c>
      <c r="V124">
        <f t="shared" si="149"/>
        <v>344.3966006582823</v>
      </c>
      <c r="W124">
        <f t="shared" si="150"/>
        <v>31.022333947069356</v>
      </c>
      <c r="X124">
        <f t="shared" si="151"/>
        <v>30.0214</v>
      </c>
      <c r="Y124">
        <f t="shared" si="152"/>
        <v>4.2656895165969715</v>
      </c>
      <c r="Z124">
        <f t="shared" si="153"/>
        <v>65.365554787812727</v>
      </c>
      <c r="AA124">
        <f t="shared" si="154"/>
        <v>2.8639856917625002</v>
      </c>
      <c r="AB124">
        <f t="shared" si="155"/>
        <v>4.3814906812302992</v>
      </c>
      <c r="AC124">
        <f t="shared" si="156"/>
        <v>1.4017038248344713</v>
      </c>
      <c r="AD124">
        <f t="shared" si="157"/>
        <v>-253.78244953002653</v>
      </c>
      <c r="AE124">
        <f t="shared" si="158"/>
        <v>73.690772099956035</v>
      </c>
      <c r="AF124">
        <f t="shared" si="159"/>
        <v>5.6146624700342507</v>
      </c>
      <c r="AG124">
        <f t="shared" si="160"/>
        <v>169.91958569824607</v>
      </c>
      <c r="AH124">
        <v>0</v>
      </c>
      <c r="AI124">
        <v>0</v>
      </c>
      <c r="AJ124">
        <f t="shared" si="161"/>
        <v>1</v>
      </c>
      <c r="AK124">
        <f t="shared" si="162"/>
        <v>0</v>
      </c>
      <c r="AL124">
        <f t="shared" si="163"/>
        <v>52146.208967841536</v>
      </c>
      <c r="AM124" t="s">
        <v>417</v>
      </c>
      <c r="AN124">
        <v>10238.9</v>
      </c>
      <c r="AO124">
        <v>302.21199999999999</v>
      </c>
      <c r="AP124">
        <v>4052.3</v>
      </c>
      <c r="AQ124">
        <f t="shared" si="164"/>
        <v>0.92542210596451402</v>
      </c>
      <c r="AR124">
        <v>-0.32343011824092421</v>
      </c>
      <c r="AS124" t="s">
        <v>965</v>
      </c>
      <c r="AT124">
        <v>10489.1</v>
      </c>
      <c r="AU124">
        <v>736.38976923076916</v>
      </c>
      <c r="AV124">
        <v>1099.690388838269</v>
      </c>
      <c r="AW124">
        <f t="shared" si="165"/>
        <v>0.33036627699483356</v>
      </c>
      <c r="AX124">
        <v>0.5</v>
      </c>
      <c r="AY124">
        <f t="shared" si="166"/>
        <v>1513.3026003291411</v>
      </c>
      <c r="AZ124">
        <f t="shared" si="167"/>
        <v>46.391360318760114</v>
      </c>
      <c r="BA124">
        <f t="shared" si="168"/>
        <v>249.97207301866948</v>
      </c>
      <c r="BB124">
        <f t="shared" si="169"/>
        <v>3.086943115464193E-2</v>
      </c>
      <c r="BC124">
        <f t="shared" si="170"/>
        <v>2.6849462731786868</v>
      </c>
      <c r="BD124">
        <f t="shared" si="171"/>
        <v>251.79347011596315</v>
      </c>
      <c r="BE124" t="s">
        <v>966</v>
      </c>
      <c r="BF124">
        <v>577.13</v>
      </c>
      <c r="BG124">
        <f t="shared" si="172"/>
        <v>577.13</v>
      </c>
      <c r="BH124">
        <f t="shared" si="173"/>
        <v>0.47518864777049685</v>
      </c>
      <c r="BI124">
        <f t="shared" si="174"/>
        <v>0.6952318380181326</v>
      </c>
      <c r="BJ124">
        <f t="shared" si="175"/>
        <v>0.84963026590403667</v>
      </c>
      <c r="BK124">
        <f t="shared" si="176"/>
        <v>0.45556171137971524</v>
      </c>
      <c r="BL124">
        <f t="shared" si="177"/>
        <v>0.78734408663522859</v>
      </c>
      <c r="BM124">
        <f t="shared" si="178"/>
        <v>0.54487333670392823</v>
      </c>
      <c r="BN124">
        <f t="shared" si="179"/>
        <v>0.45512666329607177</v>
      </c>
      <c r="BO124">
        <v>5902</v>
      </c>
      <c r="BP124">
        <v>290.00000000000011</v>
      </c>
      <c r="BQ124">
        <v>995.09</v>
      </c>
      <c r="BR124">
        <v>135</v>
      </c>
      <c r="BS124">
        <v>10489.1</v>
      </c>
      <c r="BT124">
        <v>994.52</v>
      </c>
      <c r="BU124">
        <v>0.56999999999999995</v>
      </c>
      <c r="BV124">
        <v>300.00000000000011</v>
      </c>
      <c r="BW124">
        <v>38.299999999999997</v>
      </c>
      <c r="BX124">
        <v>1099.690388838269</v>
      </c>
      <c r="BY124">
        <v>1.1160065028517481</v>
      </c>
      <c r="BZ124">
        <v>-110.3105350130032</v>
      </c>
      <c r="CA124">
        <v>0.95681663771307945</v>
      </c>
      <c r="CB124">
        <v>0.99789783130102838</v>
      </c>
      <c r="CC124">
        <v>-1.1370302558398229E-2</v>
      </c>
      <c r="CD124">
        <v>289.99999999999989</v>
      </c>
      <c r="CE124">
        <v>982.03</v>
      </c>
      <c r="CF124">
        <v>645</v>
      </c>
      <c r="CG124">
        <v>10448.799999999999</v>
      </c>
      <c r="CH124">
        <v>994.12</v>
      </c>
      <c r="CI124">
        <v>-12.09</v>
      </c>
      <c r="CW124">
        <f t="shared" si="180"/>
        <v>1800.14</v>
      </c>
      <c r="CX124">
        <f t="shared" si="181"/>
        <v>1513.3026003291411</v>
      </c>
      <c r="CY124">
        <f t="shared" si="182"/>
        <v>0.84065828231645379</v>
      </c>
      <c r="CZ124">
        <f t="shared" si="183"/>
        <v>0.19131656463290761</v>
      </c>
      <c r="DA124">
        <v>6</v>
      </c>
      <c r="DB124">
        <v>0.5</v>
      </c>
      <c r="DC124" t="s">
        <v>420</v>
      </c>
      <c r="DD124">
        <v>2</v>
      </c>
      <c r="DE124">
        <v>1693520279.5</v>
      </c>
      <c r="DF124">
        <v>441.23899999999998</v>
      </c>
      <c r="DG124">
        <v>499.97199999999998</v>
      </c>
      <c r="DH124">
        <v>28.774999999999999</v>
      </c>
      <c r="DI124">
        <v>22.066199999999998</v>
      </c>
      <c r="DJ124">
        <v>443.82900000000001</v>
      </c>
      <c r="DK124">
        <v>28.348800000000001</v>
      </c>
      <c r="DL124">
        <v>499.86099999999999</v>
      </c>
      <c r="DM124">
        <v>99.430800000000005</v>
      </c>
      <c r="DN124">
        <v>9.9545499999999995E-2</v>
      </c>
      <c r="DO124">
        <v>30.488600000000002</v>
      </c>
      <c r="DP124">
        <v>30.0214</v>
      </c>
      <c r="DQ124">
        <v>999.9</v>
      </c>
      <c r="DR124">
        <v>0</v>
      </c>
      <c r="DS124">
        <v>0</v>
      </c>
      <c r="DT124">
        <v>10035</v>
      </c>
      <c r="DU124">
        <v>0</v>
      </c>
      <c r="DV124">
        <v>1132.22</v>
      </c>
      <c r="DW124">
        <v>-58.732799999999997</v>
      </c>
      <c r="DX124">
        <v>454.31200000000001</v>
      </c>
      <c r="DY124">
        <v>511.25299999999999</v>
      </c>
      <c r="DZ124">
        <v>6.7088799999999997</v>
      </c>
      <c r="EA124">
        <v>499.97199999999998</v>
      </c>
      <c r="EB124">
        <v>22.066199999999998</v>
      </c>
      <c r="EC124">
        <v>2.8611200000000001</v>
      </c>
      <c r="ED124">
        <v>2.1940599999999999</v>
      </c>
      <c r="EE124">
        <v>23.241</v>
      </c>
      <c r="EF124">
        <v>18.919</v>
      </c>
      <c r="EG124">
        <v>1800.14</v>
      </c>
      <c r="EH124">
        <v>0.97799599999999998</v>
      </c>
      <c r="EI124">
        <v>2.2004300000000001E-2</v>
      </c>
      <c r="EJ124">
        <v>0</v>
      </c>
      <c r="EK124">
        <v>736.83500000000004</v>
      </c>
      <c r="EL124">
        <v>4.9995000000000003</v>
      </c>
      <c r="EM124">
        <v>13938.1</v>
      </c>
      <c r="EN124">
        <v>16661.099999999999</v>
      </c>
      <c r="EO124">
        <v>47.686999999999998</v>
      </c>
      <c r="EP124">
        <v>47.875</v>
      </c>
      <c r="EQ124">
        <v>48.375</v>
      </c>
      <c r="ER124">
        <v>47.875</v>
      </c>
      <c r="ES124">
        <v>49</v>
      </c>
      <c r="ET124">
        <v>1755.64</v>
      </c>
      <c r="EU124">
        <v>39.5</v>
      </c>
      <c r="EV124">
        <v>0</v>
      </c>
      <c r="EW124">
        <v>101.6000001430511</v>
      </c>
      <c r="EX124">
        <v>0</v>
      </c>
      <c r="EY124">
        <v>736.38976923076916</v>
      </c>
      <c r="EZ124">
        <v>3.0399316262748961</v>
      </c>
      <c r="FA124">
        <v>36.48547012935223</v>
      </c>
      <c r="FB124">
        <v>13933.04615384615</v>
      </c>
      <c r="FC124">
        <v>15</v>
      </c>
      <c r="FD124">
        <v>1693520251.5</v>
      </c>
      <c r="FE124" t="s">
        <v>967</v>
      </c>
      <c r="FF124">
        <v>1693520242</v>
      </c>
      <c r="FG124">
        <v>1693520251.5</v>
      </c>
      <c r="FH124">
        <v>121</v>
      </c>
      <c r="FI124">
        <v>6.0000000000000001E-3</v>
      </c>
      <c r="FJ124">
        <v>-1E-3</v>
      </c>
      <c r="FK124">
        <v>-2.665</v>
      </c>
      <c r="FL124">
        <v>0.127</v>
      </c>
      <c r="FM124">
        <v>500</v>
      </c>
      <c r="FN124">
        <v>22</v>
      </c>
      <c r="FO124">
        <v>0.11</v>
      </c>
      <c r="FP124">
        <v>0.04</v>
      </c>
      <c r="FQ124">
        <v>46.481689481948429</v>
      </c>
      <c r="FR124">
        <v>-0.33885301392511818</v>
      </c>
      <c r="FS124">
        <v>9.8303403000375281E-2</v>
      </c>
      <c r="FT124">
        <v>1</v>
      </c>
      <c r="FU124">
        <v>0.43084264067102562</v>
      </c>
      <c r="FV124">
        <v>5.7930811302240653E-3</v>
      </c>
      <c r="FW124">
        <v>5.2359591293190131E-3</v>
      </c>
      <c r="FX124">
        <v>1</v>
      </c>
      <c r="FY124">
        <v>2</v>
      </c>
      <c r="FZ124">
        <v>2</v>
      </c>
      <c r="GA124" t="s">
        <v>422</v>
      </c>
      <c r="GB124">
        <v>2.9706100000000002</v>
      </c>
      <c r="GC124">
        <v>2.81155</v>
      </c>
      <c r="GD124">
        <v>0.105355</v>
      </c>
      <c r="GE124">
        <v>0.113854</v>
      </c>
      <c r="GF124">
        <v>0.135798</v>
      </c>
      <c r="GG124">
        <v>0.11236699999999999</v>
      </c>
      <c r="GH124">
        <v>26504.2</v>
      </c>
      <c r="GI124">
        <v>24155.599999999999</v>
      </c>
      <c r="GJ124">
        <v>26623</v>
      </c>
      <c r="GK124">
        <v>25712.9</v>
      </c>
      <c r="GL124">
        <v>31285</v>
      </c>
      <c r="GM124">
        <v>32132.7</v>
      </c>
      <c r="GN124">
        <v>37688.9</v>
      </c>
      <c r="GO124">
        <v>38021.4</v>
      </c>
      <c r="GP124">
        <v>1.9833000000000001</v>
      </c>
      <c r="GQ124">
        <v>2.0163000000000002</v>
      </c>
      <c r="GR124">
        <v>8.7618799999999997E-2</v>
      </c>
      <c r="GS124">
        <v>0</v>
      </c>
      <c r="GT124">
        <v>28.593900000000001</v>
      </c>
      <c r="GU124">
        <v>999.9</v>
      </c>
      <c r="GV124">
        <v>42.1</v>
      </c>
      <c r="GW124">
        <v>36.6</v>
      </c>
      <c r="GX124">
        <v>26.118300000000001</v>
      </c>
      <c r="GY124">
        <v>61.2363</v>
      </c>
      <c r="GZ124">
        <v>13.0769</v>
      </c>
      <c r="HA124">
        <v>1</v>
      </c>
      <c r="HB124">
        <v>0.216585</v>
      </c>
      <c r="HC124">
        <v>1.40333</v>
      </c>
      <c r="HD124">
        <v>20.300899999999999</v>
      </c>
      <c r="HE124">
        <v>5.2095000000000002</v>
      </c>
      <c r="HF124">
        <v>11.9321</v>
      </c>
      <c r="HG124">
        <v>4.9880000000000004</v>
      </c>
      <c r="HH124">
        <v>3.2909999999999999</v>
      </c>
      <c r="HI124">
        <v>9999</v>
      </c>
      <c r="HJ124">
        <v>9999</v>
      </c>
      <c r="HK124">
        <v>9999</v>
      </c>
      <c r="HL124">
        <v>999.9</v>
      </c>
      <c r="HM124">
        <v>1.86999</v>
      </c>
      <c r="HN124">
        <v>1.87622</v>
      </c>
      <c r="HO124">
        <v>1.87408</v>
      </c>
      <c r="HP124">
        <v>1.8722700000000001</v>
      </c>
      <c r="HQ124">
        <v>1.8727100000000001</v>
      </c>
      <c r="HR124">
        <v>1.8701399999999999</v>
      </c>
      <c r="HS124">
        <v>1.8760699999999999</v>
      </c>
      <c r="HT124">
        <v>1.8751500000000001</v>
      </c>
      <c r="HU124">
        <v>5</v>
      </c>
      <c r="HV124">
        <v>0</v>
      </c>
      <c r="HW124">
        <v>0</v>
      </c>
      <c r="HX124">
        <v>0</v>
      </c>
      <c r="HY124" t="s">
        <v>423</v>
      </c>
      <c r="HZ124" t="s">
        <v>424</v>
      </c>
      <c r="IA124" t="s">
        <v>425</v>
      </c>
      <c r="IB124" t="s">
        <v>425</v>
      </c>
      <c r="IC124" t="s">
        <v>425</v>
      </c>
      <c r="ID124" t="s">
        <v>425</v>
      </c>
      <c r="IE124">
        <v>0</v>
      </c>
      <c r="IF124">
        <v>100</v>
      </c>
      <c r="IG124">
        <v>100</v>
      </c>
      <c r="IH124">
        <v>-2.59</v>
      </c>
      <c r="II124">
        <v>0.42620000000000002</v>
      </c>
      <c r="IJ124">
        <v>-1.729213540267043</v>
      </c>
      <c r="IK124">
        <v>-2.677719669153116E-3</v>
      </c>
      <c r="IL124">
        <v>1.9353498771248068E-6</v>
      </c>
      <c r="IM124">
        <v>-6.1862177325538213E-10</v>
      </c>
      <c r="IN124">
        <v>-0.20465077737302251</v>
      </c>
      <c r="IO124">
        <v>-1.5299015507423901E-2</v>
      </c>
      <c r="IP124">
        <v>1.742162107778985E-3</v>
      </c>
      <c r="IQ124">
        <v>-1.472690239905804E-5</v>
      </c>
      <c r="IR124">
        <v>3</v>
      </c>
      <c r="IS124">
        <v>2255</v>
      </c>
      <c r="IT124">
        <v>2</v>
      </c>
      <c r="IU124">
        <v>41</v>
      </c>
      <c r="IV124">
        <v>0.6</v>
      </c>
      <c r="IW124">
        <v>0.5</v>
      </c>
      <c r="IX124">
        <v>1.1535599999999999</v>
      </c>
      <c r="IY124">
        <v>2.50854</v>
      </c>
      <c r="IZ124">
        <v>1.5991200000000001</v>
      </c>
      <c r="JA124">
        <v>2.2631800000000002</v>
      </c>
      <c r="JB124">
        <v>1.5502899999999999</v>
      </c>
      <c r="JC124">
        <v>2.4072300000000002</v>
      </c>
      <c r="JD124">
        <v>38.919800000000002</v>
      </c>
      <c r="JE124">
        <v>15.6731</v>
      </c>
      <c r="JF124">
        <v>18</v>
      </c>
      <c r="JG124">
        <v>505.56599999999997</v>
      </c>
      <c r="JH124">
        <v>495.625</v>
      </c>
      <c r="JI124">
        <v>27.411799999999999</v>
      </c>
      <c r="JJ124">
        <v>30.353999999999999</v>
      </c>
      <c r="JK124">
        <v>30</v>
      </c>
      <c r="JL124">
        <v>30.3308</v>
      </c>
      <c r="JM124">
        <v>30.2973</v>
      </c>
      <c r="JN124">
        <v>23.129899999999999</v>
      </c>
      <c r="JO124">
        <v>27.0947</v>
      </c>
      <c r="JP124">
        <v>59.895200000000003</v>
      </c>
      <c r="JQ124">
        <v>27.3933</v>
      </c>
      <c r="JR124">
        <v>500</v>
      </c>
      <c r="JS124">
        <v>22.0137</v>
      </c>
      <c r="JT124">
        <v>99.4</v>
      </c>
      <c r="JU124">
        <v>98.790199999999999</v>
      </c>
    </row>
    <row r="125" spans="1:281" x14ac:dyDescent="0.25">
      <c r="A125">
        <v>109</v>
      </c>
      <c r="B125">
        <v>1693520383</v>
      </c>
      <c r="C125">
        <v>26403.400000095371</v>
      </c>
      <c r="D125" t="s">
        <v>968</v>
      </c>
      <c r="E125" t="s">
        <v>969</v>
      </c>
      <c r="F125" t="s">
        <v>413</v>
      </c>
      <c r="G125" t="s">
        <v>778</v>
      </c>
      <c r="H125" t="s">
        <v>416</v>
      </c>
      <c r="I125" t="s">
        <v>415</v>
      </c>
      <c r="J125">
        <v>1693520383</v>
      </c>
      <c r="K125">
        <f t="shared" si="138"/>
        <v>5.4457358737911282E-3</v>
      </c>
      <c r="L125">
        <f t="shared" si="139"/>
        <v>5.4457358737911283</v>
      </c>
      <c r="M125">
        <f t="shared" si="140"/>
        <v>46.789306690254705</v>
      </c>
      <c r="N125">
        <f t="shared" si="141"/>
        <v>639.62699999999995</v>
      </c>
      <c r="O125">
        <f t="shared" si="142"/>
        <v>426.26201418097941</v>
      </c>
      <c r="P125">
        <f t="shared" si="143"/>
        <v>42.425768330147882</v>
      </c>
      <c r="Q125">
        <f t="shared" si="144"/>
        <v>63.661940348702991</v>
      </c>
      <c r="R125">
        <f t="shared" si="145"/>
        <v>0.39658467830170341</v>
      </c>
      <c r="S125">
        <f t="shared" si="146"/>
        <v>2.9204012603772345</v>
      </c>
      <c r="T125">
        <f t="shared" si="147"/>
        <v>0.36891120275286221</v>
      </c>
      <c r="U125">
        <f t="shared" si="148"/>
        <v>0.23289473444066613</v>
      </c>
      <c r="V125">
        <f t="shared" si="149"/>
        <v>344.40040065827503</v>
      </c>
      <c r="W125">
        <f t="shared" si="150"/>
        <v>30.995388140418601</v>
      </c>
      <c r="X125">
        <f t="shared" si="151"/>
        <v>30.012799999999999</v>
      </c>
      <c r="Y125">
        <f t="shared" si="152"/>
        <v>4.2635831504430985</v>
      </c>
      <c r="Z125">
        <f t="shared" si="153"/>
        <v>65.378389228294367</v>
      </c>
      <c r="AA125">
        <f t="shared" si="154"/>
        <v>2.8468406017880996</v>
      </c>
      <c r="AB125">
        <f t="shared" si="155"/>
        <v>4.3544061507040741</v>
      </c>
      <c r="AC125">
        <f t="shared" si="156"/>
        <v>1.4167425486549989</v>
      </c>
      <c r="AD125">
        <f t="shared" si="157"/>
        <v>-240.15695203418875</v>
      </c>
      <c r="AE125">
        <f t="shared" si="158"/>
        <v>57.860917235425582</v>
      </c>
      <c r="AF125">
        <f t="shared" si="159"/>
        <v>4.4139450258694186</v>
      </c>
      <c r="AG125">
        <f t="shared" si="160"/>
        <v>166.51831088538125</v>
      </c>
      <c r="AH125">
        <v>0</v>
      </c>
      <c r="AI125">
        <v>0</v>
      </c>
      <c r="AJ125">
        <f t="shared" si="161"/>
        <v>1</v>
      </c>
      <c r="AK125">
        <f t="shared" si="162"/>
        <v>0</v>
      </c>
      <c r="AL125">
        <f t="shared" si="163"/>
        <v>52014.739662257569</v>
      </c>
      <c r="AM125" t="s">
        <v>417</v>
      </c>
      <c r="AN125">
        <v>10238.9</v>
      </c>
      <c r="AO125">
        <v>302.21199999999999</v>
      </c>
      <c r="AP125">
        <v>4052.3</v>
      </c>
      <c r="AQ125">
        <f t="shared" si="164"/>
        <v>0.92542210596451402</v>
      </c>
      <c r="AR125">
        <v>-0.32343011824092421</v>
      </c>
      <c r="AS125" t="s">
        <v>970</v>
      </c>
      <c r="AT125">
        <v>10471.200000000001</v>
      </c>
      <c r="AU125">
        <v>739.45087999999998</v>
      </c>
      <c r="AV125">
        <v>1111.899013555417</v>
      </c>
      <c r="AW125">
        <f t="shared" si="165"/>
        <v>0.33496579187031916</v>
      </c>
      <c r="AX125">
        <v>0.5</v>
      </c>
      <c r="AY125">
        <f t="shared" si="166"/>
        <v>1513.3194003291376</v>
      </c>
      <c r="AZ125">
        <f t="shared" si="167"/>
        <v>46.789306690254705</v>
      </c>
      <c r="BA125">
        <f t="shared" si="168"/>
        <v>253.45511564198304</v>
      </c>
      <c r="BB125">
        <f t="shared" si="169"/>
        <v>3.1132051038431741E-2</v>
      </c>
      <c r="BC125">
        <f t="shared" si="170"/>
        <v>2.6444856507627739</v>
      </c>
      <c r="BD125">
        <f t="shared" si="171"/>
        <v>252.42808917778785</v>
      </c>
      <c r="BE125" t="s">
        <v>971</v>
      </c>
      <c r="BF125">
        <v>577.33000000000004</v>
      </c>
      <c r="BG125">
        <f t="shared" si="172"/>
        <v>577.33000000000004</v>
      </c>
      <c r="BH125">
        <f t="shared" si="173"/>
        <v>0.48077119148264635</v>
      </c>
      <c r="BI125">
        <f t="shared" si="174"/>
        <v>0.69672600564380938</v>
      </c>
      <c r="BJ125">
        <f t="shared" si="175"/>
        <v>0.8461658622792666</v>
      </c>
      <c r="BK125">
        <f t="shared" si="176"/>
        <v>0.45999025218393941</v>
      </c>
      <c r="BL125">
        <f t="shared" si="177"/>
        <v>0.78408852977439014</v>
      </c>
      <c r="BM125">
        <f t="shared" si="178"/>
        <v>0.54397233909349119</v>
      </c>
      <c r="BN125">
        <f t="shared" si="179"/>
        <v>0.45602766090650881</v>
      </c>
      <c r="BO125">
        <v>5904</v>
      </c>
      <c r="BP125">
        <v>290.00000000000011</v>
      </c>
      <c r="BQ125">
        <v>1006.14</v>
      </c>
      <c r="BR125">
        <v>225</v>
      </c>
      <c r="BS125">
        <v>10471.200000000001</v>
      </c>
      <c r="BT125">
        <v>1004.62</v>
      </c>
      <c r="BU125">
        <v>1.52</v>
      </c>
      <c r="BV125">
        <v>300.00000000000011</v>
      </c>
      <c r="BW125">
        <v>38.299999999999997</v>
      </c>
      <c r="BX125">
        <v>1111.899013555417</v>
      </c>
      <c r="BY125">
        <v>1.5203610339218461</v>
      </c>
      <c r="BZ125">
        <v>-112.33345231784121</v>
      </c>
      <c r="CA125">
        <v>1.3035433441177251</v>
      </c>
      <c r="CB125">
        <v>0.99624373369347163</v>
      </c>
      <c r="CC125">
        <v>-1.1370874304783099E-2</v>
      </c>
      <c r="CD125">
        <v>289.99999999999989</v>
      </c>
      <c r="CE125">
        <v>993.1</v>
      </c>
      <c r="CF125">
        <v>635</v>
      </c>
      <c r="CG125">
        <v>10450.299999999999</v>
      </c>
      <c r="CH125">
        <v>1004.41</v>
      </c>
      <c r="CI125">
        <v>-11.31</v>
      </c>
      <c r="CW125">
        <f t="shared" si="180"/>
        <v>1800.16</v>
      </c>
      <c r="CX125">
        <f t="shared" si="181"/>
        <v>1513.3194003291376</v>
      </c>
      <c r="CY125">
        <f t="shared" si="182"/>
        <v>0.84065827500285395</v>
      </c>
      <c r="CZ125">
        <f t="shared" si="183"/>
        <v>0.19131655000570782</v>
      </c>
      <c r="DA125">
        <v>6</v>
      </c>
      <c r="DB125">
        <v>0.5</v>
      </c>
      <c r="DC125" t="s">
        <v>420</v>
      </c>
      <c r="DD125">
        <v>2</v>
      </c>
      <c r="DE125">
        <v>1693520383</v>
      </c>
      <c r="DF125">
        <v>639.62699999999995</v>
      </c>
      <c r="DG125">
        <v>699.88499999999999</v>
      </c>
      <c r="DH125">
        <v>28.602900000000002</v>
      </c>
      <c r="DI125">
        <v>22.2622</v>
      </c>
      <c r="DJ125">
        <v>642.41399999999999</v>
      </c>
      <c r="DK125">
        <v>28.1877</v>
      </c>
      <c r="DL125">
        <v>500.57299999999998</v>
      </c>
      <c r="DM125">
        <v>99.429699999999997</v>
      </c>
      <c r="DN125">
        <v>0.100089</v>
      </c>
      <c r="DO125">
        <v>30.380299999999998</v>
      </c>
      <c r="DP125">
        <v>30.012799999999999</v>
      </c>
      <c r="DQ125">
        <v>999.9</v>
      </c>
      <c r="DR125">
        <v>0</v>
      </c>
      <c r="DS125">
        <v>0</v>
      </c>
      <c r="DT125">
        <v>10005</v>
      </c>
      <c r="DU125">
        <v>0</v>
      </c>
      <c r="DV125">
        <v>1123.45</v>
      </c>
      <c r="DW125">
        <v>-60.2575</v>
      </c>
      <c r="DX125">
        <v>658.46100000000001</v>
      </c>
      <c r="DY125">
        <v>715.82</v>
      </c>
      <c r="DZ125">
        <v>6.3407099999999996</v>
      </c>
      <c r="EA125">
        <v>699.88499999999999</v>
      </c>
      <c r="EB125">
        <v>22.2622</v>
      </c>
      <c r="EC125">
        <v>2.8439800000000002</v>
      </c>
      <c r="ED125">
        <v>2.21353</v>
      </c>
      <c r="EE125">
        <v>23.1416</v>
      </c>
      <c r="EF125">
        <v>19.060500000000001</v>
      </c>
      <c r="EG125">
        <v>1800.16</v>
      </c>
      <c r="EH125">
        <v>0.97799599999999998</v>
      </c>
      <c r="EI125">
        <v>2.20044E-2</v>
      </c>
      <c r="EJ125">
        <v>0</v>
      </c>
      <c r="EK125">
        <v>739.13199999999995</v>
      </c>
      <c r="EL125">
        <v>4.9995000000000003</v>
      </c>
      <c r="EM125">
        <v>13947.4</v>
      </c>
      <c r="EN125">
        <v>16661.3</v>
      </c>
      <c r="EO125">
        <v>47.625</v>
      </c>
      <c r="EP125">
        <v>47.811999999999998</v>
      </c>
      <c r="EQ125">
        <v>48.311999999999998</v>
      </c>
      <c r="ER125">
        <v>47.75</v>
      </c>
      <c r="ES125">
        <v>49</v>
      </c>
      <c r="ET125">
        <v>1755.66</v>
      </c>
      <c r="EU125">
        <v>39.5</v>
      </c>
      <c r="EV125">
        <v>0</v>
      </c>
      <c r="EW125">
        <v>101.5999999046326</v>
      </c>
      <c r="EX125">
        <v>0</v>
      </c>
      <c r="EY125">
        <v>739.45087999999998</v>
      </c>
      <c r="EZ125">
        <v>-1.789307692300234</v>
      </c>
      <c r="FA125">
        <v>-51.0076925412246</v>
      </c>
      <c r="FB125">
        <v>13950.531999999999</v>
      </c>
      <c r="FC125">
        <v>15</v>
      </c>
      <c r="FD125">
        <v>1693520354</v>
      </c>
      <c r="FE125" t="s">
        <v>972</v>
      </c>
      <c r="FF125">
        <v>1693520350.5</v>
      </c>
      <c r="FG125">
        <v>1693520354</v>
      </c>
      <c r="FH125">
        <v>122</v>
      </c>
      <c r="FI125">
        <v>2.8000000000000001E-2</v>
      </c>
      <c r="FJ125">
        <v>-3.0000000000000001E-3</v>
      </c>
      <c r="FK125">
        <v>-2.8420000000000001</v>
      </c>
      <c r="FL125">
        <v>0.13200000000000001</v>
      </c>
      <c r="FM125">
        <v>700</v>
      </c>
      <c r="FN125">
        <v>22</v>
      </c>
      <c r="FO125">
        <v>0.13</v>
      </c>
      <c r="FP125">
        <v>0.04</v>
      </c>
      <c r="FQ125">
        <v>46.872071611419209</v>
      </c>
      <c r="FR125">
        <v>-0.55557656234457375</v>
      </c>
      <c r="FS125">
        <v>9.3717999749471703E-2</v>
      </c>
      <c r="FT125">
        <v>1</v>
      </c>
      <c r="FU125">
        <v>0.40270108969823692</v>
      </c>
      <c r="FV125">
        <v>-8.909042579485698E-3</v>
      </c>
      <c r="FW125">
        <v>3.0597682870498709E-3</v>
      </c>
      <c r="FX125">
        <v>1</v>
      </c>
      <c r="FY125">
        <v>2</v>
      </c>
      <c r="FZ125">
        <v>2</v>
      </c>
      <c r="GA125" t="s">
        <v>422</v>
      </c>
      <c r="GB125">
        <v>2.9725600000000001</v>
      </c>
      <c r="GC125">
        <v>2.8118300000000001</v>
      </c>
      <c r="GD125">
        <v>0.13783200000000001</v>
      </c>
      <c r="GE125">
        <v>0.144646</v>
      </c>
      <c r="GF125">
        <v>0.13527700000000001</v>
      </c>
      <c r="GG125">
        <v>0.113084</v>
      </c>
      <c r="GH125">
        <v>25545.5</v>
      </c>
      <c r="GI125">
        <v>23319</v>
      </c>
      <c r="GJ125">
        <v>26626.7</v>
      </c>
      <c r="GK125">
        <v>25716.1</v>
      </c>
      <c r="GL125">
        <v>31309.9</v>
      </c>
      <c r="GM125">
        <v>32113.1</v>
      </c>
      <c r="GN125">
        <v>37693.5</v>
      </c>
      <c r="GO125">
        <v>38026.300000000003</v>
      </c>
      <c r="GP125">
        <v>1.9846999999999999</v>
      </c>
      <c r="GQ125">
        <v>2.0194999999999999</v>
      </c>
      <c r="GR125">
        <v>8.8810899999999998E-2</v>
      </c>
      <c r="GS125">
        <v>0</v>
      </c>
      <c r="GT125">
        <v>28.565799999999999</v>
      </c>
      <c r="GU125">
        <v>999.9</v>
      </c>
      <c r="GV125">
        <v>42.3</v>
      </c>
      <c r="GW125">
        <v>36.5</v>
      </c>
      <c r="GX125">
        <v>26.1</v>
      </c>
      <c r="GY125">
        <v>61.3063</v>
      </c>
      <c r="GZ125">
        <v>12.820499999999999</v>
      </c>
      <c r="HA125">
        <v>1</v>
      </c>
      <c r="HB125">
        <v>0.21148400000000001</v>
      </c>
      <c r="HC125">
        <v>1.5045200000000001</v>
      </c>
      <c r="HD125">
        <v>20.3</v>
      </c>
      <c r="HE125">
        <v>5.2095000000000002</v>
      </c>
      <c r="HF125">
        <v>11.9321</v>
      </c>
      <c r="HG125">
        <v>4.9875999999999996</v>
      </c>
      <c r="HH125">
        <v>3.2909999999999999</v>
      </c>
      <c r="HI125">
        <v>9999</v>
      </c>
      <c r="HJ125">
        <v>9999</v>
      </c>
      <c r="HK125">
        <v>9999</v>
      </c>
      <c r="HL125">
        <v>999.9</v>
      </c>
      <c r="HM125">
        <v>1.86999</v>
      </c>
      <c r="HN125">
        <v>1.87622</v>
      </c>
      <c r="HO125">
        <v>1.8740699999999999</v>
      </c>
      <c r="HP125">
        <v>1.87225</v>
      </c>
      <c r="HQ125">
        <v>1.8727100000000001</v>
      </c>
      <c r="HR125">
        <v>1.87015</v>
      </c>
      <c r="HS125">
        <v>1.8760600000000001</v>
      </c>
      <c r="HT125">
        <v>1.8751500000000001</v>
      </c>
      <c r="HU125">
        <v>5</v>
      </c>
      <c r="HV125">
        <v>0</v>
      </c>
      <c r="HW125">
        <v>0</v>
      </c>
      <c r="HX125">
        <v>0</v>
      </c>
      <c r="HY125" t="s">
        <v>423</v>
      </c>
      <c r="HZ125" t="s">
        <v>424</v>
      </c>
      <c r="IA125" t="s">
        <v>425</v>
      </c>
      <c r="IB125" t="s">
        <v>425</v>
      </c>
      <c r="IC125" t="s">
        <v>425</v>
      </c>
      <c r="ID125" t="s">
        <v>425</v>
      </c>
      <c r="IE125">
        <v>0</v>
      </c>
      <c r="IF125">
        <v>100</v>
      </c>
      <c r="IG125">
        <v>100</v>
      </c>
      <c r="IH125">
        <v>-2.7869999999999999</v>
      </c>
      <c r="II125">
        <v>0.41520000000000001</v>
      </c>
      <c r="IJ125">
        <v>-1.7014323524559261</v>
      </c>
      <c r="IK125">
        <v>-2.677719669153116E-3</v>
      </c>
      <c r="IL125">
        <v>1.9353498771248068E-6</v>
      </c>
      <c r="IM125">
        <v>-6.1862177325538213E-10</v>
      </c>
      <c r="IN125">
        <v>-0.20796395864935921</v>
      </c>
      <c r="IO125">
        <v>-1.5299015507423901E-2</v>
      </c>
      <c r="IP125">
        <v>1.742162107778985E-3</v>
      </c>
      <c r="IQ125">
        <v>-1.472690239905804E-5</v>
      </c>
      <c r="IR125">
        <v>3</v>
      </c>
      <c r="IS125">
        <v>2255</v>
      </c>
      <c r="IT125">
        <v>2</v>
      </c>
      <c r="IU125">
        <v>41</v>
      </c>
      <c r="IV125">
        <v>0.5</v>
      </c>
      <c r="IW125">
        <v>0.5</v>
      </c>
      <c r="IX125">
        <v>1.5148900000000001</v>
      </c>
      <c r="IY125">
        <v>2.5122100000000001</v>
      </c>
      <c r="IZ125">
        <v>1.6003400000000001</v>
      </c>
      <c r="JA125">
        <v>2.2631800000000002</v>
      </c>
      <c r="JB125">
        <v>1.5502899999999999</v>
      </c>
      <c r="JC125">
        <v>2.3290999999999999</v>
      </c>
      <c r="JD125">
        <v>38.845700000000001</v>
      </c>
      <c r="JE125">
        <v>15.646800000000001</v>
      </c>
      <c r="JF125">
        <v>18</v>
      </c>
      <c r="JG125">
        <v>505.94099999999997</v>
      </c>
      <c r="JH125">
        <v>497.2</v>
      </c>
      <c r="JI125">
        <v>26.922999999999998</v>
      </c>
      <c r="JJ125">
        <v>30.293600000000001</v>
      </c>
      <c r="JK125">
        <v>29.9998</v>
      </c>
      <c r="JL125">
        <v>30.267900000000001</v>
      </c>
      <c r="JM125">
        <v>30.2361</v>
      </c>
      <c r="JN125">
        <v>30.327400000000001</v>
      </c>
      <c r="JO125">
        <v>26.947299999999998</v>
      </c>
      <c r="JP125">
        <v>60.716200000000001</v>
      </c>
      <c r="JQ125">
        <v>26.933399999999999</v>
      </c>
      <c r="JR125">
        <v>700</v>
      </c>
      <c r="JS125">
        <v>22.238600000000002</v>
      </c>
      <c r="JT125">
        <v>99.412999999999997</v>
      </c>
      <c r="JU125">
        <v>98.802800000000005</v>
      </c>
    </row>
    <row r="126" spans="1:281" x14ac:dyDescent="0.25">
      <c r="A126">
        <v>110</v>
      </c>
      <c r="B126">
        <v>1693520486</v>
      </c>
      <c r="C126">
        <v>26506.400000095371</v>
      </c>
      <c r="D126" t="s">
        <v>973</v>
      </c>
      <c r="E126" t="s">
        <v>974</v>
      </c>
      <c r="F126" t="s">
        <v>413</v>
      </c>
      <c r="G126" t="s">
        <v>778</v>
      </c>
      <c r="H126" t="s">
        <v>416</v>
      </c>
      <c r="I126" t="s">
        <v>415</v>
      </c>
      <c r="J126">
        <v>1693520486</v>
      </c>
      <c r="K126">
        <f t="shared" si="138"/>
        <v>5.1367978096408936E-3</v>
      </c>
      <c r="L126">
        <f t="shared" si="139"/>
        <v>5.1367978096408935</v>
      </c>
      <c r="M126">
        <f t="shared" si="140"/>
        <v>46.549972417601637</v>
      </c>
      <c r="N126">
        <f t="shared" si="141"/>
        <v>838.95</v>
      </c>
      <c r="O126">
        <f t="shared" si="142"/>
        <v>605.35347884068335</v>
      </c>
      <c r="P126">
        <f t="shared" si="143"/>
        <v>60.248791707789515</v>
      </c>
      <c r="Q126">
        <f t="shared" si="144"/>
        <v>83.497866238500009</v>
      </c>
      <c r="R126">
        <f t="shared" si="145"/>
        <v>0.3646005080939051</v>
      </c>
      <c r="S126">
        <f t="shared" si="146"/>
        <v>2.9203431358120122</v>
      </c>
      <c r="T126">
        <f t="shared" si="147"/>
        <v>0.34106827977891768</v>
      </c>
      <c r="U126">
        <f t="shared" si="148"/>
        <v>0.21515525848352246</v>
      </c>
      <c r="V126">
        <f t="shared" si="149"/>
        <v>344.35100065837014</v>
      </c>
      <c r="W126">
        <f t="shared" si="150"/>
        <v>30.962554011912683</v>
      </c>
      <c r="X126">
        <f t="shared" si="151"/>
        <v>30.038799999999998</v>
      </c>
      <c r="Y126">
        <f t="shared" si="152"/>
        <v>4.269954007979222</v>
      </c>
      <c r="Z126">
        <f t="shared" si="153"/>
        <v>65.284776171420177</v>
      </c>
      <c r="AA126">
        <f t="shared" si="154"/>
        <v>2.824416469455</v>
      </c>
      <c r="AB126">
        <f t="shared" si="155"/>
        <v>4.3263018349620221</v>
      </c>
      <c r="AC126">
        <f t="shared" si="156"/>
        <v>1.445537538524222</v>
      </c>
      <c r="AD126">
        <f t="shared" si="157"/>
        <v>-226.5327834051634</v>
      </c>
      <c r="AE126">
        <f t="shared" si="158"/>
        <v>35.97539169300957</v>
      </c>
      <c r="AF126">
        <f t="shared" si="159"/>
        <v>2.7432711945816739</v>
      </c>
      <c r="AG126">
        <f t="shared" si="160"/>
        <v>156.53688014079796</v>
      </c>
      <c r="AH126">
        <v>0</v>
      </c>
      <c r="AI126">
        <v>0</v>
      </c>
      <c r="AJ126">
        <f t="shared" si="161"/>
        <v>1</v>
      </c>
      <c r="AK126">
        <f t="shared" si="162"/>
        <v>0</v>
      </c>
      <c r="AL126">
        <f t="shared" si="163"/>
        <v>52032.393825958497</v>
      </c>
      <c r="AM126" t="s">
        <v>417</v>
      </c>
      <c r="AN126">
        <v>10238.9</v>
      </c>
      <c r="AO126">
        <v>302.21199999999999</v>
      </c>
      <c r="AP126">
        <v>4052.3</v>
      </c>
      <c r="AQ126">
        <f t="shared" si="164"/>
        <v>0.92542210596451402</v>
      </c>
      <c r="AR126">
        <v>-0.32343011824092421</v>
      </c>
      <c r="AS126" t="s">
        <v>975</v>
      </c>
      <c r="AT126">
        <v>10469.6</v>
      </c>
      <c r="AU126">
        <v>738.55516</v>
      </c>
      <c r="AV126">
        <v>1113.030815216056</v>
      </c>
      <c r="AW126">
        <f t="shared" si="165"/>
        <v>0.33644679922304277</v>
      </c>
      <c r="AX126">
        <v>0.5</v>
      </c>
      <c r="AY126">
        <f t="shared" si="166"/>
        <v>1513.1010003291851</v>
      </c>
      <c r="AZ126">
        <f t="shared" si="167"/>
        <v>46.549972417601637</v>
      </c>
      <c r="BA126">
        <f t="shared" si="168"/>
        <v>254.53899423096925</v>
      </c>
      <c r="BB126">
        <f t="shared" si="169"/>
        <v>3.0978369934092264E-2</v>
      </c>
      <c r="BC126">
        <f t="shared" si="170"/>
        <v>2.6407797022343789</v>
      </c>
      <c r="BD126">
        <f t="shared" si="171"/>
        <v>252.48637640861853</v>
      </c>
      <c r="BE126" t="s">
        <v>976</v>
      </c>
      <c r="BF126">
        <v>576.76</v>
      </c>
      <c r="BG126">
        <f t="shared" si="172"/>
        <v>576.76</v>
      </c>
      <c r="BH126">
        <f t="shared" si="173"/>
        <v>0.48181129209073859</v>
      </c>
      <c r="BI126">
        <f t="shared" si="174"/>
        <v>0.69829579494305505</v>
      </c>
      <c r="BJ126">
        <f t="shared" si="175"/>
        <v>0.84570144057727559</v>
      </c>
      <c r="BK126">
        <f t="shared" si="176"/>
        <v>0.4618487486828618</v>
      </c>
      <c r="BL126">
        <f t="shared" si="177"/>
        <v>0.78378672308061681</v>
      </c>
      <c r="BM126">
        <f t="shared" si="178"/>
        <v>0.54532024756465913</v>
      </c>
      <c r="BN126">
        <f t="shared" si="179"/>
        <v>0.45467975243534087</v>
      </c>
      <c r="BO126">
        <v>5906</v>
      </c>
      <c r="BP126">
        <v>290.00000000000011</v>
      </c>
      <c r="BQ126">
        <v>1007.38</v>
      </c>
      <c r="BR126">
        <v>235</v>
      </c>
      <c r="BS126">
        <v>10469.6</v>
      </c>
      <c r="BT126">
        <v>1006.42</v>
      </c>
      <c r="BU126">
        <v>0.96</v>
      </c>
      <c r="BV126">
        <v>300.00000000000011</v>
      </c>
      <c r="BW126">
        <v>38.299999999999997</v>
      </c>
      <c r="BX126">
        <v>1113.030815216056</v>
      </c>
      <c r="BY126">
        <v>1.236526880278529</v>
      </c>
      <c r="BZ126">
        <v>-111.6219176302132</v>
      </c>
      <c r="CA126">
        <v>1.0601985224492161</v>
      </c>
      <c r="CB126">
        <v>0.99748036392880968</v>
      </c>
      <c r="CC126">
        <v>-1.137100711902113E-2</v>
      </c>
      <c r="CD126">
        <v>289.99999999999989</v>
      </c>
      <c r="CE126">
        <v>995.79</v>
      </c>
      <c r="CF126">
        <v>635</v>
      </c>
      <c r="CG126">
        <v>10450.5</v>
      </c>
      <c r="CH126">
        <v>1006.22</v>
      </c>
      <c r="CI126">
        <v>-10.43</v>
      </c>
      <c r="CW126">
        <f t="shared" si="180"/>
        <v>1799.9</v>
      </c>
      <c r="CX126">
        <f t="shared" si="181"/>
        <v>1513.1010003291851</v>
      </c>
      <c r="CY126">
        <f t="shared" si="182"/>
        <v>0.84065837009233013</v>
      </c>
      <c r="CZ126">
        <f t="shared" si="183"/>
        <v>0.19131674018466033</v>
      </c>
      <c r="DA126">
        <v>6</v>
      </c>
      <c r="DB126">
        <v>0.5</v>
      </c>
      <c r="DC126" t="s">
        <v>420</v>
      </c>
      <c r="DD126">
        <v>2</v>
      </c>
      <c r="DE126">
        <v>1693520486</v>
      </c>
      <c r="DF126">
        <v>838.95</v>
      </c>
      <c r="DG126">
        <v>899.92200000000003</v>
      </c>
      <c r="DH126">
        <v>28.378499999999999</v>
      </c>
      <c r="DI126">
        <v>22.395099999999999</v>
      </c>
      <c r="DJ126">
        <v>841.923</v>
      </c>
      <c r="DK126">
        <v>27.970300000000002</v>
      </c>
      <c r="DL126">
        <v>500.48700000000002</v>
      </c>
      <c r="DM126">
        <v>99.426400000000001</v>
      </c>
      <c r="DN126">
        <v>0.10023</v>
      </c>
      <c r="DO126">
        <v>30.267299999999999</v>
      </c>
      <c r="DP126">
        <v>30.038799999999998</v>
      </c>
      <c r="DQ126">
        <v>999.9</v>
      </c>
      <c r="DR126">
        <v>0</v>
      </c>
      <c r="DS126">
        <v>0</v>
      </c>
      <c r="DT126">
        <v>10005</v>
      </c>
      <c r="DU126">
        <v>0</v>
      </c>
      <c r="DV126">
        <v>1112.01</v>
      </c>
      <c r="DW126">
        <v>-60.971899999999998</v>
      </c>
      <c r="DX126">
        <v>863.45299999999997</v>
      </c>
      <c r="DY126">
        <v>920.53700000000003</v>
      </c>
      <c r="DZ126">
        <v>5.9834300000000002</v>
      </c>
      <c r="EA126">
        <v>899.92200000000003</v>
      </c>
      <c r="EB126">
        <v>22.395099999999999</v>
      </c>
      <c r="EC126">
        <v>2.8215699999999999</v>
      </c>
      <c r="ED126">
        <v>2.2266599999999999</v>
      </c>
      <c r="EE126">
        <v>23.0108</v>
      </c>
      <c r="EF126">
        <v>19.1554</v>
      </c>
      <c r="EG126">
        <v>1799.9</v>
      </c>
      <c r="EH126">
        <v>0.97799199999999997</v>
      </c>
      <c r="EI126">
        <v>2.2007800000000001E-2</v>
      </c>
      <c r="EJ126">
        <v>0</v>
      </c>
      <c r="EK126">
        <v>738.4</v>
      </c>
      <c r="EL126">
        <v>4.9995000000000003</v>
      </c>
      <c r="EM126">
        <v>13961.7</v>
      </c>
      <c r="EN126">
        <v>16658.8</v>
      </c>
      <c r="EO126">
        <v>47.625</v>
      </c>
      <c r="EP126">
        <v>47.811999999999998</v>
      </c>
      <c r="EQ126">
        <v>48.311999999999998</v>
      </c>
      <c r="ER126">
        <v>47.686999999999998</v>
      </c>
      <c r="ES126">
        <v>48.936999999999998</v>
      </c>
      <c r="ET126">
        <v>1755.4</v>
      </c>
      <c r="EU126">
        <v>39.5</v>
      </c>
      <c r="EV126">
        <v>0</v>
      </c>
      <c r="EW126">
        <v>101</v>
      </c>
      <c r="EX126">
        <v>0</v>
      </c>
      <c r="EY126">
        <v>738.55516</v>
      </c>
      <c r="EZ126">
        <v>-2.2662307768620669</v>
      </c>
      <c r="FA126">
        <v>-52.95384620809174</v>
      </c>
      <c r="FB126">
        <v>13967.755999999999</v>
      </c>
      <c r="FC126">
        <v>15</v>
      </c>
      <c r="FD126">
        <v>1693520458</v>
      </c>
      <c r="FE126" t="s">
        <v>977</v>
      </c>
      <c r="FF126">
        <v>1693520457.5</v>
      </c>
      <c r="FG126">
        <v>1693520458</v>
      </c>
      <c r="FH126">
        <v>123</v>
      </c>
      <c r="FI126">
        <v>-0.02</v>
      </c>
      <c r="FJ126">
        <v>3.0000000000000001E-3</v>
      </c>
      <c r="FK126">
        <v>-3.0169999999999999</v>
      </c>
      <c r="FL126">
        <v>0.14599999999999999</v>
      </c>
      <c r="FM126">
        <v>900</v>
      </c>
      <c r="FN126">
        <v>22</v>
      </c>
      <c r="FO126">
        <v>0.11</v>
      </c>
      <c r="FP126">
        <v>0.03</v>
      </c>
      <c r="FQ126">
        <v>46.697635717279432</v>
      </c>
      <c r="FR126">
        <v>-0.31673400434075277</v>
      </c>
      <c r="FS126">
        <v>0.1354232985238667</v>
      </c>
      <c r="FT126">
        <v>1</v>
      </c>
      <c r="FU126">
        <v>0.37032248253229771</v>
      </c>
      <c r="FV126">
        <v>9.3272372785826313E-3</v>
      </c>
      <c r="FW126">
        <v>3.3191493735519879E-3</v>
      </c>
      <c r="FX126">
        <v>1</v>
      </c>
      <c r="FY126">
        <v>2</v>
      </c>
      <c r="FZ126">
        <v>2</v>
      </c>
      <c r="GA126" t="s">
        <v>422</v>
      </c>
      <c r="GB126">
        <v>2.9723899999999999</v>
      </c>
      <c r="GC126">
        <v>2.8119700000000001</v>
      </c>
      <c r="GD126">
        <v>0.16578200000000001</v>
      </c>
      <c r="GE126">
        <v>0.171347</v>
      </c>
      <c r="GF126">
        <v>0.13456199999999999</v>
      </c>
      <c r="GG126">
        <v>0.113569</v>
      </c>
      <c r="GH126">
        <v>24718.5</v>
      </c>
      <c r="GI126">
        <v>22593.5</v>
      </c>
      <c r="GJ126">
        <v>26628.400000000001</v>
      </c>
      <c r="GK126">
        <v>25719.200000000001</v>
      </c>
      <c r="GL126">
        <v>31339.8</v>
      </c>
      <c r="GM126">
        <v>32101.200000000001</v>
      </c>
      <c r="GN126">
        <v>37695.800000000003</v>
      </c>
      <c r="GO126">
        <v>38030.9</v>
      </c>
      <c r="GP126">
        <v>1.9843999999999999</v>
      </c>
      <c r="GQ126">
        <v>2.0221</v>
      </c>
      <c r="GR126">
        <v>9.1791200000000003E-2</v>
      </c>
      <c r="GS126">
        <v>0</v>
      </c>
      <c r="GT126">
        <v>28.543299999999999</v>
      </c>
      <c r="GU126">
        <v>999.9</v>
      </c>
      <c r="GV126">
        <v>42.8</v>
      </c>
      <c r="GW126">
        <v>36.299999999999997</v>
      </c>
      <c r="GX126">
        <v>26.120899999999999</v>
      </c>
      <c r="GY126">
        <v>61.296300000000002</v>
      </c>
      <c r="GZ126">
        <v>12.848599999999999</v>
      </c>
      <c r="HA126">
        <v>1</v>
      </c>
      <c r="HB126">
        <v>0.20737800000000001</v>
      </c>
      <c r="HC126">
        <v>1.95581</v>
      </c>
      <c r="HD126">
        <v>20.295300000000001</v>
      </c>
      <c r="HE126">
        <v>5.2112999999999996</v>
      </c>
      <c r="HF126">
        <v>11.9321</v>
      </c>
      <c r="HG126">
        <v>4.9882</v>
      </c>
      <c r="HH126">
        <v>3.2909999999999999</v>
      </c>
      <c r="HI126">
        <v>9999</v>
      </c>
      <c r="HJ126">
        <v>9999</v>
      </c>
      <c r="HK126">
        <v>9999</v>
      </c>
      <c r="HL126">
        <v>999.9</v>
      </c>
      <c r="HM126">
        <v>1.86999</v>
      </c>
      <c r="HN126">
        <v>1.87625</v>
      </c>
      <c r="HO126">
        <v>1.87408</v>
      </c>
      <c r="HP126">
        <v>1.87225</v>
      </c>
      <c r="HQ126">
        <v>1.8727100000000001</v>
      </c>
      <c r="HR126">
        <v>1.8701399999999999</v>
      </c>
      <c r="HS126">
        <v>1.8760699999999999</v>
      </c>
      <c r="HT126">
        <v>1.8751500000000001</v>
      </c>
      <c r="HU126">
        <v>5</v>
      </c>
      <c r="HV126">
        <v>0</v>
      </c>
      <c r="HW126">
        <v>0</v>
      </c>
      <c r="HX126">
        <v>0</v>
      </c>
      <c r="HY126" t="s">
        <v>423</v>
      </c>
      <c r="HZ126" t="s">
        <v>424</v>
      </c>
      <c r="IA126" t="s">
        <v>425</v>
      </c>
      <c r="IB126" t="s">
        <v>425</v>
      </c>
      <c r="IC126" t="s">
        <v>425</v>
      </c>
      <c r="ID126" t="s">
        <v>425</v>
      </c>
      <c r="IE126">
        <v>0</v>
      </c>
      <c r="IF126">
        <v>100</v>
      </c>
      <c r="IG126">
        <v>100</v>
      </c>
      <c r="IH126">
        <v>-2.9729999999999999</v>
      </c>
      <c r="II126">
        <v>0.40820000000000001</v>
      </c>
      <c r="IJ126">
        <v>-1.7213316819965989</v>
      </c>
      <c r="IK126">
        <v>-2.677719669153116E-3</v>
      </c>
      <c r="IL126">
        <v>1.9353498771248068E-6</v>
      </c>
      <c r="IM126">
        <v>-6.1862177325538213E-10</v>
      </c>
      <c r="IN126">
        <v>-0.20462917939718631</v>
      </c>
      <c r="IO126">
        <v>-1.5299015507423901E-2</v>
      </c>
      <c r="IP126">
        <v>1.742162107778985E-3</v>
      </c>
      <c r="IQ126">
        <v>-1.472690239905804E-5</v>
      </c>
      <c r="IR126">
        <v>3</v>
      </c>
      <c r="IS126">
        <v>2255</v>
      </c>
      <c r="IT126">
        <v>2</v>
      </c>
      <c r="IU126">
        <v>41</v>
      </c>
      <c r="IV126">
        <v>0.5</v>
      </c>
      <c r="IW126">
        <v>0.5</v>
      </c>
      <c r="IX126">
        <v>1.8603499999999999</v>
      </c>
      <c r="IY126">
        <v>2.50854</v>
      </c>
      <c r="IZ126">
        <v>1.6003400000000001</v>
      </c>
      <c r="JA126">
        <v>2.2631800000000002</v>
      </c>
      <c r="JB126">
        <v>1.5502899999999999</v>
      </c>
      <c r="JC126">
        <v>2.33887</v>
      </c>
      <c r="JD126">
        <v>38.771700000000003</v>
      </c>
      <c r="JE126">
        <v>15.6205</v>
      </c>
      <c r="JF126">
        <v>18</v>
      </c>
      <c r="JG126">
        <v>505.25099999999998</v>
      </c>
      <c r="JH126">
        <v>498.39699999999999</v>
      </c>
      <c r="JI126">
        <v>26.669499999999999</v>
      </c>
      <c r="JJ126">
        <v>30.235900000000001</v>
      </c>
      <c r="JK126">
        <v>30</v>
      </c>
      <c r="JL126">
        <v>30.207899999999999</v>
      </c>
      <c r="JM126">
        <v>30.176400000000001</v>
      </c>
      <c r="JN126">
        <v>37.2455</v>
      </c>
      <c r="JO126">
        <v>27.348099999999999</v>
      </c>
      <c r="JP126">
        <v>62.483899999999998</v>
      </c>
      <c r="JQ126">
        <v>26.641200000000001</v>
      </c>
      <c r="JR126">
        <v>900</v>
      </c>
      <c r="JS126">
        <v>22.442</v>
      </c>
      <c r="JT126">
        <v>99.419200000000004</v>
      </c>
      <c r="JU126">
        <v>98.814700000000002</v>
      </c>
    </row>
    <row r="127" spans="1:281" x14ac:dyDescent="0.25">
      <c r="A127">
        <v>111</v>
      </c>
      <c r="B127">
        <v>1693520602</v>
      </c>
      <c r="C127">
        <v>26622.400000095371</v>
      </c>
      <c r="D127" t="s">
        <v>978</v>
      </c>
      <c r="E127" t="s">
        <v>979</v>
      </c>
      <c r="F127" t="s">
        <v>413</v>
      </c>
      <c r="G127" t="s">
        <v>778</v>
      </c>
      <c r="H127" t="s">
        <v>416</v>
      </c>
      <c r="I127" t="s">
        <v>415</v>
      </c>
      <c r="J127">
        <v>1693520602</v>
      </c>
      <c r="K127">
        <f t="shared" si="138"/>
        <v>4.6751084139181401E-3</v>
      </c>
      <c r="L127">
        <f t="shared" si="139"/>
        <v>4.6751084139181405</v>
      </c>
      <c r="M127">
        <f t="shared" si="140"/>
        <v>45.697453515463032</v>
      </c>
      <c r="N127">
        <f t="shared" si="141"/>
        <v>1139.01</v>
      </c>
      <c r="O127">
        <f t="shared" si="142"/>
        <v>880.41472265549282</v>
      </c>
      <c r="P127">
        <f t="shared" si="143"/>
        <v>87.622374343902237</v>
      </c>
      <c r="Q127">
        <f t="shared" si="144"/>
        <v>113.35880470106702</v>
      </c>
      <c r="R127">
        <f t="shared" si="145"/>
        <v>0.32862492534556487</v>
      </c>
      <c r="S127">
        <f t="shared" si="146"/>
        <v>2.9124122046220888</v>
      </c>
      <c r="T127">
        <f t="shared" si="147"/>
        <v>0.30932685602365351</v>
      </c>
      <c r="U127">
        <f t="shared" si="148"/>
        <v>0.19496863511693391</v>
      </c>
      <c r="V127">
        <f t="shared" si="149"/>
        <v>344.3567006583591</v>
      </c>
      <c r="W127">
        <f t="shared" si="150"/>
        <v>30.977660764787263</v>
      </c>
      <c r="X127">
        <f t="shared" si="151"/>
        <v>29.965800000000002</v>
      </c>
      <c r="Y127">
        <f t="shared" si="152"/>
        <v>4.2520876204702933</v>
      </c>
      <c r="Z127">
        <f t="shared" si="153"/>
        <v>65.14746710171255</v>
      </c>
      <c r="AA127">
        <f t="shared" si="154"/>
        <v>2.8012018481982004</v>
      </c>
      <c r="AB127">
        <f t="shared" si="155"/>
        <v>4.299786273846653</v>
      </c>
      <c r="AC127">
        <f t="shared" si="156"/>
        <v>1.4508857722720929</v>
      </c>
      <c r="AD127">
        <f t="shared" si="157"/>
        <v>-206.17228105378999</v>
      </c>
      <c r="AE127">
        <f t="shared" si="158"/>
        <v>30.507813744496115</v>
      </c>
      <c r="AF127">
        <f t="shared" si="159"/>
        <v>2.3306015736285524</v>
      </c>
      <c r="AG127">
        <f t="shared" si="160"/>
        <v>171.02283492269376</v>
      </c>
      <c r="AH127">
        <v>0</v>
      </c>
      <c r="AI127">
        <v>0</v>
      </c>
      <c r="AJ127">
        <f t="shared" si="161"/>
        <v>1</v>
      </c>
      <c r="AK127">
        <f t="shared" si="162"/>
        <v>0</v>
      </c>
      <c r="AL127">
        <f t="shared" si="163"/>
        <v>51824.879811494422</v>
      </c>
      <c r="AM127" t="s">
        <v>417</v>
      </c>
      <c r="AN127">
        <v>10238.9</v>
      </c>
      <c r="AO127">
        <v>302.21199999999999</v>
      </c>
      <c r="AP127">
        <v>4052.3</v>
      </c>
      <c r="AQ127">
        <f t="shared" si="164"/>
        <v>0.92542210596451402</v>
      </c>
      <c r="AR127">
        <v>-0.32343011824092421</v>
      </c>
      <c r="AS127" t="s">
        <v>980</v>
      </c>
      <c r="AT127">
        <v>10477</v>
      </c>
      <c r="AU127">
        <v>736.67853846153844</v>
      </c>
      <c r="AV127">
        <v>1113.0417752291071</v>
      </c>
      <c r="AW127">
        <f t="shared" si="165"/>
        <v>0.33813936290944557</v>
      </c>
      <c r="AX127">
        <v>0.5</v>
      </c>
      <c r="AY127">
        <f t="shared" si="166"/>
        <v>1513.1262003291797</v>
      </c>
      <c r="AZ127">
        <f t="shared" si="167"/>
        <v>45.697453515463032</v>
      </c>
      <c r="BA127">
        <f t="shared" si="168"/>
        <v>255.82376469044948</v>
      </c>
      <c r="BB127">
        <f t="shared" si="169"/>
        <v>3.0414438414781357E-2</v>
      </c>
      <c r="BC127">
        <f t="shared" si="170"/>
        <v>2.6407438518342046</v>
      </c>
      <c r="BD127">
        <f t="shared" si="171"/>
        <v>252.48694039587031</v>
      </c>
      <c r="BE127" t="s">
        <v>981</v>
      </c>
      <c r="BF127">
        <v>575.54</v>
      </c>
      <c r="BG127">
        <f t="shared" si="172"/>
        <v>575.54</v>
      </c>
      <c r="BH127">
        <f t="shared" si="173"/>
        <v>0.48291249007115522</v>
      </c>
      <c r="BI127">
        <f t="shared" si="174"/>
        <v>0.70020836044149981</v>
      </c>
      <c r="BJ127">
        <f t="shared" si="175"/>
        <v>0.84540153038199162</v>
      </c>
      <c r="BK127">
        <f t="shared" si="176"/>
        <v>0.46417046865505635</v>
      </c>
      <c r="BL127">
        <f t="shared" si="177"/>
        <v>0.78378380047905361</v>
      </c>
      <c r="BM127">
        <f t="shared" si="178"/>
        <v>0.54704718371477445</v>
      </c>
      <c r="BN127">
        <f t="shared" si="179"/>
        <v>0.45295281628522555</v>
      </c>
      <c r="BO127">
        <v>5908</v>
      </c>
      <c r="BP127">
        <v>290.00000000000011</v>
      </c>
      <c r="BQ127">
        <v>1007.72</v>
      </c>
      <c r="BR127">
        <v>195</v>
      </c>
      <c r="BS127">
        <v>10477</v>
      </c>
      <c r="BT127">
        <v>1006.22</v>
      </c>
      <c r="BU127">
        <v>1.5</v>
      </c>
      <c r="BV127">
        <v>300.00000000000011</v>
      </c>
      <c r="BW127">
        <v>38.299999999999997</v>
      </c>
      <c r="BX127">
        <v>1113.0417752291071</v>
      </c>
      <c r="BY127">
        <v>1.1731247698650971</v>
      </c>
      <c r="BZ127">
        <v>-111.9141221257197</v>
      </c>
      <c r="CA127">
        <v>1.005858792155053</v>
      </c>
      <c r="CB127">
        <v>0.99774326230499533</v>
      </c>
      <c r="CC127">
        <v>-1.1371027141268079E-2</v>
      </c>
      <c r="CD127">
        <v>289.99999999999989</v>
      </c>
      <c r="CE127">
        <v>995.76</v>
      </c>
      <c r="CF127">
        <v>635</v>
      </c>
      <c r="CG127">
        <v>10450.700000000001</v>
      </c>
      <c r="CH127">
        <v>1005.95</v>
      </c>
      <c r="CI127">
        <v>-10.19</v>
      </c>
      <c r="CW127">
        <f t="shared" si="180"/>
        <v>1799.93</v>
      </c>
      <c r="CX127">
        <f t="shared" si="181"/>
        <v>1513.1262003291797</v>
      </c>
      <c r="CY127">
        <f t="shared" si="182"/>
        <v>0.8406583591190655</v>
      </c>
      <c r="CZ127">
        <f t="shared" si="183"/>
        <v>0.19131671823813098</v>
      </c>
      <c r="DA127">
        <v>6</v>
      </c>
      <c r="DB127">
        <v>0.5</v>
      </c>
      <c r="DC127" t="s">
        <v>420</v>
      </c>
      <c r="DD127">
        <v>2</v>
      </c>
      <c r="DE127">
        <v>1693520602</v>
      </c>
      <c r="DF127">
        <v>1139.01</v>
      </c>
      <c r="DG127">
        <v>1200.24</v>
      </c>
      <c r="DH127">
        <v>28.146000000000001</v>
      </c>
      <c r="DI127">
        <v>22.6935</v>
      </c>
      <c r="DJ127">
        <v>1142.28</v>
      </c>
      <c r="DK127">
        <v>27.7486</v>
      </c>
      <c r="DL127">
        <v>499.97500000000002</v>
      </c>
      <c r="DM127">
        <v>99.424000000000007</v>
      </c>
      <c r="DN127">
        <v>9.9976700000000002E-2</v>
      </c>
      <c r="DO127">
        <v>30.1601</v>
      </c>
      <c r="DP127">
        <v>29.965800000000002</v>
      </c>
      <c r="DQ127">
        <v>999.9</v>
      </c>
      <c r="DR127">
        <v>0</v>
      </c>
      <c r="DS127">
        <v>0</v>
      </c>
      <c r="DT127">
        <v>9960</v>
      </c>
      <c r="DU127">
        <v>0</v>
      </c>
      <c r="DV127">
        <v>1096.3499999999999</v>
      </c>
      <c r="DW127">
        <v>-61.2318</v>
      </c>
      <c r="DX127">
        <v>1172</v>
      </c>
      <c r="DY127">
        <v>1228.1199999999999</v>
      </c>
      <c r="DZ127">
        <v>5.4524699999999999</v>
      </c>
      <c r="EA127">
        <v>1200.24</v>
      </c>
      <c r="EB127">
        <v>22.6935</v>
      </c>
      <c r="EC127">
        <v>2.7983899999999999</v>
      </c>
      <c r="ED127">
        <v>2.2562799999999998</v>
      </c>
      <c r="EE127">
        <v>22.874600000000001</v>
      </c>
      <c r="EF127">
        <v>19.367699999999999</v>
      </c>
      <c r="EG127">
        <v>1799.93</v>
      </c>
      <c r="EH127">
        <v>0.97799199999999997</v>
      </c>
      <c r="EI127">
        <v>2.2007800000000001E-2</v>
      </c>
      <c r="EJ127">
        <v>0</v>
      </c>
      <c r="EK127">
        <v>736.81500000000005</v>
      </c>
      <c r="EL127">
        <v>4.9995000000000003</v>
      </c>
      <c r="EM127">
        <v>13920.1</v>
      </c>
      <c r="EN127">
        <v>16659.099999999999</v>
      </c>
      <c r="EO127">
        <v>47.561999999999998</v>
      </c>
      <c r="EP127">
        <v>47.75</v>
      </c>
      <c r="EQ127">
        <v>48.25</v>
      </c>
      <c r="ER127">
        <v>47.686999999999998</v>
      </c>
      <c r="ES127">
        <v>48.875</v>
      </c>
      <c r="ET127">
        <v>1755.43</v>
      </c>
      <c r="EU127">
        <v>39.5</v>
      </c>
      <c r="EV127">
        <v>0</v>
      </c>
      <c r="EW127">
        <v>114.2000000476837</v>
      </c>
      <c r="EX127">
        <v>0</v>
      </c>
      <c r="EY127">
        <v>736.67853846153844</v>
      </c>
      <c r="EZ127">
        <v>-0.88451280690340783</v>
      </c>
      <c r="FA127">
        <v>-23.500854726440529</v>
      </c>
      <c r="FB127">
        <v>13923.530769230771</v>
      </c>
      <c r="FC127">
        <v>15</v>
      </c>
      <c r="FD127">
        <v>1693520573</v>
      </c>
      <c r="FE127" t="s">
        <v>982</v>
      </c>
      <c r="FF127">
        <v>1693520573</v>
      </c>
      <c r="FG127">
        <v>1693520566</v>
      </c>
      <c r="FH127">
        <v>124</v>
      </c>
      <c r="FI127">
        <v>-8.7999999999999995E-2</v>
      </c>
      <c r="FJ127">
        <v>0</v>
      </c>
      <c r="FK127">
        <v>-3.3069999999999999</v>
      </c>
      <c r="FL127">
        <v>0.152</v>
      </c>
      <c r="FM127">
        <v>1200</v>
      </c>
      <c r="FN127">
        <v>22</v>
      </c>
      <c r="FO127">
        <v>0.1</v>
      </c>
      <c r="FP127">
        <v>0.04</v>
      </c>
      <c r="FQ127">
        <v>45.541485263661123</v>
      </c>
      <c r="FR127">
        <v>-0.25191881628096541</v>
      </c>
      <c r="FS127">
        <v>0.1546760409852207</v>
      </c>
      <c r="FT127">
        <v>1</v>
      </c>
      <c r="FU127">
        <v>0.33558867612681909</v>
      </c>
      <c r="FV127">
        <v>-9.1407486257255761E-3</v>
      </c>
      <c r="FW127">
        <v>3.4265885463583999E-3</v>
      </c>
      <c r="FX127">
        <v>1</v>
      </c>
      <c r="FY127">
        <v>2</v>
      </c>
      <c r="FZ127">
        <v>2</v>
      </c>
      <c r="GA127" t="s">
        <v>422</v>
      </c>
      <c r="GB127">
        <v>2.97106</v>
      </c>
      <c r="GC127">
        <v>2.8113299999999999</v>
      </c>
      <c r="GD127">
        <v>0.20216100000000001</v>
      </c>
      <c r="GE127">
        <v>0.206318</v>
      </c>
      <c r="GF127">
        <v>0.13383</v>
      </c>
      <c r="GG127">
        <v>0.11464199999999999</v>
      </c>
      <c r="GH127">
        <v>23641.9</v>
      </c>
      <c r="GI127">
        <v>21639.9</v>
      </c>
      <c r="GJ127">
        <v>26630.6</v>
      </c>
      <c r="GK127">
        <v>25719.8</v>
      </c>
      <c r="GL127">
        <v>31371.599999999999</v>
      </c>
      <c r="GM127">
        <v>32064.6</v>
      </c>
      <c r="GN127">
        <v>37698.9</v>
      </c>
      <c r="GO127">
        <v>38030.699999999997</v>
      </c>
      <c r="GP127">
        <v>1.9851000000000001</v>
      </c>
      <c r="GQ127">
        <v>2.0259999999999998</v>
      </c>
      <c r="GR127">
        <v>9.5069399999999998E-2</v>
      </c>
      <c r="GS127">
        <v>0</v>
      </c>
      <c r="GT127">
        <v>28.416699999999999</v>
      </c>
      <c r="GU127">
        <v>999.9</v>
      </c>
      <c r="GV127">
        <v>43.6</v>
      </c>
      <c r="GW127">
        <v>36.200000000000003</v>
      </c>
      <c r="GX127">
        <v>26.464300000000001</v>
      </c>
      <c r="GY127">
        <v>61.456299999999999</v>
      </c>
      <c r="GZ127">
        <v>13.489599999999999</v>
      </c>
      <c r="HA127">
        <v>1</v>
      </c>
      <c r="HB127">
        <v>0.20161599999999999</v>
      </c>
      <c r="HC127">
        <v>1.2704500000000001</v>
      </c>
      <c r="HD127">
        <v>20.302299999999999</v>
      </c>
      <c r="HE127">
        <v>5.2112999999999996</v>
      </c>
      <c r="HF127">
        <v>11.9321</v>
      </c>
      <c r="HG127">
        <v>4.9874000000000001</v>
      </c>
      <c r="HH127">
        <v>3.2909999999999999</v>
      </c>
      <c r="HI127">
        <v>9999</v>
      </c>
      <c r="HJ127">
        <v>9999</v>
      </c>
      <c r="HK127">
        <v>9999</v>
      </c>
      <c r="HL127">
        <v>999.9</v>
      </c>
      <c r="HM127">
        <v>1.8699600000000001</v>
      </c>
      <c r="HN127">
        <v>1.87626</v>
      </c>
      <c r="HO127">
        <v>1.8740699999999999</v>
      </c>
      <c r="HP127">
        <v>1.87225</v>
      </c>
      <c r="HQ127">
        <v>1.8727100000000001</v>
      </c>
      <c r="HR127">
        <v>1.87012</v>
      </c>
      <c r="HS127">
        <v>1.8760699999999999</v>
      </c>
      <c r="HT127">
        <v>1.8751500000000001</v>
      </c>
      <c r="HU127">
        <v>5</v>
      </c>
      <c r="HV127">
        <v>0</v>
      </c>
      <c r="HW127">
        <v>0</v>
      </c>
      <c r="HX127">
        <v>0</v>
      </c>
      <c r="HY127" t="s">
        <v>423</v>
      </c>
      <c r="HZ127" t="s">
        <v>424</v>
      </c>
      <c r="IA127" t="s">
        <v>425</v>
      </c>
      <c r="IB127" t="s">
        <v>425</v>
      </c>
      <c r="IC127" t="s">
        <v>425</v>
      </c>
      <c r="ID127" t="s">
        <v>425</v>
      </c>
      <c r="IE127">
        <v>0</v>
      </c>
      <c r="IF127">
        <v>100</v>
      </c>
      <c r="IG127">
        <v>100</v>
      </c>
      <c r="IH127">
        <v>-3.27</v>
      </c>
      <c r="II127">
        <v>0.39739999999999998</v>
      </c>
      <c r="IJ127">
        <v>-1.8091704553344981</v>
      </c>
      <c r="IK127">
        <v>-2.677719669153116E-3</v>
      </c>
      <c r="IL127">
        <v>1.9353498771248068E-6</v>
      </c>
      <c r="IM127">
        <v>-6.1862177325538213E-10</v>
      </c>
      <c r="IN127">
        <v>-0.20486389237988531</v>
      </c>
      <c r="IO127">
        <v>-1.5299015507423901E-2</v>
      </c>
      <c r="IP127">
        <v>1.742162107778985E-3</v>
      </c>
      <c r="IQ127">
        <v>-1.472690239905804E-5</v>
      </c>
      <c r="IR127">
        <v>3</v>
      </c>
      <c r="IS127">
        <v>2255</v>
      </c>
      <c r="IT127">
        <v>2</v>
      </c>
      <c r="IU127">
        <v>41</v>
      </c>
      <c r="IV127">
        <v>0.5</v>
      </c>
      <c r="IW127">
        <v>0.6</v>
      </c>
      <c r="IX127">
        <v>2.3584000000000001</v>
      </c>
      <c r="IY127">
        <v>2.50244</v>
      </c>
      <c r="IZ127">
        <v>1.6003400000000001</v>
      </c>
      <c r="JA127">
        <v>2.2644000000000002</v>
      </c>
      <c r="JB127">
        <v>1.5502899999999999</v>
      </c>
      <c r="JC127">
        <v>2.2351100000000002</v>
      </c>
      <c r="JD127">
        <v>38.673299999999998</v>
      </c>
      <c r="JE127">
        <v>15.5943</v>
      </c>
      <c r="JF127">
        <v>18</v>
      </c>
      <c r="JG127">
        <v>505.22199999999998</v>
      </c>
      <c r="JH127">
        <v>500.47500000000002</v>
      </c>
      <c r="JI127">
        <v>26.973700000000001</v>
      </c>
      <c r="JJ127">
        <v>30.181000000000001</v>
      </c>
      <c r="JK127">
        <v>30.0002</v>
      </c>
      <c r="JL127">
        <v>30.150600000000001</v>
      </c>
      <c r="JM127">
        <v>30.119399999999999</v>
      </c>
      <c r="JN127">
        <v>47.2104</v>
      </c>
      <c r="JO127">
        <v>27.630199999999999</v>
      </c>
      <c r="JP127">
        <v>64.136600000000001</v>
      </c>
      <c r="JQ127">
        <v>26.9802</v>
      </c>
      <c r="JR127">
        <v>1200</v>
      </c>
      <c r="JS127">
        <v>22.679200000000002</v>
      </c>
      <c r="JT127">
        <v>99.427400000000006</v>
      </c>
      <c r="JU127">
        <v>98.815200000000004</v>
      </c>
    </row>
    <row r="128" spans="1:281" x14ac:dyDescent="0.25">
      <c r="A128">
        <v>112</v>
      </c>
      <c r="B128">
        <v>1693520723</v>
      </c>
      <c r="C128">
        <v>26743.400000095371</v>
      </c>
      <c r="D128" t="s">
        <v>983</v>
      </c>
      <c r="E128" t="s">
        <v>984</v>
      </c>
      <c r="F128" t="s">
        <v>413</v>
      </c>
      <c r="G128" t="s">
        <v>778</v>
      </c>
      <c r="H128" t="s">
        <v>416</v>
      </c>
      <c r="I128" t="s">
        <v>415</v>
      </c>
      <c r="J128">
        <v>1693520723</v>
      </c>
      <c r="K128">
        <f t="shared" si="138"/>
        <v>4.028411879517451E-3</v>
      </c>
      <c r="L128">
        <f t="shared" si="139"/>
        <v>4.0284118795174511</v>
      </c>
      <c r="M128">
        <f t="shared" si="140"/>
        <v>45.24794982265459</v>
      </c>
      <c r="N128">
        <f t="shared" si="141"/>
        <v>1438.78</v>
      </c>
      <c r="O128">
        <f t="shared" si="142"/>
        <v>1134.4344665758838</v>
      </c>
      <c r="P128">
        <f t="shared" si="143"/>
        <v>112.90684667611886</v>
      </c>
      <c r="Q128">
        <f t="shared" si="144"/>
        <v>143.19744123341999</v>
      </c>
      <c r="R128">
        <f t="shared" si="145"/>
        <v>0.27705873314814339</v>
      </c>
      <c r="S128">
        <f t="shared" si="146"/>
        <v>2.9177126985326933</v>
      </c>
      <c r="T128">
        <f t="shared" si="147"/>
        <v>0.26322856040078746</v>
      </c>
      <c r="U128">
        <f t="shared" si="148"/>
        <v>0.16570288749803194</v>
      </c>
      <c r="V128">
        <f t="shared" si="149"/>
        <v>344.35100065837014</v>
      </c>
      <c r="W128">
        <f t="shared" si="150"/>
        <v>31.142097218909374</v>
      </c>
      <c r="X128">
        <f t="shared" si="151"/>
        <v>30.011900000000001</v>
      </c>
      <c r="Y128">
        <f t="shared" si="152"/>
        <v>4.2633627691789329</v>
      </c>
      <c r="Z128">
        <f t="shared" si="153"/>
        <v>64.994789849363571</v>
      </c>
      <c r="AA128">
        <f t="shared" si="154"/>
        <v>2.7942202161750003</v>
      </c>
      <c r="AB128">
        <f t="shared" si="155"/>
        <v>4.2991449355418778</v>
      </c>
      <c r="AC128">
        <f t="shared" si="156"/>
        <v>1.4691425530039326</v>
      </c>
      <c r="AD128">
        <f t="shared" si="157"/>
        <v>-177.65296388671959</v>
      </c>
      <c r="AE128">
        <f t="shared" si="158"/>
        <v>22.9028402516794</v>
      </c>
      <c r="AF128">
        <f t="shared" si="159"/>
        <v>1.7468277850391034</v>
      </c>
      <c r="AG128">
        <f t="shared" si="160"/>
        <v>191.34770480836906</v>
      </c>
      <c r="AH128">
        <v>0</v>
      </c>
      <c r="AI128">
        <v>0</v>
      </c>
      <c r="AJ128">
        <f t="shared" si="161"/>
        <v>1</v>
      </c>
      <c r="AK128">
        <f t="shared" si="162"/>
        <v>0</v>
      </c>
      <c r="AL128">
        <f t="shared" si="163"/>
        <v>51976.279564155739</v>
      </c>
      <c r="AM128" t="s">
        <v>417</v>
      </c>
      <c r="AN128">
        <v>10238.9</v>
      </c>
      <c r="AO128">
        <v>302.21199999999999</v>
      </c>
      <c r="AP128">
        <v>4052.3</v>
      </c>
      <c r="AQ128">
        <f t="shared" si="164"/>
        <v>0.92542210596451402</v>
      </c>
      <c r="AR128">
        <v>-0.32343011824092421</v>
      </c>
      <c r="AS128" t="s">
        <v>985</v>
      </c>
      <c r="AT128">
        <v>10475.1</v>
      </c>
      <c r="AU128">
        <v>735.04852000000017</v>
      </c>
      <c r="AV128">
        <v>1110.390931486628</v>
      </c>
      <c r="AW128">
        <f t="shared" si="165"/>
        <v>0.33802726665293192</v>
      </c>
      <c r="AX128">
        <v>0.5</v>
      </c>
      <c r="AY128">
        <f t="shared" si="166"/>
        <v>1513.1010003291851</v>
      </c>
      <c r="AZ128">
        <f t="shared" si="167"/>
        <v>45.24794982265459</v>
      </c>
      <c r="BA128">
        <f t="shared" si="168"/>
        <v>255.73469765554574</v>
      </c>
      <c r="BB128">
        <f t="shared" si="169"/>
        <v>3.0117870473273863E-2</v>
      </c>
      <c r="BC128">
        <f t="shared" si="170"/>
        <v>2.6494354241299933</v>
      </c>
      <c r="BD128">
        <f t="shared" si="171"/>
        <v>252.35028100843851</v>
      </c>
      <c r="BE128" t="s">
        <v>986</v>
      </c>
      <c r="BF128">
        <v>576.91999999999996</v>
      </c>
      <c r="BG128">
        <f t="shared" si="172"/>
        <v>576.91999999999996</v>
      </c>
      <c r="BH128">
        <f t="shared" si="173"/>
        <v>0.4804352380403536</v>
      </c>
      <c r="BI128">
        <f t="shared" si="174"/>
        <v>0.70358549891492284</v>
      </c>
      <c r="BJ128">
        <f t="shared" si="175"/>
        <v>0.84649997079840833</v>
      </c>
      <c r="BK128">
        <f t="shared" si="176"/>
        <v>0.4644298395606446</v>
      </c>
      <c r="BL128">
        <f t="shared" si="177"/>
        <v>0.78449067555571295</v>
      </c>
      <c r="BM128">
        <f t="shared" si="178"/>
        <v>0.55222551299606337</v>
      </c>
      <c r="BN128">
        <f t="shared" si="179"/>
        <v>0.44777448700393663</v>
      </c>
      <c r="BO128">
        <v>5910</v>
      </c>
      <c r="BP128">
        <v>290.00000000000011</v>
      </c>
      <c r="BQ128">
        <v>1006.91</v>
      </c>
      <c r="BR128">
        <v>205</v>
      </c>
      <c r="BS128">
        <v>10475.1</v>
      </c>
      <c r="BT128">
        <v>1005.75</v>
      </c>
      <c r="BU128">
        <v>1.1599999999999999</v>
      </c>
      <c r="BV128">
        <v>300.00000000000011</v>
      </c>
      <c r="BW128">
        <v>38.299999999999997</v>
      </c>
      <c r="BX128">
        <v>1110.390931486628</v>
      </c>
      <c r="BY128">
        <v>0.98416687034356443</v>
      </c>
      <c r="BZ128">
        <v>-109.6132815976738</v>
      </c>
      <c r="CA128">
        <v>0.84384264626697358</v>
      </c>
      <c r="CB128">
        <v>0.9983433356185315</v>
      </c>
      <c r="CC128">
        <v>-1.137115706340377E-2</v>
      </c>
      <c r="CD128">
        <v>289.99999999999989</v>
      </c>
      <c r="CE128">
        <v>995.86</v>
      </c>
      <c r="CF128">
        <v>675</v>
      </c>
      <c r="CG128">
        <v>10446.6</v>
      </c>
      <c r="CH128">
        <v>1005.46</v>
      </c>
      <c r="CI128">
        <v>-9.6</v>
      </c>
      <c r="CW128">
        <f t="shared" si="180"/>
        <v>1799.9</v>
      </c>
      <c r="CX128">
        <f t="shared" si="181"/>
        <v>1513.1010003291851</v>
      </c>
      <c r="CY128">
        <f t="shared" si="182"/>
        <v>0.84065837009233013</v>
      </c>
      <c r="CZ128">
        <f t="shared" si="183"/>
        <v>0.19131674018466033</v>
      </c>
      <c r="DA128">
        <v>6</v>
      </c>
      <c r="DB128">
        <v>0.5</v>
      </c>
      <c r="DC128" t="s">
        <v>420</v>
      </c>
      <c r="DD128">
        <v>2</v>
      </c>
      <c r="DE128">
        <v>1693520723</v>
      </c>
      <c r="DF128">
        <v>1438.78</v>
      </c>
      <c r="DG128">
        <v>1500.02</v>
      </c>
      <c r="DH128">
        <v>28.074999999999999</v>
      </c>
      <c r="DI128">
        <v>23.377600000000001</v>
      </c>
      <c r="DJ128">
        <v>1442.19</v>
      </c>
      <c r="DK128">
        <v>27.675599999999999</v>
      </c>
      <c r="DL128">
        <v>500.10399999999998</v>
      </c>
      <c r="DM128">
        <v>99.426199999999994</v>
      </c>
      <c r="DN128">
        <v>0.100789</v>
      </c>
      <c r="DO128">
        <v>30.157499999999999</v>
      </c>
      <c r="DP128">
        <v>30.011900000000001</v>
      </c>
      <c r="DQ128">
        <v>999.9</v>
      </c>
      <c r="DR128">
        <v>0</v>
      </c>
      <c r="DS128">
        <v>0</v>
      </c>
      <c r="DT128">
        <v>9990</v>
      </c>
      <c r="DU128">
        <v>0</v>
      </c>
      <c r="DV128">
        <v>1081.6199999999999</v>
      </c>
      <c r="DW128">
        <v>-61.241500000000002</v>
      </c>
      <c r="DX128">
        <v>1480.34</v>
      </c>
      <c r="DY128">
        <v>1535.93</v>
      </c>
      <c r="DZ128">
        <v>4.6974200000000002</v>
      </c>
      <c r="EA128">
        <v>1500.02</v>
      </c>
      <c r="EB128">
        <v>23.377600000000001</v>
      </c>
      <c r="EC128">
        <v>2.7913999999999999</v>
      </c>
      <c r="ED128">
        <v>2.3243499999999999</v>
      </c>
      <c r="EE128">
        <v>22.833300000000001</v>
      </c>
      <c r="EF128">
        <v>19.8461</v>
      </c>
      <c r="EG128">
        <v>1799.9</v>
      </c>
      <c r="EH128">
        <v>0.97799199999999997</v>
      </c>
      <c r="EI128">
        <v>2.2007800000000001E-2</v>
      </c>
      <c r="EJ128">
        <v>0</v>
      </c>
      <c r="EK128">
        <v>734.399</v>
      </c>
      <c r="EL128">
        <v>4.9995000000000003</v>
      </c>
      <c r="EM128">
        <v>13880.1</v>
      </c>
      <c r="EN128">
        <v>16658.8</v>
      </c>
      <c r="EO128">
        <v>47.561999999999998</v>
      </c>
      <c r="EP128">
        <v>47.686999999999998</v>
      </c>
      <c r="EQ128">
        <v>48.186999999999998</v>
      </c>
      <c r="ER128">
        <v>47.686999999999998</v>
      </c>
      <c r="ES128">
        <v>48.875</v>
      </c>
      <c r="ET128">
        <v>1755.4</v>
      </c>
      <c r="EU128">
        <v>39.5</v>
      </c>
      <c r="EV128">
        <v>0</v>
      </c>
      <c r="EW128">
        <v>118.7999999523163</v>
      </c>
      <c r="EX128">
        <v>0</v>
      </c>
      <c r="EY128">
        <v>735.04852000000017</v>
      </c>
      <c r="EZ128">
        <v>-0.2779230728204562</v>
      </c>
      <c r="FA128">
        <v>-13.80769230524921</v>
      </c>
      <c r="FB128">
        <v>13884.064</v>
      </c>
      <c r="FC128">
        <v>15</v>
      </c>
      <c r="FD128">
        <v>1693520690</v>
      </c>
      <c r="FE128" t="s">
        <v>987</v>
      </c>
      <c r="FF128">
        <v>1693520690</v>
      </c>
      <c r="FG128">
        <v>1693520678</v>
      </c>
      <c r="FH128">
        <v>125</v>
      </c>
      <c r="FI128">
        <v>9.1999999999999998E-2</v>
      </c>
      <c r="FJ128">
        <v>6.0000000000000001E-3</v>
      </c>
      <c r="FK128">
        <v>-3.4710000000000001</v>
      </c>
      <c r="FL128">
        <v>0.17899999999999999</v>
      </c>
      <c r="FM128">
        <v>1500</v>
      </c>
      <c r="FN128">
        <v>23</v>
      </c>
      <c r="FO128">
        <v>0.15</v>
      </c>
      <c r="FP128">
        <v>0.05</v>
      </c>
      <c r="FQ128">
        <v>44.997225280791042</v>
      </c>
      <c r="FR128">
        <v>-0.1301128755154865</v>
      </c>
      <c r="FS128">
        <v>0.14723116916458431</v>
      </c>
      <c r="FT128">
        <v>1</v>
      </c>
      <c r="FU128">
        <v>0.28154238379763408</v>
      </c>
      <c r="FV128">
        <v>-4.297712697466357E-2</v>
      </c>
      <c r="FW128">
        <v>3.5800704041296372E-3</v>
      </c>
      <c r="FX128">
        <v>1</v>
      </c>
      <c r="FY128">
        <v>2</v>
      </c>
      <c r="FZ128">
        <v>2</v>
      </c>
      <c r="GA128" t="s">
        <v>422</v>
      </c>
      <c r="GB128">
        <v>2.9714399999999999</v>
      </c>
      <c r="GC128">
        <v>2.8123999999999998</v>
      </c>
      <c r="GD128">
        <v>0.23375299999999999</v>
      </c>
      <c r="GE128">
        <v>0.23688000000000001</v>
      </c>
      <c r="GF128">
        <v>0.1336</v>
      </c>
      <c r="GG128">
        <v>0.117066</v>
      </c>
      <c r="GH128">
        <v>22705.599999999999</v>
      </c>
      <c r="GI128">
        <v>20807.2</v>
      </c>
      <c r="GJ128">
        <v>26631.4</v>
      </c>
      <c r="GK128">
        <v>25721.4</v>
      </c>
      <c r="GL128">
        <v>31383.599999999999</v>
      </c>
      <c r="GM128">
        <v>31979.8</v>
      </c>
      <c r="GN128">
        <v>37700.699999999997</v>
      </c>
      <c r="GO128">
        <v>38031.699999999997</v>
      </c>
      <c r="GP128">
        <v>1.9855</v>
      </c>
      <c r="GQ128">
        <v>2.0297000000000001</v>
      </c>
      <c r="GR128">
        <v>9.5516400000000001E-2</v>
      </c>
      <c r="GS128">
        <v>0</v>
      </c>
      <c r="GT128">
        <v>28.455500000000001</v>
      </c>
      <c r="GU128">
        <v>999.9</v>
      </c>
      <c r="GV128">
        <v>44.7</v>
      </c>
      <c r="GW128">
        <v>36</v>
      </c>
      <c r="GX128">
        <v>26.834299999999999</v>
      </c>
      <c r="GY128">
        <v>61.356400000000001</v>
      </c>
      <c r="GZ128">
        <v>12.6282</v>
      </c>
      <c r="HA128">
        <v>1</v>
      </c>
      <c r="HB128">
        <v>0.20027400000000001</v>
      </c>
      <c r="HC128">
        <v>1.8510200000000001</v>
      </c>
      <c r="HD128">
        <v>20.296700000000001</v>
      </c>
      <c r="HE128">
        <v>5.2088999999999999</v>
      </c>
      <c r="HF128">
        <v>11.9321</v>
      </c>
      <c r="HG128">
        <v>4.9874000000000001</v>
      </c>
      <c r="HH128">
        <v>3.2907000000000002</v>
      </c>
      <c r="HI128">
        <v>9999</v>
      </c>
      <c r="HJ128">
        <v>9999</v>
      </c>
      <c r="HK128">
        <v>9999</v>
      </c>
      <c r="HL128">
        <v>999.9</v>
      </c>
      <c r="HM128">
        <v>1.8699600000000001</v>
      </c>
      <c r="HN128">
        <v>1.87625</v>
      </c>
      <c r="HO128">
        <v>1.87408</v>
      </c>
      <c r="HP128">
        <v>1.87225</v>
      </c>
      <c r="HQ128">
        <v>1.8727100000000001</v>
      </c>
      <c r="HR128">
        <v>1.87012</v>
      </c>
      <c r="HS128">
        <v>1.87602</v>
      </c>
      <c r="HT128">
        <v>1.8751500000000001</v>
      </c>
      <c r="HU128">
        <v>5</v>
      </c>
      <c r="HV128">
        <v>0</v>
      </c>
      <c r="HW128">
        <v>0</v>
      </c>
      <c r="HX128">
        <v>0</v>
      </c>
      <c r="HY128" t="s">
        <v>423</v>
      </c>
      <c r="HZ128" t="s">
        <v>424</v>
      </c>
      <c r="IA128" t="s">
        <v>425</v>
      </c>
      <c r="IB128" t="s">
        <v>425</v>
      </c>
      <c r="IC128" t="s">
        <v>425</v>
      </c>
      <c r="ID128" t="s">
        <v>425</v>
      </c>
      <c r="IE128">
        <v>0</v>
      </c>
      <c r="IF128">
        <v>100</v>
      </c>
      <c r="IG128">
        <v>100</v>
      </c>
      <c r="IH128">
        <v>-3.41</v>
      </c>
      <c r="II128">
        <v>0.39939999999999998</v>
      </c>
      <c r="IJ128">
        <v>-1.717031195688518</v>
      </c>
      <c r="IK128">
        <v>-2.677719669153116E-3</v>
      </c>
      <c r="IL128">
        <v>1.9353498771248068E-6</v>
      </c>
      <c r="IM128">
        <v>-6.1862177325538213E-10</v>
      </c>
      <c r="IN128">
        <v>-0.1993302313603221</v>
      </c>
      <c r="IO128">
        <v>-1.5299015507423901E-2</v>
      </c>
      <c r="IP128">
        <v>1.742162107778985E-3</v>
      </c>
      <c r="IQ128">
        <v>-1.472690239905804E-5</v>
      </c>
      <c r="IR128">
        <v>3</v>
      </c>
      <c r="IS128">
        <v>2255</v>
      </c>
      <c r="IT128">
        <v>2</v>
      </c>
      <c r="IU128">
        <v>41</v>
      </c>
      <c r="IV128">
        <v>0.6</v>
      </c>
      <c r="IW128">
        <v>0.8</v>
      </c>
      <c r="IX128">
        <v>2.83569</v>
      </c>
      <c r="IY128">
        <v>2.4890099999999999</v>
      </c>
      <c r="IZ128">
        <v>1.5991200000000001</v>
      </c>
      <c r="JA128">
        <v>2.2644000000000002</v>
      </c>
      <c r="JB128">
        <v>1.5502899999999999</v>
      </c>
      <c r="JC128">
        <v>2.4291999999999998</v>
      </c>
      <c r="JD128">
        <v>38.599499999999999</v>
      </c>
      <c r="JE128">
        <v>15.5768</v>
      </c>
      <c r="JF128">
        <v>18</v>
      </c>
      <c r="JG128">
        <v>505.11</v>
      </c>
      <c r="JH128">
        <v>502.53899999999999</v>
      </c>
      <c r="JI128">
        <v>26.298300000000001</v>
      </c>
      <c r="JJ128">
        <v>30.139199999999999</v>
      </c>
      <c r="JK128">
        <v>29.999600000000001</v>
      </c>
      <c r="JL128">
        <v>30.106400000000001</v>
      </c>
      <c r="JM128">
        <v>30.075399999999998</v>
      </c>
      <c r="JN128">
        <v>56.77</v>
      </c>
      <c r="JO128">
        <v>26.4572</v>
      </c>
      <c r="JP128">
        <v>67.549700000000001</v>
      </c>
      <c r="JQ128">
        <v>26.319600000000001</v>
      </c>
      <c r="JR128">
        <v>1500</v>
      </c>
      <c r="JS128">
        <v>23.3552</v>
      </c>
      <c r="JT128">
        <v>99.431399999999996</v>
      </c>
      <c r="JU128">
        <v>98.819299999999998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2023-08-31T22:25:57Z</dcterms:created>
  <dcterms:modified xsi:type="dcterms:W3CDTF">2023-09-06T16:24:40Z</dcterms:modified>
</cp:coreProperties>
</file>