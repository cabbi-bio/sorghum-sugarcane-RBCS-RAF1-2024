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29 2023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Z86" i="1" l="1"/>
  <c r="V86" i="1" s="1"/>
  <c r="CY86" i="1"/>
  <c r="CW86" i="1"/>
  <c r="BL86" i="1"/>
  <c r="BK86" i="1"/>
  <c r="BG86" i="1"/>
  <c r="BH86" i="1" s="1"/>
  <c r="BC86" i="1"/>
  <c r="AW86" i="1"/>
  <c r="AQ86" i="1"/>
  <c r="BD86" i="1" s="1"/>
  <c r="AL86" i="1"/>
  <c r="AJ86" i="1" s="1"/>
  <c r="AB86" i="1"/>
  <c r="AA86" i="1"/>
  <c r="S86" i="1"/>
  <c r="CZ85" i="1"/>
  <c r="CY85" i="1"/>
  <c r="CW85" i="1"/>
  <c r="BL85" i="1"/>
  <c r="BK85" i="1"/>
  <c r="BG85" i="1"/>
  <c r="BH85" i="1" s="1"/>
  <c r="BC85" i="1"/>
  <c r="AW85" i="1"/>
  <c r="AQ85" i="1"/>
  <c r="BD85" i="1" s="1"/>
  <c r="AL85" i="1"/>
  <c r="AJ85" i="1" s="1"/>
  <c r="AB85" i="1"/>
  <c r="AA85" i="1"/>
  <c r="Z85" i="1" s="1"/>
  <c r="S85" i="1"/>
  <c r="CZ84" i="1"/>
  <c r="CY84" i="1"/>
  <c r="CW84" i="1"/>
  <c r="BL84" i="1"/>
  <c r="BK84" i="1"/>
  <c r="BG84" i="1"/>
  <c r="BJ84" i="1" s="1"/>
  <c r="BC84" i="1"/>
  <c r="AW84" i="1"/>
  <c r="AQ84" i="1"/>
  <c r="BD84" i="1" s="1"/>
  <c r="AL84" i="1"/>
  <c r="AJ84" i="1"/>
  <c r="AK84" i="1" s="1"/>
  <c r="AB84" i="1"/>
  <c r="Z84" i="1" s="1"/>
  <c r="AA84" i="1"/>
  <c r="S84" i="1"/>
  <c r="CZ83" i="1"/>
  <c r="CY83" i="1"/>
  <c r="CX83" i="1"/>
  <c r="AY83" i="1" s="1"/>
  <c r="CW83" i="1"/>
  <c r="V83" i="1" s="1"/>
  <c r="BL83" i="1"/>
  <c r="BK83" i="1"/>
  <c r="BG83" i="1"/>
  <c r="BJ83" i="1" s="1"/>
  <c r="BC83" i="1"/>
  <c r="AW83" i="1"/>
  <c r="AQ83" i="1"/>
  <c r="BD83" i="1" s="1"/>
  <c r="AL83" i="1"/>
  <c r="AJ83" i="1" s="1"/>
  <c r="AB83" i="1"/>
  <c r="AA83" i="1"/>
  <c r="Z83" i="1" s="1"/>
  <c r="S83" i="1"/>
  <c r="CZ82" i="1"/>
  <c r="CY82" i="1"/>
  <c r="CW82" i="1"/>
  <c r="CX82" i="1" s="1"/>
  <c r="AY82" i="1" s="1"/>
  <c r="BA82" i="1" s="1"/>
  <c r="BL82" i="1"/>
  <c r="BK82" i="1"/>
  <c r="BG82" i="1"/>
  <c r="BJ82" i="1" s="1"/>
  <c r="BC82" i="1"/>
  <c r="AW82" i="1"/>
  <c r="AQ82" i="1"/>
  <c r="BD82" i="1" s="1"/>
  <c r="AL82" i="1"/>
  <c r="AJ82" i="1" s="1"/>
  <c r="L82" i="1" s="1"/>
  <c r="K82" i="1" s="1"/>
  <c r="AD82" i="1" s="1"/>
  <c r="AB82" i="1"/>
  <c r="AA82" i="1"/>
  <c r="S82" i="1"/>
  <c r="CZ81" i="1"/>
  <c r="CY81" i="1"/>
  <c r="CW81" i="1"/>
  <c r="BL81" i="1"/>
  <c r="BK81" i="1"/>
  <c r="BG81" i="1"/>
  <c r="BH81" i="1" s="1"/>
  <c r="BC81" i="1"/>
  <c r="AW81" i="1"/>
  <c r="AQ81" i="1"/>
  <c r="BD81" i="1" s="1"/>
  <c r="AL81" i="1"/>
  <c r="AJ81" i="1" s="1"/>
  <c r="AB81" i="1"/>
  <c r="AA81" i="1"/>
  <c r="Z81" i="1" s="1"/>
  <c r="S81" i="1"/>
  <c r="CZ80" i="1"/>
  <c r="CY80" i="1"/>
  <c r="CW80" i="1"/>
  <c r="BL80" i="1"/>
  <c r="BK80" i="1"/>
  <c r="BG80" i="1"/>
  <c r="BJ80" i="1" s="1"/>
  <c r="BC80" i="1"/>
  <c r="AW80" i="1"/>
  <c r="AQ80" i="1"/>
  <c r="BD80" i="1" s="1"/>
  <c r="AL80" i="1"/>
  <c r="AJ80" i="1" s="1"/>
  <c r="AB80" i="1"/>
  <c r="AA80" i="1"/>
  <c r="S80" i="1"/>
  <c r="CZ79" i="1"/>
  <c r="CY79" i="1"/>
  <c r="CW79" i="1"/>
  <c r="BL79" i="1"/>
  <c r="BK79" i="1"/>
  <c r="BG79" i="1"/>
  <c r="BJ79" i="1" s="1"/>
  <c r="BC79" i="1"/>
  <c r="AW79" i="1"/>
  <c r="AQ79" i="1"/>
  <c r="BD79" i="1" s="1"/>
  <c r="AL79" i="1"/>
  <c r="AJ79" i="1" s="1"/>
  <c r="AB79" i="1"/>
  <c r="AA79" i="1"/>
  <c r="S79" i="1"/>
  <c r="CZ78" i="1"/>
  <c r="CY78" i="1"/>
  <c r="CW78" i="1"/>
  <c r="BL78" i="1"/>
  <c r="BK78" i="1"/>
  <c r="BG78" i="1"/>
  <c r="BJ78" i="1" s="1"/>
  <c r="BC78" i="1"/>
  <c r="AW78" i="1"/>
  <c r="AQ78" i="1"/>
  <c r="BD78" i="1" s="1"/>
  <c r="AL78" i="1"/>
  <c r="AJ78" i="1" s="1"/>
  <c r="L78" i="1" s="1"/>
  <c r="K78" i="1" s="1"/>
  <c r="AB78" i="1"/>
  <c r="AA78" i="1"/>
  <c r="S78" i="1"/>
  <c r="CZ77" i="1"/>
  <c r="CY77" i="1"/>
  <c r="CW77" i="1"/>
  <c r="BL77" i="1"/>
  <c r="BK77" i="1"/>
  <c r="BG77" i="1"/>
  <c r="BH77" i="1" s="1"/>
  <c r="BC77" i="1"/>
  <c r="AW77" i="1"/>
  <c r="AQ77" i="1"/>
  <c r="BD77" i="1" s="1"/>
  <c r="AL77" i="1"/>
  <c r="AJ77" i="1"/>
  <c r="AB77" i="1"/>
  <c r="Z77" i="1" s="1"/>
  <c r="AA77" i="1"/>
  <c r="S77" i="1"/>
  <c r="CZ76" i="1"/>
  <c r="CY76" i="1"/>
  <c r="CW76" i="1"/>
  <c r="BL76" i="1"/>
  <c r="BK76" i="1"/>
  <c r="BG76" i="1"/>
  <c r="BC76" i="1"/>
  <c r="AW76" i="1"/>
  <c r="AQ76" i="1"/>
  <c r="BD76" i="1" s="1"/>
  <c r="AL76" i="1"/>
  <c r="AJ76" i="1" s="1"/>
  <c r="L76" i="1" s="1"/>
  <c r="K76" i="1" s="1"/>
  <c r="AB76" i="1"/>
  <c r="AA76" i="1"/>
  <c r="S76" i="1"/>
  <c r="CZ75" i="1"/>
  <c r="CY75" i="1"/>
  <c r="CX75" i="1" s="1"/>
  <c r="AY75" i="1" s="1"/>
  <c r="CW75" i="1"/>
  <c r="BL75" i="1"/>
  <c r="BK75" i="1"/>
  <c r="BH75" i="1"/>
  <c r="BG75" i="1"/>
  <c r="BJ75" i="1" s="1"/>
  <c r="BC75" i="1"/>
  <c r="AW75" i="1"/>
  <c r="AQ75" i="1"/>
  <c r="BD75" i="1" s="1"/>
  <c r="AL75" i="1"/>
  <c r="AJ75" i="1" s="1"/>
  <c r="AK75" i="1" s="1"/>
  <c r="AB75" i="1"/>
  <c r="AA75" i="1"/>
  <c r="V75" i="1"/>
  <c r="S75" i="1"/>
  <c r="CZ74" i="1"/>
  <c r="CY74" i="1"/>
  <c r="CW74" i="1"/>
  <c r="BL74" i="1"/>
  <c r="BK74" i="1"/>
  <c r="BG74" i="1"/>
  <c r="BJ74" i="1" s="1"/>
  <c r="BC74" i="1"/>
  <c r="AW74" i="1"/>
  <c r="AQ74" i="1"/>
  <c r="BD74" i="1" s="1"/>
  <c r="AL74" i="1"/>
  <c r="AJ74" i="1" s="1"/>
  <c r="Q74" i="1" s="1"/>
  <c r="AB74" i="1"/>
  <c r="AA74" i="1"/>
  <c r="S74" i="1"/>
  <c r="L74" i="1"/>
  <c r="K74" i="1" s="1"/>
  <c r="AD74" i="1" s="1"/>
  <c r="CZ73" i="1"/>
  <c r="CY73" i="1"/>
  <c r="CW73" i="1"/>
  <c r="BL73" i="1"/>
  <c r="BK73" i="1"/>
  <c r="BG73" i="1"/>
  <c r="BH73" i="1" s="1"/>
  <c r="BC73" i="1"/>
  <c r="AW73" i="1"/>
  <c r="AQ73" i="1"/>
  <c r="BD73" i="1" s="1"/>
  <c r="AL73" i="1"/>
  <c r="AJ73" i="1" s="1"/>
  <c r="Q73" i="1" s="1"/>
  <c r="AB73" i="1"/>
  <c r="AA73" i="1"/>
  <c r="Z73" i="1" s="1"/>
  <c r="S73" i="1"/>
  <c r="CZ72" i="1"/>
  <c r="CY72" i="1"/>
  <c r="CW72" i="1"/>
  <c r="BL72" i="1"/>
  <c r="BK72" i="1"/>
  <c r="BG72" i="1"/>
  <c r="BH72" i="1" s="1"/>
  <c r="BC72" i="1"/>
  <c r="AW72" i="1"/>
  <c r="AQ72" i="1"/>
  <c r="BD72" i="1" s="1"/>
  <c r="AL72" i="1"/>
  <c r="AJ72" i="1" s="1"/>
  <c r="AB72" i="1"/>
  <c r="AA72" i="1"/>
  <c r="S72" i="1"/>
  <c r="CZ71" i="1"/>
  <c r="CY71" i="1"/>
  <c r="CX71" i="1" s="1"/>
  <c r="AY71" i="1" s="1"/>
  <c r="BA71" i="1" s="1"/>
  <c r="CW71" i="1"/>
  <c r="BL71" i="1"/>
  <c r="BK71" i="1"/>
  <c r="BG71" i="1"/>
  <c r="BI71" i="1" s="1"/>
  <c r="BM71" i="1" s="1"/>
  <c r="BN71" i="1" s="1"/>
  <c r="BC71" i="1"/>
  <c r="AW71" i="1"/>
  <c r="AQ71" i="1"/>
  <c r="BD71" i="1" s="1"/>
  <c r="AL71" i="1"/>
  <c r="AJ71" i="1" s="1"/>
  <c r="AB71" i="1"/>
  <c r="AA71" i="1"/>
  <c r="Z71" i="1" s="1"/>
  <c r="S71" i="1"/>
  <c r="CZ70" i="1"/>
  <c r="CY70" i="1"/>
  <c r="CW70" i="1"/>
  <c r="CX70" i="1" s="1"/>
  <c r="AY70" i="1" s="1"/>
  <c r="BL70" i="1"/>
  <c r="BK70" i="1"/>
  <c r="BJ70" i="1"/>
  <c r="BI70" i="1"/>
  <c r="BM70" i="1" s="1"/>
  <c r="BN70" i="1" s="1"/>
  <c r="BG70" i="1"/>
  <c r="BH70" i="1" s="1"/>
  <c r="BC70" i="1"/>
  <c r="AW70" i="1"/>
  <c r="AQ70" i="1"/>
  <c r="BD70" i="1" s="1"/>
  <c r="AL70" i="1"/>
  <c r="AJ70" i="1"/>
  <c r="N70" i="1" s="1"/>
  <c r="AB70" i="1"/>
  <c r="AA70" i="1"/>
  <c r="S70" i="1"/>
  <c r="CZ69" i="1"/>
  <c r="CY69" i="1"/>
  <c r="CW69" i="1"/>
  <c r="V69" i="1" s="1"/>
  <c r="BL69" i="1"/>
  <c r="BK69" i="1"/>
  <c r="BI69" i="1"/>
  <c r="BM69" i="1" s="1"/>
  <c r="BN69" i="1" s="1"/>
  <c r="BG69" i="1"/>
  <c r="BJ69" i="1" s="1"/>
  <c r="BC69" i="1"/>
  <c r="AW69" i="1"/>
  <c r="AQ69" i="1"/>
  <c r="BD69" i="1" s="1"/>
  <c r="AL69" i="1"/>
  <c r="AJ69" i="1" s="1"/>
  <c r="AB69" i="1"/>
  <c r="AA69" i="1"/>
  <c r="Z69" i="1" s="1"/>
  <c r="S69" i="1"/>
  <c r="CZ68" i="1"/>
  <c r="CY68" i="1"/>
  <c r="CW68" i="1"/>
  <c r="BL68" i="1"/>
  <c r="BK68" i="1"/>
  <c r="BG68" i="1"/>
  <c r="BI68" i="1" s="1"/>
  <c r="BM68" i="1" s="1"/>
  <c r="BN68" i="1" s="1"/>
  <c r="BC68" i="1"/>
  <c r="AW68" i="1"/>
  <c r="AQ68" i="1"/>
  <c r="BD68" i="1" s="1"/>
  <c r="AL68" i="1"/>
  <c r="AJ68" i="1" s="1"/>
  <c r="M68" i="1" s="1"/>
  <c r="AZ68" i="1" s="1"/>
  <c r="AB68" i="1"/>
  <c r="AA68" i="1"/>
  <c r="S68" i="1"/>
  <c r="CZ67" i="1"/>
  <c r="CY67" i="1"/>
  <c r="CW67" i="1"/>
  <c r="BL67" i="1"/>
  <c r="BK67" i="1"/>
  <c r="BG67" i="1"/>
  <c r="BC67" i="1"/>
  <c r="AW67" i="1"/>
  <c r="AQ67" i="1"/>
  <c r="BD67" i="1" s="1"/>
  <c r="AL67" i="1"/>
  <c r="AJ67" i="1" s="1"/>
  <c r="M67" i="1" s="1"/>
  <c r="AZ67" i="1" s="1"/>
  <c r="AB67" i="1"/>
  <c r="AA67" i="1"/>
  <c r="S67" i="1"/>
  <c r="CZ66" i="1"/>
  <c r="CY66" i="1"/>
  <c r="CW66" i="1"/>
  <c r="BL66" i="1"/>
  <c r="BK66" i="1"/>
  <c r="BG66" i="1"/>
  <c r="BH66" i="1" s="1"/>
  <c r="BC66" i="1"/>
  <c r="AW66" i="1"/>
  <c r="AQ66" i="1"/>
  <c r="BD66" i="1" s="1"/>
  <c r="AL66" i="1"/>
  <c r="AJ66" i="1" s="1"/>
  <c r="AB66" i="1"/>
  <c r="AA66" i="1"/>
  <c r="S66" i="1"/>
  <c r="CZ65" i="1"/>
  <c r="CY65" i="1"/>
  <c r="CW65" i="1"/>
  <c r="BL65" i="1"/>
  <c r="BK65" i="1"/>
  <c r="BI65" i="1"/>
  <c r="BM65" i="1" s="1"/>
  <c r="BN65" i="1" s="1"/>
  <c r="BG65" i="1"/>
  <c r="BH65" i="1" s="1"/>
  <c r="BC65" i="1"/>
  <c r="AW65" i="1"/>
  <c r="AQ65" i="1"/>
  <c r="BD65" i="1" s="1"/>
  <c r="AL65" i="1"/>
  <c r="AJ65" i="1"/>
  <c r="L65" i="1" s="1"/>
  <c r="K65" i="1" s="1"/>
  <c r="AB65" i="1"/>
  <c r="AA65" i="1"/>
  <c r="S65" i="1"/>
  <c r="CZ64" i="1"/>
  <c r="CY64" i="1"/>
  <c r="CW64" i="1"/>
  <c r="BL64" i="1"/>
  <c r="BK64" i="1"/>
  <c r="BG64" i="1"/>
  <c r="BC64" i="1"/>
  <c r="AW64" i="1"/>
  <c r="AQ64" i="1"/>
  <c r="BD64" i="1" s="1"/>
  <c r="AL64" i="1"/>
  <c r="AJ64" i="1" s="1"/>
  <c r="M64" i="1" s="1"/>
  <c r="AZ64" i="1" s="1"/>
  <c r="AB64" i="1"/>
  <c r="AA64" i="1"/>
  <c r="S64" i="1"/>
  <c r="CZ63" i="1"/>
  <c r="CY63" i="1"/>
  <c r="CW63" i="1"/>
  <c r="BL63" i="1"/>
  <c r="BK63" i="1"/>
  <c r="BG63" i="1"/>
  <c r="BC63" i="1"/>
  <c r="AW63" i="1"/>
  <c r="AQ63" i="1"/>
  <c r="BD63" i="1" s="1"/>
  <c r="AL63" i="1"/>
  <c r="AJ63" i="1" s="1"/>
  <c r="AB63" i="1"/>
  <c r="AA63" i="1"/>
  <c r="S63" i="1"/>
  <c r="CZ62" i="1"/>
  <c r="CY62" i="1"/>
  <c r="CW62" i="1"/>
  <c r="BL62" i="1"/>
  <c r="BK62" i="1"/>
  <c r="BJ62" i="1"/>
  <c r="BG62" i="1"/>
  <c r="BH62" i="1" s="1"/>
  <c r="BC62" i="1"/>
  <c r="AW62" i="1"/>
  <c r="AQ62" i="1"/>
  <c r="BD62" i="1" s="1"/>
  <c r="AL62" i="1"/>
  <c r="AJ62" i="1" s="1"/>
  <c r="AB62" i="1"/>
  <c r="AA62" i="1"/>
  <c r="S62" i="1"/>
  <c r="CZ61" i="1"/>
  <c r="CY61" i="1"/>
  <c r="CW61" i="1"/>
  <c r="BL61" i="1"/>
  <c r="BK61" i="1"/>
  <c r="BJ61" i="1"/>
  <c r="BG61" i="1"/>
  <c r="BI61" i="1" s="1"/>
  <c r="BM61" i="1" s="1"/>
  <c r="BN61" i="1" s="1"/>
  <c r="BC61" i="1"/>
  <c r="AW61" i="1"/>
  <c r="AQ61" i="1"/>
  <c r="BD61" i="1" s="1"/>
  <c r="AL61" i="1"/>
  <c r="AJ61" i="1" s="1"/>
  <c r="M61" i="1" s="1"/>
  <c r="AZ61" i="1" s="1"/>
  <c r="AB61" i="1"/>
  <c r="AA61" i="1"/>
  <c r="S61" i="1"/>
  <c r="CZ60" i="1"/>
  <c r="CY60" i="1"/>
  <c r="CW60" i="1"/>
  <c r="BL60" i="1"/>
  <c r="BK60" i="1"/>
  <c r="BI60" i="1"/>
  <c r="BM60" i="1" s="1"/>
  <c r="BN60" i="1" s="1"/>
  <c r="BG60" i="1"/>
  <c r="BC60" i="1"/>
  <c r="AW60" i="1"/>
  <c r="AQ60" i="1"/>
  <c r="BD60" i="1" s="1"/>
  <c r="AL60" i="1"/>
  <c r="AJ60" i="1" s="1"/>
  <c r="AB60" i="1"/>
  <c r="AA60" i="1"/>
  <c r="Z60" i="1" s="1"/>
  <c r="S60" i="1"/>
  <c r="CZ59" i="1"/>
  <c r="CY59" i="1"/>
  <c r="CW59" i="1"/>
  <c r="BL59" i="1"/>
  <c r="BK59" i="1"/>
  <c r="BG59" i="1"/>
  <c r="BI59" i="1" s="1"/>
  <c r="BM59" i="1" s="1"/>
  <c r="BN59" i="1" s="1"/>
  <c r="BC59" i="1"/>
  <c r="AW59" i="1"/>
  <c r="AQ59" i="1"/>
  <c r="BD59" i="1" s="1"/>
  <c r="AL59" i="1"/>
  <c r="AJ59" i="1" s="1"/>
  <c r="AB59" i="1"/>
  <c r="AA59" i="1"/>
  <c r="Z59" i="1" s="1"/>
  <c r="S59" i="1"/>
  <c r="CZ58" i="1"/>
  <c r="CY58" i="1"/>
  <c r="CW58" i="1"/>
  <c r="BL58" i="1"/>
  <c r="BK58" i="1"/>
  <c r="BG58" i="1"/>
  <c r="BH58" i="1" s="1"/>
  <c r="BC58" i="1"/>
  <c r="AW58" i="1"/>
  <c r="AQ58" i="1"/>
  <c r="BD58" i="1" s="1"/>
  <c r="AL58" i="1"/>
  <c r="AJ58" i="1" s="1"/>
  <c r="AB58" i="1"/>
  <c r="AA58" i="1"/>
  <c r="Z58" i="1" s="1"/>
  <c r="S58" i="1"/>
  <c r="CZ57" i="1"/>
  <c r="V57" i="1" s="1"/>
  <c r="CY57" i="1"/>
  <c r="CW57" i="1"/>
  <c r="BL57" i="1"/>
  <c r="BK57" i="1"/>
  <c r="BG57" i="1"/>
  <c r="BI57" i="1" s="1"/>
  <c r="BM57" i="1" s="1"/>
  <c r="BN57" i="1" s="1"/>
  <c r="BC57" i="1"/>
  <c r="AW57" i="1"/>
  <c r="AQ57" i="1"/>
  <c r="BD57" i="1" s="1"/>
  <c r="AL57" i="1"/>
  <c r="AJ57" i="1" s="1"/>
  <c r="Q57" i="1" s="1"/>
  <c r="AB57" i="1"/>
  <c r="AA57" i="1"/>
  <c r="S57" i="1"/>
  <c r="CZ56" i="1"/>
  <c r="CY56" i="1"/>
  <c r="CW56" i="1"/>
  <c r="BL56" i="1"/>
  <c r="BK56" i="1"/>
  <c r="BG56" i="1"/>
  <c r="BC56" i="1"/>
  <c r="AW56" i="1"/>
  <c r="AQ56" i="1"/>
  <c r="BD56" i="1" s="1"/>
  <c r="AL56" i="1"/>
  <c r="AJ56" i="1" s="1"/>
  <c r="AB56" i="1"/>
  <c r="AA56" i="1"/>
  <c r="S56" i="1"/>
  <c r="CZ55" i="1"/>
  <c r="CY55" i="1"/>
  <c r="CW55" i="1"/>
  <c r="BL55" i="1"/>
  <c r="BK55" i="1"/>
  <c r="BG55" i="1"/>
  <c r="BI55" i="1" s="1"/>
  <c r="BM55" i="1" s="1"/>
  <c r="BN55" i="1" s="1"/>
  <c r="BD55" i="1"/>
  <c r="BC55" i="1"/>
  <c r="AW55" i="1"/>
  <c r="AQ55" i="1"/>
  <c r="AL55" i="1"/>
  <c r="AJ55" i="1" s="1"/>
  <c r="AB55" i="1"/>
  <c r="AA55" i="1"/>
  <c r="S55" i="1"/>
  <c r="CZ54" i="1"/>
  <c r="V54" i="1" s="1"/>
  <c r="CY54" i="1"/>
  <c r="CX54" i="1" s="1"/>
  <c r="AY54" i="1" s="1"/>
  <c r="CW54" i="1"/>
  <c r="BL54" i="1"/>
  <c r="BK54" i="1"/>
  <c r="BG54" i="1"/>
  <c r="BH54" i="1" s="1"/>
  <c r="BD54" i="1"/>
  <c r="BC54" i="1"/>
  <c r="AW54" i="1"/>
  <c r="AQ54" i="1"/>
  <c r="AL54" i="1"/>
  <c r="AJ54" i="1" s="1"/>
  <c r="M54" i="1" s="1"/>
  <c r="AZ54" i="1" s="1"/>
  <c r="AB54" i="1"/>
  <c r="AA54" i="1"/>
  <c r="Z54" i="1" s="1"/>
  <c r="S54" i="1"/>
  <c r="CZ53" i="1"/>
  <c r="CY53" i="1"/>
  <c r="CW53" i="1"/>
  <c r="BL53" i="1"/>
  <c r="BK53" i="1"/>
  <c r="BG53" i="1"/>
  <c r="BC53" i="1"/>
  <c r="AW53" i="1"/>
  <c r="AQ53" i="1"/>
  <c r="BD53" i="1" s="1"/>
  <c r="AL53" i="1"/>
  <c r="AJ53" i="1" s="1"/>
  <c r="M53" i="1" s="1"/>
  <c r="AZ53" i="1" s="1"/>
  <c r="AB53" i="1"/>
  <c r="Z53" i="1" s="1"/>
  <c r="AA53" i="1"/>
  <c r="S53" i="1"/>
  <c r="CZ52" i="1"/>
  <c r="CY52" i="1"/>
  <c r="CW52" i="1"/>
  <c r="BL52" i="1"/>
  <c r="BK52" i="1"/>
  <c r="BG52" i="1"/>
  <c r="BC52" i="1"/>
  <c r="AW52" i="1"/>
  <c r="AQ52" i="1"/>
  <c r="BD52" i="1" s="1"/>
  <c r="AL52" i="1"/>
  <c r="AJ52" i="1" s="1"/>
  <c r="M52" i="1" s="1"/>
  <c r="AZ52" i="1" s="1"/>
  <c r="AB52" i="1"/>
  <c r="AA52" i="1"/>
  <c r="S52" i="1"/>
  <c r="CZ51" i="1"/>
  <c r="CY51" i="1"/>
  <c r="CW51" i="1"/>
  <c r="BL51" i="1"/>
  <c r="BK51" i="1"/>
  <c r="BG51" i="1"/>
  <c r="BI51" i="1" s="1"/>
  <c r="BM51" i="1" s="1"/>
  <c r="BN51" i="1" s="1"/>
  <c r="BC51" i="1"/>
  <c r="AW51" i="1"/>
  <c r="AQ51" i="1"/>
  <c r="BD51" i="1" s="1"/>
  <c r="AL51" i="1"/>
  <c r="AJ51" i="1" s="1"/>
  <c r="AK51" i="1" s="1"/>
  <c r="AB51" i="1"/>
  <c r="AA51" i="1"/>
  <c r="S51" i="1"/>
  <c r="CZ50" i="1"/>
  <c r="CY50" i="1"/>
  <c r="CX50" i="1" s="1"/>
  <c r="AY50" i="1" s="1"/>
  <c r="CW50" i="1"/>
  <c r="V50" i="1" s="1"/>
  <c r="BL50" i="1"/>
  <c r="BK50" i="1"/>
  <c r="BJ50" i="1"/>
  <c r="BG50" i="1"/>
  <c r="BH50" i="1" s="1"/>
  <c r="BC50" i="1"/>
  <c r="AW50" i="1"/>
  <c r="AQ50" i="1"/>
  <c r="BD50" i="1" s="1"/>
  <c r="AL50" i="1"/>
  <c r="AJ50" i="1" s="1"/>
  <c r="M50" i="1" s="1"/>
  <c r="AZ50" i="1" s="1"/>
  <c r="AB50" i="1"/>
  <c r="Z50" i="1" s="1"/>
  <c r="AA50" i="1"/>
  <c r="S50" i="1"/>
  <c r="CZ49" i="1"/>
  <c r="CY49" i="1"/>
  <c r="CW49" i="1"/>
  <c r="BL49" i="1"/>
  <c r="BK49" i="1"/>
  <c r="BG49" i="1"/>
  <c r="BC49" i="1"/>
  <c r="AW49" i="1"/>
  <c r="AQ49" i="1"/>
  <c r="BD49" i="1" s="1"/>
  <c r="AL49" i="1"/>
  <c r="AJ49" i="1" s="1"/>
  <c r="M49" i="1" s="1"/>
  <c r="AZ49" i="1" s="1"/>
  <c r="AB49" i="1"/>
  <c r="AA49" i="1"/>
  <c r="S49" i="1"/>
  <c r="CZ48" i="1"/>
  <c r="CY48" i="1"/>
  <c r="CW48" i="1"/>
  <c r="BL48" i="1"/>
  <c r="BK48" i="1"/>
  <c r="BG48" i="1"/>
  <c r="BC48" i="1"/>
  <c r="AW48" i="1"/>
  <c r="AQ48" i="1"/>
  <c r="BD48" i="1" s="1"/>
  <c r="AL48" i="1"/>
  <c r="AJ48" i="1" s="1"/>
  <c r="AB48" i="1"/>
  <c r="AA48" i="1"/>
  <c r="S48" i="1"/>
  <c r="CZ47" i="1"/>
  <c r="CY47" i="1"/>
  <c r="CW47" i="1"/>
  <c r="BL47" i="1"/>
  <c r="BK47" i="1"/>
  <c r="BJ47" i="1"/>
  <c r="BG47" i="1"/>
  <c r="BH47" i="1" s="1"/>
  <c r="BD47" i="1"/>
  <c r="BC47" i="1"/>
  <c r="AW47" i="1"/>
  <c r="AQ47" i="1"/>
  <c r="AL47" i="1"/>
  <c r="AJ47" i="1" s="1"/>
  <c r="AB47" i="1"/>
  <c r="AA47" i="1"/>
  <c r="S47" i="1"/>
  <c r="CZ46" i="1"/>
  <c r="V46" i="1" s="1"/>
  <c r="CY46" i="1"/>
  <c r="CW46" i="1"/>
  <c r="BL46" i="1"/>
  <c r="BK46" i="1"/>
  <c r="BG46" i="1"/>
  <c r="BJ46" i="1" s="1"/>
  <c r="BC46" i="1"/>
  <c r="AW46" i="1"/>
  <c r="AQ46" i="1"/>
  <c r="BD46" i="1" s="1"/>
  <c r="AL46" i="1"/>
  <c r="AJ46" i="1" s="1"/>
  <c r="N46" i="1" s="1"/>
  <c r="AB46" i="1"/>
  <c r="AA46" i="1"/>
  <c r="S46" i="1"/>
  <c r="CZ45" i="1"/>
  <c r="CY45" i="1"/>
  <c r="CW45" i="1"/>
  <c r="BL45" i="1"/>
  <c r="BK45" i="1"/>
  <c r="BG45" i="1"/>
  <c r="BH45" i="1" s="1"/>
  <c r="BC45" i="1"/>
  <c r="AW45" i="1"/>
  <c r="AQ45" i="1"/>
  <c r="BD45" i="1" s="1"/>
  <c r="AL45" i="1"/>
  <c r="AJ45" i="1" s="1"/>
  <c r="AB45" i="1"/>
  <c r="AA45" i="1"/>
  <c r="S45" i="1"/>
  <c r="CZ44" i="1"/>
  <c r="CY44" i="1"/>
  <c r="CW44" i="1"/>
  <c r="BL44" i="1"/>
  <c r="BK44" i="1"/>
  <c r="BG44" i="1"/>
  <c r="BC44" i="1"/>
  <c r="AW44" i="1"/>
  <c r="AQ44" i="1"/>
  <c r="BD44" i="1" s="1"/>
  <c r="AL44" i="1"/>
  <c r="AJ44" i="1" s="1"/>
  <c r="AB44" i="1"/>
  <c r="AA44" i="1"/>
  <c r="Z44" i="1" s="1"/>
  <c r="S44" i="1"/>
  <c r="CZ43" i="1"/>
  <c r="CY43" i="1"/>
  <c r="CW43" i="1"/>
  <c r="BL43" i="1"/>
  <c r="BK43" i="1"/>
  <c r="BG43" i="1"/>
  <c r="BH43" i="1" s="1"/>
  <c r="BC43" i="1"/>
  <c r="AW43" i="1"/>
  <c r="AQ43" i="1"/>
  <c r="BD43" i="1" s="1"/>
  <c r="AL43" i="1"/>
  <c r="AJ43" i="1" s="1"/>
  <c r="AK43" i="1" s="1"/>
  <c r="AB43" i="1"/>
  <c r="AA43" i="1"/>
  <c r="Z43" i="1" s="1"/>
  <c r="S43" i="1"/>
  <c r="CZ42" i="1"/>
  <c r="CY42" i="1"/>
  <c r="CX42" i="1" s="1"/>
  <c r="AY42" i="1" s="1"/>
  <c r="CW42" i="1"/>
  <c r="BL42" i="1"/>
  <c r="BK42" i="1"/>
  <c r="BH42" i="1"/>
  <c r="BG42" i="1"/>
  <c r="BJ42" i="1" s="1"/>
  <c r="BC42" i="1"/>
  <c r="AW42" i="1"/>
  <c r="AQ42" i="1"/>
  <c r="BD42" i="1" s="1"/>
  <c r="AL42" i="1"/>
  <c r="AJ42" i="1" s="1"/>
  <c r="Q42" i="1" s="1"/>
  <c r="AB42" i="1"/>
  <c r="AA42" i="1"/>
  <c r="Z42" i="1" s="1"/>
  <c r="S42" i="1"/>
  <c r="CZ41" i="1"/>
  <c r="CY41" i="1"/>
  <c r="CW41" i="1"/>
  <c r="BL41" i="1"/>
  <c r="BK41" i="1"/>
  <c r="BG41" i="1"/>
  <c r="BH41" i="1" s="1"/>
  <c r="BC41" i="1"/>
  <c r="AW41" i="1"/>
  <c r="AQ41" i="1"/>
  <c r="BD41" i="1" s="1"/>
  <c r="AL41" i="1"/>
  <c r="AJ41" i="1" s="1"/>
  <c r="M41" i="1" s="1"/>
  <c r="AZ41" i="1" s="1"/>
  <c r="AB41" i="1"/>
  <c r="AA41" i="1"/>
  <c r="S41" i="1"/>
  <c r="CZ40" i="1"/>
  <c r="CY40" i="1"/>
  <c r="CW40" i="1"/>
  <c r="BL40" i="1"/>
  <c r="BK40" i="1"/>
  <c r="BH40" i="1"/>
  <c r="BG40" i="1"/>
  <c r="BC40" i="1"/>
  <c r="AW40" i="1"/>
  <c r="AQ40" i="1"/>
  <c r="BD40" i="1" s="1"/>
  <c r="AL40" i="1"/>
  <c r="AJ40" i="1"/>
  <c r="AK40" i="1" s="1"/>
  <c r="AB40" i="1"/>
  <c r="AA40" i="1"/>
  <c r="S40" i="1"/>
  <c r="CZ39" i="1"/>
  <c r="CY39" i="1"/>
  <c r="CW39" i="1"/>
  <c r="BL39" i="1"/>
  <c r="BK39" i="1"/>
  <c r="BJ39" i="1"/>
  <c r="BG39" i="1"/>
  <c r="BI39" i="1" s="1"/>
  <c r="BM39" i="1" s="1"/>
  <c r="BN39" i="1" s="1"/>
  <c r="BC39" i="1"/>
  <c r="AW39" i="1"/>
  <c r="AQ39" i="1"/>
  <c r="BD39" i="1" s="1"/>
  <c r="AL39" i="1"/>
  <c r="AJ39" i="1" s="1"/>
  <c r="Q39" i="1" s="1"/>
  <c r="AB39" i="1"/>
  <c r="AA39" i="1"/>
  <c r="S39" i="1"/>
  <c r="CZ38" i="1"/>
  <c r="CY38" i="1"/>
  <c r="CW38" i="1"/>
  <c r="BL38" i="1"/>
  <c r="BK38" i="1"/>
  <c r="BH38" i="1"/>
  <c r="BG38" i="1"/>
  <c r="BJ38" i="1" s="1"/>
  <c r="BC38" i="1"/>
  <c r="AW38" i="1"/>
  <c r="AQ38" i="1"/>
  <c r="BD38" i="1" s="1"/>
  <c r="AL38" i="1"/>
  <c r="AJ38" i="1" s="1"/>
  <c r="Q38" i="1" s="1"/>
  <c r="AB38" i="1"/>
  <c r="AA38" i="1"/>
  <c r="Z38" i="1" s="1"/>
  <c r="V38" i="1"/>
  <c r="S38" i="1"/>
  <c r="CZ37" i="1"/>
  <c r="CY37" i="1"/>
  <c r="CW37" i="1"/>
  <c r="BL37" i="1"/>
  <c r="BK37" i="1"/>
  <c r="BJ37" i="1"/>
  <c r="BG37" i="1"/>
  <c r="BH37" i="1" s="1"/>
  <c r="BC37" i="1"/>
  <c r="AW37" i="1"/>
  <c r="AQ37" i="1"/>
  <c r="BD37" i="1" s="1"/>
  <c r="AL37" i="1"/>
  <c r="AJ37" i="1" s="1"/>
  <c r="M37" i="1" s="1"/>
  <c r="AZ37" i="1" s="1"/>
  <c r="AB37" i="1"/>
  <c r="AA37" i="1"/>
  <c r="S37" i="1"/>
  <c r="CZ36" i="1"/>
  <c r="V36" i="1" s="1"/>
  <c r="CY36" i="1"/>
  <c r="CX36" i="1" s="1"/>
  <c r="AY36" i="1" s="1"/>
  <c r="CW36" i="1"/>
  <c r="BL36" i="1"/>
  <c r="BK36" i="1"/>
  <c r="BG36" i="1"/>
  <c r="BC36" i="1"/>
  <c r="AW36" i="1"/>
  <c r="AQ36" i="1"/>
  <c r="BD36" i="1" s="1"/>
  <c r="AL36" i="1"/>
  <c r="AJ36" i="1" s="1"/>
  <c r="N36" i="1" s="1"/>
  <c r="AB36" i="1"/>
  <c r="AA36" i="1"/>
  <c r="Z36" i="1" s="1"/>
  <c r="S36" i="1"/>
  <c r="CZ35" i="1"/>
  <c r="CY35" i="1"/>
  <c r="CW35" i="1"/>
  <c r="BL35" i="1"/>
  <c r="BK35" i="1"/>
  <c r="BJ35" i="1"/>
  <c r="BG35" i="1"/>
  <c r="BI35" i="1" s="1"/>
  <c r="BM35" i="1" s="1"/>
  <c r="BN35" i="1" s="1"/>
  <c r="BC35" i="1"/>
  <c r="AW35" i="1"/>
  <c r="AQ35" i="1"/>
  <c r="BD35" i="1" s="1"/>
  <c r="AL35" i="1"/>
  <c r="AJ35" i="1" s="1"/>
  <c r="AK35" i="1" s="1"/>
  <c r="AB35" i="1"/>
  <c r="AA35" i="1"/>
  <c r="S35" i="1"/>
  <c r="L35" i="1"/>
  <c r="K35" i="1" s="1"/>
  <c r="CZ34" i="1"/>
  <c r="CY34" i="1"/>
  <c r="CW34" i="1"/>
  <c r="BL34" i="1"/>
  <c r="BK34" i="1"/>
  <c r="BG34" i="1"/>
  <c r="BJ34" i="1" s="1"/>
  <c r="BC34" i="1"/>
  <c r="AW34" i="1"/>
  <c r="AQ34" i="1"/>
  <c r="BD34" i="1" s="1"/>
  <c r="AL34" i="1"/>
  <c r="AJ34" i="1"/>
  <c r="AB34" i="1"/>
  <c r="AA34" i="1"/>
  <c r="S34" i="1"/>
  <c r="CZ33" i="1"/>
  <c r="CY33" i="1"/>
  <c r="CW33" i="1"/>
  <c r="BL33" i="1"/>
  <c r="BK33" i="1"/>
  <c r="BG33" i="1"/>
  <c r="BJ33" i="1" s="1"/>
  <c r="BC33" i="1"/>
  <c r="AW33" i="1"/>
  <c r="AQ33" i="1"/>
  <c r="BD33" i="1" s="1"/>
  <c r="AL33" i="1"/>
  <c r="AJ33" i="1" s="1"/>
  <c r="L33" i="1" s="1"/>
  <c r="K33" i="1" s="1"/>
  <c r="AD33" i="1" s="1"/>
  <c r="AB33" i="1"/>
  <c r="AA33" i="1"/>
  <c r="S33" i="1"/>
  <c r="CZ32" i="1"/>
  <c r="CY32" i="1"/>
  <c r="CW32" i="1"/>
  <c r="BL32" i="1"/>
  <c r="BK32" i="1"/>
  <c r="BG32" i="1"/>
  <c r="BC32" i="1"/>
  <c r="AW32" i="1"/>
  <c r="AQ32" i="1"/>
  <c r="BD32" i="1" s="1"/>
  <c r="AL32" i="1"/>
  <c r="AJ32" i="1" s="1"/>
  <c r="AB32" i="1"/>
  <c r="AA32" i="1"/>
  <c r="S32" i="1"/>
  <c r="CZ31" i="1"/>
  <c r="CY31" i="1"/>
  <c r="CW31" i="1"/>
  <c r="BL31" i="1"/>
  <c r="BK31" i="1"/>
  <c r="BG31" i="1"/>
  <c r="BH31" i="1" s="1"/>
  <c r="BD31" i="1"/>
  <c r="BC31" i="1"/>
  <c r="AW31" i="1"/>
  <c r="AQ31" i="1"/>
  <c r="AL31" i="1"/>
  <c r="AJ31" i="1" s="1"/>
  <c r="N31" i="1" s="1"/>
  <c r="AB31" i="1"/>
  <c r="AA31" i="1"/>
  <c r="S31" i="1"/>
  <c r="CZ30" i="1"/>
  <c r="CY30" i="1"/>
  <c r="CW30" i="1"/>
  <c r="V30" i="1" s="1"/>
  <c r="BL30" i="1"/>
  <c r="BK30" i="1"/>
  <c r="BG30" i="1"/>
  <c r="BH30" i="1" s="1"/>
  <c r="BC30" i="1"/>
  <c r="AW30" i="1"/>
  <c r="AQ30" i="1"/>
  <c r="BD30" i="1" s="1"/>
  <c r="AL30" i="1"/>
  <c r="AJ30" i="1" s="1"/>
  <c r="AB30" i="1"/>
  <c r="AA30" i="1"/>
  <c r="S30" i="1"/>
  <c r="CZ29" i="1"/>
  <c r="CY29" i="1"/>
  <c r="CW29" i="1"/>
  <c r="BL29" i="1"/>
  <c r="BK29" i="1"/>
  <c r="BG29" i="1"/>
  <c r="BC29" i="1"/>
  <c r="AW29" i="1"/>
  <c r="AQ29" i="1"/>
  <c r="BD29" i="1" s="1"/>
  <c r="AL29" i="1"/>
  <c r="AJ29" i="1" s="1"/>
  <c r="L29" i="1" s="1"/>
  <c r="K29" i="1" s="1"/>
  <c r="AB29" i="1"/>
  <c r="AA29" i="1"/>
  <c r="S29" i="1"/>
  <c r="CZ28" i="1"/>
  <c r="CY28" i="1"/>
  <c r="CW28" i="1"/>
  <c r="BL28" i="1"/>
  <c r="BK28" i="1"/>
  <c r="BG28" i="1"/>
  <c r="BJ28" i="1" s="1"/>
  <c r="BC28" i="1"/>
  <c r="AW28" i="1"/>
  <c r="AQ28" i="1"/>
  <c r="BD28" i="1" s="1"/>
  <c r="AL28" i="1"/>
  <c r="AJ28" i="1"/>
  <c r="L28" i="1" s="1"/>
  <c r="K28" i="1" s="1"/>
  <c r="AB28" i="1"/>
  <c r="AA28" i="1"/>
  <c r="S28" i="1"/>
  <c r="CZ27" i="1"/>
  <c r="CY27" i="1"/>
  <c r="CW27" i="1"/>
  <c r="BL27" i="1"/>
  <c r="BK27" i="1"/>
  <c r="BG27" i="1"/>
  <c r="BC27" i="1"/>
  <c r="AW27" i="1"/>
  <c r="AQ27" i="1"/>
  <c r="BD27" i="1" s="1"/>
  <c r="AL27" i="1"/>
  <c r="AJ27" i="1" s="1"/>
  <c r="AK27" i="1" s="1"/>
  <c r="AB27" i="1"/>
  <c r="AA27" i="1"/>
  <c r="S27" i="1"/>
  <c r="CZ26" i="1"/>
  <c r="V26" i="1" s="1"/>
  <c r="CY26" i="1"/>
  <c r="CW26" i="1"/>
  <c r="BL26" i="1"/>
  <c r="BK26" i="1"/>
  <c r="BG26" i="1"/>
  <c r="BJ26" i="1" s="1"/>
  <c r="BC26" i="1"/>
  <c r="AW26" i="1"/>
  <c r="AQ26" i="1"/>
  <c r="BD26" i="1" s="1"/>
  <c r="AL26" i="1"/>
  <c r="AJ26" i="1" s="1"/>
  <c r="Q26" i="1" s="1"/>
  <c r="AB26" i="1"/>
  <c r="AA26" i="1"/>
  <c r="S26" i="1"/>
  <c r="CZ25" i="1"/>
  <c r="CY25" i="1"/>
  <c r="CW25" i="1"/>
  <c r="BL25" i="1"/>
  <c r="BK25" i="1"/>
  <c r="BG25" i="1"/>
  <c r="BI25" i="1" s="1"/>
  <c r="BM25" i="1" s="1"/>
  <c r="BN25" i="1" s="1"/>
  <c r="BC25" i="1"/>
  <c r="AW25" i="1"/>
  <c r="AQ25" i="1"/>
  <c r="BD25" i="1" s="1"/>
  <c r="AL25" i="1"/>
  <c r="AJ25" i="1" s="1"/>
  <c r="L25" i="1" s="1"/>
  <c r="K25" i="1" s="1"/>
  <c r="AD25" i="1" s="1"/>
  <c r="AB25" i="1"/>
  <c r="Z25" i="1" s="1"/>
  <c r="AA25" i="1"/>
  <c r="S25" i="1"/>
  <c r="CZ24" i="1"/>
  <c r="CY24" i="1"/>
  <c r="CW24" i="1"/>
  <c r="BL24" i="1"/>
  <c r="BK24" i="1"/>
  <c r="BG24" i="1"/>
  <c r="BC24" i="1"/>
  <c r="AW24" i="1"/>
  <c r="AQ24" i="1"/>
  <c r="BD24" i="1" s="1"/>
  <c r="AL24" i="1"/>
  <c r="AJ24" i="1" s="1"/>
  <c r="M24" i="1" s="1"/>
  <c r="AZ24" i="1" s="1"/>
  <c r="AB24" i="1"/>
  <c r="AA24" i="1"/>
  <c r="Z24" i="1" s="1"/>
  <c r="S24" i="1"/>
  <c r="CZ23" i="1"/>
  <c r="V23" i="1" s="1"/>
  <c r="CY23" i="1"/>
  <c r="CX23" i="1" s="1"/>
  <c r="AY23" i="1" s="1"/>
  <c r="CW23" i="1"/>
  <c r="BL23" i="1"/>
  <c r="BK23" i="1"/>
  <c r="BJ23" i="1"/>
  <c r="BG23" i="1"/>
  <c r="BI23" i="1" s="1"/>
  <c r="BM23" i="1" s="1"/>
  <c r="BN23" i="1" s="1"/>
  <c r="BD23" i="1"/>
  <c r="BC23" i="1"/>
  <c r="AW23" i="1"/>
  <c r="AQ23" i="1"/>
  <c r="AL23" i="1"/>
  <c r="AJ23" i="1" s="1"/>
  <c r="Q23" i="1" s="1"/>
  <c r="AB23" i="1"/>
  <c r="AA23" i="1"/>
  <c r="S23" i="1"/>
  <c r="CZ22" i="1"/>
  <c r="CY22" i="1"/>
  <c r="CW22" i="1"/>
  <c r="BL22" i="1"/>
  <c r="BK22" i="1"/>
  <c r="BG22" i="1"/>
  <c r="BJ22" i="1" s="1"/>
  <c r="BC22" i="1"/>
  <c r="AW22" i="1"/>
  <c r="AQ22" i="1"/>
  <c r="BD22" i="1" s="1"/>
  <c r="AL22" i="1"/>
  <c r="AJ22" i="1" s="1"/>
  <c r="AB22" i="1"/>
  <c r="Z22" i="1" s="1"/>
  <c r="AA22" i="1"/>
  <c r="S22" i="1"/>
  <c r="CZ21" i="1"/>
  <c r="CY21" i="1"/>
  <c r="CW21" i="1"/>
  <c r="BL21" i="1"/>
  <c r="BK21" i="1"/>
  <c r="BG21" i="1"/>
  <c r="BI21" i="1" s="1"/>
  <c r="BM21" i="1" s="1"/>
  <c r="BN21" i="1" s="1"/>
  <c r="BC21" i="1"/>
  <c r="AW21" i="1"/>
  <c r="AQ21" i="1"/>
  <c r="BD21" i="1" s="1"/>
  <c r="AL21" i="1"/>
  <c r="AJ21" i="1" s="1"/>
  <c r="M21" i="1" s="1"/>
  <c r="AZ21" i="1" s="1"/>
  <c r="AB21" i="1"/>
  <c r="AA21" i="1"/>
  <c r="S21" i="1"/>
  <c r="CZ20" i="1"/>
  <c r="CY20" i="1"/>
  <c r="CW20" i="1"/>
  <c r="BL20" i="1"/>
  <c r="BK20" i="1"/>
  <c r="BG20" i="1"/>
  <c r="BC20" i="1"/>
  <c r="AW20" i="1"/>
  <c r="AQ20" i="1"/>
  <c r="BD20" i="1" s="1"/>
  <c r="AL20" i="1"/>
  <c r="AJ20" i="1" s="1"/>
  <c r="M20" i="1" s="1"/>
  <c r="AZ20" i="1" s="1"/>
  <c r="AB20" i="1"/>
  <c r="AA20" i="1"/>
  <c r="Z20" i="1"/>
  <c r="S20" i="1"/>
  <c r="CZ19" i="1"/>
  <c r="V19" i="1" s="1"/>
  <c r="CY19" i="1"/>
  <c r="CW19" i="1"/>
  <c r="CX19" i="1" s="1"/>
  <c r="AY19" i="1" s="1"/>
  <c r="BL19" i="1"/>
  <c r="BK19" i="1"/>
  <c r="BI19" i="1"/>
  <c r="BM19" i="1" s="1"/>
  <c r="BN19" i="1" s="1"/>
  <c r="BH19" i="1"/>
  <c r="BG19" i="1"/>
  <c r="BJ19" i="1" s="1"/>
  <c r="BC19" i="1"/>
  <c r="AW19" i="1"/>
  <c r="AQ19" i="1"/>
  <c r="BD19" i="1" s="1"/>
  <c r="AL19" i="1"/>
  <c r="AJ19" i="1" s="1"/>
  <c r="AK19" i="1" s="1"/>
  <c r="AB19" i="1"/>
  <c r="AA19" i="1"/>
  <c r="Z19" i="1" s="1"/>
  <c r="S19" i="1"/>
  <c r="CZ18" i="1"/>
  <c r="CY18" i="1"/>
  <c r="CW18" i="1"/>
  <c r="V18" i="1" s="1"/>
  <c r="BL18" i="1"/>
  <c r="BK18" i="1"/>
  <c r="BI18" i="1"/>
  <c r="BM18" i="1" s="1"/>
  <c r="BN18" i="1" s="1"/>
  <c r="BH18" i="1"/>
  <c r="BG18" i="1"/>
  <c r="BJ18" i="1" s="1"/>
  <c r="BC18" i="1"/>
  <c r="AW18" i="1"/>
  <c r="AQ18" i="1"/>
  <c r="BD18" i="1" s="1"/>
  <c r="AL18" i="1"/>
  <c r="AJ18" i="1"/>
  <c r="M18" i="1" s="1"/>
  <c r="AZ18" i="1" s="1"/>
  <c r="AB18" i="1"/>
  <c r="Z18" i="1" s="1"/>
  <c r="AA18" i="1"/>
  <c r="S18" i="1"/>
  <c r="CZ17" i="1"/>
  <c r="CY17" i="1"/>
  <c r="CW17" i="1"/>
  <c r="BL17" i="1"/>
  <c r="BK17" i="1"/>
  <c r="BG17" i="1"/>
  <c r="BC17" i="1"/>
  <c r="AW17" i="1"/>
  <c r="AQ17" i="1"/>
  <c r="BD17" i="1" s="1"/>
  <c r="AL17" i="1"/>
  <c r="AJ17" i="1" s="1"/>
  <c r="M17" i="1" s="1"/>
  <c r="AZ17" i="1" s="1"/>
  <c r="AB17" i="1"/>
  <c r="AA17" i="1"/>
  <c r="S17" i="1"/>
  <c r="L69" i="1" l="1"/>
  <c r="K69" i="1" s="1"/>
  <c r="AD69" i="1" s="1"/>
  <c r="Q69" i="1"/>
  <c r="CX22" i="1"/>
  <c r="AY22" i="1" s="1"/>
  <c r="Z30" i="1"/>
  <c r="Z34" i="1"/>
  <c r="BH34" i="1"/>
  <c r="Q35" i="1"/>
  <c r="BI38" i="1"/>
  <c r="BM38" i="1" s="1"/>
  <c r="BN38" i="1" s="1"/>
  <c r="V42" i="1"/>
  <c r="BI54" i="1"/>
  <c r="BM54" i="1" s="1"/>
  <c r="BN54" i="1" s="1"/>
  <c r="Z64" i="1"/>
  <c r="V65" i="1"/>
  <c r="N75" i="1"/>
  <c r="Z80" i="1"/>
  <c r="CX81" i="1"/>
  <c r="AY81" i="1" s="1"/>
  <c r="BA81" i="1" s="1"/>
  <c r="V85" i="1"/>
  <c r="BA23" i="1"/>
  <c r="M25" i="1"/>
  <c r="AZ25" i="1" s="1"/>
  <c r="Z26" i="1"/>
  <c r="V28" i="1"/>
  <c r="AK31" i="1"/>
  <c r="BI34" i="1"/>
  <c r="BM34" i="1" s="1"/>
  <c r="BN34" i="1" s="1"/>
  <c r="BI47" i="1"/>
  <c r="BM47" i="1" s="1"/>
  <c r="BN47" i="1" s="1"/>
  <c r="Z48" i="1"/>
  <c r="Z52" i="1"/>
  <c r="BJ54" i="1"/>
  <c r="Z55" i="1"/>
  <c r="BJ86" i="1"/>
  <c r="BA70" i="1"/>
  <c r="L84" i="1"/>
  <c r="K84" i="1" s="1"/>
  <c r="CX18" i="1"/>
  <c r="AY18" i="1" s="1"/>
  <c r="BA18" i="1" s="1"/>
  <c r="BA19" i="1"/>
  <c r="BH22" i="1"/>
  <c r="CX26" i="1"/>
  <c r="AY26" i="1" s="1"/>
  <c r="BA26" i="1" s="1"/>
  <c r="BJ41" i="1"/>
  <c r="BI42" i="1"/>
  <c r="BM42" i="1" s="1"/>
  <c r="BN42" i="1" s="1"/>
  <c r="BJ45" i="1"/>
  <c r="Z63" i="1"/>
  <c r="BJ66" i="1"/>
  <c r="BI73" i="1"/>
  <c r="BM73" i="1" s="1"/>
  <c r="BN73" i="1" s="1"/>
  <c r="BH83" i="1"/>
  <c r="BI22" i="1"/>
  <c r="BM22" i="1" s="1"/>
  <c r="BN22" i="1" s="1"/>
  <c r="Z23" i="1"/>
  <c r="L31" i="1"/>
  <c r="K31" i="1" s="1"/>
  <c r="AD31" i="1" s="1"/>
  <c r="V34" i="1"/>
  <c r="CX38" i="1"/>
  <c r="AY38" i="1" s="1"/>
  <c r="Z41" i="1"/>
  <c r="Z46" i="1"/>
  <c r="BI50" i="1"/>
  <c r="BM50" i="1" s="1"/>
  <c r="BN50" i="1" s="1"/>
  <c r="Z51" i="1"/>
  <c r="CX55" i="1"/>
  <c r="AY55" i="1" s="1"/>
  <c r="M57" i="1"/>
  <c r="AZ57" i="1" s="1"/>
  <c r="N61" i="1"/>
  <c r="Z66" i="1"/>
  <c r="V70" i="1"/>
  <c r="V79" i="1"/>
  <c r="Z28" i="1"/>
  <c r="M31" i="1"/>
  <c r="AZ31" i="1" s="1"/>
  <c r="Z40" i="1"/>
  <c r="CX46" i="1"/>
  <c r="AY46" i="1" s="1"/>
  <c r="BA46" i="1" s="1"/>
  <c r="CX47" i="1"/>
  <c r="AY47" i="1" s="1"/>
  <c r="BA47" i="1" s="1"/>
  <c r="BA55" i="1"/>
  <c r="Q61" i="1"/>
  <c r="Z62" i="1"/>
  <c r="Z65" i="1"/>
  <c r="Z72" i="1"/>
  <c r="AK23" i="1"/>
  <c r="Z32" i="1"/>
  <c r="L53" i="1"/>
  <c r="K53" i="1" s="1"/>
  <c r="Z57" i="1"/>
  <c r="CX66" i="1"/>
  <c r="AY66" i="1" s="1"/>
  <c r="BA66" i="1" s="1"/>
  <c r="N32" i="1"/>
  <c r="M32" i="1"/>
  <c r="AZ32" i="1" s="1"/>
  <c r="L58" i="1"/>
  <c r="K58" i="1" s="1"/>
  <c r="N58" i="1"/>
  <c r="N62" i="1"/>
  <c r="Q62" i="1"/>
  <c r="AK62" i="1"/>
  <c r="L72" i="1"/>
  <c r="K72" i="1" s="1"/>
  <c r="AD72" i="1" s="1"/>
  <c r="Q72" i="1"/>
  <c r="M72" i="1"/>
  <c r="AZ72" i="1" s="1"/>
  <c r="AK71" i="1"/>
  <c r="M71" i="1"/>
  <c r="AZ71" i="1" s="1"/>
  <c r="BB71" i="1" s="1"/>
  <c r="L30" i="1"/>
  <c r="K30" i="1" s="1"/>
  <c r="AD30" i="1" s="1"/>
  <c r="AK30" i="1"/>
  <c r="N30" i="1"/>
  <c r="Q30" i="1"/>
  <c r="L80" i="1"/>
  <c r="K80" i="1" s="1"/>
  <c r="Q80" i="1"/>
  <c r="N80" i="1"/>
  <c r="M80" i="1"/>
  <c r="AZ80" i="1" s="1"/>
  <c r="AK80" i="1"/>
  <c r="Q63" i="1"/>
  <c r="M63" i="1"/>
  <c r="AZ63" i="1" s="1"/>
  <c r="M22" i="1"/>
  <c r="AZ22" i="1" s="1"/>
  <c r="N22" i="1"/>
  <c r="Q22" i="1"/>
  <c r="N66" i="1"/>
  <c r="Q66" i="1"/>
  <c r="AK66" i="1"/>
  <c r="BA22" i="1"/>
  <c r="BH28" i="1"/>
  <c r="CX30" i="1"/>
  <c r="AY30" i="1" s="1"/>
  <c r="BA30" i="1" s="1"/>
  <c r="AK36" i="1"/>
  <c r="CX39" i="1"/>
  <c r="AY39" i="1" s="1"/>
  <c r="BA39" i="1" s="1"/>
  <c r="Q43" i="1"/>
  <c r="CX43" i="1"/>
  <c r="AY43" i="1" s="1"/>
  <c r="BA43" i="1" s="1"/>
  <c r="M46" i="1"/>
  <c r="AZ46" i="1" s="1"/>
  <c r="BB46" i="1" s="1"/>
  <c r="Z49" i="1"/>
  <c r="CX51" i="1"/>
  <c r="AY51" i="1" s="1"/>
  <c r="BA51" i="1" s="1"/>
  <c r="AK52" i="1"/>
  <c r="L64" i="1"/>
  <c r="K64" i="1" s="1"/>
  <c r="AD64" i="1" s="1"/>
  <c r="M65" i="1"/>
  <c r="AZ65" i="1" s="1"/>
  <c r="BJ65" i="1"/>
  <c r="AK70" i="1"/>
  <c r="BI72" i="1"/>
  <c r="BM72" i="1" s="1"/>
  <c r="BN72" i="1" s="1"/>
  <c r="M84" i="1"/>
  <c r="AZ84" i="1" s="1"/>
  <c r="Z17" i="1"/>
  <c r="V22" i="1"/>
  <c r="BH23" i="1"/>
  <c r="N26" i="1"/>
  <c r="BI28" i="1"/>
  <c r="BM28" i="1" s="1"/>
  <c r="BN28" i="1" s="1"/>
  <c r="Z29" i="1"/>
  <c r="V32" i="1"/>
  <c r="Z35" i="1"/>
  <c r="L39" i="1"/>
  <c r="K39" i="1" s="1"/>
  <c r="CX40" i="1"/>
  <c r="AY40" i="1" s="1"/>
  <c r="BA40" i="1" s="1"/>
  <c r="BI45" i="1"/>
  <c r="BM45" i="1" s="1"/>
  <c r="BN45" i="1" s="1"/>
  <c r="Q51" i="1"/>
  <c r="L57" i="1"/>
  <c r="K57" i="1" s="1"/>
  <c r="AK57" i="1"/>
  <c r="BJ57" i="1"/>
  <c r="BI62" i="1"/>
  <c r="BM62" i="1" s="1"/>
  <c r="BN62" i="1" s="1"/>
  <c r="N65" i="1"/>
  <c r="L68" i="1"/>
  <c r="K68" i="1" s="1"/>
  <c r="AD68" i="1" s="1"/>
  <c r="CX69" i="1"/>
  <c r="AY69" i="1" s="1"/>
  <c r="BA69" i="1" s="1"/>
  <c r="BJ72" i="1"/>
  <c r="AK76" i="1"/>
  <c r="CX78" i="1"/>
  <c r="AY78" i="1" s="1"/>
  <c r="BA78" i="1" s="1"/>
  <c r="CX79" i="1"/>
  <c r="AY79" i="1" s="1"/>
  <c r="BA79" i="1" s="1"/>
  <c r="BI81" i="1"/>
  <c r="BM81" i="1" s="1"/>
  <c r="BN81" i="1" s="1"/>
  <c r="Z82" i="1"/>
  <c r="N84" i="1"/>
  <c r="Q19" i="1"/>
  <c r="CX61" i="1"/>
  <c r="AY61" i="1" s="1"/>
  <c r="BA61" i="1" s="1"/>
  <c r="Q65" i="1"/>
  <c r="BI66" i="1"/>
  <c r="BM66" i="1" s="1"/>
  <c r="BN66" i="1" s="1"/>
  <c r="M69" i="1"/>
  <c r="AZ69" i="1" s="1"/>
  <c r="M76" i="1"/>
  <c r="AZ76" i="1" s="1"/>
  <c r="Q84" i="1"/>
  <c r="Z21" i="1"/>
  <c r="CX34" i="1"/>
  <c r="AY34" i="1" s="1"/>
  <c r="BA34" i="1" s="1"/>
  <c r="BI43" i="1"/>
  <c r="BM43" i="1" s="1"/>
  <c r="BN43" i="1" s="1"/>
  <c r="N54" i="1"/>
  <c r="N57" i="1"/>
  <c r="N69" i="1"/>
  <c r="BH69" i="1"/>
  <c r="Q70" i="1"/>
  <c r="Z75" i="1"/>
  <c r="N76" i="1"/>
  <c r="N18" i="1"/>
  <c r="Q27" i="1"/>
  <c r="M28" i="1"/>
  <c r="AZ28" i="1" s="1"/>
  <c r="BB28" i="1" s="1"/>
  <c r="N38" i="1"/>
  <c r="L41" i="1"/>
  <c r="K41" i="1" s="1"/>
  <c r="BJ43" i="1"/>
  <c r="L49" i="1"/>
  <c r="K49" i="1" s="1"/>
  <c r="N50" i="1"/>
  <c r="Q54" i="1"/>
  <c r="BJ55" i="1"/>
  <c r="Z56" i="1"/>
  <c r="BJ58" i="1"/>
  <c r="CX65" i="1"/>
  <c r="AY65" i="1" s="1"/>
  <c r="Z67" i="1"/>
  <c r="Z68" i="1"/>
  <c r="Q76" i="1"/>
  <c r="BA83" i="1"/>
  <c r="CX86" i="1"/>
  <c r="AY86" i="1" s="1"/>
  <c r="BA86" i="1" s="1"/>
  <c r="Q18" i="1"/>
  <c r="N28" i="1"/>
  <c r="CX28" i="1"/>
  <c r="AY28" i="1" s="1"/>
  <c r="BA28" i="1" s="1"/>
  <c r="BI37" i="1"/>
  <c r="BM37" i="1" s="1"/>
  <c r="BN37" i="1" s="1"/>
  <c r="AK39" i="1"/>
  <c r="BH46" i="1"/>
  <c r="Z47" i="1"/>
  <c r="Q50" i="1"/>
  <c r="BJ51" i="1"/>
  <c r="BA54" i="1"/>
  <c r="CX57" i="1"/>
  <c r="AY57" i="1" s="1"/>
  <c r="BA57" i="1" s="1"/>
  <c r="V61" i="1"/>
  <c r="CX62" i="1"/>
  <c r="AY62" i="1" s="1"/>
  <c r="BA62" i="1" s="1"/>
  <c r="Z70" i="1"/>
  <c r="CX74" i="1"/>
  <c r="AY74" i="1" s="1"/>
  <c r="BA74" i="1" s="1"/>
  <c r="BH79" i="1"/>
  <c r="BI85" i="1"/>
  <c r="BM85" i="1" s="1"/>
  <c r="BN85" i="1" s="1"/>
  <c r="Z33" i="1"/>
  <c r="CX35" i="1"/>
  <c r="AY35" i="1" s="1"/>
  <c r="BA35" i="1" s="1"/>
  <c r="Z37" i="1"/>
  <c r="BA38" i="1"/>
  <c r="BA42" i="1"/>
  <c r="BA50" i="1"/>
  <c r="Z61" i="1"/>
  <c r="V71" i="1"/>
  <c r="Z76" i="1"/>
  <c r="BI77" i="1"/>
  <c r="BM77" i="1" s="1"/>
  <c r="BN77" i="1" s="1"/>
  <c r="Z79" i="1"/>
  <c r="BJ85" i="1"/>
  <c r="Z86" i="1"/>
  <c r="BI86" i="1"/>
  <c r="BM86" i="1" s="1"/>
  <c r="BN86" i="1" s="1"/>
  <c r="AD29" i="1"/>
  <c r="Q20" i="1"/>
  <c r="N20" i="1"/>
  <c r="L20" i="1"/>
  <c r="K20" i="1" s="1"/>
  <c r="Q56" i="1"/>
  <c r="N56" i="1"/>
  <c r="L56" i="1"/>
  <c r="K56" i="1" s="1"/>
  <c r="AK56" i="1"/>
  <c r="M56" i="1"/>
  <c r="AZ56" i="1" s="1"/>
  <c r="V60" i="1"/>
  <c r="CX60" i="1"/>
  <c r="AY60" i="1" s="1"/>
  <c r="CX17" i="1"/>
  <c r="AY17" i="1" s="1"/>
  <c r="BA17" i="1" s="1"/>
  <c r="V17" i="1"/>
  <c r="AK20" i="1"/>
  <c r="AK21" i="1"/>
  <c r="Q21" i="1"/>
  <c r="N21" i="1"/>
  <c r="N23" i="1"/>
  <c r="M23" i="1"/>
  <c r="AZ23" i="1" s="1"/>
  <c r="BB23" i="1" s="1"/>
  <c r="L23" i="1"/>
  <c r="K23" i="1" s="1"/>
  <c r="W23" i="1" s="1"/>
  <c r="X23" i="1" s="1"/>
  <c r="BJ32" i="1"/>
  <c r="BI32" i="1"/>
  <c r="BM32" i="1" s="1"/>
  <c r="BN32" i="1" s="1"/>
  <c r="BH32" i="1"/>
  <c r="AD35" i="1"/>
  <c r="BJ36" i="1"/>
  <c r="BI36" i="1"/>
  <c r="BM36" i="1" s="1"/>
  <c r="BN36" i="1" s="1"/>
  <c r="BH36" i="1"/>
  <c r="BJ48" i="1"/>
  <c r="BI48" i="1"/>
  <c r="BM48" i="1" s="1"/>
  <c r="BN48" i="1" s="1"/>
  <c r="BH48" i="1"/>
  <c r="BJ49" i="1"/>
  <c r="BH49" i="1"/>
  <c r="BI49" i="1"/>
  <c r="BM49" i="1" s="1"/>
  <c r="BN49" i="1" s="1"/>
  <c r="CX25" i="1"/>
  <c r="AY25" i="1" s="1"/>
  <c r="BB25" i="1" s="1"/>
  <c r="V25" i="1"/>
  <c r="W28" i="1"/>
  <c r="X28" i="1" s="1"/>
  <c r="T28" i="1" s="1"/>
  <c r="R28" i="1" s="1"/>
  <c r="U28" i="1" s="1"/>
  <c r="O28" i="1" s="1"/>
  <c r="P28" i="1" s="1"/>
  <c r="N55" i="1"/>
  <c r="M55" i="1"/>
  <c r="AZ55" i="1" s="1"/>
  <c r="BB55" i="1" s="1"/>
  <c r="L55" i="1"/>
  <c r="K55" i="1" s="1"/>
  <c r="AK55" i="1"/>
  <c r="Q55" i="1"/>
  <c r="N59" i="1"/>
  <c r="AK59" i="1"/>
  <c r="M59" i="1"/>
  <c r="AZ59" i="1" s="1"/>
  <c r="Q59" i="1"/>
  <c r="L59" i="1"/>
  <c r="K59" i="1" s="1"/>
  <c r="AD53" i="1"/>
  <c r="L17" i="1"/>
  <c r="K17" i="1" s="1"/>
  <c r="CX20" i="1"/>
  <c r="AY20" i="1" s="1"/>
  <c r="BB20" i="1" s="1"/>
  <c r="V20" i="1"/>
  <c r="Q24" i="1"/>
  <c r="N24" i="1"/>
  <c r="L24" i="1"/>
  <c r="K24" i="1" s="1"/>
  <c r="BH27" i="1"/>
  <c r="BI27" i="1"/>
  <c r="BM27" i="1" s="1"/>
  <c r="BN27" i="1" s="1"/>
  <c r="BH29" i="1"/>
  <c r="BJ29" i="1"/>
  <c r="BI29" i="1"/>
  <c r="BM29" i="1" s="1"/>
  <c r="BN29" i="1" s="1"/>
  <c r="Q45" i="1"/>
  <c r="AK45" i="1"/>
  <c r="N45" i="1"/>
  <c r="M45" i="1"/>
  <c r="AZ45" i="1" s="1"/>
  <c r="CX27" i="1"/>
  <c r="AY27" i="1" s="1"/>
  <c r="BA27" i="1" s="1"/>
  <c r="V27" i="1"/>
  <c r="N86" i="1"/>
  <c r="M86" i="1"/>
  <c r="AZ86" i="1" s="1"/>
  <c r="BB86" i="1" s="1"/>
  <c r="AK86" i="1"/>
  <c r="L86" i="1"/>
  <c r="K86" i="1" s="1"/>
  <c r="Q86" i="1"/>
  <c r="BJ17" i="1"/>
  <c r="BH17" i="1"/>
  <c r="BA20" i="1"/>
  <c r="CX21" i="1"/>
  <c r="AY21" i="1" s="1"/>
  <c r="BA21" i="1" s="1"/>
  <c r="V21" i="1"/>
  <c r="BB22" i="1"/>
  <c r="AK24" i="1"/>
  <c r="AK25" i="1"/>
  <c r="Q25" i="1"/>
  <c r="N25" i="1"/>
  <c r="BJ27" i="1"/>
  <c r="BJ30" i="1"/>
  <c r="BI30" i="1"/>
  <c r="BM30" i="1" s="1"/>
  <c r="BN30" i="1" s="1"/>
  <c r="M34" i="1"/>
  <c r="AZ34" i="1" s="1"/>
  <c r="BB34" i="1" s="1"/>
  <c r="L34" i="1"/>
  <c r="K34" i="1" s="1"/>
  <c r="AK34" i="1"/>
  <c r="Q34" i="1"/>
  <c r="N34" i="1"/>
  <c r="AD39" i="1"/>
  <c r="AD41" i="1"/>
  <c r="N48" i="1"/>
  <c r="L48" i="1"/>
  <c r="K48" i="1" s="1"/>
  <c r="Q48" i="1"/>
  <c r="M48" i="1"/>
  <c r="AZ48" i="1" s="1"/>
  <c r="AK48" i="1"/>
  <c r="BJ53" i="1"/>
  <c r="BH53" i="1"/>
  <c r="BI53" i="1"/>
  <c r="BM53" i="1" s="1"/>
  <c r="BN53" i="1" s="1"/>
  <c r="BJ63" i="1"/>
  <c r="BI63" i="1"/>
  <c r="BM63" i="1" s="1"/>
  <c r="BN63" i="1" s="1"/>
  <c r="BH63" i="1"/>
  <c r="BJ20" i="1"/>
  <c r="BI20" i="1"/>
  <c r="BM20" i="1" s="1"/>
  <c r="BN20" i="1" s="1"/>
  <c r="BH20" i="1"/>
  <c r="AD49" i="1"/>
  <c r="BJ24" i="1"/>
  <c r="BI24" i="1"/>
  <c r="BM24" i="1" s="1"/>
  <c r="BN24" i="1" s="1"/>
  <c r="BH24" i="1"/>
  <c r="BJ25" i="1"/>
  <c r="BH25" i="1"/>
  <c r="BI17" i="1"/>
  <c r="BM17" i="1" s="1"/>
  <c r="BN17" i="1" s="1"/>
  <c r="N19" i="1"/>
  <c r="M19" i="1"/>
  <c r="AZ19" i="1" s="1"/>
  <c r="BB19" i="1" s="1"/>
  <c r="L19" i="1"/>
  <c r="K19" i="1" s="1"/>
  <c r="M27" i="1"/>
  <c r="AZ27" i="1" s="1"/>
  <c r="BB27" i="1" s="1"/>
  <c r="CX32" i="1"/>
  <c r="AY32" i="1" s="1"/>
  <c r="BB32" i="1" s="1"/>
  <c r="BH33" i="1"/>
  <c r="BI33" i="1"/>
  <c r="BM33" i="1" s="1"/>
  <c r="BN33" i="1" s="1"/>
  <c r="BJ21" i="1"/>
  <c r="BH21" i="1"/>
  <c r="AD28" i="1"/>
  <c r="Q44" i="1"/>
  <c r="N44" i="1"/>
  <c r="L44" i="1"/>
  <c r="K44" i="1" s="1"/>
  <c r="AK44" i="1"/>
  <c r="AK17" i="1"/>
  <c r="Q17" i="1"/>
  <c r="N17" i="1"/>
  <c r="W19" i="1"/>
  <c r="X19" i="1" s="1"/>
  <c r="AE19" i="1" s="1"/>
  <c r="L21" i="1"/>
  <c r="K21" i="1" s="1"/>
  <c r="CX24" i="1"/>
  <c r="AY24" i="1" s="1"/>
  <c r="BB24" i="1" s="1"/>
  <c r="V24" i="1"/>
  <c r="BA25" i="1"/>
  <c r="M26" i="1"/>
  <c r="AZ26" i="1" s="1"/>
  <c r="BB26" i="1" s="1"/>
  <c r="L26" i="1"/>
  <c r="K26" i="1" s="1"/>
  <c r="AK26" i="1"/>
  <c r="N27" i="1"/>
  <c r="L27" i="1"/>
  <c r="K27" i="1" s="1"/>
  <c r="N29" i="1"/>
  <c r="Q29" i="1"/>
  <c r="AK29" i="1"/>
  <c r="M29" i="1"/>
  <c r="AZ29" i="1" s="1"/>
  <c r="AK37" i="1"/>
  <c r="Q37" i="1"/>
  <c r="N37" i="1"/>
  <c r="L37" i="1"/>
  <c r="K37" i="1" s="1"/>
  <c r="Q40" i="1"/>
  <c r="L40" i="1"/>
  <c r="K40" i="1" s="1"/>
  <c r="N40" i="1"/>
  <c r="M40" i="1"/>
  <c r="AZ40" i="1" s="1"/>
  <c r="CX41" i="1"/>
  <c r="AY41" i="1" s="1"/>
  <c r="BA41" i="1" s="1"/>
  <c r="V41" i="1"/>
  <c r="M44" i="1"/>
  <c r="AZ44" i="1" s="1"/>
  <c r="L45" i="1"/>
  <c r="K45" i="1" s="1"/>
  <c r="Z27" i="1"/>
  <c r="CX29" i="1"/>
  <c r="AY29" i="1" s="1"/>
  <c r="BA29" i="1" s="1"/>
  <c r="V29" i="1"/>
  <c r="AK33" i="1"/>
  <c r="Q33" i="1"/>
  <c r="N33" i="1"/>
  <c r="Q36" i="1"/>
  <c r="L36" i="1"/>
  <c r="K36" i="1" s="1"/>
  <c r="W36" i="1" s="1"/>
  <c r="X36" i="1" s="1"/>
  <c r="V40" i="1"/>
  <c r="N43" i="1"/>
  <c r="M43" i="1"/>
  <c r="AZ43" i="1" s="1"/>
  <c r="BB43" i="1" s="1"/>
  <c r="BJ44" i="1"/>
  <c r="BI44" i="1"/>
  <c r="BM44" i="1" s="1"/>
  <c r="BN44" i="1" s="1"/>
  <c r="BH44" i="1"/>
  <c r="BJ52" i="1"/>
  <c r="BI52" i="1"/>
  <c r="BM52" i="1" s="1"/>
  <c r="BN52" i="1" s="1"/>
  <c r="BH52" i="1"/>
  <c r="AD65" i="1"/>
  <c r="Q83" i="1"/>
  <c r="M83" i="1"/>
  <c r="AZ83" i="1" s="1"/>
  <c r="BB83" i="1" s="1"/>
  <c r="L83" i="1"/>
  <c r="K83" i="1" s="1"/>
  <c r="N83" i="1"/>
  <c r="AK83" i="1"/>
  <c r="CX31" i="1"/>
  <c r="AY31" i="1" s="1"/>
  <c r="BA31" i="1" s="1"/>
  <c r="V31" i="1"/>
  <c r="Q32" i="1"/>
  <c r="L32" i="1"/>
  <c r="K32" i="1" s="1"/>
  <c r="N39" i="1"/>
  <c r="M39" i="1"/>
  <c r="AZ39" i="1" s="1"/>
  <c r="BB39" i="1" s="1"/>
  <c r="M42" i="1"/>
  <c r="AZ42" i="1" s="1"/>
  <c r="BB42" i="1" s="1"/>
  <c r="L42" i="1"/>
  <c r="K42" i="1" s="1"/>
  <c r="AK42" i="1"/>
  <c r="W57" i="1"/>
  <c r="X57" i="1" s="1"/>
  <c r="AK18" i="1"/>
  <c r="AK22" i="1"/>
  <c r="BH26" i="1"/>
  <c r="AK32" i="1"/>
  <c r="M33" i="1"/>
  <c r="AZ33" i="1" s="1"/>
  <c r="BB33" i="1" s="1"/>
  <c r="CX37" i="1"/>
  <c r="AY37" i="1" s="1"/>
  <c r="BA37" i="1" s="1"/>
  <c r="V37" i="1"/>
  <c r="BJ64" i="1"/>
  <c r="BH64" i="1"/>
  <c r="BI64" i="1"/>
  <c r="BM64" i="1" s="1"/>
  <c r="BN64" i="1" s="1"/>
  <c r="L18" i="1"/>
  <c r="K18" i="1" s="1"/>
  <c r="W18" i="1" s="1"/>
  <c r="X18" i="1" s="1"/>
  <c r="L22" i="1"/>
  <c r="K22" i="1" s="1"/>
  <c r="BI26" i="1"/>
  <c r="BM26" i="1" s="1"/>
  <c r="BN26" i="1" s="1"/>
  <c r="AK28" i="1"/>
  <c r="M30" i="1"/>
  <c r="AZ30" i="1" s="1"/>
  <c r="Z31" i="1"/>
  <c r="BI31" i="1"/>
  <c r="BM31" i="1" s="1"/>
  <c r="BN31" i="1" s="1"/>
  <c r="N35" i="1"/>
  <c r="M35" i="1"/>
  <c r="AZ35" i="1" s="1"/>
  <c r="BB35" i="1" s="1"/>
  <c r="BA36" i="1"/>
  <c r="M38" i="1"/>
  <c r="AZ38" i="1" s="1"/>
  <c r="BB38" i="1" s="1"/>
  <c r="L38" i="1"/>
  <c r="K38" i="1" s="1"/>
  <c r="AK38" i="1"/>
  <c r="AK41" i="1"/>
  <c r="Q41" i="1"/>
  <c r="N41" i="1"/>
  <c r="BI41" i="1"/>
  <c r="BM41" i="1" s="1"/>
  <c r="BN41" i="1" s="1"/>
  <c r="N42" i="1"/>
  <c r="L43" i="1"/>
  <c r="K43" i="1" s="1"/>
  <c r="CX44" i="1"/>
  <c r="AY44" i="1" s="1"/>
  <c r="BA44" i="1" s="1"/>
  <c r="V44" i="1"/>
  <c r="AK49" i="1"/>
  <c r="Q49" i="1"/>
  <c r="N49" i="1"/>
  <c r="AK53" i="1"/>
  <c r="Q53" i="1"/>
  <c r="N53" i="1"/>
  <c r="Q28" i="1"/>
  <c r="Q31" i="1"/>
  <c r="BJ31" i="1"/>
  <c r="CX33" i="1"/>
  <c r="AY33" i="1" s="1"/>
  <c r="BA33" i="1" s="1"/>
  <c r="V33" i="1"/>
  <c r="M36" i="1"/>
  <c r="AZ36" i="1" s="1"/>
  <c r="BB36" i="1" s="1"/>
  <c r="Z39" i="1"/>
  <c r="BJ40" i="1"/>
  <c r="BI40" i="1"/>
  <c r="BM40" i="1" s="1"/>
  <c r="BN40" i="1" s="1"/>
  <c r="N47" i="1"/>
  <c r="M47" i="1"/>
  <c r="AZ47" i="1" s="1"/>
  <c r="BB47" i="1" s="1"/>
  <c r="Q47" i="1"/>
  <c r="L47" i="1"/>
  <c r="K47" i="1" s="1"/>
  <c r="AK47" i="1"/>
  <c r="T57" i="1"/>
  <c r="R57" i="1" s="1"/>
  <c r="U57" i="1" s="1"/>
  <c r="AD57" i="1"/>
  <c r="Z45" i="1"/>
  <c r="L46" i="1"/>
  <c r="K46" i="1" s="1"/>
  <c r="AK46" i="1"/>
  <c r="N51" i="1"/>
  <c r="M51" i="1"/>
  <c r="AZ51" i="1" s="1"/>
  <c r="BB51" i="1" s="1"/>
  <c r="L51" i="1"/>
  <c r="K51" i="1" s="1"/>
  <c r="Q52" i="1"/>
  <c r="N52" i="1"/>
  <c r="L52" i="1"/>
  <c r="K52" i="1" s="1"/>
  <c r="BJ56" i="1"/>
  <c r="BI56" i="1"/>
  <c r="BM56" i="1" s="1"/>
  <c r="BN56" i="1" s="1"/>
  <c r="BH56" i="1"/>
  <c r="BJ71" i="1"/>
  <c r="BH71" i="1"/>
  <c r="CX77" i="1"/>
  <c r="AY77" i="1" s="1"/>
  <c r="BA77" i="1" s="1"/>
  <c r="Q79" i="1"/>
  <c r="M79" i="1"/>
  <c r="AZ79" i="1" s="1"/>
  <c r="L79" i="1"/>
  <c r="K79" i="1" s="1"/>
  <c r="AK79" i="1"/>
  <c r="N79" i="1"/>
  <c r="Q46" i="1"/>
  <c r="BI46" i="1"/>
  <c r="BM46" i="1" s="1"/>
  <c r="BN46" i="1" s="1"/>
  <c r="CX48" i="1"/>
  <c r="AY48" i="1" s="1"/>
  <c r="BA48" i="1" s="1"/>
  <c r="V48" i="1"/>
  <c r="CX59" i="1"/>
  <c r="AY59" i="1" s="1"/>
  <c r="BA59" i="1" s="1"/>
  <c r="V59" i="1"/>
  <c r="BJ60" i="1"/>
  <c r="BH60" i="1"/>
  <c r="BB61" i="1"/>
  <c r="BA65" i="1"/>
  <c r="CX52" i="1"/>
  <c r="AY52" i="1" s="1"/>
  <c r="BB52" i="1" s="1"/>
  <c r="V52" i="1"/>
  <c r="AD78" i="1"/>
  <c r="V35" i="1"/>
  <c r="BH35" i="1"/>
  <c r="V39" i="1"/>
  <c r="BH39" i="1"/>
  <c r="V43" i="1"/>
  <c r="CX45" i="1"/>
  <c r="AY45" i="1" s="1"/>
  <c r="BA45" i="1" s="1"/>
  <c r="V45" i="1"/>
  <c r="CX49" i="1"/>
  <c r="AY49" i="1" s="1"/>
  <c r="BA49" i="1" s="1"/>
  <c r="V49" i="1"/>
  <c r="BB50" i="1"/>
  <c r="CX53" i="1"/>
  <c r="AY53" i="1" s="1"/>
  <c r="BB53" i="1" s="1"/>
  <c r="V53" i="1"/>
  <c r="BB54" i="1"/>
  <c r="CX56" i="1"/>
  <c r="AY56" i="1" s="1"/>
  <c r="BA56" i="1" s="1"/>
  <c r="V56" i="1"/>
  <c r="CX64" i="1"/>
  <c r="AY64" i="1" s="1"/>
  <c r="BA64" i="1" s="1"/>
  <c r="V64" i="1"/>
  <c r="W65" i="1"/>
  <c r="X65" i="1" s="1"/>
  <c r="T65" i="1" s="1"/>
  <c r="R65" i="1" s="1"/>
  <c r="U65" i="1" s="1"/>
  <c r="O65" i="1" s="1"/>
  <c r="P65" i="1" s="1"/>
  <c r="CX67" i="1"/>
  <c r="AY67" i="1" s="1"/>
  <c r="V67" i="1"/>
  <c r="AD58" i="1"/>
  <c r="Q60" i="1"/>
  <c r="N60" i="1"/>
  <c r="M60" i="1"/>
  <c r="AZ60" i="1" s="1"/>
  <c r="BB60" i="1" s="1"/>
  <c r="L60" i="1"/>
  <c r="K60" i="1" s="1"/>
  <c r="AK60" i="1"/>
  <c r="M58" i="1"/>
  <c r="AZ58" i="1" s="1"/>
  <c r="BJ59" i="1"/>
  <c r="BH59" i="1"/>
  <c r="CX68" i="1"/>
  <c r="AY68" i="1" s="1"/>
  <c r="BA68" i="1" s="1"/>
  <c r="V68" i="1"/>
  <c r="Q71" i="1"/>
  <c r="N71" i="1"/>
  <c r="L71" i="1"/>
  <c r="K71" i="1" s="1"/>
  <c r="CX58" i="1"/>
  <c r="AY58" i="1" s="1"/>
  <c r="BA58" i="1" s="1"/>
  <c r="V58" i="1"/>
  <c r="N63" i="1"/>
  <c r="L63" i="1"/>
  <c r="K63" i="1" s="1"/>
  <c r="AE71" i="1"/>
  <c r="W71" i="1"/>
  <c r="X71" i="1" s="1"/>
  <c r="N73" i="1"/>
  <c r="M73" i="1"/>
  <c r="AZ73" i="1" s="1"/>
  <c r="L73" i="1"/>
  <c r="K73" i="1" s="1"/>
  <c r="AK73" i="1"/>
  <c r="BA75" i="1"/>
  <c r="AK50" i="1"/>
  <c r="AK54" i="1"/>
  <c r="AK58" i="1"/>
  <c r="BA60" i="1"/>
  <c r="AK63" i="1"/>
  <c r="AK64" i="1"/>
  <c r="Q64" i="1"/>
  <c r="N64" i="1"/>
  <c r="BB65" i="1"/>
  <c r="BJ67" i="1"/>
  <c r="BI67" i="1"/>
  <c r="BM67" i="1" s="1"/>
  <c r="BN67" i="1" s="1"/>
  <c r="BH67" i="1"/>
  <c r="BJ68" i="1"/>
  <c r="BH68" i="1"/>
  <c r="CX72" i="1"/>
  <c r="AY72" i="1" s="1"/>
  <c r="BA72" i="1" s="1"/>
  <c r="V72" i="1"/>
  <c r="Z78" i="1"/>
  <c r="AD80" i="1"/>
  <c r="N85" i="1"/>
  <c r="M85" i="1"/>
  <c r="AZ85" i="1" s="1"/>
  <c r="L85" i="1"/>
  <c r="K85" i="1" s="1"/>
  <c r="AK85" i="1"/>
  <c r="Q85" i="1"/>
  <c r="V47" i="1"/>
  <c r="L50" i="1"/>
  <c r="K50" i="1" s="1"/>
  <c r="V51" i="1"/>
  <c r="BH51" i="1"/>
  <c r="L54" i="1"/>
  <c r="K54" i="1" s="1"/>
  <c r="W54" i="1" s="1"/>
  <c r="X54" i="1" s="1"/>
  <c r="V55" i="1"/>
  <c r="BH55" i="1"/>
  <c r="BH57" i="1"/>
  <c r="Q58" i="1"/>
  <c r="L61" i="1"/>
  <c r="K61" i="1" s="1"/>
  <c r="AK61" i="1"/>
  <c r="BH61" i="1"/>
  <c r="Q67" i="1"/>
  <c r="N67" i="1"/>
  <c r="L67" i="1"/>
  <c r="K67" i="1" s="1"/>
  <c r="W79" i="1"/>
  <c r="X79" i="1" s="1"/>
  <c r="BI58" i="1"/>
  <c r="BM58" i="1" s="1"/>
  <c r="BN58" i="1" s="1"/>
  <c r="CX63" i="1"/>
  <c r="AY63" i="1" s="1"/>
  <c r="BA63" i="1" s="1"/>
  <c r="V63" i="1"/>
  <c r="AK67" i="1"/>
  <c r="AK68" i="1"/>
  <c r="Q68" i="1"/>
  <c r="N68" i="1"/>
  <c r="N78" i="1"/>
  <c r="M78" i="1"/>
  <c r="AZ78" i="1" s="1"/>
  <c r="BB78" i="1" s="1"/>
  <c r="AK78" i="1"/>
  <c r="Q78" i="1"/>
  <c r="CX80" i="1"/>
  <c r="AY80" i="1" s="1"/>
  <c r="BA80" i="1" s="1"/>
  <c r="V80" i="1"/>
  <c r="N74" i="1"/>
  <c r="M74" i="1"/>
  <c r="AZ74" i="1" s="1"/>
  <c r="BB74" i="1" s="1"/>
  <c r="AK74" i="1"/>
  <c r="CX76" i="1"/>
  <c r="AY76" i="1" s="1"/>
  <c r="BA76" i="1" s="1"/>
  <c r="V76" i="1"/>
  <c r="BI84" i="1"/>
  <c r="BM84" i="1" s="1"/>
  <c r="BN84" i="1" s="1"/>
  <c r="BH84" i="1"/>
  <c r="L62" i="1"/>
  <c r="K62" i="1" s="1"/>
  <c r="L66" i="1"/>
  <c r="K66" i="1" s="1"/>
  <c r="L70" i="1"/>
  <c r="K70" i="1" s="1"/>
  <c r="N82" i="1"/>
  <c r="M82" i="1"/>
  <c r="AZ82" i="1" s="1"/>
  <c r="BB82" i="1" s="1"/>
  <c r="AK82" i="1"/>
  <c r="W83" i="1"/>
  <c r="X83" i="1" s="1"/>
  <c r="M62" i="1"/>
  <c r="AZ62" i="1" s="1"/>
  <c r="BB62" i="1" s="1"/>
  <c r="AK65" i="1"/>
  <c r="M66" i="1"/>
  <c r="AZ66" i="1" s="1"/>
  <c r="AK69" i="1"/>
  <c r="M70" i="1"/>
  <c r="AZ70" i="1" s="1"/>
  <c r="BB70" i="1" s="1"/>
  <c r="N77" i="1"/>
  <c r="M77" i="1"/>
  <c r="AZ77" i="1" s="1"/>
  <c r="L77" i="1"/>
  <c r="K77" i="1" s="1"/>
  <c r="AK77" i="1"/>
  <c r="Q77" i="1"/>
  <c r="Q82" i="1"/>
  <c r="CX85" i="1"/>
  <c r="AY85" i="1" s="1"/>
  <c r="BA85" i="1" s="1"/>
  <c r="V62" i="1"/>
  <c r="V66" i="1"/>
  <c r="BI76" i="1"/>
  <c r="BM76" i="1" s="1"/>
  <c r="BN76" i="1" s="1"/>
  <c r="BH76" i="1"/>
  <c r="N81" i="1"/>
  <c r="M81" i="1"/>
  <c r="AZ81" i="1" s="1"/>
  <c r="BB81" i="1" s="1"/>
  <c r="L81" i="1"/>
  <c r="K81" i="1" s="1"/>
  <c r="AK81" i="1"/>
  <c r="Q81" i="1"/>
  <c r="CX84" i="1"/>
  <c r="AY84" i="1" s="1"/>
  <c r="BA84" i="1" s="1"/>
  <c r="V84" i="1"/>
  <c r="CX73" i="1"/>
  <c r="AY73" i="1" s="1"/>
  <c r="BA73" i="1" s="1"/>
  <c r="Z74" i="1"/>
  <c r="Q75" i="1"/>
  <c r="M75" i="1"/>
  <c r="AZ75" i="1" s="1"/>
  <c r="BB75" i="1" s="1"/>
  <c r="L75" i="1"/>
  <c r="K75" i="1" s="1"/>
  <c r="AD76" i="1"/>
  <c r="BJ76" i="1"/>
  <c r="BI80" i="1"/>
  <c r="BM80" i="1" s="1"/>
  <c r="BN80" i="1" s="1"/>
  <c r="BH80" i="1"/>
  <c r="W86" i="1"/>
  <c r="X86" i="1" s="1"/>
  <c r="AE86" i="1" s="1"/>
  <c r="N72" i="1"/>
  <c r="BJ73" i="1"/>
  <c r="BJ77" i="1"/>
  <c r="BJ81" i="1"/>
  <c r="AD84" i="1"/>
  <c r="BI75" i="1"/>
  <c r="BM75" i="1" s="1"/>
  <c r="BN75" i="1" s="1"/>
  <c r="BI79" i="1"/>
  <c r="BM79" i="1" s="1"/>
  <c r="BN79" i="1" s="1"/>
  <c r="BI83" i="1"/>
  <c r="BM83" i="1" s="1"/>
  <c r="BN83" i="1" s="1"/>
  <c r="V74" i="1"/>
  <c r="BH74" i="1"/>
  <c r="V78" i="1"/>
  <c r="BH78" i="1"/>
  <c r="V82" i="1"/>
  <c r="BH82" i="1"/>
  <c r="AK72" i="1"/>
  <c r="BI74" i="1"/>
  <c r="BM74" i="1" s="1"/>
  <c r="BN74" i="1" s="1"/>
  <c r="BI78" i="1"/>
  <c r="BM78" i="1" s="1"/>
  <c r="BN78" i="1" s="1"/>
  <c r="BI82" i="1"/>
  <c r="BM82" i="1" s="1"/>
  <c r="BN82" i="1" s="1"/>
  <c r="V73" i="1"/>
  <c r="V77" i="1"/>
  <c r="V81" i="1"/>
  <c r="BB80" i="1" l="1"/>
  <c r="BB79" i="1"/>
  <c r="BB40" i="1"/>
  <c r="BA32" i="1"/>
  <c r="W70" i="1"/>
  <c r="X70" i="1" s="1"/>
  <c r="AF70" i="1" s="1"/>
  <c r="O57" i="1"/>
  <c r="P57" i="1" s="1"/>
  <c r="W30" i="1"/>
  <c r="X30" i="1" s="1"/>
  <c r="AE30" i="1" s="1"/>
  <c r="W32" i="1"/>
  <c r="X32" i="1" s="1"/>
  <c r="Y32" i="1" s="1"/>
  <c r="AC32" i="1" s="1"/>
  <c r="W69" i="1"/>
  <c r="X69" i="1" s="1"/>
  <c r="BB66" i="1"/>
  <c r="BB30" i="1"/>
  <c r="BB41" i="1"/>
  <c r="BB64" i="1"/>
  <c r="BB18" i="1"/>
  <c r="BB69" i="1"/>
  <c r="BA24" i="1"/>
  <c r="BB68" i="1"/>
  <c r="BB29" i="1"/>
  <c r="BB57" i="1"/>
  <c r="Y70" i="1"/>
  <c r="AC70" i="1" s="1"/>
  <c r="Y36" i="1"/>
  <c r="AC36" i="1" s="1"/>
  <c r="AF36" i="1"/>
  <c r="AE36" i="1"/>
  <c r="AD46" i="1"/>
  <c r="W46" i="1"/>
  <c r="X46" i="1" s="1"/>
  <c r="AF32" i="1"/>
  <c r="AF86" i="1"/>
  <c r="Y86" i="1"/>
  <c r="AC86" i="1" s="1"/>
  <c r="Y79" i="1"/>
  <c r="AC79" i="1" s="1"/>
  <c r="AF79" i="1"/>
  <c r="AD63" i="1"/>
  <c r="W67" i="1"/>
  <c r="X67" i="1" s="1"/>
  <c r="T67" i="1" s="1"/>
  <c r="R67" i="1" s="1"/>
  <c r="U67" i="1" s="1"/>
  <c r="O67" i="1" s="1"/>
  <c r="P67" i="1" s="1"/>
  <c r="W43" i="1"/>
  <c r="X43" i="1" s="1"/>
  <c r="AD38" i="1"/>
  <c r="AF54" i="1"/>
  <c r="Y54" i="1"/>
  <c r="AC54" i="1" s="1"/>
  <c r="AE54" i="1"/>
  <c r="W24" i="1"/>
  <c r="X24" i="1" s="1"/>
  <c r="AD56" i="1"/>
  <c r="AD20" i="1"/>
  <c r="AF18" i="1"/>
  <c r="AE18" i="1"/>
  <c r="Y18" i="1"/>
  <c r="AC18" i="1" s="1"/>
  <c r="AF30" i="1"/>
  <c r="W41" i="1"/>
  <c r="X41" i="1" s="1"/>
  <c r="W51" i="1"/>
  <c r="X51" i="1" s="1"/>
  <c r="W73" i="1"/>
  <c r="X73" i="1" s="1"/>
  <c r="T73" i="1" s="1"/>
  <c r="R73" i="1" s="1"/>
  <c r="U73" i="1" s="1"/>
  <c r="O73" i="1" s="1"/>
  <c r="P73" i="1" s="1"/>
  <c r="W82" i="1"/>
  <c r="X82" i="1" s="1"/>
  <c r="Y83" i="1"/>
  <c r="AC83" i="1" s="1"/>
  <c r="AF83" i="1"/>
  <c r="AD61" i="1"/>
  <c r="AD50" i="1"/>
  <c r="AD73" i="1"/>
  <c r="AD60" i="1"/>
  <c r="BA67" i="1"/>
  <c r="BB67" i="1"/>
  <c r="AD43" i="1"/>
  <c r="T43" i="1"/>
  <c r="R43" i="1" s="1"/>
  <c r="U43" i="1" s="1"/>
  <c r="O43" i="1" s="1"/>
  <c r="P43" i="1" s="1"/>
  <c r="T30" i="1"/>
  <c r="R30" i="1" s="1"/>
  <c r="U30" i="1" s="1"/>
  <c r="O30" i="1" s="1"/>
  <c r="P30" i="1" s="1"/>
  <c r="W50" i="1"/>
  <c r="X50" i="1" s="1"/>
  <c r="T50" i="1" s="1"/>
  <c r="R50" i="1" s="1"/>
  <c r="U50" i="1" s="1"/>
  <c r="O50" i="1" s="1"/>
  <c r="P50" i="1" s="1"/>
  <c r="W29" i="1"/>
  <c r="X29" i="1" s="1"/>
  <c r="AD27" i="1"/>
  <c r="BB48" i="1"/>
  <c r="W21" i="1"/>
  <c r="X21" i="1" s="1"/>
  <c r="AD86" i="1"/>
  <c r="T86" i="1"/>
  <c r="R86" i="1" s="1"/>
  <c r="U86" i="1" s="1"/>
  <c r="O86" i="1" s="1"/>
  <c r="P86" i="1" s="1"/>
  <c r="W61" i="1"/>
  <c r="X61" i="1" s="1"/>
  <c r="T61" i="1" s="1"/>
  <c r="R61" i="1" s="1"/>
  <c r="U61" i="1" s="1"/>
  <c r="O61" i="1" s="1"/>
  <c r="P61" i="1" s="1"/>
  <c r="BB21" i="1"/>
  <c r="AF23" i="1"/>
  <c r="Y23" i="1"/>
  <c r="AC23" i="1" s="1"/>
  <c r="W48" i="1"/>
  <c r="X48" i="1" s="1"/>
  <c r="T48" i="1" s="1"/>
  <c r="R48" i="1" s="1"/>
  <c r="U48" i="1" s="1"/>
  <c r="O48" i="1" s="1"/>
  <c r="P48" i="1" s="1"/>
  <c r="W77" i="1"/>
  <c r="X77" i="1" s="1"/>
  <c r="T77" i="1" s="1"/>
  <c r="R77" i="1" s="1"/>
  <c r="U77" i="1" s="1"/>
  <c r="O77" i="1" s="1"/>
  <c r="P77" i="1" s="1"/>
  <c r="W68" i="1"/>
  <c r="X68" i="1" s="1"/>
  <c r="W53" i="1"/>
  <c r="X53" i="1" s="1"/>
  <c r="AE79" i="1"/>
  <c r="BB76" i="1"/>
  <c r="BB72" i="1"/>
  <c r="W47" i="1"/>
  <c r="X47" i="1" s="1"/>
  <c r="T47" i="1" s="1"/>
  <c r="R47" i="1" s="1"/>
  <c r="U47" i="1" s="1"/>
  <c r="O47" i="1" s="1"/>
  <c r="P47" i="1" s="1"/>
  <c r="BB73" i="1"/>
  <c r="AF65" i="1"/>
  <c r="AE65" i="1"/>
  <c r="Y65" i="1"/>
  <c r="AC65" i="1" s="1"/>
  <c r="BA52" i="1"/>
  <c r="W39" i="1"/>
  <c r="X39" i="1" s="1"/>
  <c r="BA53" i="1"/>
  <c r="AD51" i="1"/>
  <c r="T51" i="1"/>
  <c r="R51" i="1" s="1"/>
  <c r="U51" i="1" s="1"/>
  <c r="O51" i="1" s="1"/>
  <c r="P51" i="1" s="1"/>
  <c r="T83" i="1"/>
  <c r="R83" i="1" s="1"/>
  <c r="U83" i="1" s="1"/>
  <c r="O83" i="1" s="1"/>
  <c r="P83" i="1" s="1"/>
  <c r="AD83" i="1"/>
  <c r="W40" i="1"/>
  <c r="X40" i="1" s="1"/>
  <c r="AD21" i="1"/>
  <c r="AD55" i="1"/>
  <c r="AD23" i="1"/>
  <c r="T23" i="1"/>
  <c r="R23" i="1" s="1"/>
  <c r="U23" i="1" s="1"/>
  <c r="O23" i="1" s="1"/>
  <c r="P23" i="1" s="1"/>
  <c r="W81" i="1"/>
  <c r="X81" i="1" s="1"/>
  <c r="AD44" i="1"/>
  <c r="W78" i="1"/>
  <c r="X78" i="1" s="1"/>
  <c r="W76" i="1"/>
  <c r="X76" i="1" s="1"/>
  <c r="W63" i="1"/>
  <c r="X63" i="1" s="1"/>
  <c r="T63" i="1" s="1"/>
  <c r="R63" i="1" s="1"/>
  <c r="U63" i="1" s="1"/>
  <c r="O63" i="1" s="1"/>
  <c r="P63" i="1" s="1"/>
  <c r="AD67" i="1"/>
  <c r="W58" i="1"/>
  <c r="X58" i="1" s="1"/>
  <c r="W64" i="1"/>
  <c r="X64" i="1" s="1"/>
  <c r="W52" i="1"/>
  <c r="X52" i="1" s="1"/>
  <c r="T52" i="1" s="1"/>
  <c r="R52" i="1" s="1"/>
  <c r="U52" i="1" s="1"/>
  <c r="O52" i="1" s="1"/>
  <c r="P52" i="1" s="1"/>
  <c r="W59" i="1"/>
  <c r="X59" i="1" s="1"/>
  <c r="AD22" i="1"/>
  <c r="T32" i="1"/>
  <c r="R32" i="1" s="1"/>
  <c r="U32" i="1" s="1"/>
  <c r="O32" i="1" s="1"/>
  <c r="P32" i="1" s="1"/>
  <c r="AD32" i="1"/>
  <c r="T36" i="1"/>
  <c r="R36" i="1" s="1"/>
  <c r="U36" i="1" s="1"/>
  <c r="O36" i="1" s="1"/>
  <c r="P36" i="1" s="1"/>
  <c r="AD36" i="1"/>
  <c r="T40" i="1"/>
  <c r="R40" i="1" s="1"/>
  <c r="U40" i="1" s="1"/>
  <c r="O40" i="1" s="1"/>
  <c r="P40" i="1" s="1"/>
  <c r="AD40" i="1"/>
  <c r="AF19" i="1"/>
  <c r="Y19" i="1"/>
  <c r="AC19" i="1" s="1"/>
  <c r="AD48" i="1"/>
  <c r="W20" i="1"/>
  <c r="X20" i="1" s="1"/>
  <c r="T20" i="1" s="1"/>
  <c r="R20" i="1" s="1"/>
  <c r="U20" i="1" s="1"/>
  <c r="O20" i="1" s="1"/>
  <c r="P20" i="1" s="1"/>
  <c r="BB63" i="1"/>
  <c r="AD59" i="1"/>
  <c r="W17" i="1"/>
  <c r="X17" i="1" s="1"/>
  <c r="BB49" i="1"/>
  <c r="BB17" i="1"/>
  <c r="W84" i="1"/>
  <c r="X84" i="1" s="1"/>
  <c r="AD75" i="1"/>
  <c r="AD70" i="1"/>
  <c r="T70" i="1"/>
  <c r="R70" i="1" s="1"/>
  <c r="U70" i="1" s="1"/>
  <c r="O70" i="1" s="1"/>
  <c r="P70" i="1" s="1"/>
  <c r="BB58" i="1"/>
  <c r="W49" i="1"/>
  <c r="X49" i="1" s="1"/>
  <c r="W35" i="1"/>
  <c r="X35" i="1" s="1"/>
  <c r="T18" i="1"/>
  <c r="R18" i="1" s="1"/>
  <c r="U18" i="1" s="1"/>
  <c r="O18" i="1" s="1"/>
  <c r="P18" i="1" s="1"/>
  <c r="AD18" i="1"/>
  <c r="W37" i="1"/>
  <c r="X37" i="1" s="1"/>
  <c r="T37" i="1" s="1"/>
  <c r="R37" i="1" s="1"/>
  <c r="U37" i="1" s="1"/>
  <c r="O37" i="1" s="1"/>
  <c r="P37" i="1" s="1"/>
  <c r="AD42" i="1"/>
  <c r="AD26" i="1"/>
  <c r="W26" i="1"/>
  <c r="X26" i="1" s="1"/>
  <c r="T26" i="1" s="1"/>
  <c r="R26" i="1" s="1"/>
  <c r="U26" i="1" s="1"/>
  <c r="O26" i="1" s="1"/>
  <c r="P26" i="1" s="1"/>
  <c r="BB45" i="1"/>
  <c r="W38" i="1"/>
  <c r="X38" i="1" s="1"/>
  <c r="AD52" i="1"/>
  <c r="W25" i="1"/>
  <c r="X25" i="1" s="1"/>
  <c r="W74" i="1"/>
  <c r="X74" i="1" s="1"/>
  <c r="AD81" i="1"/>
  <c r="T81" i="1"/>
  <c r="R81" i="1" s="1"/>
  <c r="U81" i="1" s="1"/>
  <c r="O81" i="1" s="1"/>
  <c r="P81" i="1" s="1"/>
  <c r="AD77" i="1"/>
  <c r="AD66" i="1"/>
  <c r="W75" i="1"/>
  <c r="X75" i="1" s="1"/>
  <c r="W80" i="1"/>
  <c r="X80" i="1" s="1"/>
  <c r="W55" i="1"/>
  <c r="X55" i="1" s="1"/>
  <c r="T55" i="1" s="1"/>
  <c r="R55" i="1" s="1"/>
  <c r="U55" i="1" s="1"/>
  <c r="O55" i="1" s="1"/>
  <c r="P55" i="1" s="1"/>
  <c r="AD85" i="1"/>
  <c r="W85" i="1"/>
  <c r="X85" i="1" s="1"/>
  <c r="W72" i="1"/>
  <c r="X72" i="1" s="1"/>
  <c r="Y71" i="1"/>
  <c r="AC71" i="1" s="1"/>
  <c r="AF71" i="1"/>
  <c r="AD71" i="1"/>
  <c r="T71" i="1"/>
  <c r="R71" i="1" s="1"/>
  <c r="U71" i="1" s="1"/>
  <c r="O71" i="1" s="1"/>
  <c r="P71" i="1" s="1"/>
  <c r="BB84" i="1"/>
  <c r="W56" i="1"/>
  <c r="X56" i="1" s="1"/>
  <c r="T56" i="1" s="1"/>
  <c r="R56" i="1" s="1"/>
  <c r="U56" i="1" s="1"/>
  <c r="O56" i="1" s="1"/>
  <c r="P56" i="1" s="1"/>
  <c r="T79" i="1"/>
  <c r="R79" i="1" s="1"/>
  <c r="U79" i="1" s="1"/>
  <c r="O79" i="1" s="1"/>
  <c r="P79" i="1" s="1"/>
  <c r="AD79" i="1"/>
  <c r="AD47" i="1"/>
  <c r="W33" i="1"/>
  <c r="X33" i="1" s="1"/>
  <c r="AE32" i="1"/>
  <c r="AD45" i="1"/>
  <c r="W42" i="1"/>
  <c r="X42" i="1" s="1"/>
  <c r="T42" i="1" s="1"/>
  <c r="R42" i="1" s="1"/>
  <c r="U42" i="1" s="1"/>
  <c r="O42" i="1" s="1"/>
  <c r="P42" i="1" s="1"/>
  <c r="AD34" i="1"/>
  <c r="W34" i="1"/>
  <c r="X34" i="1" s="1"/>
  <c r="T34" i="1" s="1"/>
  <c r="R34" i="1" s="1"/>
  <c r="U34" i="1" s="1"/>
  <c r="O34" i="1" s="1"/>
  <c r="P34" i="1" s="1"/>
  <c r="BB31" i="1"/>
  <c r="W27" i="1"/>
  <c r="X27" i="1" s="1"/>
  <c r="AD17" i="1"/>
  <c r="T17" i="1"/>
  <c r="R17" i="1" s="1"/>
  <c r="U17" i="1" s="1"/>
  <c r="O17" i="1" s="1"/>
  <c r="P17" i="1" s="1"/>
  <c r="BB59" i="1"/>
  <c r="AF28" i="1"/>
  <c r="Y28" i="1"/>
  <c r="AC28" i="1" s="1"/>
  <c r="AE23" i="1"/>
  <c r="W60" i="1"/>
  <c r="X60" i="1" s="1"/>
  <c r="T60" i="1" s="1"/>
  <c r="R60" i="1" s="1"/>
  <c r="U60" i="1" s="1"/>
  <c r="O60" i="1" s="1"/>
  <c r="P60" i="1" s="1"/>
  <c r="BB37" i="1"/>
  <c r="AE28" i="1"/>
  <c r="W62" i="1"/>
  <c r="X62" i="1" s="1"/>
  <c r="T62" i="1" s="1"/>
  <c r="R62" i="1" s="1"/>
  <c r="U62" i="1" s="1"/>
  <c r="O62" i="1" s="1"/>
  <c r="P62" i="1" s="1"/>
  <c r="W44" i="1"/>
  <c r="X44" i="1" s="1"/>
  <c r="T44" i="1" s="1"/>
  <c r="R44" i="1" s="1"/>
  <c r="U44" i="1" s="1"/>
  <c r="O44" i="1" s="1"/>
  <c r="P44" i="1" s="1"/>
  <c r="W66" i="1"/>
  <c r="X66" i="1" s="1"/>
  <c r="T66" i="1" s="1"/>
  <c r="R66" i="1" s="1"/>
  <c r="U66" i="1" s="1"/>
  <c r="O66" i="1" s="1"/>
  <c r="P66" i="1" s="1"/>
  <c r="BB77" i="1"/>
  <c r="AD62" i="1"/>
  <c r="AE83" i="1"/>
  <c r="T54" i="1"/>
  <c r="R54" i="1" s="1"/>
  <c r="U54" i="1" s="1"/>
  <c r="O54" i="1" s="1"/>
  <c r="P54" i="1" s="1"/>
  <c r="AD54" i="1"/>
  <c r="BB85" i="1"/>
  <c r="W45" i="1"/>
  <c r="X45" i="1" s="1"/>
  <c r="T45" i="1" s="1"/>
  <c r="R45" i="1" s="1"/>
  <c r="U45" i="1" s="1"/>
  <c r="O45" i="1" s="1"/>
  <c r="P45" i="1" s="1"/>
  <c r="Y57" i="1"/>
  <c r="AC57" i="1" s="1"/>
  <c r="AF57" i="1"/>
  <c r="AE57" i="1"/>
  <c r="W31" i="1"/>
  <c r="X31" i="1" s="1"/>
  <c r="BB44" i="1"/>
  <c r="AD37" i="1"/>
  <c r="AD19" i="1"/>
  <c r="T19" i="1"/>
  <c r="R19" i="1" s="1"/>
  <c r="U19" i="1" s="1"/>
  <c r="O19" i="1" s="1"/>
  <c r="P19" i="1" s="1"/>
  <c r="AD24" i="1"/>
  <c r="T24" i="1"/>
  <c r="R24" i="1" s="1"/>
  <c r="U24" i="1" s="1"/>
  <c r="O24" i="1" s="1"/>
  <c r="P24" i="1" s="1"/>
  <c r="BB56" i="1"/>
  <c r="W22" i="1"/>
  <c r="X22" i="1" s="1"/>
  <c r="T22" i="1" s="1"/>
  <c r="R22" i="1" s="1"/>
  <c r="U22" i="1" s="1"/>
  <c r="O22" i="1" s="1"/>
  <c r="P22" i="1" s="1"/>
  <c r="Y30" i="1" l="1"/>
  <c r="AC30" i="1" s="1"/>
  <c r="AE70" i="1"/>
  <c r="AG71" i="1"/>
  <c r="AG57" i="1"/>
  <c r="AE69" i="1"/>
  <c r="AG69" i="1" s="1"/>
  <c r="AF69" i="1"/>
  <c r="T69" i="1"/>
  <c r="R69" i="1" s="1"/>
  <c r="U69" i="1" s="1"/>
  <c r="O69" i="1" s="1"/>
  <c r="P69" i="1" s="1"/>
  <c r="Y69" i="1"/>
  <c r="AC69" i="1" s="1"/>
  <c r="Y21" i="1"/>
  <c r="AC21" i="1" s="1"/>
  <c r="AF21" i="1"/>
  <c r="AE21" i="1"/>
  <c r="Y85" i="1"/>
  <c r="AC85" i="1" s="1"/>
  <c r="AF85" i="1"/>
  <c r="AE85" i="1"/>
  <c r="AF38" i="1"/>
  <c r="Y38" i="1"/>
  <c r="AC38" i="1" s="1"/>
  <c r="AE38" i="1"/>
  <c r="Y35" i="1"/>
  <c r="AC35" i="1" s="1"/>
  <c r="AF35" i="1"/>
  <c r="AE35" i="1"/>
  <c r="T35" i="1"/>
  <c r="R35" i="1" s="1"/>
  <c r="U35" i="1" s="1"/>
  <c r="O35" i="1" s="1"/>
  <c r="P35" i="1" s="1"/>
  <c r="Y17" i="1"/>
  <c r="AC17" i="1" s="1"/>
  <c r="AF17" i="1"/>
  <c r="AE17" i="1"/>
  <c r="AG19" i="1"/>
  <c r="Y58" i="1"/>
  <c r="AC58" i="1" s="1"/>
  <c r="AF58" i="1"/>
  <c r="T58" i="1"/>
  <c r="R58" i="1" s="1"/>
  <c r="U58" i="1" s="1"/>
  <c r="O58" i="1" s="1"/>
  <c r="P58" i="1" s="1"/>
  <c r="AE58" i="1"/>
  <c r="AG65" i="1"/>
  <c r="Y41" i="1"/>
  <c r="AC41" i="1" s="1"/>
  <c r="AF41" i="1"/>
  <c r="AE41" i="1"/>
  <c r="T41" i="1"/>
  <c r="R41" i="1" s="1"/>
  <c r="U41" i="1" s="1"/>
  <c r="O41" i="1" s="1"/>
  <c r="P41" i="1" s="1"/>
  <c r="Y45" i="1"/>
  <c r="AC45" i="1" s="1"/>
  <c r="AF45" i="1"/>
  <c r="AE45" i="1"/>
  <c r="Y62" i="1"/>
  <c r="AC62" i="1" s="1"/>
  <c r="AF62" i="1"/>
  <c r="AE62" i="1"/>
  <c r="Y33" i="1"/>
  <c r="AC33" i="1" s="1"/>
  <c r="AE33" i="1"/>
  <c r="T33" i="1"/>
  <c r="R33" i="1" s="1"/>
  <c r="U33" i="1" s="1"/>
  <c r="O33" i="1" s="1"/>
  <c r="P33" i="1" s="1"/>
  <c r="AF33" i="1"/>
  <c r="T85" i="1"/>
  <c r="R85" i="1" s="1"/>
  <c r="U85" i="1" s="1"/>
  <c r="O85" i="1" s="1"/>
  <c r="P85" i="1" s="1"/>
  <c r="Y75" i="1"/>
  <c r="AC75" i="1" s="1"/>
  <c r="AF75" i="1"/>
  <c r="AE75" i="1"/>
  <c r="AF74" i="1"/>
  <c r="Y74" i="1"/>
  <c r="AC74" i="1" s="1"/>
  <c r="AE74" i="1"/>
  <c r="T74" i="1"/>
  <c r="R74" i="1" s="1"/>
  <c r="U74" i="1" s="1"/>
  <c r="O74" i="1" s="1"/>
  <c r="P74" i="1" s="1"/>
  <c r="Y49" i="1"/>
  <c r="AC49" i="1" s="1"/>
  <c r="AF49" i="1"/>
  <c r="AE49" i="1"/>
  <c r="T49" i="1"/>
  <c r="R49" i="1" s="1"/>
  <c r="U49" i="1" s="1"/>
  <c r="O49" i="1" s="1"/>
  <c r="P49" i="1" s="1"/>
  <c r="T75" i="1"/>
  <c r="R75" i="1" s="1"/>
  <c r="U75" i="1" s="1"/>
  <c r="O75" i="1" s="1"/>
  <c r="P75" i="1" s="1"/>
  <c r="AF59" i="1"/>
  <c r="Y59" i="1"/>
  <c r="AC59" i="1" s="1"/>
  <c r="AE59" i="1"/>
  <c r="AF78" i="1"/>
  <c r="Y78" i="1"/>
  <c r="AC78" i="1" s="1"/>
  <c r="T78" i="1"/>
  <c r="R78" i="1" s="1"/>
  <c r="U78" i="1" s="1"/>
  <c r="O78" i="1" s="1"/>
  <c r="P78" i="1" s="1"/>
  <c r="AE78" i="1"/>
  <c r="AF82" i="1"/>
  <c r="Y82" i="1"/>
  <c r="AC82" i="1" s="1"/>
  <c r="AE82" i="1"/>
  <c r="T82" i="1"/>
  <c r="R82" i="1" s="1"/>
  <c r="U82" i="1" s="1"/>
  <c r="O82" i="1" s="1"/>
  <c r="P82" i="1" s="1"/>
  <c r="AG18" i="1"/>
  <c r="AG32" i="1"/>
  <c r="AF27" i="1"/>
  <c r="Y27" i="1"/>
  <c r="AC27" i="1" s="1"/>
  <c r="AE27" i="1"/>
  <c r="AF34" i="1"/>
  <c r="AE34" i="1"/>
  <c r="Y34" i="1"/>
  <c r="AC34" i="1" s="1"/>
  <c r="Y25" i="1"/>
  <c r="AC25" i="1" s="1"/>
  <c r="AF25" i="1"/>
  <c r="AE25" i="1"/>
  <c r="T25" i="1"/>
  <c r="R25" i="1" s="1"/>
  <c r="U25" i="1" s="1"/>
  <c r="O25" i="1" s="1"/>
  <c r="P25" i="1" s="1"/>
  <c r="Y84" i="1"/>
  <c r="AC84" i="1" s="1"/>
  <c r="AE84" i="1"/>
  <c r="AF84" i="1"/>
  <c r="T84" i="1"/>
  <c r="R84" i="1" s="1"/>
  <c r="U84" i="1" s="1"/>
  <c r="O84" i="1" s="1"/>
  <c r="P84" i="1" s="1"/>
  <c r="T59" i="1"/>
  <c r="R59" i="1" s="1"/>
  <c r="U59" i="1" s="1"/>
  <c r="O59" i="1" s="1"/>
  <c r="P59" i="1" s="1"/>
  <c r="T21" i="1"/>
  <c r="R21" i="1" s="1"/>
  <c r="U21" i="1" s="1"/>
  <c r="O21" i="1" s="1"/>
  <c r="P21" i="1" s="1"/>
  <c r="AG23" i="1"/>
  <c r="T27" i="1"/>
  <c r="R27" i="1" s="1"/>
  <c r="U27" i="1" s="1"/>
  <c r="O27" i="1" s="1"/>
  <c r="P27" i="1" s="1"/>
  <c r="AG54" i="1"/>
  <c r="AG36" i="1"/>
  <c r="Y44" i="1"/>
  <c r="AC44" i="1" s="1"/>
  <c r="AF44" i="1"/>
  <c r="AE44" i="1"/>
  <c r="Y80" i="1"/>
  <c r="AC80" i="1" s="1"/>
  <c r="AE80" i="1"/>
  <c r="AF80" i="1"/>
  <c r="T80" i="1"/>
  <c r="R80" i="1" s="1"/>
  <c r="U80" i="1" s="1"/>
  <c r="O80" i="1" s="1"/>
  <c r="P80" i="1" s="1"/>
  <c r="AG28" i="1"/>
  <c r="Y37" i="1"/>
  <c r="AC37" i="1" s="1"/>
  <c r="AF37" i="1"/>
  <c r="AE37" i="1"/>
  <c r="Y52" i="1"/>
  <c r="AC52" i="1" s="1"/>
  <c r="AF52" i="1"/>
  <c r="AE52" i="1"/>
  <c r="Y47" i="1"/>
  <c r="AC47" i="1" s="1"/>
  <c r="AF47" i="1"/>
  <c r="AE47" i="1"/>
  <c r="Y53" i="1"/>
  <c r="AC53" i="1" s="1"/>
  <c r="AF53" i="1"/>
  <c r="AE53" i="1"/>
  <c r="T53" i="1"/>
  <c r="R53" i="1" s="1"/>
  <c r="U53" i="1" s="1"/>
  <c r="O53" i="1" s="1"/>
  <c r="P53" i="1" s="1"/>
  <c r="AF73" i="1"/>
  <c r="Y73" i="1"/>
  <c r="AC73" i="1" s="1"/>
  <c r="AE73" i="1"/>
  <c r="AG30" i="1"/>
  <c r="AG79" i="1"/>
  <c r="AF46" i="1"/>
  <c r="Y46" i="1"/>
  <c r="AC46" i="1" s="1"/>
  <c r="AE46" i="1"/>
  <c r="Y67" i="1"/>
  <c r="AC67" i="1" s="1"/>
  <c r="AF67" i="1"/>
  <c r="AG67" i="1" s="1"/>
  <c r="AE67" i="1"/>
  <c r="AF22" i="1"/>
  <c r="Y22" i="1"/>
  <c r="AC22" i="1" s="1"/>
  <c r="AE22" i="1"/>
  <c r="Y31" i="1"/>
  <c r="AC31" i="1" s="1"/>
  <c r="AF31" i="1"/>
  <c r="AE31" i="1"/>
  <c r="T31" i="1"/>
  <c r="R31" i="1" s="1"/>
  <c r="U31" i="1" s="1"/>
  <c r="O31" i="1" s="1"/>
  <c r="P31" i="1" s="1"/>
  <c r="Y66" i="1"/>
  <c r="AC66" i="1" s="1"/>
  <c r="AF66" i="1"/>
  <c r="AE66" i="1"/>
  <c r="Y55" i="1"/>
  <c r="AC55" i="1" s="1"/>
  <c r="AF55" i="1"/>
  <c r="AE55" i="1"/>
  <c r="AF63" i="1"/>
  <c r="Y63" i="1"/>
  <c r="AC63" i="1" s="1"/>
  <c r="AE63" i="1"/>
  <c r="Y81" i="1"/>
  <c r="AC81" i="1" s="1"/>
  <c r="AF81" i="1"/>
  <c r="AE81" i="1"/>
  <c r="Y40" i="1"/>
  <c r="AC40" i="1" s="1"/>
  <c r="AF40" i="1"/>
  <c r="AE40" i="1"/>
  <c r="Y39" i="1"/>
  <c r="AC39" i="1" s="1"/>
  <c r="AF39" i="1"/>
  <c r="AE39" i="1"/>
  <c r="T39" i="1"/>
  <c r="R39" i="1" s="1"/>
  <c r="U39" i="1" s="1"/>
  <c r="O39" i="1" s="1"/>
  <c r="P39" i="1" s="1"/>
  <c r="Y61" i="1"/>
  <c r="AC61" i="1" s="1"/>
  <c r="AF61" i="1"/>
  <c r="AE61" i="1"/>
  <c r="AE29" i="1"/>
  <c r="AF29" i="1"/>
  <c r="Y29" i="1"/>
  <c r="AC29" i="1" s="1"/>
  <c r="T29" i="1"/>
  <c r="R29" i="1" s="1"/>
  <c r="U29" i="1" s="1"/>
  <c r="O29" i="1" s="1"/>
  <c r="P29" i="1" s="1"/>
  <c r="AG83" i="1"/>
  <c r="T38" i="1"/>
  <c r="R38" i="1" s="1"/>
  <c r="U38" i="1" s="1"/>
  <c r="O38" i="1" s="1"/>
  <c r="P38" i="1" s="1"/>
  <c r="Y60" i="1"/>
  <c r="AC60" i="1" s="1"/>
  <c r="AF60" i="1"/>
  <c r="AE60" i="1"/>
  <c r="AF42" i="1"/>
  <c r="Y42" i="1"/>
  <c r="AC42" i="1" s="1"/>
  <c r="AE42" i="1"/>
  <c r="Y20" i="1"/>
  <c r="AC20" i="1" s="1"/>
  <c r="AF20" i="1"/>
  <c r="AE20" i="1"/>
  <c r="Y64" i="1"/>
  <c r="AC64" i="1" s="1"/>
  <c r="AF64" i="1"/>
  <c r="AE64" i="1"/>
  <c r="T64" i="1"/>
  <c r="R64" i="1" s="1"/>
  <c r="U64" i="1" s="1"/>
  <c r="O64" i="1" s="1"/>
  <c r="P64" i="1" s="1"/>
  <c r="Y76" i="1"/>
  <c r="AC76" i="1" s="1"/>
  <c r="AE76" i="1"/>
  <c r="AF76" i="1"/>
  <c r="T76" i="1"/>
  <c r="R76" i="1" s="1"/>
  <c r="U76" i="1" s="1"/>
  <c r="O76" i="1" s="1"/>
  <c r="P76" i="1" s="1"/>
  <c r="Y68" i="1"/>
  <c r="AC68" i="1" s="1"/>
  <c r="AF68" i="1"/>
  <c r="AE68" i="1"/>
  <c r="T68" i="1"/>
  <c r="R68" i="1" s="1"/>
  <c r="U68" i="1" s="1"/>
  <c r="O68" i="1" s="1"/>
  <c r="P68" i="1" s="1"/>
  <c r="AF51" i="1"/>
  <c r="Y51" i="1"/>
  <c r="AC51" i="1" s="1"/>
  <c r="AE51" i="1"/>
  <c r="T46" i="1"/>
  <c r="R46" i="1" s="1"/>
  <c r="U46" i="1" s="1"/>
  <c r="O46" i="1" s="1"/>
  <c r="P46" i="1" s="1"/>
  <c r="Y56" i="1"/>
  <c r="AC56" i="1" s="1"/>
  <c r="AF56" i="1"/>
  <c r="AE56" i="1"/>
  <c r="Y77" i="1"/>
  <c r="AC77" i="1" s="1"/>
  <c r="AF77" i="1"/>
  <c r="AE77" i="1"/>
  <c r="Y72" i="1"/>
  <c r="AC72" i="1" s="1"/>
  <c r="AF72" i="1"/>
  <c r="AE72" i="1"/>
  <c r="T72" i="1"/>
  <c r="R72" i="1" s="1"/>
  <c r="U72" i="1" s="1"/>
  <c r="O72" i="1" s="1"/>
  <c r="P72" i="1" s="1"/>
  <c r="AF26" i="1"/>
  <c r="AE26" i="1"/>
  <c r="Y26" i="1"/>
  <c r="AC26" i="1" s="1"/>
  <c r="AF48" i="1"/>
  <c r="Y48" i="1"/>
  <c r="AC48" i="1" s="1"/>
  <c r="AE48" i="1"/>
  <c r="AF50" i="1"/>
  <c r="Y50" i="1"/>
  <c r="AC50" i="1" s="1"/>
  <c r="AE50" i="1"/>
  <c r="Y24" i="1"/>
  <c r="AC24" i="1" s="1"/>
  <c r="AF24" i="1"/>
  <c r="AE24" i="1"/>
  <c r="AF43" i="1"/>
  <c r="Y43" i="1"/>
  <c r="AC43" i="1" s="1"/>
  <c r="AE43" i="1"/>
  <c r="AG86" i="1"/>
  <c r="AG70" i="1"/>
  <c r="AG60" i="1" l="1"/>
  <c r="AG31" i="1"/>
  <c r="AG52" i="1"/>
  <c r="AG64" i="1"/>
  <c r="AG68" i="1"/>
  <c r="AG45" i="1"/>
  <c r="AG81" i="1"/>
  <c r="AG44" i="1"/>
  <c r="AG21" i="1"/>
  <c r="AG72" i="1"/>
  <c r="AG73" i="1"/>
  <c r="AG38" i="1"/>
  <c r="AG85" i="1"/>
  <c r="AG77" i="1"/>
  <c r="AG51" i="1"/>
  <c r="AG39" i="1"/>
  <c r="AG53" i="1"/>
  <c r="AG34" i="1"/>
  <c r="AG50" i="1"/>
  <c r="AG20" i="1"/>
  <c r="AG37" i="1"/>
  <c r="AG82" i="1"/>
  <c r="AG35" i="1"/>
  <c r="AG63" i="1"/>
  <c r="AG66" i="1"/>
  <c r="AG22" i="1"/>
  <c r="AG25" i="1"/>
  <c r="AG43" i="1"/>
  <c r="AG26" i="1"/>
  <c r="AG76" i="1"/>
  <c r="AG61" i="1"/>
  <c r="AG40" i="1"/>
  <c r="AG47" i="1"/>
  <c r="AG27" i="1"/>
  <c r="AG59" i="1"/>
  <c r="AG17" i="1"/>
  <c r="AG74" i="1"/>
  <c r="AG41" i="1"/>
  <c r="AG24" i="1"/>
  <c r="AG75" i="1"/>
  <c r="AG62" i="1"/>
  <c r="AG56" i="1"/>
  <c r="AG55" i="1"/>
  <c r="AG84" i="1"/>
  <c r="AG49" i="1"/>
  <c r="AG58" i="1"/>
  <c r="AG48" i="1"/>
  <c r="AG42" i="1"/>
  <c r="AG29" i="1"/>
  <c r="AG46" i="1"/>
  <c r="AG78" i="1"/>
  <c r="AG80" i="1"/>
  <c r="AG33" i="1"/>
</calcChain>
</file>

<file path=xl/sharedStrings.xml><?xml version="1.0" encoding="utf-8"?>
<sst xmlns="http://schemas.openxmlformats.org/spreadsheetml/2006/main" count="2100" uniqueCount="776">
  <si>
    <t>File opened</t>
  </si>
  <si>
    <t>2023-08-29 09:30:19</t>
  </si>
  <si>
    <t>Console s/n</t>
  </si>
  <si>
    <t>68C-812068</t>
  </si>
  <si>
    <t>Console ver</t>
  </si>
  <si>
    <t>Bluestem v.2.1.08</t>
  </si>
  <si>
    <t>Scripts ver</t>
  </si>
  <si>
    <t>2022.05  2.1.08, Aug 2022</t>
  </si>
  <si>
    <t>Head s/n</t>
  </si>
  <si>
    <t>68H-712058</t>
  </si>
  <si>
    <t>Head ver</t>
  </si>
  <si>
    <t>1.4.22</t>
  </si>
  <si>
    <t>Head cal</t>
  </si>
  <si>
    <t>{"oxygen": "21", "co2azero": "0.896213", "co2aspan1": "0.992529", "co2aspan2": "0.000215804", "co2aspan2a": "0.284401", "co2aspan2b": "0.282294", "co2aspanconc1": "2504", "co2aspanconc2": "300.9", "co2bzero": "0.910546", "co2bspan1": "0.992113", "co2bspan2": "0.00187891", "co2bspan2a": "0.280611", "co2bspan2b": "0.278546", "co2bspanconc1": "2504", "co2bspanconc2": "300.9", "h2oazero": "1.0352", "h2oaspan1": "1.00429", "h2oaspan2": "0", "h2oaspan2a": "0.0694857", "h2oaspan2b": "0.0697839", "h2oaspanconc1": "11.74", "h2oaspanconc2": "0", "h2obzero": "1.04075", "h2obspan1": "1.03991", "h2obspan2": "0", "h2obspan2a": "0.0674267", "h2obspan2b": "0.0701179", "h2obspanconc1": "11.74", "h2obspanconc2": "0", "tazero": "0.207907", "tbzero": "0.213327", "flowmeterzero": "0.996244", "flowazero": "0.30552", "flowbzero": "0.30617", "chamberpressurezero": "2.68145", "ssa_ref": "28781.3", "ssb_ref": "37236.4"}</t>
  </si>
  <si>
    <t>CO2 rangematch</t>
  </si>
  <si>
    <t>Sat Aug 26 10:17</t>
  </si>
  <si>
    <t>H2O rangematch</t>
  </si>
  <si>
    <t>Sat Aug 26 10:25</t>
  </si>
  <si>
    <t>Chamber type</t>
  </si>
  <si>
    <t>6800-01A</t>
  </si>
  <si>
    <t>Chamber s/n</t>
  </si>
  <si>
    <t>MPF-281817</t>
  </si>
  <si>
    <t>Chamber rev</t>
  </si>
  <si>
    <t>0</t>
  </si>
  <si>
    <t>Chamber cal</t>
  </si>
  <si>
    <t>Fluorometer</t>
  </si>
  <si>
    <t>Flr. Version</t>
  </si>
  <si>
    <t>09:30:19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</si>
  <si>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</si>
  <si>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</si>
  <si>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</si>
  <si>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</si>
  <si>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</si>
  <si>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</si>
  <si>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</si>
  <si>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</si>
  <si>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</si>
  <si>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</si>
  <si>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</si>
  <si>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</si>
  <si>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</si>
  <si>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</si>
  <si>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</si>
  <si>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</si>
  <si>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</si>
  <si>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</si>
  <si>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</si>
  <si>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</si>
  <si>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</si>
  <si>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</si>
  <si>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</si>
  <si>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</si>
  <si>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</si>
  <si>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</si>
  <si>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</si>
  <si>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</si>
  <si>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</si>
  <si>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</si>
  <si>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</si>
  <si>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</si>
  <si>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</si>
  <si>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</si>
  <si>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</si>
  <si>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</si>
  <si>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</si>
  <si>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</si>
  <si>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</si>
  <si>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</si>
  <si>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</si>
  <si>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</si>
  <si>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</si>
  <si>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</si>
  <si>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</si>
  <si>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</si>
  <si>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</si>
  <si>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</si>
  <si>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</si>
  <si>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</si>
  <si>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</si>
  <si>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</si>
  <si>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</si>
  <si>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3.22859 91.1898 390.527 636.316 876.446 1063.91 1236 1400.75</t>
  </si>
  <si>
    <t>Fs_true</t>
  </si>
  <si>
    <t>0.179067 103.261 402.543 601.368 800.645 1001.93 1197.81 1401.87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</si>
  <si>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</si>
  <si>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</si>
  <si>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</si>
  <si>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</si>
  <si>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</si>
  <si>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</si>
  <si>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</si>
  <si>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</si>
  <si>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</si>
  <si>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</si>
  <si>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</si>
  <si>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</si>
  <si>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</si>
  <si>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</si>
  <si>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</si>
  <si>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</si>
  <si>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</si>
  <si>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</si>
  <si>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</si>
  <si>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</si>
  <si>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</si>
  <si>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</si>
  <si>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</si>
  <si>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</si>
  <si>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</si>
  <si>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</si>
  <si>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</si>
  <si>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</si>
  <si>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</si>
  <si>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plot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</si>
  <si>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</si>
  <si>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</si>
  <si>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</si>
  <si>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</si>
  <si>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</si>
  <si>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</si>
  <si>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</si>
  <si>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</si>
  <si>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</si>
  <si>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</si>
  <si>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</si>
  <si>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</si>
  <si>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</si>
  <si>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</si>
  <si>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</si>
  <si>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</si>
  <si>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</si>
  <si>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</si>
  <si>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</si>
  <si>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</si>
  <si>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</si>
  <si>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</si>
  <si>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</si>
  <si>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</si>
  <si>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</si>
  <si>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</si>
  <si>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</si>
  <si>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</si>
  <si>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</si>
  <si>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</si>
  <si>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</si>
  <si>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</si>
  <si>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</si>
  <si>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</si>
  <si>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</si>
  <si>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</si>
  <si>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</si>
  <si>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</si>
  <si>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</si>
  <si>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</si>
  <si>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</si>
  <si>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</si>
  <si>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</si>
  <si>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</si>
  <si>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</si>
  <si>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</si>
  <si>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</si>
  <si>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</si>
  <si>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</si>
  <si>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</si>
  <si>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</si>
  <si>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</si>
  <si>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</si>
  <si>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</si>
  <si>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</si>
  <si>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</si>
  <si>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</si>
  <si>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</si>
  <si>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</si>
  <si>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</si>
  <si>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</si>
  <si>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</si>
  <si>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</si>
  <si>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</si>
  <si>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</si>
  <si>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</si>
  <si>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</si>
  <si>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</si>
  <si>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</si>
  <si>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</si>
  <si>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</si>
  <si>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</si>
  <si>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</si>
  <si>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</si>
  <si>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</si>
  <si>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</si>
  <si>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</si>
  <si>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</si>
  <si>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</si>
  <si>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</si>
  <si>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</si>
  <si>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</si>
  <si>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</si>
  <si>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</si>
  <si>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</si>
  <si>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</si>
  <si>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</si>
  <si>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</si>
  <si>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</si>
  <si>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</si>
  <si>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</si>
  <si>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</si>
  <si>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</si>
  <si>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</si>
  <si>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</si>
  <si>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</si>
  <si>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</si>
  <si>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</si>
  <si>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</si>
  <si>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</si>
  <si>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</si>
  <si>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</si>
  <si>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</si>
  <si>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</si>
  <si>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</si>
  <si>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</si>
  <si>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</si>
  <si>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</si>
  <si>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</si>
  <si>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</si>
  <si>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</si>
  <si>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</si>
  <si>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</si>
  <si>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</si>
  <si>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</si>
  <si>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</si>
  <si>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</si>
  <si>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</si>
  <si>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</si>
  <si>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</si>
  <si>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</si>
  <si>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</si>
  <si>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</si>
  <si>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</si>
  <si>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</si>
  <si>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</si>
  <si>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</si>
  <si>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</si>
  <si>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</si>
  <si>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</si>
  <si>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</si>
  <si>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</si>
  <si>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</si>
  <si>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</si>
  <si>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</si>
  <si>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</si>
  <si>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</si>
  <si>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</si>
  <si>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</si>
  <si>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</si>
  <si>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</si>
  <si>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</si>
  <si>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</si>
  <si>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</si>
  <si>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</si>
  <si>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</si>
  <si>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</si>
  <si>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</si>
  <si>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</si>
  <si>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</si>
  <si>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</si>
  <si>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</si>
  <si>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</si>
  <si>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</si>
  <si>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</si>
  <si>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</si>
  <si>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</si>
  <si>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</si>
  <si>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</si>
  <si>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</si>
  <si>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</si>
  <si>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</si>
  <si>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</si>
  <si>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</si>
  <si>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</si>
  <si>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</si>
  <si>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</si>
  <si>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</si>
  <si>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</si>
  <si>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</si>
  <si>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</si>
  <si>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</si>
  <si>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</si>
  <si>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</si>
  <si>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</si>
  <si>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</si>
  <si>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</si>
  <si>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</si>
  <si>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</si>
  <si>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</si>
  <si>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</si>
  <si>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</si>
  <si>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</si>
  <si>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</si>
  <si>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</si>
  <si>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</si>
  <si>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</si>
  <si>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</si>
  <si>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</si>
  <si>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</si>
  <si>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</si>
  <si>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</si>
  <si>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</si>
  <si>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</si>
  <si>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</si>
  <si>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</si>
  <si>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</si>
  <si>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</si>
  <si>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</si>
  <si>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</si>
  <si>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</si>
  <si>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</si>
  <si>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</si>
  <si>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</si>
  <si>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</si>
  <si>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</si>
  <si>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</si>
  <si>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</si>
  <si>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</si>
  <si>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</si>
  <si>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</si>
  <si>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</si>
  <si>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</si>
  <si>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</si>
  <si>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</si>
  <si>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</si>
  <si>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</si>
  <si>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</si>
  <si>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</si>
  <si>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</si>
  <si>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</si>
  <si>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</si>
  <si>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</si>
  <si>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</si>
  <si>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</si>
  <si>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</si>
  <si>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</si>
  <si>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</si>
  <si>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</si>
  <si>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</si>
  <si>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</si>
  <si>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</si>
  <si>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</si>
  <si>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</si>
  <si>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</si>
  <si>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</si>
  <si>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</si>
  <si>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</si>
  <si>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</si>
  <si>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</si>
  <si>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</si>
  <si>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</si>
  <si>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</si>
  <si>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</si>
  <si>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</si>
  <si>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</si>
  <si>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</si>
  <si>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</si>
  <si>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</si>
  <si>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</si>
  <si>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</si>
  <si>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</si>
  <si>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</si>
  <si>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</si>
  <si>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</si>
  <si>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</si>
  <si>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</si>
  <si>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</si>
  <si>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</si>
  <si>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</si>
  <si>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</si>
  <si>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</si>
  <si>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</si>
  <si>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</si>
  <si>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</si>
  <si>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</si>
  <si>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</si>
  <si>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</si>
  <si>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</si>
  <si>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</si>
  <si>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</si>
  <si>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</si>
  <si>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</si>
  <si>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</si>
  <si>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</si>
  <si>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</si>
  <si>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</si>
  <si>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</si>
  <si>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</si>
  <si>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</si>
  <si>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</si>
  <si>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</si>
  <si>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</si>
  <si>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</si>
  <si>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</si>
  <si>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</si>
  <si>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</si>
  <si>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</si>
  <si>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</si>
  <si>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</si>
  <si>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</si>
  <si>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</si>
  <si>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</si>
  <si>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</si>
  <si>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</si>
  <si>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</si>
  <si>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</si>
  <si>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none</t>
  </si>
  <si>
    <t>2</t>
  </si>
  <si>
    <t>MPF-918-20220629-11_33_48</t>
  </si>
  <si>
    <t>0: Broadleaf</t>
  </si>
  <si>
    <t>2/2</t>
  </si>
  <si>
    <t>11111111</t>
  </si>
  <si>
    <t>oooooooo</t>
  </si>
  <si>
    <t>off</t>
  </si>
  <si>
    <t>1/2</t>
  </si>
  <si>
    <t>20230829 10:59:46</t>
  </si>
  <si>
    <t>10:59:46</t>
  </si>
  <si>
    <t>zg5b</t>
  </si>
  <si>
    <t>MPF-16558-20230829-10_59_48</t>
  </si>
  <si>
    <t>DARK-16559-20230829-10_59_55</t>
  </si>
  <si>
    <t>10:59:14</t>
  </si>
  <si>
    <t>20230829 11:01:25</t>
  </si>
  <si>
    <t>11:01:25</t>
  </si>
  <si>
    <t>MPF-16560-20230829-11_01_28</t>
  </si>
  <si>
    <t>DARK-16561-20230829-11_01_35</t>
  </si>
  <si>
    <t>11:00:54</t>
  </si>
  <si>
    <t>20230829 11:03:26</t>
  </si>
  <si>
    <t>11:03:26</t>
  </si>
  <si>
    <t>MPF-16562-20230829-11_03_29</t>
  </si>
  <si>
    <t>DARK-16563-20230829-11_03_36</t>
  </si>
  <si>
    <t>11:02:42</t>
  </si>
  <si>
    <t>20230829 11:05:13</t>
  </si>
  <si>
    <t>11:05:13</t>
  </si>
  <si>
    <t>MPF-16564-20230829-11_05_16</t>
  </si>
  <si>
    <t>DARK-16565-20230829-11_05_23</t>
  </si>
  <si>
    <t>11:04:44</t>
  </si>
  <si>
    <t>20230829 11:06:59</t>
  </si>
  <si>
    <t>11:06:59</t>
  </si>
  <si>
    <t>MPF-16566-20230829-11_07_02</t>
  </si>
  <si>
    <t>DARK-16567-20230829-11_07_09</t>
  </si>
  <si>
    <t>11:06:23</t>
  </si>
  <si>
    <t>20230829 11:08:47</t>
  </si>
  <si>
    <t>11:08:47</t>
  </si>
  <si>
    <t>MPF-16568-20230829-11_08_49</t>
  </si>
  <si>
    <t>DARK-16569-20230829-11_08_56</t>
  </si>
  <si>
    <t>11:08:19</t>
  </si>
  <si>
    <t>20230829 11:10:26</t>
  </si>
  <si>
    <t>11:10:26</t>
  </si>
  <si>
    <t>MPF-16570-20230829-11_10_29</t>
  </si>
  <si>
    <t>DARK-16571-20230829-11_10_36</t>
  </si>
  <si>
    <t>11:09:56</t>
  </si>
  <si>
    <t>20230829 11:13:36</t>
  </si>
  <si>
    <t>11:13:36</t>
  </si>
  <si>
    <t>MPF-16572-20230829-11_13_38</t>
  </si>
  <si>
    <t>DARK-16573-20230829-11_13_45</t>
  </si>
  <si>
    <t>11:12:04</t>
  </si>
  <si>
    <t>20230829 11:15:39</t>
  </si>
  <si>
    <t>11:15:39</t>
  </si>
  <si>
    <t>MPF-16574-20230829-11_15_41</t>
  </si>
  <si>
    <t>DARK-16575-20230829-11_15_48</t>
  </si>
  <si>
    <t>11:14:52</t>
  </si>
  <si>
    <t>20230829 11:17:20</t>
  </si>
  <si>
    <t>11:17:20</t>
  </si>
  <si>
    <t>MPF-16576-20230829-11_17_23</t>
  </si>
  <si>
    <t>DARK-16577-20230829-11_17_30</t>
  </si>
  <si>
    <t>11:16:52</t>
  </si>
  <si>
    <t>20230829 11:19:00</t>
  </si>
  <si>
    <t>11:19:00</t>
  </si>
  <si>
    <t>MPF-16578-20230829-11_19_02</t>
  </si>
  <si>
    <t>DARK-16579-20230829-11_19_09</t>
  </si>
  <si>
    <t>11:18:31</t>
  </si>
  <si>
    <t>20230829 11:20:46</t>
  </si>
  <si>
    <t>11:20:46</t>
  </si>
  <si>
    <t>MPF-16580-20230829-11_20_49</t>
  </si>
  <si>
    <t>DARK-16581-20230829-11_20_56</t>
  </si>
  <si>
    <t>11:20:14</t>
  </si>
  <si>
    <t>20230829 11:22:35</t>
  </si>
  <si>
    <t>11:22:35</t>
  </si>
  <si>
    <t>MPF-16582-20230829-11_22_38</t>
  </si>
  <si>
    <t>DARK-16583-20230829-11_22_45</t>
  </si>
  <si>
    <t>11:22:04</t>
  </si>
  <si>
    <t>20230829 11:24:25</t>
  </si>
  <si>
    <t>11:24:25</t>
  </si>
  <si>
    <t>MPF-16584-20230829-11_24_28</t>
  </si>
  <si>
    <t>DARK-16585-20230829-11_24_35</t>
  </si>
  <si>
    <t>11:23:47</t>
  </si>
  <si>
    <t>20230829 12:06:40</t>
  </si>
  <si>
    <t>12:06:40</t>
  </si>
  <si>
    <t>hn1a</t>
  </si>
  <si>
    <t>3</t>
  </si>
  <si>
    <t>MPF-16586-20230829-12_06_42</t>
  </si>
  <si>
    <t>DARK-16587-20230829-12_06_49</t>
  </si>
  <si>
    <t>12:06:10</t>
  </si>
  <si>
    <t>20230829 12:08:19</t>
  </si>
  <si>
    <t>12:08:19</t>
  </si>
  <si>
    <t>MPF-16588-20230829-12_08_22</t>
  </si>
  <si>
    <t>DARK-16589-20230829-12_08_29</t>
  </si>
  <si>
    <t>12:07:46</t>
  </si>
  <si>
    <t>20230829 12:10:13</t>
  </si>
  <si>
    <t>12:10:13</t>
  </si>
  <si>
    <t>MPF-16590-20230829-12_10_15</t>
  </si>
  <si>
    <t>DARK-16591-20230829-12_10_22</t>
  </si>
  <si>
    <t>12:09:42</t>
  </si>
  <si>
    <t>20230829 12:11:57</t>
  </si>
  <si>
    <t>12:11:57</t>
  </si>
  <si>
    <t>MPF-16592-20230829-12_12_00</t>
  </si>
  <si>
    <t>DARK-16593-20230829-12_12_07</t>
  </si>
  <si>
    <t>12:11:27</t>
  </si>
  <si>
    <t>20230829 12:13:38</t>
  </si>
  <si>
    <t>12:13:38</t>
  </si>
  <si>
    <t>MPF-16594-20230829-12_13_41</t>
  </si>
  <si>
    <t>DARK-16595-20230829-12_13_48</t>
  </si>
  <si>
    <t>12:13:08</t>
  </si>
  <si>
    <t>20230829 12:15:26</t>
  </si>
  <si>
    <t>12:15:26</t>
  </si>
  <si>
    <t>MPF-16596-20230829-12_15_28</t>
  </si>
  <si>
    <t>DARK-16597-20230829-12_15_35</t>
  </si>
  <si>
    <t>12:14:56</t>
  </si>
  <si>
    <t>20230829 12:17:08</t>
  </si>
  <si>
    <t>12:17:08</t>
  </si>
  <si>
    <t>MPF-16598-20230829-12_17_11</t>
  </si>
  <si>
    <t>DARK-16599-20230829-12_17_18</t>
  </si>
  <si>
    <t>12:16:39</t>
  </si>
  <si>
    <t>20230829 12:20:18</t>
  </si>
  <si>
    <t>12:20:18</t>
  </si>
  <si>
    <t>MPF-16600-20230829-12_20_21</t>
  </si>
  <si>
    <t>DARK-16601-20230829-12_20_28</t>
  </si>
  <si>
    <t>12:18:52</t>
  </si>
  <si>
    <t>20230829 12:22:17</t>
  </si>
  <si>
    <t>12:22:17</t>
  </si>
  <si>
    <t>MPF-16602-20230829-12_22_19</t>
  </si>
  <si>
    <t>DARK-16603-20230829-12_22_26</t>
  </si>
  <si>
    <t>12:21:27</t>
  </si>
  <si>
    <t>20230829 12:24:01</t>
  </si>
  <si>
    <t>12:24:01</t>
  </si>
  <si>
    <t>MPF-16604-20230829-12_24_03</t>
  </si>
  <si>
    <t>DARK-16605-20230829-12_24_11</t>
  </si>
  <si>
    <t>12:23:30</t>
  </si>
  <si>
    <t>20230829 12:25:47</t>
  </si>
  <si>
    <t>12:25:47</t>
  </si>
  <si>
    <t>MPF-16606-20230829-12_25_49</t>
  </si>
  <si>
    <t>DARK-16607-20230829-12_25_57</t>
  </si>
  <si>
    <t>12:25:18</t>
  </si>
  <si>
    <t>20230829 12:27:26</t>
  </si>
  <si>
    <t>12:27:26</t>
  </si>
  <si>
    <t>MPF-16608-20230829-12_27_29</t>
  </si>
  <si>
    <t>DARK-16609-20230829-12_27_36</t>
  </si>
  <si>
    <t>12:26:55</t>
  </si>
  <si>
    <t>20230829 12:29:34</t>
  </si>
  <si>
    <t>12:29:34</t>
  </si>
  <si>
    <t>MPF-16610-20230829-12_29_37</t>
  </si>
  <si>
    <t>DARK-16611-20230829-12_29_44</t>
  </si>
  <si>
    <t>12:29:01</t>
  </si>
  <si>
    <t>20230829 12:31:36</t>
  </si>
  <si>
    <t>12:31:36</t>
  </si>
  <si>
    <t>MPF-16612-20230829-12_31_39</t>
  </si>
  <si>
    <t>DARK-16613-20230829-12_31_46</t>
  </si>
  <si>
    <t>12:31:00</t>
  </si>
  <si>
    <t>20230829 13:09:04</t>
  </si>
  <si>
    <t>13:09:04</t>
  </si>
  <si>
    <t>zg12a</t>
  </si>
  <si>
    <t>6</t>
  </si>
  <si>
    <t>MPF-16614-20230829-13_09_07</t>
  </si>
  <si>
    <t>DARK-16615-20230829-13_09_14</t>
  </si>
  <si>
    <t>13:08:33</t>
  </si>
  <si>
    <t>20230829 13:11:16</t>
  </si>
  <si>
    <t>13:11:16</t>
  </si>
  <si>
    <t>MPF-16616-20230829-13_11_19</t>
  </si>
  <si>
    <t>DARK-16617-20230829-13_11_26</t>
  </si>
  <si>
    <t>13:10:33</t>
  </si>
  <si>
    <t>20230829 13:13:27</t>
  </si>
  <si>
    <t>13:13:27</t>
  </si>
  <si>
    <t>MPF-16618-20230829-13_13_30</t>
  </si>
  <si>
    <t>DARK-16619-20230829-13_13_37</t>
  </si>
  <si>
    <t>13:12:59</t>
  </si>
  <si>
    <t>20230829 13:15:20</t>
  </si>
  <si>
    <t>13:15:20</t>
  </si>
  <si>
    <t>MPF-16620-20230829-13_15_22</t>
  </si>
  <si>
    <t>DARK-16621-20230829-13_15_30</t>
  </si>
  <si>
    <t>13:14:42</t>
  </si>
  <si>
    <t>20230829 13:17:35</t>
  </si>
  <si>
    <t>13:17:35</t>
  </si>
  <si>
    <t>MPF-16622-20230829-13_17_37</t>
  </si>
  <si>
    <t>DARK-16623-20230829-13_17_45</t>
  </si>
  <si>
    <t>13:16:34</t>
  </si>
  <si>
    <t>20230829 13:19:19</t>
  </si>
  <si>
    <t>13:19:19</t>
  </si>
  <si>
    <t>MPF-16624-20230829-13_19_22</t>
  </si>
  <si>
    <t>DARK-16625-20230829-13_19_29</t>
  </si>
  <si>
    <t>13:18:48</t>
  </si>
  <si>
    <t>20230829 13:21:15</t>
  </si>
  <si>
    <t>13:21:15</t>
  </si>
  <si>
    <t>MPF-16626-20230829-13_21_18</t>
  </si>
  <si>
    <t>DARK-16627-20230829-13_21_25</t>
  </si>
  <si>
    <t>13:20:41</t>
  </si>
  <si>
    <t>20230829 13:24:25</t>
  </si>
  <si>
    <t>13:24:25</t>
  </si>
  <si>
    <t>MPF-16628-20230829-13_24_27</t>
  </si>
  <si>
    <t>DARK-16629-20230829-13_24_35</t>
  </si>
  <si>
    <t>13:22:55</t>
  </si>
  <si>
    <t>20230829 13:27:00</t>
  </si>
  <si>
    <t>13:27:00</t>
  </si>
  <si>
    <t>MPF-16630-20230829-13_27_03</t>
  </si>
  <si>
    <t>DARK-16631-20230829-13_27_10</t>
  </si>
  <si>
    <t>13:26:00</t>
  </si>
  <si>
    <t>20230829 13:28:50</t>
  </si>
  <si>
    <t>13:28:50</t>
  </si>
  <si>
    <t>MPF-16632-20230829-13_28_52</t>
  </si>
  <si>
    <t>DARK-16633-20230829-13_29_00</t>
  </si>
  <si>
    <t>13:28:17</t>
  </si>
  <si>
    <t>20230829 13:30:39</t>
  </si>
  <si>
    <t>13:30:39</t>
  </si>
  <si>
    <t>MPF-16634-20230829-13_30_41</t>
  </si>
  <si>
    <t>DARK-16635-20230829-13_30_49</t>
  </si>
  <si>
    <t>13:30:08</t>
  </si>
  <si>
    <t>20230829 13:32:58</t>
  </si>
  <si>
    <t>13:32:58</t>
  </si>
  <si>
    <t>MPF-16636-20230829-13_33_01</t>
  </si>
  <si>
    <t>DARK-16637-20230829-13_33_08</t>
  </si>
  <si>
    <t>13:32:26</t>
  </si>
  <si>
    <t>20230829 13:34:57</t>
  </si>
  <si>
    <t>13:34:57</t>
  </si>
  <si>
    <t>MPF-16638-20230829-13_35_00</t>
  </si>
  <si>
    <t>DARK-16639-20230829-13_35_07</t>
  </si>
  <si>
    <t>13:34:29</t>
  </si>
  <si>
    <t>20230829 13:36:37</t>
  </si>
  <si>
    <t>13:36:37</t>
  </si>
  <si>
    <t>MPF-16640-20230829-13_36_39</t>
  </si>
  <si>
    <t>DARK-16641-20230829-13_36_47</t>
  </si>
  <si>
    <t>13:36:06</t>
  </si>
  <si>
    <t>20230829 14:20:40</t>
  </si>
  <si>
    <t>14:20:40</t>
  </si>
  <si>
    <t>5</t>
  </si>
  <si>
    <t>MPF-16642-20230829-14_20_42</t>
  </si>
  <si>
    <t>DARK-16643-20230829-14_20_50</t>
  </si>
  <si>
    <t>14:20:01</t>
  </si>
  <si>
    <t>20230829 14:22:31</t>
  </si>
  <si>
    <t>14:22:31</t>
  </si>
  <si>
    <t>MPF-16644-20230829-14_22_33</t>
  </si>
  <si>
    <t>DARK-16645-20230829-14_22_41</t>
  </si>
  <si>
    <t>14:21:55</t>
  </si>
  <si>
    <t>20230829 14:24:10</t>
  </si>
  <si>
    <t>14:24:10</t>
  </si>
  <si>
    <t>MPF-16646-20230829-14_24_13</t>
  </si>
  <si>
    <t>DARK-16647-20230829-14_24_20</t>
  </si>
  <si>
    <t>14:23:35</t>
  </si>
  <si>
    <t>20230829 14:26:04</t>
  </si>
  <si>
    <t>14:26:04</t>
  </si>
  <si>
    <t>MPF-16648-20230829-14_26_06</t>
  </si>
  <si>
    <t>DARK-16649-20230829-14_26_14</t>
  </si>
  <si>
    <t>14:25:19</t>
  </si>
  <si>
    <t>20230829 14:28:03</t>
  </si>
  <si>
    <t>14:28:03</t>
  </si>
  <si>
    <t>MPF-16650-20230829-14_28_06</t>
  </si>
  <si>
    <t>DARK-16651-20230829-14_28_13</t>
  </si>
  <si>
    <t>14:27:26</t>
  </si>
  <si>
    <t>20230829 14:29:47</t>
  </si>
  <si>
    <t>14:29:47</t>
  </si>
  <si>
    <t>MPF-16652-20230829-14_29_50</t>
  </si>
  <si>
    <t>DARK-16653-20230829-14_29_57</t>
  </si>
  <si>
    <t>14:29:10</t>
  </si>
  <si>
    <t>20230829 14:31:52</t>
  </si>
  <si>
    <t>14:31:52</t>
  </si>
  <si>
    <t>MPF-16654-20230829-14_31_54</t>
  </si>
  <si>
    <t>DARK-16655-20230829-14_32_02</t>
  </si>
  <si>
    <t>14:31:21</t>
  </si>
  <si>
    <t>20230829 14:34:55</t>
  </si>
  <si>
    <t>14:34:55</t>
  </si>
  <si>
    <t>MPF-16656-20230829-14_34_57</t>
  </si>
  <si>
    <t>DARK-16657-20230829-14_35_05</t>
  </si>
  <si>
    <t>14:33:45</t>
  </si>
  <si>
    <t>20230829 14:37:32</t>
  </si>
  <si>
    <t>14:37:32</t>
  </si>
  <si>
    <t>MPF-16658-20230829-14_37_35</t>
  </si>
  <si>
    <t>DARK-16659-20230829-14_37_42</t>
  </si>
  <si>
    <t>14:36:02</t>
  </si>
  <si>
    <t>20230829 14:39:27</t>
  </si>
  <si>
    <t>14:39:27</t>
  </si>
  <si>
    <t>MPF-16660-20230829-14_39_30</t>
  </si>
  <si>
    <t>DARK-16661-20230829-14_39_37</t>
  </si>
  <si>
    <t>14:38:57</t>
  </si>
  <si>
    <t>20230829 14:41:08</t>
  </si>
  <si>
    <t>14:41:08</t>
  </si>
  <si>
    <t>MPF-16662-20230829-14_41_11</t>
  </si>
  <si>
    <t>DARK-16663-20230829-14_41_18</t>
  </si>
  <si>
    <t>14:40:38</t>
  </si>
  <si>
    <t>20230829 14:42:59</t>
  </si>
  <si>
    <t>14:42:59</t>
  </si>
  <si>
    <t>MPF-16664-20230829-14_43_02</t>
  </si>
  <si>
    <t>DARK-16665-20230829-14_43_09</t>
  </si>
  <si>
    <t>14:42:22</t>
  </si>
  <si>
    <t>20230829 14:45:00</t>
  </si>
  <si>
    <t>14:45:00</t>
  </si>
  <si>
    <t>MPF-16666-20230829-14_45_03</t>
  </si>
  <si>
    <t>DARK-16667-20230829-14_45_10</t>
  </si>
  <si>
    <t>14:44:27</t>
  </si>
  <si>
    <t>20230829 14:47:30</t>
  </si>
  <si>
    <t>14:47:30</t>
  </si>
  <si>
    <t>MPF-16668-20230829-14_47_33</t>
  </si>
  <si>
    <t>DARK-16669-20230829-14_47_40</t>
  </si>
  <si>
    <t>14:46:23</t>
  </si>
  <si>
    <t>20230829 16:38:21</t>
  </si>
  <si>
    <t>16:38:21</t>
  </si>
  <si>
    <t>MPF-16678-20230829-16_38_24</t>
  </si>
  <si>
    <t>DARK-16679-20230829-16_38_32</t>
  </si>
  <si>
    <t>16:36:43</t>
  </si>
  <si>
    <t>20230829 16:40:52</t>
  </si>
  <si>
    <t>16:40:52</t>
  </si>
  <si>
    <t>MPF-16680-20230829-16_40_55</t>
  </si>
  <si>
    <t>DARK-16681-20230829-16_41_02</t>
  </si>
  <si>
    <t>16:40:24</t>
  </si>
  <si>
    <t>20230829 16:42:52</t>
  </si>
  <si>
    <t>16:42:52</t>
  </si>
  <si>
    <t>MPF-16682-20230829-16_42_55</t>
  </si>
  <si>
    <t>DARK-16683-20230829-16_43_02</t>
  </si>
  <si>
    <t>16:42:22</t>
  </si>
  <si>
    <t>20230829 16:44:41</t>
  </si>
  <si>
    <t>16:44:41</t>
  </si>
  <si>
    <t>MPF-16684-20230829-16_44_44</t>
  </si>
  <si>
    <t>DARK-16685-20230829-16_44_52</t>
  </si>
  <si>
    <t>16:44:11</t>
  </si>
  <si>
    <t>20230829 16:46:24</t>
  </si>
  <si>
    <t>16:46:24</t>
  </si>
  <si>
    <t>MPF-16686-20230829-16_46_27</t>
  </si>
  <si>
    <t>DARK-16687-20230829-16_46_34</t>
  </si>
  <si>
    <t>16:45:56</t>
  </si>
  <si>
    <t>20230829 16:48:03</t>
  </si>
  <si>
    <t>16:48:03</t>
  </si>
  <si>
    <t>MPF-16688-20230829-16_48_06</t>
  </si>
  <si>
    <t>DARK-16689-20230829-16_48_14</t>
  </si>
  <si>
    <t>16:47:32</t>
  </si>
  <si>
    <t>20230829 16:49:43</t>
  </si>
  <si>
    <t>16:49:43</t>
  </si>
  <si>
    <t>MPF-16690-20230829-16_49_46</t>
  </si>
  <si>
    <t>DARK-16691-20230829-16_49_53</t>
  </si>
  <si>
    <t>16:49:11</t>
  </si>
  <si>
    <t>20230829 16:52:52</t>
  </si>
  <si>
    <t>16:52:52</t>
  </si>
  <si>
    <t>MPF-16692-20230829-16_52_55</t>
  </si>
  <si>
    <t>DARK-16693-20230829-16_53_03</t>
  </si>
  <si>
    <t>16:51:16</t>
  </si>
  <si>
    <t>20230829 16:55:01</t>
  </si>
  <si>
    <t>16:55:01</t>
  </si>
  <si>
    <t>MPF-16694-20230829-16_55_04</t>
  </si>
  <si>
    <t>DARK-16695-20230829-16_55_12</t>
  </si>
  <si>
    <t>16:53:59</t>
  </si>
  <si>
    <t>20230829 16:56:41</t>
  </si>
  <si>
    <t>16:56:41</t>
  </si>
  <si>
    <t>MPF-16696-20230829-16_56_44</t>
  </si>
  <si>
    <t>DARK-16697-20230829-16_56_51</t>
  </si>
  <si>
    <t>16:56:03</t>
  </si>
  <si>
    <t>20230829 16:58:22</t>
  </si>
  <si>
    <t>16:58:22</t>
  </si>
  <si>
    <t>MPF-16698-20230829-16_58_25</t>
  </si>
  <si>
    <t>DARK-16699-20230829-16_58_33</t>
  </si>
  <si>
    <t>16:57:55</t>
  </si>
  <si>
    <t>20230829 17:00:02</t>
  </si>
  <si>
    <t>17:00:02</t>
  </si>
  <si>
    <t>MPF-16700-20230829-17_00_05</t>
  </si>
  <si>
    <t>DARK-16701-20230829-17_00_12</t>
  </si>
  <si>
    <t>16:59:27</t>
  </si>
  <si>
    <t>20230829 17:01:56</t>
  </si>
  <si>
    <t>17:01:56</t>
  </si>
  <si>
    <t>MPF-16702-20230829-17_01_59</t>
  </si>
  <si>
    <t>DARK-16703-20230829-17_02_07</t>
  </si>
  <si>
    <t>17:01:19</t>
  </si>
  <si>
    <t>20230829 17:03:45</t>
  </si>
  <si>
    <t>17:03:45</t>
  </si>
  <si>
    <t>MPF-16704-20230829-17_03_48</t>
  </si>
  <si>
    <t>DARK-16705-20230829-17_03_55</t>
  </si>
  <si>
    <t>17:03:12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</si>
</sst>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86"/>
  <sheetViews>
    <sheetView tabSelected="1" topLeftCell="A4" workbookViewId="0">
      <selection activeCell="A17" sqref="A17:XFD30"/>
    </sheetView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15</v>
      </c>
      <c r="B17">
        <v>1693324786.0999999</v>
      </c>
      <c r="C17">
        <v>3379.5</v>
      </c>
      <c r="D17" t="s">
        <v>420</v>
      </c>
      <c r="E17" t="s">
        <v>421</v>
      </c>
      <c r="F17" t="s">
        <v>411</v>
      </c>
      <c r="G17" t="s">
        <v>422</v>
      </c>
      <c r="H17" t="s">
        <v>412</v>
      </c>
      <c r="I17" t="s">
        <v>31</v>
      </c>
      <c r="J17">
        <v>1693324786.0999999</v>
      </c>
      <c r="K17">
        <f t="shared" ref="K17:K34" si="0">(L17)/1000</f>
        <v>4.3528982919532871E-3</v>
      </c>
      <c r="L17">
        <f t="shared" ref="L17:L34" si="1">1000*DL17*AJ17*(DH17-DI17)/(100*DA17*(1000-AJ17*DH17))</f>
        <v>4.352898291953287</v>
      </c>
      <c r="M17">
        <f t="shared" ref="M17:M34" si="2">DL17*AJ17*(DG17-DF17*(1000-AJ17*DI17)/(1000-AJ17*DH17))/(100*DA17)</f>
        <v>43.414776606222489</v>
      </c>
      <c r="N17">
        <f t="shared" ref="N17:N34" si="3">DF17 - IF(AJ17&gt;1, M17*DA17*100/(AL17*DT17), 0)</f>
        <v>346.08100000000002</v>
      </c>
      <c r="O17">
        <f t="shared" ref="O17:O34" si="4">((U17-K17/2)*N17-M17)/(U17+K17/2)</f>
        <v>109.86346944366198</v>
      </c>
      <c r="P17">
        <f t="shared" ref="P17:P34" si="5">O17*(DM17+DN17)/1000</f>
        <v>10.89591637808371</v>
      </c>
      <c r="Q17">
        <f t="shared" ref="Q17:Q34" si="6">(DF17 - IF(AJ17&gt;1, M17*DA17*100/(AL17*DT17), 0))*(DM17+DN17)/1000</f>
        <v>34.3232346032663</v>
      </c>
      <c r="R17">
        <f t="shared" ref="R17:R34" si="7">2/((1/T17-1/S17)+SIGN(T17)*SQRT((1/T17-1/S17)*(1/T17-1/S17) + 4*DB17/((DB17+1)*(DB17+1))*(2*1/T17*1/S17-1/S17*1/S17)))</f>
        <v>0.31620562908736016</v>
      </c>
      <c r="S17">
        <f t="shared" ref="S17:S34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2.9229300625157428</v>
      </c>
      <c r="T17">
        <f t="shared" ref="T17:T34" si="9">K17*(1000-(1000*0.61365*EXP(17.502*X17/(240.97+X17))/(DM17+DN17)+DH17)/2)/(1000*0.61365*EXP(17.502*X17/(240.97+X17))/(DM17+DN17)-DH17)</f>
        <v>0.29835649066165804</v>
      </c>
      <c r="U17">
        <f t="shared" ref="U17:U34" si="10">1/((DB17+1)/(R17/1.6)+1/(S17/1.37)) + DB17/((DB17+1)/(R17/1.6) + DB17/(S17/1.37))</f>
        <v>0.18799246801356595</v>
      </c>
      <c r="V17">
        <f t="shared" ref="V17:V34" si="11">(CW17*CZ17)</f>
        <v>344.38269967092953</v>
      </c>
      <c r="W17">
        <f t="shared" ref="W17:W34" si="12">(DO17+(V17+2*0.95*0.0000000567*(((DO17+$B$7)+273)^4-(DO17+273)^4)-44100*K17)/(1.84*29.3*S17+8*0.95*0.0000000567*(DO17+273)^3))</f>
        <v>31.407748880324661</v>
      </c>
      <c r="X17">
        <f t="shared" ref="X17:X34" si="13">($C$7*DP17+$D$7*DQ17+$E$7*W17)</f>
        <v>29.985199999999999</v>
      </c>
      <c r="Y17">
        <f t="shared" ref="Y17:Y34" si="14">0.61365*EXP(17.502*X17/(240.97+X17))</f>
        <v>4.2568293059755042</v>
      </c>
      <c r="Z17">
        <f t="shared" ref="Z17:Z34" si="15">(AA17/AB17*100)</f>
        <v>65.238907235117438</v>
      </c>
      <c r="AA17">
        <f t="shared" ref="AA17:AA34" si="16">DH17*(DM17+DN17)/1000</f>
        <v>2.8618084448958792</v>
      </c>
      <c r="AB17">
        <f t="shared" ref="AB17:AB34" si="17">0.61365*EXP(17.502*DO17/(240.97+DO17))</f>
        <v>4.3866590753613925</v>
      </c>
      <c r="AC17">
        <f t="shared" ref="AC17:AC34" si="18">(Y17-DH17*(DM17+DN17)/1000)</f>
        <v>1.3950208610796251</v>
      </c>
      <c r="AD17">
        <f t="shared" ref="AD17:AD34" si="19">(-K17*44100)</f>
        <v>-191.96281467513995</v>
      </c>
      <c r="AE17">
        <f t="shared" ref="AE17:AE34" si="20">2*29.3*S17*0.92*(DO17-X17)</f>
        <v>82.572446897902879</v>
      </c>
      <c r="AF17">
        <f t="shared" ref="AF17:AF34" si="21">2*0.95*0.0000000567*(((DO17+$B$7)+273)^4-(X17+273)^4)</f>
        <v>6.2967820444696834</v>
      </c>
      <c r="AG17">
        <f t="shared" ref="AG17:AG34" si="22">V17+AF17+AD17+AE17</f>
        <v>241.28911393816213</v>
      </c>
      <c r="AH17">
        <v>0</v>
      </c>
      <c r="AI17">
        <v>0</v>
      </c>
      <c r="AJ17">
        <f t="shared" ref="AJ17:AJ34" si="23">IF(AH17*$H$13&gt;=AL17,1,(AL17/(AL17-AH17*$H$13)))</f>
        <v>1</v>
      </c>
      <c r="AK17">
        <f t="shared" ref="AK17:AK34" si="24">(AJ17-1)*100</f>
        <v>0</v>
      </c>
      <c r="AL17">
        <f t="shared" ref="AL17:AL34" si="25">MAX(0,($B$13+$C$13*DT17)/(1+$D$13*DT17)*DM17/(DO17+273)*$E$13)</f>
        <v>52056.966681252183</v>
      </c>
      <c r="AM17" t="s">
        <v>413</v>
      </c>
      <c r="AN17">
        <v>10366.9</v>
      </c>
      <c r="AO17">
        <v>993.59653846153856</v>
      </c>
      <c r="AP17">
        <v>3431.87</v>
      </c>
      <c r="AQ17">
        <f t="shared" ref="AQ17:AQ34" si="26">1-AO17/AP17</f>
        <v>0.71047955241266758</v>
      </c>
      <c r="AR17">
        <v>-3.9894345373445681</v>
      </c>
      <c r="AS17" t="s">
        <v>423</v>
      </c>
      <c r="AT17">
        <v>10298.5</v>
      </c>
      <c r="AU17">
        <v>681.96899999999994</v>
      </c>
      <c r="AV17">
        <v>1031.8828795578479</v>
      </c>
      <c r="AW17">
        <f t="shared" ref="AW17:AW34" si="27">1-AU17/AV17</f>
        <v>0.33910232109654026</v>
      </c>
      <c r="AX17">
        <v>0.5</v>
      </c>
      <c r="AY17">
        <f t="shared" ref="AY17:AY34" si="28">CX17</f>
        <v>1513.2434998354645</v>
      </c>
      <c r="AZ17">
        <f t="shared" ref="AZ17:AZ34" si="29">M17</f>
        <v>43.414776606222489</v>
      </c>
      <c r="BA17">
        <f t="shared" ref="BA17:BA34" si="30">AW17*AX17*AY17</f>
        <v>256.57219158922902</v>
      </c>
      <c r="BB17">
        <f t="shared" ref="BB17:BB34" si="31">(AZ17-AR17)/AY17</f>
        <v>3.1326228164020746E-2</v>
      </c>
      <c r="BC17">
        <f t="shared" ref="BC17:BC34" si="32">(AP17-AV17)/AV17</f>
        <v>2.3258328711399145</v>
      </c>
      <c r="BD17">
        <f t="shared" ref="BD17:BD34" si="33">AO17/(AQ17+AO17/AV17)</f>
        <v>593.76759032380414</v>
      </c>
      <c r="BE17" t="s">
        <v>424</v>
      </c>
      <c r="BF17">
        <v>534.5</v>
      </c>
      <c r="BG17">
        <f t="shared" ref="BG17:BG34" si="34">IF(BF17&lt;&gt;0, BF17, BD17)</f>
        <v>534.5</v>
      </c>
      <c r="BH17">
        <f t="shared" ref="BH17:BH34" si="35">1-BG17/AV17</f>
        <v>0.48201485789838061</v>
      </c>
      <c r="BI17">
        <f t="shared" ref="BI17:BI34" si="36">(AV17-AU17)/(AV17-BG17)</f>
        <v>0.70351010044597118</v>
      </c>
      <c r="BJ17">
        <f t="shared" ref="BJ17:BJ34" si="37">(AP17-AV17)/(AP17-BG17)</f>
        <v>0.82833297799112715</v>
      </c>
      <c r="BK17">
        <f t="shared" ref="BK17:BK34" si="38">(AV17-AU17)/(AV17-AO17)</f>
        <v>9.1393920008610667</v>
      </c>
      <c r="BL17">
        <f t="shared" ref="BL17:BL34" si="39">(AP17-AV17)/(AP17-AO17)</f>
        <v>0.98429776573454875</v>
      </c>
      <c r="BM17">
        <f t="shared" ref="BM17:BM34" si="40">(BI17*BG17/AU17)</f>
        <v>0.55138305214514394</v>
      </c>
      <c r="BN17">
        <f t="shared" ref="BN17:BN34" si="41">(1-BM17)</f>
        <v>0.44861694785485606</v>
      </c>
      <c r="BO17">
        <v>16558</v>
      </c>
      <c r="BP17">
        <v>290.00000000000011</v>
      </c>
      <c r="BQ17">
        <v>933.8</v>
      </c>
      <c r="BR17">
        <v>275</v>
      </c>
      <c r="BS17">
        <v>10298.5</v>
      </c>
      <c r="BT17">
        <v>933.24</v>
      </c>
      <c r="BU17">
        <v>0.56000000000000005</v>
      </c>
      <c r="BV17">
        <v>300.00000000000011</v>
      </c>
      <c r="BW17">
        <v>38.4</v>
      </c>
      <c r="BX17">
        <v>1031.8828795578479</v>
      </c>
      <c r="BY17">
        <v>1.184098889883519</v>
      </c>
      <c r="BZ17">
        <v>-101.59230207161789</v>
      </c>
      <c r="CA17">
        <v>0.99876007326305094</v>
      </c>
      <c r="CB17">
        <v>0.9973011106714802</v>
      </c>
      <c r="CC17">
        <v>-1.1225371746384881E-2</v>
      </c>
      <c r="CD17">
        <v>289.99999999999989</v>
      </c>
      <c r="CE17">
        <v>921.58</v>
      </c>
      <c r="CF17">
        <v>655</v>
      </c>
      <c r="CG17">
        <v>10285.5</v>
      </c>
      <c r="CH17">
        <v>933.11</v>
      </c>
      <c r="CI17">
        <v>-11.53</v>
      </c>
      <c r="CW17">
        <f t="shared" ref="CW17:CW34" si="42">$B$11*DU17+$C$11*DV17+$F$11*EG17*(1-EJ17)</f>
        <v>1800.07</v>
      </c>
      <c r="CX17">
        <f t="shared" ref="CX17:CX34" si="43">CW17*CY17</f>
        <v>1513.2434998354645</v>
      </c>
      <c r="CY17">
        <f t="shared" ref="CY17:CY34" si="44">($B$11*$D$9+$C$11*$D$9+$F$11*((ET17+EL17)/MAX(ET17+EL17+EU17, 0.1)*$I$9+EU17/MAX(ET17+EL17+EU17, 0.1)*$J$9))/($B$11+$C$11+$F$11)</f>
        <v>0.84065814098088665</v>
      </c>
      <c r="CZ17">
        <f t="shared" ref="CZ17:CZ34" si="45">($B$11*$K$9+$C$11*$K$9+$F$11*((ET17+EL17)/MAX(ET17+EL17+EU17, 0.1)*$P$9+EU17/MAX(ET17+EL17+EU17, 0.1)*$Q$9))/($B$11+$C$11+$F$11)</f>
        <v>0.19131628196177344</v>
      </c>
      <c r="DA17">
        <v>6</v>
      </c>
      <c r="DB17">
        <v>0.5</v>
      </c>
      <c r="DC17" t="s">
        <v>414</v>
      </c>
      <c r="DD17">
        <v>2</v>
      </c>
      <c r="DE17">
        <v>1693324786.0999999</v>
      </c>
      <c r="DF17">
        <v>346.08100000000002</v>
      </c>
      <c r="DG17">
        <v>400.02100000000002</v>
      </c>
      <c r="DH17">
        <v>28.855599999999999</v>
      </c>
      <c r="DI17">
        <v>23.779599999999999</v>
      </c>
      <c r="DJ17">
        <v>345.63900000000001</v>
      </c>
      <c r="DK17">
        <v>29.097899999999999</v>
      </c>
      <c r="DL17">
        <v>499.68</v>
      </c>
      <c r="DM17">
        <v>99.078199999999995</v>
      </c>
      <c r="DN17">
        <v>9.8682300000000001E-2</v>
      </c>
      <c r="DO17">
        <v>30.5092</v>
      </c>
      <c r="DP17">
        <v>29.985199999999999</v>
      </c>
      <c r="DQ17">
        <v>999.9</v>
      </c>
      <c r="DR17">
        <v>0</v>
      </c>
      <c r="DS17">
        <v>0</v>
      </c>
      <c r="DT17">
        <v>10055</v>
      </c>
      <c r="DU17">
        <v>0</v>
      </c>
      <c r="DV17">
        <v>1548.11</v>
      </c>
      <c r="DW17">
        <v>-53.94</v>
      </c>
      <c r="DX17">
        <v>356.36399999999998</v>
      </c>
      <c r="DY17">
        <v>409.76499999999999</v>
      </c>
      <c r="DZ17">
        <v>5.0759800000000004</v>
      </c>
      <c r="EA17">
        <v>400.02100000000002</v>
      </c>
      <c r="EB17">
        <v>23.779599999999999</v>
      </c>
      <c r="EC17">
        <v>2.8589600000000002</v>
      </c>
      <c r="ED17">
        <v>2.3560500000000002</v>
      </c>
      <c r="EE17">
        <v>23.2286</v>
      </c>
      <c r="EF17">
        <v>20.064800000000002</v>
      </c>
      <c r="EG17">
        <v>1800.07</v>
      </c>
      <c r="EH17">
        <v>0.97800100000000001</v>
      </c>
      <c r="EI17">
        <v>2.1999100000000001E-2</v>
      </c>
      <c r="EJ17">
        <v>0</v>
      </c>
      <c r="EK17">
        <v>681.86400000000003</v>
      </c>
      <c r="EL17">
        <v>5.0002500000000003</v>
      </c>
      <c r="EM17">
        <v>23298.1</v>
      </c>
      <c r="EN17">
        <v>14822.7</v>
      </c>
      <c r="EO17">
        <v>46.936999999999998</v>
      </c>
      <c r="EP17">
        <v>49.375</v>
      </c>
      <c r="EQ17">
        <v>47.811999999999998</v>
      </c>
      <c r="ER17">
        <v>48.061999999999998</v>
      </c>
      <c r="ES17">
        <v>48.375</v>
      </c>
      <c r="ET17">
        <v>1755.58</v>
      </c>
      <c r="EU17">
        <v>39.49</v>
      </c>
      <c r="EV17">
        <v>0</v>
      </c>
      <c r="EW17">
        <v>1774.400000095367</v>
      </c>
      <c r="EX17">
        <v>0</v>
      </c>
      <c r="EY17">
        <v>681.96899999999994</v>
      </c>
      <c r="EZ17">
        <v>-1.7321025610292009</v>
      </c>
      <c r="FA17">
        <v>-294.98803471641071</v>
      </c>
      <c r="FB17">
        <v>23427.584615384611</v>
      </c>
      <c r="FC17">
        <v>15</v>
      </c>
      <c r="FD17">
        <v>1693324754.5999999</v>
      </c>
      <c r="FE17" t="s">
        <v>425</v>
      </c>
      <c r="FF17">
        <v>1693324746.0999999</v>
      </c>
      <c r="FG17">
        <v>1693324754.5999999</v>
      </c>
      <c r="FH17">
        <v>19</v>
      </c>
      <c r="FI17">
        <v>-0.1</v>
      </c>
      <c r="FJ17">
        <v>-9.5000000000000001E-2</v>
      </c>
      <c r="FK17">
        <v>0.442</v>
      </c>
      <c r="FL17">
        <v>-0.24199999999999999</v>
      </c>
      <c r="FM17">
        <v>400</v>
      </c>
      <c r="FN17">
        <v>24</v>
      </c>
      <c r="FO17">
        <v>0.08</v>
      </c>
      <c r="FP17">
        <v>0.06</v>
      </c>
      <c r="FQ17">
        <v>43.509158912139981</v>
      </c>
      <c r="FR17">
        <v>-0.38100671449594697</v>
      </c>
      <c r="FS17">
        <v>8.1979063068222502E-2</v>
      </c>
      <c r="FT17">
        <v>1</v>
      </c>
      <c r="FU17">
        <v>0.31815232629884621</v>
      </c>
      <c r="FV17">
        <v>2.6425577495561348E-3</v>
      </c>
      <c r="FW17">
        <v>1.8819362440042561E-3</v>
      </c>
      <c r="FX17">
        <v>1</v>
      </c>
      <c r="FY17">
        <v>2</v>
      </c>
      <c r="FZ17">
        <v>2</v>
      </c>
      <c r="GA17" t="s">
        <v>415</v>
      </c>
      <c r="GB17">
        <v>2.91777</v>
      </c>
      <c r="GC17">
        <v>2.82904</v>
      </c>
      <c r="GD17">
        <v>8.0345200000000006E-2</v>
      </c>
      <c r="GE17">
        <v>8.8347499999999995E-2</v>
      </c>
      <c r="GF17">
        <v>0.135713</v>
      </c>
      <c r="GG17">
        <v>0.11346299999999999</v>
      </c>
      <c r="GH17">
        <v>23864.3</v>
      </c>
      <c r="GI17">
        <v>29151</v>
      </c>
      <c r="GJ17">
        <v>23362.5</v>
      </c>
      <c r="GK17">
        <v>29276.6</v>
      </c>
      <c r="GL17">
        <v>27533.1</v>
      </c>
      <c r="GM17">
        <v>36765.5</v>
      </c>
      <c r="GN17">
        <v>33026.6</v>
      </c>
      <c r="GO17">
        <v>43250.400000000001</v>
      </c>
      <c r="GP17">
        <v>1.9770000000000001</v>
      </c>
      <c r="GQ17">
        <v>1.8537999999999999</v>
      </c>
      <c r="GR17">
        <v>2.2411299999999999E-2</v>
      </c>
      <c r="GS17">
        <v>0</v>
      </c>
      <c r="GT17">
        <v>29.6204</v>
      </c>
      <c r="GU17">
        <v>999.9</v>
      </c>
      <c r="GV17">
        <v>56.3</v>
      </c>
      <c r="GW17">
        <v>33.1</v>
      </c>
      <c r="GX17">
        <v>28.8673</v>
      </c>
      <c r="GY17">
        <v>61.221200000000003</v>
      </c>
      <c r="GZ17">
        <v>38.713900000000002</v>
      </c>
      <c r="HA17">
        <v>1</v>
      </c>
      <c r="HB17">
        <v>0.407663</v>
      </c>
      <c r="HC17">
        <v>2.8917600000000001</v>
      </c>
      <c r="HD17">
        <v>20.251000000000001</v>
      </c>
      <c r="HE17">
        <v>5.2029100000000001</v>
      </c>
      <c r="HF17">
        <v>11.872199999999999</v>
      </c>
      <c r="HG17">
        <v>4.9825999999999997</v>
      </c>
      <c r="HH17">
        <v>3.2827000000000002</v>
      </c>
      <c r="HI17">
        <v>9999</v>
      </c>
      <c r="HJ17">
        <v>9999</v>
      </c>
      <c r="HK17">
        <v>9999</v>
      </c>
      <c r="HL17">
        <v>999.9</v>
      </c>
      <c r="HM17">
        <v>1.8548100000000001</v>
      </c>
      <c r="HN17">
        <v>1.86094</v>
      </c>
      <c r="HO17">
        <v>1.8583000000000001</v>
      </c>
      <c r="HP17">
        <v>1.85945</v>
      </c>
      <c r="HQ17">
        <v>1.8588899999999999</v>
      </c>
      <c r="HR17">
        <v>1.8593900000000001</v>
      </c>
      <c r="HS17">
        <v>1.8577600000000001</v>
      </c>
      <c r="HT17">
        <v>1.86111</v>
      </c>
      <c r="HU17">
        <v>5</v>
      </c>
      <c r="HV17">
        <v>0</v>
      </c>
      <c r="HW17">
        <v>0</v>
      </c>
      <c r="HX17">
        <v>0</v>
      </c>
      <c r="HY17" t="s">
        <v>416</v>
      </c>
      <c r="HZ17" t="s">
        <v>417</v>
      </c>
      <c r="IA17" t="s">
        <v>418</v>
      </c>
      <c r="IB17" t="s">
        <v>418</v>
      </c>
      <c r="IC17" t="s">
        <v>418</v>
      </c>
      <c r="ID17" t="s">
        <v>418</v>
      </c>
      <c r="IE17">
        <v>0</v>
      </c>
      <c r="IF17">
        <v>100</v>
      </c>
      <c r="IG17">
        <v>100</v>
      </c>
      <c r="IH17">
        <v>0.442</v>
      </c>
      <c r="II17">
        <v>-0.24229999999999999</v>
      </c>
      <c r="IJ17">
        <v>0.44199999999995038</v>
      </c>
      <c r="IK17">
        <v>0</v>
      </c>
      <c r="IL17">
        <v>0</v>
      </c>
      <c r="IM17">
        <v>0</v>
      </c>
      <c r="IN17">
        <v>-0.2422300000000028</v>
      </c>
      <c r="IO17">
        <v>0</v>
      </c>
      <c r="IP17">
        <v>0</v>
      </c>
      <c r="IQ17">
        <v>0</v>
      </c>
      <c r="IR17">
        <v>-1</v>
      </c>
      <c r="IS17">
        <v>-1</v>
      </c>
      <c r="IT17">
        <v>-1</v>
      </c>
      <c r="IU17">
        <v>-1</v>
      </c>
      <c r="IV17">
        <v>0.7</v>
      </c>
      <c r="IW17">
        <v>0.5</v>
      </c>
      <c r="IX17">
        <v>0.99975599999999998</v>
      </c>
      <c r="IY17">
        <v>2.4401899999999999</v>
      </c>
      <c r="IZ17">
        <v>1.49414</v>
      </c>
      <c r="JA17">
        <v>2.2961399999999998</v>
      </c>
      <c r="JB17">
        <v>1.54419</v>
      </c>
      <c r="JC17">
        <v>2.47559</v>
      </c>
      <c r="JD17">
        <v>37.867899999999999</v>
      </c>
      <c r="JE17">
        <v>23.763500000000001</v>
      </c>
      <c r="JF17">
        <v>18</v>
      </c>
      <c r="JG17">
        <v>520.50800000000004</v>
      </c>
      <c r="JH17">
        <v>471.60199999999998</v>
      </c>
      <c r="JI17">
        <v>25.085000000000001</v>
      </c>
      <c r="JJ17">
        <v>32.638800000000003</v>
      </c>
      <c r="JK17">
        <v>30.000299999999999</v>
      </c>
      <c r="JL17">
        <v>32.507300000000001</v>
      </c>
      <c r="JM17">
        <v>32.473399999999998</v>
      </c>
      <c r="JN17">
        <v>20.092500000000001</v>
      </c>
      <c r="JO17">
        <v>25.3171</v>
      </c>
      <c r="JP17">
        <v>75.080399999999997</v>
      </c>
      <c r="JQ17">
        <v>25.091100000000001</v>
      </c>
      <c r="JR17">
        <v>400</v>
      </c>
      <c r="JS17">
        <v>23.778099999999998</v>
      </c>
      <c r="JT17">
        <v>97.961299999999994</v>
      </c>
      <c r="JU17">
        <v>97.387100000000004</v>
      </c>
    </row>
    <row r="18" spans="1:281" x14ac:dyDescent="0.25">
      <c r="A18">
        <v>16</v>
      </c>
      <c r="B18">
        <v>1693324885.5999999</v>
      </c>
      <c r="C18">
        <v>3479</v>
      </c>
      <c r="D18" t="s">
        <v>426</v>
      </c>
      <c r="E18" t="s">
        <v>427</v>
      </c>
      <c r="F18" t="s">
        <v>411</v>
      </c>
      <c r="G18" t="s">
        <v>422</v>
      </c>
      <c r="H18" t="s">
        <v>412</v>
      </c>
      <c r="I18" t="s">
        <v>31</v>
      </c>
      <c r="J18">
        <v>1693324885.5999999</v>
      </c>
      <c r="K18">
        <f t="shared" si="0"/>
        <v>4.1712135220214192E-3</v>
      </c>
      <c r="L18">
        <f t="shared" si="1"/>
        <v>4.1712135220214188</v>
      </c>
      <c r="M18">
        <f t="shared" si="2"/>
        <v>33.951682628307793</v>
      </c>
      <c r="N18">
        <f t="shared" si="3"/>
        <v>257.98599999999999</v>
      </c>
      <c r="O18">
        <f t="shared" si="4"/>
        <v>64.468000066254035</v>
      </c>
      <c r="P18">
        <f t="shared" si="5"/>
        <v>6.393618541819948</v>
      </c>
      <c r="Q18">
        <f t="shared" si="6"/>
        <v>25.5857800991934</v>
      </c>
      <c r="R18">
        <f t="shared" si="7"/>
        <v>0.30025799264636843</v>
      </c>
      <c r="S18">
        <f t="shared" si="8"/>
        <v>2.9124149946849784</v>
      </c>
      <c r="T18">
        <f t="shared" si="9"/>
        <v>0.28405962070243113</v>
      </c>
      <c r="U18">
        <f t="shared" si="10"/>
        <v>0.17891976396415363</v>
      </c>
      <c r="V18">
        <f t="shared" si="11"/>
        <v>344.40549967095143</v>
      </c>
      <c r="W18">
        <f t="shared" si="12"/>
        <v>31.506756923581438</v>
      </c>
      <c r="X18">
        <f t="shared" si="13"/>
        <v>30.037199999999999</v>
      </c>
      <c r="Y18">
        <f t="shared" si="14"/>
        <v>4.2695617157874102</v>
      </c>
      <c r="Z18">
        <f t="shared" si="15"/>
        <v>65.14509513758378</v>
      </c>
      <c r="AA18">
        <f t="shared" si="16"/>
        <v>2.8656339500289296</v>
      </c>
      <c r="AB18">
        <f t="shared" si="17"/>
        <v>4.3988483614565732</v>
      </c>
      <c r="AC18">
        <f t="shared" si="18"/>
        <v>1.4039277657584806</v>
      </c>
      <c r="AD18">
        <f t="shared" si="19"/>
        <v>-183.95051632114459</v>
      </c>
      <c r="AE18">
        <f t="shared" si="20"/>
        <v>81.725847999194457</v>
      </c>
      <c r="AF18">
        <f t="shared" si="21"/>
        <v>6.2578331802945737</v>
      </c>
      <c r="AG18">
        <f t="shared" si="22"/>
        <v>248.43866452929589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51749.760438959718</v>
      </c>
      <c r="AM18" t="s">
        <v>413</v>
      </c>
      <c r="AN18">
        <v>10366.9</v>
      </c>
      <c r="AO18">
        <v>993.59653846153856</v>
      </c>
      <c r="AP18">
        <v>3431.87</v>
      </c>
      <c r="AQ18">
        <f t="shared" si="26"/>
        <v>0.71047955241266758</v>
      </c>
      <c r="AR18">
        <v>-3.9894345373445681</v>
      </c>
      <c r="AS18" t="s">
        <v>428</v>
      </c>
      <c r="AT18">
        <v>10300.1</v>
      </c>
      <c r="AU18">
        <v>633.40440000000001</v>
      </c>
      <c r="AV18">
        <v>899.26796091000153</v>
      </c>
      <c r="AW18">
        <f t="shared" si="27"/>
        <v>0.29564442687468218</v>
      </c>
      <c r="AX18">
        <v>0.5</v>
      </c>
      <c r="AY18">
        <f t="shared" si="28"/>
        <v>1513.3442998354758</v>
      </c>
      <c r="AZ18">
        <f t="shared" si="29"/>
        <v>33.951682628307793</v>
      </c>
      <c r="BA18">
        <f t="shared" si="30"/>
        <v>223.70590409446322</v>
      </c>
      <c r="BB18">
        <f t="shared" si="31"/>
        <v>2.5071041117197952E-2</v>
      </c>
      <c r="BC18">
        <f t="shared" si="32"/>
        <v>2.816292972927855</v>
      </c>
      <c r="BD18">
        <f t="shared" si="33"/>
        <v>547.32320635045198</v>
      </c>
      <c r="BE18" t="s">
        <v>429</v>
      </c>
      <c r="BF18">
        <v>514.15</v>
      </c>
      <c r="BG18">
        <f t="shared" si="34"/>
        <v>514.15</v>
      </c>
      <c r="BH18">
        <f t="shared" si="35"/>
        <v>0.428257179895842</v>
      </c>
      <c r="BI18">
        <f t="shared" si="36"/>
        <v>0.69034318805019679</v>
      </c>
      <c r="BJ18">
        <f t="shared" si="37"/>
        <v>0.86800722450749168</v>
      </c>
      <c r="BK18">
        <f t="shared" si="38"/>
        <v>-2.8184837279534429</v>
      </c>
      <c r="BL18">
        <f t="shared" si="39"/>
        <v>1.0386866276648146</v>
      </c>
      <c r="BM18">
        <f t="shared" si="40"/>
        <v>0.56036862095686213</v>
      </c>
      <c r="BN18">
        <f t="shared" si="41"/>
        <v>0.43963137904313787</v>
      </c>
      <c r="BO18">
        <v>16560</v>
      </c>
      <c r="BP18">
        <v>290.00000000000011</v>
      </c>
      <c r="BQ18">
        <v>821.91</v>
      </c>
      <c r="BR18">
        <v>245</v>
      </c>
      <c r="BS18">
        <v>10300.1</v>
      </c>
      <c r="BT18">
        <v>821.87</v>
      </c>
      <c r="BU18">
        <v>0.04</v>
      </c>
      <c r="BV18">
        <v>300.00000000000011</v>
      </c>
      <c r="BW18">
        <v>38.4</v>
      </c>
      <c r="BX18">
        <v>899.26796091000153</v>
      </c>
      <c r="BY18">
        <v>0.91055132834608243</v>
      </c>
      <c r="BZ18">
        <v>-79.719687833197483</v>
      </c>
      <c r="CA18">
        <v>0.76788599629379117</v>
      </c>
      <c r="CB18">
        <v>0.99740884398793528</v>
      </c>
      <c r="CC18">
        <v>-1.122312591768633E-2</v>
      </c>
      <c r="CD18">
        <v>289.99999999999989</v>
      </c>
      <c r="CE18">
        <v>814.15</v>
      </c>
      <c r="CF18">
        <v>655</v>
      </c>
      <c r="CG18">
        <v>10283.6</v>
      </c>
      <c r="CH18">
        <v>821.75</v>
      </c>
      <c r="CI18">
        <v>-7.6</v>
      </c>
      <c r="CW18">
        <f t="shared" si="42"/>
        <v>1800.19</v>
      </c>
      <c r="CX18">
        <f t="shared" si="43"/>
        <v>1513.3442998354758</v>
      </c>
      <c r="CY18">
        <f t="shared" si="44"/>
        <v>0.84065809710945827</v>
      </c>
      <c r="CZ18">
        <f t="shared" si="45"/>
        <v>0.19131619421891657</v>
      </c>
      <c r="DA18">
        <v>6</v>
      </c>
      <c r="DB18">
        <v>0.5</v>
      </c>
      <c r="DC18" t="s">
        <v>414</v>
      </c>
      <c r="DD18">
        <v>2</v>
      </c>
      <c r="DE18">
        <v>1693324885.5999999</v>
      </c>
      <c r="DF18">
        <v>257.98599999999999</v>
      </c>
      <c r="DG18">
        <v>300.05200000000002</v>
      </c>
      <c r="DH18">
        <v>28.8947</v>
      </c>
      <c r="DI18">
        <v>24.030100000000001</v>
      </c>
      <c r="DJ18">
        <v>257.73500000000001</v>
      </c>
      <c r="DK18">
        <v>29.141500000000001</v>
      </c>
      <c r="DL18">
        <v>499.61200000000002</v>
      </c>
      <c r="DM18">
        <v>99.075999999999993</v>
      </c>
      <c r="DN18">
        <v>9.9071900000000004E-2</v>
      </c>
      <c r="DO18">
        <v>30.557700000000001</v>
      </c>
      <c r="DP18">
        <v>30.037199999999999</v>
      </c>
      <c r="DQ18">
        <v>999.9</v>
      </c>
      <c r="DR18">
        <v>0</v>
      </c>
      <c r="DS18">
        <v>0</v>
      </c>
      <c r="DT18">
        <v>9995</v>
      </c>
      <c r="DU18">
        <v>0</v>
      </c>
      <c r="DV18">
        <v>1562.65</v>
      </c>
      <c r="DW18">
        <v>-42.066099999999999</v>
      </c>
      <c r="DX18">
        <v>265.66300000000001</v>
      </c>
      <c r="DY18">
        <v>307.44</v>
      </c>
      <c r="DZ18">
        <v>4.8645399999999999</v>
      </c>
      <c r="EA18">
        <v>300.05200000000002</v>
      </c>
      <c r="EB18">
        <v>24.030100000000001</v>
      </c>
      <c r="EC18">
        <v>2.8627699999999998</v>
      </c>
      <c r="ED18">
        <v>2.3808099999999999</v>
      </c>
      <c r="EE18">
        <v>23.250499999999999</v>
      </c>
      <c r="EF18">
        <v>20.233799999999999</v>
      </c>
      <c r="EG18">
        <v>1800.19</v>
      </c>
      <c r="EH18">
        <v>0.97800500000000001</v>
      </c>
      <c r="EI18">
        <v>2.1995299999999999E-2</v>
      </c>
      <c r="EJ18">
        <v>0</v>
      </c>
      <c r="EK18">
        <v>632.428</v>
      </c>
      <c r="EL18">
        <v>5.0002500000000003</v>
      </c>
      <c r="EM18">
        <v>22569.200000000001</v>
      </c>
      <c r="EN18">
        <v>14823.7</v>
      </c>
      <c r="EO18">
        <v>47.061999999999998</v>
      </c>
      <c r="EP18">
        <v>49.436999999999998</v>
      </c>
      <c r="EQ18">
        <v>47.875</v>
      </c>
      <c r="ER18">
        <v>48.186999999999998</v>
      </c>
      <c r="ES18">
        <v>48.5</v>
      </c>
      <c r="ET18">
        <v>1755.7</v>
      </c>
      <c r="EU18">
        <v>39.49</v>
      </c>
      <c r="EV18">
        <v>0</v>
      </c>
      <c r="EW18">
        <v>97.400000095367432</v>
      </c>
      <c r="EX18">
        <v>0</v>
      </c>
      <c r="EY18">
        <v>633.40440000000001</v>
      </c>
      <c r="EZ18">
        <v>-11.059076923955031</v>
      </c>
      <c r="FA18">
        <v>-224.88461576972111</v>
      </c>
      <c r="FB18">
        <v>22580.968000000001</v>
      </c>
      <c r="FC18">
        <v>15</v>
      </c>
      <c r="FD18">
        <v>1693324854.0999999</v>
      </c>
      <c r="FE18" t="s">
        <v>430</v>
      </c>
      <c r="FF18">
        <v>1693324850.0999999</v>
      </c>
      <c r="FG18">
        <v>1693324854.0999999</v>
      </c>
      <c r="FH18">
        <v>20</v>
      </c>
      <c r="FI18">
        <v>-0.191</v>
      </c>
      <c r="FJ18">
        <v>-5.0000000000000001E-3</v>
      </c>
      <c r="FK18">
        <v>0.251</v>
      </c>
      <c r="FL18">
        <v>-0.247</v>
      </c>
      <c r="FM18">
        <v>300</v>
      </c>
      <c r="FN18">
        <v>24</v>
      </c>
      <c r="FO18">
        <v>0.16</v>
      </c>
      <c r="FP18">
        <v>0.06</v>
      </c>
      <c r="FQ18">
        <v>33.935071464793268</v>
      </c>
      <c r="FR18">
        <v>4.0535825648373727E-2</v>
      </c>
      <c r="FS18">
        <v>8.4641163099455727E-2</v>
      </c>
      <c r="FT18">
        <v>1</v>
      </c>
      <c r="FU18">
        <v>0.30063930535255018</v>
      </c>
      <c r="FV18">
        <v>1.7375859650984579E-2</v>
      </c>
      <c r="FW18">
        <v>2.016280180750504E-3</v>
      </c>
      <c r="FX18">
        <v>1</v>
      </c>
      <c r="FY18">
        <v>2</v>
      </c>
      <c r="FZ18">
        <v>2</v>
      </c>
      <c r="GA18" t="s">
        <v>415</v>
      </c>
      <c r="GB18">
        <v>2.91751</v>
      </c>
      <c r="GC18">
        <v>2.82891</v>
      </c>
      <c r="GD18">
        <v>6.3281000000000004E-2</v>
      </c>
      <c r="GE18">
        <v>7.0386000000000004E-2</v>
      </c>
      <c r="GF18">
        <v>0.135827</v>
      </c>
      <c r="GG18">
        <v>0.114274</v>
      </c>
      <c r="GH18">
        <v>24306.1</v>
      </c>
      <c r="GI18">
        <v>29721.200000000001</v>
      </c>
      <c r="GJ18">
        <v>23362.1</v>
      </c>
      <c r="GK18">
        <v>29273</v>
      </c>
      <c r="GL18">
        <v>27527.9</v>
      </c>
      <c r="GM18">
        <v>36725.800000000003</v>
      </c>
      <c r="GN18">
        <v>33026</v>
      </c>
      <c r="GO18">
        <v>43245.7</v>
      </c>
      <c r="GP18">
        <v>1.976</v>
      </c>
      <c r="GQ18">
        <v>1.8520000000000001</v>
      </c>
      <c r="GR18">
        <v>2.4378299999999999E-2</v>
      </c>
      <c r="GS18">
        <v>0</v>
      </c>
      <c r="GT18">
        <v>29.6404</v>
      </c>
      <c r="GU18">
        <v>999.9</v>
      </c>
      <c r="GV18">
        <v>56.4</v>
      </c>
      <c r="GW18">
        <v>33.1</v>
      </c>
      <c r="GX18">
        <v>28.921900000000001</v>
      </c>
      <c r="GY18">
        <v>61.401299999999999</v>
      </c>
      <c r="GZ18">
        <v>39.002400000000002</v>
      </c>
      <c r="HA18">
        <v>1</v>
      </c>
      <c r="HB18">
        <v>0.41711399999999998</v>
      </c>
      <c r="HC18">
        <v>3.5352800000000002</v>
      </c>
      <c r="HD18">
        <v>20.238199999999999</v>
      </c>
      <c r="HE18">
        <v>5.2017199999999999</v>
      </c>
      <c r="HF18">
        <v>11.872199999999999</v>
      </c>
      <c r="HG18">
        <v>4.9829999999999997</v>
      </c>
      <c r="HH18">
        <v>3.2824</v>
      </c>
      <c r="HI18">
        <v>9999</v>
      </c>
      <c r="HJ18">
        <v>9999</v>
      </c>
      <c r="HK18">
        <v>9999</v>
      </c>
      <c r="HL18">
        <v>999.9</v>
      </c>
      <c r="HM18">
        <v>1.8548</v>
      </c>
      <c r="HN18">
        <v>1.86094</v>
      </c>
      <c r="HO18">
        <v>1.8583099999999999</v>
      </c>
      <c r="HP18">
        <v>1.85944</v>
      </c>
      <c r="HQ18">
        <v>1.85884</v>
      </c>
      <c r="HR18">
        <v>1.85938</v>
      </c>
      <c r="HS18">
        <v>1.8577600000000001</v>
      </c>
      <c r="HT18">
        <v>1.86111</v>
      </c>
      <c r="HU18">
        <v>5</v>
      </c>
      <c r="HV18">
        <v>0</v>
      </c>
      <c r="HW18">
        <v>0</v>
      </c>
      <c r="HX18">
        <v>0</v>
      </c>
      <c r="HY18" t="s">
        <v>416</v>
      </c>
      <c r="HZ18" t="s">
        <v>417</v>
      </c>
      <c r="IA18" t="s">
        <v>418</v>
      </c>
      <c r="IB18" t="s">
        <v>418</v>
      </c>
      <c r="IC18" t="s">
        <v>418</v>
      </c>
      <c r="ID18" t="s">
        <v>418</v>
      </c>
      <c r="IE18">
        <v>0</v>
      </c>
      <c r="IF18">
        <v>100</v>
      </c>
      <c r="IG18">
        <v>100</v>
      </c>
      <c r="IH18">
        <v>0.251</v>
      </c>
      <c r="II18">
        <v>-0.24679999999999999</v>
      </c>
      <c r="IJ18">
        <v>0.25105000000002059</v>
      </c>
      <c r="IK18">
        <v>0</v>
      </c>
      <c r="IL18">
        <v>0</v>
      </c>
      <c r="IM18">
        <v>0</v>
      </c>
      <c r="IN18">
        <v>-0.24680499999999839</v>
      </c>
      <c r="IO18">
        <v>0</v>
      </c>
      <c r="IP18">
        <v>0</v>
      </c>
      <c r="IQ18">
        <v>0</v>
      </c>
      <c r="IR18">
        <v>-1</v>
      </c>
      <c r="IS18">
        <v>-1</v>
      </c>
      <c r="IT18">
        <v>-1</v>
      </c>
      <c r="IU18">
        <v>-1</v>
      </c>
      <c r="IV18">
        <v>0.6</v>
      </c>
      <c r="IW18">
        <v>0.5</v>
      </c>
      <c r="IX18">
        <v>0.79834000000000005</v>
      </c>
      <c r="IY18">
        <v>2.4414099999999999</v>
      </c>
      <c r="IZ18">
        <v>1.49414</v>
      </c>
      <c r="JA18">
        <v>2.2949199999999998</v>
      </c>
      <c r="JB18">
        <v>1.54419</v>
      </c>
      <c r="JC18">
        <v>2.51709</v>
      </c>
      <c r="JD18">
        <v>37.916400000000003</v>
      </c>
      <c r="JE18">
        <v>23.7898</v>
      </c>
      <c r="JF18">
        <v>18</v>
      </c>
      <c r="JG18">
        <v>520.48599999999999</v>
      </c>
      <c r="JH18">
        <v>470.98</v>
      </c>
      <c r="JI18">
        <v>24.8095</v>
      </c>
      <c r="JJ18">
        <v>32.717100000000002</v>
      </c>
      <c r="JK18">
        <v>30.000900000000001</v>
      </c>
      <c r="JL18">
        <v>32.584499999999998</v>
      </c>
      <c r="JM18">
        <v>32.552799999999998</v>
      </c>
      <c r="JN18">
        <v>16.0581</v>
      </c>
      <c r="JO18">
        <v>24.604299999999999</v>
      </c>
      <c r="JP18">
        <v>75.101699999999994</v>
      </c>
      <c r="JQ18">
        <v>24.7971</v>
      </c>
      <c r="JR18">
        <v>300</v>
      </c>
      <c r="JS18">
        <v>24.0092</v>
      </c>
      <c r="JT18">
        <v>97.959699999999998</v>
      </c>
      <c r="JU18">
        <v>97.376099999999994</v>
      </c>
    </row>
    <row r="19" spans="1:281" x14ac:dyDescent="0.25">
      <c r="A19">
        <v>17</v>
      </c>
      <c r="B19">
        <v>1693325006.5999999</v>
      </c>
      <c r="C19">
        <v>3600</v>
      </c>
      <c r="D19" t="s">
        <v>431</v>
      </c>
      <c r="E19" t="s">
        <v>432</v>
      </c>
      <c r="F19" t="s">
        <v>411</v>
      </c>
      <c r="G19" t="s">
        <v>422</v>
      </c>
      <c r="H19" t="s">
        <v>412</v>
      </c>
      <c r="I19" t="s">
        <v>31</v>
      </c>
      <c r="J19">
        <v>1693325006.5999999</v>
      </c>
      <c r="K19">
        <f t="shared" si="0"/>
        <v>4.7265729241706845E-3</v>
      </c>
      <c r="L19">
        <f t="shared" si="1"/>
        <v>4.7265729241706849</v>
      </c>
      <c r="M19">
        <f t="shared" si="2"/>
        <v>23.692216402990894</v>
      </c>
      <c r="N19">
        <f t="shared" si="3"/>
        <v>170.57</v>
      </c>
      <c r="O19">
        <f t="shared" si="4"/>
        <v>53.51609276539417</v>
      </c>
      <c r="P19">
        <f t="shared" si="5"/>
        <v>5.3073040258061992</v>
      </c>
      <c r="Q19">
        <f t="shared" si="6"/>
        <v>16.915787399694999</v>
      </c>
      <c r="R19">
        <f t="shared" si="7"/>
        <v>0.34989082277816091</v>
      </c>
      <c r="S19">
        <f t="shared" si="8"/>
        <v>2.9175947503821038</v>
      </c>
      <c r="T19">
        <f t="shared" si="9"/>
        <v>0.32813927956410932</v>
      </c>
      <c r="U19">
        <f t="shared" si="10"/>
        <v>0.206928556291746</v>
      </c>
      <c r="V19">
        <f t="shared" si="11"/>
        <v>344.36499967099638</v>
      </c>
      <c r="W19">
        <f t="shared" si="12"/>
        <v>31.270381366557146</v>
      </c>
      <c r="X19">
        <f t="shared" si="13"/>
        <v>29.967099999999999</v>
      </c>
      <c r="Y19">
        <f t="shared" si="14"/>
        <v>4.2524052183257499</v>
      </c>
      <c r="Z19">
        <f t="shared" si="15"/>
        <v>65.701134446408759</v>
      </c>
      <c r="AA19">
        <f t="shared" si="16"/>
        <v>2.8752475006487499</v>
      </c>
      <c r="AB19">
        <f t="shared" si="17"/>
        <v>4.3762524420244793</v>
      </c>
      <c r="AC19">
        <f t="shared" si="18"/>
        <v>1.377157717677</v>
      </c>
      <c r="AD19">
        <f t="shared" si="19"/>
        <v>-208.4418659559272</v>
      </c>
      <c r="AE19">
        <f t="shared" si="20"/>
        <v>78.741060112209894</v>
      </c>
      <c r="AF19">
        <f t="shared" si="21"/>
        <v>6.0138162023358044</v>
      </c>
      <c r="AG19">
        <f t="shared" si="22"/>
        <v>220.67801002961488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51912.197595679376</v>
      </c>
      <c r="AM19" t="s">
        <v>413</v>
      </c>
      <c r="AN19">
        <v>10366.9</v>
      </c>
      <c r="AO19">
        <v>993.59653846153856</v>
      </c>
      <c r="AP19">
        <v>3431.87</v>
      </c>
      <c r="AQ19">
        <f t="shared" si="26"/>
        <v>0.71047955241266758</v>
      </c>
      <c r="AR19">
        <v>-3.9894345373445681</v>
      </c>
      <c r="AS19" t="s">
        <v>433</v>
      </c>
      <c r="AT19">
        <v>10298.299999999999</v>
      </c>
      <c r="AU19">
        <v>608.32961538461541</v>
      </c>
      <c r="AV19">
        <v>784.77560841455363</v>
      </c>
      <c r="AW19">
        <f t="shared" si="27"/>
        <v>0.22483623489063842</v>
      </c>
      <c r="AX19">
        <v>0.5</v>
      </c>
      <c r="AY19">
        <f t="shared" si="28"/>
        <v>1513.1675998354983</v>
      </c>
      <c r="AZ19">
        <f t="shared" si="29"/>
        <v>23.692216402990894</v>
      </c>
      <c r="BA19">
        <f t="shared" si="30"/>
        <v>170.10745295275882</v>
      </c>
      <c r="BB19">
        <f t="shared" si="31"/>
        <v>1.8293843288307805E-2</v>
      </c>
      <c r="BC19">
        <f t="shared" si="32"/>
        <v>3.3730589523969154</v>
      </c>
      <c r="BD19">
        <f t="shared" si="33"/>
        <v>502.68736795857109</v>
      </c>
      <c r="BE19" t="s">
        <v>434</v>
      </c>
      <c r="BF19">
        <v>497.77</v>
      </c>
      <c r="BG19">
        <f t="shared" si="34"/>
        <v>497.77</v>
      </c>
      <c r="BH19">
        <f t="shared" si="35"/>
        <v>0.36571677985045681</v>
      </c>
      <c r="BI19">
        <f t="shared" si="36"/>
        <v>0.61478238702247912</v>
      </c>
      <c r="BJ19">
        <f t="shared" si="37"/>
        <v>0.90218274482309613</v>
      </c>
      <c r="BK19">
        <f t="shared" si="38"/>
        <v>-0.8449631604946769</v>
      </c>
      <c r="BL19">
        <f t="shared" si="39"/>
        <v>1.0856429491363231</v>
      </c>
      <c r="BM19">
        <f t="shared" si="40"/>
        <v>0.50305002592171777</v>
      </c>
      <c r="BN19">
        <f t="shared" si="41"/>
        <v>0.49694997407828223</v>
      </c>
      <c r="BO19">
        <v>16562</v>
      </c>
      <c r="BP19">
        <v>290.00000000000011</v>
      </c>
      <c r="BQ19">
        <v>737.92</v>
      </c>
      <c r="BR19">
        <v>245</v>
      </c>
      <c r="BS19">
        <v>10298.299999999999</v>
      </c>
      <c r="BT19">
        <v>738.16</v>
      </c>
      <c r="BU19">
        <v>-0.24</v>
      </c>
      <c r="BV19">
        <v>300.00000000000011</v>
      </c>
      <c r="BW19">
        <v>38.4</v>
      </c>
      <c r="BX19">
        <v>784.77560841455363</v>
      </c>
      <c r="BY19">
        <v>0.99109384037791903</v>
      </c>
      <c r="BZ19">
        <v>-48.010834661088587</v>
      </c>
      <c r="CA19">
        <v>0.83566588839832434</v>
      </c>
      <c r="CB19">
        <v>0.99158844429216597</v>
      </c>
      <c r="CC19">
        <v>-1.122092636262515E-2</v>
      </c>
      <c r="CD19">
        <v>289.99999999999989</v>
      </c>
      <c r="CE19">
        <v>734.42</v>
      </c>
      <c r="CF19">
        <v>635</v>
      </c>
      <c r="CG19">
        <v>10283.299999999999</v>
      </c>
      <c r="CH19">
        <v>738.09</v>
      </c>
      <c r="CI19">
        <v>-3.67</v>
      </c>
      <c r="CW19">
        <f t="shared" si="42"/>
        <v>1799.98</v>
      </c>
      <c r="CX19">
        <f t="shared" si="43"/>
        <v>1513.1675998354983</v>
      </c>
      <c r="CY19">
        <f t="shared" si="44"/>
        <v>0.84065800721980144</v>
      </c>
      <c r="CZ19">
        <f t="shared" si="45"/>
        <v>0.19131601443960289</v>
      </c>
      <c r="DA19">
        <v>6</v>
      </c>
      <c r="DB19">
        <v>0.5</v>
      </c>
      <c r="DC19" t="s">
        <v>414</v>
      </c>
      <c r="DD19">
        <v>2</v>
      </c>
      <c r="DE19">
        <v>1693325006.5999999</v>
      </c>
      <c r="DF19">
        <v>170.57</v>
      </c>
      <c r="DG19">
        <v>199.96199999999999</v>
      </c>
      <c r="DH19">
        <v>28.9925</v>
      </c>
      <c r="DI19">
        <v>23.4862</v>
      </c>
      <c r="DJ19">
        <v>170.226</v>
      </c>
      <c r="DK19">
        <v>29.241099999999999</v>
      </c>
      <c r="DL19">
        <v>500.10399999999998</v>
      </c>
      <c r="DM19">
        <v>99.072400000000002</v>
      </c>
      <c r="DN19">
        <v>9.9713499999999997E-2</v>
      </c>
      <c r="DO19">
        <v>30.467700000000001</v>
      </c>
      <c r="DP19">
        <v>29.967099999999999</v>
      </c>
      <c r="DQ19">
        <v>999.9</v>
      </c>
      <c r="DR19">
        <v>0</v>
      </c>
      <c r="DS19">
        <v>0</v>
      </c>
      <c r="DT19">
        <v>10025</v>
      </c>
      <c r="DU19">
        <v>0</v>
      </c>
      <c r="DV19">
        <v>1561.57</v>
      </c>
      <c r="DW19">
        <v>-29.392199999999999</v>
      </c>
      <c r="DX19">
        <v>175.66200000000001</v>
      </c>
      <c r="DY19">
        <v>204.77099999999999</v>
      </c>
      <c r="DZ19">
        <v>5.5063500000000003</v>
      </c>
      <c r="EA19">
        <v>199.96199999999999</v>
      </c>
      <c r="EB19">
        <v>23.4862</v>
      </c>
      <c r="EC19">
        <v>2.87236</v>
      </c>
      <c r="ED19">
        <v>2.3268300000000002</v>
      </c>
      <c r="EE19">
        <v>23.305900000000001</v>
      </c>
      <c r="EF19">
        <v>19.863399999999999</v>
      </c>
      <c r="EG19">
        <v>1799.98</v>
      </c>
      <c r="EH19">
        <v>0.97800500000000001</v>
      </c>
      <c r="EI19">
        <v>2.1995299999999999E-2</v>
      </c>
      <c r="EJ19">
        <v>0</v>
      </c>
      <c r="EK19">
        <v>608.06200000000001</v>
      </c>
      <c r="EL19">
        <v>5.0002500000000003</v>
      </c>
      <c r="EM19">
        <v>22055.1</v>
      </c>
      <c r="EN19">
        <v>14821.9</v>
      </c>
      <c r="EO19">
        <v>47.186999999999998</v>
      </c>
      <c r="EP19">
        <v>49.561999999999998</v>
      </c>
      <c r="EQ19">
        <v>48</v>
      </c>
      <c r="ER19">
        <v>48.311999999999998</v>
      </c>
      <c r="ES19">
        <v>48.625</v>
      </c>
      <c r="ET19">
        <v>1755.5</v>
      </c>
      <c r="EU19">
        <v>39.479999999999997</v>
      </c>
      <c r="EV19">
        <v>0</v>
      </c>
      <c r="EW19">
        <v>119</v>
      </c>
      <c r="EX19">
        <v>0</v>
      </c>
      <c r="EY19">
        <v>608.32961538461541</v>
      </c>
      <c r="EZ19">
        <v>-3.4149743560736709</v>
      </c>
      <c r="FA19">
        <v>-126.9504273373077</v>
      </c>
      <c r="FB19">
        <v>22068.665384615379</v>
      </c>
      <c r="FC19">
        <v>15</v>
      </c>
      <c r="FD19">
        <v>1693324962.5999999</v>
      </c>
      <c r="FE19" t="s">
        <v>435</v>
      </c>
      <c r="FF19">
        <v>1693324951.5999999</v>
      </c>
      <c r="FG19">
        <v>1693324962.5999999</v>
      </c>
      <c r="FH19">
        <v>21</v>
      </c>
      <c r="FI19">
        <v>9.2999999999999999E-2</v>
      </c>
      <c r="FJ19">
        <v>-2E-3</v>
      </c>
      <c r="FK19">
        <v>0.34399999999999997</v>
      </c>
      <c r="FL19">
        <v>-0.249</v>
      </c>
      <c r="FM19">
        <v>200</v>
      </c>
      <c r="FN19">
        <v>24</v>
      </c>
      <c r="FO19">
        <v>0.23</v>
      </c>
      <c r="FP19">
        <v>0.04</v>
      </c>
      <c r="FQ19">
        <v>23.579142131531501</v>
      </c>
      <c r="FR19">
        <v>0.57114758034084512</v>
      </c>
      <c r="FS19">
        <v>6.8409663812412244E-2</v>
      </c>
      <c r="FT19">
        <v>1</v>
      </c>
      <c r="FU19">
        <v>0.35245851280726659</v>
      </c>
      <c r="FV19">
        <v>2.6062618056877582E-2</v>
      </c>
      <c r="FW19">
        <v>3.3843133875059391E-3</v>
      </c>
      <c r="FX19">
        <v>1</v>
      </c>
      <c r="FY19">
        <v>2</v>
      </c>
      <c r="FZ19">
        <v>2</v>
      </c>
      <c r="GA19" t="s">
        <v>415</v>
      </c>
      <c r="GB19">
        <v>2.91866</v>
      </c>
      <c r="GC19">
        <v>2.8298199999999998</v>
      </c>
      <c r="GD19">
        <v>4.4134199999999998E-2</v>
      </c>
      <c r="GE19">
        <v>4.9912400000000003E-2</v>
      </c>
      <c r="GF19">
        <v>0.13611500000000001</v>
      </c>
      <c r="GG19">
        <v>0.11243</v>
      </c>
      <c r="GH19">
        <v>24800.6</v>
      </c>
      <c r="GI19">
        <v>30372</v>
      </c>
      <c r="GJ19">
        <v>23360.6</v>
      </c>
      <c r="GK19">
        <v>29270.3</v>
      </c>
      <c r="GL19">
        <v>27516.2</v>
      </c>
      <c r="GM19">
        <v>36798.1</v>
      </c>
      <c r="GN19">
        <v>33024.5</v>
      </c>
      <c r="GO19">
        <v>43242</v>
      </c>
      <c r="GP19">
        <v>1.9758</v>
      </c>
      <c r="GQ19">
        <v>1.8486</v>
      </c>
      <c r="GR19">
        <v>1.7508900000000001E-2</v>
      </c>
      <c r="GS19">
        <v>0</v>
      </c>
      <c r="GT19">
        <v>29.682099999999998</v>
      </c>
      <c r="GU19">
        <v>999.9</v>
      </c>
      <c r="GV19">
        <v>56.4</v>
      </c>
      <c r="GW19">
        <v>33.200000000000003</v>
      </c>
      <c r="GX19">
        <v>29.085999999999999</v>
      </c>
      <c r="GY19">
        <v>61.001300000000001</v>
      </c>
      <c r="GZ19">
        <v>38.517600000000002</v>
      </c>
      <c r="HA19">
        <v>1</v>
      </c>
      <c r="HB19">
        <v>0.42290699999999998</v>
      </c>
      <c r="HC19">
        <v>3.21353</v>
      </c>
      <c r="HD19">
        <v>20.245999999999999</v>
      </c>
      <c r="HE19">
        <v>5.2088999999999999</v>
      </c>
      <c r="HF19">
        <v>11.872199999999999</v>
      </c>
      <c r="HG19">
        <v>4.9842000000000004</v>
      </c>
      <c r="HH19">
        <v>3.2839999999999998</v>
      </c>
      <c r="HI19">
        <v>9999</v>
      </c>
      <c r="HJ19">
        <v>9999</v>
      </c>
      <c r="HK19">
        <v>9999</v>
      </c>
      <c r="HL19">
        <v>999.9</v>
      </c>
      <c r="HM19">
        <v>1.8547199999999999</v>
      </c>
      <c r="HN19">
        <v>1.86087</v>
      </c>
      <c r="HO19">
        <v>1.85825</v>
      </c>
      <c r="HP19">
        <v>1.85944</v>
      </c>
      <c r="HQ19">
        <v>1.85883</v>
      </c>
      <c r="HR19">
        <v>1.85928</v>
      </c>
      <c r="HS19">
        <v>1.8577300000000001</v>
      </c>
      <c r="HT19">
        <v>1.8610100000000001</v>
      </c>
      <c r="HU19">
        <v>5</v>
      </c>
      <c r="HV19">
        <v>0</v>
      </c>
      <c r="HW19">
        <v>0</v>
      </c>
      <c r="HX19">
        <v>0</v>
      </c>
      <c r="HY19" t="s">
        <v>416</v>
      </c>
      <c r="HZ19" t="s">
        <v>417</v>
      </c>
      <c r="IA19" t="s">
        <v>418</v>
      </c>
      <c r="IB19" t="s">
        <v>418</v>
      </c>
      <c r="IC19" t="s">
        <v>418</v>
      </c>
      <c r="ID19" t="s">
        <v>418</v>
      </c>
      <c r="IE19">
        <v>0</v>
      </c>
      <c r="IF19">
        <v>100</v>
      </c>
      <c r="IG19">
        <v>100</v>
      </c>
      <c r="IH19">
        <v>0.34399999999999997</v>
      </c>
      <c r="II19">
        <v>-0.24859999999999999</v>
      </c>
      <c r="IJ19">
        <v>0.34385714285716062</v>
      </c>
      <c r="IK19">
        <v>0</v>
      </c>
      <c r="IL19">
        <v>0</v>
      </c>
      <c r="IM19">
        <v>0</v>
      </c>
      <c r="IN19">
        <v>-0.24854761904761699</v>
      </c>
      <c r="IO19">
        <v>0</v>
      </c>
      <c r="IP19">
        <v>0</v>
      </c>
      <c r="IQ19">
        <v>0</v>
      </c>
      <c r="IR19">
        <v>-1</v>
      </c>
      <c r="IS19">
        <v>-1</v>
      </c>
      <c r="IT19">
        <v>-1</v>
      </c>
      <c r="IU19">
        <v>-1</v>
      </c>
      <c r="IV19">
        <v>0.9</v>
      </c>
      <c r="IW19">
        <v>0.7</v>
      </c>
      <c r="IX19">
        <v>0.58715799999999996</v>
      </c>
      <c r="IY19">
        <v>2.4560499999999998</v>
      </c>
      <c r="IZ19">
        <v>1.49414</v>
      </c>
      <c r="JA19">
        <v>2.2949199999999998</v>
      </c>
      <c r="JB19">
        <v>1.54419</v>
      </c>
      <c r="JC19">
        <v>2.4157700000000002</v>
      </c>
      <c r="JD19">
        <v>37.9649</v>
      </c>
      <c r="JE19">
        <v>23.8248</v>
      </c>
      <c r="JF19">
        <v>18</v>
      </c>
      <c r="JG19">
        <v>521.12199999999996</v>
      </c>
      <c r="JH19">
        <v>469.31400000000002</v>
      </c>
      <c r="JI19">
        <v>24.7239</v>
      </c>
      <c r="JJ19">
        <v>32.813200000000002</v>
      </c>
      <c r="JK19">
        <v>30.000299999999999</v>
      </c>
      <c r="JL19">
        <v>32.676400000000001</v>
      </c>
      <c r="JM19">
        <v>32.643599999999999</v>
      </c>
      <c r="JN19">
        <v>11.8238</v>
      </c>
      <c r="JO19">
        <v>26.6798</v>
      </c>
      <c r="JP19">
        <v>75.0839</v>
      </c>
      <c r="JQ19">
        <v>24.723800000000001</v>
      </c>
      <c r="JR19">
        <v>200</v>
      </c>
      <c r="JS19">
        <v>23.401299999999999</v>
      </c>
      <c r="JT19">
        <v>97.954499999999996</v>
      </c>
      <c r="JU19">
        <v>97.367500000000007</v>
      </c>
    </row>
    <row r="20" spans="1:281" x14ac:dyDescent="0.25">
      <c r="A20">
        <v>18</v>
      </c>
      <c r="B20">
        <v>1693325113.5999999</v>
      </c>
      <c r="C20">
        <v>3707</v>
      </c>
      <c r="D20" t="s">
        <v>436</v>
      </c>
      <c r="E20" t="s">
        <v>437</v>
      </c>
      <c r="F20" t="s">
        <v>411</v>
      </c>
      <c r="G20" t="s">
        <v>422</v>
      </c>
      <c r="H20" t="s">
        <v>412</v>
      </c>
      <c r="I20" t="s">
        <v>31</v>
      </c>
      <c r="J20">
        <v>1693325113.5999999</v>
      </c>
      <c r="K20">
        <f t="shared" si="0"/>
        <v>4.902957842139879E-3</v>
      </c>
      <c r="L20">
        <f t="shared" si="1"/>
        <v>4.9029578421398794</v>
      </c>
      <c r="M20">
        <f t="shared" si="2"/>
        <v>14.836188287039583</v>
      </c>
      <c r="N20">
        <f t="shared" si="3"/>
        <v>101.619</v>
      </c>
      <c r="O20">
        <f t="shared" si="4"/>
        <v>30.461536258938821</v>
      </c>
      <c r="P20">
        <f t="shared" si="5"/>
        <v>3.0209873098674436</v>
      </c>
      <c r="Q20">
        <f t="shared" si="6"/>
        <v>10.077945735626999</v>
      </c>
      <c r="R20">
        <f t="shared" si="7"/>
        <v>0.36093701446173015</v>
      </c>
      <c r="S20">
        <f t="shared" si="8"/>
        <v>2.9044843475784869</v>
      </c>
      <c r="T20">
        <f t="shared" si="9"/>
        <v>0.33774193807767838</v>
      </c>
      <c r="U20">
        <f t="shared" si="10"/>
        <v>0.21304835980001308</v>
      </c>
      <c r="V20">
        <f t="shared" si="11"/>
        <v>344.35739967098908</v>
      </c>
      <c r="W20">
        <f t="shared" si="12"/>
        <v>31.263753115508301</v>
      </c>
      <c r="X20">
        <f t="shared" si="13"/>
        <v>29.982700000000001</v>
      </c>
      <c r="Y20">
        <f t="shared" si="14"/>
        <v>4.2562180054864323</v>
      </c>
      <c r="Z20">
        <f t="shared" si="15"/>
        <v>65.405270250833738</v>
      </c>
      <c r="AA20">
        <f t="shared" si="16"/>
        <v>2.8682361763428998</v>
      </c>
      <c r="AB20">
        <f t="shared" si="17"/>
        <v>4.3853288356473659</v>
      </c>
      <c r="AC20">
        <f t="shared" si="18"/>
        <v>1.3879818291435324</v>
      </c>
      <c r="AD20">
        <f t="shared" si="19"/>
        <v>-216.22044083836866</v>
      </c>
      <c r="AE20">
        <f t="shared" si="20"/>
        <v>81.612915148434752</v>
      </c>
      <c r="AF20">
        <f t="shared" si="21"/>
        <v>6.2628934242264416</v>
      </c>
      <c r="AG20">
        <f t="shared" si="22"/>
        <v>216.01276740528161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51533.899275209027</v>
      </c>
      <c r="AM20" t="s">
        <v>413</v>
      </c>
      <c r="AN20">
        <v>10366.9</v>
      </c>
      <c r="AO20">
        <v>993.59653846153856</v>
      </c>
      <c r="AP20">
        <v>3431.87</v>
      </c>
      <c r="AQ20">
        <f t="shared" si="26"/>
        <v>0.71047955241266758</v>
      </c>
      <c r="AR20">
        <v>-3.9894345373445681</v>
      </c>
      <c r="AS20" t="s">
        <v>438</v>
      </c>
      <c r="AT20">
        <v>10293.1</v>
      </c>
      <c r="AU20">
        <v>607.79992307692305</v>
      </c>
      <c r="AV20">
        <v>716.75575288030166</v>
      </c>
      <c r="AW20">
        <f t="shared" si="27"/>
        <v>0.1520124943058172</v>
      </c>
      <c r="AX20">
        <v>0.5</v>
      </c>
      <c r="AY20">
        <f t="shared" si="28"/>
        <v>1513.1339998354943</v>
      </c>
      <c r="AZ20">
        <f t="shared" si="29"/>
        <v>14.836188287039583</v>
      </c>
      <c r="BA20">
        <f t="shared" si="30"/>
        <v>115.00763676696575</v>
      </c>
      <c r="BB20">
        <f t="shared" si="31"/>
        <v>1.2441477639409891E-2</v>
      </c>
      <c r="BC20">
        <f t="shared" si="32"/>
        <v>3.7880606276391098</v>
      </c>
      <c r="BD20">
        <f t="shared" si="33"/>
        <v>473.88113844425493</v>
      </c>
      <c r="BE20" t="s">
        <v>439</v>
      </c>
      <c r="BF20">
        <v>498.41</v>
      </c>
      <c r="BG20">
        <f t="shared" si="34"/>
        <v>498.41</v>
      </c>
      <c r="BH20">
        <f t="shared" si="35"/>
        <v>0.30463062487168546</v>
      </c>
      <c r="BI20">
        <f t="shared" si="36"/>
        <v>0.49900594981166774</v>
      </c>
      <c r="BJ20">
        <f t="shared" si="37"/>
        <v>0.92556716202699141</v>
      </c>
      <c r="BK20">
        <f t="shared" si="38"/>
        <v>-0.39356856170821086</v>
      </c>
      <c r="BL20">
        <f t="shared" si="39"/>
        <v>1.1135396787719456</v>
      </c>
      <c r="BM20">
        <f t="shared" si="40"/>
        <v>0.40919642468292428</v>
      </c>
      <c r="BN20">
        <f t="shared" si="41"/>
        <v>0.59080357531707572</v>
      </c>
      <c r="BO20">
        <v>16564</v>
      </c>
      <c r="BP20">
        <v>290.00000000000011</v>
      </c>
      <c r="BQ20">
        <v>689.67</v>
      </c>
      <c r="BR20">
        <v>295</v>
      </c>
      <c r="BS20">
        <v>10293.1</v>
      </c>
      <c r="BT20">
        <v>689.64</v>
      </c>
      <c r="BU20">
        <v>0.03</v>
      </c>
      <c r="BV20">
        <v>300.00000000000011</v>
      </c>
      <c r="BW20">
        <v>38.4</v>
      </c>
      <c r="BX20">
        <v>716.75575288030166</v>
      </c>
      <c r="BY20">
        <v>1.092605483731016</v>
      </c>
      <c r="BZ20">
        <v>-27.908917267292288</v>
      </c>
      <c r="CA20">
        <v>0.92120107447414867</v>
      </c>
      <c r="CB20">
        <v>0.97039735410341277</v>
      </c>
      <c r="CC20">
        <v>-1.122009499443829E-2</v>
      </c>
      <c r="CD20">
        <v>289.99999999999989</v>
      </c>
      <c r="CE20">
        <v>686.6</v>
      </c>
      <c r="CF20">
        <v>635</v>
      </c>
      <c r="CG20">
        <v>10282.6</v>
      </c>
      <c r="CH20">
        <v>689.61</v>
      </c>
      <c r="CI20">
        <v>-3.01</v>
      </c>
      <c r="CW20">
        <f t="shared" si="42"/>
        <v>1799.94</v>
      </c>
      <c r="CX20">
        <f t="shared" si="43"/>
        <v>1513.1339998354943</v>
      </c>
      <c r="CY20">
        <f t="shared" si="44"/>
        <v>0.84065802184266936</v>
      </c>
      <c r="CZ20">
        <f t="shared" si="45"/>
        <v>0.191316043685339</v>
      </c>
      <c r="DA20">
        <v>6</v>
      </c>
      <c r="DB20">
        <v>0.5</v>
      </c>
      <c r="DC20" t="s">
        <v>414</v>
      </c>
      <c r="DD20">
        <v>2</v>
      </c>
      <c r="DE20">
        <v>1693325113.5999999</v>
      </c>
      <c r="DF20">
        <v>101.619</v>
      </c>
      <c r="DG20">
        <v>120.011</v>
      </c>
      <c r="DH20">
        <v>28.921299999999999</v>
      </c>
      <c r="DI20">
        <v>23.210799999999999</v>
      </c>
      <c r="DJ20">
        <v>101.346</v>
      </c>
      <c r="DK20">
        <v>29.1831</v>
      </c>
      <c r="DL20">
        <v>500.25299999999999</v>
      </c>
      <c r="DM20">
        <v>99.073400000000007</v>
      </c>
      <c r="DN20">
        <v>0.10043299999999999</v>
      </c>
      <c r="DO20">
        <v>30.503900000000002</v>
      </c>
      <c r="DP20">
        <v>29.982700000000001</v>
      </c>
      <c r="DQ20">
        <v>999.9</v>
      </c>
      <c r="DR20">
        <v>0</v>
      </c>
      <c r="DS20">
        <v>0</v>
      </c>
      <c r="DT20">
        <v>9950</v>
      </c>
      <c r="DU20">
        <v>0</v>
      </c>
      <c r="DV20">
        <v>1577.3</v>
      </c>
      <c r="DW20">
        <v>-18.392600000000002</v>
      </c>
      <c r="DX20">
        <v>104.645</v>
      </c>
      <c r="DY20">
        <v>122.863</v>
      </c>
      <c r="DZ20">
        <v>5.7104600000000003</v>
      </c>
      <c r="EA20">
        <v>120.011</v>
      </c>
      <c r="EB20">
        <v>23.210799999999999</v>
      </c>
      <c r="EC20">
        <v>2.8653300000000002</v>
      </c>
      <c r="ED20">
        <v>2.2995700000000001</v>
      </c>
      <c r="EE20">
        <v>23.2653</v>
      </c>
      <c r="EF20">
        <v>19.673400000000001</v>
      </c>
      <c r="EG20">
        <v>1799.94</v>
      </c>
      <c r="EH20">
        <v>0.97800500000000001</v>
      </c>
      <c r="EI20">
        <v>2.1995299999999999E-2</v>
      </c>
      <c r="EJ20">
        <v>0</v>
      </c>
      <c r="EK20">
        <v>607.40700000000004</v>
      </c>
      <c r="EL20">
        <v>5.0002500000000003</v>
      </c>
      <c r="EM20">
        <v>22097.5</v>
      </c>
      <c r="EN20">
        <v>14821.6</v>
      </c>
      <c r="EO20">
        <v>47.25</v>
      </c>
      <c r="EP20">
        <v>49.625</v>
      </c>
      <c r="EQ20">
        <v>48.061999999999998</v>
      </c>
      <c r="ER20">
        <v>48.311999999999998</v>
      </c>
      <c r="ES20">
        <v>48.686999999999998</v>
      </c>
      <c r="ET20">
        <v>1755.46</v>
      </c>
      <c r="EU20">
        <v>39.479999999999997</v>
      </c>
      <c r="EV20">
        <v>0</v>
      </c>
      <c r="EW20">
        <v>105.2000000476837</v>
      </c>
      <c r="EX20">
        <v>0</v>
      </c>
      <c r="EY20">
        <v>607.79992307692305</v>
      </c>
      <c r="EZ20">
        <v>-4.0714529812310021</v>
      </c>
      <c r="FA20">
        <v>196.7247857919626</v>
      </c>
      <c r="FB20">
        <v>22082.823076923079</v>
      </c>
      <c r="FC20">
        <v>15</v>
      </c>
      <c r="FD20">
        <v>1693325084.5999999</v>
      </c>
      <c r="FE20" t="s">
        <v>440</v>
      </c>
      <c r="FF20">
        <v>1693325065.5999999</v>
      </c>
      <c r="FG20">
        <v>1693325084.5999999</v>
      </c>
      <c r="FH20">
        <v>22</v>
      </c>
      <c r="FI20">
        <v>-7.0999999999999994E-2</v>
      </c>
      <c r="FJ20">
        <v>-1.2999999999999999E-2</v>
      </c>
      <c r="FK20">
        <v>0.27300000000000002</v>
      </c>
      <c r="FL20">
        <v>-0.26200000000000001</v>
      </c>
      <c r="FM20">
        <v>120</v>
      </c>
      <c r="FN20">
        <v>23</v>
      </c>
      <c r="FO20">
        <v>0.16</v>
      </c>
      <c r="FP20">
        <v>0.06</v>
      </c>
      <c r="FQ20">
        <v>14.74048863161973</v>
      </c>
      <c r="FR20">
        <v>4.8068286121873471E-2</v>
      </c>
      <c r="FS20">
        <v>3.968502055473113E-2</v>
      </c>
      <c r="FT20">
        <v>1</v>
      </c>
      <c r="FU20">
        <v>0.36210664875234261</v>
      </c>
      <c r="FV20">
        <v>3.3466019714299147E-2</v>
      </c>
      <c r="FW20">
        <v>4.594699831816932E-3</v>
      </c>
      <c r="FX20">
        <v>1</v>
      </c>
      <c r="FY20">
        <v>2</v>
      </c>
      <c r="FZ20">
        <v>2</v>
      </c>
      <c r="GA20" t="s">
        <v>415</v>
      </c>
      <c r="GB20">
        <v>2.9189600000000002</v>
      </c>
      <c r="GC20">
        <v>2.8298899999999998</v>
      </c>
      <c r="GD20">
        <v>2.7308200000000001E-2</v>
      </c>
      <c r="GE20">
        <v>3.1370299999999997E-2</v>
      </c>
      <c r="GF20">
        <v>0.135905</v>
      </c>
      <c r="GG20">
        <v>0.111486</v>
      </c>
      <c r="GH20">
        <v>25236.400000000001</v>
      </c>
      <c r="GI20">
        <v>30961.8</v>
      </c>
      <c r="GJ20">
        <v>23360.7</v>
      </c>
      <c r="GK20">
        <v>29268.400000000001</v>
      </c>
      <c r="GL20">
        <v>27522.3</v>
      </c>
      <c r="GM20">
        <v>36833.599999999999</v>
      </c>
      <c r="GN20">
        <v>33025.1</v>
      </c>
      <c r="GO20">
        <v>43239.5</v>
      </c>
      <c r="GP20">
        <v>1.9745999999999999</v>
      </c>
      <c r="GQ20">
        <v>1.8461000000000001</v>
      </c>
      <c r="GR20">
        <v>2.2441099999999999E-2</v>
      </c>
      <c r="GS20">
        <v>0</v>
      </c>
      <c r="GT20">
        <v>29.6173</v>
      </c>
      <c r="GU20">
        <v>999.9</v>
      </c>
      <c r="GV20">
        <v>56.4</v>
      </c>
      <c r="GW20">
        <v>33.200000000000003</v>
      </c>
      <c r="GX20">
        <v>29.085899999999999</v>
      </c>
      <c r="GY20">
        <v>61.461199999999998</v>
      </c>
      <c r="GZ20">
        <v>38.337299999999999</v>
      </c>
      <c r="HA20">
        <v>1</v>
      </c>
      <c r="HB20">
        <v>0.42783500000000002</v>
      </c>
      <c r="HC20">
        <v>2.9080300000000001</v>
      </c>
      <c r="HD20">
        <v>20.251200000000001</v>
      </c>
      <c r="HE20">
        <v>5.2112999999999996</v>
      </c>
      <c r="HF20">
        <v>11.872199999999999</v>
      </c>
      <c r="HG20">
        <v>4.9850000000000003</v>
      </c>
      <c r="HH20">
        <v>3.2839999999999998</v>
      </c>
      <c r="HI20">
        <v>9999</v>
      </c>
      <c r="HJ20">
        <v>9999</v>
      </c>
      <c r="HK20">
        <v>9999</v>
      </c>
      <c r="HL20">
        <v>999.9</v>
      </c>
      <c r="HM20">
        <v>1.8547100000000001</v>
      </c>
      <c r="HN20">
        <v>1.86084</v>
      </c>
      <c r="HO20">
        <v>1.8582399999999999</v>
      </c>
      <c r="HP20">
        <v>1.85944</v>
      </c>
      <c r="HQ20">
        <v>1.85883</v>
      </c>
      <c r="HR20">
        <v>1.85928</v>
      </c>
      <c r="HS20">
        <v>1.8577600000000001</v>
      </c>
      <c r="HT20">
        <v>1.8610800000000001</v>
      </c>
      <c r="HU20">
        <v>5</v>
      </c>
      <c r="HV20">
        <v>0</v>
      </c>
      <c r="HW20">
        <v>0</v>
      </c>
      <c r="HX20">
        <v>0</v>
      </c>
      <c r="HY20" t="s">
        <v>416</v>
      </c>
      <c r="HZ20" t="s">
        <v>417</v>
      </c>
      <c r="IA20" t="s">
        <v>418</v>
      </c>
      <c r="IB20" t="s">
        <v>418</v>
      </c>
      <c r="IC20" t="s">
        <v>418</v>
      </c>
      <c r="ID20" t="s">
        <v>418</v>
      </c>
      <c r="IE20">
        <v>0</v>
      </c>
      <c r="IF20">
        <v>100</v>
      </c>
      <c r="IG20">
        <v>100</v>
      </c>
      <c r="IH20">
        <v>0.27300000000000002</v>
      </c>
      <c r="II20">
        <v>-0.26179999999999998</v>
      </c>
      <c r="IJ20">
        <v>0.27295238095237551</v>
      </c>
      <c r="IK20">
        <v>0</v>
      </c>
      <c r="IL20">
        <v>0</v>
      </c>
      <c r="IM20">
        <v>0</v>
      </c>
      <c r="IN20">
        <v>-0.26188571428571811</v>
      </c>
      <c r="IO20">
        <v>0</v>
      </c>
      <c r="IP20">
        <v>0</v>
      </c>
      <c r="IQ20">
        <v>0</v>
      </c>
      <c r="IR20">
        <v>-1</v>
      </c>
      <c r="IS20">
        <v>-1</v>
      </c>
      <c r="IT20">
        <v>-1</v>
      </c>
      <c r="IU20">
        <v>-1</v>
      </c>
      <c r="IV20">
        <v>0.8</v>
      </c>
      <c r="IW20">
        <v>0.5</v>
      </c>
      <c r="IX20">
        <v>0.41137699999999999</v>
      </c>
      <c r="IY20">
        <v>2.4731399999999999</v>
      </c>
      <c r="IZ20">
        <v>1.49414</v>
      </c>
      <c r="JA20">
        <v>2.2961399999999998</v>
      </c>
      <c r="JB20">
        <v>1.54419</v>
      </c>
      <c r="JC20">
        <v>2.323</v>
      </c>
      <c r="JD20">
        <v>38.013399999999997</v>
      </c>
      <c r="JE20">
        <v>23.833600000000001</v>
      </c>
      <c r="JF20">
        <v>18</v>
      </c>
      <c r="JG20">
        <v>520.96799999999996</v>
      </c>
      <c r="JH20">
        <v>468.166</v>
      </c>
      <c r="JI20">
        <v>25.128599999999999</v>
      </c>
      <c r="JJ20">
        <v>32.880400000000002</v>
      </c>
      <c r="JK20">
        <v>30.000599999999999</v>
      </c>
      <c r="JL20">
        <v>32.754100000000001</v>
      </c>
      <c r="JM20">
        <v>32.719200000000001</v>
      </c>
      <c r="JN20">
        <v>8.3081999999999994</v>
      </c>
      <c r="JO20">
        <v>27.450099999999999</v>
      </c>
      <c r="JP20">
        <v>74.730699999999999</v>
      </c>
      <c r="JQ20">
        <v>25.125800000000002</v>
      </c>
      <c r="JR20">
        <v>120</v>
      </c>
      <c r="JS20">
        <v>23.1069</v>
      </c>
      <c r="JT20">
        <v>97.955699999999993</v>
      </c>
      <c r="JU20">
        <v>97.361599999999996</v>
      </c>
    </row>
    <row r="21" spans="1:281" x14ac:dyDescent="0.25">
      <c r="A21">
        <v>19</v>
      </c>
      <c r="B21">
        <v>1693325219.5999999</v>
      </c>
      <c r="C21">
        <v>3813</v>
      </c>
      <c r="D21" t="s">
        <v>441</v>
      </c>
      <c r="E21" t="s">
        <v>442</v>
      </c>
      <c r="F21" t="s">
        <v>411</v>
      </c>
      <c r="G21" t="s">
        <v>422</v>
      </c>
      <c r="H21" t="s">
        <v>412</v>
      </c>
      <c r="I21" t="s">
        <v>31</v>
      </c>
      <c r="J21">
        <v>1693325219.5999999</v>
      </c>
      <c r="K21">
        <f t="shared" si="0"/>
        <v>4.9945482395395598E-3</v>
      </c>
      <c r="L21">
        <f t="shared" si="1"/>
        <v>4.9945482395395597</v>
      </c>
      <c r="M21">
        <f t="shared" si="2"/>
        <v>8.9132541255726476</v>
      </c>
      <c r="N21">
        <f t="shared" si="3"/>
        <v>58.964300000000001</v>
      </c>
      <c r="O21">
        <f t="shared" si="4"/>
        <v>17.371142464912261</v>
      </c>
      <c r="P21">
        <f t="shared" si="5"/>
        <v>1.7227255224709439</v>
      </c>
      <c r="Q21">
        <f t="shared" si="6"/>
        <v>5.8475891686348298</v>
      </c>
      <c r="R21">
        <f t="shared" si="7"/>
        <v>0.37130391199220475</v>
      </c>
      <c r="S21">
        <f t="shared" si="8"/>
        <v>2.9184587717426229</v>
      </c>
      <c r="T21">
        <f t="shared" si="9"/>
        <v>0.34691481216337028</v>
      </c>
      <c r="U21">
        <f t="shared" si="10"/>
        <v>0.21887938281149882</v>
      </c>
      <c r="V21">
        <f t="shared" si="11"/>
        <v>344.34409967097628</v>
      </c>
      <c r="W21">
        <f t="shared" si="12"/>
        <v>31.231951714244087</v>
      </c>
      <c r="X21">
        <f t="shared" si="13"/>
        <v>29.971900000000002</v>
      </c>
      <c r="Y21">
        <f t="shared" si="14"/>
        <v>4.2535780664323468</v>
      </c>
      <c r="Z21">
        <f t="shared" si="15"/>
        <v>65.624961630679891</v>
      </c>
      <c r="AA21">
        <f t="shared" si="16"/>
        <v>2.8771293464819601</v>
      </c>
      <c r="AB21">
        <f t="shared" si="17"/>
        <v>4.3841996627345718</v>
      </c>
      <c r="AC21">
        <f t="shared" si="18"/>
        <v>1.3764487199503868</v>
      </c>
      <c r="AD21">
        <f t="shared" si="19"/>
        <v>-220.25957736369458</v>
      </c>
      <c r="AE21">
        <f t="shared" si="20"/>
        <v>82.996823256904307</v>
      </c>
      <c r="AF21">
        <f t="shared" si="21"/>
        <v>6.3381164982106881</v>
      </c>
      <c r="AG21">
        <f t="shared" si="22"/>
        <v>213.41946206239669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51931.326520978822</v>
      </c>
      <c r="AM21" t="s">
        <v>413</v>
      </c>
      <c r="AN21">
        <v>10366.9</v>
      </c>
      <c r="AO21">
        <v>993.59653846153856</v>
      </c>
      <c r="AP21">
        <v>3431.87</v>
      </c>
      <c r="AQ21">
        <f t="shared" si="26"/>
        <v>0.71047955241266758</v>
      </c>
      <c r="AR21">
        <v>-3.9894345373445681</v>
      </c>
      <c r="AS21" t="s">
        <v>443</v>
      </c>
      <c r="AT21">
        <v>10305</v>
      </c>
      <c r="AU21">
        <v>610.99250000000006</v>
      </c>
      <c r="AV21">
        <v>680.84055793027687</v>
      </c>
      <c r="AW21">
        <f t="shared" si="27"/>
        <v>0.10259091811835008</v>
      </c>
      <c r="AX21">
        <v>0.5</v>
      </c>
      <c r="AY21">
        <f t="shared" si="28"/>
        <v>1513.0751998354879</v>
      </c>
      <c r="AZ21">
        <f t="shared" si="29"/>
        <v>8.9132541255726476</v>
      </c>
      <c r="BA21">
        <f t="shared" si="30"/>
        <v>77.613886966614359</v>
      </c>
      <c r="BB21">
        <f t="shared" si="31"/>
        <v>8.5274602771363162E-3</v>
      </c>
      <c r="BC21">
        <f t="shared" si="32"/>
        <v>4.0406368422479444</v>
      </c>
      <c r="BD21">
        <f t="shared" si="33"/>
        <v>457.91087775593144</v>
      </c>
      <c r="BE21" t="s">
        <v>444</v>
      </c>
      <c r="BF21">
        <v>504.43</v>
      </c>
      <c r="BG21">
        <f t="shared" si="34"/>
        <v>504.43</v>
      </c>
      <c r="BH21">
        <f t="shared" si="35"/>
        <v>0.25910700512107654</v>
      </c>
      <c r="BI21">
        <f t="shared" si="36"/>
        <v>0.39594034931788502</v>
      </c>
      <c r="BJ21">
        <f t="shared" si="37"/>
        <v>0.93973896717600458</v>
      </c>
      <c r="BK21">
        <f t="shared" si="38"/>
        <v>-0.22333084666080466</v>
      </c>
      <c r="BL21">
        <f t="shared" si="39"/>
        <v>1.1282694437128162</v>
      </c>
      <c r="BM21">
        <f t="shared" si="40"/>
        <v>0.32688484786052319</v>
      </c>
      <c r="BN21">
        <f t="shared" si="41"/>
        <v>0.67311515213947681</v>
      </c>
      <c r="BO21">
        <v>16566</v>
      </c>
      <c r="BP21">
        <v>290.00000000000011</v>
      </c>
      <c r="BQ21">
        <v>664.62</v>
      </c>
      <c r="BR21">
        <v>185</v>
      </c>
      <c r="BS21">
        <v>10305</v>
      </c>
      <c r="BT21">
        <v>663.23</v>
      </c>
      <c r="BU21">
        <v>1.39</v>
      </c>
      <c r="BV21">
        <v>300.00000000000011</v>
      </c>
      <c r="BW21">
        <v>38.4</v>
      </c>
      <c r="BX21">
        <v>680.84055793027687</v>
      </c>
      <c r="BY21">
        <v>0.99331646214833824</v>
      </c>
      <c r="BZ21">
        <v>-18.149216119140501</v>
      </c>
      <c r="CA21">
        <v>0.83743642586905986</v>
      </c>
      <c r="CB21">
        <v>0.94374016910997593</v>
      </c>
      <c r="CC21">
        <v>-1.1219344160177979E-2</v>
      </c>
      <c r="CD21">
        <v>289.99999999999989</v>
      </c>
      <c r="CE21">
        <v>661.61</v>
      </c>
      <c r="CF21">
        <v>655</v>
      </c>
      <c r="CG21">
        <v>10280.5</v>
      </c>
      <c r="CH21">
        <v>663.19</v>
      </c>
      <c r="CI21">
        <v>-1.58</v>
      </c>
      <c r="CW21">
        <f t="shared" si="42"/>
        <v>1799.87</v>
      </c>
      <c r="CX21">
        <f t="shared" si="43"/>
        <v>1513.0751998354879</v>
      </c>
      <c r="CY21">
        <f t="shared" si="44"/>
        <v>0.84065804743425243</v>
      </c>
      <c r="CZ21">
        <f t="shared" si="45"/>
        <v>0.19131609486850512</v>
      </c>
      <c r="DA21">
        <v>6</v>
      </c>
      <c r="DB21">
        <v>0.5</v>
      </c>
      <c r="DC21" t="s">
        <v>414</v>
      </c>
      <c r="DD21">
        <v>2</v>
      </c>
      <c r="DE21">
        <v>1693325219.5999999</v>
      </c>
      <c r="DF21">
        <v>58.964300000000001</v>
      </c>
      <c r="DG21">
        <v>70.008899999999997</v>
      </c>
      <c r="DH21">
        <v>29.011600000000001</v>
      </c>
      <c r="DI21">
        <v>23.194500000000001</v>
      </c>
      <c r="DJ21">
        <v>58.654600000000002</v>
      </c>
      <c r="DK21">
        <v>29.282399999999999</v>
      </c>
      <c r="DL21">
        <v>500.21300000000002</v>
      </c>
      <c r="DM21">
        <v>99.071899999999999</v>
      </c>
      <c r="DN21">
        <v>9.9788100000000005E-2</v>
      </c>
      <c r="DO21">
        <v>30.499400000000001</v>
      </c>
      <c r="DP21">
        <v>29.971900000000002</v>
      </c>
      <c r="DQ21">
        <v>999.9</v>
      </c>
      <c r="DR21">
        <v>0</v>
      </c>
      <c r="DS21">
        <v>0</v>
      </c>
      <c r="DT21">
        <v>10030</v>
      </c>
      <c r="DU21">
        <v>0</v>
      </c>
      <c r="DV21">
        <v>1576.67</v>
      </c>
      <c r="DW21">
        <v>-11.044600000000001</v>
      </c>
      <c r="DX21">
        <v>60.726100000000002</v>
      </c>
      <c r="DY21">
        <v>71.671300000000002</v>
      </c>
      <c r="DZ21">
        <v>5.8170799999999998</v>
      </c>
      <c r="EA21">
        <v>70.008899999999997</v>
      </c>
      <c r="EB21">
        <v>23.194500000000001</v>
      </c>
      <c r="EC21">
        <v>2.8742299999999998</v>
      </c>
      <c r="ED21">
        <v>2.29792</v>
      </c>
      <c r="EE21">
        <v>23.316700000000001</v>
      </c>
      <c r="EF21">
        <v>19.661899999999999</v>
      </c>
      <c r="EG21">
        <v>1799.87</v>
      </c>
      <c r="EH21">
        <v>0.97800500000000001</v>
      </c>
      <c r="EI21">
        <v>2.1995199999999999E-2</v>
      </c>
      <c r="EJ21">
        <v>0</v>
      </c>
      <c r="EK21">
        <v>610.68499999999995</v>
      </c>
      <c r="EL21">
        <v>5.0002500000000003</v>
      </c>
      <c r="EM21">
        <v>22149.3</v>
      </c>
      <c r="EN21">
        <v>14821</v>
      </c>
      <c r="EO21">
        <v>47.311999999999998</v>
      </c>
      <c r="EP21">
        <v>49.686999999999998</v>
      </c>
      <c r="EQ21">
        <v>48.125</v>
      </c>
      <c r="ER21">
        <v>48.375</v>
      </c>
      <c r="ES21">
        <v>48.75</v>
      </c>
      <c r="ET21">
        <v>1755.39</v>
      </c>
      <c r="EU21">
        <v>39.479999999999997</v>
      </c>
      <c r="EV21">
        <v>0</v>
      </c>
      <c r="EW21">
        <v>103.7999999523163</v>
      </c>
      <c r="EX21">
        <v>0</v>
      </c>
      <c r="EY21">
        <v>610.99250000000006</v>
      </c>
      <c r="EZ21">
        <v>-2.124957259226167</v>
      </c>
      <c r="FA21">
        <v>243.66153933791281</v>
      </c>
      <c r="FB21">
        <v>22143.542307692311</v>
      </c>
      <c r="FC21">
        <v>15</v>
      </c>
      <c r="FD21">
        <v>1693325183.0999999</v>
      </c>
      <c r="FE21" t="s">
        <v>445</v>
      </c>
      <c r="FF21">
        <v>1693325183.0999999</v>
      </c>
      <c r="FG21">
        <v>1693325178.0999999</v>
      </c>
      <c r="FH21">
        <v>23</v>
      </c>
      <c r="FI21">
        <v>3.6999999999999998E-2</v>
      </c>
      <c r="FJ21">
        <v>-8.9999999999999993E-3</v>
      </c>
      <c r="FK21">
        <v>0.31</v>
      </c>
      <c r="FL21">
        <v>-0.27100000000000002</v>
      </c>
      <c r="FM21">
        <v>70</v>
      </c>
      <c r="FN21">
        <v>23</v>
      </c>
      <c r="FO21">
        <v>0.41</v>
      </c>
      <c r="FP21">
        <v>0.05</v>
      </c>
      <c r="FQ21">
        <v>8.9376350767484602</v>
      </c>
      <c r="FR21">
        <v>0.39782323389740343</v>
      </c>
      <c r="FS21">
        <v>6.0414237543819117E-2</v>
      </c>
      <c r="FT21">
        <v>1</v>
      </c>
      <c r="FU21">
        <v>0.36469992645352889</v>
      </c>
      <c r="FV21">
        <v>4.6636392275955237E-2</v>
      </c>
      <c r="FW21">
        <v>3.559599855634232E-3</v>
      </c>
      <c r="FX21">
        <v>1</v>
      </c>
      <c r="FY21">
        <v>2</v>
      </c>
      <c r="FZ21">
        <v>2</v>
      </c>
      <c r="GA21" t="s">
        <v>415</v>
      </c>
      <c r="GB21">
        <v>2.9188000000000001</v>
      </c>
      <c r="GC21">
        <v>2.8299400000000001</v>
      </c>
      <c r="GD21">
        <v>1.6107300000000001E-2</v>
      </c>
      <c r="GE21">
        <v>1.8731299999999999E-2</v>
      </c>
      <c r="GF21">
        <v>0.13620299999999999</v>
      </c>
      <c r="GG21">
        <v>0.111412</v>
      </c>
      <c r="GH21">
        <v>25526</v>
      </c>
      <c r="GI21">
        <v>31364.5</v>
      </c>
      <c r="GJ21">
        <v>23360.3</v>
      </c>
      <c r="GK21">
        <v>29268</v>
      </c>
      <c r="GL21">
        <v>27511.4</v>
      </c>
      <c r="GM21">
        <v>36835</v>
      </c>
      <c r="GN21">
        <v>33024.300000000003</v>
      </c>
      <c r="GO21">
        <v>43238.9</v>
      </c>
      <c r="GP21">
        <v>1.9754</v>
      </c>
      <c r="GQ21">
        <v>1.8447</v>
      </c>
      <c r="GR21">
        <v>1.6227399999999999E-2</v>
      </c>
      <c r="GS21">
        <v>0</v>
      </c>
      <c r="GT21">
        <v>29.707699999999999</v>
      </c>
      <c r="GU21">
        <v>999.9</v>
      </c>
      <c r="GV21">
        <v>56.3</v>
      </c>
      <c r="GW21">
        <v>33.200000000000003</v>
      </c>
      <c r="GX21">
        <v>29.0337</v>
      </c>
      <c r="GY21">
        <v>61.121200000000002</v>
      </c>
      <c r="GZ21">
        <v>38.485599999999998</v>
      </c>
      <c r="HA21">
        <v>1</v>
      </c>
      <c r="HB21">
        <v>0.430589</v>
      </c>
      <c r="HC21">
        <v>2.1804000000000001</v>
      </c>
      <c r="HD21">
        <v>20.2624</v>
      </c>
      <c r="HE21">
        <v>5.2083000000000004</v>
      </c>
      <c r="HF21">
        <v>11.872199999999999</v>
      </c>
      <c r="HG21">
        <v>4.984</v>
      </c>
      <c r="HH21">
        <v>3.2839999999999998</v>
      </c>
      <c r="HI21">
        <v>9999</v>
      </c>
      <c r="HJ21">
        <v>9999</v>
      </c>
      <c r="HK21">
        <v>9999</v>
      </c>
      <c r="HL21">
        <v>999.9</v>
      </c>
      <c r="HM21">
        <v>1.8547100000000001</v>
      </c>
      <c r="HN21">
        <v>1.86086</v>
      </c>
      <c r="HO21">
        <v>1.8582399999999999</v>
      </c>
      <c r="HP21">
        <v>1.85944</v>
      </c>
      <c r="HQ21">
        <v>1.85883</v>
      </c>
      <c r="HR21">
        <v>1.85928</v>
      </c>
      <c r="HS21">
        <v>1.8577399999999999</v>
      </c>
      <c r="HT21">
        <v>1.8610800000000001</v>
      </c>
      <c r="HU21">
        <v>5</v>
      </c>
      <c r="HV21">
        <v>0</v>
      </c>
      <c r="HW21">
        <v>0</v>
      </c>
      <c r="HX21">
        <v>0</v>
      </c>
      <c r="HY21" t="s">
        <v>416</v>
      </c>
      <c r="HZ21" t="s">
        <v>417</v>
      </c>
      <c r="IA21" t="s">
        <v>418</v>
      </c>
      <c r="IB21" t="s">
        <v>418</v>
      </c>
      <c r="IC21" t="s">
        <v>418</v>
      </c>
      <c r="ID21" t="s">
        <v>418</v>
      </c>
      <c r="IE21">
        <v>0</v>
      </c>
      <c r="IF21">
        <v>100</v>
      </c>
      <c r="IG21">
        <v>100</v>
      </c>
      <c r="IH21">
        <v>0.31</v>
      </c>
      <c r="II21">
        <v>-0.27079999999999999</v>
      </c>
      <c r="IJ21">
        <v>0.30970999999999549</v>
      </c>
      <c r="IK21">
        <v>0</v>
      </c>
      <c r="IL21">
        <v>0</v>
      </c>
      <c r="IM21">
        <v>0</v>
      </c>
      <c r="IN21">
        <v>-0.27080999999999728</v>
      </c>
      <c r="IO21">
        <v>0</v>
      </c>
      <c r="IP21">
        <v>0</v>
      </c>
      <c r="IQ21">
        <v>0</v>
      </c>
      <c r="IR21">
        <v>-1</v>
      </c>
      <c r="IS21">
        <v>-1</v>
      </c>
      <c r="IT21">
        <v>-1</v>
      </c>
      <c r="IU21">
        <v>-1</v>
      </c>
      <c r="IV21">
        <v>0.6</v>
      </c>
      <c r="IW21">
        <v>0.7</v>
      </c>
      <c r="IX21">
        <v>0.30029299999999998</v>
      </c>
      <c r="IY21">
        <v>2.4853499999999999</v>
      </c>
      <c r="IZ21">
        <v>1.49414</v>
      </c>
      <c r="JA21">
        <v>2.2961399999999998</v>
      </c>
      <c r="JB21">
        <v>1.54419</v>
      </c>
      <c r="JC21">
        <v>2.5146500000000001</v>
      </c>
      <c r="JD21">
        <v>38.037700000000001</v>
      </c>
      <c r="JE21">
        <v>23.851099999999999</v>
      </c>
      <c r="JF21">
        <v>18</v>
      </c>
      <c r="JG21">
        <v>522.05999999999995</v>
      </c>
      <c r="JH21">
        <v>467.738</v>
      </c>
      <c r="JI21">
        <v>24.7881</v>
      </c>
      <c r="JJ21">
        <v>32.944800000000001</v>
      </c>
      <c r="JK21">
        <v>29.997</v>
      </c>
      <c r="JL21">
        <v>32.820599999999999</v>
      </c>
      <c r="JM21">
        <v>32.788400000000003</v>
      </c>
      <c r="JN21">
        <v>6.0823799999999997</v>
      </c>
      <c r="JO21">
        <v>27.1995</v>
      </c>
      <c r="JP21">
        <v>73.896799999999999</v>
      </c>
      <c r="JQ21">
        <v>24.916399999999999</v>
      </c>
      <c r="JR21">
        <v>70</v>
      </c>
      <c r="JS21">
        <v>23.0977</v>
      </c>
      <c r="JT21">
        <v>97.953500000000005</v>
      </c>
      <c r="JU21">
        <v>97.360200000000006</v>
      </c>
    </row>
    <row r="22" spans="1:281" x14ac:dyDescent="0.25">
      <c r="A22">
        <v>20</v>
      </c>
      <c r="B22">
        <v>1693325327.0999999</v>
      </c>
      <c r="C22">
        <v>3920.5</v>
      </c>
      <c r="D22" t="s">
        <v>446</v>
      </c>
      <c r="E22" t="s">
        <v>447</v>
      </c>
      <c r="F22" t="s">
        <v>411</v>
      </c>
      <c r="G22" t="s">
        <v>422</v>
      </c>
      <c r="H22" t="s">
        <v>412</v>
      </c>
      <c r="I22" t="s">
        <v>31</v>
      </c>
      <c r="J22">
        <v>1693325327.0999999</v>
      </c>
      <c r="K22">
        <f t="shared" si="0"/>
        <v>5.1380586862524707E-3</v>
      </c>
      <c r="L22">
        <f t="shared" si="1"/>
        <v>5.1380586862524709</v>
      </c>
      <c r="M22">
        <f t="shared" si="2"/>
        <v>3.7919875431169405</v>
      </c>
      <c r="N22">
        <f t="shared" si="3"/>
        <v>25.276499999999999</v>
      </c>
      <c r="O22">
        <f t="shared" si="4"/>
        <v>7.8264174355832923</v>
      </c>
      <c r="P22">
        <f t="shared" si="5"/>
        <v>0.77614939375956327</v>
      </c>
      <c r="Q22">
        <f t="shared" si="6"/>
        <v>2.5066820563605003</v>
      </c>
      <c r="R22">
        <f t="shared" si="7"/>
        <v>0.37733115275628748</v>
      </c>
      <c r="S22">
        <f t="shared" si="8"/>
        <v>2.9070623403037268</v>
      </c>
      <c r="T22">
        <f t="shared" si="9"/>
        <v>0.35208104368268672</v>
      </c>
      <c r="U22">
        <f t="shared" si="10"/>
        <v>0.22217831319938136</v>
      </c>
      <c r="V22">
        <f t="shared" si="11"/>
        <v>344.38779967101834</v>
      </c>
      <c r="W22">
        <f t="shared" si="12"/>
        <v>31.254050414809011</v>
      </c>
      <c r="X22">
        <f t="shared" si="13"/>
        <v>30.031300000000002</v>
      </c>
      <c r="Y22">
        <f t="shared" si="14"/>
        <v>4.2681154097722951</v>
      </c>
      <c r="Z22">
        <f t="shared" si="15"/>
        <v>65.318253840063051</v>
      </c>
      <c r="AA22">
        <f t="shared" si="16"/>
        <v>2.8729879733814001</v>
      </c>
      <c r="AB22">
        <f t="shared" si="17"/>
        <v>4.3984457704826889</v>
      </c>
      <c r="AC22">
        <f t="shared" si="18"/>
        <v>1.395127436390895</v>
      </c>
      <c r="AD22">
        <f t="shared" si="19"/>
        <v>-226.58838806373396</v>
      </c>
      <c r="AE22">
        <f t="shared" si="20"/>
        <v>82.249565958510388</v>
      </c>
      <c r="AF22">
        <f t="shared" si="21"/>
        <v>6.3092969826630467</v>
      </c>
      <c r="AG22">
        <f t="shared" si="22"/>
        <v>206.35827454845781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51598.053524864903</v>
      </c>
      <c r="AM22" t="s">
        <v>413</v>
      </c>
      <c r="AN22">
        <v>10366.9</v>
      </c>
      <c r="AO22">
        <v>993.59653846153856</v>
      </c>
      <c r="AP22">
        <v>3431.87</v>
      </c>
      <c r="AQ22">
        <f t="shared" si="26"/>
        <v>0.71047955241266758</v>
      </c>
      <c r="AR22">
        <v>-3.9894345373445681</v>
      </c>
      <c r="AS22" t="s">
        <v>448</v>
      </c>
      <c r="AT22">
        <v>10317.4</v>
      </c>
      <c r="AU22">
        <v>617.8047307692309</v>
      </c>
      <c r="AV22">
        <v>669.08114332697369</v>
      </c>
      <c r="AW22">
        <f t="shared" si="27"/>
        <v>7.6637061243085225E-2</v>
      </c>
      <c r="AX22">
        <v>0.5</v>
      </c>
      <c r="AY22">
        <f t="shared" si="28"/>
        <v>1513.2683998355092</v>
      </c>
      <c r="AZ22">
        <f t="shared" si="29"/>
        <v>3.7919875431169405</v>
      </c>
      <c r="BA22">
        <f t="shared" si="30"/>
        <v>57.986221517709751</v>
      </c>
      <c r="BB22">
        <f t="shared" si="31"/>
        <v>5.1421295001649022E-3</v>
      </c>
      <c r="BC22">
        <f t="shared" si="32"/>
        <v>4.1292283966264423</v>
      </c>
      <c r="BD22">
        <f t="shared" si="33"/>
        <v>452.5612955854055</v>
      </c>
      <c r="BE22" t="s">
        <v>449</v>
      </c>
      <c r="BF22">
        <v>517.13</v>
      </c>
      <c r="BG22">
        <f t="shared" si="34"/>
        <v>517.13</v>
      </c>
      <c r="BH22">
        <f t="shared" si="35"/>
        <v>0.22710420827495448</v>
      </c>
      <c r="BI22">
        <f t="shared" si="36"/>
        <v>0.33745328554326465</v>
      </c>
      <c r="BJ22">
        <f t="shared" si="37"/>
        <v>0.94786802825398708</v>
      </c>
      <c r="BK22">
        <f t="shared" si="38"/>
        <v>-0.15800918331310693</v>
      </c>
      <c r="BL22">
        <f t="shared" si="39"/>
        <v>1.1330922885613524</v>
      </c>
      <c r="BM22">
        <f t="shared" si="40"/>
        <v>0.28246338828728113</v>
      </c>
      <c r="BN22">
        <f t="shared" si="41"/>
        <v>0.71753661171271887</v>
      </c>
      <c r="BO22">
        <v>16568</v>
      </c>
      <c r="BP22">
        <v>290.00000000000011</v>
      </c>
      <c r="BQ22">
        <v>655.86</v>
      </c>
      <c r="BR22">
        <v>105</v>
      </c>
      <c r="BS22">
        <v>10317.4</v>
      </c>
      <c r="BT22">
        <v>654.4</v>
      </c>
      <c r="BU22">
        <v>1.46</v>
      </c>
      <c r="BV22">
        <v>300.00000000000011</v>
      </c>
      <c r="BW22">
        <v>38.4</v>
      </c>
      <c r="BX22">
        <v>669.08114332697369</v>
      </c>
      <c r="BY22">
        <v>1.1277662412309899</v>
      </c>
      <c r="BZ22">
        <v>-15.15063832900471</v>
      </c>
      <c r="CA22">
        <v>0.95074754511821002</v>
      </c>
      <c r="CB22">
        <v>0.90068815584052175</v>
      </c>
      <c r="CC22">
        <v>-1.121907363737485E-2</v>
      </c>
      <c r="CD22">
        <v>289.99999999999989</v>
      </c>
      <c r="CE22">
        <v>652.30999999999995</v>
      </c>
      <c r="CF22">
        <v>715</v>
      </c>
      <c r="CG22">
        <v>10275.9</v>
      </c>
      <c r="CH22">
        <v>654.34</v>
      </c>
      <c r="CI22">
        <v>-2.0299999999999998</v>
      </c>
      <c r="CW22">
        <f t="shared" si="42"/>
        <v>1800.1</v>
      </c>
      <c r="CX22">
        <f t="shared" si="43"/>
        <v>1513.2683998355092</v>
      </c>
      <c r="CY22">
        <f t="shared" si="44"/>
        <v>0.84065796335509646</v>
      </c>
      <c r="CZ22">
        <f t="shared" si="45"/>
        <v>0.19131592671019296</v>
      </c>
      <c r="DA22">
        <v>6</v>
      </c>
      <c r="DB22">
        <v>0.5</v>
      </c>
      <c r="DC22" t="s">
        <v>414</v>
      </c>
      <c r="DD22">
        <v>2</v>
      </c>
      <c r="DE22">
        <v>1693325327.0999999</v>
      </c>
      <c r="DF22">
        <v>25.276499999999999</v>
      </c>
      <c r="DG22">
        <v>29.9834</v>
      </c>
      <c r="DH22">
        <v>28.970199999999998</v>
      </c>
      <c r="DI22">
        <v>22.982299999999999</v>
      </c>
      <c r="DJ22">
        <v>24.962399999999999</v>
      </c>
      <c r="DK22">
        <v>29.244</v>
      </c>
      <c r="DL22">
        <v>499.92899999999997</v>
      </c>
      <c r="DM22">
        <v>99.070400000000006</v>
      </c>
      <c r="DN22">
        <v>0.10005699999999999</v>
      </c>
      <c r="DO22">
        <v>30.556100000000001</v>
      </c>
      <c r="DP22">
        <v>30.031300000000002</v>
      </c>
      <c r="DQ22">
        <v>999.9</v>
      </c>
      <c r="DR22">
        <v>0</v>
      </c>
      <c r="DS22">
        <v>0</v>
      </c>
      <c r="DT22">
        <v>9965</v>
      </c>
      <c r="DU22">
        <v>0</v>
      </c>
      <c r="DV22">
        <v>1584.89</v>
      </c>
      <c r="DW22">
        <v>-4.7068700000000003</v>
      </c>
      <c r="DX22">
        <v>26.0306</v>
      </c>
      <c r="DY22">
        <v>30.688700000000001</v>
      </c>
      <c r="DZ22">
        <v>5.9879199999999999</v>
      </c>
      <c r="EA22">
        <v>29.9834</v>
      </c>
      <c r="EB22">
        <v>22.982299999999999</v>
      </c>
      <c r="EC22">
        <v>2.8700899999999998</v>
      </c>
      <c r="ED22">
        <v>2.2768600000000001</v>
      </c>
      <c r="EE22">
        <v>23.2928</v>
      </c>
      <c r="EF22">
        <v>19.5136</v>
      </c>
      <c r="EG22">
        <v>1800.1</v>
      </c>
      <c r="EH22">
        <v>0.97800799999999999</v>
      </c>
      <c r="EI22">
        <v>2.19916E-2</v>
      </c>
      <c r="EJ22">
        <v>0</v>
      </c>
      <c r="EK22">
        <v>617.56700000000001</v>
      </c>
      <c r="EL22">
        <v>5.0002500000000003</v>
      </c>
      <c r="EM22">
        <v>22275.200000000001</v>
      </c>
      <c r="EN22">
        <v>14822.9</v>
      </c>
      <c r="EO22">
        <v>47.375</v>
      </c>
      <c r="EP22">
        <v>49.811999999999998</v>
      </c>
      <c r="EQ22">
        <v>48.25</v>
      </c>
      <c r="ER22">
        <v>48.5</v>
      </c>
      <c r="ES22">
        <v>48.811999999999998</v>
      </c>
      <c r="ET22">
        <v>1755.62</v>
      </c>
      <c r="EU22">
        <v>39.479999999999997</v>
      </c>
      <c r="EV22">
        <v>0</v>
      </c>
      <c r="EW22">
        <v>105.6000001430511</v>
      </c>
      <c r="EX22">
        <v>0</v>
      </c>
      <c r="EY22">
        <v>617.8047307692309</v>
      </c>
      <c r="EZ22">
        <v>-1.473128191241891</v>
      </c>
      <c r="FA22">
        <v>-157.10427309985931</v>
      </c>
      <c r="FB22">
        <v>22243.142307692309</v>
      </c>
      <c r="FC22">
        <v>15</v>
      </c>
      <c r="FD22">
        <v>1693325299.0999999</v>
      </c>
      <c r="FE22" t="s">
        <v>450</v>
      </c>
      <c r="FF22">
        <v>1693325296.0999999</v>
      </c>
      <c r="FG22">
        <v>1693325299.0999999</v>
      </c>
      <c r="FH22">
        <v>24</v>
      </c>
      <c r="FI22">
        <v>4.0000000000000001E-3</v>
      </c>
      <c r="FJ22">
        <v>-3.0000000000000001E-3</v>
      </c>
      <c r="FK22">
        <v>0.314</v>
      </c>
      <c r="FL22">
        <v>-0.27400000000000002</v>
      </c>
      <c r="FM22">
        <v>30</v>
      </c>
      <c r="FN22">
        <v>23</v>
      </c>
      <c r="FO22">
        <v>1.1399999999999999</v>
      </c>
      <c r="FP22">
        <v>0.05</v>
      </c>
      <c r="FQ22">
        <v>3.8657908521299</v>
      </c>
      <c r="FR22">
        <v>-0.2781022490169312</v>
      </c>
      <c r="FS22">
        <v>4.1896254125677601E-2</v>
      </c>
      <c r="FT22">
        <v>1</v>
      </c>
      <c r="FU22">
        <v>0.37731323446153547</v>
      </c>
      <c r="FV22">
        <v>4.3982559590168092E-2</v>
      </c>
      <c r="FW22">
        <v>5.3526488492132672E-3</v>
      </c>
      <c r="FX22">
        <v>1</v>
      </c>
      <c r="FY22">
        <v>2</v>
      </c>
      <c r="FZ22">
        <v>2</v>
      </c>
      <c r="GA22" t="s">
        <v>415</v>
      </c>
      <c r="GB22">
        <v>2.9180100000000002</v>
      </c>
      <c r="GC22">
        <v>2.8296399999999999</v>
      </c>
      <c r="GD22">
        <v>6.92816E-3</v>
      </c>
      <c r="GE22">
        <v>8.1274799999999994E-3</v>
      </c>
      <c r="GF22">
        <v>0.13605500000000001</v>
      </c>
      <c r="GG22">
        <v>0.110676</v>
      </c>
      <c r="GH22">
        <v>25763.3</v>
      </c>
      <c r="GI22">
        <v>31700</v>
      </c>
      <c r="GJ22">
        <v>23360.1</v>
      </c>
      <c r="GK22">
        <v>29265.599999999999</v>
      </c>
      <c r="GL22">
        <v>27515.5</v>
      </c>
      <c r="GM22">
        <v>36862.400000000001</v>
      </c>
      <c r="GN22">
        <v>33024</v>
      </c>
      <c r="GO22">
        <v>43236</v>
      </c>
      <c r="GP22">
        <v>1.9734</v>
      </c>
      <c r="GQ22">
        <v>1.8420000000000001</v>
      </c>
      <c r="GR22">
        <v>1.8775500000000001E-2</v>
      </c>
      <c r="GS22">
        <v>0</v>
      </c>
      <c r="GT22">
        <v>29.7257</v>
      </c>
      <c r="GU22">
        <v>999.9</v>
      </c>
      <c r="GV22">
        <v>56.2</v>
      </c>
      <c r="GW22">
        <v>33.299999999999997</v>
      </c>
      <c r="GX22">
        <v>29.145</v>
      </c>
      <c r="GY22">
        <v>61.391300000000001</v>
      </c>
      <c r="GZ22">
        <v>38.8782</v>
      </c>
      <c r="HA22">
        <v>1</v>
      </c>
      <c r="HB22">
        <v>0.44156499999999999</v>
      </c>
      <c r="HC22">
        <v>3.51064</v>
      </c>
      <c r="HD22">
        <v>20.2393</v>
      </c>
      <c r="HE22">
        <v>5.2095000000000002</v>
      </c>
      <c r="HF22">
        <v>11.872199999999999</v>
      </c>
      <c r="HG22">
        <v>4.9847999999999999</v>
      </c>
      <c r="HH22">
        <v>3.2839999999999998</v>
      </c>
      <c r="HI22">
        <v>9999</v>
      </c>
      <c r="HJ22">
        <v>9999</v>
      </c>
      <c r="HK22">
        <v>9999</v>
      </c>
      <c r="HL22">
        <v>999.9</v>
      </c>
      <c r="HM22">
        <v>1.8547100000000001</v>
      </c>
      <c r="HN22">
        <v>1.8608100000000001</v>
      </c>
      <c r="HO22">
        <v>1.85822</v>
      </c>
      <c r="HP22">
        <v>1.8594200000000001</v>
      </c>
      <c r="HQ22">
        <v>1.85883</v>
      </c>
      <c r="HR22">
        <v>1.85928</v>
      </c>
      <c r="HS22">
        <v>1.8576999999999999</v>
      </c>
      <c r="HT22">
        <v>1.86103</v>
      </c>
      <c r="HU22">
        <v>5</v>
      </c>
      <c r="HV22">
        <v>0</v>
      </c>
      <c r="HW22">
        <v>0</v>
      </c>
      <c r="HX22">
        <v>0</v>
      </c>
      <c r="HY22" t="s">
        <v>416</v>
      </c>
      <c r="HZ22" t="s">
        <v>417</v>
      </c>
      <c r="IA22" t="s">
        <v>418</v>
      </c>
      <c r="IB22" t="s">
        <v>418</v>
      </c>
      <c r="IC22" t="s">
        <v>418</v>
      </c>
      <c r="ID22" t="s">
        <v>418</v>
      </c>
      <c r="IE22">
        <v>0</v>
      </c>
      <c r="IF22">
        <v>100</v>
      </c>
      <c r="IG22">
        <v>100</v>
      </c>
      <c r="IH22">
        <v>0.314</v>
      </c>
      <c r="II22">
        <v>-0.27379999999999999</v>
      </c>
      <c r="IJ22">
        <v>0.31411428571428962</v>
      </c>
      <c r="IK22">
        <v>0</v>
      </c>
      <c r="IL22">
        <v>0</v>
      </c>
      <c r="IM22">
        <v>0</v>
      </c>
      <c r="IN22">
        <v>-0.27380476190476338</v>
      </c>
      <c r="IO22">
        <v>0</v>
      </c>
      <c r="IP22">
        <v>0</v>
      </c>
      <c r="IQ22">
        <v>0</v>
      </c>
      <c r="IR22">
        <v>-1</v>
      </c>
      <c r="IS22">
        <v>-1</v>
      </c>
      <c r="IT22">
        <v>-1</v>
      </c>
      <c r="IU22">
        <v>-1</v>
      </c>
      <c r="IV22">
        <v>0.5</v>
      </c>
      <c r="IW22">
        <v>0.5</v>
      </c>
      <c r="IX22">
        <v>0.21240200000000001</v>
      </c>
      <c r="IY22">
        <v>2.5097700000000001</v>
      </c>
      <c r="IZ22">
        <v>1.49414</v>
      </c>
      <c r="JA22">
        <v>2.2961399999999998</v>
      </c>
      <c r="JB22">
        <v>1.54419</v>
      </c>
      <c r="JC22">
        <v>2.5305200000000001</v>
      </c>
      <c r="JD22">
        <v>38.061999999999998</v>
      </c>
      <c r="JE22">
        <v>23.868600000000001</v>
      </c>
      <c r="JF22">
        <v>18</v>
      </c>
      <c r="JG22">
        <v>521.32399999999996</v>
      </c>
      <c r="JH22">
        <v>466.40100000000001</v>
      </c>
      <c r="JI22">
        <v>24.8125</v>
      </c>
      <c r="JJ22">
        <v>33.0124</v>
      </c>
      <c r="JK22">
        <v>30.000699999999998</v>
      </c>
      <c r="JL22">
        <v>32.893099999999997</v>
      </c>
      <c r="JM22">
        <v>32.858699999999999</v>
      </c>
      <c r="JN22">
        <v>4.30314</v>
      </c>
      <c r="JO22">
        <v>27.795200000000001</v>
      </c>
      <c r="JP22">
        <v>73.027000000000001</v>
      </c>
      <c r="JQ22">
        <v>24.769200000000001</v>
      </c>
      <c r="JR22">
        <v>30</v>
      </c>
      <c r="JS22">
        <v>22.885200000000001</v>
      </c>
      <c r="JT22">
        <v>97.952699999999993</v>
      </c>
      <c r="JU22">
        <v>97.353099999999998</v>
      </c>
    </row>
    <row r="23" spans="1:281" x14ac:dyDescent="0.25">
      <c r="A23">
        <v>21</v>
      </c>
      <c r="B23">
        <v>1693325426.5999999</v>
      </c>
      <c r="C23">
        <v>4020</v>
      </c>
      <c r="D23" t="s">
        <v>451</v>
      </c>
      <c r="E23" t="s">
        <v>452</v>
      </c>
      <c r="F23" t="s">
        <v>411</v>
      </c>
      <c r="G23" t="s">
        <v>422</v>
      </c>
      <c r="H23" t="s">
        <v>412</v>
      </c>
      <c r="I23" t="s">
        <v>31</v>
      </c>
      <c r="J23">
        <v>1693325426.5999999</v>
      </c>
      <c r="K23">
        <f t="shared" si="0"/>
        <v>5.3381355585805802E-3</v>
      </c>
      <c r="L23">
        <f t="shared" si="1"/>
        <v>5.3381355585805803</v>
      </c>
      <c r="M23">
        <f t="shared" si="2"/>
        <v>1.3750517449482771</v>
      </c>
      <c r="N23">
        <f t="shared" si="3"/>
        <v>8.3417200000000005</v>
      </c>
      <c r="O23">
        <f t="shared" si="4"/>
        <v>2.3118787025418772</v>
      </c>
      <c r="P23">
        <f t="shared" si="5"/>
        <v>0.22927867689593329</v>
      </c>
      <c r="Q23">
        <f t="shared" si="6"/>
        <v>0.82728324913132001</v>
      </c>
      <c r="R23">
        <f t="shared" si="7"/>
        <v>0.39650454877095037</v>
      </c>
      <c r="S23">
        <f t="shared" si="8"/>
        <v>2.900981194957954</v>
      </c>
      <c r="T23">
        <f t="shared" si="9"/>
        <v>0.36867058883626186</v>
      </c>
      <c r="U23">
        <f t="shared" si="10"/>
        <v>0.23275685921789679</v>
      </c>
      <c r="V23">
        <f t="shared" si="11"/>
        <v>344.38209967101284</v>
      </c>
      <c r="W23">
        <f t="shared" si="12"/>
        <v>31.191100900758382</v>
      </c>
      <c r="X23">
        <f t="shared" si="13"/>
        <v>29.995200000000001</v>
      </c>
      <c r="Y23">
        <f t="shared" si="14"/>
        <v>4.2592752731664429</v>
      </c>
      <c r="Z23">
        <f t="shared" si="15"/>
        <v>65.407156451916208</v>
      </c>
      <c r="AA23">
        <f t="shared" si="16"/>
        <v>2.8749404981728</v>
      </c>
      <c r="AB23">
        <f t="shared" si="17"/>
        <v>4.3954525072287778</v>
      </c>
      <c r="AC23">
        <f t="shared" si="18"/>
        <v>1.384334774993643</v>
      </c>
      <c r="AD23">
        <f t="shared" si="19"/>
        <v>-235.41177813340357</v>
      </c>
      <c r="AE23">
        <f t="shared" si="20"/>
        <v>85.862336302232606</v>
      </c>
      <c r="AF23">
        <f t="shared" si="21"/>
        <v>6.5986700999700858</v>
      </c>
      <c r="AG23">
        <f t="shared" si="22"/>
        <v>201.43132793981198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51427.824085761902</v>
      </c>
      <c r="AM23" t="s">
        <v>413</v>
      </c>
      <c r="AN23">
        <v>10366.9</v>
      </c>
      <c r="AO23">
        <v>993.59653846153856</v>
      </c>
      <c r="AP23">
        <v>3431.87</v>
      </c>
      <c r="AQ23">
        <f t="shared" si="26"/>
        <v>0.71047955241266758</v>
      </c>
      <c r="AR23">
        <v>-3.9894345373445681</v>
      </c>
      <c r="AS23" t="s">
        <v>453</v>
      </c>
      <c r="AT23">
        <v>10320.700000000001</v>
      </c>
      <c r="AU23">
        <v>621.29859999999996</v>
      </c>
      <c r="AV23">
        <v>663.51988716702647</v>
      </c>
      <c r="AW23">
        <f t="shared" si="27"/>
        <v>6.3632285909763886E-2</v>
      </c>
      <c r="AX23">
        <v>0.5</v>
      </c>
      <c r="AY23">
        <f t="shared" si="28"/>
        <v>1513.2431998355062</v>
      </c>
      <c r="AZ23">
        <f t="shared" si="29"/>
        <v>1.3750517449482771</v>
      </c>
      <c r="BA23">
        <f t="shared" si="30"/>
        <v>48.145561971469448</v>
      </c>
      <c r="BB23">
        <f t="shared" si="31"/>
        <v>3.5450258642338393E-3</v>
      </c>
      <c r="BC23">
        <f t="shared" si="32"/>
        <v>4.1722187478852497</v>
      </c>
      <c r="BD23">
        <f t="shared" si="33"/>
        <v>450.0101228932046</v>
      </c>
      <c r="BE23" t="s">
        <v>454</v>
      </c>
      <c r="BF23">
        <v>522.62</v>
      </c>
      <c r="BG23">
        <f t="shared" si="34"/>
        <v>522.62</v>
      </c>
      <c r="BH23">
        <f t="shared" si="35"/>
        <v>0.21235216892837161</v>
      </c>
      <c r="BI23">
        <f t="shared" si="36"/>
        <v>0.29965451368301149</v>
      </c>
      <c r="BJ23">
        <f t="shared" si="37"/>
        <v>0.95156831239425055</v>
      </c>
      <c r="BK23">
        <f t="shared" si="38"/>
        <v>-0.12791358310695658</v>
      </c>
      <c r="BL23">
        <f t="shared" si="39"/>
        <v>1.1353731058066989</v>
      </c>
      <c r="BM23">
        <f t="shared" si="40"/>
        <v>0.25206147565923293</v>
      </c>
      <c r="BN23">
        <f t="shared" si="41"/>
        <v>0.74793852434076702</v>
      </c>
      <c r="BO23">
        <v>16570</v>
      </c>
      <c r="BP23">
        <v>290.00000000000011</v>
      </c>
      <c r="BQ23">
        <v>652.26</v>
      </c>
      <c r="BR23">
        <v>85</v>
      </c>
      <c r="BS23">
        <v>10320.700000000001</v>
      </c>
      <c r="BT23">
        <v>650.79</v>
      </c>
      <c r="BU23">
        <v>1.47</v>
      </c>
      <c r="BV23">
        <v>300.00000000000011</v>
      </c>
      <c r="BW23">
        <v>38.4</v>
      </c>
      <c r="BX23">
        <v>663.51988716702647</v>
      </c>
      <c r="BY23">
        <v>1.0701712308796401</v>
      </c>
      <c r="BZ23">
        <v>-13.138728023798979</v>
      </c>
      <c r="CA23">
        <v>0.90216271019692384</v>
      </c>
      <c r="CB23">
        <v>0.88338103054437078</v>
      </c>
      <c r="CC23">
        <v>-1.1218620689655181E-2</v>
      </c>
      <c r="CD23">
        <v>289.99999999999989</v>
      </c>
      <c r="CE23">
        <v>648.66999999999996</v>
      </c>
      <c r="CF23">
        <v>845</v>
      </c>
      <c r="CG23">
        <v>10268.4</v>
      </c>
      <c r="CH23">
        <v>650.72</v>
      </c>
      <c r="CI23">
        <v>-2.0499999999999998</v>
      </c>
      <c r="CW23">
        <f t="shared" si="42"/>
        <v>1800.07</v>
      </c>
      <c r="CX23">
        <f t="shared" si="43"/>
        <v>1513.2431998355062</v>
      </c>
      <c r="CY23">
        <f t="shared" si="44"/>
        <v>0.84065797432072431</v>
      </c>
      <c r="CZ23">
        <f t="shared" si="45"/>
        <v>0.19131594864144885</v>
      </c>
      <c r="DA23">
        <v>6</v>
      </c>
      <c r="DB23">
        <v>0.5</v>
      </c>
      <c r="DC23" t="s">
        <v>414</v>
      </c>
      <c r="DD23">
        <v>2</v>
      </c>
      <c r="DE23">
        <v>1693325426.5999999</v>
      </c>
      <c r="DF23">
        <v>8.3417200000000005</v>
      </c>
      <c r="DG23">
        <v>10.045500000000001</v>
      </c>
      <c r="DH23">
        <v>28.988800000000001</v>
      </c>
      <c r="DI23">
        <v>22.767700000000001</v>
      </c>
      <c r="DJ23">
        <v>8.0482200000000006</v>
      </c>
      <c r="DK23">
        <v>29.259599999999999</v>
      </c>
      <c r="DL23">
        <v>499.91699999999997</v>
      </c>
      <c r="DM23">
        <v>99.073899999999995</v>
      </c>
      <c r="DN23">
        <v>0.100281</v>
      </c>
      <c r="DO23">
        <v>30.5442</v>
      </c>
      <c r="DP23">
        <v>29.995200000000001</v>
      </c>
      <c r="DQ23">
        <v>999.9</v>
      </c>
      <c r="DR23">
        <v>0</v>
      </c>
      <c r="DS23">
        <v>0</v>
      </c>
      <c r="DT23">
        <v>9930</v>
      </c>
      <c r="DU23">
        <v>0</v>
      </c>
      <c r="DV23">
        <v>1588.34</v>
      </c>
      <c r="DW23">
        <v>-1.7037800000000001</v>
      </c>
      <c r="DX23">
        <v>8.5907499999999999</v>
      </c>
      <c r="DY23">
        <v>10.279500000000001</v>
      </c>
      <c r="DZ23">
        <v>6.2210799999999997</v>
      </c>
      <c r="EA23">
        <v>10.045500000000001</v>
      </c>
      <c r="EB23">
        <v>22.767700000000001</v>
      </c>
      <c r="EC23">
        <v>2.8720300000000001</v>
      </c>
      <c r="ED23">
        <v>2.2556799999999999</v>
      </c>
      <c r="EE23">
        <v>23.303999999999998</v>
      </c>
      <c r="EF23">
        <v>19.363399999999999</v>
      </c>
      <c r="EG23">
        <v>1800.07</v>
      </c>
      <c r="EH23">
        <v>0.97800799999999999</v>
      </c>
      <c r="EI23">
        <v>2.19916E-2</v>
      </c>
      <c r="EJ23">
        <v>0</v>
      </c>
      <c r="EK23">
        <v>621.24900000000002</v>
      </c>
      <c r="EL23">
        <v>5.0002500000000003</v>
      </c>
      <c r="EM23">
        <v>22348.7</v>
      </c>
      <c r="EN23">
        <v>14822.7</v>
      </c>
      <c r="EO23">
        <v>47.436999999999998</v>
      </c>
      <c r="EP23">
        <v>49.875</v>
      </c>
      <c r="EQ23">
        <v>48.311999999999998</v>
      </c>
      <c r="ER23">
        <v>48.561999999999998</v>
      </c>
      <c r="ES23">
        <v>48.875</v>
      </c>
      <c r="ET23">
        <v>1755.59</v>
      </c>
      <c r="EU23">
        <v>39.479999999999997</v>
      </c>
      <c r="EV23">
        <v>0</v>
      </c>
      <c r="EW23">
        <v>97.399999856948853</v>
      </c>
      <c r="EX23">
        <v>0</v>
      </c>
      <c r="EY23">
        <v>621.29859999999996</v>
      </c>
      <c r="EZ23">
        <v>-0.23007692813740019</v>
      </c>
      <c r="FA23">
        <v>68.815384739587728</v>
      </c>
      <c r="FB23">
        <v>22334.148000000001</v>
      </c>
      <c r="FC23">
        <v>15</v>
      </c>
      <c r="FD23">
        <v>1693325396.5999999</v>
      </c>
      <c r="FE23" t="s">
        <v>455</v>
      </c>
      <c r="FF23">
        <v>1693325385.5999999</v>
      </c>
      <c r="FG23">
        <v>1693325396.5999999</v>
      </c>
      <c r="FH23">
        <v>25</v>
      </c>
      <c r="FI23">
        <v>-2.1000000000000001E-2</v>
      </c>
      <c r="FJ23">
        <v>3.0000000000000001E-3</v>
      </c>
      <c r="FK23">
        <v>0.29299999999999998</v>
      </c>
      <c r="FL23">
        <v>-0.27100000000000002</v>
      </c>
      <c r="FM23">
        <v>10</v>
      </c>
      <c r="FN23">
        <v>23</v>
      </c>
      <c r="FO23">
        <v>1.22</v>
      </c>
      <c r="FP23">
        <v>0.04</v>
      </c>
      <c r="FQ23">
        <v>1.247094795715507</v>
      </c>
      <c r="FR23">
        <v>-0.1218646053212416</v>
      </c>
      <c r="FS23">
        <v>2.8721336444076769E-2</v>
      </c>
      <c r="FT23">
        <v>1</v>
      </c>
      <c r="FU23">
        <v>0.39462725673836729</v>
      </c>
      <c r="FV23">
        <v>2.6968393115950829E-2</v>
      </c>
      <c r="FW23">
        <v>2.4433632312455219E-3</v>
      </c>
      <c r="FX23">
        <v>1</v>
      </c>
      <c r="FY23">
        <v>2</v>
      </c>
      <c r="FZ23">
        <v>2</v>
      </c>
      <c r="GA23" t="s">
        <v>415</v>
      </c>
      <c r="GB23">
        <v>2.91791</v>
      </c>
      <c r="GC23">
        <v>2.8295599999999999</v>
      </c>
      <c r="GD23">
        <v>2.2415400000000002E-3</v>
      </c>
      <c r="GE23">
        <v>2.7338699999999998E-3</v>
      </c>
      <c r="GF23">
        <v>0.13609099999999999</v>
      </c>
      <c r="GG23">
        <v>0.10993799999999999</v>
      </c>
      <c r="GH23">
        <v>25883.1</v>
      </c>
      <c r="GI23">
        <v>31870.9</v>
      </c>
      <c r="GJ23">
        <v>23358.9</v>
      </c>
      <c r="GK23">
        <v>29264.799999999999</v>
      </c>
      <c r="GL23">
        <v>27513.599999999999</v>
      </c>
      <c r="GM23">
        <v>36891.9</v>
      </c>
      <c r="GN23">
        <v>33023.199999999997</v>
      </c>
      <c r="GO23">
        <v>43234.8</v>
      </c>
      <c r="GP23">
        <v>1.9734</v>
      </c>
      <c r="GQ23">
        <v>1.8407</v>
      </c>
      <c r="GR23">
        <v>1.8179399999999998E-2</v>
      </c>
      <c r="GS23">
        <v>0</v>
      </c>
      <c r="GT23">
        <v>29.699200000000001</v>
      </c>
      <c r="GU23">
        <v>999.9</v>
      </c>
      <c r="GV23">
        <v>56.1</v>
      </c>
      <c r="GW23">
        <v>33.299999999999997</v>
      </c>
      <c r="GX23">
        <v>29.093399999999999</v>
      </c>
      <c r="GY23">
        <v>61.511299999999999</v>
      </c>
      <c r="GZ23">
        <v>38.942300000000003</v>
      </c>
      <c r="HA23">
        <v>1</v>
      </c>
      <c r="HB23">
        <v>0.444299</v>
      </c>
      <c r="HC23">
        <v>3.2356199999999999</v>
      </c>
      <c r="HD23">
        <v>20.245200000000001</v>
      </c>
      <c r="HE23">
        <v>5.2112999999999996</v>
      </c>
      <c r="HF23">
        <v>11.872199999999999</v>
      </c>
      <c r="HG23">
        <v>4.9855999999999998</v>
      </c>
      <c r="HH23">
        <v>3.2839999999999998</v>
      </c>
      <c r="HI23">
        <v>9999</v>
      </c>
      <c r="HJ23">
        <v>9999</v>
      </c>
      <c r="HK23">
        <v>9999</v>
      </c>
      <c r="HL23">
        <v>999.9</v>
      </c>
      <c r="HM23">
        <v>1.8547100000000001</v>
      </c>
      <c r="HN23">
        <v>1.8608100000000001</v>
      </c>
      <c r="HO23">
        <v>1.8582000000000001</v>
      </c>
      <c r="HP23">
        <v>1.85931</v>
      </c>
      <c r="HQ23">
        <v>1.8587199999999999</v>
      </c>
      <c r="HR23">
        <v>1.85924</v>
      </c>
      <c r="HS23">
        <v>1.8575999999999999</v>
      </c>
      <c r="HT23">
        <v>1.8609599999999999</v>
      </c>
      <c r="HU23">
        <v>5</v>
      </c>
      <c r="HV23">
        <v>0</v>
      </c>
      <c r="HW23">
        <v>0</v>
      </c>
      <c r="HX23">
        <v>0</v>
      </c>
      <c r="HY23" t="s">
        <v>416</v>
      </c>
      <c r="HZ23" t="s">
        <v>417</v>
      </c>
      <c r="IA23" t="s">
        <v>418</v>
      </c>
      <c r="IB23" t="s">
        <v>418</v>
      </c>
      <c r="IC23" t="s">
        <v>418</v>
      </c>
      <c r="ID23" t="s">
        <v>418</v>
      </c>
      <c r="IE23">
        <v>0</v>
      </c>
      <c r="IF23">
        <v>100</v>
      </c>
      <c r="IG23">
        <v>100</v>
      </c>
      <c r="IH23">
        <v>0.29299999999999998</v>
      </c>
      <c r="II23">
        <v>-0.27079999999999999</v>
      </c>
      <c r="IJ23">
        <v>0.29349400000000081</v>
      </c>
      <c r="IK23">
        <v>0</v>
      </c>
      <c r="IL23">
        <v>0</v>
      </c>
      <c r="IM23">
        <v>0</v>
      </c>
      <c r="IN23">
        <v>-0.27081000000000088</v>
      </c>
      <c r="IO23">
        <v>0</v>
      </c>
      <c r="IP23">
        <v>0</v>
      </c>
      <c r="IQ23">
        <v>0</v>
      </c>
      <c r="IR23">
        <v>-1</v>
      </c>
      <c r="IS23">
        <v>-1</v>
      </c>
      <c r="IT23">
        <v>-1</v>
      </c>
      <c r="IU23">
        <v>-1</v>
      </c>
      <c r="IV23">
        <v>0.7</v>
      </c>
      <c r="IW23">
        <v>0.5</v>
      </c>
      <c r="IX23">
        <v>0.167236</v>
      </c>
      <c r="IY23">
        <v>2.52441</v>
      </c>
      <c r="IZ23">
        <v>1.49414</v>
      </c>
      <c r="JA23">
        <v>2.2961399999999998</v>
      </c>
      <c r="JB23">
        <v>1.54419</v>
      </c>
      <c r="JC23">
        <v>2.5146500000000001</v>
      </c>
      <c r="JD23">
        <v>38.086300000000001</v>
      </c>
      <c r="JE23">
        <v>23.877400000000002</v>
      </c>
      <c r="JF23">
        <v>18</v>
      </c>
      <c r="JG23">
        <v>521.83399999999995</v>
      </c>
      <c r="JH23">
        <v>465.97199999999998</v>
      </c>
      <c r="JI23">
        <v>24.887</v>
      </c>
      <c r="JJ23">
        <v>33.071399999999997</v>
      </c>
      <c r="JK23">
        <v>30.0002</v>
      </c>
      <c r="JL23">
        <v>32.954099999999997</v>
      </c>
      <c r="JM23">
        <v>32.918799999999997</v>
      </c>
      <c r="JN23">
        <v>3.4066100000000001</v>
      </c>
      <c r="JO23">
        <v>28.592199999999998</v>
      </c>
      <c r="JP23">
        <v>72.342299999999994</v>
      </c>
      <c r="JQ23">
        <v>24.886399999999998</v>
      </c>
      <c r="JR23">
        <v>10</v>
      </c>
      <c r="JS23">
        <v>22.693200000000001</v>
      </c>
      <c r="JT23">
        <v>97.949299999999994</v>
      </c>
      <c r="JU23">
        <v>97.350399999999993</v>
      </c>
    </row>
    <row r="24" spans="1:281" x14ac:dyDescent="0.25">
      <c r="A24">
        <v>22</v>
      </c>
      <c r="B24">
        <v>1693325616.0999999</v>
      </c>
      <c r="C24">
        <v>4209.5</v>
      </c>
      <c r="D24" t="s">
        <v>456</v>
      </c>
      <c r="E24" t="s">
        <v>457</v>
      </c>
      <c r="F24" t="s">
        <v>411</v>
      </c>
      <c r="G24" t="s">
        <v>422</v>
      </c>
      <c r="H24" t="s">
        <v>412</v>
      </c>
      <c r="I24" t="s">
        <v>31</v>
      </c>
      <c r="J24">
        <v>1693325616.0999999</v>
      </c>
      <c r="K24">
        <f t="shared" si="0"/>
        <v>5.0644077705931552E-3</v>
      </c>
      <c r="L24">
        <f t="shared" si="1"/>
        <v>5.0644077705931556</v>
      </c>
      <c r="M24">
        <f t="shared" si="2"/>
        <v>42.215712686457806</v>
      </c>
      <c r="N24">
        <f t="shared" si="3"/>
        <v>347.19900000000001</v>
      </c>
      <c r="O24">
        <f t="shared" si="4"/>
        <v>146.27009472934699</v>
      </c>
      <c r="P24">
        <f t="shared" si="5"/>
        <v>14.506941910434978</v>
      </c>
      <c r="Q24">
        <f t="shared" si="6"/>
        <v>34.434897534461996</v>
      </c>
      <c r="R24">
        <f t="shared" si="7"/>
        <v>0.36681853071450959</v>
      </c>
      <c r="S24">
        <f t="shared" si="8"/>
        <v>2.9036984235007512</v>
      </c>
      <c r="T24">
        <f t="shared" si="9"/>
        <v>0.34288221525065288</v>
      </c>
      <c r="U24">
        <f t="shared" si="10"/>
        <v>0.21632167351360984</v>
      </c>
      <c r="V24">
        <f t="shared" si="11"/>
        <v>344.36821282781949</v>
      </c>
      <c r="W24">
        <f t="shared" si="12"/>
        <v>31.28984176547775</v>
      </c>
      <c r="X24">
        <f t="shared" si="13"/>
        <v>30.041599999999999</v>
      </c>
      <c r="Y24">
        <f t="shared" si="14"/>
        <v>4.2706405949002288</v>
      </c>
      <c r="Z24">
        <f t="shared" si="15"/>
        <v>64.927565319533471</v>
      </c>
      <c r="AA24">
        <f t="shared" si="16"/>
        <v>2.8584022646427996</v>
      </c>
      <c r="AB24">
        <f t="shared" si="17"/>
        <v>4.4024479442213877</v>
      </c>
      <c r="AC24">
        <f t="shared" si="18"/>
        <v>1.4122383302574293</v>
      </c>
      <c r="AD24">
        <f t="shared" si="19"/>
        <v>-223.34038268315814</v>
      </c>
      <c r="AE24">
        <f t="shared" si="20"/>
        <v>83.031038061882569</v>
      </c>
      <c r="AF24">
        <f t="shared" si="21"/>
        <v>6.3774482015963345</v>
      </c>
      <c r="AG24">
        <f t="shared" si="22"/>
        <v>210.43631640814027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51500.176158281356</v>
      </c>
      <c r="AM24" t="s">
        <v>413</v>
      </c>
      <c r="AN24">
        <v>10366.9</v>
      </c>
      <c r="AO24">
        <v>993.59653846153856</v>
      </c>
      <c r="AP24">
        <v>3431.87</v>
      </c>
      <c r="AQ24">
        <f t="shared" si="26"/>
        <v>0.71047955241266758</v>
      </c>
      <c r="AR24">
        <v>-3.9894345373445681</v>
      </c>
      <c r="AS24" t="s">
        <v>458</v>
      </c>
      <c r="AT24">
        <v>10304.1</v>
      </c>
      <c r="AU24">
        <v>641.96895999999992</v>
      </c>
      <c r="AV24">
        <v>950.82969284412013</v>
      </c>
      <c r="AW24">
        <f t="shared" si="27"/>
        <v>0.32483286456931793</v>
      </c>
      <c r="AX24">
        <v>0.5</v>
      </c>
      <c r="AY24">
        <f t="shared" si="28"/>
        <v>1513.1841064139096</v>
      </c>
      <c r="AZ24">
        <f t="shared" si="29"/>
        <v>42.215712686457806</v>
      </c>
      <c r="BA24">
        <f t="shared" si="30"/>
        <v>245.76596395359692</v>
      </c>
      <c r="BB24">
        <f t="shared" si="31"/>
        <v>3.0535046613266253E-2</v>
      </c>
      <c r="BC24">
        <f t="shared" si="32"/>
        <v>2.6093424782881951</v>
      </c>
      <c r="BD24">
        <f t="shared" si="33"/>
        <v>566.00416370173275</v>
      </c>
      <c r="BE24" t="s">
        <v>459</v>
      </c>
      <c r="BF24">
        <v>517.63</v>
      </c>
      <c r="BG24">
        <f t="shared" si="34"/>
        <v>517.63</v>
      </c>
      <c r="BH24">
        <f t="shared" si="35"/>
        <v>0.45560177190968232</v>
      </c>
      <c r="BI24">
        <f t="shared" si="36"/>
        <v>0.71297541975695422</v>
      </c>
      <c r="BJ24">
        <f t="shared" si="37"/>
        <v>0.85135071481960312</v>
      </c>
      <c r="BK24">
        <f t="shared" si="38"/>
        <v>-7.2219666516233527</v>
      </c>
      <c r="BL24">
        <f t="shared" si="39"/>
        <v>1.0175398068723736</v>
      </c>
      <c r="BM24">
        <f t="shared" si="40"/>
        <v>0.57488366186550865</v>
      </c>
      <c r="BN24">
        <f t="shared" si="41"/>
        <v>0.42511633813449135</v>
      </c>
      <c r="BO24">
        <v>16572</v>
      </c>
      <c r="BP24">
        <v>290.00000000000011</v>
      </c>
      <c r="BQ24">
        <v>855.97</v>
      </c>
      <c r="BR24">
        <v>195</v>
      </c>
      <c r="BS24">
        <v>10304.1</v>
      </c>
      <c r="BT24">
        <v>855.29</v>
      </c>
      <c r="BU24">
        <v>0.68</v>
      </c>
      <c r="BV24">
        <v>300.00000000000011</v>
      </c>
      <c r="BW24">
        <v>38.4</v>
      </c>
      <c r="BX24">
        <v>950.82969284412013</v>
      </c>
      <c r="BY24">
        <v>1.0280312257866151</v>
      </c>
      <c r="BZ24">
        <v>-98.445558866217851</v>
      </c>
      <c r="CA24">
        <v>0.86671982513729418</v>
      </c>
      <c r="CB24">
        <v>0.99783438276267211</v>
      </c>
      <c r="CC24">
        <v>-1.122075928809789E-2</v>
      </c>
      <c r="CD24">
        <v>289.99999999999989</v>
      </c>
      <c r="CE24">
        <v>837.47</v>
      </c>
      <c r="CF24">
        <v>645</v>
      </c>
      <c r="CG24">
        <v>10281.4</v>
      </c>
      <c r="CH24">
        <v>855.08</v>
      </c>
      <c r="CI24">
        <v>-17.61</v>
      </c>
      <c r="CW24">
        <f t="shared" si="42"/>
        <v>1800</v>
      </c>
      <c r="CX24">
        <f t="shared" si="43"/>
        <v>1513.1841064139096</v>
      </c>
      <c r="CY24">
        <f t="shared" si="44"/>
        <v>0.84065783689661644</v>
      </c>
      <c r="CZ24">
        <f t="shared" si="45"/>
        <v>0.19131567379323305</v>
      </c>
      <c r="DA24">
        <v>6</v>
      </c>
      <c r="DB24">
        <v>0.5</v>
      </c>
      <c r="DC24" t="s">
        <v>414</v>
      </c>
      <c r="DD24">
        <v>2</v>
      </c>
      <c r="DE24">
        <v>1693325616.0999999</v>
      </c>
      <c r="DF24">
        <v>347.19900000000001</v>
      </c>
      <c r="DG24">
        <v>399.98899999999998</v>
      </c>
      <c r="DH24">
        <v>28.820599999999999</v>
      </c>
      <c r="DI24">
        <v>22.9161</v>
      </c>
      <c r="DJ24">
        <v>346.71600000000001</v>
      </c>
      <c r="DK24">
        <v>29.091899999999999</v>
      </c>
      <c r="DL24">
        <v>499.8</v>
      </c>
      <c r="DM24">
        <v>99.078599999999994</v>
      </c>
      <c r="DN24">
        <v>0.100538</v>
      </c>
      <c r="DO24">
        <v>30.571999999999999</v>
      </c>
      <c r="DP24">
        <v>30.041599999999999</v>
      </c>
      <c r="DQ24">
        <v>999.9</v>
      </c>
      <c r="DR24">
        <v>0</v>
      </c>
      <c r="DS24">
        <v>0</v>
      </c>
      <c r="DT24">
        <v>9945</v>
      </c>
      <c r="DU24">
        <v>0</v>
      </c>
      <c r="DV24">
        <v>1585.63</v>
      </c>
      <c r="DW24">
        <v>-52.789900000000003</v>
      </c>
      <c r="DX24">
        <v>357.50200000000001</v>
      </c>
      <c r="DY24">
        <v>409.37</v>
      </c>
      <c r="DZ24">
        <v>5.9044600000000003</v>
      </c>
      <c r="EA24">
        <v>399.98899999999998</v>
      </c>
      <c r="EB24">
        <v>22.9161</v>
      </c>
      <c r="EC24">
        <v>2.8555000000000001</v>
      </c>
      <c r="ED24">
        <v>2.2705000000000002</v>
      </c>
      <c r="EE24">
        <v>23.208500000000001</v>
      </c>
      <c r="EF24">
        <v>19.468599999999999</v>
      </c>
      <c r="EG24">
        <v>1800</v>
      </c>
      <c r="EH24">
        <v>0.97800799999999999</v>
      </c>
      <c r="EI24">
        <v>2.19916E-2</v>
      </c>
      <c r="EJ24">
        <v>0</v>
      </c>
      <c r="EK24">
        <v>642.98299999999995</v>
      </c>
      <c r="EL24">
        <v>5.0002500000000003</v>
      </c>
      <c r="EM24">
        <v>22718.1</v>
      </c>
      <c r="EN24">
        <v>14822.1</v>
      </c>
      <c r="EO24">
        <v>47.561999999999998</v>
      </c>
      <c r="EP24">
        <v>50</v>
      </c>
      <c r="EQ24">
        <v>48.436999999999998</v>
      </c>
      <c r="ER24">
        <v>48.75</v>
      </c>
      <c r="ES24">
        <v>49</v>
      </c>
      <c r="ET24">
        <v>1755.52</v>
      </c>
      <c r="EU24">
        <v>39.47</v>
      </c>
      <c r="EV24">
        <v>0</v>
      </c>
      <c r="EW24">
        <v>187.4000000953674</v>
      </c>
      <c r="EX24">
        <v>0</v>
      </c>
      <c r="EY24">
        <v>641.96895999999992</v>
      </c>
      <c r="EZ24">
        <v>5.6586923181712123</v>
      </c>
      <c r="FA24">
        <v>-17.63846161122726</v>
      </c>
      <c r="FB24">
        <v>22716.851999999999</v>
      </c>
      <c r="FC24">
        <v>15</v>
      </c>
      <c r="FD24">
        <v>1693325524.0999999</v>
      </c>
      <c r="FE24" t="s">
        <v>460</v>
      </c>
      <c r="FF24">
        <v>1693325514.0999999</v>
      </c>
      <c r="FG24">
        <v>1693325524.0999999</v>
      </c>
      <c r="FH24">
        <v>26</v>
      </c>
      <c r="FI24">
        <v>0.189</v>
      </c>
      <c r="FJ24">
        <v>-1E-3</v>
      </c>
      <c r="FK24">
        <v>0.48299999999999998</v>
      </c>
      <c r="FL24">
        <v>-0.27100000000000002</v>
      </c>
      <c r="FM24">
        <v>400</v>
      </c>
      <c r="FN24">
        <v>23</v>
      </c>
      <c r="FO24">
        <v>0.22</v>
      </c>
      <c r="FP24">
        <v>0.06</v>
      </c>
      <c r="FQ24">
        <v>41.976702623493182</v>
      </c>
      <c r="FR24">
        <v>2.165496040597886</v>
      </c>
      <c r="FS24">
        <v>0.16979686689496851</v>
      </c>
      <c r="FT24">
        <v>0</v>
      </c>
      <c r="FU24">
        <v>0.37118844985955701</v>
      </c>
      <c r="FV24">
        <v>-3.2877456020793859E-2</v>
      </c>
      <c r="FW24">
        <v>2.4922649348802111E-3</v>
      </c>
      <c r="FX24">
        <v>1</v>
      </c>
      <c r="FY24">
        <v>1</v>
      </c>
      <c r="FZ24">
        <v>2</v>
      </c>
      <c r="GA24" t="s">
        <v>419</v>
      </c>
      <c r="GB24">
        <v>2.9175</v>
      </c>
      <c r="GC24">
        <v>2.8299400000000001</v>
      </c>
      <c r="GD24">
        <v>8.0425300000000005E-2</v>
      </c>
      <c r="GE24">
        <v>8.8208700000000001E-2</v>
      </c>
      <c r="GF24">
        <v>0.13552</v>
      </c>
      <c r="GG24">
        <v>0.110414</v>
      </c>
      <c r="GH24">
        <v>23855.200000000001</v>
      </c>
      <c r="GI24">
        <v>29135.9</v>
      </c>
      <c r="GJ24">
        <v>23357.3</v>
      </c>
      <c r="GK24">
        <v>29259.599999999999</v>
      </c>
      <c r="GL24">
        <v>27537.3</v>
      </c>
      <c r="GM24">
        <v>36877.300000000003</v>
      </c>
      <c r="GN24">
        <v>33020.400000000001</v>
      </c>
      <c r="GO24">
        <v>43229</v>
      </c>
      <c r="GP24">
        <v>1.9721</v>
      </c>
      <c r="GQ24">
        <v>1.8393999999999999</v>
      </c>
      <c r="GR24">
        <v>1.1026899999999999E-2</v>
      </c>
      <c r="GS24">
        <v>0</v>
      </c>
      <c r="GT24">
        <v>29.862100000000002</v>
      </c>
      <c r="GU24">
        <v>999.9</v>
      </c>
      <c r="GV24">
        <v>55.7</v>
      </c>
      <c r="GW24">
        <v>33.4</v>
      </c>
      <c r="GX24">
        <v>29.046900000000001</v>
      </c>
      <c r="GY24">
        <v>61.2913</v>
      </c>
      <c r="GZ24">
        <v>38.974400000000003</v>
      </c>
      <c r="HA24">
        <v>1</v>
      </c>
      <c r="HB24">
        <v>0.45732699999999998</v>
      </c>
      <c r="HC24">
        <v>3.7311700000000001</v>
      </c>
      <c r="HD24">
        <v>20.235299999999999</v>
      </c>
      <c r="HE24">
        <v>5.2112999999999996</v>
      </c>
      <c r="HF24">
        <v>11.872199999999999</v>
      </c>
      <c r="HG24">
        <v>4.9855999999999998</v>
      </c>
      <c r="HH24">
        <v>3.2839999999999998</v>
      </c>
      <c r="HI24">
        <v>9999</v>
      </c>
      <c r="HJ24">
        <v>9999</v>
      </c>
      <c r="HK24">
        <v>9999</v>
      </c>
      <c r="HL24">
        <v>999.9</v>
      </c>
      <c r="HM24">
        <v>1.8547100000000001</v>
      </c>
      <c r="HN24">
        <v>1.8608199999999999</v>
      </c>
      <c r="HO24">
        <v>1.85822</v>
      </c>
      <c r="HP24">
        <v>1.8594200000000001</v>
      </c>
      <c r="HQ24">
        <v>1.85883</v>
      </c>
      <c r="HR24">
        <v>1.85928</v>
      </c>
      <c r="HS24">
        <v>1.85765</v>
      </c>
      <c r="HT24">
        <v>1.8609800000000001</v>
      </c>
      <c r="HU24">
        <v>5</v>
      </c>
      <c r="HV24">
        <v>0</v>
      </c>
      <c r="HW24">
        <v>0</v>
      </c>
      <c r="HX24">
        <v>0</v>
      </c>
      <c r="HY24" t="s">
        <v>416</v>
      </c>
      <c r="HZ24" t="s">
        <v>417</v>
      </c>
      <c r="IA24" t="s">
        <v>418</v>
      </c>
      <c r="IB24" t="s">
        <v>418</v>
      </c>
      <c r="IC24" t="s">
        <v>418</v>
      </c>
      <c r="ID24" t="s">
        <v>418</v>
      </c>
      <c r="IE24">
        <v>0</v>
      </c>
      <c r="IF24">
        <v>100</v>
      </c>
      <c r="IG24">
        <v>100</v>
      </c>
      <c r="IH24">
        <v>0.48299999999999998</v>
      </c>
      <c r="II24">
        <v>-0.27129999999999999</v>
      </c>
      <c r="IJ24">
        <v>0.48269999999985203</v>
      </c>
      <c r="IK24">
        <v>0</v>
      </c>
      <c r="IL24">
        <v>0</v>
      </c>
      <c r="IM24">
        <v>0</v>
      </c>
      <c r="IN24">
        <v>-0.27131999999999928</v>
      </c>
      <c r="IO24">
        <v>0</v>
      </c>
      <c r="IP24">
        <v>0</v>
      </c>
      <c r="IQ24">
        <v>0</v>
      </c>
      <c r="IR24">
        <v>-1</v>
      </c>
      <c r="IS24">
        <v>-1</v>
      </c>
      <c r="IT24">
        <v>-1</v>
      </c>
      <c r="IU24">
        <v>-1</v>
      </c>
      <c r="IV24">
        <v>1.7</v>
      </c>
      <c r="IW24">
        <v>1.5</v>
      </c>
      <c r="IX24">
        <v>0.99853499999999995</v>
      </c>
      <c r="IY24">
        <v>2.4609399999999999</v>
      </c>
      <c r="IZ24">
        <v>1.49414</v>
      </c>
      <c r="JA24">
        <v>2.2961399999999998</v>
      </c>
      <c r="JB24">
        <v>1.54419</v>
      </c>
      <c r="JC24">
        <v>2.50366</v>
      </c>
      <c r="JD24">
        <v>38.134999999999998</v>
      </c>
      <c r="JE24">
        <v>23.886099999999999</v>
      </c>
      <c r="JF24">
        <v>18</v>
      </c>
      <c r="JG24">
        <v>521.95699999999999</v>
      </c>
      <c r="JH24">
        <v>466.06400000000002</v>
      </c>
      <c r="JI24">
        <v>24.674299999999999</v>
      </c>
      <c r="JJ24">
        <v>33.197000000000003</v>
      </c>
      <c r="JK24">
        <v>30.000699999999998</v>
      </c>
      <c r="JL24">
        <v>33.073700000000002</v>
      </c>
      <c r="JM24">
        <v>33.044899999999998</v>
      </c>
      <c r="JN24">
        <v>20.066600000000001</v>
      </c>
      <c r="JO24">
        <v>27.51</v>
      </c>
      <c r="JP24">
        <v>70.839200000000005</v>
      </c>
      <c r="JQ24">
        <v>24.652100000000001</v>
      </c>
      <c r="JR24">
        <v>400</v>
      </c>
      <c r="JS24">
        <v>22.892199999999999</v>
      </c>
      <c r="JT24">
        <v>97.941699999999997</v>
      </c>
      <c r="JU24">
        <v>97.335599999999999</v>
      </c>
    </row>
    <row r="25" spans="1:281" x14ac:dyDescent="0.25">
      <c r="A25">
        <v>23</v>
      </c>
      <c r="B25">
        <v>1693325739.0999999</v>
      </c>
      <c r="C25">
        <v>4332.5</v>
      </c>
      <c r="D25" t="s">
        <v>461</v>
      </c>
      <c r="E25" t="s">
        <v>462</v>
      </c>
      <c r="F25" t="s">
        <v>411</v>
      </c>
      <c r="G25" t="s">
        <v>422</v>
      </c>
      <c r="H25" t="s">
        <v>412</v>
      </c>
      <c r="I25" t="s">
        <v>31</v>
      </c>
      <c r="J25">
        <v>1693325739.0999999</v>
      </c>
      <c r="K25">
        <f t="shared" si="0"/>
        <v>5.019275338060885E-3</v>
      </c>
      <c r="L25">
        <f t="shared" si="1"/>
        <v>5.0192753380608846</v>
      </c>
      <c r="M25">
        <f t="shared" si="2"/>
        <v>45.293483972609749</v>
      </c>
      <c r="N25">
        <f t="shared" si="3"/>
        <v>343.57299999999998</v>
      </c>
      <c r="O25">
        <f t="shared" si="4"/>
        <v>128.65430497365449</v>
      </c>
      <c r="P25">
        <f t="shared" si="5"/>
        <v>12.760296129155551</v>
      </c>
      <c r="Q25">
        <f t="shared" si="6"/>
        <v>34.076537297994996</v>
      </c>
      <c r="R25">
        <f t="shared" si="7"/>
        <v>0.36670965640004732</v>
      </c>
      <c r="S25">
        <f t="shared" si="8"/>
        <v>2.9037600929215617</v>
      </c>
      <c r="T25">
        <f t="shared" si="9"/>
        <v>0.34278752336278984</v>
      </c>
      <c r="U25">
        <f t="shared" si="10"/>
        <v>0.21626133268592035</v>
      </c>
      <c r="V25">
        <f t="shared" si="11"/>
        <v>344.3566996708206</v>
      </c>
      <c r="W25">
        <f t="shared" si="12"/>
        <v>31.252589479597795</v>
      </c>
      <c r="X25">
        <f t="shared" si="13"/>
        <v>30.006900000000002</v>
      </c>
      <c r="Y25">
        <f t="shared" si="14"/>
        <v>4.2621386095916565</v>
      </c>
      <c r="Z25">
        <f t="shared" si="15"/>
        <v>65.191988915997626</v>
      </c>
      <c r="AA25">
        <f t="shared" si="16"/>
        <v>2.8620093913584999</v>
      </c>
      <c r="AB25">
        <f t="shared" si="17"/>
        <v>4.3901243679592419</v>
      </c>
      <c r="AC25">
        <f t="shared" si="18"/>
        <v>1.4001292182331566</v>
      </c>
      <c r="AD25">
        <f t="shared" si="19"/>
        <v>-221.35004240848502</v>
      </c>
      <c r="AE25">
        <f t="shared" si="20"/>
        <v>80.794172042279669</v>
      </c>
      <c r="AF25">
        <f t="shared" si="21"/>
        <v>6.2029386086130183</v>
      </c>
      <c r="AG25">
        <f t="shared" si="22"/>
        <v>210.00376791322827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51510.309781542463</v>
      </c>
      <c r="AM25" t="s">
        <v>413</v>
      </c>
      <c r="AN25">
        <v>10366.9</v>
      </c>
      <c r="AO25">
        <v>993.59653846153856</v>
      </c>
      <c r="AP25">
        <v>3431.87</v>
      </c>
      <c r="AQ25">
        <f t="shared" si="26"/>
        <v>0.71047955241266758</v>
      </c>
      <c r="AR25">
        <v>-3.9894345373445681</v>
      </c>
      <c r="AS25" t="s">
        <v>463</v>
      </c>
      <c r="AT25">
        <v>10305.200000000001</v>
      </c>
      <c r="AU25">
        <v>670.36907999999994</v>
      </c>
      <c r="AV25">
        <v>1008.779934556717</v>
      </c>
      <c r="AW25">
        <f t="shared" si="27"/>
        <v>0.33546548951275801</v>
      </c>
      <c r="AX25">
        <v>0.5</v>
      </c>
      <c r="AY25">
        <f t="shared" si="28"/>
        <v>1513.1261998354103</v>
      </c>
      <c r="AZ25">
        <f t="shared" si="29"/>
        <v>45.293483972609749</v>
      </c>
      <c r="BA25">
        <f t="shared" si="30"/>
        <v>253.8008106611826</v>
      </c>
      <c r="BB25">
        <f t="shared" si="31"/>
        <v>3.2570263151424542E-2</v>
      </c>
      <c r="BC25">
        <f t="shared" si="32"/>
        <v>2.4020006568707664</v>
      </c>
      <c r="BD25">
        <f t="shared" si="33"/>
        <v>586.04456193510566</v>
      </c>
      <c r="BE25" t="s">
        <v>464</v>
      </c>
      <c r="BF25">
        <v>528.49</v>
      </c>
      <c r="BG25">
        <f t="shared" si="34"/>
        <v>528.49</v>
      </c>
      <c r="BH25">
        <f t="shared" si="35"/>
        <v>0.47610972235264404</v>
      </c>
      <c r="BI25">
        <f t="shared" si="36"/>
        <v>0.70459701569439082</v>
      </c>
      <c r="BJ25">
        <f t="shared" si="37"/>
        <v>0.83457558619377514</v>
      </c>
      <c r="BK25">
        <f t="shared" si="38"/>
        <v>22.288218817144717</v>
      </c>
      <c r="BL25">
        <f t="shared" si="39"/>
        <v>0.99377289039368111</v>
      </c>
      <c r="BM25">
        <f t="shared" si="40"/>
        <v>0.55547382469419482</v>
      </c>
      <c r="BN25">
        <f t="shared" si="41"/>
        <v>0.44452617530580518</v>
      </c>
      <c r="BO25">
        <v>16574</v>
      </c>
      <c r="BP25">
        <v>290.00000000000011</v>
      </c>
      <c r="BQ25">
        <v>910.35</v>
      </c>
      <c r="BR25">
        <v>185</v>
      </c>
      <c r="BS25">
        <v>10305.200000000001</v>
      </c>
      <c r="BT25">
        <v>909.05</v>
      </c>
      <c r="BU25">
        <v>1.3</v>
      </c>
      <c r="BV25">
        <v>300.00000000000011</v>
      </c>
      <c r="BW25">
        <v>38.4</v>
      </c>
      <c r="BX25">
        <v>1008.779934556717</v>
      </c>
      <c r="BY25">
        <v>1.606980530915405</v>
      </c>
      <c r="BZ25">
        <v>-102.7714145484661</v>
      </c>
      <c r="CA25">
        <v>1.354771142183252</v>
      </c>
      <c r="CB25">
        <v>0.99515786141020268</v>
      </c>
      <c r="CC25">
        <v>-1.122046006674083E-2</v>
      </c>
      <c r="CD25">
        <v>289.99999999999989</v>
      </c>
      <c r="CE25">
        <v>896.87</v>
      </c>
      <c r="CF25">
        <v>645</v>
      </c>
      <c r="CG25">
        <v>10281</v>
      </c>
      <c r="CH25">
        <v>908.82</v>
      </c>
      <c r="CI25">
        <v>-11.95</v>
      </c>
      <c r="CW25">
        <f t="shared" si="42"/>
        <v>1799.93</v>
      </c>
      <c r="CX25">
        <f t="shared" si="43"/>
        <v>1513.1261998354103</v>
      </c>
      <c r="CY25">
        <f t="shared" si="44"/>
        <v>0.8406583588447385</v>
      </c>
      <c r="CZ25">
        <f t="shared" si="45"/>
        <v>0.19131671768947714</v>
      </c>
      <c r="DA25">
        <v>6</v>
      </c>
      <c r="DB25">
        <v>0.5</v>
      </c>
      <c r="DC25" t="s">
        <v>414</v>
      </c>
      <c r="DD25">
        <v>2</v>
      </c>
      <c r="DE25">
        <v>1693325739.0999999</v>
      </c>
      <c r="DF25">
        <v>343.57299999999998</v>
      </c>
      <c r="DG25">
        <v>399.94799999999998</v>
      </c>
      <c r="DH25">
        <v>28.855899999999998</v>
      </c>
      <c r="DI25">
        <v>23.011399999999998</v>
      </c>
      <c r="DJ25">
        <v>343.22699999999998</v>
      </c>
      <c r="DK25">
        <v>29.122199999999999</v>
      </c>
      <c r="DL25">
        <v>500.41300000000001</v>
      </c>
      <c r="DM25">
        <v>99.082099999999997</v>
      </c>
      <c r="DN25">
        <v>0.100715</v>
      </c>
      <c r="DO25">
        <v>30.523</v>
      </c>
      <c r="DP25">
        <v>30.006900000000002</v>
      </c>
      <c r="DQ25">
        <v>999.9</v>
      </c>
      <c r="DR25">
        <v>0</v>
      </c>
      <c r="DS25">
        <v>0</v>
      </c>
      <c r="DT25">
        <v>9945</v>
      </c>
      <c r="DU25">
        <v>0</v>
      </c>
      <c r="DV25">
        <v>1585.99</v>
      </c>
      <c r="DW25">
        <v>-56.374899999999997</v>
      </c>
      <c r="DX25">
        <v>353.78199999999998</v>
      </c>
      <c r="DY25">
        <v>409.36799999999999</v>
      </c>
      <c r="DZ25">
        <v>5.8445400000000003</v>
      </c>
      <c r="EA25">
        <v>399.94799999999998</v>
      </c>
      <c r="EB25">
        <v>23.011399999999998</v>
      </c>
      <c r="EC25">
        <v>2.8591000000000002</v>
      </c>
      <c r="ED25">
        <v>2.2800099999999999</v>
      </c>
      <c r="EE25">
        <v>23.229399999999998</v>
      </c>
      <c r="EF25">
        <v>19.535900000000002</v>
      </c>
      <c r="EG25">
        <v>1799.93</v>
      </c>
      <c r="EH25">
        <v>0.977993</v>
      </c>
      <c r="EI25">
        <v>2.20074E-2</v>
      </c>
      <c r="EJ25">
        <v>0</v>
      </c>
      <c r="EK25">
        <v>671.95699999999999</v>
      </c>
      <c r="EL25">
        <v>5.0002500000000003</v>
      </c>
      <c r="EM25">
        <v>23285.4</v>
      </c>
      <c r="EN25">
        <v>14821.5</v>
      </c>
      <c r="EO25">
        <v>47.686999999999998</v>
      </c>
      <c r="EP25">
        <v>50.186999999999998</v>
      </c>
      <c r="EQ25">
        <v>48.561999999999998</v>
      </c>
      <c r="ER25">
        <v>48.875</v>
      </c>
      <c r="ES25">
        <v>49.125</v>
      </c>
      <c r="ET25">
        <v>1755.43</v>
      </c>
      <c r="EU25">
        <v>39.5</v>
      </c>
      <c r="EV25">
        <v>0</v>
      </c>
      <c r="EW25">
        <v>120.7999999523163</v>
      </c>
      <c r="EX25">
        <v>0</v>
      </c>
      <c r="EY25">
        <v>670.36907999999994</v>
      </c>
      <c r="EZ25">
        <v>12.2037692601619</v>
      </c>
      <c r="FA25">
        <v>342.1846155832875</v>
      </c>
      <c r="FB25">
        <v>23250.723999999998</v>
      </c>
      <c r="FC25">
        <v>15</v>
      </c>
      <c r="FD25">
        <v>1693325692.5999999</v>
      </c>
      <c r="FE25" t="s">
        <v>465</v>
      </c>
      <c r="FF25">
        <v>1693325692.5999999</v>
      </c>
      <c r="FG25">
        <v>1693325689.5999999</v>
      </c>
      <c r="FH25">
        <v>27</v>
      </c>
      <c r="FI25">
        <v>-0.13700000000000001</v>
      </c>
      <c r="FJ25">
        <v>5.0000000000000001E-3</v>
      </c>
      <c r="FK25">
        <v>0.34599999999999997</v>
      </c>
      <c r="FL25">
        <v>-0.26600000000000001</v>
      </c>
      <c r="FM25">
        <v>400</v>
      </c>
      <c r="FN25">
        <v>23</v>
      </c>
      <c r="FO25">
        <v>0.12</v>
      </c>
      <c r="FP25">
        <v>0.05</v>
      </c>
      <c r="FQ25">
        <v>45.286653805109133</v>
      </c>
      <c r="FR25">
        <v>0.48065766662976822</v>
      </c>
      <c r="FS25">
        <v>8.6271204495645556E-2</v>
      </c>
      <c r="FT25">
        <v>1</v>
      </c>
      <c r="FU25">
        <v>0.36409723445416242</v>
      </c>
      <c r="FV25">
        <v>4.1905160432137538E-2</v>
      </c>
      <c r="FW25">
        <v>3.3475103674421628E-3</v>
      </c>
      <c r="FX25">
        <v>1</v>
      </c>
      <c r="FY25">
        <v>2</v>
      </c>
      <c r="FZ25">
        <v>2</v>
      </c>
      <c r="GA25" t="s">
        <v>415</v>
      </c>
      <c r="GB25">
        <v>2.9189400000000001</v>
      </c>
      <c r="GC25">
        <v>2.83012</v>
      </c>
      <c r="GD25">
        <v>7.9769900000000005E-2</v>
      </c>
      <c r="GE25">
        <v>8.8185899999999998E-2</v>
      </c>
      <c r="GF25">
        <v>0.13559399999999999</v>
      </c>
      <c r="GG25">
        <v>0.110717</v>
      </c>
      <c r="GH25">
        <v>23869.9</v>
      </c>
      <c r="GI25">
        <v>29132.1</v>
      </c>
      <c r="GJ25">
        <v>23355.3</v>
      </c>
      <c r="GK25">
        <v>29255.4</v>
      </c>
      <c r="GL25">
        <v>27533.7</v>
      </c>
      <c r="GM25">
        <v>36860.5</v>
      </c>
      <c r="GN25">
        <v>33018.400000000001</v>
      </c>
      <c r="GO25">
        <v>43223.7</v>
      </c>
      <c r="GP25">
        <v>1.9702999999999999</v>
      </c>
      <c r="GQ25">
        <v>1.8375999999999999</v>
      </c>
      <c r="GR25">
        <v>1.0207300000000001E-2</v>
      </c>
      <c r="GS25">
        <v>0</v>
      </c>
      <c r="GT25">
        <v>29.840699999999998</v>
      </c>
      <c r="GU25">
        <v>999.9</v>
      </c>
      <c r="GV25">
        <v>55.6</v>
      </c>
      <c r="GW25">
        <v>33.4</v>
      </c>
      <c r="GX25">
        <v>28.994800000000001</v>
      </c>
      <c r="GY25">
        <v>61.471299999999999</v>
      </c>
      <c r="GZ25">
        <v>38.076900000000002</v>
      </c>
      <c r="HA25">
        <v>1</v>
      </c>
      <c r="HB25">
        <v>0.46446100000000001</v>
      </c>
      <c r="HC25">
        <v>3.5217499999999999</v>
      </c>
      <c r="HD25">
        <v>20.240200000000002</v>
      </c>
      <c r="HE25">
        <v>5.2107000000000001</v>
      </c>
      <c r="HF25">
        <v>11.872199999999999</v>
      </c>
      <c r="HG25">
        <v>4.9833999999999996</v>
      </c>
      <c r="HH25">
        <v>3.2839999999999998</v>
      </c>
      <c r="HI25">
        <v>9999</v>
      </c>
      <c r="HJ25">
        <v>9999</v>
      </c>
      <c r="HK25">
        <v>9999</v>
      </c>
      <c r="HL25">
        <v>999.9</v>
      </c>
      <c r="HM25">
        <v>1.8547100000000001</v>
      </c>
      <c r="HN25">
        <v>1.8608100000000001</v>
      </c>
      <c r="HO25">
        <v>1.85822</v>
      </c>
      <c r="HP25">
        <v>1.85931</v>
      </c>
      <c r="HQ25">
        <v>1.8588</v>
      </c>
      <c r="HR25">
        <v>1.85928</v>
      </c>
      <c r="HS25">
        <v>1.85762</v>
      </c>
      <c r="HT25">
        <v>1.8609800000000001</v>
      </c>
      <c r="HU25">
        <v>5</v>
      </c>
      <c r="HV25">
        <v>0</v>
      </c>
      <c r="HW25">
        <v>0</v>
      </c>
      <c r="HX25">
        <v>0</v>
      </c>
      <c r="HY25" t="s">
        <v>416</v>
      </c>
      <c r="HZ25" t="s">
        <v>417</v>
      </c>
      <c r="IA25" t="s">
        <v>418</v>
      </c>
      <c r="IB25" t="s">
        <v>418</v>
      </c>
      <c r="IC25" t="s">
        <v>418</v>
      </c>
      <c r="ID25" t="s">
        <v>418</v>
      </c>
      <c r="IE25">
        <v>0</v>
      </c>
      <c r="IF25">
        <v>100</v>
      </c>
      <c r="IG25">
        <v>100</v>
      </c>
      <c r="IH25">
        <v>0.34599999999999997</v>
      </c>
      <c r="II25">
        <v>-0.26629999999999998</v>
      </c>
      <c r="IJ25">
        <v>0.34609999999997848</v>
      </c>
      <c r="IK25">
        <v>0</v>
      </c>
      <c r="IL25">
        <v>0</v>
      </c>
      <c r="IM25">
        <v>0</v>
      </c>
      <c r="IN25">
        <v>-0.26625499999999752</v>
      </c>
      <c r="IO25">
        <v>0</v>
      </c>
      <c r="IP25">
        <v>0</v>
      </c>
      <c r="IQ25">
        <v>0</v>
      </c>
      <c r="IR25">
        <v>-1</v>
      </c>
      <c r="IS25">
        <v>-1</v>
      </c>
      <c r="IT25">
        <v>-1</v>
      </c>
      <c r="IU25">
        <v>-1</v>
      </c>
      <c r="IV25">
        <v>0.8</v>
      </c>
      <c r="IW25">
        <v>0.8</v>
      </c>
      <c r="IX25">
        <v>0.99853499999999995</v>
      </c>
      <c r="IY25">
        <v>2.4548299999999998</v>
      </c>
      <c r="IZ25">
        <v>1.49414</v>
      </c>
      <c r="JA25">
        <v>2.2961399999999998</v>
      </c>
      <c r="JB25">
        <v>1.54419</v>
      </c>
      <c r="JC25">
        <v>2.3986800000000001</v>
      </c>
      <c r="JD25">
        <v>38.159300000000002</v>
      </c>
      <c r="JE25">
        <v>23.921099999999999</v>
      </c>
      <c r="JF25">
        <v>18</v>
      </c>
      <c r="JG25">
        <v>521.51199999999994</v>
      </c>
      <c r="JH25">
        <v>465.51799999999997</v>
      </c>
      <c r="JI25">
        <v>24.609300000000001</v>
      </c>
      <c r="JJ25">
        <v>33.292099999999998</v>
      </c>
      <c r="JK25">
        <v>30.000599999999999</v>
      </c>
      <c r="JL25">
        <v>33.165900000000001</v>
      </c>
      <c r="JM25">
        <v>33.134700000000002</v>
      </c>
      <c r="JN25">
        <v>20.0655</v>
      </c>
      <c r="JO25">
        <v>27.212399999999999</v>
      </c>
      <c r="JP25">
        <v>69.888999999999996</v>
      </c>
      <c r="JQ25">
        <v>24.6096</v>
      </c>
      <c r="JR25">
        <v>400</v>
      </c>
      <c r="JS25">
        <v>23.0913</v>
      </c>
      <c r="JT25">
        <v>97.9345</v>
      </c>
      <c r="JU25">
        <v>97.322900000000004</v>
      </c>
    </row>
    <row r="26" spans="1:281" x14ac:dyDescent="0.25">
      <c r="A26">
        <v>24</v>
      </c>
      <c r="B26">
        <v>1693325840.5999999</v>
      </c>
      <c r="C26">
        <v>4434</v>
      </c>
      <c r="D26" t="s">
        <v>466</v>
      </c>
      <c r="E26" t="s">
        <v>467</v>
      </c>
      <c r="F26" t="s">
        <v>411</v>
      </c>
      <c r="G26" t="s">
        <v>422</v>
      </c>
      <c r="H26" t="s">
        <v>412</v>
      </c>
      <c r="I26" t="s">
        <v>31</v>
      </c>
      <c r="J26">
        <v>1693325840.5999999</v>
      </c>
      <c r="K26">
        <f t="shared" si="0"/>
        <v>4.8321632031316855E-3</v>
      </c>
      <c r="L26">
        <f t="shared" si="1"/>
        <v>4.8321632031316852</v>
      </c>
      <c r="M26">
        <f t="shared" si="2"/>
        <v>49.401985553675594</v>
      </c>
      <c r="N26">
        <f t="shared" si="3"/>
        <v>438.23500000000001</v>
      </c>
      <c r="O26">
        <f t="shared" si="4"/>
        <v>193.57972898845446</v>
      </c>
      <c r="P26">
        <f t="shared" si="5"/>
        <v>19.199540473350783</v>
      </c>
      <c r="Q26">
        <f t="shared" si="6"/>
        <v>43.46483313777501</v>
      </c>
      <c r="R26">
        <f t="shared" si="7"/>
        <v>0.35217056581560152</v>
      </c>
      <c r="S26">
        <f t="shared" si="8"/>
        <v>2.9072510051071792</v>
      </c>
      <c r="T26">
        <f t="shared" si="9"/>
        <v>0.33007113058691462</v>
      </c>
      <c r="U26">
        <f t="shared" si="10"/>
        <v>0.20816433378040539</v>
      </c>
      <c r="V26">
        <f t="shared" si="11"/>
        <v>344.36049967082425</v>
      </c>
      <c r="W26">
        <f t="shared" si="12"/>
        <v>31.332469437467985</v>
      </c>
      <c r="X26">
        <f t="shared" si="13"/>
        <v>30.010400000000001</v>
      </c>
      <c r="Y26">
        <f t="shared" si="14"/>
        <v>4.2629954891330444</v>
      </c>
      <c r="Z26">
        <f t="shared" si="15"/>
        <v>65.099732470940324</v>
      </c>
      <c r="AA26">
        <f t="shared" si="16"/>
        <v>2.8631635002635001</v>
      </c>
      <c r="AB26">
        <f t="shared" si="17"/>
        <v>4.3981186889540282</v>
      </c>
      <c r="AC26">
        <f t="shared" si="18"/>
        <v>1.3998319888695443</v>
      </c>
      <c r="AD26">
        <f t="shared" si="19"/>
        <v>-213.09839725810733</v>
      </c>
      <c r="AE26">
        <f t="shared" si="20"/>
        <v>85.326923892386873</v>
      </c>
      <c r="AF26">
        <f t="shared" si="21"/>
        <v>6.5442156376766594</v>
      </c>
      <c r="AG26">
        <f t="shared" si="22"/>
        <v>223.13324194278044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51603.847318354186</v>
      </c>
      <c r="AM26" t="s">
        <v>413</v>
      </c>
      <c r="AN26">
        <v>10366.9</v>
      </c>
      <c r="AO26">
        <v>993.59653846153856</v>
      </c>
      <c r="AP26">
        <v>3431.87</v>
      </c>
      <c r="AQ26">
        <f t="shared" si="26"/>
        <v>0.71047955241266758</v>
      </c>
      <c r="AR26">
        <v>-3.9894345373445681</v>
      </c>
      <c r="AS26" t="s">
        <v>468</v>
      </c>
      <c r="AT26">
        <v>10305.6</v>
      </c>
      <c r="AU26">
        <v>705.79656</v>
      </c>
      <c r="AV26">
        <v>1098.2138120195641</v>
      </c>
      <c r="AW26">
        <f t="shared" si="27"/>
        <v>0.35732318035403965</v>
      </c>
      <c r="AX26">
        <v>0.5</v>
      </c>
      <c r="AY26">
        <f t="shared" si="28"/>
        <v>1513.142999835412</v>
      </c>
      <c r="AZ26">
        <f t="shared" si="29"/>
        <v>49.401985553675594</v>
      </c>
      <c r="BA26">
        <f t="shared" si="30"/>
        <v>270.34053451582076</v>
      </c>
      <c r="BB26">
        <f t="shared" si="31"/>
        <v>3.528511191396165E-2</v>
      </c>
      <c r="BC26">
        <f t="shared" si="32"/>
        <v>2.1249561446408607</v>
      </c>
      <c r="BD26">
        <f t="shared" si="33"/>
        <v>615.14692267717601</v>
      </c>
      <c r="BE26" t="s">
        <v>469</v>
      </c>
      <c r="BF26">
        <v>541.87</v>
      </c>
      <c r="BG26">
        <f t="shared" si="34"/>
        <v>541.87</v>
      </c>
      <c r="BH26">
        <f t="shared" si="35"/>
        <v>0.506589705875647</v>
      </c>
      <c r="BI26">
        <f t="shared" si="36"/>
        <v>0.70535025921302885</v>
      </c>
      <c r="BJ26">
        <f t="shared" si="37"/>
        <v>0.80749349065066978</v>
      </c>
      <c r="BK26">
        <f t="shared" si="38"/>
        <v>3.7509795340050749</v>
      </c>
      <c r="BL26">
        <f t="shared" si="39"/>
        <v>0.95709370781896785</v>
      </c>
      <c r="BM26">
        <f t="shared" si="40"/>
        <v>0.54152735592783841</v>
      </c>
      <c r="BN26">
        <f t="shared" si="41"/>
        <v>0.45847264407216159</v>
      </c>
      <c r="BO26">
        <v>16576</v>
      </c>
      <c r="BP26">
        <v>290.00000000000011</v>
      </c>
      <c r="BQ26">
        <v>988.89</v>
      </c>
      <c r="BR26">
        <v>185</v>
      </c>
      <c r="BS26">
        <v>10305.6</v>
      </c>
      <c r="BT26">
        <v>988.56</v>
      </c>
      <c r="BU26">
        <v>0.33</v>
      </c>
      <c r="BV26">
        <v>300.00000000000011</v>
      </c>
      <c r="BW26">
        <v>38.4</v>
      </c>
      <c r="BX26">
        <v>1098.2138120195641</v>
      </c>
      <c r="BY26">
        <v>1.59452806140857</v>
      </c>
      <c r="BZ26">
        <v>-113.0079322918855</v>
      </c>
      <c r="CA26">
        <v>1.3443186540022889</v>
      </c>
      <c r="CB26">
        <v>0.99605336257456556</v>
      </c>
      <c r="CC26">
        <v>-1.1220867853170179E-2</v>
      </c>
      <c r="CD26">
        <v>289.99999999999989</v>
      </c>
      <c r="CE26">
        <v>976.6</v>
      </c>
      <c r="CF26">
        <v>665</v>
      </c>
      <c r="CG26">
        <v>10280</v>
      </c>
      <c r="CH26">
        <v>988.28</v>
      </c>
      <c r="CI26">
        <v>-11.68</v>
      </c>
      <c r="CW26">
        <f t="shared" si="42"/>
        <v>1799.95</v>
      </c>
      <c r="CX26">
        <f t="shared" si="43"/>
        <v>1513.142999835412</v>
      </c>
      <c r="CY26">
        <f t="shared" si="44"/>
        <v>0.84065835152943802</v>
      </c>
      <c r="CZ26">
        <f t="shared" si="45"/>
        <v>0.19131670305887621</v>
      </c>
      <c r="DA26">
        <v>6</v>
      </c>
      <c r="DB26">
        <v>0.5</v>
      </c>
      <c r="DC26" t="s">
        <v>414</v>
      </c>
      <c r="DD26">
        <v>2</v>
      </c>
      <c r="DE26">
        <v>1693325840.5999999</v>
      </c>
      <c r="DF26">
        <v>438.23500000000001</v>
      </c>
      <c r="DG26">
        <v>500.00799999999998</v>
      </c>
      <c r="DH26">
        <v>28.867899999999999</v>
      </c>
      <c r="DI26">
        <v>23.241299999999999</v>
      </c>
      <c r="DJ26">
        <v>437.505</v>
      </c>
      <c r="DK26">
        <v>29.135400000000001</v>
      </c>
      <c r="DL26">
        <v>500.40899999999999</v>
      </c>
      <c r="DM26">
        <v>99.081100000000006</v>
      </c>
      <c r="DN26">
        <v>0.100465</v>
      </c>
      <c r="DO26">
        <v>30.5548</v>
      </c>
      <c r="DP26">
        <v>30.010400000000001</v>
      </c>
      <c r="DQ26">
        <v>999.9</v>
      </c>
      <c r="DR26">
        <v>0</v>
      </c>
      <c r="DS26">
        <v>0</v>
      </c>
      <c r="DT26">
        <v>9965</v>
      </c>
      <c r="DU26">
        <v>0</v>
      </c>
      <c r="DV26">
        <v>1591.76</v>
      </c>
      <c r="DW26">
        <v>-61.773000000000003</v>
      </c>
      <c r="DX26">
        <v>451.262</v>
      </c>
      <c r="DY26">
        <v>511.90600000000001</v>
      </c>
      <c r="DZ26">
        <v>5.6266100000000003</v>
      </c>
      <c r="EA26">
        <v>500.00799999999998</v>
      </c>
      <c r="EB26">
        <v>23.241299999999999</v>
      </c>
      <c r="EC26">
        <v>2.8602599999999998</v>
      </c>
      <c r="ED26">
        <v>2.3027700000000002</v>
      </c>
      <c r="EE26">
        <v>23.2361</v>
      </c>
      <c r="EF26">
        <v>19.695799999999998</v>
      </c>
      <c r="EG26">
        <v>1799.95</v>
      </c>
      <c r="EH26">
        <v>0.97799199999999997</v>
      </c>
      <c r="EI26">
        <v>2.2007599999999999E-2</v>
      </c>
      <c r="EJ26">
        <v>0</v>
      </c>
      <c r="EK26">
        <v>706.59100000000001</v>
      </c>
      <c r="EL26">
        <v>5.0002500000000003</v>
      </c>
      <c r="EM26">
        <v>23988.3</v>
      </c>
      <c r="EN26">
        <v>14821.6</v>
      </c>
      <c r="EO26">
        <v>47.75</v>
      </c>
      <c r="EP26">
        <v>50.186999999999998</v>
      </c>
      <c r="EQ26">
        <v>48.625</v>
      </c>
      <c r="ER26">
        <v>48.936999999999998</v>
      </c>
      <c r="ES26">
        <v>49.125</v>
      </c>
      <c r="ET26">
        <v>1755.45</v>
      </c>
      <c r="EU26">
        <v>39.5</v>
      </c>
      <c r="EV26">
        <v>0</v>
      </c>
      <c r="EW26">
        <v>99.600000143051147</v>
      </c>
      <c r="EX26">
        <v>0</v>
      </c>
      <c r="EY26">
        <v>705.79656</v>
      </c>
      <c r="EZ26">
        <v>7.1392307489941427</v>
      </c>
      <c r="FA26">
        <v>103.92307675834419</v>
      </c>
      <c r="FB26">
        <v>23978.46</v>
      </c>
      <c r="FC26">
        <v>15</v>
      </c>
      <c r="FD26">
        <v>1693325812.0999999</v>
      </c>
      <c r="FE26" t="s">
        <v>470</v>
      </c>
      <c r="FF26">
        <v>1693325808.5999999</v>
      </c>
      <c r="FG26">
        <v>1693325812.0999999</v>
      </c>
      <c r="FH26">
        <v>28</v>
      </c>
      <c r="FI26">
        <v>0.38400000000000001</v>
      </c>
      <c r="FJ26">
        <v>-1E-3</v>
      </c>
      <c r="FK26">
        <v>0.73</v>
      </c>
      <c r="FL26">
        <v>-0.26700000000000002</v>
      </c>
      <c r="FM26">
        <v>500</v>
      </c>
      <c r="FN26">
        <v>23</v>
      </c>
      <c r="FO26">
        <v>0.09</v>
      </c>
      <c r="FP26">
        <v>0.08</v>
      </c>
      <c r="FQ26">
        <v>49.436247270914023</v>
      </c>
      <c r="FR26">
        <v>0.27610814821293672</v>
      </c>
      <c r="FS26">
        <v>9.6700376481944128E-2</v>
      </c>
      <c r="FT26">
        <v>1</v>
      </c>
      <c r="FU26">
        <v>0.35410160206099123</v>
      </c>
      <c r="FV26">
        <v>2.5226351358691109E-2</v>
      </c>
      <c r="FW26">
        <v>3.557183047280412E-3</v>
      </c>
      <c r="FX26">
        <v>1</v>
      </c>
      <c r="FY26">
        <v>2</v>
      </c>
      <c r="FZ26">
        <v>2</v>
      </c>
      <c r="GA26" t="s">
        <v>415</v>
      </c>
      <c r="GB26">
        <v>2.9188700000000001</v>
      </c>
      <c r="GC26">
        <v>2.83005</v>
      </c>
      <c r="GD26">
        <v>9.6145999999999995E-2</v>
      </c>
      <c r="GE26">
        <v>0.10420599999999999</v>
      </c>
      <c r="GF26">
        <v>0.13561899999999999</v>
      </c>
      <c r="GG26">
        <v>0.11147799999999999</v>
      </c>
      <c r="GH26">
        <v>23446.1</v>
      </c>
      <c r="GI26">
        <v>28619.4</v>
      </c>
      <c r="GJ26">
        <v>23356.3</v>
      </c>
      <c r="GK26">
        <v>29254.6</v>
      </c>
      <c r="GL26">
        <v>27536.1</v>
      </c>
      <c r="GM26">
        <v>36829.699999999997</v>
      </c>
      <c r="GN26">
        <v>33020.1</v>
      </c>
      <c r="GO26">
        <v>43222.400000000001</v>
      </c>
      <c r="GP26">
        <v>1.9693000000000001</v>
      </c>
      <c r="GQ26">
        <v>1.8371</v>
      </c>
      <c r="GR26">
        <v>1.5646199999999999E-2</v>
      </c>
      <c r="GS26">
        <v>0</v>
      </c>
      <c r="GT26">
        <v>29.755700000000001</v>
      </c>
      <c r="GU26">
        <v>999.9</v>
      </c>
      <c r="GV26">
        <v>55.4</v>
      </c>
      <c r="GW26">
        <v>33.5</v>
      </c>
      <c r="GX26">
        <v>29.052700000000002</v>
      </c>
      <c r="GY26">
        <v>61.421300000000002</v>
      </c>
      <c r="GZ26">
        <v>38.076900000000002</v>
      </c>
      <c r="HA26">
        <v>1</v>
      </c>
      <c r="HB26">
        <v>0.46792699999999998</v>
      </c>
      <c r="HC26">
        <v>3.4679500000000001</v>
      </c>
      <c r="HD26">
        <v>20.240100000000002</v>
      </c>
      <c r="HE26">
        <v>5.2112999999999996</v>
      </c>
      <c r="HF26">
        <v>11.872199999999999</v>
      </c>
      <c r="HG26">
        <v>4.9847999999999999</v>
      </c>
      <c r="HH26">
        <v>3.2839999999999998</v>
      </c>
      <c r="HI26">
        <v>9999</v>
      </c>
      <c r="HJ26">
        <v>9999</v>
      </c>
      <c r="HK26">
        <v>9999</v>
      </c>
      <c r="HL26">
        <v>999.9</v>
      </c>
      <c r="HM26">
        <v>1.8546800000000001</v>
      </c>
      <c r="HN26">
        <v>1.8608100000000001</v>
      </c>
      <c r="HO26">
        <v>1.85822</v>
      </c>
      <c r="HP26">
        <v>1.85928</v>
      </c>
      <c r="HQ26">
        <v>1.85869</v>
      </c>
      <c r="HR26">
        <v>1.8592599999999999</v>
      </c>
      <c r="HS26">
        <v>1.8575999999999999</v>
      </c>
      <c r="HT26">
        <v>1.8609599999999999</v>
      </c>
      <c r="HU26">
        <v>5</v>
      </c>
      <c r="HV26">
        <v>0</v>
      </c>
      <c r="HW26">
        <v>0</v>
      </c>
      <c r="HX26">
        <v>0</v>
      </c>
      <c r="HY26" t="s">
        <v>416</v>
      </c>
      <c r="HZ26" t="s">
        <v>417</v>
      </c>
      <c r="IA26" t="s">
        <v>418</v>
      </c>
      <c r="IB26" t="s">
        <v>418</v>
      </c>
      <c r="IC26" t="s">
        <v>418</v>
      </c>
      <c r="ID26" t="s">
        <v>418</v>
      </c>
      <c r="IE26">
        <v>0</v>
      </c>
      <c r="IF26">
        <v>100</v>
      </c>
      <c r="IG26">
        <v>100</v>
      </c>
      <c r="IH26">
        <v>0.73</v>
      </c>
      <c r="II26">
        <v>-0.26750000000000002</v>
      </c>
      <c r="IJ26">
        <v>0.73020000000013852</v>
      </c>
      <c r="IK26">
        <v>0</v>
      </c>
      <c r="IL26">
        <v>0</v>
      </c>
      <c r="IM26">
        <v>0</v>
      </c>
      <c r="IN26">
        <v>-0.26747619047619148</v>
      </c>
      <c r="IO26">
        <v>0</v>
      </c>
      <c r="IP26">
        <v>0</v>
      </c>
      <c r="IQ26">
        <v>0</v>
      </c>
      <c r="IR26">
        <v>-1</v>
      </c>
      <c r="IS26">
        <v>-1</v>
      </c>
      <c r="IT26">
        <v>-1</v>
      </c>
      <c r="IU26">
        <v>-1</v>
      </c>
      <c r="IV26">
        <v>0.5</v>
      </c>
      <c r="IW26">
        <v>0.5</v>
      </c>
      <c r="IX26">
        <v>1.1914100000000001</v>
      </c>
      <c r="IY26">
        <v>2.4536099999999998</v>
      </c>
      <c r="IZ26">
        <v>1.49414</v>
      </c>
      <c r="JA26">
        <v>2.2949199999999998</v>
      </c>
      <c r="JB26">
        <v>1.54419</v>
      </c>
      <c r="JC26">
        <v>2.4316399999999998</v>
      </c>
      <c r="JD26">
        <v>38.110599999999998</v>
      </c>
      <c r="JE26">
        <v>23.921099999999999</v>
      </c>
      <c r="JF26">
        <v>18</v>
      </c>
      <c r="JG26">
        <v>521.29399999999998</v>
      </c>
      <c r="JH26">
        <v>465.58699999999999</v>
      </c>
      <c r="JI26">
        <v>24.767099999999999</v>
      </c>
      <c r="JJ26">
        <v>33.344200000000001</v>
      </c>
      <c r="JK26">
        <v>30.000499999999999</v>
      </c>
      <c r="JL26">
        <v>33.220300000000002</v>
      </c>
      <c r="JM26">
        <v>33.1875</v>
      </c>
      <c r="JN26">
        <v>23.922000000000001</v>
      </c>
      <c r="JO26">
        <v>26.540900000000001</v>
      </c>
      <c r="JP26">
        <v>69.484999999999999</v>
      </c>
      <c r="JQ26">
        <v>24.764700000000001</v>
      </c>
      <c r="JR26">
        <v>500</v>
      </c>
      <c r="JS26">
        <v>23.217300000000002</v>
      </c>
      <c r="JT26">
        <v>97.9392</v>
      </c>
      <c r="JU26">
        <v>97.320099999999996</v>
      </c>
    </row>
    <row r="27" spans="1:281" x14ac:dyDescent="0.25">
      <c r="A27">
        <v>25</v>
      </c>
      <c r="B27">
        <v>1693325940</v>
      </c>
      <c r="C27">
        <v>4533.4000000953674</v>
      </c>
      <c r="D27" t="s">
        <v>471</v>
      </c>
      <c r="E27" t="s">
        <v>472</v>
      </c>
      <c r="F27" t="s">
        <v>411</v>
      </c>
      <c r="G27" t="s">
        <v>422</v>
      </c>
      <c r="H27" t="s">
        <v>412</v>
      </c>
      <c r="I27" t="s">
        <v>31</v>
      </c>
      <c r="J27">
        <v>1693325940</v>
      </c>
      <c r="K27">
        <f t="shared" si="0"/>
        <v>4.4828518064556179E-3</v>
      </c>
      <c r="L27">
        <f t="shared" si="1"/>
        <v>4.482851806455618</v>
      </c>
      <c r="M27">
        <f t="shared" si="2"/>
        <v>51.816140046917198</v>
      </c>
      <c r="N27">
        <f t="shared" si="3"/>
        <v>634.548</v>
      </c>
      <c r="O27">
        <f t="shared" si="4"/>
        <v>354.94508531362186</v>
      </c>
      <c r="P27">
        <f t="shared" si="5"/>
        <v>35.204060269039346</v>
      </c>
      <c r="Q27">
        <f t="shared" si="6"/>
        <v>62.935555272896401</v>
      </c>
      <c r="R27">
        <f t="shared" si="7"/>
        <v>0.32551031074186598</v>
      </c>
      <c r="S27">
        <f t="shared" si="8"/>
        <v>2.9243020698799911</v>
      </c>
      <c r="T27">
        <f t="shared" si="9"/>
        <v>0.3066372301856502</v>
      </c>
      <c r="U27">
        <f t="shared" si="10"/>
        <v>0.19325269030193135</v>
      </c>
      <c r="V27">
        <f t="shared" si="11"/>
        <v>344.39849967086082</v>
      </c>
      <c r="W27">
        <f t="shared" si="12"/>
        <v>31.386172264541255</v>
      </c>
      <c r="X27">
        <f t="shared" si="13"/>
        <v>30.007400000000001</v>
      </c>
      <c r="Y27">
        <f t="shared" si="14"/>
        <v>4.2622610117639477</v>
      </c>
      <c r="Z27">
        <f t="shared" si="15"/>
        <v>65.250788226093675</v>
      </c>
      <c r="AA27">
        <f t="shared" si="16"/>
        <v>2.8643776827549301</v>
      </c>
      <c r="AB27">
        <f t="shared" si="17"/>
        <v>4.3897978256291328</v>
      </c>
      <c r="AC27">
        <f t="shared" si="18"/>
        <v>1.3978833290090176</v>
      </c>
      <c r="AD27">
        <f t="shared" si="19"/>
        <v>-197.69376466469276</v>
      </c>
      <c r="AE27">
        <f t="shared" si="20"/>
        <v>81.081952712321424</v>
      </c>
      <c r="AF27">
        <f t="shared" si="21"/>
        <v>6.1812801531573109</v>
      </c>
      <c r="AG27">
        <f t="shared" si="22"/>
        <v>233.96796787164681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52093.953406817338</v>
      </c>
      <c r="AM27" t="s">
        <v>413</v>
      </c>
      <c r="AN27">
        <v>10366.9</v>
      </c>
      <c r="AO27">
        <v>993.59653846153856</v>
      </c>
      <c r="AP27">
        <v>3431.87</v>
      </c>
      <c r="AQ27">
        <f t="shared" si="26"/>
        <v>0.71047955241266758</v>
      </c>
      <c r="AR27">
        <v>-3.9894345373445681</v>
      </c>
      <c r="AS27" t="s">
        <v>473</v>
      </c>
      <c r="AT27">
        <v>10299.9</v>
      </c>
      <c r="AU27">
        <v>719.45392000000004</v>
      </c>
      <c r="AV27">
        <v>1144.5485871978151</v>
      </c>
      <c r="AW27">
        <f t="shared" si="27"/>
        <v>0.37140814461932925</v>
      </c>
      <c r="AX27">
        <v>0.5</v>
      </c>
      <c r="AY27">
        <f t="shared" si="28"/>
        <v>1513.3109998354305</v>
      </c>
      <c r="AZ27">
        <f t="shared" si="29"/>
        <v>51.816140046917198</v>
      </c>
      <c r="BA27">
        <f t="shared" si="30"/>
        <v>281.02801534044966</v>
      </c>
      <c r="BB27">
        <f t="shared" si="31"/>
        <v>3.6876474558323109E-2</v>
      </c>
      <c r="BC27">
        <f t="shared" si="32"/>
        <v>1.9984485048399796</v>
      </c>
      <c r="BD27">
        <f t="shared" si="33"/>
        <v>629.41958641733686</v>
      </c>
      <c r="BE27" t="s">
        <v>474</v>
      </c>
      <c r="BF27">
        <v>547.08000000000004</v>
      </c>
      <c r="BG27">
        <f t="shared" si="34"/>
        <v>547.08000000000004</v>
      </c>
      <c r="BH27">
        <f t="shared" si="35"/>
        <v>0.52201242820157634</v>
      </c>
      <c r="BI27">
        <f t="shared" si="36"/>
        <v>0.7114929157891795</v>
      </c>
      <c r="BJ27">
        <f t="shared" si="37"/>
        <v>0.79289009349109796</v>
      </c>
      <c r="BK27">
        <f t="shared" si="38"/>
        <v>2.8160907437598564</v>
      </c>
      <c r="BL27">
        <f t="shared" si="39"/>
        <v>0.93809059930421757</v>
      </c>
      <c r="BM27">
        <f t="shared" si="40"/>
        <v>0.54102637229350881</v>
      </c>
      <c r="BN27">
        <f t="shared" si="41"/>
        <v>0.45897362770649119</v>
      </c>
      <c r="BO27">
        <v>16578</v>
      </c>
      <c r="BP27">
        <v>290.00000000000011</v>
      </c>
      <c r="BQ27">
        <v>1024.73</v>
      </c>
      <c r="BR27">
        <v>225</v>
      </c>
      <c r="BS27">
        <v>10299.9</v>
      </c>
      <c r="BT27">
        <v>1024.5</v>
      </c>
      <c r="BU27">
        <v>0.23</v>
      </c>
      <c r="BV27">
        <v>300.00000000000011</v>
      </c>
      <c r="BW27">
        <v>38.4</v>
      </c>
      <c r="BX27">
        <v>1144.5485871978151</v>
      </c>
      <c r="BY27">
        <v>1.5120976409567111</v>
      </c>
      <c r="BZ27">
        <v>-123.65137151059891</v>
      </c>
      <c r="CA27">
        <v>1.27478811843062</v>
      </c>
      <c r="CB27">
        <v>0.99703280820691265</v>
      </c>
      <c r="CC27">
        <v>-1.122075973303672E-2</v>
      </c>
      <c r="CD27">
        <v>289.99999999999989</v>
      </c>
      <c r="CE27">
        <v>1011.34</v>
      </c>
      <c r="CF27">
        <v>645</v>
      </c>
      <c r="CG27">
        <v>10281.1</v>
      </c>
      <c r="CH27">
        <v>1024.28</v>
      </c>
      <c r="CI27">
        <v>-12.94</v>
      </c>
      <c r="CW27">
        <f t="shared" si="42"/>
        <v>1800.15</v>
      </c>
      <c r="CX27">
        <f t="shared" si="43"/>
        <v>1513.3109998354305</v>
      </c>
      <c r="CY27">
        <f t="shared" si="44"/>
        <v>0.84065827838537366</v>
      </c>
      <c r="CZ27">
        <f t="shared" si="45"/>
        <v>0.19131655677074733</v>
      </c>
      <c r="DA27">
        <v>6</v>
      </c>
      <c r="DB27">
        <v>0.5</v>
      </c>
      <c r="DC27" t="s">
        <v>414</v>
      </c>
      <c r="DD27">
        <v>2</v>
      </c>
      <c r="DE27">
        <v>1693325940</v>
      </c>
      <c r="DF27">
        <v>634.548</v>
      </c>
      <c r="DG27">
        <v>700.125</v>
      </c>
      <c r="DH27">
        <v>28.880099999999999</v>
      </c>
      <c r="DI27">
        <v>23.657299999999999</v>
      </c>
      <c r="DJ27">
        <v>633.803</v>
      </c>
      <c r="DK27">
        <v>29.142299999999999</v>
      </c>
      <c r="DL27">
        <v>500.12099999999998</v>
      </c>
      <c r="DM27">
        <v>99.081900000000005</v>
      </c>
      <c r="DN27">
        <v>9.9809300000000004E-2</v>
      </c>
      <c r="DO27">
        <v>30.521699999999999</v>
      </c>
      <c r="DP27">
        <v>30.007400000000001</v>
      </c>
      <c r="DQ27">
        <v>999.9</v>
      </c>
      <c r="DR27">
        <v>0</v>
      </c>
      <c r="DS27">
        <v>0</v>
      </c>
      <c r="DT27">
        <v>10062.5</v>
      </c>
      <c r="DU27">
        <v>0</v>
      </c>
      <c r="DV27">
        <v>1584.15</v>
      </c>
      <c r="DW27">
        <v>-65.577500000000001</v>
      </c>
      <c r="DX27">
        <v>653.41800000000001</v>
      </c>
      <c r="DY27">
        <v>717.09</v>
      </c>
      <c r="DZ27">
        <v>5.2227600000000001</v>
      </c>
      <c r="EA27">
        <v>700.125</v>
      </c>
      <c r="EB27">
        <v>23.657299999999999</v>
      </c>
      <c r="EC27">
        <v>2.8614899999999999</v>
      </c>
      <c r="ED27">
        <v>2.3440099999999999</v>
      </c>
      <c r="EE27">
        <v>23.243200000000002</v>
      </c>
      <c r="EF27">
        <v>19.982099999999999</v>
      </c>
      <c r="EG27">
        <v>1800.15</v>
      </c>
      <c r="EH27">
        <v>0.97799599999999998</v>
      </c>
      <c r="EI27">
        <v>2.20038E-2</v>
      </c>
      <c r="EJ27">
        <v>0</v>
      </c>
      <c r="EK27">
        <v>719.82899999999995</v>
      </c>
      <c r="EL27">
        <v>5.0002500000000003</v>
      </c>
      <c r="EM27">
        <v>24174.799999999999</v>
      </c>
      <c r="EN27">
        <v>14823.3</v>
      </c>
      <c r="EO27">
        <v>47.811999999999998</v>
      </c>
      <c r="EP27">
        <v>50.25</v>
      </c>
      <c r="EQ27">
        <v>48.686999999999998</v>
      </c>
      <c r="ER27">
        <v>48.936999999999998</v>
      </c>
      <c r="ES27">
        <v>49.186999999999998</v>
      </c>
      <c r="ET27">
        <v>1755.65</v>
      </c>
      <c r="EU27">
        <v>39.5</v>
      </c>
      <c r="EV27">
        <v>0</v>
      </c>
      <c r="EW27">
        <v>97.400000095367432</v>
      </c>
      <c r="EX27">
        <v>0</v>
      </c>
      <c r="EY27">
        <v>719.45392000000004</v>
      </c>
      <c r="EZ27">
        <v>2.0528461448654229</v>
      </c>
      <c r="FA27">
        <v>-70.907691689635328</v>
      </c>
      <c r="FB27">
        <v>24174.011999999999</v>
      </c>
      <c r="FC27">
        <v>15</v>
      </c>
      <c r="FD27">
        <v>1693325911.5</v>
      </c>
      <c r="FE27" t="s">
        <v>475</v>
      </c>
      <c r="FF27">
        <v>1693325911.5</v>
      </c>
      <c r="FG27">
        <v>1693325906</v>
      </c>
      <c r="FH27">
        <v>29</v>
      </c>
      <c r="FI27">
        <v>1.4999999999999999E-2</v>
      </c>
      <c r="FJ27">
        <v>5.0000000000000001E-3</v>
      </c>
      <c r="FK27">
        <v>0.745</v>
      </c>
      <c r="FL27">
        <v>-0.26200000000000001</v>
      </c>
      <c r="FM27">
        <v>700</v>
      </c>
      <c r="FN27">
        <v>23</v>
      </c>
      <c r="FO27">
        <v>0.13</v>
      </c>
      <c r="FP27">
        <v>0.08</v>
      </c>
      <c r="FQ27">
        <v>51.740597751433292</v>
      </c>
      <c r="FR27">
        <v>-0.37787647403916641</v>
      </c>
      <c r="FS27">
        <v>0.1293649876887922</v>
      </c>
      <c r="FT27">
        <v>1</v>
      </c>
      <c r="FU27">
        <v>0.32348093448930643</v>
      </c>
      <c r="FV27">
        <v>3.871355481184801E-2</v>
      </c>
      <c r="FW27">
        <v>3.9143607604232118E-3</v>
      </c>
      <c r="FX27">
        <v>1</v>
      </c>
      <c r="FY27">
        <v>2</v>
      </c>
      <c r="FZ27">
        <v>2</v>
      </c>
      <c r="GA27" t="s">
        <v>415</v>
      </c>
      <c r="GB27">
        <v>2.9181300000000001</v>
      </c>
      <c r="GC27">
        <v>2.8302499999999999</v>
      </c>
      <c r="GD27">
        <v>0.125608</v>
      </c>
      <c r="GE27">
        <v>0.132136</v>
      </c>
      <c r="GF27">
        <v>0.13563</v>
      </c>
      <c r="GG27">
        <v>0.112863</v>
      </c>
      <c r="GH27">
        <v>22683.1</v>
      </c>
      <c r="GI27">
        <v>27725.8</v>
      </c>
      <c r="GJ27">
        <v>23357.599999999999</v>
      </c>
      <c r="GK27">
        <v>29253.7</v>
      </c>
      <c r="GL27">
        <v>27539.9</v>
      </c>
      <c r="GM27">
        <v>36774.400000000001</v>
      </c>
      <c r="GN27">
        <v>33021.699999999997</v>
      </c>
      <c r="GO27">
        <v>43221.4</v>
      </c>
      <c r="GP27">
        <v>1.9690000000000001</v>
      </c>
      <c r="GQ27">
        <v>1.8378000000000001</v>
      </c>
      <c r="GR27">
        <v>7.9721199999999992E-3</v>
      </c>
      <c r="GS27">
        <v>0</v>
      </c>
      <c r="GT27">
        <v>29.877600000000001</v>
      </c>
      <c r="GU27">
        <v>999.9</v>
      </c>
      <c r="GV27">
        <v>55.4</v>
      </c>
      <c r="GW27">
        <v>33.5</v>
      </c>
      <c r="GX27">
        <v>29.049199999999999</v>
      </c>
      <c r="GY27">
        <v>60.901299999999999</v>
      </c>
      <c r="GZ27">
        <v>38.441499999999998</v>
      </c>
      <c r="HA27">
        <v>1</v>
      </c>
      <c r="HB27">
        <v>0.47237800000000002</v>
      </c>
      <c r="HC27">
        <v>3.8897499999999998</v>
      </c>
      <c r="HD27">
        <v>20.2315</v>
      </c>
      <c r="HE27">
        <v>5.2107000000000001</v>
      </c>
      <c r="HF27">
        <v>11.872199999999999</v>
      </c>
      <c r="HG27">
        <v>4.9854000000000003</v>
      </c>
      <c r="HH27">
        <v>3.2839999999999998</v>
      </c>
      <c r="HI27">
        <v>9999</v>
      </c>
      <c r="HJ27">
        <v>9999</v>
      </c>
      <c r="HK27">
        <v>9999</v>
      </c>
      <c r="HL27">
        <v>999.9</v>
      </c>
      <c r="HM27">
        <v>1.8546800000000001</v>
      </c>
      <c r="HN27">
        <v>1.86077</v>
      </c>
      <c r="HO27">
        <v>1.8581399999999999</v>
      </c>
      <c r="HP27">
        <v>1.85928</v>
      </c>
      <c r="HQ27">
        <v>1.85867</v>
      </c>
      <c r="HR27">
        <v>1.85914</v>
      </c>
      <c r="HS27">
        <v>1.8575999999999999</v>
      </c>
      <c r="HT27">
        <v>1.8609599999999999</v>
      </c>
      <c r="HU27">
        <v>5</v>
      </c>
      <c r="HV27">
        <v>0</v>
      </c>
      <c r="HW27">
        <v>0</v>
      </c>
      <c r="HX27">
        <v>0</v>
      </c>
      <c r="HY27" t="s">
        <v>416</v>
      </c>
      <c r="HZ27" t="s">
        <v>417</v>
      </c>
      <c r="IA27" t="s">
        <v>418</v>
      </c>
      <c r="IB27" t="s">
        <v>418</v>
      </c>
      <c r="IC27" t="s">
        <v>418</v>
      </c>
      <c r="ID27" t="s">
        <v>418</v>
      </c>
      <c r="IE27">
        <v>0</v>
      </c>
      <c r="IF27">
        <v>100</v>
      </c>
      <c r="IG27">
        <v>100</v>
      </c>
      <c r="IH27">
        <v>0.745</v>
      </c>
      <c r="II27">
        <v>-0.26219999999999999</v>
      </c>
      <c r="IJ27">
        <v>0.74499999999989086</v>
      </c>
      <c r="IK27">
        <v>0</v>
      </c>
      <c r="IL27">
        <v>0</v>
      </c>
      <c r="IM27">
        <v>0</v>
      </c>
      <c r="IN27">
        <v>-0.26225000000000159</v>
      </c>
      <c r="IO27">
        <v>0</v>
      </c>
      <c r="IP27">
        <v>0</v>
      </c>
      <c r="IQ27">
        <v>0</v>
      </c>
      <c r="IR27">
        <v>-1</v>
      </c>
      <c r="IS27">
        <v>-1</v>
      </c>
      <c r="IT27">
        <v>-1</v>
      </c>
      <c r="IU27">
        <v>-1</v>
      </c>
      <c r="IV27">
        <v>0.5</v>
      </c>
      <c r="IW27">
        <v>0.6</v>
      </c>
      <c r="IX27">
        <v>1.55884</v>
      </c>
      <c r="IY27">
        <v>2.4438499999999999</v>
      </c>
      <c r="IZ27">
        <v>1.49414</v>
      </c>
      <c r="JA27">
        <v>2.2949199999999998</v>
      </c>
      <c r="JB27">
        <v>1.54419</v>
      </c>
      <c r="JC27">
        <v>2.50854</v>
      </c>
      <c r="JD27">
        <v>38.061999999999998</v>
      </c>
      <c r="JE27">
        <v>23.9299</v>
      </c>
      <c r="JF27">
        <v>18</v>
      </c>
      <c r="JG27">
        <v>521.43499999999995</v>
      </c>
      <c r="JH27">
        <v>466.41199999999998</v>
      </c>
      <c r="JI27">
        <v>24.275300000000001</v>
      </c>
      <c r="JJ27">
        <v>33.375599999999999</v>
      </c>
      <c r="JK27">
        <v>30.0002</v>
      </c>
      <c r="JL27">
        <v>33.261499999999998</v>
      </c>
      <c r="JM27">
        <v>33.229599999999998</v>
      </c>
      <c r="JN27">
        <v>31.275400000000001</v>
      </c>
      <c r="JO27">
        <v>25.270399999999999</v>
      </c>
      <c r="JP27">
        <v>69.190799999999996</v>
      </c>
      <c r="JQ27">
        <v>24.2713</v>
      </c>
      <c r="JR27">
        <v>700</v>
      </c>
      <c r="JS27">
        <v>23.659099999999999</v>
      </c>
      <c r="JT27">
        <v>97.944400000000002</v>
      </c>
      <c r="JU27">
        <v>97.317499999999995</v>
      </c>
    </row>
    <row r="28" spans="1:281" x14ac:dyDescent="0.25">
      <c r="A28">
        <v>26</v>
      </c>
      <c r="B28">
        <v>1693326046.5</v>
      </c>
      <c r="C28">
        <v>4639.9000000953674</v>
      </c>
      <c r="D28" t="s">
        <v>476</v>
      </c>
      <c r="E28" t="s">
        <v>477</v>
      </c>
      <c r="F28" t="s">
        <v>411</v>
      </c>
      <c r="G28" t="s">
        <v>422</v>
      </c>
      <c r="H28" t="s">
        <v>412</v>
      </c>
      <c r="I28" t="s">
        <v>31</v>
      </c>
      <c r="J28">
        <v>1693326046.5</v>
      </c>
      <c r="K28">
        <f t="shared" si="0"/>
        <v>4.2842644891121591E-3</v>
      </c>
      <c r="L28">
        <f t="shared" si="1"/>
        <v>4.2842644891121591</v>
      </c>
      <c r="M28">
        <f t="shared" si="2"/>
        <v>51.751189527977985</v>
      </c>
      <c r="N28">
        <f t="shared" si="3"/>
        <v>833.70799999999997</v>
      </c>
      <c r="O28">
        <f t="shared" si="4"/>
        <v>532.74469588512522</v>
      </c>
      <c r="P28">
        <f t="shared" si="5"/>
        <v>52.839038489403372</v>
      </c>
      <c r="Q28">
        <f t="shared" si="6"/>
        <v>82.689380938336797</v>
      </c>
      <c r="R28">
        <f t="shared" si="7"/>
        <v>0.30511439647303706</v>
      </c>
      <c r="S28">
        <f t="shared" si="8"/>
        <v>2.9125544242792989</v>
      </c>
      <c r="T28">
        <f t="shared" si="9"/>
        <v>0.28840420827213203</v>
      </c>
      <c r="U28">
        <f t="shared" si="10"/>
        <v>0.18167767020401904</v>
      </c>
      <c r="V28">
        <f t="shared" si="11"/>
        <v>344.38139967084436</v>
      </c>
      <c r="W28">
        <f t="shared" si="12"/>
        <v>31.408229674984355</v>
      </c>
      <c r="X28">
        <f t="shared" si="13"/>
        <v>30.026800000000001</v>
      </c>
      <c r="Y28">
        <f t="shared" si="14"/>
        <v>4.2670125820512483</v>
      </c>
      <c r="Z28">
        <f t="shared" si="15"/>
        <v>64.965341464800574</v>
      </c>
      <c r="AA28">
        <f t="shared" si="16"/>
        <v>2.8464829644212402</v>
      </c>
      <c r="AB28">
        <f t="shared" si="17"/>
        <v>4.3815408342978035</v>
      </c>
      <c r="AC28">
        <f t="shared" si="18"/>
        <v>1.4205296176300082</v>
      </c>
      <c r="AD28">
        <f t="shared" si="19"/>
        <v>-188.9360639698462</v>
      </c>
      <c r="AE28">
        <f t="shared" si="20"/>
        <v>72.543994964246409</v>
      </c>
      <c r="AF28">
        <f t="shared" si="21"/>
        <v>5.5523242281703089</v>
      </c>
      <c r="AG28">
        <f t="shared" si="22"/>
        <v>233.54165489341489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51765.6363013601</v>
      </c>
      <c r="AM28" t="s">
        <v>413</v>
      </c>
      <c r="AN28">
        <v>10366.9</v>
      </c>
      <c r="AO28">
        <v>993.59653846153856</v>
      </c>
      <c r="AP28">
        <v>3431.87</v>
      </c>
      <c r="AQ28">
        <f t="shared" si="26"/>
        <v>0.71047955241266758</v>
      </c>
      <c r="AR28">
        <v>-3.9894345373445681</v>
      </c>
      <c r="AS28" t="s">
        <v>478</v>
      </c>
      <c r="AT28">
        <v>10309.5</v>
      </c>
      <c r="AU28">
        <v>720.75191999999993</v>
      </c>
      <c r="AV28">
        <v>1156.5395078428251</v>
      </c>
      <c r="AW28">
        <f t="shared" si="27"/>
        <v>0.37680302738265736</v>
      </c>
      <c r="AX28">
        <v>0.5</v>
      </c>
      <c r="AY28">
        <f t="shared" si="28"/>
        <v>1513.2353998354222</v>
      </c>
      <c r="AZ28">
        <f t="shared" si="29"/>
        <v>51.751189527977985</v>
      </c>
      <c r="BA28">
        <f t="shared" si="30"/>
        <v>285.09583990029654</v>
      </c>
      <c r="BB28">
        <f t="shared" si="31"/>
        <v>3.6835395254026466E-2</v>
      </c>
      <c r="BC28">
        <f t="shared" si="32"/>
        <v>1.9673608006708878</v>
      </c>
      <c r="BD28">
        <f t="shared" si="33"/>
        <v>633.02887490100295</v>
      </c>
      <c r="BE28" t="s">
        <v>479</v>
      </c>
      <c r="BF28">
        <v>549.09</v>
      </c>
      <c r="BG28">
        <f t="shared" si="34"/>
        <v>549.09</v>
      </c>
      <c r="BH28">
        <f t="shared" si="35"/>
        <v>0.52523022665765962</v>
      </c>
      <c r="BI28">
        <f t="shared" si="36"/>
        <v>0.71740545052113747</v>
      </c>
      <c r="BJ28">
        <f t="shared" si="37"/>
        <v>0.78928343201950024</v>
      </c>
      <c r="BK28">
        <f t="shared" si="38"/>
        <v>2.6744792334248082</v>
      </c>
      <c r="BL28">
        <f t="shared" si="39"/>
        <v>0.93317280774631584</v>
      </c>
      <c r="BM28">
        <f t="shared" si="40"/>
        <v>0.54654056117762606</v>
      </c>
      <c r="BN28">
        <f t="shared" si="41"/>
        <v>0.45345943882237394</v>
      </c>
      <c r="BO28">
        <v>16580</v>
      </c>
      <c r="BP28">
        <v>290.00000000000011</v>
      </c>
      <c r="BQ28">
        <v>1034.81</v>
      </c>
      <c r="BR28">
        <v>155</v>
      </c>
      <c r="BS28">
        <v>10309.5</v>
      </c>
      <c r="BT28">
        <v>1034.3399999999999</v>
      </c>
      <c r="BU28">
        <v>0.47</v>
      </c>
      <c r="BV28">
        <v>300.00000000000011</v>
      </c>
      <c r="BW28">
        <v>38.4</v>
      </c>
      <c r="BX28">
        <v>1156.5395078428251</v>
      </c>
      <c r="BY28">
        <v>1.286085545847379</v>
      </c>
      <c r="BZ28">
        <v>-125.9824901056908</v>
      </c>
      <c r="CA28">
        <v>1.084189715026485</v>
      </c>
      <c r="CB28">
        <v>0.99793058042636518</v>
      </c>
      <c r="CC28">
        <v>-1.122041579532815E-2</v>
      </c>
      <c r="CD28">
        <v>289.99999999999989</v>
      </c>
      <c r="CE28">
        <v>1021.75</v>
      </c>
      <c r="CF28">
        <v>645</v>
      </c>
      <c r="CG28">
        <v>10280.6</v>
      </c>
      <c r="CH28">
        <v>1034</v>
      </c>
      <c r="CI28">
        <v>-12.25</v>
      </c>
      <c r="CW28">
        <f t="shared" si="42"/>
        <v>1800.06</v>
      </c>
      <c r="CX28">
        <f t="shared" si="43"/>
        <v>1513.2353998354222</v>
      </c>
      <c r="CY28">
        <f t="shared" si="44"/>
        <v>0.84065831129819124</v>
      </c>
      <c r="CZ28">
        <f t="shared" si="45"/>
        <v>0.19131662259638255</v>
      </c>
      <c r="DA28">
        <v>6</v>
      </c>
      <c r="DB28">
        <v>0.5</v>
      </c>
      <c r="DC28" t="s">
        <v>414</v>
      </c>
      <c r="DD28">
        <v>2</v>
      </c>
      <c r="DE28">
        <v>1693326046.5</v>
      </c>
      <c r="DF28">
        <v>833.70799999999997</v>
      </c>
      <c r="DG28">
        <v>900.1</v>
      </c>
      <c r="DH28">
        <v>28.699400000000001</v>
      </c>
      <c r="DI28">
        <v>23.705500000000001</v>
      </c>
      <c r="DJ28">
        <v>832.23500000000001</v>
      </c>
      <c r="DK28">
        <v>28.9572</v>
      </c>
      <c r="DL28">
        <v>499.96699999999998</v>
      </c>
      <c r="DM28">
        <v>99.0839</v>
      </c>
      <c r="DN28">
        <v>9.8764599999999994E-2</v>
      </c>
      <c r="DO28">
        <v>30.488800000000001</v>
      </c>
      <c r="DP28">
        <v>30.026800000000001</v>
      </c>
      <c r="DQ28">
        <v>999.9</v>
      </c>
      <c r="DR28">
        <v>0</v>
      </c>
      <c r="DS28">
        <v>0</v>
      </c>
      <c r="DT28">
        <v>9995</v>
      </c>
      <c r="DU28">
        <v>0</v>
      </c>
      <c r="DV28">
        <v>1588.02</v>
      </c>
      <c r="DW28">
        <v>-66.392300000000006</v>
      </c>
      <c r="DX28">
        <v>858.34199999999998</v>
      </c>
      <c r="DY28">
        <v>921.95600000000002</v>
      </c>
      <c r="DZ28">
        <v>4.9939099999999996</v>
      </c>
      <c r="EA28">
        <v>900.1</v>
      </c>
      <c r="EB28">
        <v>23.705500000000001</v>
      </c>
      <c r="EC28">
        <v>2.8436499999999998</v>
      </c>
      <c r="ED28">
        <v>2.34884</v>
      </c>
      <c r="EE28">
        <v>23.139700000000001</v>
      </c>
      <c r="EF28">
        <v>20.0153</v>
      </c>
      <c r="EG28">
        <v>1800.06</v>
      </c>
      <c r="EH28">
        <v>0.97799599999999998</v>
      </c>
      <c r="EI28">
        <v>2.20038E-2</v>
      </c>
      <c r="EJ28">
        <v>0</v>
      </c>
      <c r="EK28">
        <v>721.1</v>
      </c>
      <c r="EL28">
        <v>5.0002500000000003</v>
      </c>
      <c r="EM28">
        <v>24217.8</v>
      </c>
      <c r="EN28">
        <v>14822.5</v>
      </c>
      <c r="EO28">
        <v>47.811999999999998</v>
      </c>
      <c r="EP28">
        <v>50.311999999999998</v>
      </c>
      <c r="EQ28">
        <v>48.686999999999998</v>
      </c>
      <c r="ER28">
        <v>49</v>
      </c>
      <c r="ES28">
        <v>49.25</v>
      </c>
      <c r="ET28">
        <v>1755.56</v>
      </c>
      <c r="EU28">
        <v>39.5</v>
      </c>
      <c r="EV28">
        <v>0</v>
      </c>
      <c r="EW28">
        <v>104.5999999046326</v>
      </c>
      <c r="EX28">
        <v>0</v>
      </c>
      <c r="EY28">
        <v>720.75191999999993</v>
      </c>
      <c r="EZ28">
        <v>-0.3803846167781369</v>
      </c>
      <c r="FA28">
        <v>-25.000000654815889</v>
      </c>
      <c r="FB28">
        <v>24205.563999999998</v>
      </c>
      <c r="FC28">
        <v>15</v>
      </c>
      <c r="FD28">
        <v>1693326014.5</v>
      </c>
      <c r="FE28" t="s">
        <v>480</v>
      </c>
      <c r="FF28">
        <v>1693326005.5</v>
      </c>
      <c r="FG28">
        <v>1693326014.5</v>
      </c>
      <c r="FH28">
        <v>30</v>
      </c>
      <c r="FI28">
        <v>0.72699999999999998</v>
      </c>
      <c r="FJ28">
        <v>4.0000000000000001E-3</v>
      </c>
      <c r="FK28">
        <v>1.472</v>
      </c>
      <c r="FL28">
        <v>-0.25800000000000001</v>
      </c>
      <c r="FM28">
        <v>900</v>
      </c>
      <c r="FN28">
        <v>23</v>
      </c>
      <c r="FO28">
        <v>0.15</v>
      </c>
      <c r="FP28">
        <v>0.05</v>
      </c>
      <c r="FQ28">
        <v>51.891042359901768</v>
      </c>
      <c r="FR28">
        <v>-0.37026219261337828</v>
      </c>
      <c r="FS28">
        <v>8.6676351286427408E-2</v>
      </c>
      <c r="FT28">
        <v>1</v>
      </c>
      <c r="FU28">
        <v>0.30277183863897239</v>
      </c>
      <c r="FV28">
        <v>-1.621971486000764E-3</v>
      </c>
      <c r="FW28">
        <v>8.7214041678333439E-4</v>
      </c>
      <c r="FX28">
        <v>1</v>
      </c>
      <c r="FY28">
        <v>2</v>
      </c>
      <c r="FZ28">
        <v>2</v>
      </c>
      <c r="GA28" t="s">
        <v>415</v>
      </c>
      <c r="GB28">
        <v>2.9176799999999998</v>
      </c>
      <c r="GC28">
        <v>2.8286099999999998</v>
      </c>
      <c r="GD28">
        <v>0.15097099999999999</v>
      </c>
      <c r="GE28">
        <v>0.15618799999999999</v>
      </c>
      <c r="GF28">
        <v>0.135018</v>
      </c>
      <c r="GG28">
        <v>0.113013</v>
      </c>
      <c r="GH28">
        <v>22024.1</v>
      </c>
      <c r="GI28">
        <v>26953.8</v>
      </c>
      <c r="GJ28">
        <v>23357</v>
      </c>
      <c r="GK28">
        <v>29250.7</v>
      </c>
      <c r="GL28">
        <v>27560.400000000001</v>
      </c>
      <c r="GM28">
        <v>36767.9</v>
      </c>
      <c r="GN28">
        <v>33019.699999999997</v>
      </c>
      <c r="GO28">
        <v>43217.599999999999</v>
      </c>
      <c r="GP28">
        <v>1.9665999999999999</v>
      </c>
      <c r="GQ28">
        <v>1.8375999999999999</v>
      </c>
      <c r="GR28">
        <v>9.8496699999999996E-3</v>
      </c>
      <c r="GS28">
        <v>0</v>
      </c>
      <c r="GT28">
        <v>29.866499999999998</v>
      </c>
      <c r="GU28">
        <v>999.9</v>
      </c>
      <c r="GV28">
        <v>55.3</v>
      </c>
      <c r="GW28">
        <v>33.6</v>
      </c>
      <c r="GX28">
        <v>29.160299999999999</v>
      </c>
      <c r="GY28">
        <v>61.1614</v>
      </c>
      <c r="GZ28">
        <v>38.205100000000002</v>
      </c>
      <c r="HA28">
        <v>1</v>
      </c>
      <c r="HB28">
        <v>0.47753000000000001</v>
      </c>
      <c r="HC28">
        <v>3.8635299999999999</v>
      </c>
      <c r="HD28">
        <v>20.2302</v>
      </c>
      <c r="HE28">
        <v>5.1993200000000002</v>
      </c>
      <c r="HF28">
        <v>11.872199999999999</v>
      </c>
      <c r="HG28">
        <v>4.9813999999999998</v>
      </c>
      <c r="HH28">
        <v>3.2812999999999999</v>
      </c>
      <c r="HI28">
        <v>9999</v>
      </c>
      <c r="HJ28">
        <v>9999</v>
      </c>
      <c r="HK28">
        <v>9999</v>
      </c>
      <c r="HL28">
        <v>999.9</v>
      </c>
      <c r="HM28">
        <v>1.8547100000000001</v>
      </c>
      <c r="HN28">
        <v>1.86084</v>
      </c>
      <c r="HO28">
        <v>1.85822</v>
      </c>
      <c r="HP28">
        <v>1.85934</v>
      </c>
      <c r="HQ28">
        <v>1.8588</v>
      </c>
      <c r="HR28">
        <v>1.85928</v>
      </c>
      <c r="HS28">
        <v>1.85762</v>
      </c>
      <c r="HT28">
        <v>1.8610100000000001</v>
      </c>
      <c r="HU28">
        <v>5</v>
      </c>
      <c r="HV28">
        <v>0</v>
      </c>
      <c r="HW28">
        <v>0</v>
      </c>
      <c r="HX28">
        <v>0</v>
      </c>
      <c r="HY28" t="s">
        <v>416</v>
      </c>
      <c r="HZ28" t="s">
        <v>417</v>
      </c>
      <c r="IA28" t="s">
        <v>418</v>
      </c>
      <c r="IB28" t="s">
        <v>418</v>
      </c>
      <c r="IC28" t="s">
        <v>418</v>
      </c>
      <c r="ID28" t="s">
        <v>418</v>
      </c>
      <c r="IE28">
        <v>0</v>
      </c>
      <c r="IF28">
        <v>100</v>
      </c>
      <c r="IG28">
        <v>100</v>
      </c>
      <c r="IH28">
        <v>1.4730000000000001</v>
      </c>
      <c r="II28">
        <v>-0.25779999999999997</v>
      </c>
      <c r="IJ28">
        <v>1.472333333333268</v>
      </c>
      <c r="IK28">
        <v>0</v>
      </c>
      <c r="IL28">
        <v>0</v>
      </c>
      <c r="IM28">
        <v>0</v>
      </c>
      <c r="IN28">
        <v>-0.25781428571428577</v>
      </c>
      <c r="IO28">
        <v>0</v>
      </c>
      <c r="IP28">
        <v>0</v>
      </c>
      <c r="IQ28">
        <v>0</v>
      </c>
      <c r="IR28">
        <v>-1</v>
      </c>
      <c r="IS28">
        <v>-1</v>
      </c>
      <c r="IT28">
        <v>-1</v>
      </c>
      <c r="IU28">
        <v>-1</v>
      </c>
      <c r="IV28">
        <v>0.7</v>
      </c>
      <c r="IW28">
        <v>0.5</v>
      </c>
      <c r="IX28">
        <v>1.9055200000000001</v>
      </c>
      <c r="IY28">
        <v>2.4389599999999998</v>
      </c>
      <c r="IZ28">
        <v>1.49414</v>
      </c>
      <c r="JA28">
        <v>2.2949199999999998</v>
      </c>
      <c r="JB28">
        <v>1.54419</v>
      </c>
      <c r="JC28">
        <v>2.4316399999999998</v>
      </c>
      <c r="JD28">
        <v>38.013399999999997</v>
      </c>
      <c r="JE28">
        <v>23.9299</v>
      </c>
      <c r="JF28">
        <v>18</v>
      </c>
      <c r="JG28">
        <v>520.26300000000003</v>
      </c>
      <c r="JH28">
        <v>466.68900000000002</v>
      </c>
      <c r="JI28">
        <v>24.290700000000001</v>
      </c>
      <c r="JJ28">
        <v>33.427900000000001</v>
      </c>
      <c r="JK28">
        <v>30.000499999999999</v>
      </c>
      <c r="JL28">
        <v>33.314599999999999</v>
      </c>
      <c r="JM28">
        <v>33.281700000000001</v>
      </c>
      <c r="JN28">
        <v>38.187600000000003</v>
      </c>
      <c r="JO28">
        <v>25.329499999999999</v>
      </c>
      <c r="JP28">
        <v>68.884399999999999</v>
      </c>
      <c r="JQ28">
        <v>24.293700000000001</v>
      </c>
      <c r="JR28">
        <v>900</v>
      </c>
      <c r="JS28">
        <v>23.720600000000001</v>
      </c>
      <c r="JT28">
        <v>97.939800000000005</v>
      </c>
      <c r="JU28">
        <v>97.308300000000003</v>
      </c>
    </row>
    <row r="29" spans="1:281" x14ac:dyDescent="0.25">
      <c r="A29">
        <v>27</v>
      </c>
      <c r="B29">
        <v>1693326155.5</v>
      </c>
      <c r="C29">
        <v>4748.9000000953674</v>
      </c>
      <c r="D29" t="s">
        <v>481</v>
      </c>
      <c r="E29" t="s">
        <v>482</v>
      </c>
      <c r="F29" t="s">
        <v>411</v>
      </c>
      <c r="G29" t="s">
        <v>422</v>
      </c>
      <c r="H29" t="s">
        <v>412</v>
      </c>
      <c r="I29" t="s">
        <v>31</v>
      </c>
      <c r="J29">
        <v>1693326155.5</v>
      </c>
      <c r="K29">
        <f t="shared" si="0"/>
        <v>4.0473627486024687E-3</v>
      </c>
      <c r="L29">
        <f t="shared" si="1"/>
        <v>4.0473627486024686</v>
      </c>
      <c r="M29">
        <f t="shared" si="2"/>
        <v>51.86757873946457</v>
      </c>
      <c r="N29">
        <f t="shared" si="3"/>
        <v>1131.97</v>
      </c>
      <c r="O29">
        <f t="shared" si="4"/>
        <v>811.55367274516641</v>
      </c>
      <c r="P29">
        <f t="shared" si="5"/>
        <v>80.492444544146608</v>
      </c>
      <c r="Q29">
        <f t="shared" si="6"/>
        <v>112.27234317408899</v>
      </c>
      <c r="R29">
        <f t="shared" si="7"/>
        <v>0.29192500485687445</v>
      </c>
      <c r="S29">
        <f t="shared" si="8"/>
        <v>2.9020322435760106</v>
      </c>
      <c r="T29">
        <f t="shared" si="9"/>
        <v>0.27653683403058416</v>
      </c>
      <c r="U29">
        <f t="shared" si="10"/>
        <v>0.17415046191492325</v>
      </c>
      <c r="V29">
        <f t="shared" si="11"/>
        <v>344.33009967079494</v>
      </c>
      <c r="W29">
        <f t="shared" si="12"/>
        <v>31.409367101741658</v>
      </c>
      <c r="X29">
        <f t="shared" si="13"/>
        <v>29.934100000000001</v>
      </c>
      <c r="Y29">
        <f t="shared" si="14"/>
        <v>4.24434951437427</v>
      </c>
      <c r="Z29">
        <f t="shared" si="15"/>
        <v>65.15936830815707</v>
      </c>
      <c r="AA29">
        <f t="shared" si="16"/>
        <v>2.8445923979447398</v>
      </c>
      <c r="AB29">
        <f t="shared" si="17"/>
        <v>4.3655923496554756</v>
      </c>
      <c r="AC29">
        <f t="shared" si="18"/>
        <v>1.3997571164295302</v>
      </c>
      <c r="AD29">
        <f t="shared" si="19"/>
        <v>-178.48869721336888</v>
      </c>
      <c r="AE29">
        <f t="shared" si="20"/>
        <v>76.819091896993868</v>
      </c>
      <c r="AF29">
        <f t="shared" si="21"/>
        <v>5.8962834761750376</v>
      </c>
      <c r="AG29">
        <f t="shared" si="22"/>
        <v>248.55677783059497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51477.990512659606</v>
      </c>
      <c r="AM29" t="s">
        <v>413</v>
      </c>
      <c r="AN29">
        <v>10366.9</v>
      </c>
      <c r="AO29">
        <v>993.59653846153856</v>
      </c>
      <c r="AP29">
        <v>3431.87</v>
      </c>
      <c r="AQ29">
        <f t="shared" si="26"/>
        <v>0.71047955241266758</v>
      </c>
      <c r="AR29">
        <v>-3.9894345373445681</v>
      </c>
      <c r="AS29" t="s">
        <v>483</v>
      </c>
      <c r="AT29">
        <v>10296.799999999999</v>
      </c>
      <c r="AU29">
        <v>718.13888461538465</v>
      </c>
      <c r="AV29">
        <v>1158.70399053704</v>
      </c>
      <c r="AW29">
        <f t="shared" si="27"/>
        <v>0.3802223083027968</v>
      </c>
      <c r="AX29">
        <v>0.5</v>
      </c>
      <c r="AY29">
        <f t="shared" si="28"/>
        <v>1513.0085998353975</v>
      </c>
      <c r="AZ29">
        <f t="shared" si="29"/>
        <v>51.86757873946457</v>
      </c>
      <c r="BA29">
        <f t="shared" si="30"/>
        <v>287.63981115569868</v>
      </c>
      <c r="BB29">
        <f t="shared" si="31"/>
        <v>3.6917842557461944E-2</v>
      </c>
      <c r="BC29">
        <f t="shared" si="32"/>
        <v>1.9618177101551062</v>
      </c>
      <c r="BD29">
        <f t="shared" si="33"/>
        <v>633.67678158008334</v>
      </c>
      <c r="BE29" t="s">
        <v>484</v>
      </c>
      <c r="BF29">
        <v>548.87</v>
      </c>
      <c r="BG29">
        <f t="shared" si="34"/>
        <v>548.87</v>
      </c>
      <c r="BH29">
        <f t="shared" si="35"/>
        <v>0.52630697358208978</v>
      </c>
      <c r="BI29">
        <f t="shared" si="36"/>
        <v>0.72243448669313948</v>
      </c>
      <c r="BJ29">
        <f t="shared" si="37"/>
        <v>0.78847242784008309</v>
      </c>
      <c r="BK29">
        <f t="shared" si="38"/>
        <v>2.6683538531028312</v>
      </c>
      <c r="BL29">
        <f t="shared" si="39"/>
        <v>0.93228509653247627</v>
      </c>
      <c r="BM29">
        <f t="shared" si="40"/>
        <v>0.55215310743635615</v>
      </c>
      <c r="BN29">
        <f t="shared" si="41"/>
        <v>0.44784689256364385</v>
      </c>
      <c r="BO29">
        <v>16582</v>
      </c>
      <c r="BP29">
        <v>290.00000000000011</v>
      </c>
      <c r="BQ29">
        <v>1035.76</v>
      </c>
      <c r="BR29">
        <v>245</v>
      </c>
      <c r="BS29">
        <v>10296.799999999999</v>
      </c>
      <c r="BT29">
        <v>1035.78</v>
      </c>
      <c r="BU29">
        <v>-0.02</v>
      </c>
      <c r="BV29">
        <v>300.00000000000011</v>
      </c>
      <c r="BW29">
        <v>38.4</v>
      </c>
      <c r="BX29">
        <v>1158.70399053704</v>
      </c>
      <c r="BY29">
        <v>1.355507475935851</v>
      </c>
      <c r="BZ29">
        <v>-126.5744536872953</v>
      </c>
      <c r="CA29">
        <v>1.1427188332474609</v>
      </c>
      <c r="CB29">
        <v>0.99772304377497045</v>
      </c>
      <c r="CC29">
        <v>-1.1220244048943289E-2</v>
      </c>
      <c r="CD29">
        <v>289.99999999999989</v>
      </c>
      <c r="CE29">
        <v>1022.82</v>
      </c>
      <c r="CF29">
        <v>635</v>
      </c>
      <c r="CG29">
        <v>10281.4</v>
      </c>
      <c r="CH29">
        <v>1035.5899999999999</v>
      </c>
      <c r="CI29">
        <v>-12.77</v>
      </c>
      <c r="CW29">
        <f t="shared" si="42"/>
        <v>1799.79</v>
      </c>
      <c r="CX29">
        <f t="shared" si="43"/>
        <v>1513.0085998353975</v>
      </c>
      <c r="CY29">
        <f t="shared" si="44"/>
        <v>0.84065841005639408</v>
      </c>
      <c r="CZ29">
        <f t="shared" si="45"/>
        <v>0.19131682011278814</v>
      </c>
      <c r="DA29">
        <v>6</v>
      </c>
      <c r="DB29">
        <v>0.5</v>
      </c>
      <c r="DC29" t="s">
        <v>414</v>
      </c>
      <c r="DD29">
        <v>2</v>
      </c>
      <c r="DE29">
        <v>1693326155.5</v>
      </c>
      <c r="DF29">
        <v>1131.97</v>
      </c>
      <c r="DG29">
        <v>1199.76</v>
      </c>
      <c r="DH29">
        <v>28.680199999999999</v>
      </c>
      <c r="DI29">
        <v>23.959099999999999</v>
      </c>
      <c r="DJ29">
        <v>1130.3699999999999</v>
      </c>
      <c r="DK29">
        <v>28.929600000000001</v>
      </c>
      <c r="DL29">
        <v>499.62299999999999</v>
      </c>
      <c r="DM29">
        <v>99.083699999999993</v>
      </c>
      <c r="DN29">
        <v>9.9443699999999996E-2</v>
      </c>
      <c r="DO29">
        <v>30.4251</v>
      </c>
      <c r="DP29">
        <v>29.934100000000001</v>
      </c>
      <c r="DQ29">
        <v>999.9</v>
      </c>
      <c r="DR29">
        <v>0</v>
      </c>
      <c r="DS29">
        <v>0</v>
      </c>
      <c r="DT29">
        <v>9935</v>
      </c>
      <c r="DU29">
        <v>0</v>
      </c>
      <c r="DV29">
        <v>1600.69</v>
      </c>
      <c r="DW29">
        <v>-67.788300000000007</v>
      </c>
      <c r="DX29">
        <v>1165.4000000000001</v>
      </c>
      <c r="DY29">
        <v>1229.21</v>
      </c>
      <c r="DZ29">
        <v>4.7210999999999999</v>
      </c>
      <c r="EA29">
        <v>1199.76</v>
      </c>
      <c r="EB29">
        <v>23.959099999999999</v>
      </c>
      <c r="EC29">
        <v>2.8417400000000002</v>
      </c>
      <c r="ED29">
        <v>2.3739599999999998</v>
      </c>
      <c r="EE29">
        <v>23.128599999999999</v>
      </c>
      <c r="EF29">
        <v>20.187200000000001</v>
      </c>
      <c r="EG29">
        <v>1799.79</v>
      </c>
      <c r="EH29">
        <v>0.97799199999999997</v>
      </c>
      <c r="EI29">
        <v>2.2007599999999999E-2</v>
      </c>
      <c r="EJ29">
        <v>0</v>
      </c>
      <c r="EK29">
        <v>718.09699999999998</v>
      </c>
      <c r="EL29">
        <v>5.0002500000000003</v>
      </c>
      <c r="EM29">
        <v>24249.3</v>
      </c>
      <c r="EN29">
        <v>14820.3</v>
      </c>
      <c r="EO29">
        <v>47.811999999999998</v>
      </c>
      <c r="EP29">
        <v>50.25</v>
      </c>
      <c r="EQ29">
        <v>48.686999999999998</v>
      </c>
      <c r="ER29">
        <v>48.936999999999998</v>
      </c>
      <c r="ES29">
        <v>49.186999999999998</v>
      </c>
      <c r="ET29">
        <v>1755.29</v>
      </c>
      <c r="EU29">
        <v>39.5</v>
      </c>
      <c r="EV29">
        <v>0</v>
      </c>
      <c r="EW29">
        <v>107</v>
      </c>
      <c r="EX29">
        <v>0</v>
      </c>
      <c r="EY29">
        <v>718.13888461538465</v>
      </c>
      <c r="EZ29">
        <v>-2.168581189049434</v>
      </c>
      <c r="FA29">
        <v>-48.947009536138779</v>
      </c>
      <c r="FB29">
        <v>24198.419230769228</v>
      </c>
      <c r="FC29">
        <v>15</v>
      </c>
      <c r="FD29">
        <v>1693326124</v>
      </c>
      <c r="FE29" t="s">
        <v>485</v>
      </c>
      <c r="FF29">
        <v>1693326124</v>
      </c>
      <c r="FG29">
        <v>1693326123</v>
      </c>
      <c r="FH29">
        <v>31</v>
      </c>
      <c r="FI29">
        <v>0.13400000000000001</v>
      </c>
      <c r="FJ29">
        <v>8.0000000000000002E-3</v>
      </c>
      <c r="FK29">
        <v>1.6060000000000001</v>
      </c>
      <c r="FL29">
        <v>-0.249</v>
      </c>
      <c r="FM29">
        <v>1200</v>
      </c>
      <c r="FN29">
        <v>24</v>
      </c>
      <c r="FO29">
        <v>0.17</v>
      </c>
      <c r="FP29">
        <v>0.05</v>
      </c>
      <c r="FQ29">
        <v>52.027014786304171</v>
      </c>
      <c r="FR29">
        <v>-0.1586242373619477</v>
      </c>
      <c r="FS29">
        <v>0.1362664398339358</v>
      </c>
      <c r="FT29">
        <v>1</v>
      </c>
      <c r="FU29">
        <v>0.29581505169237549</v>
      </c>
      <c r="FV29">
        <v>-1.7358982175899811E-2</v>
      </c>
      <c r="FW29">
        <v>1.7494881039766849E-3</v>
      </c>
      <c r="FX29">
        <v>1</v>
      </c>
      <c r="FY29">
        <v>2</v>
      </c>
      <c r="FZ29">
        <v>2</v>
      </c>
      <c r="GA29" t="s">
        <v>415</v>
      </c>
      <c r="GB29">
        <v>2.9167900000000002</v>
      </c>
      <c r="GC29">
        <v>2.8287599999999999</v>
      </c>
      <c r="GD29">
        <v>0.18362500000000001</v>
      </c>
      <c r="GE29">
        <v>0.18739</v>
      </c>
      <c r="GF29">
        <v>0.13491600000000001</v>
      </c>
      <c r="GG29">
        <v>0.113847</v>
      </c>
      <c r="GH29">
        <v>21176.2</v>
      </c>
      <c r="GI29">
        <v>25954.5</v>
      </c>
      <c r="GJ29">
        <v>23357.200000000001</v>
      </c>
      <c r="GK29">
        <v>29249.3</v>
      </c>
      <c r="GL29">
        <v>27568.2</v>
      </c>
      <c r="GM29">
        <v>36735.199999999997</v>
      </c>
      <c r="GN29">
        <v>33021.5</v>
      </c>
      <c r="GO29">
        <v>43215.7</v>
      </c>
      <c r="GP29">
        <v>1.9666999999999999</v>
      </c>
      <c r="GQ29">
        <v>1.8378000000000001</v>
      </c>
      <c r="GR29">
        <v>1.8328400000000002E-2</v>
      </c>
      <c r="GS29">
        <v>0</v>
      </c>
      <c r="GT29">
        <v>29.6358</v>
      </c>
      <c r="GU29">
        <v>999.9</v>
      </c>
      <c r="GV29">
        <v>55.2</v>
      </c>
      <c r="GW29">
        <v>33.6</v>
      </c>
      <c r="GX29">
        <v>29.107900000000001</v>
      </c>
      <c r="GY29">
        <v>61.241300000000003</v>
      </c>
      <c r="GZ29">
        <v>38.814100000000003</v>
      </c>
      <c r="HA29">
        <v>1</v>
      </c>
      <c r="HB29">
        <v>0.47575200000000001</v>
      </c>
      <c r="HC29">
        <v>2.9085399999999999</v>
      </c>
      <c r="HD29">
        <v>20.250299999999999</v>
      </c>
      <c r="HE29">
        <v>5.2065099999999997</v>
      </c>
      <c r="HF29">
        <v>11.872199999999999</v>
      </c>
      <c r="HG29">
        <v>4.9832000000000001</v>
      </c>
      <c r="HH29">
        <v>3.2831000000000001</v>
      </c>
      <c r="HI29">
        <v>9999</v>
      </c>
      <c r="HJ29">
        <v>9999</v>
      </c>
      <c r="HK29">
        <v>9999</v>
      </c>
      <c r="HL29">
        <v>999.9</v>
      </c>
      <c r="HM29">
        <v>1.85466</v>
      </c>
      <c r="HN29">
        <v>1.8607800000000001</v>
      </c>
      <c r="HO29">
        <v>1.85819</v>
      </c>
      <c r="HP29">
        <v>1.8593</v>
      </c>
      <c r="HQ29">
        <v>1.85869</v>
      </c>
      <c r="HR29">
        <v>1.85921</v>
      </c>
      <c r="HS29">
        <v>1.8575999999999999</v>
      </c>
      <c r="HT29">
        <v>1.8609599999999999</v>
      </c>
      <c r="HU29">
        <v>5</v>
      </c>
      <c r="HV29">
        <v>0</v>
      </c>
      <c r="HW29">
        <v>0</v>
      </c>
      <c r="HX29">
        <v>0</v>
      </c>
      <c r="HY29" t="s">
        <v>416</v>
      </c>
      <c r="HZ29" t="s">
        <v>417</v>
      </c>
      <c r="IA29" t="s">
        <v>418</v>
      </c>
      <c r="IB29" t="s">
        <v>418</v>
      </c>
      <c r="IC29" t="s">
        <v>418</v>
      </c>
      <c r="ID29" t="s">
        <v>418</v>
      </c>
      <c r="IE29">
        <v>0</v>
      </c>
      <c r="IF29">
        <v>100</v>
      </c>
      <c r="IG29">
        <v>100</v>
      </c>
      <c r="IH29">
        <v>1.6</v>
      </c>
      <c r="II29">
        <v>-0.24940000000000001</v>
      </c>
      <c r="IJ29">
        <v>1.6054999999999999</v>
      </c>
      <c r="IK29">
        <v>0</v>
      </c>
      <c r="IL29">
        <v>0</v>
      </c>
      <c r="IM29">
        <v>0</v>
      </c>
      <c r="IN29">
        <v>-0.24936499999999739</v>
      </c>
      <c r="IO29">
        <v>0</v>
      </c>
      <c r="IP29">
        <v>0</v>
      </c>
      <c r="IQ29">
        <v>0</v>
      </c>
      <c r="IR29">
        <v>-1</v>
      </c>
      <c r="IS29">
        <v>-1</v>
      </c>
      <c r="IT29">
        <v>-1</v>
      </c>
      <c r="IU29">
        <v>-1</v>
      </c>
      <c r="IV29">
        <v>0.5</v>
      </c>
      <c r="IW29">
        <v>0.5</v>
      </c>
      <c r="IX29">
        <v>2.3925800000000002</v>
      </c>
      <c r="IY29">
        <v>2.4255399999999998</v>
      </c>
      <c r="IZ29">
        <v>1.49414</v>
      </c>
      <c r="JA29">
        <v>2.2949199999999998</v>
      </c>
      <c r="JB29">
        <v>1.54419</v>
      </c>
      <c r="JC29">
        <v>2.49756</v>
      </c>
      <c r="JD29">
        <v>37.9649</v>
      </c>
      <c r="JE29">
        <v>23.938700000000001</v>
      </c>
      <c r="JF29">
        <v>18</v>
      </c>
      <c r="JG29">
        <v>520.64800000000002</v>
      </c>
      <c r="JH29">
        <v>467.13600000000002</v>
      </c>
      <c r="JI29">
        <v>24.898599999999998</v>
      </c>
      <c r="JJ29">
        <v>33.460900000000002</v>
      </c>
      <c r="JK29">
        <v>30.0001</v>
      </c>
      <c r="JL29">
        <v>33.353099999999998</v>
      </c>
      <c r="JM29">
        <v>33.32</v>
      </c>
      <c r="JN29">
        <v>47.950600000000001</v>
      </c>
      <c r="JO29">
        <v>24.793600000000001</v>
      </c>
      <c r="JP29">
        <v>68.771699999999996</v>
      </c>
      <c r="JQ29">
        <v>24.918199999999999</v>
      </c>
      <c r="JR29">
        <v>1200</v>
      </c>
      <c r="JS29">
        <v>23.901399999999999</v>
      </c>
      <c r="JT29">
        <v>97.943200000000004</v>
      </c>
      <c r="JU29">
        <v>97.304000000000002</v>
      </c>
    </row>
    <row r="30" spans="1:281" x14ac:dyDescent="0.25">
      <c r="A30">
        <v>28</v>
      </c>
      <c r="B30">
        <v>1693326265.5</v>
      </c>
      <c r="C30">
        <v>4858.9000000953674</v>
      </c>
      <c r="D30" t="s">
        <v>486</v>
      </c>
      <c r="E30" t="s">
        <v>487</v>
      </c>
      <c r="F30" t="s">
        <v>411</v>
      </c>
      <c r="G30" t="s">
        <v>422</v>
      </c>
      <c r="H30" t="s">
        <v>412</v>
      </c>
      <c r="I30" t="s">
        <v>31</v>
      </c>
      <c r="J30">
        <v>1693326265.5</v>
      </c>
      <c r="K30">
        <f t="shared" si="0"/>
        <v>3.4168628374274175E-3</v>
      </c>
      <c r="L30">
        <f t="shared" si="1"/>
        <v>3.4168628374274173</v>
      </c>
      <c r="M30">
        <f t="shared" si="2"/>
        <v>52.375822536468</v>
      </c>
      <c r="N30">
        <f t="shared" si="3"/>
        <v>1431.39</v>
      </c>
      <c r="O30">
        <f t="shared" si="4"/>
        <v>1036.7063188426062</v>
      </c>
      <c r="P30">
        <f t="shared" si="5"/>
        <v>102.82280827317953</v>
      </c>
      <c r="Q30">
        <f t="shared" si="6"/>
        <v>141.96840210104997</v>
      </c>
      <c r="R30">
        <f t="shared" si="7"/>
        <v>0.23830520317336493</v>
      </c>
      <c r="S30">
        <f t="shared" si="8"/>
        <v>2.9177661204392731</v>
      </c>
      <c r="T30">
        <f t="shared" si="9"/>
        <v>0.22799625538968013</v>
      </c>
      <c r="U30">
        <f t="shared" si="10"/>
        <v>0.14338671329413835</v>
      </c>
      <c r="V30">
        <f t="shared" si="11"/>
        <v>344.34909967081325</v>
      </c>
      <c r="W30">
        <f t="shared" si="12"/>
        <v>31.695742865460492</v>
      </c>
      <c r="X30">
        <f t="shared" si="13"/>
        <v>30.0487</v>
      </c>
      <c r="Y30">
        <f t="shared" si="14"/>
        <v>4.2723820144751983</v>
      </c>
      <c r="Z30">
        <f t="shared" si="15"/>
        <v>64.566268136531662</v>
      </c>
      <c r="AA30">
        <f t="shared" si="16"/>
        <v>2.8392787780454998</v>
      </c>
      <c r="AB30">
        <f t="shared" si="17"/>
        <v>4.3974645894688669</v>
      </c>
      <c r="AC30">
        <f t="shared" si="18"/>
        <v>1.4331032364296985</v>
      </c>
      <c r="AD30">
        <f t="shared" si="19"/>
        <v>-150.68365113054912</v>
      </c>
      <c r="AE30">
        <f t="shared" si="20"/>
        <v>79.20186266735881</v>
      </c>
      <c r="AF30">
        <f t="shared" si="21"/>
        <v>6.0536260422476005</v>
      </c>
      <c r="AG30">
        <f t="shared" si="22"/>
        <v>278.92093724987052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51902.827982248018</v>
      </c>
      <c r="AM30" t="s">
        <v>413</v>
      </c>
      <c r="AN30">
        <v>10366.9</v>
      </c>
      <c r="AO30">
        <v>993.59653846153856</v>
      </c>
      <c r="AP30">
        <v>3431.87</v>
      </c>
      <c r="AQ30">
        <f t="shared" si="26"/>
        <v>0.71047955241266758</v>
      </c>
      <c r="AR30">
        <v>-3.9894345373445681</v>
      </c>
      <c r="AS30" t="s">
        <v>488</v>
      </c>
      <c r="AT30">
        <v>10292.799999999999</v>
      </c>
      <c r="AU30">
        <v>714.60080769230785</v>
      </c>
      <c r="AV30">
        <v>1162.1761375550891</v>
      </c>
      <c r="AW30">
        <f t="shared" si="27"/>
        <v>0.38511832707592952</v>
      </c>
      <c r="AX30">
        <v>0.5</v>
      </c>
      <c r="AY30">
        <f t="shared" si="28"/>
        <v>1513.0925998354069</v>
      </c>
      <c r="AZ30">
        <f t="shared" si="29"/>
        <v>52.375822536468</v>
      </c>
      <c r="BA30">
        <f t="shared" si="30"/>
        <v>291.35984537979039</v>
      </c>
      <c r="BB30">
        <f t="shared" si="31"/>
        <v>3.7251690398818912E-2</v>
      </c>
      <c r="BC30">
        <f t="shared" si="32"/>
        <v>1.952968908155132</v>
      </c>
      <c r="BD30">
        <f t="shared" si="33"/>
        <v>634.71383088727941</v>
      </c>
      <c r="BE30" t="s">
        <v>489</v>
      </c>
      <c r="BF30">
        <v>548.33000000000004</v>
      </c>
      <c r="BG30">
        <f t="shared" si="34"/>
        <v>548.33000000000004</v>
      </c>
      <c r="BH30">
        <f t="shared" si="35"/>
        <v>0.52818683650350873</v>
      </c>
      <c r="BI30">
        <f t="shared" si="36"/>
        <v>0.72913276223492407</v>
      </c>
      <c r="BJ30">
        <f t="shared" si="37"/>
        <v>0.78712064422373573</v>
      </c>
      <c r="BK30">
        <f t="shared" si="38"/>
        <v>2.654979204301029</v>
      </c>
      <c r="BL30">
        <f t="shared" si="39"/>
        <v>0.93086107782710181</v>
      </c>
      <c r="BM30">
        <f t="shared" si="40"/>
        <v>0.55948071036665237</v>
      </c>
      <c r="BN30">
        <f t="shared" si="41"/>
        <v>0.44051928963334763</v>
      </c>
      <c r="BO30">
        <v>16584</v>
      </c>
      <c r="BP30">
        <v>290.00000000000011</v>
      </c>
      <c r="BQ30">
        <v>1036.06</v>
      </c>
      <c r="BR30">
        <v>285</v>
      </c>
      <c r="BS30">
        <v>10292.799999999999</v>
      </c>
      <c r="BT30">
        <v>1036.08</v>
      </c>
      <c r="BU30">
        <v>-0.02</v>
      </c>
      <c r="BV30">
        <v>300.00000000000011</v>
      </c>
      <c r="BW30">
        <v>38.4</v>
      </c>
      <c r="BX30">
        <v>1162.1761375550891</v>
      </c>
      <c r="BY30">
        <v>1.345596552055121</v>
      </c>
      <c r="BZ30">
        <v>-129.78801729653549</v>
      </c>
      <c r="CA30">
        <v>1.134434286850607</v>
      </c>
      <c r="CB30">
        <v>0.9978653853719518</v>
      </c>
      <c r="CC30">
        <v>-1.122095728587319E-2</v>
      </c>
      <c r="CD30">
        <v>289.99999999999989</v>
      </c>
      <c r="CE30">
        <v>1023.16</v>
      </c>
      <c r="CF30">
        <v>645</v>
      </c>
      <c r="CG30">
        <v>10281.299999999999</v>
      </c>
      <c r="CH30">
        <v>1035.94</v>
      </c>
      <c r="CI30">
        <v>-12.78</v>
      </c>
      <c r="CW30">
        <f t="shared" si="42"/>
        <v>1799.89</v>
      </c>
      <c r="CX30">
        <f t="shared" si="43"/>
        <v>1513.0925998354069</v>
      </c>
      <c r="CY30">
        <f t="shared" si="44"/>
        <v>0.84065837347582728</v>
      </c>
      <c r="CZ30">
        <f t="shared" si="45"/>
        <v>0.1913167469516544</v>
      </c>
      <c r="DA30">
        <v>6</v>
      </c>
      <c r="DB30">
        <v>0.5</v>
      </c>
      <c r="DC30" t="s">
        <v>414</v>
      </c>
      <c r="DD30">
        <v>2</v>
      </c>
      <c r="DE30">
        <v>1693326265.5</v>
      </c>
      <c r="DF30">
        <v>1431.39</v>
      </c>
      <c r="DG30">
        <v>1500.04</v>
      </c>
      <c r="DH30">
        <v>28.626899999999999</v>
      </c>
      <c r="DI30">
        <v>24.648099999999999</v>
      </c>
      <c r="DJ30">
        <v>1429.52</v>
      </c>
      <c r="DK30">
        <v>28.870999999999999</v>
      </c>
      <c r="DL30">
        <v>500.51</v>
      </c>
      <c r="DM30">
        <v>99.082099999999997</v>
      </c>
      <c r="DN30">
        <v>0.100095</v>
      </c>
      <c r="DO30">
        <v>30.552199999999999</v>
      </c>
      <c r="DP30">
        <v>30.0487</v>
      </c>
      <c r="DQ30">
        <v>999.9</v>
      </c>
      <c r="DR30">
        <v>0</v>
      </c>
      <c r="DS30">
        <v>0</v>
      </c>
      <c r="DT30">
        <v>10025</v>
      </c>
      <c r="DU30">
        <v>0</v>
      </c>
      <c r="DV30">
        <v>1609.35</v>
      </c>
      <c r="DW30">
        <v>-68.650000000000006</v>
      </c>
      <c r="DX30">
        <v>1473.57</v>
      </c>
      <c r="DY30">
        <v>1537.95</v>
      </c>
      <c r="DZ30">
        <v>3.97878</v>
      </c>
      <c r="EA30">
        <v>1500.04</v>
      </c>
      <c r="EB30">
        <v>24.648099999999999</v>
      </c>
      <c r="EC30">
        <v>2.8364199999999999</v>
      </c>
      <c r="ED30">
        <v>2.4421900000000001</v>
      </c>
      <c r="EE30">
        <v>23.0976</v>
      </c>
      <c r="EF30">
        <v>20.6463</v>
      </c>
      <c r="EG30">
        <v>1799.89</v>
      </c>
      <c r="EH30">
        <v>0.97799199999999997</v>
      </c>
      <c r="EI30">
        <v>2.2007599999999999E-2</v>
      </c>
      <c r="EJ30">
        <v>0</v>
      </c>
      <c r="EK30">
        <v>714.46600000000001</v>
      </c>
      <c r="EL30">
        <v>5.0002500000000003</v>
      </c>
      <c r="EM30">
        <v>24130.6</v>
      </c>
      <c r="EN30">
        <v>14821.1</v>
      </c>
      <c r="EO30">
        <v>47.686999999999998</v>
      </c>
      <c r="EP30">
        <v>50.061999999999998</v>
      </c>
      <c r="EQ30">
        <v>48.561999999999998</v>
      </c>
      <c r="ER30">
        <v>48.811999999999998</v>
      </c>
      <c r="ES30">
        <v>49.125</v>
      </c>
      <c r="ET30">
        <v>1755.39</v>
      </c>
      <c r="EU30">
        <v>39.5</v>
      </c>
      <c r="EV30">
        <v>0</v>
      </c>
      <c r="EW30">
        <v>108.2000000476837</v>
      </c>
      <c r="EX30">
        <v>0</v>
      </c>
      <c r="EY30">
        <v>714.60080769230785</v>
      </c>
      <c r="EZ30">
        <v>-1.6299145193953379</v>
      </c>
      <c r="FA30">
        <v>-34.618803204634048</v>
      </c>
      <c r="FB30">
        <v>24143.576923076929</v>
      </c>
      <c r="FC30">
        <v>15</v>
      </c>
      <c r="FD30">
        <v>1693326227.5</v>
      </c>
      <c r="FE30" t="s">
        <v>490</v>
      </c>
      <c r="FF30">
        <v>1693326227.5</v>
      </c>
      <c r="FG30">
        <v>1693326226.5</v>
      </c>
      <c r="FH30">
        <v>32</v>
      </c>
      <c r="FI30">
        <v>0.26800000000000002</v>
      </c>
      <c r="FJ30">
        <v>5.0000000000000001E-3</v>
      </c>
      <c r="FK30">
        <v>1.8740000000000001</v>
      </c>
      <c r="FL30">
        <v>-0.24399999999999999</v>
      </c>
      <c r="FM30">
        <v>1500</v>
      </c>
      <c r="FN30">
        <v>24</v>
      </c>
      <c r="FO30">
        <v>0.18</v>
      </c>
      <c r="FP30">
        <v>0.08</v>
      </c>
      <c r="FQ30">
        <v>52.126291736303493</v>
      </c>
      <c r="FR30">
        <v>-0.3228810089274522</v>
      </c>
      <c r="FS30">
        <v>0.1362118360085175</v>
      </c>
      <c r="FT30">
        <v>1</v>
      </c>
      <c r="FU30">
        <v>0.24459679839990081</v>
      </c>
      <c r="FV30">
        <v>-2.8447989785430831E-2</v>
      </c>
      <c r="FW30">
        <v>2.1080389852364419E-3</v>
      </c>
      <c r="FX30">
        <v>1</v>
      </c>
      <c r="FY30">
        <v>2</v>
      </c>
      <c r="FZ30">
        <v>2</v>
      </c>
      <c r="GA30" t="s">
        <v>415</v>
      </c>
      <c r="GB30">
        <v>2.9190499999999999</v>
      </c>
      <c r="GC30">
        <v>2.8302</v>
      </c>
      <c r="GD30">
        <v>0.21182699999999999</v>
      </c>
      <c r="GE30">
        <v>0.214527</v>
      </c>
      <c r="GF30">
        <v>0.13472799999999999</v>
      </c>
      <c r="GG30">
        <v>0.116123</v>
      </c>
      <c r="GH30">
        <v>20445.5</v>
      </c>
      <c r="GI30">
        <v>25086.5</v>
      </c>
      <c r="GJ30">
        <v>23359.5</v>
      </c>
      <c r="GK30">
        <v>29249.599999999999</v>
      </c>
      <c r="GL30">
        <v>27579.9</v>
      </c>
      <c r="GM30">
        <v>36643</v>
      </c>
      <c r="GN30">
        <v>33025.4</v>
      </c>
      <c r="GO30">
        <v>43215.5</v>
      </c>
      <c r="GP30">
        <v>1.9673</v>
      </c>
      <c r="GQ30">
        <v>1.8404</v>
      </c>
      <c r="GR30">
        <v>2.9504300000000001E-2</v>
      </c>
      <c r="GS30">
        <v>0</v>
      </c>
      <c r="GT30">
        <v>29.5684</v>
      </c>
      <c r="GU30">
        <v>999.9</v>
      </c>
      <c r="GV30">
        <v>55.3</v>
      </c>
      <c r="GW30">
        <v>33.6</v>
      </c>
      <c r="GX30">
        <v>29.161899999999999</v>
      </c>
      <c r="GY30">
        <v>61.311300000000003</v>
      </c>
      <c r="GZ30">
        <v>37.9527</v>
      </c>
      <c r="HA30">
        <v>1</v>
      </c>
      <c r="HB30">
        <v>0.47627999999999998</v>
      </c>
      <c r="HC30">
        <v>3.7126100000000002</v>
      </c>
      <c r="HD30">
        <v>20.233499999999999</v>
      </c>
      <c r="HE30">
        <v>5.2100999999999997</v>
      </c>
      <c r="HF30">
        <v>11.872199999999999</v>
      </c>
      <c r="HG30">
        <v>4.9847999999999999</v>
      </c>
      <c r="HH30">
        <v>3.2839999999999998</v>
      </c>
      <c r="HI30">
        <v>9999</v>
      </c>
      <c r="HJ30">
        <v>9999</v>
      </c>
      <c r="HK30">
        <v>9999</v>
      </c>
      <c r="HL30">
        <v>999.9</v>
      </c>
      <c r="HM30">
        <v>1.8546</v>
      </c>
      <c r="HN30">
        <v>1.86077</v>
      </c>
      <c r="HO30">
        <v>1.85812</v>
      </c>
      <c r="HP30">
        <v>1.85928</v>
      </c>
      <c r="HQ30">
        <v>1.85867</v>
      </c>
      <c r="HR30">
        <v>1.85914</v>
      </c>
      <c r="HS30">
        <v>1.85758</v>
      </c>
      <c r="HT30">
        <v>1.8609599999999999</v>
      </c>
      <c r="HU30">
        <v>5</v>
      </c>
      <c r="HV30">
        <v>0</v>
      </c>
      <c r="HW30">
        <v>0</v>
      </c>
      <c r="HX30">
        <v>0</v>
      </c>
      <c r="HY30" t="s">
        <v>416</v>
      </c>
      <c r="HZ30" t="s">
        <v>417</v>
      </c>
      <c r="IA30" t="s">
        <v>418</v>
      </c>
      <c r="IB30" t="s">
        <v>418</v>
      </c>
      <c r="IC30" t="s">
        <v>418</v>
      </c>
      <c r="ID30" t="s">
        <v>418</v>
      </c>
      <c r="IE30">
        <v>0</v>
      </c>
      <c r="IF30">
        <v>100</v>
      </c>
      <c r="IG30">
        <v>100</v>
      </c>
      <c r="IH30">
        <v>1.87</v>
      </c>
      <c r="II30">
        <v>-0.24410000000000001</v>
      </c>
      <c r="IJ30">
        <v>1.8742857142858611</v>
      </c>
      <c r="IK30">
        <v>0</v>
      </c>
      <c r="IL30">
        <v>0</v>
      </c>
      <c r="IM30">
        <v>0</v>
      </c>
      <c r="IN30">
        <v>-0.2440666666666651</v>
      </c>
      <c r="IO30">
        <v>0</v>
      </c>
      <c r="IP30">
        <v>0</v>
      </c>
      <c r="IQ30">
        <v>0</v>
      </c>
      <c r="IR30">
        <v>-1</v>
      </c>
      <c r="IS30">
        <v>-1</v>
      </c>
      <c r="IT30">
        <v>-1</v>
      </c>
      <c r="IU30">
        <v>-1</v>
      </c>
      <c r="IV30">
        <v>0.6</v>
      </c>
      <c r="IW30">
        <v>0.7</v>
      </c>
      <c r="IX30">
        <v>2.8491200000000001</v>
      </c>
      <c r="IY30">
        <v>2.4169900000000002</v>
      </c>
      <c r="IZ30">
        <v>1.49414</v>
      </c>
      <c r="JA30">
        <v>2.2949199999999998</v>
      </c>
      <c r="JB30">
        <v>1.54419</v>
      </c>
      <c r="JC30">
        <v>2.4438499999999999</v>
      </c>
      <c r="JD30">
        <v>37.916400000000003</v>
      </c>
      <c r="JE30">
        <v>23.921099999999999</v>
      </c>
      <c r="JF30">
        <v>18</v>
      </c>
      <c r="JG30">
        <v>520.952</v>
      </c>
      <c r="JH30">
        <v>468.90199999999999</v>
      </c>
      <c r="JI30">
        <v>24.8233</v>
      </c>
      <c r="JJ30">
        <v>33.421999999999997</v>
      </c>
      <c r="JK30">
        <v>30.000900000000001</v>
      </c>
      <c r="JL30">
        <v>33.341200000000001</v>
      </c>
      <c r="JM30">
        <v>33.311199999999999</v>
      </c>
      <c r="JN30">
        <v>57.061799999999998</v>
      </c>
      <c r="JO30">
        <v>22.923500000000001</v>
      </c>
      <c r="JP30">
        <v>69.263800000000003</v>
      </c>
      <c r="JQ30">
        <v>24.798500000000001</v>
      </c>
      <c r="JR30">
        <v>1500</v>
      </c>
      <c r="JS30">
        <v>24.759799999999998</v>
      </c>
      <c r="JT30">
        <v>97.954099999999997</v>
      </c>
      <c r="JU30">
        <v>97.304100000000005</v>
      </c>
    </row>
    <row r="31" spans="1:281" x14ac:dyDescent="0.25">
      <c r="A31">
        <v>29</v>
      </c>
      <c r="B31">
        <v>1693328800.0999999</v>
      </c>
      <c r="C31">
        <v>7393.5</v>
      </c>
      <c r="D31" t="s">
        <v>491</v>
      </c>
      <c r="E31" t="s">
        <v>492</v>
      </c>
      <c r="F31" t="s">
        <v>411</v>
      </c>
      <c r="G31" t="s">
        <v>493</v>
      </c>
      <c r="H31" t="s">
        <v>494</v>
      </c>
      <c r="I31" t="s">
        <v>31</v>
      </c>
      <c r="J31">
        <v>1693328800.0999999</v>
      </c>
      <c r="K31">
        <f t="shared" si="0"/>
        <v>3.9158207433308478E-3</v>
      </c>
      <c r="L31">
        <f t="shared" si="1"/>
        <v>3.9158207433308481</v>
      </c>
      <c r="M31">
        <f t="shared" si="2"/>
        <v>39.877001014044652</v>
      </c>
      <c r="N31">
        <f t="shared" si="3"/>
        <v>350.53300000000002</v>
      </c>
      <c r="O31">
        <f t="shared" si="4"/>
        <v>102.59067928223747</v>
      </c>
      <c r="P31">
        <f t="shared" si="5"/>
        <v>10.17117459483684</v>
      </c>
      <c r="Q31">
        <f t="shared" si="6"/>
        <v>34.752985058646004</v>
      </c>
      <c r="R31">
        <f t="shared" si="7"/>
        <v>0.27483275379062055</v>
      </c>
      <c r="S31">
        <f t="shared" si="8"/>
        <v>2.9100790185964636</v>
      </c>
      <c r="T31">
        <f t="shared" si="9"/>
        <v>0.26118424609478019</v>
      </c>
      <c r="U31">
        <f t="shared" si="10"/>
        <v>0.16440991778794062</v>
      </c>
      <c r="V31">
        <f t="shared" si="11"/>
        <v>344.38389967076284</v>
      </c>
      <c r="W31">
        <f t="shared" si="12"/>
        <v>31.311391579821986</v>
      </c>
      <c r="X31">
        <f t="shared" si="13"/>
        <v>30.0154</v>
      </c>
      <c r="Y31">
        <f t="shared" si="14"/>
        <v>4.2642198631978268</v>
      </c>
      <c r="Z31">
        <f t="shared" si="15"/>
        <v>65.333420926382217</v>
      </c>
      <c r="AA31">
        <f t="shared" si="16"/>
        <v>2.8309961891051998</v>
      </c>
      <c r="AB31">
        <f t="shared" si="17"/>
        <v>4.3331516228044604</v>
      </c>
      <c r="AC31">
        <f t="shared" si="18"/>
        <v>1.433223674092627</v>
      </c>
      <c r="AD31">
        <f t="shared" si="19"/>
        <v>-172.68769478089038</v>
      </c>
      <c r="AE31">
        <f t="shared" si="20"/>
        <v>43.850246324134837</v>
      </c>
      <c r="AF31">
        <f t="shared" si="21"/>
        <v>3.3556248892451683</v>
      </c>
      <c r="AG31">
        <f t="shared" si="22"/>
        <v>218.90207610325248</v>
      </c>
      <c r="AH31">
        <v>12</v>
      </c>
      <c r="AI31">
        <v>2</v>
      </c>
      <c r="AJ31">
        <f t="shared" si="23"/>
        <v>1</v>
      </c>
      <c r="AK31">
        <f t="shared" si="24"/>
        <v>0</v>
      </c>
      <c r="AL31">
        <f t="shared" si="25"/>
        <v>51727.545265828681</v>
      </c>
      <c r="AM31" t="s">
        <v>413</v>
      </c>
      <c r="AN31">
        <v>10366.9</v>
      </c>
      <c r="AO31">
        <v>993.59653846153856</v>
      </c>
      <c r="AP31">
        <v>3431.87</v>
      </c>
      <c r="AQ31">
        <f t="shared" si="26"/>
        <v>0.71047955241266758</v>
      </c>
      <c r="AR31">
        <v>-3.9894345373445681</v>
      </c>
      <c r="AS31" t="s">
        <v>495</v>
      </c>
      <c r="AT31">
        <v>10310.5</v>
      </c>
      <c r="AU31">
        <v>764.33071999999981</v>
      </c>
      <c r="AV31">
        <v>1088.182004757582</v>
      </c>
      <c r="AW31">
        <f t="shared" si="27"/>
        <v>0.2976076459100494</v>
      </c>
      <c r="AX31">
        <v>0.5</v>
      </c>
      <c r="AY31">
        <f t="shared" si="28"/>
        <v>1513.2440998353811</v>
      </c>
      <c r="AZ31">
        <f t="shared" si="29"/>
        <v>39.877001014044652</v>
      </c>
      <c r="BA31">
        <f t="shared" si="30"/>
        <v>225.17650711963978</v>
      </c>
      <c r="BB31">
        <f t="shared" si="31"/>
        <v>2.8988340715262823E-2</v>
      </c>
      <c r="BC31">
        <f t="shared" si="32"/>
        <v>2.1537647057162363</v>
      </c>
      <c r="BD31">
        <f t="shared" si="33"/>
        <v>611.98674421026863</v>
      </c>
      <c r="BE31" t="s">
        <v>496</v>
      </c>
      <c r="BF31">
        <v>558.09</v>
      </c>
      <c r="BG31">
        <f t="shared" si="34"/>
        <v>558.09</v>
      </c>
      <c r="BH31">
        <f t="shared" si="35"/>
        <v>0.48713542627979078</v>
      </c>
      <c r="BI31">
        <f t="shared" si="36"/>
        <v>0.61093410549680638</v>
      </c>
      <c r="BJ31">
        <f t="shared" si="37"/>
        <v>0.81554189786358666</v>
      </c>
      <c r="BK31">
        <f t="shared" si="38"/>
        <v>3.4239011281496317</v>
      </c>
      <c r="BL31">
        <f t="shared" si="39"/>
        <v>0.96120801551259816</v>
      </c>
      <c r="BM31">
        <f t="shared" si="40"/>
        <v>0.44608466729783247</v>
      </c>
      <c r="BN31">
        <f t="shared" si="41"/>
        <v>0.55391533270216753</v>
      </c>
      <c r="BO31">
        <v>16586</v>
      </c>
      <c r="BP31">
        <v>290.00000000000011</v>
      </c>
      <c r="BQ31">
        <v>999.65</v>
      </c>
      <c r="BR31">
        <v>165</v>
      </c>
      <c r="BS31">
        <v>10310.5</v>
      </c>
      <c r="BT31">
        <v>996.77</v>
      </c>
      <c r="BU31">
        <v>2.88</v>
      </c>
      <c r="BV31">
        <v>300.00000000000011</v>
      </c>
      <c r="BW31">
        <v>38.4</v>
      </c>
      <c r="BX31">
        <v>1088.182004757582</v>
      </c>
      <c r="BY31">
        <v>1.239297331874988</v>
      </c>
      <c r="BZ31">
        <v>-94.249765206844316</v>
      </c>
      <c r="CA31">
        <v>1.0451300296861821</v>
      </c>
      <c r="CB31">
        <v>0.99656880485366739</v>
      </c>
      <c r="CC31">
        <v>-1.1223029810901E-2</v>
      </c>
      <c r="CD31">
        <v>289.99999999999989</v>
      </c>
      <c r="CE31">
        <v>990.03</v>
      </c>
      <c r="CF31">
        <v>685</v>
      </c>
      <c r="CG31">
        <v>10281.799999999999</v>
      </c>
      <c r="CH31">
        <v>996.52</v>
      </c>
      <c r="CI31">
        <v>-6.49</v>
      </c>
      <c r="CW31">
        <f t="shared" si="42"/>
        <v>1800.07</v>
      </c>
      <c r="CX31">
        <f t="shared" si="43"/>
        <v>1513.2440998353811</v>
      </c>
      <c r="CY31">
        <f t="shared" si="44"/>
        <v>0.84065847430121121</v>
      </c>
      <c r="CZ31">
        <f t="shared" si="45"/>
        <v>0.1913169486024226</v>
      </c>
      <c r="DA31">
        <v>6</v>
      </c>
      <c r="DB31">
        <v>0.5</v>
      </c>
      <c r="DC31" t="s">
        <v>414</v>
      </c>
      <c r="DD31">
        <v>2</v>
      </c>
      <c r="DE31">
        <v>1693328800.0999999</v>
      </c>
      <c r="DF31">
        <v>350.53300000000002</v>
      </c>
      <c r="DG31">
        <v>399.97500000000002</v>
      </c>
      <c r="DH31">
        <v>28.554600000000001</v>
      </c>
      <c r="DI31">
        <v>23.995100000000001</v>
      </c>
      <c r="DJ31">
        <v>350.29399999999998</v>
      </c>
      <c r="DK31">
        <v>28.811199999999999</v>
      </c>
      <c r="DL31">
        <v>500.58199999999999</v>
      </c>
      <c r="DM31">
        <v>99.0428</v>
      </c>
      <c r="DN31">
        <v>0.100462</v>
      </c>
      <c r="DO31">
        <v>30.294899999999998</v>
      </c>
      <c r="DP31">
        <v>30.0154</v>
      </c>
      <c r="DQ31">
        <v>999.9</v>
      </c>
      <c r="DR31">
        <v>0</v>
      </c>
      <c r="DS31">
        <v>0</v>
      </c>
      <c r="DT31">
        <v>9985</v>
      </c>
      <c r="DU31">
        <v>0</v>
      </c>
      <c r="DV31">
        <v>1712.34</v>
      </c>
      <c r="DW31">
        <v>-49.442799999999998</v>
      </c>
      <c r="DX31">
        <v>360.83600000000001</v>
      </c>
      <c r="DY31">
        <v>409.80900000000003</v>
      </c>
      <c r="DZ31">
        <v>4.5594999999999999</v>
      </c>
      <c r="EA31">
        <v>399.97500000000002</v>
      </c>
      <c r="EB31">
        <v>23.995100000000001</v>
      </c>
      <c r="EC31">
        <v>2.8281299999999998</v>
      </c>
      <c r="ED31">
        <v>2.3765399999999999</v>
      </c>
      <c r="EE31">
        <v>23.049199999999999</v>
      </c>
      <c r="EF31">
        <v>20.204799999999999</v>
      </c>
      <c r="EG31">
        <v>1800.07</v>
      </c>
      <c r="EH31">
        <v>0.97799199999999997</v>
      </c>
      <c r="EI31">
        <v>2.2007599999999999E-2</v>
      </c>
      <c r="EJ31">
        <v>0</v>
      </c>
      <c r="EK31">
        <v>764.15899999999999</v>
      </c>
      <c r="EL31">
        <v>5.0002500000000003</v>
      </c>
      <c r="EM31">
        <v>21957.1</v>
      </c>
      <c r="EN31">
        <v>14822.6</v>
      </c>
      <c r="EO31">
        <v>46.25</v>
      </c>
      <c r="EP31">
        <v>48.311999999999998</v>
      </c>
      <c r="EQ31">
        <v>47.125</v>
      </c>
      <c r="ER31">
        <v>47.25</v>
      </c>
      <c r="ES31">
        <v>47.561999999999998</v>
      </c>
      <c r="ET31">
        <v>1755.56</v>
      </c>
      <c r="EU31">
        <v>39.51</v>
      </c>
      <c r="EV31">
        <v>0</v>
      </c>
      <c r="EW31">
        <v>2532.6000001430511</v>
      </c>
      <c r="EX31">
        <v>0</v>
      </c>
      <c r="EY31">
        <v>764.33071999999981</v>
      </c>
      <c r="EZ31">
        <v>-0.17923077129166989</v>
      </c>
      <c r="FA31">
        <v>355.94615350403279</v>
      </c>
      <c r="FB31">
        <v>21921.684000000001</v>
      </c>
      <c r="FC31">
        <v>15</v>
      </c>
      <c r="FD31">
        <v>1693328770.5999999</v>
      </c>
      <c r="FE31" t="s">
        <v>497</v>
      </c>
      <c r="FF31">
        <v>1693328747.0999999</v>
      </c>
      <c r="FG31">
        <v>1693328770.5999999</v>
      </c>
      <c r="FH31">
        <v>35</v>
      </c>
      <c r="FI31">
        <v>-7.0999999999999994E-2</v>
      </c>
      <c r="FJ31">
        <v>-5.1999999999999998E-2</v>
      </c>
      <c r="FK31">
        <v>0.23799999999999999</v>
      </c>
      <c r="FL31">
        <v>-0.25700000000000001</v>
      </c>
      <c r="FM31">
        <v>400</v>
      </c>
      <c r="FN31">
        <v>24</v>
      </c>
      <c r="FO31">
        <v>0.12</v>
      </c>
      <c r="FP31">
        <v>0.24</v>
      </c>
      <c r="FQ31">
        <v>39.773532197606173</v>
      </c>
      <c r="FR31">
        <v>-0.24899209808927411</v>
      </c>
      <c r="FS31">
        <v>9.5093175970011407E-2</v>
      </c>
      <c r="FT31">
        <v>1</v>
      </c>
      <c r="FU31">
        <v>0.27544387989379387</v>
      </c>
      <c r="FV31">
        <v>3.0064943038821811E-2</v>
      </c>
      <c r="FW31">
        <v>3.7276797789412559E-3</v>
      </c>
      <c r="FX31">
        <v>1</v>
      </c>
      <c r="FY31">
        <v>2</v>
      </c>
      <c r="FZ31">
        <v>2</v>
      </c>
      <c r="GA31" t="s">
        <v>415</v>
      </c>
      <c r="GB31">
        <v>2.91852</v>
      </c>
      <c r="GC31">
        <v>2.8302200000000002</v>
      </c>
      <c r="GD31">
        <v>8.0832600000000004E-2</v>
      </c>
      <c r="GE31">
        <v>8.7953100000000006E-2</v>
      </c>
      <c r="GF31">
        <v>0.13424800000000001</v>
      </c>
      <c r="GG31">
        <v>0.113719</v>
      </c>
      <c r="GH31">
        <v>23845.3</v>
      </c>
      <c r="GI31">
        <v>29087.9</v>
      </c>
      <c r="GJ31">
        <v>23360.5</v>
      </c>
      <c r="GK31">
        <v>29207</v>
      </c>
      <c r="GL31">
        <v>27591</v>
      </c>
      <c r="GM31">
        <v>36683</v>
      </c>
      <c r="GN31">
        <v>33030</v>
      </c>
      <c r="GO31">
        <v>43158.1</v>
      </c>
      <c r="GP31">
        <v>1.9218</v>
      </c>
      <c r="GQ31">
        <v>1.7674000000000001</v>
      </c>
      <c r="GR31">
        <v>5.1334499999999998E-2</v>
      </c>
      <c r="GS31">
        <v>0</v>
      </c>
      <c r="GT31">
        <v>29.179400000000001</v>
      </c>
      <c r="GU31">
        <v>999.9</v>
      </c>
      <c r="GV31">
        <v>40.700000000000003</v>
      </c>
      <c r="GW31">
        <v>40.6</v>
      </c>
      <c r="GX31">
        <v>31.456099999999999</v>
      </c>
      <c r="GY31">
        <v>61.338900000000002</v>
      </c>
      <c r="GZ31">
        <v>38.982399999999998</v>
      </c>
      <c r="HA31">
        <v>1</v>
      </c>
      <c r="HB31">
        <v>0.54544700000000002</v>
      </c>
      <c r="HC31">
        <v>2.9030999999999998</v>
      </c>
      <c r="HD31">
        <v>20.2361</v>
      </c>
      <c r="HE31">
        <v>5.2100999999999997</v>
      </c>
      <c r="HF31">
        <v>11.8758</v>
      </c>
      <c r="HG31">
        <v>4.9843999999999999</v>
      </c>
      <c r="HH31">
        <v>3.2839999999999998</v>
      </c>
      <c r="HI31">
        <v>9999</v>
      </c>
      <c r="HJ31">
        <v>9999</v>
      </c>
      <c r="HK31">
        <v>9999</v>
      </c>
      <c r="HL31">
        <v>999.9</v>
      </c>
      <c r="HM31">
        <v>1.85486</v>
      </c>
      <c r="HN31">
        <v>1.8609</v>
      </c>
      <c r="HO31">
        <v>1.85822</v>
      </c>
      <c r="HP31">
        <v>1.8592599999999999</v>
      </c>
      <c r="HQ31">
        <v>1.85867</v>
      </c>
      <c r="HR31">
        <v>1.8591299999999999</v>
      </c>
      <c r="HS31">
        <v>1.85745</v>
      </c>
      <c r="HT31">
        <v>1.8608100000000001</v>
      </c>
      <c r="HU31">
        <v>5</v>
      </c>
      <c r="HV31">
        <v>0</v>
      </c>
      <c r="HW31">
        <v>0</v>
      </c>
      <c r="HX31">
        <v>0</v>
      </c>
      <c r="HY31" t="s">
        <v>416</v>
      </c>
      <c r="HZ31" t="s">
        <v>417</v>
      </c>
      <c r="IA31" t="s">
        <v>418</v>
      </c>
      <c r="IB31" t="s">
        <v>418</v>
      </c>
      <c r="IC31" t="s">
        <v>418</v>
      </c>
      <c r="ID31" t="s">
        <v>418</v>
      </c>
      <c r="IE31">
        <v>0</v>
      </c>
      <c r="IF31">
        <v>100</v>
      </c>
      <c r="IG31">
        <v>100</v>
      </c>
      <c r="IH31">
        <v>0.23899999999999999</v>
      </c>
      <c r="II31">
        <v>-0.25659999999999999</v>
      </c>
      <c r="IJ31">
        <v>0.2384500000000003</v>
      </c>
      <c r="IK31">
        <v>0</v>
      </c>
      <c r="IL31">
        <v>0</v>
      </c>
      <c r="IM31">
        <v>0</v>
      </c>
      <c r="IN31">
        <v>-0.25660476190476089</v>
      </c>
      <c r="IO31">
        <v>0</v>
      </c>
      <c r="IP31">
        <v>0</v>
      </c>
      <c r="IQ31">
        <v>0</v>
      </c>
      <c r="IR31">
        <v>-1</v>
      </c>
      <c r="IS31">
        <v>-1</v>
      </c>
      <c r="IT31">
        <v>-1</v>
      </c>
      <c r="IU31">
        <v>-1</v>
      </c>
      <c r="IV31">
        <v>0.9</v>
      </c>
      <c r="IW31">
        <v>0.5</v>
      </c>
      <c r="IX31">
        <v>0.99365199999999998</v>
      </c>
      <c r="IY31">
        <v>2.4609399999999999</v>
      </c>
      <c r="IZ31">
        <v>1.49414</v>
      </c>
      <c r="JA31">
        <v>2.2900399999999999</v>
      </c>
      <c r="JB31">
        <v>1.54419</v>
      </c>
      <c r="JC31">
        <v>2.47803</v>
      </c>
      <c r="JD31">
        <v>48.117400000000004</v>
      </c>
      <c r="JE31">
        <v>23.9299</v>
      </c>
      <c r="JF31">
        <v>18</v>
      </c>
      <c r="JG31">
        <v>497.02100000000002</v>
      </c>
      <c r="JH31">
        <v>424.988</v>
      </c>
      <c r="JI31">
        <v>25.516300000000001</v>
      </c>
      <c r="JJ31">
        <v>34.089799999999997</v>
      </c>
      <c r="JK31">
        <v>30.000299999999999</v>
      </c>
      <c r="JL31">
        <v>34.110599999999998</v>
      </c>
      <c r="JM31">
        <v>34.097700000000003</v>
      </c>
      <c r="JN31">
        <v>19.972300000000001</v>
      </c>
      <c r="JO31">
        <v>24.119299999999999</v>
      </c>
      <c r="JP31">
        <v>36.125</v>
      </c>
      <c r="JQ31">
        <v>25.5123</v>
      </c>
      <c r="JR31">
        <v>400</v>
      </c>
      <c r="JS31">
        <v>23.902999999999999</v>
      </c>
      <c r="JT31">
        <v>97.963800000000006</v>
      </c>
      <c r="JU31">
        <v>97.169799999999995</v>
      </c>
    </row>
    <row r="32" spans="1:281" x14ac:dyDescent="0.25">
      <c r="A32">
        <v>30</v>
      </c>
      <c r="B32">
        <v>1693328899.5999999</v>
      </c>
      <c r="C32">
        <v>7493</v>
      </c>
      <c r="D32" t="s">
        <v>498</v>
      </c>
      <c r="E32" t="s">
        <v>499</v>
      </c>
      <c r="F32" t="s">
        <v>411</v>
      </c>
      <c r="G32" t="s">
        <v>493</v>
      </c>
      <c r="H32" t="s">
        <v>494</v>
      </c>
      <c r="I32" t="s">
        <v>31</v>
      </c>
      <c r="J32">
        <v>1693328899.5999999</v>
      </c>
      <c r="K32">
        <f t="shared" si="0"/>
        <v>3.9778060804184648E-3</v>
      </c>
      <c r="L32">
        <f t="shared" si="1"/>
        <v>3.9778060804184645</v>
      </c>
      <c r="M32">
        <f t="shared" si="2"/>
        <v>31.502352801813799</v>
      </c>
      <c r="N32">
        <f t="shared" si="3"/>
        <v>260.846</v>
      </c>
      <c r="O32">
        <f t="shared" si="4"/>
        <v>68.586071721199588</v>
      </c>
      <c r="P32">
        <f t="shared" si="5"/>
        <v>6.7999800037708926</v>
      </c>
      <c r="Q32">
        <f t="shared" si="6"/>
        <v>25.861629621738004</v>
      </c>
      <c r="R32">
        <f t="shared" si="7"/>
        <v>0.27983013388827949</v>
      </c>
      <c r="S32">
        <f t="shared" si="8"/>
        <v>2.906602082270763</v>
      </c>
      <c r="T32">
        <f t="shared" si="9"/>
        <v>0.26567848369925634</v>
      </c>
      <c r="U32">
        <f t="shared" si="10"/>
        <v>0.16726086157782252</v>
      </c>
      <c r="V32">
        <f t="shared" si="11"/>
        <v>344.3509996708151</v>
      </c>
      <c r="W32">
        <f t="shared" si="12"/>
        <v>31.265945788406917</v>
      </c>
      <c r="X32">
        <f t="shared" si="13"/>
        <v>29.995699999999999</v>
      </c>
      <c r="Y32">
        <f t="shared" si="14"/>
        <v>4.2593976036717143</v>
      </c>
      <c r="Z32">
        <f t="shared" si="15"/>
        <v>65.377991161325184</v>
      </c>
      <c r="AA32">
        <f t="shared" si="16"/>
        <v>2.8280276848923003</v>
      </c>
      <c r="AB32">
        <f t="shared" si="17"/>
        <v>4.325657051642847</v>
      </c>
      <c r="AC32">
        <f t="shared" si="18"/>
        <v>1.431369918779414</v>
      </c>
      <c r="AD32">
        <f t="shared" si="19"/>
        <v>-175.4212481464543</v>
      </c>
      <c r="AE32">
        <f t="shared" si="20"/>
        <v>42.15249676257389</v>
      </c>
      <c r="AF32">
        <f t="shared" si="21"/>
        <v>3.2287664721422726</v>
      </c>
      <c r="AG32">
        <f t="shared" si="22"/>
        <v>214.31101475907698</v>
      </c>
      <c r="AH32">
        <v>12</v>
      </c>
      <c r="AI32">
        <v>2</v>
      </c>
      <c r="AJ32">
        <f t="shared" si="23"/>
        <v>1</v>
      </c>
      <c r="AK32">
        <f t="shared" si="24"/>
        <v>0</v>
      </c>
      <c r="AL32">
        <f t="shared" si="25"/>
        <v>51634.026376576476</v>
      </c>
      <c r="AM32" t="s">
        <v>413</v>
      </c>
      <c r="AN32">
        <v>10366.9</v>
      </c>
      <c r="AO32">
        <v>993.59653846153856</v>
      </c>
      <c r="AP32">
        <v>3431.87</v>
      </c>
      <c r="AQ32">
        <f t="shared" si="26"/>
        <v>0.71047955241266758</v>
      </c>
      <c r="AR32">
        <v>-3.9894345373445681</v>
      </c>
      <c r="AS32" t="s">
        <v>500</v>
      </c>
      <c r="AT32">
        <v>10309.200000000001</v>
      </c>
      <c r="AU32">
        <v>744.41791999999998</v>
      </c>
      <c r="AV32">
        <v>999.61691053265724</v>
      </c>
      <c r="AW32">
        <f t="shared" si="27"/>
        <v>0.25529679204473599</v>
      </c>
      <c r="AX32">
        <v>0.5</v>
      </c>
      <c r="AY32">
        <f t="shared" si="28"/>
        <v>1513.1009998354077</v>
      </c>
      <c r="AZ32">
        <f t="shared" si="29"/>
        <v>31.502352801813799</v>
      </c>
      <c r="BA32">
        <f t="shared" si="30"/>
        <v>193.1449156488311</v>
      </c>
      <c r="BB32">
        <f t="shared" si="31"/>
        <v>2.3456324027952592E-2</v>
      </c>
      <c r="BC32">
        <f t="shared" si="32"/>
        <v>2.4331852170961064</v>
      </c>
      <c r="BD32">
        <f t="shared" si="33"/>
        <v>582.94026333724651</v>
      </c>
      <c r="BE32" t="s">
        <v>501</v>
      </c>
      <c r="BF32">
        <v>547.29999999999995</v>
      </c>
      <c r="BG32">
        <f t="shared" si="34"/>
        <v>547.29999999999995</v>
      </c>
      <c r="BH32">
        <f t="shared" si="35"/>
        <v>0.45249025478334004</v>
      </c>
      <c r="BI32">
        <f t="shared" si="36"/>
        <v>0.56420395654040423</v>
      </c>
      <c r="BJ32">
        <f t="shared" si="37"/>
        <v>0.8431943372729187</v>
      </c>
      <c r="BK32">
        <f t="shared" si="38"/>
        <v>42.389238990213606</v>
      </c>
      <c r="BL32">
        <f t="shared" si="39"/>
        <v>0.99753088725851113</v>
      </c>
      <c r="BM32">
        <f t="shared" si="40"/>
        <v>0.4148057389786684</v>
      </c>
      <c r="BN32">
        <f t="shared" si="41"/>
        <v>0.58519426102133165</v>
      </c>
      <c r="BO32">
        <v>16588</v>
      </c>
      <c r="BP32">
        <v>290.00000000000011</v>
      </c>
      <c r="BQ32">
        <v>930.19</v>
      </c>
      <c r="BR32">
        <v>165</v>
      </c>
      <c r="BS32">
        <v>10309.200000000001</v>
      </c>
      <c r="BT32">
        <v>927.53</v>
      </c>
      <c r="BU32">
        <v>2.66</v>
      </c>
      <c r="BV32">
        <v>300.00000000000011</v>
      </c>
      <c r="BW32">
        <v>38.4</v>
      </c>
      <c r="BX32">
        <v>999.61691053265724</v>
      </c>
      <c r="BY32">
        <v>1.496582285771745</v>
      </c>
      <c r="BZ32">
        <v>-74.313080289583496</v>
      </c>
      <c r="CA32">
        <v>1.2619377163582319</v>
      </c>
      <c r="CB32">
        <v>0.99199040023116236</v>
      </c>
      <c r="CC32">
        <v>-1.1221351724137929E-2</v>
      </c>
      <c r="CD32">
        <v>289.99999999999989</v>
      </c>
      <c r="CE32">
        <v>923.31</v>
      </c>
      <c r="CF32">
        <v>725</v>
      </c>
      <c r="CG32">
        <v>10277.9</v>
      </c>
      <c r="CH32">
        <v>927.31</v>
      </c>
      <c r="CI32">
        <v>-4</v>
      </c>
      <c r="CW32">
        <f t="shared" si="42"/>
        <v>1799.9</v>
      </c>
      <c r="CX32">
        <f t="shared" si="43"/>
        <v>1513.1009998354077</v>
      </c>
      <c r="CY32">
        <f t="shared" si="44"/>
        <v>0.84065836981799413</v>
      </c>
      <c r="CZ32">
        <f t="shared" si="45"/>
        <v>0.19131673963598816</v>
      </c>
      <c r="DA32">
        <v>6</v>
      </c>
      <c r="DB32">
        <v>0.5</v>
      </c>
      <c r="DC32" t="s">
        <v>414</v>
      </c>
      <c r="DD32">
        <v>2</v>
      </c>
      <c r="DE32">
        <v>1693328899.5999999</v>
      </c>
      <c r="DF32">
        <v>260.846</v>
      </c>
      <c r="DG32">
        <v>299.89299999999997</v>
      </c>
      <c r="DH32">
        <v>28.524100000000001</v>
      </c>
      <c r="DI32">
        <v>23.887</v>
      </c>
      <c r="DJ32">
        <v>260.76900000000001</v>
      </c>
      <c r="DK32">
        <v>28.791</v>
      </c>
      <c r="DL32">
        <v>500.012</v>
      </c>
      <c r="DM32">
        <v>99.044300000000007</v>
      </c>
      <c r="DN32">
        <v>0.10090300000000001</v>
      </c>
      <c r="DO32">
        <v>30.264700000000001</v>
      </c>
      <c r="DP32">
        <v>29.995699999999999</v>
      </c>
      <c r="DQ32">
        <v>999.9</v>
      </c>
      <c r="DR32">
        <v>0</v>
      </c>
      <c r="DS32">
        <v>0</v>
      </c>
      <c r="DT32">
        <v>9965</v>
      </c>
      <c r="DU32">
        <v>0</v>
      </c>
      <c r="DV32">
        <v>1725.51</v>
      </c>
      <c r="DW32">
        <v>-39.047400000000003</v>
      </c>
      <c r="DX32">
        <v>268.505</v>
      </c>
      <c r="DY32">
        <v>307.23200000000003</v>
      </c>
      <c r="DZ32">
        <v>4.6371099999999998</v>
      </c>
      <c r="EA32">
        <v>299.89299999999997</v>
      </c>
      <c r="EB32">
        <v>23.887</v>
      </c>
      <c r="EC32">
        <v>2.8251499999999998</v>
      </c>
      <c r="ED32">
        <v>2.3658700000000001</v>
      </c>
      <c r="EE32">
        <v>23.031700000000001</v>
      </c>
      <c r="EF32">
        <v>20.132000000000001</v>
      </c>
      <c r="EG32">
        <v>1799.9</v>
      </c>
      <c r="EH32">
        <v>0.97799199999999997</v>
      </c>
      <c r="EI32">
        <v>2.2007599999999999E-2</v>
      </c>
      <c r="EJ32">
        <v>0</v>
      </c>
      <c r="EK32">
        <v>743.66499999999996</v>
      </c>
      <c r="EL32">
        <v>5.0002500000000003</v>
      </c>
      <c r="EM32">
        <v>21592.2</v>
      </c>
      <c r="EN32">
        <v>14821.2</v>
      </c>
      <c r="EO32">
        <v>46.375</v>
      </c>
      <c r="EP32">
        <v>48.436999999999998</v>
      </c>
      <c r="EQ32">
        <v>47.186999999999998</v>
      </c>
      <c r="ER32">
        <v>47.375</v>
      </c>
      <c r="ES32">
        <v>47.686999999999998</v>
      </c>
      <c r="ET32">
        <v>1755.4</v>
      </c>
      <c r="EU32">
        <v>39.5</v>
      </c>
      <c r="EV32">
        <v>0</v>
      </c>
      <c r="EW32">
        <v>97.399999856948853</v>
      </c>
      <c r="EX32">
        <v>0</v>
      </c>
      <c r="EY32">
        <v>744.41791999999998</v>
      </c>
      <c r="EZ32">
        <v>-6.7493846253602454</v>
      </c>
      <c r="FA32">
        <v>-70.407691965979993</v>
      </c>
      <c r="FB32">
        <v>21585.360000000001</v>
      </c>
      <c r="FC32">
        <v>15</v>
      </c>
      <c r="FD32">
        <v>1693328866.5999999</v>
      </c>
      <c r="FE32" t="s">
        <v>502</v>
      </c>
      <c r="FF32">
        <v>1693328864.5999999</v>
      </c>
      <c r="FG32">
        <v>1693328866.5999999</v>
      </c>
      <c r="FH32">
        <v>36</v>
      </c>
      <c r="FI32">
        <v>-0.16200000000000001</v>
      </c>
      <c r="FJ32">
        <v>-0.01</v>
      </c>
      <c r="FK32">
        <v>7.6999999999999999E-2</v>
      </c>
      <c r="FL32">
        <v>-0.26700000000000002</v>
      </c>
      <c r="FM32">
        <v>300</v>
      </c>
      <c r="FN32">
        <v>24</v>
      </c>
      <c r="FO32">
        <v>0.2</v>
      </c>
      <c r="FP32">
        <v>0.06</v>
      </c>
      <c r="FQ32">
        <v>31.545086448649499</v>
      </c>
      <c r="FR32">
        <v>0.42142391421707609</v>
      </c>
      <c r="FS32">
        <v>8.3370330990896621E-2</v>
      </c>
      <c r="FT32">
        <v>1</v>
      </c>
      <c r="FU32">
        <v>0.27962100719645122</v>
      </c>
      <c r="FV32">
        <v>4.004563451127495E-2</v>
      </c>
      <c r="FW32">
        <v>3.8492620138056819E-3</v>
      </c>
      <c r="FX32">
        <v>1</v>
      </c>
      <c r="FY32">
        <v>2</v>
      </c>
      <c r="FZ32">
        <v>2</v>
      </c>
      <c r="GA32" t="s">
        <v>415</v>
      </c>
      <c r="GB32">
        <v>2.9170199999999999</v>
      </c>
      <c r="GC32">
        <v>2.8304800000000001</v>
      </c>
      <c r="GD32">
        <v>6.36071E-2</v>
      </c>
      <c r="GE32">
        <v>7.0034799999999994E-2</v>
      </c>
      <c r="GF32">
        <v>0.13416800000000001</v>
      </c>
      <c r="GG32">
        <v>0.113347</v>
      </c>
      <c r="GH32">
        <v>24288.9</v>
      </c>
      <c r="GI32">
        <v>29654.400000000001</v>
      </c>
      <c r="GJ32">
        <v>23357.9</v>
      </c>
      <c r="GK32">
        <v>29202.799999999999</v>
      </c>
      <c r="GL32">
        <v>27589.599999999999</v>
      </c>
      <c r="GM32">
        <v>36692.6</v>
      </c>
      <c r="GN32">
        <v>33026.699999999997</v>
      </c>
      <c r="GO32">
        <v>43153.2</v>
      </c>
      <c r="GP32">
        <v>1.9208000000000001</v>
      </c>
      <c r="GQ32">
        <v>1.7645999999999999</v>
      </c>
      <c r="GR32">
        <v>4.4852499999999997E-2</v>
      </c>
      <c r="GS32">
        <v>0</v>
      </c>
      <c r="GT32">
        <v>29.2653</v>
      </c>
      <c r="GU32">
        <v>999.9</v>
      </c>
      <c r="GV32">
        <v>40.200000000000003</v>
      </c>
      <c r="GW32">
        <v>40.799999999999997</v>
      </c>
      <c r="GX32">
        <v>31.398700000000002</v>
      </c>
      <c r="GY32">
        <v>61.338799999999999</v>
      </c>
      <c r="GZ32">
        <v>39.775599999999997</v>
      </c>
      <c r="HA32">
        <v>1</v>
      </c>
      <c r="HB32">
        <v>0.55132099999999995</v>
      </c>
      <c r="HC32">
        <v>1.9053800000000001</v>
      </c>
      <c r="HD32">
        <v>20.251100000000001</v>
      </c>
      <c r="HE32">
        <v>5.2112999999999996</v>
      </c>
      <c r="HF32">
        <v>11.8728</v>
      </c>
      <c r="HG32">
        <v>4.9833999999999996</v>
      </c>
      <c r="HH32">
        <v>3.2839999999999998</v>
      </c>
      <c r="HI32">
        <v>9999</v>
      </c>
      <c r="HJ32">
        <v>9999</v>
      </c>
      <c r="HK32">
        <v>9999</v>
      </c>
      <c r="HL32">
        <v>999.9</v>
      </c>
      <c r="HM32">
        <v>1.8549199999999999</v>
      </c>
      <c r="HN32">
        <v>1.8609599999999999</v>
      </c>
      <c r="HO32">
        <v>1.85822</v>
      </c>
      <c r="HP32">
        <v>1.85928</v>
      </c>
      <c r="HQ32">
        <v>1.8587499999999999</v>
      </c>
      <c r="HR32">
        <v>1.85924</v>
      </c>
      <c r="HS32">
        <v>1.8575699999999999</v>
      </c>
      <c r="HT32">
        <v>1.86084</v>
      </c>
      <c r="HU32">
        <v>5</v>
      </c>
      <c r="HV32">
        <v>0</v>
      </c>
      <c r="HW32">
        <v>0</v>
      </c>
      <c r="HX32">
        <v>0</v>
      </c>
      <c r="HY32" t="s">
        <v>416</v>
      </c>
      <c r="HZ32" t="s">
        <v>417</v>
      </c>
      <c r="IA32" t="s">
        <v>418</v>
      </c>
      <c r="IB32" t="s">
        <v>418</v>
      </c>
      <c r="IC32" t="s">
        <v>418</v>
      </c>
      <c r="ID32" t="s">
        <v>418</v>
      </c>
      <c r="IE32">
        <v>0</v>
      </c>
      <c r="IF32">
        <v>100</v>
      </c>
      <c r="IG32">
        <v>100</v>
      </c>
      <c r="IH32">
        <v>7.6999999999999999E-2</v>
      </c>
      <c r="II32">
        <v>-0.26690000000000003</v>
      </c>
      <c r="IJ32">
        <v>7.6649999999972351E-2</v>
      </c>
      <c r="IK32">
        <v>0</v>
      </c>
      <c r="IL32">
        <v>0</v>
      </c>
      <c r="IM32">
        <v>0</v>
      </c>
      <c r="IN32">
        <v>-0.26695500000000288</v>
      </c>
      <c r="IO32">
        <v>0</v>
      </c>
      <c r="IP32">
        <v>0</v>
      </c>
      <c r="IQ32">
        <v>0</v>
      </c>
      <c r="IR32">
        <v>-1</v>
      </c>
      <c r="IS32">
        <v>-1</v>
      </c>
      <c r="IT32">
        <v>-1</v>
      </c>
      <c r="IU32">
        <v>-1</v>
      </c>
      <c r="IV32">
        <v>0.6</v>
      </c>
      <c r="IW32">
        <v>0.6</v>
      </c>
      <c r="IX32">
        <v>0.79345699999999997</v>
      </c>
      <c r="IY32">
        <v>2.4706999999999999</v>
      </c>
      <c r="IZ32">
        <v>1.49414</v>
      </c>
      <c r="JA32">
        <v>2.2900399999999999</v>
      </c>
      <c r="JB32">
        <v>1.54419</v>
      </c>
      <c r="JC32">
        <v>2.5122100000000001</v>
      </c>
      <c r="JD32">
        <v>48.0869</v>
      </c>
      <c r="JE32">
        <v>23.947399999999998</v>
      </c>
      <c r="JF32">
        <v>18</v>
      </c>
      <c r="JG32">
        <v>496.79500000000002</v>
      </c>
      <c r="JH32">
        <v>423.536</v>
      </c>
      <c r="JI32">
        <v>25.2196</v>
      </c>
      <c r="JJ32">
        <v>34.160699999999999</v>
      </c>
      <c r="JK32">
        <v>29.998100000000001</v>
      </c>
      <c r="JL32">
        <v>34.165700000000001</v>
      </c>
      <c r="JM32">
        <v>34.152700000000003</v>
      </c>
      <c r="JN32">
        <v>15.957000000000001</v>
      </c>
      <c r="JO32">
        <v>23.790900000000001</v>
      </c>
      <c r="JP32">
        <v>34.6539</v>
      </c>
      <c r="JQ32">
        <v>25.4026</v>
      </c>
      <c r="JR32">
        <v>300</v>
      </c>
      <c r="JS32">
        <v>23.869199999999999</v>
      </c>
      <c r="JT32">
        <v>97.953599999999994</v>
      </c>
      <c r="JU32">
        <v>97.157700000000006</v>
      </c>
    </row>
    <row r="33" spans="1:281" x14ac:dyDescent="0.25">
      <c r="A33">
        <v>31</v>
      </c>
      <c r="B33">
        <v>1693329013.0999999</v>
      </c>
      <c r="C33">
        <v>7606.5</v>
      </c>
      <c r="D33" t="s">
        <v>503</v>
      </c>
      <c r="E33" t="s">
        <v>504</v>
      </c>
      <c r="F33" t="s">
        <v>411</v>
      </c>
      <c r="G33" t="s">
        <v>493</v>
      </c>
      <c r="H33" t="s">
        <v>494</v>
      </c>
      <c r="I33" t="s">
        <v>31</v>
      </c>
      <c r="J33">
        <v>1693329013.0999999</v>
      </c>
      <c r="K33">
        <f t="shared" si="0"/>
        <v>4.2988770639524844E-3</v>
      </c>
      <c r="L33">
        <f t="shared" si="1"/>
        <v>4.2988770639524843</v>
      </c>
      <c r="M33">
        <f t="shared" si="2"/>
        <v>21.921016613656032</v>
      </c>
      <c r="N33">
        <f t="shared" si="3"/>
        <v>172.732</v>
      </c>
      <c r="O33">
        <f t="shared" si="4"/>
        <v>49.775835737939921</v>
      </c>
      <c r="P33">
        <f t="shared" si="5"/>
        <v>4.9349568920155855</v>
      </c>
      <c r="Q33">
        <f t="shared" si="6"/>
        <v>17.125276978963999</v>
      </c>
      <c r="R33">
        <f t="shared" si="7"/>
        <v>0.30604615118643569</v>
      </c>
      <c r="S33">
        <f t="shared" si="8"/>
        <v>2.9013188008581405</v>
      </c>
      <c r="T33">
        <f t="shared" si="9"/>
        <v>0.28917552370023025</v>
      </c>
      <c r="U33">
        <f t="shared" si="10"/>
        <v>0.18217292043786884</v>
      </c>
      <c r="V33">
        <f t="shared" si="11"/>
        <v>344.35479967081875</v>
      </c>
      <c r="W33">
        <f t="shared" si="12"/>
        <v>31.180999593051556</v>
      </c>
      <c r="X33">
        <f t="shared" si="13"/>
        <v>29.960799999999999</v>
      </c>
      <c r="Y33">
        <f t="shared" si="14"/>
        <v>4.2508662829082224</v>
      </c>
      <c r="Z33">
        <f t="shared" si="15"/>
        <v>65.424749914756674</v>
      </c>
      <c r="AA33">
        <f t="shared" si="16"/>
        <v>2.8296285151189</v>
      </c>
      <c r="AB33">
        <f t="shared" si="17"/>
        <v>4.3250123520620019</v>
      </c>
      <c r="AC33">
        <f t="shared" si="18"/>
        <v>1.4212377677893224</v>
      </c>
      <c r="AD33">
        <f t="shared" si="19"/>
        <v>-189.58047852030455</v>
      </c>
      <c r="AE33">
        <f t="shared" si="20"/>
        <v>47.12811042650884</v>
      </c>
      <c r="AF33">
        <f t="shared" si="21"/>
        <v>3.6157876447374493</v>
      </c>
      <c r="AG33">
        <f t="shared" si="22"/>
        <v>205.51821922176049</v>
      </c>
      <c r="AH33">
        <v>11</v>
      </c>
      <c r="AI33">
        <v>2</v>
      </c>
      <c r="AJ33">
        <f t="shared" si="23"/>
        <v>1</v>
      </c>
      <c r="AK33">
        <f t="shared" si="24"/>
        <v>0</v>
      </c>
      <c r="AL33">
        <f t="shared" si="25"/>
        <v>51484.606661114354</v>
      </c>
      <c r="AM33" t="s">
        <v>413</v>
      </c>
      <c r="AN33">
        <v>10366.9</v>
      </c>
      <c r="AO33">
        <v>993.59653846153856</v>
      </c>
      <c r="AP33">
        <v>3431.87</v>
      </c>
      <c r="AQ33">
        <f t="shared" si="26"/>
        <v>0.71047955241266758</v>
      </c>
      <c r="AR33">
        <v>-3.9894345373445681</v>
      </c>
      <c r="AS33" t="s">
        <v>505</v>
      </c>
      <c r="AT33">
        <v>10307.200000000001</v>
      </c>
      <c r="AU33">
        <v>736.97734615384616</v>
      </c>
      <c r="AV33">
        <v>925.56730781478166</v>
      </c>
      <c r="AW33">
        <f t="shared" si="27"/>
        <v>0.20375607486200764</v>
      </c>
      <c r="AX33">
        <v>0.5</v>
      </c>
      <c r="AY33">
        <f t="shared" si="28"/>
        <v>1513.1177998354094</v>
      </c>
      <c r="AZ33">
        <f t="shared" si="29"/>
        <v>21.921016613656032</v>
      </c>
      <c r="BA33">
        <f t="shared" si="30"/>
        <v>154.15347184914998</v>
      </c>
      <c r="BB33">
        <f t="shared" si="31"/>
        <v>1.71238823268215E-2</v>
      </c>
      <c r="BC33">
        <f t="shared" si="32"/>
        <v>2.7078556805365936</v>
      </c>
      <c r="BD33">
        <f t="shared" si="33"/>
        <v>556.95510464000927</v>
      </c>
      <c r="BE33" t="s">
        <v>506</v>
      </c>
      <c r="BF33">
        <v>537.23</v>
      </c>
      <c r="BG33">
        <f t="shared" si="34"/>
        <v>537.23</v>
      </c>
      <c r="BH33">
        <f t="shared" si="35"/>
        <v>0.41956679383115492</v>
      </c>
      <c r="BI33">
        <f t="shared" si="36"/>
        <v>0.48563441592092388</v>
      </c>
      <c r="BJ33">
        <f t="shared" si="37"/>
        <v>0.86584262367175835</v>
      </c>
      <c r="BK33">
        <f t="shared" si="38"/>
        <v>-2.7721901286844259</v>
      </c>
      <c r="BL33">
        <f t="shared" si="39"/>
        <v>1.027900574615545</v>
      </c>
      <c r="BM33">
        <f t="shared" si="40"/>
        <v>0.35401003657273183</v>
      </c>
      <c r="BN33">
        <f t="shared" si="41"/>
        <v>0.64598996342726811</v>
      </c>
      <c r="BO33">
        <v>16590</v>
      </c>
      <c r="BP33">
        <v>290.00000000000011</v>
      </c>
      <c r="BQ33">
        <v>872.67</v>
      </c>
      <c r="BR33">
        <v>175</v>
      </c>
      <c r="BS33">
        <v>10307.200000000001</v>
      </c>
      <c r="BT33">
        <v>870.7</v>
      </c>
      <c r="BU33">
        <v>1.97</v>
      </c>
      <c r="BV33">
        <v>300.00000000000011</v>
      </c>
      <c r="BW33">
        <v>38.4</v>
      </c>
      <c r="BX33">
        <v>925.56730781478166</v>
      </c>
      <c r="BY33">
        <v>1.2305495438843299</v>
      </c>
      <c r="BZ33">
        <v>-56.5539036573999</v>
      </c>
      <c r="CA33">
        <v>1.0375656375854541</v>
      </c>
      <c r="CB33">
        <v>0.99066337057375797</v>
      </c>
      <c r="CC33">
        <v>-1.122066674082315E-2</v>
      </c>
      <c r="CD33">
        <v>289.99999999999989</v>
      </c>
      <c r="CE33">
        <v>868.43</v>
      </c>
      <c r="CF33">
        <v>655</v>
      </c>
      <c r="CG33">
        <v>10281.9</v>
      </c>
      <c r="CH33">
        <v>870.56</v>
      </c>
      <c r="CI33">
        <v>-2.13</v>
      </c>
      <c r="CW33">
        <f t="shared" si="42"/>
        <v>1799.92</v>
      </c>
      <c r="CX33">
        <f t="shared" si="43"/>
        <v>1513.1177998354094</v>
      </c>
      <c r="CY33">
        <f t="shared" si="44"/>
        <v>0.84065836250244974</v>
      </c>
      <c r="CZ33">
        <f t="shared" si="45"/>
        <v>0.19131672500489952</v>
      </c>
      <c r="DA33">
        <v>6</v>
      </c>
      <c r="DB33">
        <v>0.5</v>
      </c>
      <c r="DC33" t="s">
        <v>414</v>
      </c>
      <c r="DD33">
        <v>2</v>
      </c>
      <c r="DE33">
        <v>1693329013.0999999</v>
      </c>
      <c r="DF33">
        <v>172.732</v>
      </c>
      <c r="DG33">
        <v>199.92599999999999</v>
      </c>
      <c r="DH33">
        <v>28.540700000000001</v>
      </c>
      <c r="DI33">
        <v>23.529699999999998</v>
      </c>
      <c r="DJ33">
        <v>172.654</v>
      </c>
      <c r="DK33">
        <v>28.815999999999999</v>
      </c>
      <c r="DL33">
        <v>500.04199999999997</v>
      </c>
      <c r="DM33">
        <v>99.043199999999999</v>
      </c>
      <c r="DN33">
        <v>0.100427</v>
      </c>
      <c r="DO33">
        <v>30.2621</v>
      </c>
      <c r="DP33">
        <v>29.960799999999999</v>
      </c>
      <c r="DQ33">
        <v>999.9</v>
      </c>
      <c r="DR33">
        <v>0</v>
      </c>
      <c r="DS33">
        <v>0</v>
      </c>
      <c r="DT33">
        <v>9935</v>
      </c>
      <c r="DU33">
        <v>0</v>
      </c>
      <c r="DV33">
        <v>1724.39</v>
      </c>
      <c r="DW33">
        <v>-27.194900000000001</v>
      </c>
      <c r="DX33">
        <v>177.80600000000001</v>
      </c>
      <c r="DY33">
        <v>204.744</v>
      </c>
      <c r="DZ33">
        <v>5.01098</v>
      </c>
      <c r="EA33">
        <v>199.92599999999999</v>
      </c>
      <c r="EB33">
        <v>23.529699999999998</v>
      </c>
      <c r="EC33">
        <v>2.8267600000000002</v>
      </c>
      <c r="ED33">
        <v>2.33046</v>
      </c>
      <c r="EE33">
        <v>23.0412</v>
      </c>
      <c r="EF33">
        <v>19.888500000000001</v>
      </c>
      <c r="EG33">
        <v>1799.92</v>
      </c>
      <c r="EH33">
        <v>0.97799199999999997</v>
      </c>
      <c r="EI33">
        <v>2.2007599999999999E-2</v>
      </c>
      <c r="EJ33">
        <v>0</v>
      </c>
      <c r="EK33">
        <v>736.57600000000002</v>
      </c>
      <c r="EL33">
        <v>5.0002500000000003</v>
      </c>
      <c r="EM33">
        <v>21442.6</v>
      </c>
      <c r="EN33">
        <v>14821.4</v>
      </c>
      <c r="EO33">
        <v>46.375</v>
      </c>
      <c r="EP33">
        <v>48.311999999999998</v>
      </c>
      <c r="EQ33">
        <v>47.25</v>
      </c>
      <c r="ER33">
        <v>47.311999999999998</v>
      </c>
      <c r="ES33">
        <v>47.686999999999998</v>
      </c>
      <c r="ET33">
        <v>1755.42</v>
      </c>
      <c r="EU33">
        <v>39.5</v>
      </c>
      <c r="EV33">
        <v>0</v>
      </c>
      <c r="EW33">
        <v>111.7999999523163</v>
      </c>
      <c r="EX33">
        <v>0</v>
      </c>
      <c r="EY33">
        <v>736.97734615384616</v>
      </c>
      <c r="EZ33">
        <v>-2.5776752365737829</v>
      </c>
      <c r="FA33">
        <v>-114.1880348475194</v>
      </c>
      <c r="FB33">
        <v>21457.40769230769</v>
      </c>
      <c r="FC33">
        <v>15</v>
      </c>
      <c r="FD33">
        <v>1693328982.5999999</v>
      </c>
      <c r="FE33" t="s">
        <v>507</v>
      </c>
      <c r="FF33">
        <v>1693328975.5999999</v>
      </c>
      <c r="FG33">
        <v>1693328982.5999999</v>
      </c>
      <c r="FH33">
        <v>37</v>
      </c>
      <c r="FI33">
        <v>1E-3</v>
      </c>
      <c r="FJ33">
        <v>-8.0000000000000002E-3</v>
      </c>
      <c r="FK33">
        <v>7.8E-2</v>
      </c>
      <c r="FL33">
        <v>-0.27500000000000002</v>
      </c>
      <c r="FM33">
        <v>200</v>
      </c>
      <c r="FN33">
        <v>24</v>
      </c>
      <c r="FO33">
        <v>0.27</v>
      </c>
      <c r="FP33">
        <v>0.08</v>
      </c>
      <c r="FQ33">
        <v>21.962847510177539</v>
      </c>
      <c r="FR33">
        <v>0.60803666275431223</v>
      </c>
      <c r="FS33">
        <v>7.0131538606266849E-2</v>
      </c>
      <c r="FT33">
        <v>1</v>
      </c>
      <c r="FU33">
        <v>0.30289308421440048</v>
      </c>
      <c r="FV33">
        <v>4.6228311079756723E-2</v>
      </c>
      <c r="FW33">
        <v>4.1502038401615158E-3</v>
      </c>
      <c r="FX33">
        <v>1</v>
      </c>
      <c r="FY33">
        <v>2</v>
      </c>
      <c r="FZ33">
        <v>2</v>
      </c>
      <c r="GA33" t="s">
        <v>415</v>
      </c>
      <c r="GB33">
        <v>2.9170500000000001</v>
      </c>
      <c r="GC33">
        <v>2.8297500000000002</v>
      </c>
      <c r="GD33">
        <v>4.44856E-2</v>
      </c>
      <c r="GE33">
        <v>4.9671199999999999E-2</v>
      </c>
      <c r="GF33">
        <v>0.13423599999999999</v>
      </c>
      <c r="GG33">
        <v>0.112149</v>
      </c>
      <c r="GH33">
        <v>24786.2</v>
      </c>
      <c r="GI33">
        <v>30304.2</v>
      </c>
      <c r="GJ33">
        <v>23359.9</v>
      </c>
      <c r="GK33">
        <v>29204</v>
      </c>
      <c r="GL33">
        <v>27587.8</v>
      </c>
      <c r="GM33">
        <v>36740.9</v>
      </c>
      <c r="GN33">
        <v>33028.9</v>
      </c>
      <c r="GO33">
        <v>43154.1</v>
      </c>
      <c r="GP33">
        <v>1.9207000000000001</v>
      </c>
      <c r="GQ33">
        <v>1.7612000000000001</v>
      </c>
      <c r="GR33">
        <v>5.02914E-2</v>
      </c>
      <c r="GS33">
        <v>0</v>
      </c>
      <c r="GT33">
        <v>29.1418</v>
      </c>
      <c r="GU33">
        <v>999.9</v>
      </c>
      <c r="GV33">
        <v>39.4</v>
      </c>
      <c r="GW33">
        <v>41.1</v>
      </c>
      <c r="GX33">
        <v>31.269100000000002</v>
      </c>
      <c r="GY33">
        <v>61.4589</v>
      </c>
      <c r="GZ33">
        <v>39.647399999999998</v>
      </c>
      <c r="HA33">
        <v>1</v>
      </c>
      <c r="HB33">
        <v>0.55277399999999999</v>
      </c>
      <c r="HC33">
        <v>2.4259599999999999</v>
      </c>
      <c r="HD33">
        <v>20.244599999999998</v>
      </c>
      <c r="HE33">
        <v>5.2071100000000001</v>
      </c>
      <c r="HF33">
        <v>11.8728</v>
      </c>
      <c r="HG33">
        <v>4.9837999999999996</v>
      </c>
      <c r="HH33">
        <v>3.2839999999999998</v>
      </c>
      <c r="HI33">
        <v>9999</v>
      </c>
      <c r="HJ33">
        <v>9999</v>
      </c>
      <c r="HK33">
        <v>9999</v>
      </c>
      <c r="HL33">
        <v>999.9</v>
      </c>
      <c r="HM33">
        <v>1.85486</v>
      </c>
      <c r="HN33">
        <v>1.86093</v>
      </c>
      <c r="HO33">
        <v>1.85822</v>
      </c>
      <c r="HP33">
        <v>1.85928</v>
      </c>
      <c r="HQ33">
        <v>1.85869</v>
      </c>
      <c r="HR33">
        <v>1.85914</v>
      </c>
      <c r="HS33">
        <v>1.8574900000000001</v>
      </c>
      <c r="HT33">
        <v>1.8608100000000001</v>
      </c>
      <c r="HU33">
        <v>5</v>
      </c>
      <c r="HV33">
        <v>0</v>
      </c>
      <c r="HW33">
        <v>0</v>
      </c>
      <c r="HX33">
        <v>0</v>
      </c>
      <c r="HY33" t="s">
        <v>416</v>
      </c>
      <c r="HZ33" t="s">
        <v>417</v>
      </c>
      <c r="IA33" t="s">
        <v>418</v>
      </c>
      <c r="IB33" t="s">
        <v>418</v>
      </c>
      <c r="IC33" t="s">
        <v>418</v>
      </c>
      <c r="ID33" t="s">
        <v>418</v>
      </c>
      <c r="IE33">
        <v>0</v>
      </c>
      <c r="IF33">
        <v>100</v>
      </c>
      <c r="IG33">
        <v>100</v>
      </c>
      <c r="IH33">
        <v>7.8E-2</v>
      </c>
      <c r="II33">
        <v>-0.27529999999999999</v>
      </c>
      <c r="IJ33">
        <v>7.7699999999964575E-2</v>
      </c>
      <c r="IK33">
        <v>0</v>
      </c>
      <c r="IL33">
        <v>0</v>
      </c>
      <c r="IM33">
        <v>0</v>
      </c>
      <c r="IN33">
        <v>-0.2752750000000006</v>
      </c>
      <c r="IO33">
        <v>0</v>
      </c>
      <c r="IP33">
        <v>0</v>
      </c>
      <c r="IQ33">
        <v>0</v>
      </c>
      <c r="IR33">
        <v>-1</v>
      </c>
      <c r="IS33">
        <v>-1</v>
      </c>
      <c r="IT33">
        <v>-1</v>
      </c>
      <c r="IU33">
        <v>-1</v>
      </c>
      <c r="IV33">
        <v>0.6</v>
      </c>
      <c r="IW33">
        <v>0.5</v>
      </c>
      <c r="IX33">
        <v>0.58349600000000001</v>
      </c>
      <c r="IY33">
        <v>2.47925</v>
      </c>
      <c r="IZ33">
        <v>1.49414</v>
      </c>
      <c r="JA33">
        <v>2.2888199999999999</v>
      </c>
      <c r="JB33">
        <v>1.54419</v>
      </c>
      <c r="JC33">
        <v>2.5439500000000002</v>
      </c>
      <c r="JD33">
        <v>48.1479</v>
      </c>
      <c r="JE33">
        <v>23.947399999999998</v>
      </c>
      <c r="JF33">
        <v>18</v>
      </c>
      <c r="JG33">
        <v>497.01499999999999</v>
      </c>
      <c r="JH33">
        <v>421.52199999999999</v>
      </c>
      <c r="JI33">
        <v>25.782800000000002</v>
      </c>
      <c r="JJ33">
        <v>34.200899999999997</v>
      </c>
      <c r="JK33">
        <v>30.0002</v>
      </c>
      <c r="JL33">
        <v>34.202399999999997</v>
      </c>
      <c r="JM33">
        <v>34.183300000000003</v>
      </c>
      <c r="JN33">
        <v>11.741300000000001</v>
      </c>
      <c r="JO33">
        <v>23.919699999999999</v>
      </c>
      <c r="JP33">
        <v>32.422499999999999</v>
      </c>
      <c r="JQ33">
        <v>25.799499999999998</v>
      </c>
      <c r="JR33">
        <v>200</v>
      </c>
      <c r="JS33">
        <v>23.467099999999999</v>
      </c>
      <c r="JT33">
        <v>97.960800000000006</v>
      </c>
      <c r="JU33">
        <v>97.160399999999996</v>
      </c>
    </row>
    <row r="34" spans="1:281" x14ac:dyDescent="0.25">
      <c r="A34">
        <v>32</v>
      </c>
      <c r="B34">
        <v>1693329117.5999999</v>
      </c>
      <c r="C34">
        <v>7711</v>
      </c>
      <c r="D34" t="s">
        <v>508</v>
      </c>
      <c r="E34" t="s">
        <v>509</v>
      </c>
      <c r="F34" t="s">
        <v>411</v>
      </c>
      <c r="G34" t="s">
        <v>493</v>
      </c>
      <c r="H34" t="s">
        <v>494</v>
      </c>
      <c r="I34" t="s">
        <v>31</v>
      </c>
      <c r="J34">
        <v>1693329117.5999999</v>
      </c>
      <c r="K34">
        <f t="shared" si="0"/>
        <v>4.5452781452028756E-3</v>
      </c>
      <c r="L34">
        <f t="shared" si="1"/>
        <v>4.5452781452028752</v>
      </c>
      <c r="M34">
        <f t="shared" si="2"/>
        <v>13.914437846432484</v>
      </c>
      <c r="N34">
        <f t="shared" si="3"/>
        <v>102.699</v>
      </c>
      <c r="O34">
        <f t="shared" si="4"/>
        <v>28.659813545314279</v>
      </c>
      <c r="P34">
        <f t="shared" si="5"/>
        <v>2.841447665682419</v>
      </c>
      <c r="Q34">
        <f t="shared" si="6"/>
        <v>10.181986472330999</v>
      </c>
      <c r="R34">
        <f t="shared" si="7"/>
        <v>0.32332161813945953</v>
      </c>
      <c r="S34">
        <f t="shared" si="8"/>
        <v>2.9083473154983168</v>
      </c>
      <c r="T34">
        <f t="shared" si="9"/>
        <v>0.30459785223004132</v>
      </c>
      <c r="U34">
        <f t="shared" si="10"/>
        <v>0.19196549420927134</v>
      </c>
      <c r="V34">
        <f t="shared" si="11"/>
        <v>344.3585996708224</v>
      </c>
      <c r="W34">
        <f t="shared" si="12"/>
        <v>31.230121444809654</v>
      </c>
      <c r="X34">
        <f t="shared" si="13"/>
        <v>30.0366</v>
      </c>
      <c r="Y34">
        <f t="shared" si="14"/>
        <v>4.2694146143133453</v>
      </c>
      <c r="Z34">
        <f t="shared" si="15"/>
        <v>65.300662316492421</v>
      </c>
      <c r="AA34">
        <f t="shared" si="16"/>
        <v>2.8430326262501997</v>
      </c>
      <c r="AB34">
        <f t="shared" si="17"/>
        <v>4.3537577191344345</v>
      </c>
      <c r="AC34">
        <f t="shared" si="18"/>
        <v>1.4263819880631456</v>
      </c>
      <c r="AD34">
        <f t="shared" si="19"/>
        <v>-200.4467662034468</v>
      </c>
      <c r="AE34">
        <f t="shared" si="20"/>
        <v>53.482713263389975</v>
      </c>
      <c r="AF34">
        <f t="shared" si="21"/>
        <v>4.097291123503898</v>
      </c>
      <c r="AG34">
        <f t="shared" si="22"/>
        <v>201.49183785426948</v>
      </c>
      <c r="AH34">
        <v>11</v>
      </c>
      <c r="AI34">
        <v>2</v>
      </c>
      <c r="AJ34">
        <f t="shared" si="23"/>
        <v>1</v>
      </c>
      <c r="AK34">
        <f t="shared" si="24"/>
        <v>0</v>
      </c>
      <c r="AL34">
        <f t="shared" si="25"/>
        <v>51664.300961049055</v>
      </c>
      <c r="AM34" t="s">
        <v>413</v>
      </c>
      <c r="AN34">
        <v>10366.9</v>
      </c>
      <c r="AO34">
        <v>993.59653846153856</v>
      </c>
      <c r="AP34">
        <v>3431.87</v>
      </c>
      <c r="AQ34">
        <f t="shared" si="26"/>
        <v>0.71047955241266758</v>
      </c>
      <c r="AR34">
        <v>-3.9894345373445681</v>
      </c>
      <c r="AS34" t="s">
        <v>510</v>
      </c>
      <c r="AT34">
        <v>10299.1</v>
      </c>
      <c r="AU34">
        <v>740.48047999999994</v>
      </c>
      <c r="AV34">
        <v>870.64755738060774</v>
      </c>
      <c r="AW34">
        <f t="shared" si="27"/>
        <v>0.14950605015446528</v>
      </c>
      <c r="AX34">
        <v>0.5</v>
      </c>
      <c r="AY34">
        <f t="shared" si="28"/>
        <v>1513.1345998354111</v>
      </c>
      <c r="AZ34">
        <f t="shared" si="29"/>
        <v>13.914437846432484</v>
      </c>
      <c r="BA34">
        <f t="shared" si="30"/>
        <v>113.11138868672487</v>
      </c>
      <c r="BB34">
        <f t="shared" si="31"/>
        <v>1.1832306515047979E-2</v>
      </c>
      <c r="BC34">
        <f t="shared" si="32"/>
        <v>2.9417442464606163</v>
      </c>
      <c r="BD34">
        <f t="shared" si="33"/>
        <v>536.5875475938418</v>
      </c>
      <c r="BE34" t="s">
        <v>511</v>
      </c>
      <c r="BF34">
        <v>538.33000000000004</v>
      </c>
      <c r="BG34">
        <f t="shared" si="34"/>
        <v>538.33000000000004</v>
      </c>
      <c r="BH34">
        <f t="shared" si="35"/>
        <v>0.38169010475421739</v>
      </c>
      <c r="BI34">
        <f t="shared" si="36"/>
        <v>0.39169485478471339</v>
      </c>
      <c r="BJ34">
        <f t="shared" si="37"/>
        <v>0.88515190480152062</v>
      </c>
      <c r="BK34">
        <f t="shared" si="38"/>
        <v>-1.0587080611503863</v>
      </c>
      <c r="BL34">
        <f t="shared" si="39"/>
        <v>1.0504246070099759</v>
      </c>
      <c r="BM34">
        <f t="shared" si="40"/>
        <v>0.28476252497061744</v>
      </c>
      <c r="BN34">
        <f t="shared" si="41"/>
        <v>0.71523747502938262</v>
      </c>
      <c r="BO34">
        <v>16592</v>
      </c>
      <c r="BP34">
        <v>290.00000000000011</v>
      </c>
      <c r="BQ34">
        <v>836.49</v>
      </c>
      <c r="BR34">
        <v>235</v>
      </c>
      <c r="BS34">
        <v>10299.1</v>
      </c>
      <c r="BT34">
        <v>835.37</v>
      </c>
      <c r="BU34">
        <v>1.1200000000000001</v>
      </c>
      <c r="BV34">
        <v>300.00000000000011</v>
      </c>
      <c r="BW34">
        <v>38.4</v>
      </c>
      <c r="BX34">
        <v>870.64755738060774</v>
      </c>
      <c r="BY34">
        <v>1.236425406664905</v>
      </c>
      <c r="BZ34">
        <v>-36.336607161671992</v>
      </c>
      <c r="CA34">
        <v>1.0425126684890329</v>
      </c>
      <c r="CB34">
        <v>0.97747130765000811</v>
      </c>
      <c r="CC34">
        <v>-1.122036484983314E-2</v>
      </c>
      <c r="CD34">
        <v>289.99999999999989</v>
      </c>
      <c r="CE34">
        <v>834.14</v>
      </c>
      <c r="CF34">
        <v>665</v>
      </c>
      <c r="CG34">
        <v>10281.1</v>
      </c>
      <c r="CH34">
        <v>835.3</v>
      </c>
      <c r="CI34">
        <v>-1.1599999999999999</v>
      </c>
      <c r="CW34">
        <f t="shared" si="42"/>
        <v>1799.94</v>
      </c>
      <c r="CX34">
        <f t="shared" si="43"/>
        <v>1513.1345998354111</v>
      </c>
      <c r="CY34">
        <f t="shared" si="44"/>
        <v>0.840658355187068</v>
      </c>
      <c r="CZ34">
        <f t="shared" si="45"/>
        <v>0.19131671037413603</v>
      </c>
      <c r="DA34">
        <v>6</v>
      </c>
      <c r="DB34">
        <v>0.5</v>
      </c>
      <c r="DC34" t="s">
        <v>414</v>
      </c>
      <c r="DD34">
        <v>2</v>
      </c>
      <c r="DE34">
        <v>1693329117.5999999</v>
      </c>
      <c r="DF34">
        <v>102.699</v>
      </c>
      <c r="DG34">
        <v>119.959</v>
      </c>
      <c r="DH34">
        <v>28.675799999999999</v>
      </c>
      <c r="DI34">
        <v>23.377099999999999</v>
      </c>
      <c r="DJ34">
        <v>102.577</v>
      </c>
      <c r="DK34">
        <v>28.953099999999999</v>
      </c>
      <c r="DL34">
        <v>499.92700000000002</v>
      </c>
      <c r="DM34">
        <v>99.043899999999994</v>
      </c>
      <c r="DN34">
        <v>0.10006900000000001</v>
      </c>
      <c r="DO34">
        <v>30.377700000000001</v>
      </c>
      <c r="DP34">
        <v>30.0366</v>
      </c>
      <c r="DQ34">
        <v>999.9</v>
      </c>
      <c r="DR34">
        <v>0</v>
      </c>
      <c r="DS34">
        <v>0</v>
      </c>
      <c r="DT34">
        <v>9975</v>
      </c>
      <c r="DU34">
        <v>0</v>
      </c>
      <c r="DV34">
        <v>1718.92</v>
      </c>
      <c r="DW34">
        <v>-17.260200000000001</v>
      </c>
      <c r="DX34">
        <v>105.73099999999999</v>
      </c>
      <c r="DY34">
        <v>122.83</v>
      </c>
      <c r="DZ34">
        <v>5.2986300000000002</v>
      </c>
      <c r="EA34">
        <v>119.959</v>
      </c>
      <c r="EB34">
        <v>23.377099999999999</v>
      </c>
      <c r="EC34">
        <v>2.84016</v>
      </c>
      <c r="ED34">
        <v>2.3153600000000001</v>
      </c>
      <c r="EE34">
        <v>23.119399999999999</v>
      </c>
      <c r="EF34">
        <v>19.7837</v>
      </c>
      <c r="EG34">
        <v>1799.94</v>
      </c>
      <c r="EH34">
        <v>0.97799199999999997</v>
      </c>
      <c r="EI34">
        <v>2.2007599999999999E-2</v>
      </c>
      <c r="EJ34">
        <v>0</v>
      </c>
      <c r="EK34">
        <v>740.05100000000004</v>
      </c>
      <c r="EL34">
        <v>5.0002500000000003</v>
      </c>
      <c r="EM34">
        <v>21472.5</v>
      </c>
      <c r="EN34">
        <v>14821.6</v>
      </c>
      <c r="EO34">
        <v>46.311999999999998</v>
      </c>
      <c r="EP34">
        <v>48.311999999999998</v>
      </c>
      <c r="EQ34">
        <v>47.186999999999998</v>
      </c>
      <c r="ER34">
        <v>47.25</v>
      </c>
      <c r="ES34">
        <v>47.686999999999998</v>
      </c>
      <c r="ET34">
        <v>1755.44</v>
      </c>
      <c r="EU34">
        <v>39.5</v>
      </c>
      <c r="EV34">
        <v>0</v>
      </c>
      <c r="EW34">
        <v>102.5999999046326</v>
      </c>
      <c r="EX34">
        <v>0</v>
      </c>
      <c r="EY34">
        <v>740.48047999999994</v>
      </c>
      <c r="EZ34">
        <v>-4.5572307579575346</v>
      </c>
      <c r="FA34">
        <v>-84.76923031585693</v>
      </c>
      <c r="FB34">
        <v>21480.348000000002</v>
      </c>
      <c r="FC34">
        <v>15</v>
      </c>
      <c r="FD34">
        <v>1693329087.5999999</v>
      </c>
      <c r="FE34" t="s">
        <v>512</v>
      </c>
      <c r="FF34">
        <v>1693329072.5999999</v>
      </c>
      <c r="FG34">
        <v>1693329087.5999999</v>
      </c>
      <c r="FH34">
        <v>38</v>
      </c>
      <c r="FI34">
        <v>4.3999999999999997E-2</v>
      </c>
      <c r="FJ34">
        <v>-2E-3</v>
      </c>
      <c r="FK34">
        <v>0.122</v>
      </c>
      <c r="FL34">
        <v>-0.27700000000000002</v>
      </c>
      <c r="FM34">
        <v>120</v>
      </c>
      <c r="FN34">
        <v>23</v>
      </c>
      <c r="FO34">
        <v>0.39</v>
      </c>
      <c r="FP34">
        <v>0.06</v>
      </c>
      <c r="FQ34">
        <v>13.873072100877931</v>
      </c>
      <c r="FR34">
        <v>0.40043790290100861</v>
      </c>
      <c r="FS34">
        <v>0.15705930478307031</v>
      </c>
      <c r="FT34">
        <v>1</v>
      </c>
      <c r="FU34">
        <v>0.32059724325094402</v>
      </c>
      <c r="FV34">
        <v>4.812058754686567E-2</v>
      </c>
      <c r="FW34">
        <v>5.0359999827959724E-3</v>
      </c>
      <c r="FX34">
        <v>1</v>
      </c>
      <c r="FY34">
        <v>2</v>
      </c>
      <c r="FZ34">
        <v>2</v>
      </c>
      <c r="GA34" t="s">
        <v>415</v>
      </c>
      <c r="GB34">
        <v>2.9167900000000002</v>
      </c>
      <c r="GC34">
        <v>2.8297300000000001</v>
      </c>
      <c r="GD34">
        <v>2.74912E-2</v>
      </c>
      <c r="GE34">
        <v>3.1208300000000001E-2</v>
      </c>
      <c r="GF34">
        <v>0.13467999999999999</v>
      </c>
      <c r="GG34">
        <v>0.111637</v>
      </c>
      <c r="GH34">
        <v>25227.3</v>
      </c>
      <c r="GI34">
        <v>30894.400000000001</v>
      </c>
      <c r="GJ34">
        <v>23360.7</v>
      </c>
      <c r="GK34">
        <v>29206</v>
      </c>
      <c r="GL34">
        <v>27573.200000000001</v>
      </c>
      <c r="GM34">
        <v>36762.400000000001</v>
      </c>
      <c r="GN34">
        <v>33030.199999999997</v>
      </c>
      <c r="GO34">
        <v>43157</v>
      </c>
      <c r="GP34">
        <v>1.9204000000000001</v>
      </c>
      <c r="GQ34">
        <v>1.76</v>
      </c>
      <c r="GR34">
        <v>5.5134299999999997E-2</v>
      </c>
      <c r="GS34">
        <v>0</v>
      </c>
      <c r="GT34">
        <v>29.1388</v>
      </c>
      <c r="GU34">
        <v>999.9</v>
      </c>
      <c r="GV34">
        <v>38.700000000000003</v>
      </c>
      <c r="GW34">
        <v>41.3</v>
      </c>
      <c r="GX34">
        <v>31.0397</v>
      </c>
      <c r="GY34">
        <v>61.378900000000002</v>
      </c>
      <c r="GZ34">
        <v>40.080100000000002</v>
      </c>
      <c r="HA34">
        <v>1</v>
      </c>
      <c r="HB34">
        <v>0.55252999999999997</v>
      </c>
      <c r="HC34">
        <v>2.7463099999999998</v>
      </c>
      <c r="HD34">
        <v>20.238900000000001</v>
      </c>
      <c r="HE34">
        <v>5.2107000000000001</v>
      </c>
      <c r="HF34">
        <v>11.8728</v>
      </c>
      <c r="HG34">
        <v>4.9837999999999996</v>
      </c>
      <c r="HH34">
        <v>3.2839999999999998</v>
      </c>
      <c r="HI34">
        <v>9999</v>
      </c>
      <c r="HJ34">
        <v>9999</v>
      </c>
      <c r="HK34">
        <v>9999</v>
      </c>
      <c r="HL34">
        <v>999.9</v>
      </c>
      <c r="HM34">
        <v>1.8548100000000001</v>
      </c>
      <c r="HN34">
        <v>1.86084</v>
      </c>
      <c r="HO34">
        <v>1.85816</v>
      </c>
      <c r="HP34">
        <v>1.8592200000000001</v>
      </c>
      <c r="HQ34">
        <v>1.85867</v>
      </c>
      <c r="HR34">
        <v>1.8591299999999999</v>
      </c>
      <c r="HS34">
        <v>1.85747</v>
      </c>
      <c r="HT34">
        <v>1.86077</v>
      </c>
      <c r="HU34">
        <v>5</v>
      </c>
      <c r="HV34">
        <v>0</v>
      </c>
      <c r="HW34">
        <v>0</v>
      </c>
      <c r="HX34">
        <v>0</v>
      </c>
      <c r="HY34" t="s">
        <v>416</v>
      </c>
      <c r="HZ34" t="s">
        <v>417</v>
      </c>
      <c r="IA34" t="s">
        <v>418</v>
      </c>
      <c r="IB34" t="s">
        <v>418</v>
      </c>
      <c r="IC34" t="s">
        <v>418</v>
      </c>
      <c r="ID34" t="s">
        <v>418</v>
      </c>
      <c r="IE34">
        <v>0</v>
      </c>
      <c r="IF34">
        <v>100</v>
      </c>
      <c r="IG34">
        <v>100</v>
      </c>
      <c r="IH34">
        <v>0.122</v>
      </c>
      <c r="II34">
        <v>-0.27729999999999999</v>
      </c>
      <c r="IJ34">
        <v>0.1215499999999707</v>
      </c>
      <c r="IK34">
        <v>0</v>
      </c>
      <c r="IL34">
        <v>0</v>
      </c>
      <c r="IM34">
        <v>0</v>
      </c>
      <c r="IN34">
        <v>-0.27735000000000198</v>
      </c>
      <c r="IO34">
        <v>0</v>
      </c>
      <c r="IP34">
        <v>0</v>
      </c>
      <c r="IQ34">
        <v>0</v>
      </c>
      <c r="IR34">
        <v>-1</v>
      </c>
      <c r="IS34">
        <v>-1</v>
      </c>
      <c r="IT34">
        <v>-1</v>
      </c>
      <c r="IU34">
        <v>-1</v>
      </c>
      <c r="IV34">
        <v>0.8</v>
      </c>
      <c r="IW34">
        <v>0.5</v>
      </c>
      <c r="IX34">
        <v>0.40771499999999999</v>
      </c>
      <c r="IY34">
        <v>2.49756</v>
      </c>
      <c r="IZ34">
        <v>1.49414</v>
      </c>
      <c r="JA34">
        <v>2.2888199999999999</v>
      </c>
      <c r="JB34">
        <v>1.54419</v>
      </c>
      <c r="JC34">
        <v>2.4853499999999999</v>
      </c>
      <c r="JD34">
        <v>48.239600000000003</v>
      </c>
      <c r="JE34">
        <v>23.956199999999999</v>
      </c>
      <c r="JF34">
        <v>18</v>
      </c>
      <c r="JG34">
        <v>496.84300000000002</v>
      </c>
      <c r="JH34">
        <v>420.779</v>
      </c>
      <c r="JI34">
        <v>25.959599999999998</v>
      </c>
      <c r="JJ34">
        <v>34.182299999999998</v>
      </c>
      <c r="JK34">
        <v>30.000499999999999</v>
      </c>
      <c r="JL34">
        <v>34.205500000000001</v>
      </c>
      <c r="JM34">
        <v>34.189500000000002</v>
      </c>
      <c r="JN34">
        <v>8.2362400000000004</v>
      </c>
      <c r="JO34">
        <v>23.625699999999998</v>
      </c>
      <c r="JP34">
        <v>30.739899999999999</v>
      </c>
      <c r="JQ34">
        <v>25.949300000000001</v>
      </c>
      <c r="JR34">
        <v>120</v>
      </c>
      <c r="JS34">
        <v>23.283999999999999</v>
      </c>
      <c r="JT34">
        <v>97.964500000000001</v>
      </c>
      <c r="JU34">
        <v>97.167000000000002</v>
      </c>
    </row>
    <row r="35" spans="1:281" x14ac:dyDescent="0.25">
      <c r="A35">
        <v>33</v>
      </c>
      <c r="B35">
        <v>1693329218.5999999</v>
      </c>
      <c r="C35">
        <v>7812</v>
      </c>
      <c r="D35" t="s">
        <v>513</v>
      </c>
      <c r="E35" t="s">
        <v>514</v>
      </c>
      <c r="F35" t="s">
        <v>411</v>
      </c>
      <c r="G35" t="s">
        <v>493</v>
      </c>
      <c r="H35" t="s">
        <v>494</v>
      </c>
      <c r="I35" t="s">
        <v>31</v>
      </c>
      <c r="J35">
        <v>1693329218.5999999</v>
      </c>
      <c r="K35">
        <f t="shared" ref="K35:K66" si="46">(L35)/1000</f>
        <v>4.8031442368602316E-3</v>
      </c>
      <c r="L35">
        <f t="shared" ref="L35:L66" si="47">1000*DL35*AJ35*(DH35-DI35)/(100*DA35*(1000-AJ35*DH35))</f>
        <v>4.8031442368602315</v>
      </c>
      <c r="M35">
        <f t="shared" ref="M35:M66" si="48">DL35*AJ35*(DG35-DF35*(1000-AJ35*DI35)/(1000-AJ35*DH35))/(100*DA35)</f>
        <v>8.5353544718090646</v>
      </c>
      <c r="N35">
        <f t="shared" ref="N35:N66" si="49">DF35 - IF(AJ35&gt;1, M35*DA35*100/(AL35*DT35), 0)</f>
        <v>59.446599999999997</v>
      </c>
      <c r="O35">
        <f t="shared" ref="O35:O66" si="50">((U35-K35/2)*N35-M35)/(U35+K35/2)</f>
        <v>17.002144598813931</v>
      </c>
      <c r="P35">
        <f t="shared" ref="P35:P66" si="51">O35*(DM35+DN35)/1000</f>
        <v>1.6856670764186836</v>
      </c>
      <c r="Q35">
        <f t="shared" ref="Q35:Q66" si="52">(DF35 - IF(AJ35&gt;1, M35*DA35*100/(AL35*DT35), 0))*(DM35+DN35)/1000</f>
        <v>5.8937962703846996</v>
      </c>
      <c r="R35">
        <f t="shared" ref="R35:R66" si="53">2/((1/T35-1/S35)+SIGN(T35)*SQRT((1/T35-1/S35)*(1/T35-1/S35) + 4*DB35/((DB35+1)*(DB35+1))*(2*1/T35*1/S35-1/S35*1/S35)))</f>
        <v>0.34720069910591683</v>
      </c>
      <c r="S35">
        <f t="shared" ref="S35:S66" si="54">IF(LEFT(DC35,1)&lt;&gt;"0",IF(LEFT(DC35,1)="1",3,DD35),$D$5+$E$5*(DT35*DM35/($K$5*1000))+$F$5*(DT35*DM35/($K$5*1000))*MAX(MIN(DA35,$J$5),$I$5)*MAX(MIN(DA35,$J$5),$I$5)+$G$5*MAX(MIN(DA35,$J$5),$I$5)*(DT35*DM35/($K$5*1000))+$H$5*(DT35*DM35/($K$5*1000))*(DT35*DM35/($K$5*1000)))</f>
        <v>2.9171000105598357</v>
      </c>
      <c r="T35">
        <f t="shared" ref="T35:T66" si="55">K35*(1000-(1000*0.61365*EXP(17.502*X35/(240.97+X35))/(DM35+DN35)+DH35)/2)/(1000*0.61365*EXP(17.502*X35/(240.97+X35))/(DM35+DN35)-DH35)</f>
        <v>0.32576795952492638</v>
      </c>
      <c r="U35">
        <f t="shared" ref="U35:U66" si="56">1/((DB35+1)/(R35/1.6)+1/(S35/1.37)) + DB35/((DB35+1)/(R35/1.6) + DB35/(S35/1.37))</f>
        <v>0.20542027369452168</v>
      </c>
      <c r="V35">
        <f t="shared" ref="V35:V66" si="57">(CW35*CZ35)</f>
        <v>344.3661996708297</v>
      </c>
      <c r="W35">
        <f t="shared" ref="W35:W66" si="58">(DO35+(V35+2*0.95*0.0000000567*(((DO35+$B$7)+273)^4-(DO35+273)^4)-44100*K35)/(1.84*29.3*S35+8*0.95*0.0000000567*(DO35+273)^3))</f>
        <v>31.150125727400766</v>
      </c>
      <c r="X35">
        <f t="shared" ref="X35:X66" si="59">($C$7*DP35+$D$7*DQ35+$E$7*W35)</f>
        <v>30.0091</v>
      </c>
      <c r="Y35">
        <f t="shared" ref="Y35:Y66" si="60">0.61365*EXP(17.502*X35/(240.97+X35))</f>
        <v>4.2626772020649577</v>
      </c>
      <c r="Z35">
        <f t="shared" ref="Z35:Z66" si="61">(AA35/AB35*100)</f>
        <v>65.576965078574574</v>
      </c>
      <c r="AA35">
        <f t="shared" ref="AA35:AA66" si="62">DH35*(DM35+DN35)/1000</f>
        <v>2.8533454986961497</v>
      </c>
      <c r="AB35">
        <f t="shared" ref="AB35:AB66" si="63">0.61365*EXP(17.502*DO35/(240.97+DO35))</f>
        <v>4.3511399090782259</v>
      </c>
      <c r="AC35">
        <f t="shared" ref="AC35:AC66" si="64">(Y35-DH35*(DM35+DN35)/1000)</f>
        <v>1.409331703368808</v>
      </c>
      <c r="AD35">
        <f t="shared" ref="AD35:AD66" si="65">(-K35*44100)</f>
        <v>-211.81866084553621</v>
      </c>
      <c r="AE35">
        <f t="shared" ref="AE35:AE66" si="66">2*29.3*S35*0.92*(DO35-X35)</f>
        <v>56.317203754987055</v>
      </c>
      <c r="AF35">
        <f t="shared" ref="AF35:AF66" si="67">2*0.95*0.0000000567*(((DO35+$B$7)+273)^4-(X35+273)^4)</f>
        <v>4.3006865705889501</v>
      </c>
      <c r="AG35">
        <f t="shared" ref="AG35:AG66" si="68">V35+AF35+AD35+AE35</f>
        <v>193.16542915086947</v>
      </c>
      <c r="AH35">
        <v>11</v>
      </c>
      <c r="AI35">
        <v>2</v>
      </c>
      <c r="AJ35">
        <f t="shared" ref="AJ35:AJ66" si="69">IF(AH35*$H$13&gt;=AL35,1,(AL35/(AL35-AH35*$H$13)))</f>
        <v>1</v>
      </c>
      <c r="AK35">
        <f t="shared" ref="AK35:AK66" si="70">(AJ35-1)*100</f>
        <v>0</v>
      </c>
      <c r="AL35">
        <f t="shared" ref="AL35:AL66" si="71">MAX(0,($B$13+$C$13*DT35)/(1+$D$13*DT35)*DM35/(DO35+273)*$E$13)</f>
        <v>51914.718787812497</v>
      </c>
      <c r="AM35" t="s">
        <v>413</v>
      </c>
      <c r="AN35">
        <v>10366.9</v>
      </c>
      <c r="AO35">
        <v>993.59653846153856</v>
      </c>
      <c r="AP35">
        <v>3431.87</v>
      </c>
      <c r="AQ35">
        <f t="shared" ref="AQ35:AQ66" si="72">1-AO35/AP35</f>
        <v>0.71047955241266758</v>
      </c>
      <c r="AR35">
        <v>-3.9894345373445681</v>
      </c>
      <c r="AS35" t="s">
        <v>515</v>
      </c>
      <c r="AT35">
        <v>10304.4</v>
      </c>
      <c r="AU35">
        <v>743.37046153846154</v>
      </c>
      <c r="AV35">
        <v>836.01916160040287</v>
      </c>
      <c r="AW35">
        <f t="shared" ref="AW35:AW66" si="73">1-AU35/AV35</f>
        <v>0.11082126381479418</v>
      </c>
      <c r="AX35">
        <v>0.5</v>
      </c>
      <c r="AY35">
        <f t="shared" ref="AY35:AY66" si="74">CX35</f>
        <v>1513.168199835415</v>
      </c>
      <c r="AZ35">
        <f t="shared" ref="AZ35:AZ66" si="75">M35</f>
        <v>8.5353544718090646</v>
      </c>
      <c r="BA35">
        <f t="shared" ref="BA35:BA66" si="76">AW35*AX35*AY35</f>
        <v>83.845606135058858</v>
      </c>
      <c r="BB35">
        <f t="shared" ref="BB35:BB66" si="77">(AZ35-AR35)/AY35</f>
        <v>8.2771954965191151E-3</v>
      </c>
      <c r="BC35">
        <f t="shared" ref="BC35:BC66" si="78">(AP35-AV35)/AV35</f>
        <v>3.1050135662325302</v>
      </c>
      <c r="BD35">
        <f t="shared" ref="BD35:BD66" si="79">AO35/(AQ35+AO35/AV35)</f>
        <v>523.23059226936368</v>
      </c>
      <c r="BE35" t="s">
        <v>516</v>
      </c>
      <c r="BF35">
        <v>545.14</v>
      </c>
      <c r="BG35">
        <f t="shared" ref="BG35:BG66" si="80">IF(BF35&lt;&gt;0, BF35, BD35)</f>
        <v>545.14</v>
      </c>
      <c r="BH35">
        <f t="shared" ref="BH35:BH66" si="81">1-BG35/AV35</f>
        <v>0.34793360602353773</v>
      </c>
      <c r="BI35">
        <f t="shared" ref="BI35:BI66" si="82">(AV35-AU35)/(AV35-BG35)</f>
        <v>0.31851267568358188</v>
      </c>
      <c r="BJ35">
        <f t="shared" ref="BJ35:BJ66" si="83">(AP35-AV35)/(AP35-BG35)</f>
        <v>0.89923575755252372</v>
      </c>
      <c r="BK35">
        <f t="shared" ref="BK35:BK66" si="84">(AV35-AU35)/(AV35-AO35)</f>
        <v>-0.58795686225686794</v>
      </c>
      <c r="BL35">
        <f t="shared" ref="BL35:BL66" si="85">(AP35-AV35)/(AP35-AO35)</f>
        <v>1.0646266218071001</v>
      </c>
      <c r="BM35">
        <f t="shared" ref="BM35:BM66" si="86">(BI35*BG35/AU35)</f>
        <v>0.23357667408898533</v>
      </c>
      <c r="BN35">
        <f t="shared" ref="BN35:BN66" si="87">(1-BM35)</f>
        <v>0.7664233259110147</v>
      </c>
      <c r="BO35">
        <v>16594</v>
      </c>
      <c r="BP35">
        <v>290.00000000000011</v>
      </c>
      <c r="BQ35">
        <v>811.73</v>
      </c>
      <c r="BR35">
        <v>195</v>
      </c>
      <c r="BS35">
        <v>10304.4</v>
      </c>
      <c r="BT35">
        <v>811.01</v>
      </c>
      <c r="BU35">
        <v>0.72</v>
      </c>
      <c r="BV35">
        <v>300.00000000000011</v>
      </c>
      <c r="BW35">
        <v>38.4</v>
      </c>
      <c r="BX35">
        <v>836.01916160040287</v>
      </c>
      <c r="BY35">
        <v>1.1060696314195559</v>
      </c>
      <c r="BZ35">
        <v>-25.769379029285261</v>
      </c>
      <c r="CA35">
        <v>0.93261583009801108</v>
      </c>
      <c r="CB35">
        <v>0.96462360491968924</v>
      </c>
      <c r="CC35">
        <v>-1.1220337041156851E-2</v>
      </c>
      <c r="CD35">
        <v>289.99999999999989</v>
      </c>
      <c r="CE35">
        <v>809.44</v>
      </c>
      <c r="CF35">
        <v>635</v>
      </c>
      <c r="CG35">
        <v>10283.4</v>
      </c>
      <c r="CH35">
        <v>810.96</v>
      </c>
      <c r="CI35">
        <v>-1.52</v>
      </c>
      <c r="CW35">
        <f t="shared" ref="CW35:CW66" si="88">$B$11*DU35+$C$11*DV35+$F$11*EG35*(1-EJ35)</f>
        <v>1799.98</v>
      </c>
      <c r="CX35">
        <f t="shared" ref="CX35:CX66" si="89">CW35*CY35</f>
        <v>1513.168199835415</v>
      </c>
      <c r="CY35">
        <f t="shared" ref="CY35:CY66" si="90">($B$11*$D$9+$C$11*$D$9+$F$11*((ET35+EL35)/MAX(ET35+EL35+EU35, 0.1)*$I$9+EU35/MAX(ET35+EL35+EU35, 0.1)*$J$9))/($B$11+$C$11+$F$11)</f>
        <v>0.84065834055679223</v>
      </c>
      <c r="CZ35">
        <f t="shared" ref="CZ35:CZ66" si="91">($B$11*$K$9+$C$11*$K$9+$F$11*((ET35+EL35)/MAX(ET35+EL35+EU35, 0.1)*$P$9+EU35/MAX(ET35+EL35+EU35, 0.1)*$Q$9))/($B$11+$C$11+$F$11)</f>
        <v>0.19131668111358444</v>
      </c>
      <c r="DA35">
        <v>6</v>
      </c>
      <c r="DB35">
        <v>0.5</v>
      </c>
      <c r="DC35" t="s">
        <v>414</v>
      </c>
      <c r="DD35">
        <v>2</v>
      </c>
      <c r="DE35">
        <v>1693329218.5999999</v>
      </c>
      <c r="DF35">
        <v>59.446599999999997</v>
      </c>
      <c r="DG35">
        <v>70.024299999999997</v>
      </c>
      <c r="DH35">
        <v>28.779699999999998</v>
      </c>
      <c r="DI35">
        <v>23.185700000000001</v>
      </c>
      <c r="DJ35">
        <v>59.3232</v>
      </c>
      <c r="DK35">
        <v>29.062899999999999</v>
      </c>
      <c r="DL35">
        <v>500.34800000000001</v>
      </c>
      <c r="DM35">
        <v>99.044399999999996</v>
      </c>
      <c r="DN35">
        <v>9.9979499999999999E-2</v>
      </c>
      <c r="DO35">
        <v>30.3672</v>
      </c>
      <c r="DP35">
        <v>30.0091</v>
      </c>
      <c r="DQ35">
        <v>999.9</v>
      </c>
      <c r="DR35">
        <v>0</v>
      </c>
      <c r="DS35">
        <v>0</v>
      </c>
      <c r="DT35">
        <v>10025</v>
      </c>
      <c r="DU35">
        <v>0</v>
      </c>
      <c r="DV35">
        <v>1719.03</v>
      </c>
      <c r="DW35">
        <v>-10.5778</v>
      </c>
      <c r="DX35">
        <v>61.208100000000002</v>
      </c>
      <c r="DY35">
        <v>71.686400000000006</v>
      </c>
      <c r="DZ35">
        <v>5.5940200000000004</v>
      </c>
      <c r="EA35">
        <v>70.024299999999997</v>
      </c>
      <c r="EB35">
        <v>23.185700000000001</v>
      </c>
      <c r="EC35">
        <v>2.8504700000000001</v>
      </c>
      <c r="ED35">
        <v>2.2964099999999998</v>
      </c>
      <c r="EE35">
        <v>23.179300000000001</v>
      </c>
      <c r="EF35">
        <v>19.651299999999999</v>
      </c>
      <c r="EG35">
        <v>1799.98</v>
      </c>
      <c r="EH35">
        <v>0.97799199999999997</v>
      </c>
      <c r="EI35">
        <v>2.2007599999999999E-2</v>
      </c>
      <c r="EJ35">
        <v>0</v>
      </c>
      <c r="EK35">
        <v>742.69600000000003</v>
      </c>
      <c r="EL35">
        <v>5.0002500000000003</v>
      </c>
      <c r="EM35">
        <v>21493.4</v>
      </c>
      <c r="EN35">
        <v>14821.8</v>
      </c>
      <c r="EO35">
        <v>46.375</v>
      </c>
      <c r="EP35">
        <v>48.311999999999998</v>
      </c>
      <c r="EQ35">
        <v>47.186999999999998</v>
      </c>
      <c r="ER35">
        <v>47.375</v>
      </c>
      <c r="ES35">
        <v>47.686999999999998</v>
      </c>
      <c r="ET35">
        <v>1755.48</v>
      </c>
      <c r="EU35">
        <v>39.5</v>
      </c>
      <c r="EV35">
        <v>0</v>
      </c>
      <c r="EW35">
        <v>99.199999809265137</v>
      </c>
      <c r="EX35">
        <v>0</v>
      </c>
      <c r="EY35">
        <v>743.37046153846154</v>
      </c>
      <c r="EZ35">
        <v>-3.956307688620563</v>
      </c>
      <c r="FA35">
        <v>-50.406839315024797</v>
      </c>
      <c r="FB35">
        <v>21496.284615384611</v>
      </c>
      <c r="FC35">
        <v>15</v>
      </c>
      <c r="FD35">
        <v>1693329188.5999999</v>
      </c>
      <c r="FE35" t="s">
        <v>517</v>
      </c>
      <c r="FF35">
        <v>1693329181.5999999</v>
      </c>
      <c r="FG35">
        <v>1693329188.5999999</v>
      </c>
      <c r="FH35">
        <v>39</v>
      </c>
      <c r="FI35">
        <v>2E-3</v>
      </c>
      <c r="FJ35">
        <v>-6.0000000000000001E-3</v>
      </c>
      <c r="FK35">
        <v>0.123</v>
      </c>
      <c r="FL35">
        <v>-0.28299999999999997</v>
      </c>
      <c r="FM35">
        <v>70</v>
      </c>
      <c r="FN35">
        <v>23</v>
      </c>
      <c r="FO35">
        <v>0.37</v>
      </c>
      <c r="FP35">
        <v>0.06</v>
      </c>
      <c r="FQ35">
        <v>8.5201806475498714</v>
      </c>
      <c r="FR35">
        <v>0.1076585846830963</v>
      </c>
      <c r="FS35">
        <v>4.8322257193146798E-2</v>
      </c>
      <c r="FT35">
        <v>1</v>
      </c>
      <c r="FU35">
        <v>0.34486872602199209</v>
      </c>
      <c r="FV35">
        <v>4.9255591761494501E-2</v>
      </c>
      <c r="FW35">
        <v>4.4398419038973874E-3</v>
      </c>
      <c r="FX35">
        <v>1</v>
      </c>
      <c r="FY35">
        <v>2</v>
      </c>
      <c r="FZ35">
        <v>2</v>
      </c>
      <c r="GA35" t="s">
        <v>415</v>
      </c>
      <c r="GB35">
        <v>2.9178199999999999</v>
      </c>
      <c r="GC35">
        <v>2.8300900000000002</v>
      </c>
      <c r="GD35">
        <v>1.6208899999999998E-2</v>
      </c>
      <c r="GE35">
        <v>1.8645100000000001E-2</v>
      </c>
      <c r="GF35">
        <v>0.13502400000000001</v>
      </c>
      <c r="GG35">
        <v>0.110987</v>
      </c>
      <c r="GH35">
        <v>25518.9</v>
      </c>
      <c r="GI35">
        <v>31292.3</v>
      </c>
      <c r="GJ35">
        <v>23360.400000000001</v>
      </c>
      <c r="GK35">
        <v>29204.2</v>
      </c>
      <c r="GL35">
        <v>27561</v>
      </c>
      <c r="GM35">
        <v>36785.199999999997</v>
      </c>
      <c r="GN35">
        <v>33029.800000000003</v>
      </c>
      <c r="GO35">
        <v>43153.599999999999</v>
      </c>
      <c r="GP35">
        <v>1.921</v>
      </c>
      <c r="GQ35">
        <v>1.7561</v>
      </c>
      <c r="GR35">
        <v>5.1409000000000003E-2</v>
      </c>
      <c r="GS35">
        <v>0</v>
      </c>
      <c r="GT35">
        <v>29.171900000000001</v>
      </c>
      <c r="GU35">
        <v>999.9</v>
      </c>
      <c r="GV35">
        <v>38.200000000000003</v>
      </c>
      <c r="GW35">
        <v>41.5</v>
      </c>
      <c r="GX35">
        <v>30.964700000000001</v>
      </c>
      <c r="GY35">
        <v>61.268900000000002</v>
      </c>
      <c r="GZ35">
        <v>39.903799999999997</v>
      </c>
      <c r="HA35">
        <v>1</v>
      </c>
      <c r="HB35">
        <v>0.55808899999999995</v>
      </c>
      <c r="HC35">
        <v>2.86069</v>
      </c>
      <c r="HD35">
        <v>20.235700000000001</v>
      </c>
      <c r="HE35">
        <v>5.2107000000000001</v>
      </c>
      <c r="HF35">
        <v>11.874000000000001</v>
      </c>
      <c r="HG35">
        <v>4.9851999999999999</v>
      </c>
      <c r="HH35">
        <v>3.2839999999999998</v>
      </c>
      <c r="HI35">
        <v>9999</v>
      </c>
      <c r="HJ35">
        <v>9999</v>
      </c>
      <c r="HK35">
        <v>9999</v>
      </c>
      <c r="HL35">
        <v>999.9</v>
      </c>
      <c r="HM35">
        <v>1.85486</v>
      </c>
      <c r="HN35">
        <v>1.8608100000000001</v>
      </c>
      <c r="HO35">
        <v>1.8582000000000001</v>
      </c>
      <c r="HP35">
        <v>1.85924</v>
      </c>
      <c r="HQ35">
        <v>1.85867</v>
      </c>
      <c r="HR35">
        <v>1.8591299999999999</v>
      </c>
      <c r="HS35">
        <v>1.85745</v>
      </c>
      <c r="HT35">
        <v>1.8608100000000001</v>
      </c>
      <c r="HU35">
        <v>5</v>
      </c>
      <c r="HV35">
        <v>0</v>
      </c>
      <c r="HW35">
        <v>0</v>
      </c>
      <c r="HX35">
        <v>0</v>
      </c>
      <c r="HY35" t="s">
        <v>416</v>
      </c>
      <c r="HZ35" t="s">
        <v>417</v>
      </c>
      <c r="IA35" t="s">
        <v>418</v>
      </c>
      <c r="IB35" t="s">
        <v>418</v>
      </c>
      <c r="IC35" t="s">
        <v>418</v>
      </c>
      <c r="ID35" t="s">
        <v>418</v>
      </c>
      <c r="IE35">
        <v>0</v>
      </c>
      <c r="IF35">
        <v>100</v>
      </c>
      <c r="IG35">
        <v>100</v>
      </c>
      <c r="IH35">
        <v>0.123</v>
      </c>
      <c r="II35">
        <v>-0.28320000000000001</v>
      </c>
      <c r="IJ35">
        <v>0.1233619047619214</v>
      </c>
      <c r="IK35">
        <v>0</v>
      </c>
      <c r="IL35">
        <v>0</v>
      </c>
      <c r="IM35">
        <v>0</v>
      </c>
      <c r="IN35">
        <v>-0.28314761904762159</v>
      </c>
      <c r="IO35">
        <v>0</v>
      </c>
      <c r="IP35">
        <v>0</v>
      </c>
      <c r="IQ35">
        <v>0</v>
      </c>
      <c r="IR35">
        <v>-1</v>
      </c>
      <c r="IS35">
        <v>-1</v>
      </c>
      <c r="IT35">
        <v>-1</v>
      </c>
      <c r="IU35">
        <v>-1</v>
      </c>
      <c r="IV35">
        <v>0.6</v>
      </c>
      <c r="IW35">
        <v>0.5</v>
      </c>
      <c r="IX35">
        <v>0.29663099999999998</v>
      </c>
      <c r="IY35">
        <v>2.51709</v>
      </c>
      <c r="IZ35">
        <v>1.49414</v>
      </c>
      <c r="JA35">
        <v>2.2875999999999999</v>
      </c>
      <c r="JB35">
        <v>1.54419</v>
      </c>
      <c r="JC35">
        <v>2.4304199999999998</v>
      </c>
      <c r="JD35">
        <v>48.393000000000001</v>
      </c>
      <c r="JE35">
        <v>23.947399999999998</v>
      </c>
      <c r="JF35">
        <v>18</v>
      </c>
      <c r="JG35">
        <v>497.495</v>
      </c>
      <c r="JH35">
        <v>418.49099999999999</v>
      </c>
      <c r="JI35">
        <v>25.644400000000001</v>
      </c>
      <c r="JJ35">
        <v>34.2226</v>
      </c>
      <c r="JK35">
        <v>30.000499999999999</v>
      </c>
      <c r="JL35">
        <v>34.2393</v>
      </c>
      <c r="JM35">
        <v>34.226199999999999</v>
      </c>
      <c r="JN35">
        <v>6.01431</v>
      </c>
      <c r="JO35">
        <v>24.168900000000001</v>
      </c>
      <c r="JP35">
        <v>29.110700000000001</v>
      </c>
      <c r="JQ35">
        <v>25.650200000000002</v>
      </c>
      <c r="JR35">
        <v>70</v>
      </c>
      <c r="JS35">
        <v>23.066700000000001</v>
      </c>
      <c r="JT35">
        <v>97.963200000000001</v>
      </c>
      <c r="JU35">
        <v>97.1601</v>
      </c>
    </row>
    <row r="36" spans="1:281" x14ac:dyDescent="0.25">
      <c r="A36">
        <v>34</v>
      </c>
      <c r="B36">
        <v>1693329326.0999999</v>
      </c>
      <c r="C36">
        <v>7919.5</v>
      </c>
      <c r="D36" t="s">
        <v>518</v>
      </c>
      <c r="E36" t="s">
        <v>519</v>
      </c>
      <c r="F36" t="s">
        <v>411</v>
      </c>
      <c r="G36" t="s">
        <v>493</v>
      </c>
      <c r="H36" t="s">
        <v>494</v>
      </c>
      <c r="I36" t="s">
        <v>31</v>
      </c>
      <c r="J36">
        <v>1693329326.0999999</v>
      </c>
      <c r="K36">
        <f t="shared" si="46"/>
        <v>5.129889318121748E-3</v>
      </c>
      <c r="L36">
        <f t="shared" si="47"/>
        <v>5.129889318121748</v>
      </c>
      <c r="M36">
        <f t="shared" si="48"/>
        <v>3.6044235677670304</v>
      </c>
      <c r="N36">
        <f t="shared" si="49"/>
        <v>25.5486</v>
      </c>
      <c r="O36">
        <f t="shared" si="50"/>
        <v>8.7969961574138225</v>
      </c>
      <c r="P36">
        <f t="shared" si="51"/>
        <v>0.87216118735051773</v>
      </c>
      <c r="Q36">
        <f t="shared" si="52"/>
        <v>2.5329665845499405</v>
      </c>
      <c r="R36">
        <f t="shared" si="53"/>
        <v>0.37407283460006419</v>
      </c>
      <c r="S36">
        <f t="shared" si="54"/>
        <v>2.9205716743105916</v>
      </c>
      <c r="T36">
        <f t="shared" si="55"/>
        <v>0.34934825215375093</v>
      </c>
      <c r="U36">
        <f t="shared" si="56"/>
        <v>0.22042773670459398</v>
      </c>
      <c r="V36">
        <f t="shared" si="57"/>
        <v>344.36049967082425</v>
      </c>
      <c r="W36">
        <f t="shared" si="58"/>
        <v>31.089196133129665</v>
      </c>
      <c r="X36">
        <f t="shared" si="59"/>
        <v>29.987400000000001</v>
      </c>
      <c r="Y36">
        <f t="shared" si="60"/>
        <v>4.2573673136991612</v>
      </c>
      <c r="Z36">
        <f t="shared" si="61"/>
        <v>65.49227345585183</v>
      </c>
      <c r="AA36">
        <f t="shared" si="62"/>
        <v>2.8537439807403899</v>
      </c>
      <c r="AB36">
        <f t="shared" si="63"/>
        <v>4.3573750461786789</v>
      </c>
      <c r="AC36">
        <f t="shared" si="64"/>
        <v>1.4036233329587713</v>
      </c>
      <c r="AD36">
        <f t="shared" si="65"/>
        <v>-226.22811892916909</v>
      </c>
      <c r="AE36">
        <f t="shared" si="66"/>
        <v>63.73732257067882</v>
      </c>
      <c r="AF36">
        <f t="shared" si="67"/>
        <v>4.8616210994077376</v>
      </c>
      <c r="AG36">
        <f t="shared" si="68"/>
        <v>186.73132441174172</v>
      </c>
      <c r="AH36">
        <v>11</v>
      </c>
      <c r="AI36">
        <v>2</v>
      </c>
      <c r="AJ36">
        <f t="shared" si="69"/>
        <v>1</v>
      </c>
      <c r="AK36">
        <f t="shared" si="70"/>
        <v>0</v>
      </c>
      <c r="AL36">
        <f t="shared" si="71"/>
        <v>52009.153732570136</v>
      </c>
      <c r="AM36" t="s">
        <v>413</v>
      </c>
      <c r="AN36">
        <v>10366.9</v>
      </c>
      <c r="AO36">
        <v>993.59653846153856</v>
      </c>
      <c r="AP36">
        <v>3431.87</v>
      </c>
      <c r="AQ36">
        <f t="shared" si="72"/>
        <v>0.71047955241266758</v>
      </c>
      <c r="AR36">
        <v>-3.9894345373445681</v>
      </c>
      <c r="AS36" t="s">
        <v>520</v>
      </c>
      <c r="AT36">
        <v>10309.9</v>
      </c>
      <c r="AU36">
        <v>745.88980000000015</v>
      </c>
      <c r="AV36">
        <v>809.59565795568119</v>
      </c>
      <c r="AW36">
        <f t="shared" si="73"/>
        <v>7.8688487678584385E-2</v>
      </c>
      <c r="AX36">
        <v>0.5</v>
      </c>
      <c r="AY36">
        <f t="shared" si="74"/>
        <v>1513.142999835412</v>
      </c>
      <c r="AZ36">
        <f t="shared" si="75"/>
        <v>3.6044235677670304</v>
      </c>
      <c r="BA36">
        <f t="shared" si="76"/>
        <v>59.533467149242512</v>
      </c>
      <c r="BB36">
        <f t="shared" si="77"/>
        <v>5.0185991052647374E-3</v>
      </c>
      <c r="BC36">
        <f t="shared" si="78"/>
        <v>3.2389925962125981</v>
      </c>
      <c r="BD36">
        <f t="shared" si="79"/>
        <v>512.75664397544233</v>
      </c>
      <c r="BE36" t="s">
        <v>521</v>
      </c>
      <c r="BF36">
        <v>555.23</v>
      </c>
      <c r="BG36">
        <f t="shared" si="80"/>
        <v>555.23</v>
      </c>
      <c r="BH36">
        <f t="shared" si="81"/>
        <v>0.31418851553376981</v>
      </c>
      <c r="BI36">
        <f t="shared" si="82"/>
        <v>0.25044991712985359</v>
      </c>
      <c r="BJ36">
        <f t="shared" si="83"/>
        <v>0.91157542898809674</v>
      </c>
      <c r="BK36">
        <f t="shared" si="84"/>
        <v>-0.34622583207504309</v>
      </c>
      <c r="BL36">
        <f t="shared" si="85"/>
        <v>1.0754635947970164</v>
      </c>
      <c r="BM36">
        <f t="shared" si="86"/>
        <v>0.1864314373088472</v>
      </c>
      <c r="BN36">
        <f t="shared" si="87"/>
        <v>0.81356856269115285</v>
      </c>
      <c r="BO36">
        <v>16596</v>
      </c>
      <c r="BP36">
        <v>290.00000000000011</v>
      </c>
      <c r="BQ36">
        <v>792.63</v>
      </c>
      <c r="BR36">
        <v>155</v>
      </c>
      <c r="BS36">
        <v>10309.9</v>
      </c>
      <c r="BT36">
        <v>791.59</v>
      </c>
      <c r="BU36">
        <v>1.04</v>
      </c>
      <c r="BV36">
        <v>300.00000000000011</v>
      </c>
      <c r="BW36">
        <v>38.4</v>
      </c>
      <c r="BX36">
        <v>809.59565795568119</v>
      </c>
      <c r="BY36">
        <v>1.2435313841697719</v>
      </c>
      <c r="BZ36">
        <v>-18.561097980298261</v>
      </c>
      <c r="CA36">
        <v>1.0484887910754741</v>
      </c>
      <c r="CB36">
        <v>0.91798143146784272</v>
      </c>
      <c r="CC36">
        <v>-1.1220124805339271E-2</v>
      </c>
      <c r="CD36">
        <v>289.99999999999989</v>
      </c>
      <c r="CE36">
        <v>789.64</v>
      </c>
      <c r="CF36">
        <v>635</v>
      </c>
      <c r="CG36">
        <v>10283.1</v>
      </c>
      <c r="CH36">
        <v>791.55</v>
      </c>
      <c r="CI36">
        <v>-1.91</v>
      </c>
      <c r="CW36">
        <f t="shared" si="88"/>
        <v>1799.95</v>
      </c>
      <c r="CX36">
        <f t="shared" si="89"/>
        <v>1513.142999835412</v>
      </c>
      <c r="CY36">
        <f t="shared" si="90"/>
        <v>0.84065835152943802</v>
      </c>
      <c r="CZ36">
        <f t="shared" si="91"/>
        <v>0.19131670305887621</v>
      </c>
      <c r="DA36">
        <v>6</v>
      </c>
      <c r="DB36">
        <v>0.5</v>
      </c>
      <c r="DC36" t="s">
        <v>414</v>
      </c>
      <c r="DD36">
        <v>2</v>
      </c>
      <c r="DE36">
        <v>1693329326.0999999</v>
      </c>
      <c r="DF36">
        <v>25.5486</v>
      </c>
      <c r="DG36">
        <v>30.031199999999998</v>
      </c>
      <c r="DH36">
        <v>28.784099999999999</v>
      </c>
      <c r="DI36">
        <v>22.805399999999999</v>
      </c>
      <c r="DJ36">
        <v>25.381499999999999</v>
      </c>
      <c r="DK36">
        <v>29.082000000000001</v>
      </c>
      <c r="DL36">
        <v>499.99799999999999</v>
      </c>
      <c r="DM36">
        <v>99.043400000000005</v>
      </c>
      <c r="DN36">
        <v>9.9667900000000004E-2</v>
      </c>
      <c r="DO36">
        <v>30.392199999999999</v>
      </c>
      <c r="DP36">
        <v>29.987400000000001</v>
      </c>
      <c r="DQ36">
        <v>999.9</v>
      </c>
      <c r="DR36">
        <v>0</v>
      </c>
      <c r="DS36">
        <v>0</v>
      </c>
      <c r="DT36">
        <v>10045</v>
      </c>
      <c r="DU36">
        <v>0</v>
      </c>
      <c r="DV36">
        <v>1715.09</v>
      </c>
      <c r="DW36">
        <v>-4.4826300000000003</v>
      </c>
      <c r="DX36">
        <v>26.305800000000001</v>
      </c>
      <c r="DY36">
        <v>30.732099999999999</v>
      </c>
      <c r="DZ36">
        <v>5.9786700000000002</v>
      </c>
      <c r="EA36">
        <v>30.031199999999998</v>
      </c>
      <c r="EB36">
        <v>22.805399999999999</v>
      </c>
      <c r="EC36">
        <v>2.8508800000000001</v>
      </c>
      <c r="ED36">
        <v>2.2587299999999999</v>
      </c>
      <c r="EE36">
        <v>23.181699999999999</v>
      </c>
      <c r="EF36">
        <v>19.385000000000002</v>
      </c>
      <c r="EG36">
        <v>1799.95</v>
      </c>
      <c r="EH36">
        <v>0.97799199999999997</v>
      </c>
      <c r="EI36">
        <v>2.2007599999999999E-2</v>
      </c>
      <c r="EJ36">
        <v>0</v>
      </c>
      <c r="EK36">
        <v>745.10599999999999</v>
      </c>
      <c r="EL36">
        <v>5.0002500000000003</v>
      </c>
      <c r="EM36">
        <v>21509.5</v>
      </c>
      <c r="EN36">
        <v>14821.6</v>
      </c>
      <c r="EO36">
        <v>46.375</v>
      </c>
      <c r="EP36">
        <v>48.436999999999998</v>
      </c>
      <c r="EQ36">
        <v>47.25</v>
      </c>
      <c r="ER36">
        <v>47.436999999999998</v>
      </c>
      <c r="ES36">
        <v>47.75</v>
      </c>
      <c r="ET36">
        <v>1755.45</v>
      </c>
      <c r="EU36">
        <v>39.5</v>
      </c>
      <c r="EV36">
        <v>0</v>
      </c>
      <c r="EW36">
        <v>105.7999999523163</v>
      </c>
      <c r="EX36">
        <v>0</v>
      </c>
      <c r="EY36">
        <v>745.88980000000015</v>
      </c>
      <c r="EZ36">
        <v>-4.1618461459777363</v>
      </c>
      <c r="FA36">
        <v>-117.0307688952626</v>
      </c>
      <c r="FB36">
        <v>21523.407999999999</v>
      </c>
      <c r="FC36">
        <v>15</v>
      </c>
      <c r="FD36">
        <v>1693329296.0999999</v>
      </c>
      <c r="FE36" t="s">
        <v>522</v>
      </c>
      <c r="FF36">
        <v>1693329280.0999999</v>
      </c>
      <c r="FG36">
        <v>1693329296.0999999</v>
      </c>
      <c r="FH36">
        <v>40</v>
      </c>
      <c r="FI36">
        <v>4.3999999999999997E-2</v>
      </c>
      <c r="FJ36">
        <v>-1.4999999999999999E-2</v>
      </c>
      <c r="FK36">
        <v>0.16700000000000001</v>
      </c>
      <c r="FL36">
        <v>-0.29799999999999999</v>
      </c>
      <c r="FM36">
        <v>30</v>
      </c>
      <c r="FN36">
        <v>23</v>
      </c>
      <c r="FO36">
        <v>0.89</v>
      </c>
      <c r="FP36">
        <v>0.6</v>
      </c>
      <c r="FQ36">
        <v>3.8285177021652981</v>
      </c>
      <c r="FR36">
        <v>-0.2204036518388168</v>
      </c>
      <c r="FS36">
        <v>0.17390542893492389</v>
      </c>
      <c r="FT36">
        <v>1</v>
      </c>
      <c r="FU36">
        <v>0.37185929228558012</v>
      </c>
      <c r="FV36">
        <v>4.7537164077765807E-2</v>
      </c>
      <c r="FW36">
        <v>4.6323601851929862E-3</v>
      </c>
      <c r="FX36">
        <v>1</v>
      </c>
      <c r="FY36">
        <v>2</v>
      </c>
      <c r="FZ36">
        <v>2</v>
      </c>
      <c r="GA36" t="s">
        <v>415</v>
      </c>
      <c r="GB36">
        <v>2.9168699999999999</v>
      </c>
      <c r="GC36">
        <v>2.8299400000000001</v>
      </c>
      <c r="GD36">
        <v>7.0097199999999997E-3</v>
      </c>
      <c r="GE36">
        <v>8.1006299999999993E-3</v>
      </c>
      <c r="GF36">
        <v>0.13506499999999999</v>
      </c>
      <c r="GG36">
        <v>0.10968799999999999</v>
      </c>
      <c r="GH36">
        <v>25754.7</v>
      </c>
      <c r="GI36">
        <v>31623.1</v>
      </c>
      <c r="GJ36">
        <v>23358.6</v>
      </c>
      <c r="GK36">
        <v>29200.2</v>
      </c>
      <c r="GL36">
        <v>27554.9</v>
      </c>
      <c r="GM36">
        <v>36833.5</v>
      </c>
      <c r="GN36">
        <v>33024.5</v>
      </c>
      <c r="GO36">
        <v>43148.1</v>
      </c>
      <c r="GP36">
        <v>1.9194</v>
      </c>
      <c r="GQ36">
        <v>1.7534000000000001</v>
      </c>
      <c r="GR36">
        <v>4.7460200000000001E-2</v>
      </c>
      <c r="GS36">
        <v>0</v>
      </c>
      <c r="GT36">
        <v>29.214500000000001</v>
      </c>
      <c r="GU36">
        <v>999.9</v>
      </c>
      <c r="GV36">
        <v>37.6</v>
      </c>
      <c r="GW36">
        <v>41.8</v>
      </c>
      <c r="GX36">
        <v>30.967700000000001</v>
      </c>
      <c r="GY36">
        <v>61.2089</v>
      </c>
      <c r="GZ36">
        <v>39.835700000000003</v>
      </c>
      <c r="HA36">
        <v>1</v>
      </c>
      <c r="HB36">
        <v>0.56426799999999999</v>
      </c>
      <c r="HC36">
        <v>2.73502</v>
      </c>
      <c r="HD36">
        <v>20.2407</v>
      </c>
      <c r="HE36">
        <v>5.2107000000000001</v>
      </c>
      <c r="HF36">
        <v>11.8752</v>
      </c>
      <c r="HG36">
        <v>4.9851999999999999</v>
      </c>
      <c r="HH36">
        <v>3.2839999999999998</v>
      </c>
      <c r="HI36">
        <v>9999</v>
      </c>
      <c r="HJ36">
        <v>9999</v>
      </c>
      <c r="HK36">
        <v>9999</v>
      </c>
      <c r="HL36">
        <v>999.9</v>
      </c>
      <c r="HM36">
        <v>1.85486</v>
      </c>
      <c r="HN36">
        <v>1.8609</v>
      </c>
      <c r="HO36">
        <v>1.85822</v>
      </c>
      <c r="HP36">
        <v>1.85924</v>
      </c>
      <c r="HQ36">
        <v>1.85867</v>
      </c>
      <c r="HR36">
        <v>1.85914</v>
      </c>
      <c r="HS36">
        <v>1.85747</v>
      </c>
      <c r="HT36">
        <v>1.8608100000000001</v>
      </c>
      <c r="HU36">
        <v>5</v>
      </c>
      <c r="HV36">
        <v>0</v>
      </c>
      <c r="HW36">
        <v>0</v>
      </c>
      <c r="HX36">
        <v>0</v>
      </c>
      <c r="HY36" t="s">
        <v>416</v>
      </c>
      <c r="HZ36" t="s">
        <v>417</v>
      </c>
      <c r="IA36" t="s">
        <v>418</v>
      </c>
      <c r="IB36" t="s">
        <v>418</v>
      </c>
      <c r="IC36" t="s">
        <v>418</v>
      </c>
      <c r="ID36" t="s">
        <v>418</v>
      </c>
      <c r="IE36">
        <v>0</v>
      </c>
      <c r="IF36">
        <v>100</v>
      </c>
      <c r="IG36">
        <v>100</v>
      </c>
      <c r="IH36">
        <v>0.16700000000000001</v>
      </c>
      <c r="II36">
        <v>-0.2979</v>
      </c>
      <c r="IJ36">
        <v>0.1670571428571499</v>
      </c>
      <c r="IK36">
        <v>0</v>
      </c>
      <c r="IL36">
        <v>0</v>
      </c>
      <c r="IM36">
        <v>0</v>
      </c>
      <c r="IN36">
        <v>-0.29789047619047082</v>
      </c>
      <c r="IO36">
        <v>0</v>
      </c>
      <c r="IP36">
        <v>0</v>
      </c>
      <c r="IQ36">
        <v>0</v>
      </c>
      <c r="IR36">
        <v>-1</v>
      </c>
      <c r="IS36">
        <v>-1</v>
      </c>
      <c r="IT36">
        <v>-1</v>
      </c>
      <c r="IU36">
        <v>-1</v>
      </c>
      <c r="IV36">
        <v>0.8</v>
      </c>
      <c r="IW36">
        <v>0.5</v>
      </c>
      <c r="IX36">
        <v>0.20874000000000001</v>
      </c>
      <c r="IY36">
        <v>2.5402800000000001</v>
      </c>
      <c r="IZ36">
        <v>1.49414</v>
      </c>
      <c r="JA36">
        <v>2.2875999999999999</v>
      </c>
      <c r="JB36">
        <v>1.54419</v>
      </c>
      <c r="JC36">
        <v>2.4218799999999998</v>
      </c>
      <c r="JD36">
        <v>48.546999999999997</v>
      </c>
      <c r="JE36">
        <v>23.982399999999998</v>
      </c>
      <c r="JF36">
        <v>18</v>
      </c>
      <c r="JG36">
        <v>496.95</v>
      </c>
      <c r="JH36">
        <v>417.16500000000002</v>
      </c>
      <c r="JI36">
        <v>25.800799999999999</v>
      </c>
      <c r="JJ36">
        <v>34.296900000000001</v>
      </c>
      <c r="JK36">
        <v>30.0002</v>
      </c>
      <c r="JL36">
        <v>34.303800000000003</v>
      </c>
      <c r="JM36">
        <v>34.288600000000002</v>
      </c>
      <c r="JN36">
        <v>4.2361800000000001</v>
      </c>
      <c r="JO36">
        <v>24.648599999999998</v>
      </c>
      <c r="JP36">
        <v>27.3383</v>
      </c>
      <c r="JQ36">
        <v>25.804300000000001</v>
      </c>
      <c r="JR36">
        <v>30</v>
      </c>
      <c r="JS36">
        <v>22.755600000000001</v>
      </c>
      <c r="JT36">
        <v>97.950800000000001</v>
      </c>
      <c r="JU36">
        <v>97.147300000000001</v>
      </c>
    </row>
    <row r="37" spans="1:281" x14ac:dyDescent="0.25">
      <c r="A37">
        <v>35</v>
      </c>
      <c r="B37">
        <v>1693329428.5999999</v>
      </c>
      <c r="C37">
        <v>8022</v>
      </c>
      <c r="D37" t="s">
        <v>523</v>
      </c>
      <c r="E37" t="s">
        <v>524</v>
      </c>
      <c r="F37" t="s">
        <v>411</v>
      </c>
      <c r="G37" t="s">
        <v>493</v>
      </c>
      <c r="H37" t="s">
        <v>494</v>
      </c>
      <c r="I37" t="s">
        <v>31</v>
      </c>
      <c r="J37">
        <v>1693329428.5999999</v>
      </c>
      <c r="K37">
        <f t="shared" si="46"/>
        <v>5.2121159058972242E-3</v>
      </c>
      <c r="L37">
        <f t="shared" si="47"/>
        <v>5.2121159058972246</v>
      </c>
      <c r="M37">
        <f t="shared" si="48"/>
        <v>1.219645840993538</v>
      </c>
      <c r="N37">
        <f t="shared" si="49"/>
        <v>8.4850999999999992</v>
      </c>
      <c r="O37">
        <f t="shared" si="50"/>
        <v>2.8960684662009371</v>
      </c>
      <c r="P37">
        <f t="shared" si="51"/>
        <v>0.28711566300580993</v>
      </c>
      <c r="Q37">
        <f t="shared" si="52"/>
        <v>0.84121115940549984</v>
      </c>
      <c r="R37">
        <f t="shared" si="53"/>
        <v>0.37972692505264888</v>
      </c>
      <c r="S37">
        <f t="shared" si="54"/>
        <v>2.9117689325410478</v>
      </c>
      <c r="T37">
        <f t="shared" si="55"/>
        <v>0.35420514200360192</v>
      </c>
      <c r="U37">
        <f t="shared" si="56"/>
        <v>0.22352814043608224</v>
      </c>
      <c r="V37">
        <f t="shared" si="57"/>
        <v>344.3566996708206</v>
      </c>
      <c r="W37">
        <f t="shared" si="58"/>
        <v>31.107957405076146</v>
      </c>
      <c r="X37">
        <f t="shared" si="59"/>
        <v>30.019600000000001</v>
      </c>
      <c r="Y37">
        <f t="shared" si="60"/>
        <v>4.2652485742351551</v>
      </c>
      <c r="Z37">
        <f t="shared" si="61"/>
        <v>65.465145016300795</v>
      </c>
      <c r="AA37">
        <f t="shared" si="62"/>
        <v>2.8588251589215004</v>
      </c>
      <c r="AB37">
        <f t="shared" si="63"/>
        <v>4.366942375533811</v>
      </c>
      <c r="AC37">
        <f t="shared" si="64"/>
        <v>1.4064234153136548</v>
      </c>
      <c r="AD37">
        <f t="shared" si="65"/>
        <v>-229.8543114500676</v>
      </c>
      <c r="AE37">
        <f t="shared" si="66"/>
        <v>64.502788901394453</v>
      </c>
      <c r="AF37">
        <f t="shared" si="67"/>
        <v>4.9366032048194972</v>
      </c>
      <c r="AG37">
        <f t="shared" si="68"/>
        <v>183.94178032696698</v>
      </c>
      <c r="AH37">
        <v>11</v>
      </c>
      <c r="AI37">
        <v>2</v>
      </c>
      <c r="AJ37">
        <f t="shared" si="69"/>
        <v>1</v>
      </c>
      <c r="AK37">
        <f t="shared" si="70"/>
        <v>0</v>
      </c>
      <c r="AL37">
        <f t="shared" si="71"/>
        <v>51752.329200556131</v>
      </c>
      <c r="AM37" t="s">
        <v>413</v>
      </c>
      <c r="AN37">
        <v>10366.9</v>
      </c>
      <c r="AO37">
        <v>993.59653846153856</v>
      </c>
      <c r="AP37">
        <v>3431.87</v>
      </c>
      <c r="AQ37">
        <f t="shared" si="72"/>
        <v>0.71047955241266758</v>
      </c>
      <c r="AR37">
        <v>-3.9894345373445681</v>
      </c>
      <c r="AS37" t="s">
        <v>525</v>
      </c>
      <c r="AT37">
        <v>10305.299999999999</v>
      </c>
      <c r="AU37">
        <v>746.25111538461533</v>
      </c>
      <c r="AV37">
        <v>796.69039742580094</v>
      </c>
      <c r="AW37">
        <f t="shared" si="73"/>
        <v>6.3311020446789379E-2</v>
      </c>
      <c r="AX37">
        <v>0.5</v>
      </c>
      <c r="AY37">
        <f t="shared" si="74"/>
        <v>1513.1261998354103</v>
      </c>
      <c r="AZ37">
        <f t="shared" si="75"/>
        <v>1.219645840993538</v>
      </c>
      <c r="BA37">
        <f t="shared" si="76"/>
        <v>47.898781888176188</v>
      </c>
      <c r="BB37">
        <f t="shared" si="77"/>
        <v>3.4425947940791204E-3</v>
      </c>
      <c r="BC37">
        <f t="shared" si="78"/>
        <v>3.3076582962324759</v>
      </c>
      <c r="BD37">
        <f t="shared" si="79"/>
        <v>507.54951022655064</v>
      </c>
      <c r="BE37" t="s">
        <v>526</v>
      </c>
      <c r="BF37">
        <v>562.04999999999995</v>
      </c>
      <c r="BG37">
        <f t="shared" si="80"/>
        <v>562.04999999999995</v>
      </c>
      <c r="BH37">
        <f t="shared" si="81"/>
        <v>0.29451892251237288</v>
      </c>
      <c r="BI37">
        <f t="shared" si="82"/>
        <v>0.2149641860248542</v>
      </c>
      <c r="BJ37">
        <f t="shared" si="83"/>
        <v>0.91823863607271505</v>
      </c>
      <c r="BK37">
        <f t="shared" si="84"/>
        <v>-0.25615900944415487</v>
      </c>
      <c r="BL37">
        <f t="shared" si="85"/>
        <v>1.0807563811614045</v>
      </c>
      <c r="BM37">
        <f t="shared" si="86"/>
        <v>0.16190343741462784</v>
      </c>
      <c r="BN37">
        <f t="shared" si="87"/>
        <v>0.83809656258537213</v>
      </c>
      <c r="BO37">
        <v>16598</v>
      </c>
      <c r="BP37">
        <v>290.00000000000011</v>
      </c>
      <c r="BQ37">
        <v>783</v>
      </c>
      <c r="BR37">
        <v>185</v>
      </c>
      <c r="BS37">
        <v>10305.299999999999</v>
      </c>
      <c r="BT37">
        <v>782.28</v>
      </c>
      <c r="BU37">
        <v>0.72</v>
      </c>
      <c r="BV37">
        <v>300.00000000000011</v>
      </c>
      <c r="BW37">
        <v>38.4</v>
      </c>
      <c r="BX37">
        <v>796.69039742580094</v>
      </c>
      <c r="BY37">
        <v>1.039826734378688</v>
      </c>
      <c r="BZ37">
        <v>-14.847014605128781</v>
      </c>
      <c r="CA37">
        <v>0.87671661318918515</v>
      </c>
      <c r="CB37">
        <v>0.91105102771230806</v>
      </c>
      <c r="CC37">
        <v>-1.121985406006675E-2</v>
      </c>
      <c r="CD37">
        <v>289.99999999999989</v>
      </c>
      <c r="CE37">
        <v>781.2</v>
      </c>
      <c r="CF37">
        <v>615</v>
      </c>
      <c r="CG37">
        <v>10284.5</v>
      </c>
      <c r="CH37">
        <v>782.25</v>
      </c>
      <c r="CI37">
        <v>-1.05</v>
      </c>
      <c r="CW37">
        <f t="shared" si="88"/>
        <v>1799.93</v>
      </c>
      <c r="CX37">
        <f t="shared" si="89"/>
        <v>1513.1261998354103</v>
      </c>
      <c r="CY37">
        <f t="shared" si="90"/>
        <v>0.8406583588447385</v>
      </c>
      <c r="CZ37">
        <f t="shared" si="91"/>
        <v>0.19131671768947714</v>
      </c>
      <c r="DA37">
        <v>6</v>
      </c>
      <c r="DB37">
        <v>0.5</v>
      </c>
      <c r="DC37" t="s">
        <v>414</v>
      </c>
      <c r="DD37">
        <v>2</v>
      </c>
      <c r="DE37">
        <v>1693329428.5999999</v>
      </c>
      <c r="DF37">
        <v>8.4850999999999992</v>
      </c>
      <c r="DG37">
        <v>10.001799999999999</v>
      </c>
      <c r="DH37">
        <v>28.836300000000001</v>
      </c>
      <c r="DI37">
        <v>22.761900000000001</v>
      </c>
      <c r="DJ37">
        <v>8.2876100000000008</v>
      </c>
      <c r="DK37">
        <v>29.136900000000001</v>
      </c>
      <c r="DL37">
        <v>499.98200000000003</v>
      </c>
      <c r="DM37">
        <v>99.039400000000001</v>
      </c>
      <c r="DN37">
        <v>0.10040499999999999</v>
      </c>
      <c r="DO37">
        <v>30.430499999999999</v>
      </c>
      <c r="DP37">
        <v>30.019600000000001</v>
      </c>
      <c r="DQ37">
        <v>999.9</v>
      </c>
      <c r="DR37">
        <v>0</v>
      </c>
      <c r="DS37">
        <v>0</v>
      </c>
      <c r="DT37">
        <v>9995</v>
      </c>
      <c r="DU37">
        <v>0</v>
      </c>
      <c r="DV37">
        <v>1720.27</v>
      </c>
      <c r="DW37">
        <v>-1.5166900000000001</v>
      </c>
      <c r="DX37">
        <v>8.73705</v>
      </c>
      <c r="DY37">
        <v>10.2348</v>
      </c>
      <c r="DZ37">
        <v>6.0744199999999999</v>
      </c>
      <c r="EA37">
        <v>10.001799999999999</v>
      </c>
      <c r="EB37">
        <v>22.761900000000001</v>
      </c>
      <c r="EC37">
        <v>2.8559299999999999</v>
      </c>
      <c r="ED37">
        <v>2.2543299999999999</v>
      </c>
      <c r="EE37">
        <v>23.210999999999999</v>
      </c>
      <c r="EF37">
        <v>19.3537</v>
      </c>
      <c r="EG37">
        <v>1799.93</v>
      </c>
      <c r="EH37">
        <v>0.97799199999999997</v>
      </c>
      <c r="EI37">
        <v>2.2007599999999999E-2</v>
      </c>
      <c r="EJ37">
        <v>0</v>
      </c>
      <c r="EK37">
        <v>746.13800000000003</v>
      </c>
      <c r="EL37">
        <v>5.0002500000000003</v>
      </c>
      <c r="EM37">
        <v>21516</v>
      </c>
      <c r="EN37">
        <v>14821.5</v>
      </c>
      <c r="EO37">
        <v>46.436999999999998</v>
      </c>
      <c r="EP37">
        <v>48.5</v>
      </c>
      <c r="EQ37">
        <v>47.311999999999998</v>
      </c>
      <c r="ER37">
        <v>47.561999999999998</v>
      </c>
      <c r="ES37">
        <v>47.811999999999998</v>
      </c>
      <c r="ET37">
        <v>1755.43</v>
      </c>
      <c r="EU37">
        <v>39.5</v>
      </c>
      <c r="EV37">
        <v>0</v>
      </c>
      <c r="EW37">
        <v>100.7999999523163</v>
      </c>
      <c r="EX37">
        <v>0</v>
      </c>
      <c r="EY37">
        <v>746.25111538461533</v>
      </c>
      <c r="EZ37">
        <v>-1.796273501067704</v>
      </c>
      <c r="FA37">
        <v>-28.748717519085439</v>
      </c>
      <c r="FB37">
        <v>21518.634615384621</v>
      </c>
      <c r="FC37">
        <v>15</v>
      </c>
      <c r="FD37">
        <v>1693329399.0999999</v>
      </c>
      <c r="FE37" t="s">
        <v>527</v>
      </c>
      <c r="FF37">
        <v>1693329396.5999999</v>
      </c>
      <c r="FG37">
        <v>1693329399.0999999</v>
      </c>
      <c r="FH37">
        <v>41</v>
      </c>
      <c r="FI37">
        <v>0.03</v>
      </c>
      <c r="FJ37">
        <v>-3.0000000000000001E-3</v>
      </c>
      <c r="FK37">
        <v>0.19700000000000001</v>
      </c>
      <c r="FL37">
        <v>-0.30099999999999999</v>
      </c>
      <c r="FM37">
        <v>10</v>
      </c>
      <c r="FN37">
        <v>23</v>
      </c>
      <c r="FO37">
        <v>0.76</v>
      </c>
      <c r="FP37">
        <v>0.05</v>
      </c>
      <c r="FQ37">
        <v>1.230907216278043</v>
      </c>
      <c r="FR37">
        <v>-0.25867082145576648</v>
      </c>
      <c r="FS37">
        <v>4.5117500614791001E-2</v>
      </c>
      <c r="FT37">
        <v>1</v>
      </c>
      <c r="FU37">
        <v>0.37797308601426632</v>
      </c>
      <c r="FV37">
        <v>4.2116294116718432E-2</v>
      </c>
      <c r="FW37">
        <v>4.6438142048398599E-3</v>
      </c>
      <c r="FX37">
        <v>1</v>
      </c>
      <c r="FY37">
        <v>2</v>
      </c>
      <c r="FZ37">
        <v>2</v>
      </c>
      <c r="GA37" t="s">
        <v>415</v>
      </c>
      <c r="GB37">
        <v>2.9167399999999999</v>
      </c>
      <c r="GC37">
        <v>2.8302399999999999</v>
      </c>
      <c r="GD37">
        <v>2.2967600000000001E-3</v>
      </c>
      <c r="GE37">
        <v>2.7084399999999999E-3</v>
      </c>
      <c r="GF37">
        <v>0.135217</v>
      </c>
      <c r="GG37">
        <v>0.10952099999999999</v>
      </c>
      <c r="GH37">
        <v>25874.1</v>
      </c>
      <c r="GI37">
        <v>31791.8</v>
      </c>
      <c r="GJ37">
        <v>23356.400000000001</v>
      </c>
      <c r="GK37">
        <v>29197.9</v>
      </c>
      <c r="GL37">
        <v>27550.1</v>
      </c>
      <c r="GM37">
        <v>36837.800000000003</v>
      </c>
      <c r="GN37">
        <v>33024.6</v>
      </c>
      <c r="GO37">
        <v>43145.5</v>
      </c>
      <c r="GP37">
        <v>1.9189000000000001</v>
      </c>
      <c r="GQ37">
        <v>1.7501</v>
      </c>
      <c r="GR37">
        <v>4.2021299999999998E-2</v>
      </c>
      <c r="GS37">
        <v>0</v>
      </c>
      <c r="GT37">
        <v>29.3354</v>
      </c>
      <c r="GU37">
        <v>999.9</v>
      </c>
      <c r="GV37">
        <v>36.9</v>
      </c>
      <c r="GW37">
        <v>42.1</v>
      </c>
      <c r="GX37">
        <v>30.874600000000001</v>
      </c>
      <c r="GY37">
        <v>61.3889</v>
      </c>
      <c r="GZ37">
        <v>39.6875</v>
      </c>
      <c r="HA37">
        <v>1</v>
      </c>
      <c r="HB37">
        <v>0.57350599999999996</v>
      </c>
      <c r="HC37">
        <v>3.2486600000000001</v>
      </c>
      <c r="HD37">
        <v>20.230899999999998</v>
      </c>
      <c r="HE37">
        <v>5.2112999999999996</v>
      </c>
      <c r="HF37">
        <v>11.874000000000001</v>
      </c>
      <c r="HG37">
        <v>4.9850000000000003</v>
      </c>
      <c r="HH37">
        <v>3.2839999999999998</v>
      </c>
      <c r="HI37">
        <v>9999</v>
      </c>
      <c r="HJ37">
        <v>9999</v>
      </c>
      <c r="HK37">
        <v>9999</v>
      </c>
      <c r="HL37">
        <v>999.9</v>
      </c>
      <c r="HM37">
        <v>1.85486</v>
      </c>
      <c r="HN37">
        <v>1.86084</v>
      </c>
      <c r="HO37">
        <v>1.85822</v>
      </c>
      <c r="HP37">
        <v>1.85928</v>
      </c>
      <c r="HQ37">
        <v>1.85867</v>
      </c>
      <c r="HR37">
        <v>1.8591299999999999</v>
      </c>
      <c r="HS37">
        <v>1.85748</v>
      </c>
      <c r="HT37">
        <v>1.8608100000000001</v>
      </c>
      <c r="HU37">
        <v>5</v>
      </c>
      <c r="HV37">
        <v>0</v>
      </c>
      <c r="HW37">
        <v>0</v>
      </c>
      <c r="HX37">
        <v>0</v>
      </c>
      <c r="HY37" t="s">
        <v>416</v>
      </c>
      <c r="HZ37" t="s">
        <v>417</v>
      </c>
      <c r="IA37" t="s">
        <v>418</v>
      </c>
      <c r="IB37" t="s">
        <v>418</v>
      </c>
      <c r="IC37" t="s">
        <v>418</v>
      </c>
      <c r="ID37" t="s">
        <v>418</v>
      </c>
      <c r="IE37">
        <v>0</v>
      </c>
      <c r="IF37">
        <v>100</v>
      </c>
      <c r="IG37">
        <v>100</v>
      </c>
      <c r="IH37">
        <v>0.19700000000000001</v>
      </c>
      <c r="II37">
        <v>-0.30059999999999998</v>
      </c>
      <c r="IJ37">
        <v>0.19749899999999879</v>
      </c>
      <c r="IK37">
        <v>0</v>
      </c>
      <c r="IL37">
        <v>0</v>
      </c>
      <c r="IM37">
        <v>0</v>
      </c>
      <c r="IN37">
        <v>-0.30052857142856843</v>
      </c>
      <c r="IO37">
        <v>0</v>
      </c>
      <c r="IP37">
        <v>0</v>
      </c>
      <c r="IQ37">
        <v>0</v>
      </c>
      <c r="IR37">
        <v>-1</v>
      </c>
      <c r="IS37">
        <v>-1</v>
      </c>
      <c r="IT37">
        <v>-1</v>
      </c>
      <c r="IU37">
        <v>-1</v>
      </c>
      <c r="IV37">
        <v>0.5</v>
      </c>
      <c r="IW37">
        <v>0.5</v>
      </c>
      <c r="IX37">
        <v>0.163574</v>
      </c>
      <c r="IY37">
        <v>2.5610400000000002</v>
      </c>
      <c r="IZ37">
        <v>1.49414</v>
      </c>
      <c r="JA37">
        <v>2.2875999999999999</v>
      </c>
      <c r="JB37">
        <v>1.54419</v>
      </c>
      <c r="JC37">
        <v>2.5415000000000001</v>
      </c>
      <c r="JD37">
        <v>48.670699999999997</v>
      </c>
      <c r="JE37">
        <v>23.991199999999999</v>
      </c>
      <c r="JF37">
        <v>18</v>
      </c>
      <c r="JG37">
        <v>497.1</v>
      </c>
      <c r="JH37">
        <v>415.44499999999999</v>
      </c>
      <c r="JI37">
        <v>25.396899999999999</v>
      </c>
      <c r="JJ37">
        <v>34.368400000000001</v>
      </c>
      <c r="JK37">
        <v>30.0002</v>
      </c>
      <c r="JL37">
        <v>34.365499999999997</v>
      </c>
      <c r="JM37">
        <v>34.349299999999999</v>
      </c>
      <c r="JN37">
        <v>3.3407499999999999</v>
      </c>
      <c r="JO37">
        <v>23.8674</v>
      </c>
      <c r="JP37">
        <v>25.290299999999998</v>
      </c>
      <c r="JQ37">
        <v>25.405100000000001</v>
      </c>
      <c r="JR37">
        <v>10</v>
      </c>
      <c r="JS37">
        <v>22.6936</v>
      </c>
      <c r="JT37">
        <v>97.947400000000002</v>
      </c>
      <c r="JU37">
        <v>97.140699999999995</v>
      </c>
    </row>
    <row r="38" spans="1:281" x14ac:dyDescent="0.25">
      <c r="A38">
        <v>36</v>
      </c>
      <c r="B38">
        <v>1693329618.5</v>
      </c>
      <c r="C38">
        <v>8211.9000000953674</v>
      </c>
      <c r="D38" t="s">
        <v>528</v>
      </c>
      <c r="E38" t="s">
        <v>529</v>
      </c>
      <c r="F38" t="s">
        <v>411</v>
      </c>
      <c r="G38" t="s">
        <v>493</v>
      </c>
      <c r="H38" t="s">
        <v>494</v>
      </c>
      <c r="I38" t="s">
        <v>31</v>
      </c>
      <c r="J38">
        <v>1693329618.5</v>
      </c>
      <c r="K38">
        <f t="shared" si="46"/>
        <v>5.2345804182029063E-3</v>
      </c>
      <c r="L38">
        <f t="shared" si="47"/>
        <v>5.2345804182029063</v>
      </c>
      <c r="M38">
        <f t="shared" si="48"/>
        <v>40.078660973803288</v>
      </c>
      <c r="N38">
        <f t="shared" si="49"/>
        <v>349.63099999999997</v>
      </c>
      <c r="O38">
        <f t="shared" si="50"/>
        <v>163.07558373588037</v>
      </c>
      <c r="P38">
        <f t="shared" si="51"/>
        <v>16.16577459036705</v>
      </c>
      <c r="Q38">
        <f t="shared" si="52"/>
        <v>34.659118221883993</v>
      </c>
      <c r="R38">
        <f t="shared" si="53"/>
        <v>0.37703847083630027</v>
      </c>
      <c r="S38">
        <f t="shared" si="54"/>
        <v>2.9098601754664664</v>
      </c>
      <c r="T38">
        <f t="shared" si="55"/>
        <v>0.35184861948751484</v>
      </c>
      <c r="U38">
        <f t="shared" si="56"/>
        <v>0.22202819797477799</v>
      </c>
      <c r="V38">
        <f t="shared" si="57"/>
        <v>344.33579967080044</v>
      </c>
      <c r="W38">
        <f t="shared" si="58"/>
        <v>31.099682673795378</v>
      </c>
      <c r="X38">
        <f t="shared" si="59"/>
        <v>30.021899999999999</v>
      </c>
      <c r="Y38">
        <f t="shared" si="60"/>
        <v>4.2658120076364003</v>
      </c>
      <c r="Z38">
        <f t="shared" si="61"/>
        <v>65.133375162319282</v>
      </c>
      <c r="AA38">
        <f t="shared" si="62"/>
        <v>2.8438972722576006</v>
      </c>
      <c r="AB38">
        <f t="shared" si="63"/>
        <v>4.3662673171324329</v>
      </c>
      <c r="AC38">
        <f t="shared" si="64"/>
        <v>1.4219147353787998</v>
      </c>
      <c r="AD38">
        <f t="shared" si="65"/>
        <v>-230.84499644274817</v>
      </c>
      <c r="AE38">
        <f t="shared" si="66"/>
        <v>63.676123364400169</v>
      </c>
      <c r="AF38">
        <f t="shared" si="67"/>
        <v>4.8765228855645946</v>
      </c>
      <c r="AG38">
        <f t="shared" si="68"/>
        <v>182.04344947801707</v>
      </c>
      <c r="AH38">
        <v>11</v>
      </c>
      <c r="AI38">
        <v>2</v>
      </c>
      <c r="AJ38">
        <f t="shared" si="69"/>
        <v>1</v>
      </c>
      <c r="AK38">
        <f t="shared" si="70"/>
        <v>0</v>
      </c>
      <c r="AL38">
        <f t="shared" si="71"/>
        <v>51698.415466340542</v>
      </c>
      <c r="AM38" t="s">
        <v>413</v>
      </c>
      <c r="AN38">
        <v>10366.9</v>
      </c>
      <c r="AO38">
        <v>993.59653846153856</v>
      </c>
      <c r="AP38">
        <v>3431.87</v>
      </c>
      <c r="AQ38">
        <f t="shared" si="72"/>
        <v>0.71047955241266758</v>
      </c>
      <c r="AR38">
        <v>-3.9894345373445681</v>
      </c>
      <c r="AS38" t="s">
        <v>530</v>
      </c>
      <c r="AT38">
        <v>10294.1</v>
      </c>
      <c r="AU38">
        <v>747.58023999999989</v>
      </c>
      <c r="AV38">
        <v>1057.0671749738581</v>
      </c>
      <c r="AW38">
        <f t="shared" si="73"/>
        <v>0.29277887186451701</v>
      </c>
      <c r="AX38">
        <v>0.5</v>
      </c>
      <c r="AY38">
        <f t="shared" si="74"/>
        <v>1513.0337998354003</v>
      </c>
      <c r="AZ38">
        <f t="shared" si="75"/>
        <v>40.078660973803288</v>
      </c>
      <c r="BA38">
        <f t="shared" si="76"/>
        <v>221.49216450434596</v>
      </c>
      <c r="BB38">
        <f t="shared" si="77"/>
        <v>2.91256517309408E-2</v>
      </c>
      <c r="BC38">
        <f t="shared" si="78"/>
        <v>2.2465959413458014</v>
      </c>
      <c r="BD38">
        <f t="shared" si="79"/>
        <v>602.0208369521589</v>
      </c>
      <c r="BE38" t="s">
        <v>531</v>
      </c>
      <c r="BF38">
        <v>557.65</v>
      </c>
      <c r="BG38">
        <f t="shared" si="80"/>
        <v>557.65</v>
      </c>
      <c r="BH38">
        <f t="shared" si="81"/>
        <v>0.47245547567609314</v>
      </c>
      <c r="BI38">
        <f t="shared" si="82"/>
        <v>0.61969621887765114</v>
      </c>
      <c r="BJ38">
        <f t="shared" si="83"/>
        <v>0.82624253711481443</v>
      </c>
      <c r="BK38">
        <f t="shared" si="84"/>
        <v>4.8760647754617592</v>
      </c>
      <c r="BL38">
        <f t="shared" si="85"/>
        <v>0.97396902459321688</v>
      </c>
      <c r="BM38">
        <f t="shared" si="86"/>
        <v>0.46225619400684292</v>
      </c>
      <c r="BN38">
        <f t="shared" si="87"/>
        <v>0.53774380599315708</v>
      </c>
      <c r="BO38">
        <v>16600</v>
      </c>
      <c r="BP38">
        <v>290.00000000000011</v>
      </c>
      <c r="BQ38">
        <v>966.25</v>
      </c>
      <c r="BR38">
        <v>285</v>
      </c>
      <c r="BS38">
        <v>10294.1</v>
      </c>
      <c r="BT38">
        <v>966.55</v>
      </c>
      <c r="BU38">
        <v>-0.3</v>
      </c>
      <c r="BV38">
        <v>300.00000000000011</v>
      </c>
      <c r="BW38">
        <v>38.4</v>
      </c>
      <c r="BX38">
        <v>1057.0671749738581</v>
      </c>
      <c r="BY38">
        <v>1.1111001759355419</v>
      </c>
      <c r="BZ38">
        <v>-93.176985054997246</v>
      </c>
      <c r="CA38">
        <v>0.93688174945688218</v>
      </c>
      <c r="CB38">
        <v>0.99717718371307851</v>
      </c>
      <c r="CC38">
        <v>-1.1221794438264749E-2</v>
      </c>
      <c r="CD38">
        <v>289.99999999999989</v>
      </c>
      <c r="CE38">
        <v>952.42</v>
      </c>
      <c r="CF38">
        <v>635</v>
      </c>
      <c r="CG38">
        <v>10283.700000000001</v>
      </c>
      <c r="CH38">
        <v>966.46</v>
      </c>
      <c r="CI38">
        <v>-14.04</v>
      </c>
      <c r="CW38">
        <f t="shared" si="88"/>
        <v>1799.82</v>
      </c>
      <c r="CX38">
        <f t="shared" si="89"/>
        <v>1513.0337998354003</v>
      </c>
      <c r="CY38">
        <f t="shared" si="90"/>
        <v>0.84065839908179718</v>
      </c>
      <c r="CZ38">
        <f t="shared" si="91"/>
        <v>0.1913167981635944</v>
      </c>
      <c r="DA38">
        <v>6</v>
      </c>
      <c r="DB38">
        <v>0.5</v>
      </c>
      <c r="DC38" t="s">
        <v>414</v>
      </c>
      <c r="DD38">
        <v>2</v>
      </c>
      <c r="DE38">
        <v>1693329618.5</v>
      </c>
      <c r="DF38">
        <v>349.63099999999997</v>
      </c>
      <c r="DG38">
        <v>399.95299999999997</v>
      </c>
      <c r="DH38">
        <v>28.688400000000001</v>
      </c>
      <c r="DI38">
        <v>22.583300000000001</v>
      </c>
      <c r="DJ38">
        <v>349.48599999999999</v>
      </c>
      <c r="DK38">
        <v>28.989699999999999</v>
      </c>
      <c r="DL38">
        <v>499.68799999999999</v>
      </c>
      <c r="DM38">
        <v>99.0304</v>
      </c>
      <c r="DN38">
        <v>0.100164</v>
      </c>
      <c r="DO38">
        <v>30.427800000000001</v>
      </c>
      <c r="DP38">
        <v>30.021899999999999</v>
      </c>
      <c r="DQ38">
        <v>999.9</v>
      </c>
      <c r="DR38">
        <v>0</v>
      </c>
      <c r="DS38">
        <v>0</v>
      </c>
      <c r="DT38">
        <v>9985</v>
      </c>
      <c r="DU38">
        <v>0</v>
      </c>
      <c r="DV38">
        <v>1658.03</v>
      </c>
      <c r="DW38">
        <v>-50.321399999999997</v>
      </c>
      <c r="DX38">
        <v>359.95800000000003</v>
      </c>
      <c r="DY38">
        <v>409.19400000000002</v>
      </c>
      <c r="DZ38">
        <v>6.1050599999999999</v>
      </c>
      <c r="EA38">
        <v>399.95299999999997</v>
      </c>
      <c r="EB38">
        <v>22.583300000000001</v>
      </c>
      <c r="EC38">
        <v>2.8410199999999999</v>
      </c>
      <c r="ED38">
        <v>2.23644</v>
      </c>
      <c r="EE38">
        <v>23.124400000000001</v>
      </c>
      <c r="EF38">
        <v>19.2257</v>
      </c>
      <c r="EG38">
        <v>1799.82</v>
      </c>
      <c r="EH38">
        <v>0.97799199999999997</v>
      </c>
      <c r="EI38">
        <v>2.2007599999999999E-2</v>
      </c>
      <c r="EJ38">
        <v>0</v>
      </c>
      <c r="EK38">
        <v>746.79600000000005</v>
      </c>
      <c r="EL38">
        <v>5.0002500000000003</v>
      </c>
      <c r="EM38">
        <v>21330.1</v>
      </c>
      <c r="EN38">
        <v>14820.6</v>
      </c>
      <c r="EO38">
        <v>46.625</v>
      </c>
      <c r="EP38">
        <v>48.75</v>
      </c>
      <c r="EQ38">
        <v>47.5</v>
      </c>
      <c r="ER38">
        <v>47.811999999999998</v>
      </c>
      <c r="ES38">
        <v>48</v>
      </c>
      <c r="ET38">
        <v>1755.32</v>
      </c>
      <c r="EU38">
        <v>39.5</v>
      </c>
      <c r="EV38">
        <v>0</v>
      </c>
      <c r="EW38">
        <v>187.79999995231631</v>
      </c>
      <c r="EX38">
        <v>0</v>
      </c>
      <c r="EY38">
        <v>747.58023999999989</v>
      </c>
      <c r="EZ38">
        <v>-6.1488461670505767</v>
      </c>
      <c r="FA38">
        <v>-358.57692315644431</v>
      </c>
      <c r="FB38">
        <v>21383.944</v>
      </c>
      <c r="FC38">
        <v>15</v>
      </c>
      <c r="FD38">
        <v>1693329532.5999999</v>
      </c>
      <c r="FE38" t="s">
        <v>532</v>
      </c>
      <c r="FF38">
        <v>1693329532.5999999</v>
      </c>
      <c r="FG38">
        <v>1693329527.0999999</v>
      </c>
      <c r="FH38">
        <v>42</v>
      </c>
      <c r="FI38">
        <v>-5.1999999999999998E-2</v>
      </c>
      <c r="FJ38">
        <v>-1E-3</v>
      </c>
      <c r="FK38">
        <v>0.14599999999999999</v>
      </c>
      <c r="FL38">
        <v>-0.30099999999999999</v>
      </c>
      <c r="FM38">
        <v>400</v>
      </c>
      <c r="FN38">
        <v>22</v>
      </c>
      <c r="FO38">
        <v>0.26</v>
      </c>
      <c r="FP38">
        <v>0.04</v>
      </c>
      <c r="FQ38">
        <v>39.677808680995533</v>
      </c>
      <c r="FR38">
        <v>3.0675899482863009</v>
      </c>
      <c r="FS38">
        <v>0.23393560470717439</v>
      </c>
      <c r="FT38">
        <v>0</v>
      </c>
      <c r="FU38">
        <v>0.37732991773790903</v>
      </c>
      <c r="FV38">
        <v>2.8069650043430091E-2</v>
      </c>
      <c r="FW38">
        <v>2.3260701554949112E-3</v>
      </c>
      <c r="FX38">
        <v>1</v>
      </c>
      <c r="FY38">
        <v>1</v>
      </c>
      <c r="FZ38">
        <v>2</v>
      </c>
      <c r="GA38" t="s">
        <v>419</v>
      </c>
      <c r="GB38">
        <v>2.9157999999999999</v>
      </c>
      <c r="GC38">
        <v>2.8299099999999999</v>
      </c>
      <c r="GD38">
        <v>8.0591300000000005E-2</v>
      </c>
      <c r="GE38">
        <v>8.7836600000000001E-2</v>
      </c>
      <c r="GF38">
        <v>0.134683</v>
      </c>
      <c r="GG38">
        <v>0.108866</v>
      </c>
      <c r="GH38">
        <v>23839.4</v>
      </c>
      <c r="GI38">
        <v>29075.200000000001</v>
      </c>
      <c r="GJ38">
        <v>23350</v>
      </c>
      <c r="GK38">
        <v>29192.799999999999</v>
      </c>
      <c r="GL38">
        <v>27569.200000000001</v>
      </c>
      <c r="GM38">
        <v>36869.800000000003</v>
      </c>
      <c r="GN38">
        <v>33017.300000000003</v>
      </c>
      <c r="GO38">
        <v>43139</v>
      </c>
      <c r="GP38">
        <v>1.9174</v>
      </c>
      <c r="GQ38">
        <v>1.7454000000000001</v>
      </c>
      <c r="GR38">
        <v>3.1739499999999997E-2</v>
      </c>
      <c r="GS38">
        <v>0</v>
      </c>
      <c r="GT38">
        <v>29.505199999999999</v>
      </c>
      <c r="GU38">
        <v>999.9</v>
      </c>
      <c r="GV38">
        <v>35.6</v>
      </c>
      <c r="GW38">
        <v>42.5</v>
      </c>
      <c r="GX38">
        <v>30.421900000000001</v>
      </c>
      <c r="GY38">
        <v>61.408999999999999</v>
      </c>
      <c r="GZ38">
        <v>40.168300000000002</v>
      </c>
      <c r="HA38">
        <v>1</v>
      </c>
      <c r="HB38">
        <v>0.58984800000000004</v>
      </c>
      <c r="HC38">
        <v>3.09782</v>
      </c>
      <c r="HD38">
        <v>20.2346</v>
      </c>
      <c r="HE38">
        <v>5.2107000000000001</v>
      </c>
      <c r="HF38">
        <v>11.8734</v>
      </c>
      <c r="HG38">
        <v>4.9836</v>
      </c>
      <c r="HH38">
        <v>3.2839999999999998</v>
      </c>
      <c r="HI38">
        <v>9999</v>
      </c>
      <c r="HJ38">
        <v>9999</v>
      </c>
      <c r="HK38">
        <v>9999</v>
      </c>
      <c r="HL38">
        <v>999.9</v>
      </c>
      <c r="HM38">
        <v>1.85486</v>
      </c>
      <c r="HN38">
        <v>1.8608100000000001</v>
      </c>
      <c r="HO38">
        <v>1.85819</v>
      </c>
      <c r="HP38">
        <v>1.85921</v>
      </c>
      <c r="HQ38">
        <v>1.85867</v>
      </c>
      <c r="HR38">
        <v>1.8591299999999999</v>
      </c>
      <c r="HS38">
        <v>1.85747</v>
      </c>
      <c r="HT38">
        <v>1.8608100000000001</v>
      </c>
      <c r="HU38">
        <v>5</v>
      </c>
      <c r="HV38">
        <v>0</v>
      </c>
      <c r="HW38">
        <v>0</v>
      </c>
      <c r="HX38">
        <v>0</v>
      </c>
      <c r="HY38" t="s">
        <v>416</v>
      </c>
      <c r="HZ38" t="s">
        <v>417</v>
      </c>
      <c r="IA38" t="s">
        <v>418</v>
      </c>
      <c r="IB38" t="s">
        <v>418</v>
      </c>
      <c r="IC38" t="s">
        <v>418</v>
      </c>
      <c r="ID38" t="s">
        <v>418</v>
      </c>
      <c r="IE38">
        <v>0</v>
      </c>
      <c r="IF38">
        <v>100</v>
      </c>
      <c r="IG38">
        <v>100</v>
      </c>
      <c r="IH38">
        <v>0.14499999999999999</v>
      </c>
      <c r="II38">
        <v>-0.30130000000000001</v>
      </c>
      <c r="IJ38">
        <v>0.14590476190471691</v>
      </c>
      <c r="IK38">
        <v>0</v>
      </c>
      <c r="IL38">
        <v>0</v>
      </c>
      <c r="IM38">
        <v>0</v>
      </c>
      <c r="IN38">
        <v>-0.30131499999999528</v>
      </c>
      <c r="IO38">
        <v>0</v>
      </c>
      <c r="IP38">
        <v>0</v>
      </c>
      <c r="IQ38">
        <v>0</v>
      </c>
      <c r="IR38">
        <v>-1</v>
      </c>
      <c r="IS38">
        <v>-1</v>
      </c>
      <c r="IT38">
        <v>-1</v>
      </c>
      <c r="IU38">
        <v>-1</v>
      </c>
      <c r="IV38">
        <v>1.4</v>
      </c>
      <c r="IW38">
        <v>1.5</v>
      </c>
      <c r="IX38">
        <v>0.99609400000000003</v>
      </c>
      <c r="IY38">
        <v>2.49146</v>
      </c>
      <c r="IZ38">
        <v>1.49414</v>
      </c>
      <c r="JA38">
        <v>2.2863799999999999</v>
      </c>
      <c r="JB38">
        <v>1.54419</v>
      </c>
      <c r="JC38">
        <v>2.5512700000000001</v>
      </c>
      <c r="JD38">
        <v>48.9191</v>
      </c>
      <c r="JE38">
        <v>23.991199999999999</v>
      </c>
      <c r="JF38">
        <v>18</v>
      </c>
      <c r="JG38">
        <v>497.38499999999999</v>
      </c>
      <c r="JH38">
        <v>413.53</v>
      </c>
      <c r="JI38">
        <v>25.400099999999998</v>
      </c>
      <c r="JJ38">
        <v>34.559199999999997</v>
      </c>
      <c r="JK38">
        <v>30.001000000000001</v>
      </c>
      <c r="JL38">
        <v>34.529699999999998</v>
      </c>
      <c r="JM38">
        <v>34.513399999999997</v>
      </c>
      <c r="JN38">
        <v>20.008800000000001</v>
      </c>
      <c r="JO38">
        <v>22.645700000000001</v>
      </c>
      <c r="JP38">
        <v>21.177099999999999</v>
      </c>
      <c r="JQ38">
        <v>25.3764</v>
      </c>
      <c r="JR38">
        <v>400</v>
      </c>
      <c r="JS38">
        <v>22.613900000000001</v>
      </c>
      <c r="JT38">
        <v>97.923500000000004</v>
      </c>
      <c r="JU38">
        <v>97.125100000000003</v>
      </c>
    </row>
    <row r="39" spans="1:281" x14ac:dyDescent="0.25">
      <c r="A39">
        <v>37</v>
      </c>
      <c r="B39">
        <v>1693329737</v>
      </c>
      <c r="C39">
        <v>8330.4000000953674</v>
      </c>
      <c r="D39" t="s">
        <v>533</v>
      </c>
      <c r="E39" t="s">
        <v>534</v>
      </c>
      <c r="F39" t="s">
        <v>411</v>
      </c>
      <c r="G39" t="s">
        <v>493</v>
      </c>
      <c r="H39" t="s">
        <v>494</v>
      </c>
      <c r="I39" t="s">
        <v>31</v>
      </c>
      <c r="J39">
        <v>1693329737</v>
      </c>
      <c r="K39">
        <f t="shared" si="46"/>
        <v>5.0800957050531797E-3</v>
      </c>
      <c r="L39">
        <f t="shared" si="47"/>
        <v>5.0800957050531794</v>
      </c>
      <c r="M39">
        <f t="shared" si="48"/>
        <v>42.84772845590215</v>
      </c>
      <c r="N39">
        <f t="shared" si="49"/>
        <v>346.524</v>
      </c>
      <c r="O39">
        <f t="shared" si="50"/>
        <v>142.62773030384903</v>
      </c>
      <c r="P39">
        <f t="shared" si="51"/>
        <v>14.137928268123071</v>
      </c>
      <c r="Q39">
        <f t="shared" si="52"/>
        <v>34.349080958844006</v>
      </c>
      <c r="R39">
        <f t="shared" si="53"/>
        <v>0.36663325907012623</v>
      </c>
      <c r="S39">
        <f t="shared" si="54"/>
        <v>2.9084446651323179</v>
      </c>
      <c r="T39">
        <f t="shared" si="55"/>
        <v>0.34275656921087289</v>
      </c>
      <c r="U39">
        <f t="shared" si="56"/>
        <v>0.21623837122534867</v>
      </c>
      <c r="V39">
        <f t="shared" si="57"/>
        <v>344.40419967086626</v>
      </c>
      <c r="W39">
        <f t="shared" si="58"/>
        <v>31.072276790195918</v>
      </c>
      <c r="X39">
        <f t="shared" si="59"/>
        <v>29.974499999999999</v>
      </c>
      <c r="Y39">
        <f t="shared" si="60"/>
        <v>4.2542134768596336</v>
      </c>
      <c r="Z39">
        <f t="shared" si="61"/>
        <v>65.244902078163079</v>
      </c>
      <c r="AA39">
        <f t="shared" si="62"/>
        <v>2.8376125055827002</v>
      </c>
      <c r="AB39">
        <f t="shared" si="63"/>
        <v>4.3491712228845927</v>
      </c>
      <c r="AC39">
        <f t="shared" si="64"/>
        <v>1.4166009712769334</v>
      </c>
      <c r="AD39">
        <f t="shared" si="65"/>
        <v>-224.03222059284522</v>
      </c>
      <c r="AE39">
        <f t="shared" si="66"/>
        <v>60.336666469089209</v>
      </c>
      <c r="AF39">
        <f t="shared" si="67"/>
        <v>4.6203751379122773</v>
      </c>
      <c r="AG39">
        <f t="shared" si="68"/>
        <v>185.32902068502253</v>
      </c>
      <c r="AH39">
        <v>11</v>
      </c>
      <c r="AI39">
        <v>2</v>
      </c>
      <c r="AJ39">
        <f t="shared" si="69"/>
        <v>1</v>
      </c>
      <c r="AK39">
        <f t="shared" si="70"/>
        <v>0</v>
      </c>
      <c r="AL39">
        <f t="shared" si="71"/>
        <v>51669.791432290753</v>
      </c>
      <c r="AM39" t="s">
        <v>413</v>
      </c>
      <c r="AN39">
        <v>10366.9</v>
      </c>
      <c r="AO39">
        <v>993.59653846153856</v>
      </c>
      <c r="AP39">
        <v>3431.87</v>
      </c>
      <c r="AQ39">
        <f t="shared" si="72"/>
        <v>0.71047955241266758</v>
      </c>
      <c r="AR39">
        <v>-3.9894345373445681</v>
      </c>
      <c r="AS39" t="s">
        <v>535</v>
      </c>
      <c r="AT39">
        <v>10315.5</v>
      </c>
      <c r="AU39">
        <v>751.19455999999991</v>
      </c>
      <c r="AV39">
        <v>1080.981780750282</v>
      </c>
      <c r="AW39">
        <f t="shared" si="73"/>
        <v>0.305081201758447</v>
      </c>
      <c r="AX39">
        <v>0.5</v>
      </c>
      <c r="AY39">
        <f t="shared" si="74"/>
        <v>1513.3361998354333</v>
      </c>
      <c r="AZ39">
        <f t="shared" si="75"/>
        <v>42.84772845590215</v>
      </c>
      <c r="BA39">
        <f t="shared" si="76"/>
        <v>230.84521325517764</v>
      </c>
      <c r="BB39">
        <f t="shared" si="77"/>
        <v>3.0949608552508025E-2</v>
      </c>
      <c r="BC39">
        <f t="shared" si="78"/>
        <v>2.174771361657942</v>
      </c>
      <c r="BD39">
        <f t="shared" si="79"/>
        <v>609.70279576845587</v>
      </c>
      <c r="BE39" t="s">
        <v>536</v>
      </c>
      <c r="BF39">
        <v>561</v>
      </c>
      <c r="BG39">
        <f t="shared" si="80"/>
        <v>561</v>
      </c>
      <c r="BH39">
        <f t="shared" si="81"/>
        <v>0.48102733090411187</v>
      </c>
      <c r="BI39">
        <f t="shared" si="82"/>
        <v>0.63422841522337947</v>
      </c>
      <c r="BJ39">
        <f t="shared" si="83"/>
        <v>0.81887658418866671</v>
      </c>
      <c r="BK39">
        <f t="shared" si="84"/>
        <v>3.7739464023064637</v>
      </c>
      <c r="BL39">
        <f t="shared" si="85"/>
        <v>0.96416101652781516</v>
      </c>
      <c r="BM39">
        <f t="shared" si="86"/>
        <v>0.4736484525930485</v>
      </c>
      <c r="BN39">
        <f t="shared" si="87"/>
        <v>0.52635154740695156</v>
      </c>
      <c r="BO39">
        <v>16602</v>
      </c>
      <c r="BP39">
        <v>290.00000000000011</v>
      </c>
      <c r="BQ39">
        <v>988.16</v>
      </c>
      <c r="BR39">
        <v>125</v>
      </c>
      <c r="BS39">
        <v>10315.5</v>
      </c>
      <c r="BT39">
        <v>982.98</v>
      </c>
      <c r="BU39">
        <v>5.18</v>
      </c>
      <c r="BV39">
        <v>300.00000000000011</v>
      </c>
      <c r="BW39">
        <v>38.4</v>
      </c>
      <c r="BX39">
        <v>1080.981780750282</v>
      </c>
      <c r="BY39">
        <v>1.248995885906049</v>
      </c>
      <c r="BZ39">
        <v>-101.0965149010938</v>
      </c>
      <c r="CA39">
        <v>1.0531379169970529</v>
      </c>
      <c r="CB39">
        <v>0.99697072592972824</v>
      </c>
      <c r="CC39">
        <v>-1.122150611790879E-2</v>
      </c>
      <c r="CD39">
        <v>289.99999999999989</v>
      </c>
      <c r="CE39">
        <v>972.42</v>
      </c>
      <c r="CF39">
        <v>715</v>
      </c>
      <c r="CG39">
        <v>10278.1</v>
      </c>
      <c r="CH39">
        <v>982.62</v>
      </c>
      <c r="CI39">
        <v>-10.199999999999999</v>
      </c>
      <c r="CW39">
        <f t="shared" si="88"/>
        <v>1800.18</v>
      </c>
      <c r="CX39">
        <f t="shared" si="89"/>
        <v>1513.3361998354333</v>
      </c>
      <c r="CY39">
        <f t="shared" si="90"/>
        <v>0.84065826741516581</v>
      </c>
      <c r="CZ39">
        <f t="shared" si="91"/>
        <v>0.19131653483033156</v>
      </c>
      <c r="DA39">
        <v>6</v>
      </c>
      <c r="DB39">
        <v>0.5</v>
      </c>
      <c r="DC39" t="s">
        <v>414</v>
      </c>
      <c r="DD39">
        <v>2</v>
      </c>
      <c r="DE39">
        <v>1693329737</v>
      </c>
      <c r="DF39">
        <v>346.524</v>
      </c>
      <c r="DG39">
        <v>400.03199999999998</v>
      </c>
      <c r="DH39">
        <v>28.6267</v>
      </c>
      <c r="DI39">
        <v>22.7075</v>
      </c>
      <c r="DJ39">
        <v>346.38499999999999</v>
      </c>
      <c r="DK39">
        <v>28.929200000000002</v>
      </c>
      <c r="DL39">
        <v>500.20299999999997</v>
      </c>
      <c r="DM39">
        <v>99.024600000000007</v>
      </c>
      <c r="DN39">
        <v>0.100081</v>
      </c>
      <c r="DO39">
        <v>30.359300000000001</v>
      </c>
      <c r="DP39">
        <v>29.974499999999999</v>
      </c>
      <c r="DQ39">
        <v>999.9</v>
      </c>
      <c r="DR39">
        <v>0</v>
      </c>
      <c r="DS39">
        <v>0</v>
      </c>
      <c r="DT39">
        <v>9977.5</v>
      </c>
      <c r="DU39">
        <v>0</v>
      </c>
      <c r="DV39">
        <v>1745.55</v>
      </c>
      <c r="DW39">
        <v>-53.508299999999998</v>
      </c>
      <c r="DX39">
        <v>356.73599999999999</v>
      </c>
      <c r="DY39">
        <v>409.327</v>
      </c>
      <c r="DZ39">
        <v>5.9192400000000003</v>
      </c>
      <c r="EA39">
        <v>400.03199999999998</v>
      </c>
      <c r="EB39">
        <v>22.7075</v>
      </c>
      <c r="EC39">
        <v>2.8347500000000001</v>
      </c>
      <c r="ED39">
        <v>2.2486000000000002</v>
      </c>
      <c r="EE39">
        <v>23.087800000000001</v>
      </c>
      <c r="EF39">
        <v>19.312799999999999</v>
      </c>
      <c r="EG39">
        <v>1800.18</v>
      </c>
      <c r="EH39">
        <v>0.97799599999999998</v>
      </c>
      <c r="EI39">
        <v>2.20038E-2</v>
      </c>
      <c r="EJ39">
        <v>0</v>
      </c>
      <c r="EK39">
        <v>752.452</v>
      </c>
      <c r="EL39">
        <v>5.0002500000000003</v>
      </c>
      <c r="EM39">
        <v>21736.9</v>
      </c>
      <c r="EN39">
        <v>14823.5</v>
      </c>
      <c r="EO39">
        <v>46.686999999999998</v>
      </c>
      <c r="EP39">
        <v>48.686999999999998</v>
      </c>
      <c r="EQ39">
        <v>47.561999999999998</v>
      </c>
      <c r="ER39">
        <v>47.686999999999998</v>
      </c>
      <c r="ES39">
        <v>48</v>
      </c>
      <c r="ET39">
        <v>1755.68</v>
      </c>
      <c r="EU39">
        <v>39.5</v>
      </c>
      <c r="EV39">
        <v>0</v>
      </c>
      <c r="EW39">
        <v>116.3999998569489</v>
      </c>
      <c r="EX39">
        <v>0</v>
      </c>
      <c r="EY39">
        <v>751.19455999999991</v>
      </c>
      <c r="EZ39">
        <v>11.059307728892451</v>
      </c>
      <c r="FA39">
        <v>65.238461950045831</v>
      </c>
      <c r="FB39">
        <v>21728.871999999999</v>
      </c>
      <c r="FC39">
        <v>15</v>
      </c>
      <c r="FD39">
        <v>1693329687.5</v>
      </c>
      <c r="FE39" t="s">
        <v>537</v>
      </c>
      <c r="FF39">
        <v>1693329686</v>
      </c>
      <c r="FG39">
        <v>1693329687.5</v>
      </c>
      <c r="FH39">
        <v>43</v>
      </c>
      <c r="FI39">
        <v>-8.0000000000000002E-3</v>
      </c>
      <c r="FJ39">
        <v>-1E-3</v>
      </c>
      <c r="FK39">
        <v>0.13800000000000001</v>
      </c>
      <c r="FL39">
        <v>-0.30299999999999999</v>
      </c>
      <c r="FM39">
        <v>400</v>
      </c>
      <c r="FN39">
        <v>23</v>
      </c>
      <c r="FO39">
        <v>0.15</v>
      </c>
      <c r="FP39">
        <v>0.06</v>
      </c>
      <c r="FQ39">
        <v>42.715984947631682</v>
      </c>
      <c r="FR39">
        <v>0.68879405973307417</v>
      </c>
      <c r="FS39">
        <v>7.0082957604197513E-2</v>
      </c>
      <c r="FT39">
        <v>1</v>
      </c>
      <c r="FU39">
        <v>0.37166615143319931</v>
      </c>
      <c r="FV39">
        <v>-3.6756711542858977E-2</v>
      </c>
      <c r="FW39">
        <v>2.8404815445733939E-3</v>
      </c>
      <c r="FX39">
        <v>1</v>
      </c>
      <c r="FY39">
        <v>2</v>
      </c>
      <c r="FZ39">
        <v>2</v>
      </c>
      <c r="GA39" t="s">
        <v>415</v>
      </c>
      <c r="GB39">
        <v>2.9170799999999999</v>
      </c>
      <c r="GC39">
        <v>2.8297699999999999</v>
      </c>
      <c r="GD39">
        <v>8.0011799999999994E-2</v>
      </c>
      <c r="GE39">
        <v>8.78356E-2</v>
      </c>
      <c r="GF39">
        <v>0.134464</v>
      </c>
      <c r="GG39">
        <v>0.10926900000000001</v>
      </c>
      <c r="GH39">
        <v>23855.9</v>
      </c>
      <c r="GI39">
        <v>29074.3</v>
      </c>
      <c r="GJ39">
        <v>23351.5</v>
      </c>
      <c r="GK39">
        <v>29191.9</v>
      </c>
      <c r="GL39">
        <v>27577.200000000001</v>
      </c>
      <c r="GM39">
        <v>36853.300000000003</v>
      </c>
      <c r="GN39">
        <v>33018.5</v>
      </c>
      <c r="GO39">
        <v>43139.1</v>
      </c>
      <c r="GP39">
        <v>1.9167000000000001</v>
      </c>
      <c r="GQ39">
        <v>1.7427999999999999</v>
      </c>
      <c r="GR39">
        <v>4.0531200000000003E-2</v>
      </c>
      <c r="GS39">
        <v>0</v>
      </c>
      <c r="GT39">
        <v>29.314499999999999</v>
      </c>
      <c r="GU39">
        <v>999.9</v>
      </c>
      <c r="GV39">
        <v>34.799999999999997</v>
      </c>
      <c r="GW39">
        <v>42.8</v>
      </c>
      <c r="GX39">
        <v>30.2133</v>
      </c>
      <c r="GY39">
        <v>61.179000000000002</v>
      </c>
      <c r="GZ39">
        <v>39.338900000000002</v>
      </c>
      <c r="HA39">
        <v>1</v>
      </c>
      <c r="HB39">
        <v>0.59015200000000001</v>
      </c>
      <c r="HC39">
        <v>2.6433800000000001</v>
      </c>
      <c r="HD39">
        <v>20.242999999999999</v>
      </c>
      <c r="HE39">
        <v>5.2107000000000001</v>
      </c>
      <c r="HF39">
        <v>11.877599999999999</v>
      </c>
      <c r="HG39">
        <v>4.9850000000000003</v>
      </c>
      <c r="HH39">
        <v>3.2839999999999998</v>
      </c>
      <c r="HI39">
        <v>9999</v>
      </c>
      <c r="HJ39">
        <v>9999</v>
      </c>
      <c r="HK39">
        <v>9999</v>
      </c>
      <c r="HL39">
        <v>999.9</v>
      </c>
      <c r="HM39">
        <v>1.85486</v>
      </c>
      <c r="HN39">
        <v>1.8608100000000001</v>
      </c>
      <c r="HO39">
        <v>1.85819</v>
      </c>
      <c r="HP39">
        <v>1.85914</v>
      </c>
      <c r="HQ39">
        <v>1.8586400000000001</v>
      </c>
      <c r="HR39">
        <v>1.8591200000000001</v>
      </c>
      <c r="HS39">
        <v>1.85745</v>
      </c>
      <c r="HT39">
        <v>1.8608</v>
      </c>
      <c r="HU39">
        <v>5</v>
      </c>
      <c r="HV39">
        <v>0</v>
      </c>
      <c r="HW39">
        <v>0</v>
      </c>
      <c r="HX39">
        <v>0</v>
      </c>
      <c r="HY39" t="s">
        <v>416</v>
      </c>
      <c r="HZ39" t="s">
        <v>417</v>
      </c>
      <c r="IA39" t="s">
        <v>418</v>
      </c>
      <c r="IB39" t="s">
        <v>418</v>
      </c>
      <c r="IC39" t="s">
        <v>418</v>
      </c>
      <c r="ID39" t="s">
        <v>418</v>
      </c>
      <c r="IE39">
        <v>0</v>
      </c>
      <c r="IF39">
        <v>100</v>
      </c>
      <c r="IG39">
        <v>100</v>
      </c>
      <c r="IH39">
        <v>0.13900000000000001</v>
      </c>
      <c r="II39">
        <v>-0.30249999999999999</v>
      </c>
      <c r="IJ39">
        <v>0.13842857142856249</v>
      </c>
      <c r="IK39">
        <v>0</v>
      </c>
      <c r="IL39">
        <v>0</v>
      </c>
      <c r="IM39">
        <v>0</v>
      </c>
      <c r="IN39">
        <v>-0.30251499999999959</v>
      </c>
      <c r="IO39">
        <v>0</v>
      </c>
      <c r="IP39">
        <v>0</v>
      </c>
      <c r="IQ39">
        <v>0</v>
      </c>
      <c r="IR39">
        <v>-1</v>
      </c>
      <c r="IS39">
        <v>-1</v>
      </c>
      <c r="IT39">
        <v>-1</v>
      </c>
      <c r="IU39">
        <v>-1</v>
      </c>
      <c r="IV39">
        <v>0.8</v>
      </c>
      <c r="IW39">
        <v>0.8</v>
      </c>
      <c r="IX39">
        <v>0.99609400000000003</v>
      </c>
      <c r="IY39">
        <v>2.4902299999999999</v>
      </c>
      <c r="IZ39">
        <v>1.49414</v>
      </c>
      <c r="JA39">
        <v>2.2875999999999999</v>
      </c>
      <c r="JB39">
        <v>1.54419</v>
      </c>
      <c r="JC39">
        <v>2.4182100000000002</v>
      </c>
      <c r="JD39">
        <v>49.012700000000002</v>
      </c>
      <c r="JE39">
        <v>23.991199999999999</v>
      </c>
      <c r="JF39">
        <v>18</v>
      </c>
      <c r="JG39">
        <v>497.286</v>
      </c>
      <c r="JH39">
        <v>412.14800000000002</v>
      </c>
      <c r="JI39">
        <v>25.610700000000001</v>
      </c>
      <c r="JJ39">
        <v>34.590699999999998</v>
      </c>
      <c r="JK39">
        <v>29.9998</v>
      </c>
      <c r="JL39">
        <v>34.576300000000003</v>
      </c>
      <c r="JM39">
        <v>34.556899999999999</v>
      </c>
      <c r="JN39">
        <v>20.010000000000002</v>
      </c>
      <c r="JO39">
        <v>20.788799999999998</v>
      </c>
      <c r="JP39">
        <v>19.4785</v>
      </c>
      <c r="JQ39">
        <v>25.625</v>
      </c>
      <c r="JR39">
        <v>400</v>
      </c>
      <c r="JS39">
        <v>22.7851</v>
      </c>
      <c r="JT39">
        <v>97.928200000000004</v>
      </c>
      <c r="JU39">
        <v>97.124099999999999</v>
      </c>
    </row>
    <row r="40" spans="1:281" x14ac:dyDescent="0.25">
      <c r="A40">
        <v>38</v>
      </c>
      <c r="B40">
        <v>1693329841</v>
      </c>
      <c r="C40">
        <v>8434.4000000953674</v>
      </c>
      <c r="D40" t="s">
        <v>538</v>
      </c>
      <c r="E40" t="s">
        <v>539</v>
      </c>
      <c r="F40" t="s">
        <v>411</v>
      </c>
      <c r="G40" t="s">
        <v>493</v>
      </c>
      <c r="H40" t="s">
        <v>494</v>
      </c>
      <c r="I40" t="s">
        <v>31</v>
      </c>
      <c r="J40">
        <v>1693329841</v>
      </c>
      <c r="K40">
        <f t="shared" si="46"/>
        <v>4.8319106854576395E-3</v>
      </c>
      <c r="L40">
        <f t="shared" si="47"/>
        <v>4.8319106854576397</v>
      </c>
      <c r="M40">
        <f t="shared" si="48"/>
        <v>46.737101173936601</v>
      </c>
      <c r="N40">
        <f t="shared" si="49"/>
        <v>441.31599999999997</v>
      </c>
      <c r="O40">
        <f t="shared" si="50"/>
        <v>206.70595759002614</v>
      </c>
      <c r="P40">
        <f t="shared" si="51"/>
        <v>20.490273543133423</v>
      </c>
      <c r="Q40">
        <f t="shared" si="52"/>
        <v>43.746613132924004</v>
      </c>
      <c r="R40">
        <f t="shared" si="53"/>
        <v>0.34807949389685067</v>
      </c>
      <c r="S40">
        <f t="shared" si="54"/>
        <v>2.9098054618224554</v>
      </c>
      <c r="T40">
        <f t="shared" si="55"/>
        <v>0.32649133120306206</v>
      </c>
      <c r="U40">
        <f t="shared" si="56"/>
        <v>0.20588502004604875</v>
      </c>
      <c r="V40">
        <f t="shared" si="57"/>
        <v>344.38139967084436</v>
      </c>
      <c r="W40">
        <f t="shared" si="58"/>
        <v>31.128736514564675</v>
      </c>
      <c r="X40">
        <f t="shared" si="59"/>
        <v>29.997399999999999</v>
      </c>
      <c r="Y40">
        <f t="shared" si="60"/>
        <v>4.259813550293563</v>
      </c>
      <c r="Z40">
        <f t="shared" si="61"/>
        <v>65.452421529787912</v>
      </c>
      <c r="AA40">
        <f t="shared" si="62"/>
        <v>2.8453498370921002</v>
      </c>
      <c r="AB40">
        <f t="shared" si="63"/>
        <v>4.3472033128631598</v>
      </c>
      <c r="AC40">
        <f t="shared" si="64"/>
        <v>1.4144637132014628</v>
      </c>
      <c r="AD40">
        <f t="shared" si="65"/>
        <v>-213.08726122868191</v>
      </c>
      <c r="AE40">
        <f t="shared" si="66"/>
        <v>55.533194948451801</v>
      </c>
      <c r="AF40">
        <f t="shared" si="67"/>
        <v>4.2508682174755492</v>
      </c>
      <c r="AG40">
        <f t="shared" si="68"/>
        <v>191.07820160808981</v>
      </c>
      <c r="AH40">
        <v>11</v>
      </c>
      <c r="AI40">
        <v>2</v>
      </c>
      <c r="AJ40">
        <f t="shared" si="69"/>
        <v>1</v>
      </c>
      <c r="AK40">
        <f t="shared" si="70"/>
        <v>0</v>
      </c>
      <c r="AL40">
        <f t="shared" si="71"/>
        <v>51709.817124252135</v>
      </c>
      <c r="AM40" t="s">
        <v>413</v>
      </c>
      <c r="AN40">
        <v>10366.9</v>
      </c>
      <c r="AO40">
        <v>993.59653846153856</v>
      </c>
      <c r="AP40">
        <v>3431.87</v>
      </c>
      <c r="AQ40">
        <f t="shared" si="72"/>
        <v>0.71047955241266758</v>
      </c>
      <c r="AR40">
        <v>-3.9894345373445681</v>
      </c>
      <c r="AS40" t="s">
        <v>540</v>
      </c>
      <c r="AT40">
        <v>10309.1</v>
      </c>
      <c r="AU40">
        <v>782.42855999999995</v>
      </c>
      <c r="AV40">
        <v>1165.5824053067181</v>
      </c>
      <c r="AW40">
        <f t="shared" si="73"/>
        <v>0.32872308604031542</v>
      </c>
      <c r="AX40">
        <v>0.5</v>
      </c>
      <c r="AY40">
        <f t="shared" si="74"/>
        <v>1513.2353998354222</v>
      </c>
      <c r="AZ40">
        <f t="shared" si="75"/>
        <v>46.737101173936601</v>
      </c>
      <c r="BA40">
        <f t="shared" si="76"/>
        <v>248.71770526967529</v>
      </c>
      <c r="BB40">
        <f t="shared" si="77"/>
        <v>3.3521906582940193E-2</v>
      </c>
      <c r="BC40">
        <f t="shared" si="78"/>
        <v>1.9443392285051848</v>
      </c>
      <c r="BD40">
        <f t="shared" si="79"/>
        <v>635.72847437401413</v>
      </c>
      <c r="BE40" t="s">
        <v>541</v>
      </c>
      <c r="BF40">
        <v>570.92999999999995</v>
      </c>
      <c r="BG40">
        <f t="shared" si="80"/>
        <v>570.92999999999995</v>
      </c>
      <c r="BH40">
        <f t="shared" si="81"/>
        <v>0.51017620255707086</v>
      </c>
      <c r="BI40">
        <f t="shared" si="82"/>
        <v>0.64433245688981899</v>
      </c>
      <c r="BJ40">
        <f t="shared" si="83"/>
        <v>0.79214789359206472</v>
      </c>
      <c r="BK40">
        <f t="shared" si="84"/>
        <v>2.227821694509529</v>
      </c>
      <c r="BL40">
        <f t="shared" si="85"/>
        <v>0.92946407793953389</v>
      </c>
      <c r="BM40">
        <f t="shared" si="86"/>
        <v>0.47016270675511179</v>
      </c>
      <c r="BN40">
        <f t="shared" si="87"/>
        <v>0.52983729324488826</v>
      </c>
      <c r="BO40">
        <v>16604</v>
      </c>
      <c r="BP40">
        <v>290.00000000000011</v>
      </c>
      <c r="BQ40">
        <v>1058.08</v>
      </c>
      <c r="BR40">
        <v>165</v>
      </c>
      <c r="BS40">
        <v>10309.1</v>
      </c>
      <c r="BT40">
        <v>1053.04</v>
      </c>
      <c r="BU40">
        <v>5.04</v>
      </c>
      <c r="BV40">
        <v>300.00000000000011</v>
      </c>
      <c r="BW40">
        <v>38.4</v>
      </c>
      <c r="BX40">
        <v>1165.5824053067181</v>
      </c>
      <c r="BY40">
        <v>1.5521128795452661</v>
      </c>
      <c r="BZ40">
        <v>-116.0262007846672</v>
      </c>
      <c r="CA40">
        <v>1.3087054929900259</v>
      </c>
      <c r="CB40">
        <v>0.99645035106476154</v>
      </c>
      <c r="CC40">
        <v>-1.122146184649611E-2</v>
      </c>
      <c r="CD40">
        <v>289.99999999999989</v>
      </c>
      <c r="CE40">
        <v>1040.56</v>
      </c>
      <c r="CF40">
        <v>645</v>
      </c>
      <c r="CG40">
        <v>10282.799999999999</v>
      </c>
      <c r="CH40">
        <v>1052.75</v>
      </c>
      <c r="CI40">
        <v>-12.19</v>
      </c>
      <c r="CW40">
        <f t="shared" si="88"/>
        <v>1800.06</v>
      </c>
      <c r="CX40">
        <f t="shared" si="89"/>
        <v>1513.2353998354222</v>
      </c>
      <c r="CY40">
        <f t="shared" si="90"/>
        <v>0.84065831129819124</v>
      </c>
      <c r="CZ40">
        <f t="shared" si="91"/>
        <v>0.19131662259638255</v>
      </c>
      <c r="DA40">
        <v>6</v>
      </c>
      <c r="DB40">
        <v>0.5</v>
      </c>
      <c r="DC40" t="s">
        <v>414</v>
      </c>
      <c r="DD40">
        <v>2</v>
      </c>
      <c r="DE40">
        <v>1693329841</v>
      </c>
      <c r="DF40">
        <v>441.31599999999997</v>
      </c>
      <c r="DG40">
        <v>499.93900000000002</v>
      </c>
      <c r="DH40">
        <v>28.703900000000001</v>
      </c>
      <c r="DI40">
        <v>23.074000000000002</v>
      </c>
      <c r="DJ40">
        <v>440.90300000000002</v>
      </c>
      <c r="DK40">
        <v>29.001899999999999</v>
      </c>
      <c r="DL40">
        <v>500.17399999999998</v>
      </c>
      <c r="DM40">
        <v>99.027299999999997</v>
      </c>
      <c r="DN40">
        <v>0.100339</v>
      </c>
      <c r="DO40">
        <v>30.351400000000002</v>
      </c>
      <c r="DP40">
        <v>29.997399999999999</v>
      </c>
      <c r="DQ40">
        <v>999.9</v>
      </c>
      <c r="DR40">
        <v>0</v>
      </c>
      <c r="DS40">
        <v>0</v>
      </c>
      <c r="DT40">
        <v>9985</v>
      </c>
      <c r="DU40">
        <v>0</v>
      </c>
      <c r="DV40">
        <v>1735.57</v>
      </c>
      <c r="DW40">
        <v>-58.623699999999999</v>
      </c>
      <c r="DX40">
        <v>454.35700000000003</v>
      </c>
      <c r="DY40">
        <v>511.74700000000001</v>
      </c>
      <c r="DZ40">
        <v>5.62988</v>
      </c>
      <c r="EA40">
        <v>499.93900000000002</v>
      </c>
      <c r="EB40">
        <v>23.074000000000002</v>
      </c>
      <c r="EC40">
        <v>2.8424700000000001</v>
      </c>
      <c r="ED40">
        <v>2.2849599999999999</v>
      </c>
      <c r="EE40">
        <v>23.1328</v>
      </c>
      <c r="EF40">
        <v>19.570699999999999</v>
      </c>
      <c r="EG40">
        <v>1800.06</v>
      </c>
      <c r="EH40">
        <v>0.97799599999999998</v>
      </c>
      <c r="EI40">
        <v>2.20038E-2</v>
      </c>
      <c r="EJ40">
        <v>0</v>
      </c>
      <c r="EK40">
        <v>783.24400000000003</v>
      </c>
      <c r="EL40">
        <v>5.0002500000000003</v>
      </c>
      <c r="EM40">
        <v>22207.599999999999</v>
      </c>
      <c r="EN40">
        <v>14822.5</v>
      </c>
      <c r="EO40">
        <v>46.75</v>
      </c>
      <c r="EP40">
        <v>48.686999999999998</v>
      </c>
      <c r="EQ40">
        <v>47.625</v>
      </c>
      <c r="ER40">
        <v>47.686999999999998</v>
      </c>
      <c r="ES40">
        <v>48.061999999999998</v>
      </c>
      <c r="ET40">
        <v>1755.56</v>
      </c>
      <c r="EU40">
        <v>39.5</v>
      </c>
      <c r="EV40">
        <v>0</v>
      </c>
      <c r="EW40">
        <v>102.19999980926509</v>
      </c>
      <c r="EX40">
        <v>0</v>
      </c>
      <c r="EY40">
        <v>782.42855999999995</v>
      </c>
      <c r="EZ40">
        <v>6.1466153908470256</v>
      </c>
      <c r="FA40">
        <v>162.56153784155759</v>
      </c>
      <c r="FB40">
        <v>22233.328000000001</v>
      </c>
      <c r="FC40">
        <v>15</v>
      </c>
      <c r="FD40">
        <v>1693329810.5</v>
      </c>
      <c r="FE40" t="s">
        <v>542</v>
      </c>
      <c r="FF40">
        <v>1693329809</v>
      </c>
      <c r="FG40">
        <v>1693329810.5</v>
      </c>
      <c r="FH40">
        <v>44</v>
      </c>
      <c r="FI40">
        <v>0.27400000000000002</v>
      </c>
      <c r="FJ40">
        <v>4.0000000000000001E-3</v>
      </c>
      <c r="FK40">
        <v>0.41299999999999998</v>
      </c>
      <c r="FL40">
        <v>-0.29799999999999999</v>
      </c>
      <c r="FM40">
        <v>500</v>
      </c>
      <c r="FN40">
        <v>23</v>
      </c>
      <c r="FO40">
        <v>0.13</v>
      </c>
      <c r="FP40">
        <v>0.06</v>
      </c>
      <c r="FQ40">
        <v>46.68329999064553</v>
      </c>
      <c r="FR40">
        <v>5.1267619338934853E-2</v>
      </c>
      <c r="FS40">
        <v>6.9839776878521151E-2</v>
      </c>
      <c r="FT40">
        <v>1</v>
      </c>
      <c r="FU40">
        <v>0.34612927753886302</v>
      </c>
      <c r="FV40">
        <v>4.8727608796646622E-2</v>
      </c>
      <c r="FW40">
        <v>3.9278539493236486E-3</v>
      </c>
      <c r="FX40">
        <v>1</v>
      </c>
      <c r="FY40">
        <v>2</v>
      </c>
      <c r="FZ40">
        <v>2</v>
      </c>
      <c r="GA40" t="s">
        <v>415</v>
      </c>
      <c r="GB40">
        <v>2.91703</v>
      </c>
      <c r="GC40">
        <v>2.8300999999999998</v>
      </c>
      <c r="GD40">
        <v>9.6333600000000005E-2</v>
      </c>
      <c r="GE40">
        <v>0.103799</v>
      </c>
      <c r="GF40">
        <v>0.13470199999999999</v>
      </c>
      <c r="GG40">
        <v>0.110508</v>
      </c>
      <c r="GH40">
        <v>23435.1</v>
      </c>
      <c r="GI40">
        <v>28567.8</v>
      </c>
      <c r="GJ40">
        <v>23353.5</v>
      </c>
      <c r="GK40">
        <v>29194.1</v>
      </c>
      <c r="GL40">
        <v>27574.2</v>
      </c>
      <c r="GM40">
        <v>36806</v>
      </c>
      <c r="GN40">
        <v>33022.400000000001</v>
      </c>
      <c r="GO40">
        <v>43141.7</v>
      </c>
      <c r="GP40">
        <v>1.9165000000000001</v>
      </c>
      <c r="GQ40">
        <v>1.7433000000000001</v>
      </c>
      <c r="GR40">
        <v>3.6358799999999997E-2</v>
      </c>
      <c r="GS40">
        <v>0</v>
      </c>
      <c r="GT40">
        <v>29.4055</v>
      </c>
      <c r="GU40">
        <v>999.9</v>
      </c>
      <c r="GV40">
        <v>34.299999999999997</v>
      </c>
      <c r="GW40">
        <v>43</v>
      </c>
      <c r="GX40">
        <v>30.092700000000001</v>
      </c>
      <c r="GY40">
        <v>61.399000000000001</v>
      </c>
      <c r="GZ40">
        <v>39.390999999999998</v>
      </c>
      <c r="HA40">
        <v>1</v>
      </c>
      <c r="HB40">
        <v>0.59142300000000003</v>
      </c>
      <c r="HC40">
        <v>3.5137299999999998</v>
      </c>
      <c r="HD40">
        <v>20.226299999999998</v>
      </c>
      <c r="HE40">
        <v>5.2077099999999996</v>
      </c>
      <c r="HF40">
        <v>11.877599999999999</v>
      </c>
      <c r="HG40">
        <v>4.9836</v>
      </c>
      <c r="HH40">
        <v>3.2839999999999998</v>
      </c>
      <c r="HI40">
        <v>9999</v>
      </c>
      <c r="HJ40">
        <v>9999</v>
      </c>
      <c r="HK40">
        <v>9999</v>
      </c>
      <c r="HL40">
        <v>999.9</v>
      </c>
      <c r="HM40">
        <v>1.8548500000000001</v>
      </c>
      <c r="HN40">
        <v>1.8608100000000001</v>
      </c>
      <c r="HO40">
        <v>1.8581399999999999</v>
      </c>
      <c r="HP40">
        <v>1.85914</v>
      </c>
      <c r="HQ40">
        <v>1.8586499999999999</v>
      </c>
      <c r="HR40">
        <v>1.8591299999999999</v>
      </c>
      <c r="HS40">
        <v>1.85745</v>
      </c>
      <c r="HT40">
        <v>1.8607499999999999</v>
      </c>
      <c r="HU40">
        <v>5</v>
      </c>
      <c r="HV40">
        <v>0</v>
      </c>
      <c r="HW40">
        <v>0</v>
      </c>
      <c r="HX40">
        <v>0</v>
      </c>
      <c r="HY40" t="s">
        <v>416</v>
      </c>
      <c r="HZ40" t="s">
        <v>417</v>
      </c>
      <c r="IA40" t="s">
        <v>418</v>
      </c>
      <c r="IB40" t="s">
        <v>418</v>
      </c>
      <c r="IC40" t="s">
        <v>418</v>
      </c>
      <c r="ID40" t="s">
        <v>418</v>
      </c>
      <c r="IE40">
        <v>0</v>
      </c>
      <c r="IF40">
        <v>100</v>
      </c>
      <c r="IG40">
        <v>100</v>
      </c>
      <c r="IH40">
        <v>0.41299999999999998</v>
      </c>
      <c r="II40">
        <v>-0.29799999999999999</v>
      </c>
      <c r="IJ40">
        <v>0.41280952380947161</v>
      </c>
      <c r="IK40">
        <v>0</v>
      </c>
      <c r="IL40">
        <v>0</v>
      </c>
      <c r="IM40">
        <v>0</v>
      </c>
      <c r="IN40">
        <v>-0.29802000000000112</v>
      </c>
      <c r="IO40">
        <v>0</v>
      </c>
      <c r="IP40">
        <v>0</v>
      </c>
      <c r="IQ40">
        <v>0</v>
      </c>
      <c r="IR40">
        <v>-1</v>
      </c>
      <c r="IS40">
        <v>-1</v>
      </c>
      <c r="IT40">
        <v>-1</v>
      </c>
      <c r="IU40">
        <v>-1</v>
      </c>
      <c r="IV40">
        <v>0.5</v>
      </c>
      <c r="IW40">
        <v>0.5</v>
      </c>
      <c r="IX40">
        <v>1.1901900000000001</v>
      </c>
      <c r="IY40">
        <v>2.4890099999999999</v>
      </c>
      <c r="IZ40">
        <v>1.49414</v>
      </c>
      <c r="JA40">
        <v>2.2875999999999999</v>
      </c>
      <c r="JB40">
        <v>1.54419</v>
      </c>
      <c r="JC40">
        <v>2.4194300000000002</v>
      </c>
      <c r="JD40">
        <v>49.012700000000002</v>
      </c>
      <c r="JE40">
        <v>23.982399999999998</v>
      </c>
      <c r="JF40">
        <v>18</v>
      </c>
      <c r="JG40">
        <v>497.15600000000001</v>
      </c>
      <c r="JH40">
        <v>412.47500000000002</v>
      </c>
      <c r="JI40">
        <v>24.9954</v>
      </c>
      <c r="JJ40">
        <v>34.565600000000003</v>
      </c>
      <c r="JK40">
        <v>29.9999</v>
      </c>
      <c r="JL40">
        <v>34.576300000000003</v>
      </c>
      <c r="JM40">
        <v>34.5578</v>
      </c>
      <c r="JN40">
        <v>23.8888</v>
      </c>
      <c r="JO40">
        <v>18.042200000000001</v>
      </c>
      <c r="JP40">
        <v>18.010400000000001</v>
      </c>
      <c r="JQ40">
        <v>25.0015</v>
      </c>
      <c r="JR40">
        <v>500</v>
      </c>
      <c r="JS40">
        <v>23.056699999999999</v>
      </c>
      <c r="JT40">
        <v>97.938400000000001</v>
      </c>
      <c r="JU40">
        <v>97.130499999999998</v>
      </c>
    </row>
    <row r="41" spans="1:281" x14ac:dyDescent="0.25">
      <c r="A41">
        <v>39</v>
      </c>
      <c r="B41">
        <v>1693329947</v>
      </c>
      <c r="C41">
        <v>8540.4000000953674</v>
      </c>
      <c r="D41" t="s">
        <v>543</v>
      </c>
      <c r="E41" t="s">
        <v>544</v>
      </c>
      <c r="F41" t="s">
        <v>411</v>
      </c>
      <c r="G41" t="s">
        <v>493</v>
      </c>
      <c r="H41" t="s">
        <v>494</v>
      </c>
      <c r="I41" t="s">
        <v>31</v>
      </c>
      <c r="J41">
        <v>1693329947</v>
      </c>
      <c r="K41">
        <f t="shared" si="46"/>
        <v>4.9301476734242688E-3</v>
      </c>
      <c r="L41">
        <f t="shared" si="47"/>
        <v>4.9301476734242691</v>
      </c>
      <c r="M41">
        <f t="shared" si="48"/>
        <v>48.306285339568333</v>
      </c>
      <c r="N41">
        <f t="shared" si="49"/>
        <v>638.37099999999998</v>
      </c>
      <c r="O41">
        <f t="shared" si="50"/>
        <v>394.29423302318509</v>
      </c>
      <c r="P41">
        <f t="shared" si="51"/>
        <v>39.086272461678256</v>
      </c>
      <c r="Q41">
        <f t="shared" si="52"/>
        <v>63.281531272527694</v>
      </c>
      <c r="R41">
        <f t="shared" si="53"/>
        <v>0.35241323348656883</v>
      </c>
      <c r="S41">
        <f t="shared" si="54"/>
        <v>2.9185960160248463</v>
      </c>
      <c r="T41">
        <f t="shared" si="55"/>
        <v>0.3303646032275161</v>
      </c>
      <c r="U41">
        <f t="shared" si="56"/>
        <v>0.20834380108126596</v>
      </c>
      <c r="V41">
        <f t="shared" si="57"/>
        <v>344.35289967081695</v>
      </c>
      <c r="W41">
        <f t="shared" si="58"/>
        <v>31.075828774970365</v>
      </c>
      <c r="X41">
        <f t="shared" si="59"/>
        <v>29.9907</v>
      </c>
      <c r="Y41">
        <f t="shared" si="60"/>
        <v>4.2581744363970335</v>
      </c>
      <c r="Z41">
        <f t="shared" si="61"/>
        <v>65.232477090341817</v>
      </c>
      <c r="AA41">
        <f t="shared" si="62"/>
        <v>2.8317293457533297</v>
      </c>
      <c r="AB41">
        <f t="shared" si="63"/>
        <v>4.3409808611615484</v>
      </c>
      <c r="AC41">
        <f t="shared" si="64"/>
        <v>1.4264450906437038</v>
      </c>
      <c r="AD41">
        <f t="shared" si="65"/>
        <v>-217.41951239801026</v>
      </c>
      <c r="AE41">
        <f t="shared" si="66"/>
        <v>52.821504863228085</v>
      </c>
      <c r="AF41">
        <f t="shared" si="67"/>
        <v>4.030487597491228</v>
      </c>
      <c r="AG41">
        <f t="shared" si="68"/>
        <v>183.78537973352601</v>
      </c>
      <c r="AH41">
        <v>11</v>
      </c>
      <c r="AI41">
        <v>2</v>
      </c>
      <c r="AJ41">
        <f t="shared" si="69"/>
        <v>1</v>
      </c>
      <c r="AK41">
        <f t="shared" si="70"/>
        <v>0</v>
      </c>
      <c r="AL41">
        <f t="shared" si="71"/>
        <v>51963.940063278344</v>
      </c>
      <c r="AM41" t="s">
        <v>413</v>
      </c>
      <c r="AN41">
        <v>10366.9</v>
      </c>
      <c r="AO41">
        <v>993.59653846153856</v>
      </c>
      <c r="AP41">
        <v>3431.87</v>
      </c>
      <c r="AQ41">
        <f t="shared" si="72"/>
        <v>0.71047955241266758</v>
      </c>
      <c r="AR41">
        <v>-3.9894345373445681</v>
      </c>
      <c r="AS41" t="s">
        <v>545</v>
      </c>
      <c r="AT41">
        <v>10313.1</v>
      </c>
      <c r="AU41">
        <v>795.67700000000002</v>
      </c>
      <c r="AV41">
        <v>1201.934120703186</v>
      </c>
      <c r="AW41">
        <f t="shared" si="73"/>
        <v>0.33800281871148408</v>
      </c>
      <c r="AX41">
        <v>0.5</v>
      </c>
      <c r="AY41">
        <f t="shared" si="74"/>
        <v>1513.1093998354083</v>
      </c>
      <c r="AZ41">
        <f t="shared" si="75"/>
        <v>48.306285339568333</v>
      </c>
      <c r="BA41">
        <f t="shared" si="76"/>
        <v>255.71762108160499</v>
      </c>
      <c r="BB41">
        <f t="shared" si="77"/>
        <v>3.4561757320786902E-2</v>
      </c>
      <c r="BC41">
        <f t="shared" si="78"/>
        <v>1.8552896043854721</v>
      </c>
      <c r="BD41">
        <f t="shared" si="79"/>
        <v>646.39120318408345</v>
      </c>
      <c r="BE41" t="s">
        <v>546</v>
      </c>
      <c r="BF41">
        <v>576.62</v>
      </c>
      <c r="BG41">
        <f t="shared" si="80"/>
        <v>576.62</v>
      </c>
      <c r="BH41">
        <f t="shared" si="81"/>
        <v>0.52025656808656773</v>
      </c>
      <c r="BI41">
        <f t="shared" si="82"/>
        <v>0.64968486597797703</v>
      </c>
      <c r="BJ41">
        <f t="shared" si="83"/>
        <v>0.78099496691946912</v>
      </c>
      <c r="BK41">
        <f t="shared" si="84"/>
        <v>1.9499944097074855</v>
      </c>
      <c r="BL41">
        <f t="shared" si="85"/>
        <v>0.9145552844961885</v>
      </c>
      <c r="BM41">
        <f t="shared" si="86"/>
        <v>0.47082080721224956</v>
      </c>
      <c r="BN41">
        <f t="shared" si="87"/>
        <v>0.5291791927877505</v>
      </c>
      <c r="BO41">
        <v>16606</v>
      </c>
      <c r="BP41">
        <v>290.00000000000011</v>
      </c>
      <c r="BQ41">
        <v>1089.17</v>
      </c>
      <c r="BR41">
        <v>145</v>
      </c>
      <c r="BS41">
        <v>10313.1</v>
      </c>
      <c r="BT41">
        <v>1083.3499999999999</v>
      </c>
      <c r="BU41">
        <v>5.82</v>
      </c>
      <c r="BV41">
        <v>300.00000000000011</v>
      </c>
      <c r="BW41">
        <v>38.4</v>
      </c>
      <c r="BX41">
        <v>1201.934120703186</v>
      </c>
      <c r="BY41">
        <v>1.6590977123302599</v>
      </c>
      <c r="BZ41">
        <v>-122.2985182516683</v>
      </c>
      <c r="CA41">
        <v>1.3990378546083919</v>
      </c>
      <c r="CB41">
        <v>0.99634921585754199</v>
      </c>
      <c r="CC41">
        <v>-1.1222634037819821E-2</v>
      </c>
      <c r="CD41">
        <v>289.99999999999989</v>
      </c>
      <c r="CE41">
        <v>1070.57</v>
      </c>
      <c r="CF41">
        <v>635</v>
      </c>
      <c r="CG41">
        <v>10284.4</v>
      </c>
      <c r="CH41">
        <v>1083.02</v>
      </c>
      <c r="CI41">
        <v>-12.45</v>
      </c>
      <c r="CW41">
        <f t="shared" si="88"/>
        <v>1799.91</v>
      </c>
      <c r="CX41">
        <f t="shared" si="89"/>
        <v>1513.1093998354083</v>
      </c>
      <c r="CY41">
        <f t="shared" si="90"/>
        <v>0.84065836616020151</v>
      </c>
      <c r="CZ41">
        <f t="shared" si="91"/>
        <v>0.19131673232040319</v>
      </c>
      <c r="DA41">
        <v>6</v>
      </c>
      <c r="DB41">
        <v>0.5</v>
      </c>
      <c r="DC41" t="s">
        <v>414</v>
      </c>
      <c r="DD41">
        <v>2</v>
      </c>
      <c r="DE41">
        <v>1693329947</v>
      </c>
      <c r="DF41">
        <v>638.37099999999998</v>
      </c>
      <c r="DG41">
        <v>700.13699999999994</v>
      </c>
      <c r="DH41">
        <v>28.565899999999999</v>
      </c>
      <c r="DI41">
        <v>22.816700000000001</v>
      </c>
      <c r="DJ41">
        <v>637.75599999999997</v>
      </c>
      <c r="DK41">
        <v>28.864899999999999</v>
      </c>
      <c r="DL41">
        <v>499.82400000000001</v>
      </c>
      <c r="DM41">
        <v>99.030299999999997</v>
      </c>
      <c r="DN41">
        <v>9.9408700000000003E-2</v>
      </c>
      <c r="DO41">
        <v>30.3264</v>
      </c>
      <c r="DP41">
        <v>29.9907</v>
      </c>
      <c r="DQ41">
        <v>999.9</v>
      </c>
      <c r="DR41">
        <v>0</v>
      </c>
      <c r="DS41">
        <v>0</v>
      </c>
      <c r="DT41">
        <v>10035</v>
      </c>
      <c r="DU41">
        <v>0</v>
      </c>
      <c r="DV41">
        <v>1721.63</v>
      </c>
      <c r="DW41">
        <v>-61.766100000000002</v>
      </c>
      <c r="DX41">
        <v>657.14300000000003</v>
      </c>
      <c r="DY41">
        <v>716.48500000000001</v>
      </c>
      <c r="DZ41">
        <v>5.74918</v>
      </c>
      <c r="EA41">
        <v>700.13699999999994</v>
      </c>
      <c r="EB41">
        <v>22.816700000000001</v>
      </c>
      <c r="EC41">
        <v>2.8288899999999999</v>
      </c>
      <c r="ED41">
        <v>2.2595499999999999</v>
      </c>
      <c r="EE41">
        <v>23.053599999999999</v>
      </c>
      <c r="EF41">
        <v>19.390899999999998</v>
      </c>
      <c r="EG41">
        <v>1799.91</v>
      </c>
      <c r="EH41">
        <v>0.97799199999999997</v>
      </c>
      <c r="EI41">
        <v>2.2007599999999999E-2</v>
      </c>
      <c r="EJ41">
        <v>0</v>
      </c>
      <c r="EK41">
        <v>795.27</v>
      </c>
      <c r="EL41">
        <v>5.0002500000000003</v>
      </c>
      <c r="EM41">
        <v>22499.8</v>
      </c>
      <c r="EN41">
        <v>14821.3</v>
      </c>
      <c r="EO41">
        <v>46.625</v>
      </c>
      <c r="EP41">
        <v>48.5</v>
      </c>
      <c r="EQ41">
        <v>47.561999999999998</v>
      </c>
      <c r="ER41">
        <v>47.561999999999998</v>
      </c>
      <c r="ES41">
        <v>48</v>
      </c>
      <c r="ET41">
        <v>1755.41</v>
      </c>
      <c r="EU41">
        <v>39.5</v>
      </c>
      <c r="EV41">
        <v>0</v>
      </c>
      <c r="EW41">
        <v>104</v>
      </c>
      <c r="EX41">
        <v>0</v>
      </c>
      <c r="EY41">
        <v>795.67700000000002</v>
      </c>
      <c r="EZ41">
        <v>-2.1350769212468199</v>
      </c>
      <c r="FA41">
        <v>-125.8384607619217</v>
      </c>
      <c r="FB41">
        <v>22508.412</v>
      </c>
      <c r="FC41">
        <v>15</v>
      </c>
      <c r="FD41">
        <v>1693329918</v>
      </c>
      <c r="FE41" t="s">
        <v>547</v>
      </c>
      <c r="FF41">
        <v>1693329918</v>
      </c>
      <c r="FG41">
        <v>1693329918</v>
      </c>
      <c r="FH41">
        <v>45</v>
      </c>
      <c r="FI41">
        <v>0.20200000000000001</v>
      </c>
      <c r="FJ41">
        <v>-1E-3</v>
      </c>
      <c r="FK41">
        <v>0.61499999999999999</v>
      </c>
      <c r="FL41">
        <v>-0.29899999999999999</v>
      </c>
      <c r="FM41">
        <v>700</v>
      </c>
      <c r="FN41">
        <v>23</v>
      </c>
      <c r="FO41">
        <v>0.22</v>
      </c>
      <c r="FP41">
        <v>0.09</v>
      </c>
      <c r="FQ41">
        <v>48.244284482987737</v>
      </c>
      <c r="FR41">
        <v>-0.14445113972528739</v>
      </c>
      <c r="FS41">
        <v>9.24012752175431E-2</v>
      </c>
      <c r="FT41">
        <v>1</v>
      </c>
      <c r="FU41">
        <v>0.34589045815143271</v>
      </c>
      <c r="FV41">
        <v>4.225155036898319E-2</v>
      </c>
      <c r="FW41">
        <v>3.460960269212414E-3</v>
      </c>
      <c r="FX41">
        <v>1</v>
      </c>
      <c r="FY41">
        <v>2</v>
      </c>
      <c r="FZ41">
        <v>2</v>
      </c>
      <c r="GA41" t="s">
        <v>415</v>
      </c>
      <c r="GB41">
        <v>2.9161800000000002</v>
      </c>
      <c r="GC41">
        <v>2.82959</v>
      </c>
      <c r="GD41">
        <v>0.12571399999999999</v>
      </c>
      <c r="GE41">
        <v>0.13167200000000001</v>
      </c>
      <c r="GF41">
        <v>0.134269</v>
      </c>
      <c r="GG41">
        <v>0.109648</v>
      </c>
      <c r="GH41">
        <v>22676.2</v>
      </c>
      <c r="GI41">
        <v>27681.9</v>
      </c>
      <c r="GJ41">
        <v>23356.6</v>
      </c>
      <c r="GK41">
        <v>29197</v>
      </c>
      <c r="GL41">
        <v>27593.4</v>
      </c>
      <c r="GM41">
        <v>36847.800000000003</v>
      </c>
      <c r="GN41">
        <v>33025.9</v>
      </c>
      <c r="GO41">
        <v>43145.3</v>
      </c>
      <c r="GP41">
        <v>1.9162999999999999</v>
      </c>
      <c r="GQ41">
        <v>1.7425999999999999</v>
      </c>
      <c r="GR41">
        <v>4.9099299999999999E-2</v>
      </c>
      <c r="GS41">
        <v>0</v>
      </c>
      <c r="GT41">
        <v>29.191199999999998</v>
      </c>
      <c r="GU41">
        <v>999.9</v>
      </c>
      <c r="GV41">
        <v>33.700000000000003</v>
      </c>
      <c r="GW41">
        <v>43.2</v>
      </c>
      <c r="GX41">
        <v>29.875599999999999</v>
      </c>
      <c r="GY41">
        <v>61.389000000000003</v>
      </c>
      <c r="GZ41">
        <v>39.843800000000002</v>
      </c>
      <c r="HA41">
        <v>1</v>
      </c>
      <c r="HB41">
        <v>0.59368900000000002</v>
      </c>
      <c r="HC41">
        <v>4.2984400000000003</v>
      </c>
      <c r="HD41">
        <v>20.206399999999999</v>
      </c>
      <c r="HE41">
        <v>5.2100999999999997</v>
      </c>
      <c r="HF41">
        <v>11.8782</v>
      </c>
      <c r="HG41">
        <v>4.9843999999999999</v>
      </c>
      <c r="HH41">
        <v>3.2839999999999998</v>
      </c>
      <c r="HI41">
        <v>9999</v>
      </c>
      <c r="HJ41">
        <v>9999</v>
      </c>
      <c r="HK41">
        <v>9999</v>
      </c>
      <c r="HL41">
        <v>999.9</v>
      </c>
      <c r="HM41">
        <v>1.85483</v>
      </c>
      <c r="HN41">
        <v>1.8608100000000001</v>
      </c>
      <c r="HO41">
        <v>1.85809</v>
      </c>
      <c r="HP41">
        <v>1.85914</v>
      </c>
      <c r="HQ41">
        <v>1.8585799999999999</v>
      </c>
      <c r="HR41">
        <v>1.8591299999999999</v>
      </c>
      <c r="HS41">
        <v>1.85745</v>
      </c>
      <c r="HT41">
        <v>1.8607499999999999</v>
      </c>
      <c r="HU41">
        <v>5</v>
      </c>
      <c r="HV41">
        <v>0</v>
      </c>
      <c r="HW41">
        <v>0</v>
      </c>
      <c r="HX41">
        <v>0</v>
      </c>
      <c r="HY41" t="s">
        <v>416</v>
      </c>
      <c r="HZ41" t="s">
        <v>417</v>
      </c>
      <c r="IA41" t="s">
        <v>418</v>
      </c>
      <c r="IB41" t="s">
        <v>418</v>
      </c>
      <c r="IC41" t="s">
        <v>418</v>
      </c>
      <c r="ID41" t="s">
        <v>418</v>
      </c>
      <c r="IE41">
        <v>0</v>
      </c>
      <c r="IF41">
        <v>100</v>
      </c>
      <c r="IG41">
        <v>100</v>
      </c>
      <c r="IH41">
        <v>0.61499999999999999</v>
      </c>
      <c r="II41">
        <v>-0.29899999999999999</v>
      </c>
      <c r="IJ41">
        <v>0.61499999999989541</v>
      </c>
      <c r="IK41">
        <v>0</v>
      </c>
      <c r="IL41">
        <v>0</v>
      </c>
      <c r="IM41">
        <v>0</v>
      </c>
      <c r="IN41">
        <v>-0.29894285714286178</v>
      </c>
      <c r="IO41">
        <v>0</v>
      </c>
      <c r="IP41">
        <v>0</v>
      </c>
      <c r="IQ41">
        <v>0</v>
      </c>
      <c r="IR41">
        <v>-1</v>
      </c>
      <c r="IS41">
        <v>-1</v>
      </c>
      <c r="IT41">
        <v>-1</v>
      </c>
      <c r="IU41">
        <v>-1</v>
      </c>
      <c r="IV41">
        <v>0.5</v>
      </c>
      <c r="IW41">
        <v>0.5</v>
      </c>
      <c r="IX41">
        <v>1.55762</v>
      </c>
      <c r="IY41">
        <v>2.48047</v>
      </c>
      <c r="IZ41">
        <v>1.49414</v>
      </c>
      <c r="JA41">
        <v>2.2863799999999999</v>
      </c>
      <c r="JB41">
        <v>1.54419</v>
      </c>
      <c r="JC41">
        <v>2.5158700000000001</v>
      </c>
      <c r="JD41">
        <v>49.012700000000002</v>
      </c>
      <c r="JE41">
        <v>23.982399999999998</v>
      </c>
      <c r="JF41">
        <v>18</v>
      </c>
      <c r="JG41">
        <v>496.90600000000001</v>
      </c>
      <c r="JH41">
        <v>411.935</v>
      </c>
      <c r="JI41">
        <v>25.588699999999999</v>
      </c>
      <c r="JJ41">
        <v>34.532600000000002</v>
      </c>
      <c r="JK41">
        <v>30.006900000000002</v>
      </c>
      <c r="JL41">
        <v>34.5608</v>
      </c>
      <c r="JM41">
        <v>34.544400000000003</v>
      </c>
      <c r="JN41">
        <v>31.253900000000002</v>
      </c>
      <c r="JO41">
        <v>18.296800000000001</v>
      </c>
      <c r="JP41">
        <v>16.310300000000002</v>
      </c>
      <c r="JQ41">
        <v>25.4437</v>
      </c>
      <c r="JR41">
        <v>700</v>
      </c>
      <c r="JS41">
        <v>22.837299999999999</v>
      </c>
      <c r="JT41">
        <v>97.949799999999996</v>
      </c>
      <c r="JU41">
        <v>97.139300000000006</v>
      </c>
    </row>
    <row r="42" spans="1:281" x14ac:dyDescent="0.25">
      <c r="A42">
        <v>40</v>
      </c>
      <c r="B42">
        <v>1693330046.5</v>
      </c>
      <c r="C42">
        <v>8639.9000000953674</v>
      </c>
      <c r="D42" t="s">
        <v>548</v>
      </c>
      <c r="E42" t="s">
        <v>549</v>
      </c>
      <c r="F42" t="s">
        <v>411</v>
      </c>
      <c r="G42" t="s">
        <v>493</v>
      </c>
      <c r="H42" t="s">
        <v>494</v>
      </c>
      <c r="I42" t="s">
        <v>31</v>
      </c>
      <c r="J42">
        <v>1693330046.5</v>
      </c>
      <c r="K42">
        <f t="shared" si="46"/>
        <v>4.6437075500423359E-3</v>
      </c>
      <c r="L42">
        <f t="shared" si="47"/>
        <v>4.6437075500423362</v>
      </c>
      <c r="M42">
        <f t="shared" si="48"/>
        <v>48.055520688773278</v>
      </c>
      <c r="N42">
        <f t="shared" si="49"/>
        <v>837.57500000000005</v>
      </c>
      <c r="O42">
        <f t="shared" si="50"/>
        <v>573.26285262884983</v>
      </c>
      <c r="P42">
        <f t="shared" si="51"/>
        <v>56.826128558105616</v>
      </c>
      <c r="Q42">
        <f t="shared" si="52"/>
        <v>83.026737924480003</v>
      </c>
      <c r="R42">
        <f t="shared" si="53"/>
        <v>0.3272314765459941</v>
      </c>
      <c r="S42">
        <f t="shared" si="54"/>
        <v>2.919431034699917</v>
      </c>
      <c r="T42">
        <f t="shared" si="55"/>
        <v>0.30813473565637689</v>
      </c>
      <c r="U42">
        <f t="shared" si="56"/>
        <v>0.19420704040046385</v>
      </c>
      <c r="V42">
        <f t="shared" si="57"/>
        <v>344.34909967081325</v>
      </c>
      <c r="W42">
        <f t="shared" si="58"/>
        <v>31.114788645189506</v>
      </c>
      <c r="X42">
        <f t="shared" si="59"/>
        <v>30.033999999999999</v>
      </c>
      <c r="Y42">
        <f t="shared" si="60"/>
        <v>4.2687772256300054</v>
      </c>
      <c r="Z42">
        <f t="shared" si="61"/>
        <v>65.28731508027154</v>
      </c>
      <c r="AA42">
        <f t="shared" si="62"/>
        <v>2.8283660597606395</v>
      </c>
      <c r="AB42">
        <f t="shared" si="63"/>
        <v>4.3321831450460619</v>
      </c>
      <c r="AC42">
        <f t="shared" si="64"/>
        <v>1.4404111658693659</v>
      </c>
      <c r="AD42">
        <f t="shared" si="65"/>
        <v>-204.787502956867</v>
      </c>
      <c r="AE42">
        <f t="shared" si="66"/>
        <v>40.449838047284899</v>
      </c>
      <c r="AF42">
        <f t="shared" si="67"/>
        <v>3.0857184118123095</v>
      </c>
      <c r="AG42">
        <f t="shared" si="68"/>
        <v>183.09715317304347</v>
      </c>
      <c r="AH42">
        <v>11</v>
      </c>
      <c r="AI42">
        <v>2</v>
      </c>
      <c r="AJ42">
        <f t="shared" si="69"/>
        <v>1</v>
      </c>
      <c r="AK42">
        <f t="shared" si="70"/>
        <v>0</v>
      </c>
      <c r="AL42">
        <f t="shared" si="71"/>
        <v>51993.715103502524</v>
      </c>
      <c r="AM42" t="s">
        <v>413</v>
      </c>
      <c r="AN42">
        <v>10366.9</v>
      </c>
      <c r="AO42">
        <v>993.59653846153856</v>
      </c>
      <c r="AP42">
        <v>3431.87</v>
      </c>
      <c r="AQ42">
        <f t="shared" si="72"/>
        <v>0.71047955241266758</v>
      </c>
      <c r="AR42">
        <v>-3.9894345373445681</v>
      </c>
      <c r="AS42" t="s">
        <v>550</v>
      </c>
      <c r="AT42">
        <v>10317.9</v>
      </c>
      <c r="AU42">
        <v>794.07203846153845</v>
      </c>
      <c r="AV42">
        <v>1199.7902651252839</v>
      </c>
      <c r="AW42">
        <f t="shared" si="73"/>
        <v>0.33815762509239877</v>
      </c>
      <c r="AX42">
        <v>0.5</v>
      </c>
      <c r="AY42">
        <f t="shared" si="74"/>
        <v>1513.0925998354069</v>
      </c>
      <c r="AZ42">
        <f t="shared" si="75"/>
        <v>48.055520688773278</v>
      </c>
      <c r="BA42">
        <f t="shared" si="76"/>
        <v>255.83190005261224</v>
      </c>
      <c r="BB42">
        <f t="shared" si="77"/>
        <v>3.4396411185792106E-2</v>
      </c>
      <c r="BC42">
        <f t="shared" si="78"/>
        <v>1.8603916032287851</v>
      </c>
      <c r="BD42">
        <f t="shared" si="79"/>
        <v>645.77064391989961</v>
      </c>
      <c r="BE42" t="s">
        <v>551</v>
      </c>
      <c r="BF42">
        <v>575.49</v>
      </c>
      <c r="BG42">
        <f t="shared" si="80"/>
        <v>575.49</v>
      </c>
      <c r="BH42">
        <f t="shared" si="81"/>
        <v>0.5203411656787309</v>
      </c>
      <c r="BI42">
        <f t="shared" si="82"/>
        <v>0.64987674894279657</v>
      </c>
      <c r="BJ42">
        <f t="shared" si="83"/>
        <v>0.78143655076520491</v>
      </c>
      <c r="BK42">
        <f t="shared" si="84"/>
        <v>1.9676555306911871</v>
      </c>
      <c r="BL42">
        <f t="shared" si="85"/>
        <v>0.91543453598775382</v>
      </c>
      <c r="BM42">
        <f t="shared" si="86"/>
        <v>0.47098695349314318</v>
      </c>
      <c r="BN42">
        <f t="shared" si="87"/>
        <v>0.52901304650685677</v>
      </c>
      <c r="BO42">
        <v>16608</v>
      </c>
      <c r="BP42">
        <v>290.00000000000011</v>
      </c>
      <c r="BQ42">
        <v>1089.44</v>
      </c>
      <c r="BR42">
        <v>115</v>
      </c>
      <c r="BS42">
        <v>10317.9</v>
      </c>
      <c r="BT42">
        <v>1083.43</v>
      </c>
      <c r="BU42">
        <v>6.01</v>
      </c>
      <c r="BV42">
        <v>300.00000000000011</v>
      </c>
      <c r="BW42">
        <v>38.4</v>
      </c>
      <c r="BX42">
        <v>1199.7902651252839</v>
      </c>
      <c r="BY42">
        <v>1.5885936295990331</v>
      </c>
      <c r="BZ42">
        <v>-120.055575803552</v>
      </c>
      <c r="CA42">
        <v>1.3395997573311851</v>
      </c>
      <c r="CB42">
        <v>0.996525981651605</v>
      </c>
      <c r="CC42">
        <v>-1.1222822469410461E-2</v>
      </c>
      <c r="CD42">
        <v>289.99999999999989</v>
      </c>
      <c r="CE42">
        <v>1071.8399999999999</v>
      </c>
      <c r="CF42">
        <v>635</v>
      </c>
      <c r="CG42">
        <v>10284.5</v>
      </c>
      <c r="CH42">
        <v>1083.06</v>
      </c>
      <c r="CI42">
        <v>-11.22</v>
      </c>
      <c r="CW42">
        <f t="shared" si="88"/>
        <v>1799.89</v>
      </c>
      <c r="CX42">
        <f t="shared" si="89"/>
        <v>1513.0925998354069</v>
      </c>
      <c r="CY42">
        <f t="shared" si="90"/>
        <v>0.84065837347582728</v>
      </c>
      <c r="CZ42">
        <f t="shared" si="91"/>
        <v>0.1913167469516544</v>
      </c>
      <c r="DA42">
        <v>6</v>
      </c>
      <c r="DB42">
        <v>0.5</v>
      </c>
      <c r="DC42" t="s">
        <v>414</v>
      </c>
      <c r="DD42">
        <v>2</v>
      </c>
      <c r="DE42">
        <v>1693330046.5</v>
      </c>
      <c r="DF42">
        <v>837.57500000000005</v>
      </c>
      <c r="DG42">
        <v>899.89800000000002</v>
      </c>
      <c r="DH42">
        <v>28.532599999999999</v>
      </c>
      <c r="DI42">
        <v>23.120100000000001</v>
      </c>
      <c r="DJ42">
        <v>836.51400000000001</v>
      </c>
      <c r="DK42">
        <v>28.824400000000001</v>
      </c>
      <c r="DL42">
        <v>500.08800000000002</v>
      </c>
      <c r="DM42">
        <v>99.028199999999998</v>
      </c>
      <c r="DN42">
        <v>9.9326399999999995E-2</v>
      </c>
      <c r="DO42">
        <v>30.291</v>
      </c>
      <c r="DP42">
        <v>30.033999999999999</v>
      </c>
      <c r="DQ42">
        <v>999.9</v>
      </c>
      <c r="DR42">
        <v>0</v>
      </c>
      <c r="DS42">
        <v>0</v>
      </c>
      <c r="DT42">
        <v>10040</v>
      </c>
      <c r="DU42">
        <v>0</v>
      </c>
      <c r="DV42">
        <v>1753.19</v>
      </c>
      <c r="DW42">
        <v>-62.323099999999997</v>
      </c>
      <c r="DX42">
        <v>862.17499999999995</v>
      </c>
      <c r="DY42">
        <v>921.197</v>
      </c>
      <c r="DZ42">
        <v>5.4124699999999999</v>
      </c>
      <c r="EA42">
        <v>899.89800000000002</v>
      </c>
      <c r="EB42">
        <v>23.120100000000001</v>
      </c>
      <c r="EC42">
        <v>2.8255300000000001</v>
      </c>
      <c r="ED42">
        <v>2.2895500000000002</v>
      </c>
      <c r="EE42">
        <v>23.033999999999999</v>
      </c>
      <c r="EF42">
        <v>19.603000000000002</v>
      </c>
      <c r="EG42">
        <v>1799.89</v>
      </c>
      <c r="EH42">
        <v>0.97799199999999997</v>
      </c>
      <c r="EI42">
        <v>2.2007599999999999E-2</v>
      </c>
      <c r="EJ42">
        <v>0</v>
      </c>
      <c r="EK42">
        <v>793.48599999999999</v>
      </c>
      <c r="EL42">
        <v>5.0002500000000003</v>
      </c>
      <c r="EM42">
        <v>22560.2</v>
      </c>
      <c r="EN42">
        <v>14821.1</v>
      </c>
      <c r="EO42">
        <v>46.625</v>
      </c>
      <c r="EP42">
        <v>48.436999999999998</v>
      </c>
      <c r="EQ42">
        <v>47.5</v>
      </c>
      <c r="ER42">
        <v>47.5</v>
      </c>
      <c r="ES42">
        <v>47.936999999999998</v>
      </c>
      <c r="ET42">
        <v>1755.39</v>
      </c>
      <c r="EU42">
        <v>39.5</v>
      </c>
      <c r="EV42">
        <v>0</v>
      </c>
      <c r="EW42">
        <v>97.399999856948853</v>
      </c>
      <c r="EX42">
        <v>0</v>
      </c>
      <c r="EY42">
        <v>794.07203846153845</v>
      </c>
      <c r="EZ42">
        <v>-5.1703589775716656</v>
      </c>
      <c r="FA42">
        <v>-68.020512173218975</v>
      </c>
      <c r="FB42">
        <v>22562.33846153846</v>
      </c>
      <c r="FC42">
        <v>15</v>
      </c>
      <c r="FD42">
        <v>1693330015</v>
      </c>
      <c r="FE42" t="s">
        <v>552</v>
      </c>
      <c r="FF42">
        <v>1693330015</v>
      </c>
      <c r="FG42">
        <v>1693330011.5</v>
      </c>
      <c r="FH42">
        <v>46</v>
      </c>
      <c r="FI42">
        <v>0.44600000000000001</v>
      </c>
      <c r="FJ42">
        <v>7.0000000000000001E-3</v>
      </c>
      <c r="FK42">
        <v>1.0609999999999999</v>
      </c>
      <c r="FL42">
        <v>-0.29199999999999998</v>
      </c>
      <c r="FM42">
        <v>900</v>
      </c>
      <c r="FN42">
        <v>23</v>
      </c>
      <c r="FO42">
        <v>0.16</v>
      </c>
      <c r="FP42">
        <v>0.05</v>
      </c>
      <c r="FQ42">
        <v>48.041920438661272</v>
      </c>
      <c r="FR42">
        <v>0.44869961309574979</v>
      </c>
      <c r="FS42">
        <v>0.114722326861198</v>
      </c>
      <c r="FT42">
        <v>1</v>
      </c>
      <c r="FU42">
        <v>0.32928402314015093</v>
      </c>
      <c r="FV42">
        <v>9.5880546081071379E-3</v>
      </c>
      <c r="FW42">
        <v>2.803098368275535E-3</v>
      </c>
      <c r="FX42">
        <v>1</v>
      </c>
      <c r="FY42">
        <v>2</v>
      </c>
      <c r="FZ42">
        <v>2</v>
      </c>
      <c r="GA42" t="s">
        <v>415</v>
      </c>
      <c r="GB42">
        <v>2.91689</v>
      </c>
      <c r="GC42">
        <v>2.8295599999999999</v>
      </c>
      <c r="GD42">
        <v>0.15099899999999999</v>
      </c>
      <c r="GE42">
        <v>0.15565499999999999</v>
      </c>
      <c r="GF42">
        <v>0.13414300000000001</v>
      </c>
      <c r="GG42">
        <v>0.11067299999999999</v>
      </c>
      <c r="GH42">
        <v>22021.200000000001</v>
      </c>
      <c r="GI42">
        <v>26918.3</v>
      </c>
      <c r="GJ42">
        <v>23357.9</v>
      </c>
      <c r="GK42">
        <v>29198.7</v>
      </c>
      <c r="GL42">
        <v>27600.799999999999</v>
      </c>
      <c r="GM42">
        <v>36809.1</v>
      </c>
      <c r="GN42">
        <v>33027.599999999999</v>
      </c>
      <c r="GO42">
        <v>43146.6</v>
      </c>
      <c r="GP42">
        <v>1.9171</v>
      </c>
      <c r="GQ42">
        <v>1.7437</v>
      </c>
      <c r="GR42">
        <v>5.1558E-2</v>
      </c>
      <c r="GS42">
        <v>0</v>
      </c>
      <c r="GT42">
        <v>29.194500000000001</v>
      </c>
      <c r="GU42">
        <v>999.9</v>
      </c>
      <c r="GV42">
        <v>33.299999999999997</v>
      </c>
      <c r="GW42">
        <v>43.4</v>
      </c>
      <c r="GX42">
        <v>29.832000000000001</v>
      </c>
      <c r="GY42">
        <v>61.088999999999999</v>
      </c>
      <c r="GZ42">
        <v>40.220399999999998</v>
      </c>
      <c r="HA42">
        <v>1</v>
      </c>
      <c r="HB42">
        <v>0.58557899999999996</v>
      </c>
      <c r="HC42">
        <v>3.5893000000000002</v>
      </c>
      <c r="HD42">
        <v>20.222799999999999</v>
      </c>
      <c r="HE42">
        <v>5.2065099999999997</v>
      </c>
      <c r="HF42">
        <v>11.877000000000001</v>
      </c>
      <c r="HG42">
        <v>4.9825999999999997</v>
      </c>
      <c r="HH42">
        <v>3.2833999999999999</v>
      </c>
      <c r="HI42">
        <v>9999</v>
      </c>
      <c r="HJ42">
        <v>9999</v>
      </c>
      <c r="HK42">
        <v>9999</v>
      </c>
      <c r="HL42">
        <v>999.9</v>
      </c>
      <c r="HM42">
        <v>1.85486</v>
      </c>
      <c r="HN42">
        <v>1.8608100000000001</v>
      </c>
      <c r="HO42">
        <v>1.85819</v>
      </c>
      <c r="HP42">
        <v>1.8592500000000001</v>
      </c>
      <c r="HQ42">
        <v>1.8586499999999999</v>
      </c>
      <c r="HR42">
        <v>1.8591299999999999</v>
      </c>
      <c r="HS42">
        <v>1.85745</v>
      </c>
      <c r="HT42">
        <v>1.8608100000000001</v>
      </c>
      <c r="HU42">
        <v>5</v>
      </c>
      <c r="HV42">
        <v>0</v>
      </c>
      <c r="HW42">
        <v>0</v>
      </c>
      <c r="HX42">
        <v>0</v>
      </c>
      <c r="HY42" t="s">
        <v>416</v>
      </c>
      <c r="HZ42" t="s">
        <v>417</v>
      </c>
      <c r="IA42" t="s">
        <v>418</v>
      </c>
      <c r="IB42" t="s">
        <v>418</v>
      </c>
      <c r="IC42" t="s">
        <v>418</v>
      </c>
      <c r="ID42" t="s">
        <v>418</v>
      </c>
      <c r="IE42">
        <v>0</v>
      </c>
      <c r="IF42">
        <v>100</v>
      </c>
      <c r="IG42">
        <v>100</v>
      </c>
      <c r="IH42">
        <v>1.0609999999999999</v>
      </c>
      <c r="II42">
        <v>-0.2918</v>
      </c>
      <c r="IJ42">
        <v>1.060809523809439</v>
      </c>
      <c r="IK42">
        <v>0</v>
      </c>
      <c r="IL42">
        <v>0</v>
      </c>
      <c r="IM42">
        <v>0</v>
      </c>
      <c r="IN42">
        <v>-0.29183499999999901</v>
      </c>
      <c r="IO42">
        <v>0</v>
      </c>
      <c r="IP42">
        <v>0</v>
      </c>
      <c r="IQ42">
        <v>0</v>
      </c>
      <c r="IR42">
        <v>-1</v>
      </c>
      <c r="IS42">
        <v>-1</v>
      </c>
      <c r="IT42">
        <v>-1</v>
      </c>
      <c r="IU42">
        <v>-1</v>
      </c>
      <c r="IV42">
        <v>0.5</v>
      </c>
      <c r="IW42">
        <v>0.6</v>
      </c>
      <c r="IX42">
        <v>1.9067400000000001</v>
      </c>
      <c r="IY42">
        <v>2.4682599999999999</v>
      </c>
      <c r="IZ42">
        <v>1.49414</v>
      </c>
      <c r="JA42">
        <v>2.2863799999999999</v>
      </c>
      <c r="JB42">
        <v>1.54419</v>
      </c>
      <c r="JC42">
        <v>2.5451700000000002</v>
      </c>
      <c r="JD42">
        <v>49.043999999999997</v>
      </c>
      <c r="JE42">
        <v>23.991199999999999</v>
      </c>
      <c r="JF42">
        <v>18</v>
      </c>
      <c r="JG42">
        <v>497.23700000000002</v>
      </c>
      <c r="JH42">
        <v>412.517</v>
      </c>
      <c r="JI42">
        <v>25.1021</v>
      </c>
      <c r="JJ42">
        <v>34.493400000000001</v>
      </c>
      <c r="JK42">
        <v>30.000599999999999</v>
      </c>
      <c r="JL42">
        <v>34.535899999999998</v>
      </c>
      <c r="JM42">
        <v>34.525799999999997</v>
      </c>
      <c r="JN42">
        <v>38.212400000000002</v>
      </c>
      <c r="JO42">
        <v>16.735700000000001</v>
      </c>
      <c r="JP42">
        <v>15.542199999999999</v>
      </c>
      <c r="JQ42">
        <v>25.085699999999999</v>
      </c>
      <c r="JR42">
        <v>900</v>
      </c>
      <c r="JS42">
        <v>23.122699999999998</v>
      </c>
      <c r="JT42">
        <v>97.954999999999998</v>
      </c>
      <c r="JU42">
        <v>97.1434</v>
      </c>
    </row>
    <row r="43" spans="1:281" x14ac:dyDescent="0.25">
      <c r="A43">
        <v>41</v>
      </c>
      <c r="B43">
        <v>1693330174.5</v>
      </c>
      <c r="C43">
        <v>8767.9000000953674</v>
      </c>
      <c r="D43" t="s">
        <v>553</v>
      </c>
      <c r="E43" t="s">
        <v>554</v>
      </c>
      <c r="F43" t="s">
        <v>411</v>
      </c>
      <c r="G43" t="s">
        <v>493</v>
      </c>
      <c r="H43" t="s">
        <v>494</v>
      </c>
      <c r="I43" t="s">
        <v>31</v>
      </c>
      <c r="J43">
        <v>1693330174.5</v>
      </c>
      <c r="K43">
        <f t="shared" si="46"/>
        <v>4.5842692244987679E-3</v>
      </c>
      <c r="L43">
        <f t="shared" si="47"/>
        <v>4.5842692244987679</v>
      </c>
      <c r="M43">
        <f t="shared" si="48"/>
        <v>47.928514950971049</v>
      </c>
      <c r="N43">
        <f t="shared" si="49"/>
        <v>1136.26</v>
      </c>
      <c r="O43">
        <f t="shared" si="50"/>
        <v>862.3994827780125</v>
      </c>
      <c r="P43">
        <f t="shared" si="51"/>
        <v>85.487058006145347</v>
      </c>
      <c r="Q43">
        <f t="shared" si="52"/>
        <v>112.63402456732</v>
      </c>
      <c r="R43">
        <f t="shared" si="53"/>
        <v>0.3229988376320741</v>
      </c>
      <c r="S43">
        <f t="shared" si="54"/>
        <v>2.8948527866691083</v>
      </c>
      <c r="T43">
        <f t="shared" si="55"/>
        <v>0.30422959838186586</v>
      </c>
      <c r="U43">
        <f t="shared" si="56"/>
        <v>0.19173888979032105</v>
      </c>
      <c r="V43">
        <f t="shared" si="57"/>
        <v>344.34149967080594</v>
      </c>
      <c r="W43">
        <f t="shared" si="58"/>
        <v>31.047785008549926</v>
      </c>
      <c r="X43">
        <f t="shared" si="59"/>
        <v>29.9849</v>
      </c>
      <c r="Y43">
        <f t="shared" si="60"/>
        <v>4.2567559458769599</v>
      </c>
      <c r="Z43">
        <f t="shared" si="61"/>
        <v>65.343046018335372</v>
      </c>
      <c r="AA43">
        <f t="shared" si="62"/>
        <v>2.8163561617911999</v>
      </c>
      <c r="AB43">
        <f t="shared" si="63"/>
        <v>4.3101084712226694</v>
      </c>
      <c r="AC43">
        <f t="shared" si="64"/>
        <v>1.4403997840857601</v>
      </c>
      <c r="AD43">
        <f t="shared" si="65"/>
        <v>-202.16627280039566</v>
      </c>
      <c r="AE43">
        <f t="shared" si="66"/>
        <v>33.866604845374184</v>
      </c>
      <c r="AF43">
        <f t="shared" si="67"/>
        <v>2.6036696409128774</v>
      </c>
      <c r="AG43">
        <f t="shared" si="68"/>
        <v>178.64550135669734</v>
      </c>
      <c r="AH43">
        <v>11</v>
      </c>
      <c r="AI43">
        <v>2</v>
      </c>
      <c r="AJ43">
        <f t="shared" si="69"/>
        <v>1</v>
      </c>
      <c r="AK43">
        <f t="shared" si="70"/>
        <v>0</v>
      </c>
      <c r="AL43">
        <f t="shared" si="71"/>
        <v>51311.286810681064</v>
      </c>
      <c r="AM43" t="s">
        <v>413</v>
      </c>
      <c r="AN43">
        <v>10366.9</v>
      </c>
      <c r="AO43">
        <v>993.59653846153856</v>
      </c>
      <c r="AP43">
        <v>3431.87</v>
      </c>
      <c r="AQ43">
        <f t="shared" si="72"/>
        <v>0.71047955241266758</v>
      </c>
      <c r="AR43">
        <v>-3.9894345373445681</v>
      </c>
      <c r="AS43" t="s">
        <v>555</v>
      </c>
      <c r="AT43">
        <v>10311.299999999999</v>
      </c>
      <c r="AU43">
        <v>787.55684000000008</v>
      </c>
      <c r="AV43">
        <v>1195.9759325906709</v>
      </c>
      <c r="AW43">
        <f t="shared" si="73"/>
        <v>0.34149440758893135</v>
      </c>
      <c r="AX43">
        <v>0.5</v>
      </c>
      <c r="AY43">
        <f t="shared" si="74"/>
        <v>1513.0589998354028</v>
      </c>
      <c r="AZ43">
        <f t="shared" si="75"/>
        <v>47.928514950971049</v>
      </c>
      <c r="BA43">
        <f t="shared" si="76"/>
        <v>258.35059339794594</v>
      </c>
      <c r="BB43">
        <f t="shared" si="77"/>
        <v>3.4313235302763131E-2</v>
      </c>
      <c r="BC43">
        <f t="shared" si="78"/>
        <v>1.8695142656976658</v>
      </c>
      <c r="BD43">
        <f t="shared" si="79"/>
        <v>644.66401375376358</v>
      </c>
      <c r="BE43" t="s">
        <v>556</v>
      </c>
      <c r="BF43">
        <v>571.87</v>
      </c>
      <c r="BG43">
        <f t="shared" si="80"/>
        <v>571.87</v>
      </c>
      <c r="BH43">
        <f t="shared" si="81"/>
        <v>0.52183820391666225</v>
      </c>
      <c r="BI43">
        <f t="shared" si="82"/>
        <v>0.65440668204405383</v>
      </c>
      <c r="BJ43">
        <f t="shared" si="83"/>
        <v>0.78178114245081443</v>
      </c>
      <c r="BK43">
        <f t="shared" si="84"/>
        <v>2.0180863489000789</v>
      </c>
      <c r="BL43">
        <f t="shared" si="85"/>
        <v>0.91699889396268197</v>
      </c>
      <c r="BM43">
        <f t="shared" si="86"/>
        <v>0.47518544726312456</v>
      </c>
      <c r="BN43">
        <f t="shared" si="87"/>
        <v>0.52481455273687549</v>
      </c>
      <c r="BO43">
        <v>16610</v>
      </c>
      <c r="BP43">
        <v>290.00000000000011</v>
      </c>
      <c r="BQ43">
        <v>1083.0999999999999</v>
      </c>
      <c r="BR43">
        <v>155</v>
      </c>
      <c r="BS43">
        <v>10311.299999999999</v>
      </c>
      <c r="BT43">
        <v>1077.53</v>
      </c>
      <c r="BU43">
        <v>5.57</v>
      </c>
      <c r="BV43">
        <v>300.00000000000011</v>
      </c>
      <c r="BW43">
        <v>38.4</v>
      </c>
      <c r="BX43">
        <v>1195.9759325906709</v>
      </c>
      <c r="BY43">
        <v>1.5274374835847491</v>
      </c>
      <c r="BZ43">
        <v>-122.13012102903549</v>
      </c>
      <c r="CA43">
        <v>1.287986311740023</v>
      </c>
      <c r="CB43">
        <v>0.99689555043275568</v>
      </c>
      <c r="CC43">
        <v>-1.1222366629588429E-2</v>
      </c>
      <c r="CD43">
        <v>289.99999999999989</v>
      </c>
      <c r="CE43">
        <v>1065.93</v>
      </c>
      <c r="CF43">
        <v>675</v>
      </c>
      <c r="CG43">
        <v>10281.299999999999</v>
      </c>
      <c r="CH43">
        <v>1077.19</v>
      </c>
      <c r="CI43">
        <v>-11.26</v>
      </c>
      <c r="CW43">
        <f t="shared" si="88"/>
        <v>1799.85</v>
      </c>
      <c r="CX43">
        <f t="shared" si="89"/>
        <v>1513.0589998354028</v>
      </c>
      <c r="CY43">
        <f t="shared" si="90"/>
        <v>0.8406583881075661</v>
      </c>
      <c r="CZ43">
        <f t="shared" si="91"/>
        <v>0.19131677621513235</v>
      </c>
      <c r="DA43">
        <v>6</v>
      </c>
      <c r="DB43">
        <v>0.5</v>
      </c>
      <c r="DC43" t="s">
        <v>414</v>
      </c>
      <c r="DD43">
        <v>2</v>
      </c>
      <c r="DE43">
        <v>1693330174.5</v>
      </c>
      <c r="DF43">
        <v>1136.26</v>
      </c>
      <c r="DG43">
        <v>1199.99</v>
      </c>
      <c r="DH43">
        <v>28.4116</v>
      </c>
      <c r="DI43">
        <v>23.069700000000001</v>
      </c>
      <c r="DJ43">
        <v>1134.81</v>
      </c>
      <c r="DK43">
        <v>28.697500000000002</v>
      </c>
      <c r="DL43">
        <v>500.274</v>
      </c>
      <c r="DM43">
        <v>99.025499999999994</v>
      </c>
      <c r="DN43">
        <v>0.101482</v>
      </c>
      <c r="DO43">
        <v>30.201899999999998</v>
      </c>
      <c r="DP43">
        <v>29.9849</v>
      </c>
      <c r="DQ43">
        <v>999.9</v>
      </c>
      <c r="DR43">
        <v>0</v>
      </c>
      <c r="DS43">
        <v>0</v>
      </c>
      <c r="DT43">
        <v>9900</v>
      </c>
      <c r="DU43">
        <v>0</v>
      </c>
      <c r="DV43">
        <v>1748.34</v>
      </c>
      <c r="DW43">
        <v>-63.731200000000001</v>
      </c>
      <c r="DX43">
        <v>1169.48</v>
      </c>
      <c r="DY43">
        <v>1228.32</v>
      </c>
      <c r="DZ43">
        <v>5.3419400000000001</v>
      </c>
      <c r="EA43">
        <v>1199.99</v>
      </c>
      <c r="EB43">
        <v>23.069700000000001</v>
      </c>
      <c r="EC43">
        <v>2.8134800000000002</v>
      </c>
      <c r="ED43">
        <v>2.2844899999999999</v>
      </c>
      <c r="EE43">
        <v>22.9634</v>
      </c>
      <c r="EF43">
        <v>19.567399999999999</v>
      </c>
      <c r="EG43">
        <v>1799.85</v>
      </c>
      <c r="EH43">
        <v>0.97799199999999997</v>
      </c>
      <c r="EI43">
        <v>2.2007599999999999E-2</v>
      </c>
      <c r="EJ43">
        <v>0</v>
      </c>
      <c r="EK43">
        <v>787.10799999999995</v>
      </c>
      <c r="EL43">
        <v>5.0002500000000003</v>
      </c>
      <c r="EM43">
        <v>22442.6</v>
      </c>
      <c r="EN43">
        <v>14820.8</v>
      </c>
      <c r="EO43">
        <v>46.625</v>
      </c>
      <c r="EP43">
        <v>48.5</v>
      </c>
      <c r="EQ43">
        <v>47.5</v>
      </c>
      <c r="ER43">
        <v>47.561999999999998</v>
      </c>
      <c r="ES43">
        <v>47.936999999999998</v>
      </c>
      <c r="ET43">
        <v>1755.35</v>
      </c>
      <c r="EU43">
        <v>39.5</v>
      </c>
      <c r="EV43">
        <v>0</v>
      </c>
      <c r="EW43">
        <v>126.2000000476837</v>
      </c>
      <c r="EX43">
        <v>0</v>
      </c>
      <c r="EY43">
        <v>787.55684000000008</v>
      </c>
      <c r="EZ43">
        <v>-3.928538455992125</v>
      </c>
      <c r="FA43">
        <v>-67.407692579119058</v>
      </c>
      <c r="FB43">
        <v>22456.292000000001</v>
      </c>
      <c r="FC43">
        <v>15</v>
      </c>
      <c r="FD43">
        <v>1693330141</v>
      </c>
      <c r="FE43" t="s">
        <v>557</v>
      </c>
      <c r="FF43">
        <v>1693330131.5</v>
      </c>
      <c r="FG43">
        <v>1693330141</v>
      </c>
      <c r="FH43">
        <v>47</v>
      </c>
      <c r="FI43">
        <v>0.38</v>
      </c>
      <c r="FJ43">
        <v>6.0000000000000001E-3</v>
      </c>
      <c r="FK43">
        <v>1.4410000000000001</v>
      </c>
      <c r="FL43">
        <v>-0.28599999999999998</v>
      </c>
      <c r="FM43">
        <v>1200</v>
      </c>
      <c r="FN43">
        <v>23</v>
      </c>
      <c r="FO43">
        <v>0.18</v>
      </c>
      <c r="FP43">
        <v>7.0000000000000007E-2</v>
      </c>
      <c r="FQ43">
        <v>47.662559575506108</v>
      </c>
      <c r="FR43">
        <v>-0.54800540072035153</v>
      </c>
      <c r="FS43">
        <v>0.1225435198151763</v>
      </c>
      <c r="FT43">
        <v>1</v>
      </c>
      <c r="FU43">
        <v>0.32707798586090059</v>
      </c>
      <c r="FV43">
        <v>-3.886431785072972E-3</v>
      </c>
      <c r="FW43">
        <v>2.9126313500093559E-3</v>
      </c>
      <c r="FX43">
        <v>1</v>
      </c>
      <c r="FY43">
        <v>2</v>
      </c>
      <c r="FZ43">
        <v>2</v>
      </c>
      <c r="GA43" t="s">
        <v>415</v>
      </c>
      <c r="GB43">
        <v>2.9173200000000001</v>
      </c>
      <c r="GC43">
        <v>2.8304999999999998</v>
      </c>
      <c r="GD43">
        <v>0.18351799999999999</v>
      </c>
      <c r="GE43">
        <v>0.18682099999999999</v>
      </c>
      <c r="GF43">
        <v>0.13372500000000001</v>
      </c>
      <c r="GG43">
        <v>0.110497</v>
      </c>
      <c r="GH43">
        <v>21176.2</v>
      </c>
      <c r="GI43">
        <v>25921.1</v>
      </c>
      <c r="GJ43">
        <v>23357.5</v>
      </c>
      <c r="GK43">
        <v>29196.6</v>
      </c>
      <c r="GL43">
        <v>27617.8</v>
      </c>
      <c r="GM43">
        <v>36817.5</v>
      </c>
      <c r="GN43">
        <v>33028.300000000003</v>
      </c>
      <c r="GO43">
        <v>43143.7</v>
      </c>
      <c r="GP43">
        <v>1.9174</v>
      </c>
      <c r="GQ43">
        <v>1.7417</v>
      </c>
      <c r="GR43">
        <v>4.9620900000000003E-2</v>
      </c>
      <c r="GS43">
        <v>0</v>
      </c>
      <c r="GT43">
        <v>29.1769</v>
      </c>
      <c r="GU43">
        <v>999.9</v>
      </c>
      <c r="GV43">
        <v>32.700000000000003</v>
      </c>
      <c r="GW43">
        <v>43.6</v>
      </c>
      <c r="GX43">
        <v>29.599</v>
      </c>
      <c r="GY43">
        <v>61.488999999999997</v>
      </c>
      <c r="GZ43">
        <v>39.571300000000001</v>
      </c>
      <c r="HA43">
        <v>1</v>
      </c>
      <c r="HB43">
        <v>0.58501000000000003</v>
      </c>
      <c r="HC43">
        <v>3.1408999999999998</v>
      </c>
      <c r="HD43">
        <v>20.2348</v>
      </c>
      <c r="HE43">
        <v>5.2100999999999997</v>
      </c>
      <c r="HF43">
        <v>11.874599999999999</v>
      </c>
      <c r="HG43">
        <v>4.984</v>
      </c>
      <c r="HH43">
        <v>3.2839999999999998</v>
      </c>
      <c r="HI43">
        <v>9999</v>
      </c>
      <c r="HJ43">
        <v>9999</v>
      </c>
      <c r="HK43">
        <v>9999</v>
      </c>
      <c r="HL43">
        <v>999.9</v>
      </c>
      <c r="HM43">
        <v>1.8547800000000001</v>
      </c>
      <c r="HN43">
        <v>1.8608100000000001</v>
      </c>
      <c r="HO43">
        <v>1.85806</v>
      </c>
      <c r="HP43">
        <v>1.8591299999999999</v>
      </c>
      <c r="HQ43">
        <v>1.8585799999999999</v>
      </c>
      <c r="HR43">
        <v>1.85907</v>
      </c>
      <c r="HS43">
        <v>1.8573599999999999</v>
      </c>
      <c r="HT43">
        <v>1.8606799999999999</v>
      </c>
      <c r="HU43">
        <v>5</v>
      </c>
      <c r="HV43">
        <v>0</v>
      </c>
      <c r="HW43">
        <v>0</v>
      </c>
      <c r="HX43">
        <v>0</v>
      </c>
      <c r="HY43" t="s">
        <v>416</v>
      </c>
      <c r="HZ43" t="s">
        <v>417</v>
      </c>
      <c r="IA43" t="s">
        <v>418</v>
      </c>
      <c r="IB43" t="s">
        <v>418</v>
      </c>
      <c r="IC43" t="s">
        <v>418</v>
      </c>
      <c r="ID43" t="s">
        <v>418</v>
      </c>
      <c r="IE43">
        <v>0</v>
      </c>
      <c r="IF43">
        <v>100</v>
      </c>
      <c r="IG43">
        <v>100</v>
      </c>
      <c r="IH43">
        <v>1.45</v>
      </c>
      <c r="II43">
        <v>-0.28589999999999999</v>
      </c>
      <c r="IJ43">
        <v>1.44142857142856</v>
      </c>
      <c r="IK43">
        <v>0</v>
      </c>
      <c r="IL43">
        <v>0</v>
      </c>
      <c r="IM43">
        <v>0</v>
      </c>
      <c r="IN43">
        <v>-0.28590500000000668</v>
      </c>
      <c r="IO43">
        <v>0</v>
      </c>
      <c r="IP43">
        <v>0</v>
      </c>
      <c r="IQ43">
        <v>0</v>
      </c>
      <c r="IR43">
        <v>-1</v>
      </c>
      <c r="IS43">
        <v>-1</v>
      </c>
      <c r="IT43">
        <v>-1</v>
      </c>
      <c r="IU43">
        <v>-1</v>
      </c>
      <c r="IV43">
        <v>0.7</v>
      </c>
      <c r="IW43">
        <v>0.6</v>
      </c>
      <c r="IX43">
        <v>2.3962400000000001</v>
      </c>
      <c r="IY43">
        <v>2.4609399999999999</v>
      </c>
      <c r="IZ43">
        <v>1.49414</v>
      </c>
      <c r="JA43">
        <v>2.2851599999999999</v>
      </c>
      <c r="JB43">
        <v>1.54419</v>
      </c>
      <c r="JC43">
        <v>2.4218799999999998</v>
      </c>
      <c r="JD43">
        <v>49.137900000000002</v>
      </c>
      <c r="JE43">
        <v>23.991199999999999</v>
      </c>
      <c r="JF43">
        <v>18</v>
      </c>
      <c r="JG43">
        <v>497.52800000000002</v>
      </c>
      <c r="JH43">
        <v>411.31200000000001</v>
      </c>
      <c r="JI43">
        <v>25.083200000000001</v>
      </c>
      <c r="JJ43">
        <v>34.5122</v>
      </c>
      <c r="JK43">
        <v>30.000599999999999</v>
      </c>
      <c r="JL43">
        <v>34.548299999999998</v>
      </c>
      <c r="JM43">
        <v>34.538200000000003</v>
      </c>
      <c r="JN43">
        <v>48.012799999999999</v>
      </c>
      <c r="JO43">
        <v>16.247299999999999</v>
      </c>
      <c r="JP43">
        <v>14.0724</v>
      </c>
      <c r="JQ43">
        <v>25.078499999999998</v>
      </c>
      <c r="JR43">
        <v>1200</v>
      </c>
      <c r="JS43">
        <v>23.028600000000001</v>
      </c>
      <c r="JT43">
        <v>97.955600000000004</v>
      </c>
      <c r="JU43">
        <v>97.136499999999998</v>
      </c>
    </row>
    <row r="44" spans="1:281" x14ac:dyDescent="0.25">
      <c r="A44">
        <v>42</v>
      </c>
      <c r="B44">
        <v>1693330296.5</v>
      </c>
      <c r="C44">
        <v>8889.9000000953674</v>
      </c>
      <c r="D44" t="s">
        <v>558</v>
      </c>
      <c r="E44" t="s">
        <v>559</v>
      </c>
      <c r="F44" t="s">
        <v>411</v>
      </c>
      <c r="G44" t="s">
        <v>493</v>
      </c>
      <c r="H44" t="s">
        <v>494</v>
      </c>
      <c r="I44" t="s">
        <v>31</v>
      </c>
      <c r="J44">
        <v>1693330296.5</v>
      </c>
      <c r="K44">
        <f t="shared" si="46"/>
        <v>4.3631316638476558E-3</v>
      </c>
      <c r="L44">
        <f t="shared" si="47"/>
        <v>4.363131663847656</v>
      </c>
      <c r="M44">
        <f t="shared" si="48"/>
        <v>47.645420334979839</v>
      </c>
      <c r="N44">
        <f t="shared" si="49"/>
        <v>1435.36</v>
      </c>
      <c r="O44">
        <f t="shared" si="50"/>
        <v>1142.3870369860376</v>
      </c>
      <c r="P44">
        <f t="shared" si="51"/>
        <v>113.23825825096324</v>
      </c>
      <c r="Q44">
        <f t="shared" si="52"/>
        <v>142.27898347999999</v>
      </c>
      <c r="R44">
        <f t="shared" si="53"/>
        <v>0.30546149773542669</v>
      </c>
      <c r="S44">
        <f t="shared" si="54"/>
        <v>2.8948175879138183</v>
      </c>
      <c r="T44">
        <f t="shared" si="55"/>
        <v>0.28861785261346812</v>
      </c>
      <c r="U44">
        <f t="shared" si="56"/>
        <v>0.18182205158526124</v>
      </c>
      <c r="V44">
        <f t="shared" si="57"/>
        <v>344.3566996708206</v>
      </c>
      <c r="W44">
        <f t="shared" si="58"/>
        <v>31.045845499411453</v>
      </c>
      <c r="X44">
        <f t="shared" si="59"/>
        <v>29.9682</v>
      </c>
      <c r="Y44">
        <f t="shared" si="60"/>
        <v>4.2526739711203616</v>
      </c>
      <c r="Z44">
        <f t="shared" si="61"/>
        <v>65.363599349448975</v>
      </c>
      <c r="AA44">
        <f t="shared" si="62"/>
        <v>2.8075456948750004</v>
      </c>
      <c r="AB44">
        <f t="shared" si="63"/>
        <v>4.29527401002691</v>
      </c>
      <c r="AC44">
        <f t="shared" si="64"/>
        <v>1.4451282762453612</v>
      </c>
      <c r="AD44">
        <f t="shared" si="65"/>
        <v>-192.41410637568163</v>
      </c>
      <c r="AE44">
        <f t="shared" si="66"/>
        <v>27.092954446812328</v>
      </c>
      <c r="AF44">
        <f t="shared" si="67"/>
        <v>2.0821440330188046</v>
      </c>
      <c r="AG44">
        <f t="shared" si="68"/>
        <v>181.11769177497007</v>
      </c>
      <c r="AH44">
        <v>11</v>
      </c>
      <c r="AI44">
        <v>2</v>
      </c>
      <c r="AJ44">
        <f t="shared" si="69"/>
        <v>1</v>
      </c>
      <c r="AK44">
        <f t="shared" si="70"/>
        <v>0</v>
      </c>
      <c r="AL44">
        <f t="shared" si="71"/>
        <v>51320.423105025868</v>
      </c>
      <c r="AM44" t="s">
        <v>413</v>
      </c>
      <c r="AN44">
        <v>10366.9</v>
      </c>
      <c r="AO44">
        <v>993.59653846153856</v>
      </c>
      <c r="AP44">
        <v>3431.87</v>
      </c>
      <c r="AQ44">
        <f t="shared" si="72"/>
        <v>0.71047955241266758</v>
      </c>
      <c r="AR44">
        <v>-3.9894345373445681</v>
      </c>
      <c r="AS44" t="s">
        <v>560</v>
      </c>
      <c r="AT44">
        <v>10308.200000000001</v>
      </c>
      <c r="AU44">
        <v>783.06373076923092</v>
      </c>
      <c r="AV44">
        <v>1189.905816347519</v>
      </c>
      <c r="AW44">
        <f t="shared" si="73"/>
        <v>0.34191116640400343</v>
      </c>
      <c r="AX44">
        <v>0.5</v>
      </c>
      <c r="AY44">
        <f t="shared" si="74"/>
        <v>1513.1261998354103</v>
      </c>
      <c r="AZ44">
        <f t="shared" si="75"/>
        <v>47.645420334979839</v>
      </c>
      <c r="BA44">
        <f t="shared" si="76"/>
        <v>258.67737195109117</v>
      </c>
      <c r="BB44">
        <f t="shared" si="77"/>
        <v>3.4124618870482168E-2</v>
      </c>
      <c r="BC44">
        <f t="shared" si="78"/>
        <v>1.8841526386805236</v>
      </c>
      <c r="BD44">
        <f t="shared" si="79"/>
        <v>642.89620098015757</v>
      </c>
      <c r="BE44" t="s">
        <v>561</v>
      </c>
      <c r="BF44">
        <v>573.09</v>
      </c>
      <c r="BG44">
        <f t="shared" si="80"/>
        <v>573.09</v>
      </c>
      <c r="BH44">
        <f t="shared" si="81"/>
        <v>0.51837364594188551</v>
      </c>
      <c r="BI44">
        <f t="shared" si="82"/>
        <v>0.65958439261075952</v>
      </c>
      <c r="BJ44">
        <f t="shared" si="83"/>
        <v>0.78423809584944659</v>
      </c>
      <c r="BK44">
        <f t="shared" si="84"/>
        <v>2.072454699846578</v>
      </c>
      <c r="BL44">
        <f t="shared" si="85"/>
        <v>0.91948840809590038</v>
      </c>
      <c r="BM44">
        <f t="shared" si="86"/>
        <v>0.48272088810699532</v>
      </c>
      <c r="BN44">
        <f t="shared" si="87"/>
        <v>0.51727911189300468</v>
      </c>
      <c r="BO44">
        <v>16612</v>
      </c>
      <c r="BP44">
        <v>290.00000000000011</v>
      </c>
      <c r="BQ44">
        <v>1078.02</v>
      </c>
      <c r="BR44">
        <v>175</v>
      </c>
      <c r="BS44">
        <v>10308.200000000001</v>
      </c>
      <c r="BT44">
        <v>1072.0899999999999</v>
      </c>
      <c r="BU44">
        <v>5.93</v>
      </c>
      <c r="BV44">
        <v>300.00000000000011</v>
      </c>
      <c r="BW44">
        <v>38.4</v>
      </c>
      <c r="BX44">
        <v>1189.905816347519</v>
      </c>
      <c r="BY44">
        <v>1.386441805922189</v>
      </c>
      <c r="BZ44">
        <v>-121.45087335220261</v>
      </c>
      <c r="CA44">
        <v>1.169092876737768</v>
      </c>
      <c r="CB44">
        <v>0.99741220746887882</v>
      </c>
      <c r="CC44">
        <v>-1.1222047608453861E-2</v>
      </c>
      <c r="CD44">
        <v>289.99999999999989</v>
      </c>
      <c r="CE44">
        <v>1061.21</v>
      </c>
      <c r="CF44">
        <v>635</v>
      </c>
      <c r="CG44">
        <v>10284.1</v>
      </c>
      <c r="CH44">
        <v>1071.81</v>
      </c>
      <c r="CI44">
        <v>-10.6</v>
      </c>
      <c r="CW44">
        <f t="shared" si="88"/>
        <v>1799.93</v>
      </c>
      <c r="CX44">
        <f t="shared" si="89"/>
        <v>1513.1261998354103</v>
      </c>
      <c r="CY44">
        <f t="shared" si="90"/>
        <v>0.8406583588447385</v>
      </c>
      <c r="CZ44">
        <f t="shared" si="91"/>
        <v>0.19131671768947714</v>
      </c>
      <c r="DA44">
        <v>6</v>
      </c>
      <c r="DB44">
        <v>0.5</v>
      </c>
      <c r="DC44" t="s">
        <v>414</v>
      </c>
      <c r="DD44">
        <v>2</v>
      </c>
      <c r="DE44">
        <v>1693330296.5</v>
      </c>
      <c r="DF44">
        <v>1435.36</v>
      </c>
      <c r="DG44">
        <v>1500.04</v>
      </c>
      <c r="DH44">
        <v>28.323499999999999</v>
      </c>
      <c r="DI44">
        <v>23.236799999999999</v>
      </c>
      <c r="DJ44">
        <v>1433.88</v>
      </c>
      <c r="DK44">
        <v>28.607700000000001</v>
      </c>
      <c r="DL44">
        <v>500.07499999999999</v>
      </c>
      <c r="DM44">
        <v>99.023499999999999</v>
      </c>
      <c r="DN44">
        <v>0.10075000000000001</v>
      </c>
      <c r="DO44">
        <v>30.1418</v>
      </c>
      <c r="DP44">
        <v>29.9682</v>
      </c>
      <c r="DQ44">
        <v>999.9</v>
      </c>
      <c r="DR44">
        <v>0</v>
      </c>
      <c r="DS44">
        <v>0</v>
      </c>
      <c r="DT44">
        <v>9900</v>
      </c>
      <c r="DU44">
        <v>0</v>
      </c>
      <c r="DV44">
        <v>1758.99</v>
      </c>
      <c r="DW44">
        <v>-64.680899999999994</v>
      </c>
      <c r="DX44">
        <v>1477.2</v>
      </c>
      <c r="DY44">
        <v>1535.72</v>
      </c>
      <c r="DZ44">
        <v>5.0866699999999998</v>
      </c>
      <c r="EA44">
        <v>1500.04</v>
      </c>
      <c r="EB44">
        <v>23.236799999999999</v>
      </c>
      <c r="EC44">
        <v>2.8046899999999999</v>
      </c>
      <c r="ED44">
        <v>2.3009900000000001</v>
      </c>
      <c r="EE44">
        <v>22.9117</v>
      </c>
      <c r="EF44">
        <v>19.683299999999999</v>
      </c>
      <c r="EG44">
        <v>1799.93</v>
      </c>
      <c r="EH44">
        <v>0.97799199999999997</v>
      </c>
      <c r="EI44">
        <v>2.2007599999999999E-2</v>
      </c>
      <c r="EJ44">
        <v>0</v>
      </c>
      <c r="EK44">
        <v>782.92700000000002</v>
      </c>
      <c r="EL44">
        <v>5.0002500000000003</v>
      </c>
      <c r="EM44">
        <v>22501.4</v>
      </c>
      <c r="EN44">
        <v>14821.5</v>
      </c>
      <c r="EO44">
        <v>46.561999999999998</v>
      </c>
      <c r="EP44">
        <v>48.5</v>
      </c>
      <c r="EQ44">
        <v>47.436999999999998</v>
      </c>
      <c r="ER44">
        <v>47.561999999999998</v>
      </c>
      <c r="ES44">
        <v>47.936999999999998</v>
      </c>
      <c r="ET44">
        <v>1755.43</v>
      </c>
      <c r="EU44">
        <v>39.5</v>
      </c>
      <c r="EV44">
        <v>0</v>
      </c>
      <c r="EW44">
        <v>120</v>
      </c>
      <c r="EX44">
        <v>0</v>
      </c>
      <c r="EY44">
        <v>783.06373076923092</v>
      </c>
      <c r="EZ44">
        <v>-2.8614358837494329</v>
      </c>
      <c r="FA44">
        <v>233.30598370701031</v>
      </c>
      <c r="FB44">
        <v>22452.192307692309</v>
      </c>
      <c r="FC44">
        <v>15</v>
      </c>
      <c r="FD44">
        <v>1693330260.5</v>
      </c>
      <c r="FE44" t="s">
        <v>562</v>
      </c>
      <c r="FF44">
        <v>1693330260.5</v>
      </c>
      <c r="FG44">
        <v>1693330248</v>
      </c>
      <c r="FH44">
        <v>48</v>
      </c>
      <c r="FI44">
        <v>3.6999999999999998E-2</v>
      </c>
      <c r="FJ44">
        <v>2E-3</v>
      </c>
      <c r="FK44">
        <v>1.4790000000000001</v>
      </c>
      <c r="FL44">
        <v>-0.28399999999999997</v>
      </c>
      <c r="FM44">
        <v>1500</v>
      </c>
      <c r="FN44">
        <v>23</v>
      </c>
      <c r="FO44">
        <v>0.19</v>
      </c>
      <c r="FP44">
        <v>7.0000000000000007E-2</v>
      </c>
      <c r="FQ44">
        <v>47.705045666502407</v>
      </c>
      <c r="FR44">
        <v>0.5568637702594823</v>
      </c>
      <c r="FS44">
        <v>0.17204967428116011</v>
      </c>
      <c r="FT44">
        <v>1</v>
      </c>
      <c r="FU44">
        <v>0.30257659024576011</v>
      </c>
      <c r="FV44">
        <v>9.2394249055091169E-3</v>
      </c>
      <c r="FW44">
        <v>1.458236238678077E-3</v>
      </c>
      <c r="FX44">
        <v>1</v>
      </c>
      <c r="FY44">
        <v>2</v>
      </c>
      <c r="FZ44">
        <v>2</v>
      </c>
      <c r="GA44" t="s">
        <v>415</v>
      </c>
      <c r="GB44">
        <v>2.9168099999999999</v>
      </c>
      <c r="GC44">
        <v>2.8297699999999999</v>
      </c>
      <c r="GD44">
        <v>0.21157699999999999</v>
      </c>
      <c r="GE44">
        <v>0.213841</v>
      </c>
      <c r="GF44">
        <v>0.13342599999999999</v>
      </c>
      <c r="GG44">
        <v>0.111052</v>
      </c>
      <c r="GH44">
        <v>20447.5</v>
      </c>
      <c r="GI44">
        <v>25056.6</v>
      </c>
      <c r="GJ44">
        <v>23358.3</v>
      </c>
      <c r="GK44">
        <v>29195.3</v>
      </c>
      <c r="GL44">
        <v>27630.2</v>
      </c>
      <c r="GM44">
        <v>36796.9</v>
      </c>
      <c r="GN44">
        <v>33028.6</v>
      </c>
      <c r="GO44">
        <v>43142.7</v>
      </c>
      <c r="GP44">
        <v>1.9164000000000001</v>
      </c>
      <c r="GQ44">
        <v>1.742</v>
      </c>
      <c r="GR44">
        <v>5.0067899999999999E-2</v>
      </c>
      <c r="GS44">
        <v>0</v>
      </c>
      <c r="GT44">
        <v>29.152899999999999</v>
      </c>
      <c r="GU44">
        <v>999.9</v>
      </c>
      <c r="GV44">
        <v>32.200000000000003</v>
      </c>
      <c r="GW44">
        <v>43.8</v>
      </c>
      <c r="GX44">
        <v>29.453299999999999</v>
      </c>
      <c r="GY44">
        <v>61.649099999999997</v>
      </c>
      <c r="GZ44">
        <v>39.375</v>
      </c>
      <c r="HA44">
        <v>1</v>
      </c>
      <c r="HB44">
        <v>0.58506100000000005</v>
      </c>
      <c r="HC44">
        <v>2.85826</v>
      </c>
      <c r="HD44">
        <v>20.283200000000001</v>
      </c>
      <c r="HE44">
        <v>5.2112999999999996</v>
      </c>
      <c r="HF44">
        <v>11.8758</v>
      </c>
      <c r="HG44">
        <v>4.9832000000000001</v>
      </c>
      <c r="HH44">
        <v>3.2839999999999998</v>
      </c>
      <c r="HI44">
        <v>9999</v>
      </c>
      <c r="HJ44">
        <v>9999</v>
      </c>
      <c r="HK44">
        <v>9999</v>
      </c>
      <c r="HL44">
        <v>999.9</v>
      </c>
      <c r="HM44">
        <v>1.8547100000000001</v>
      </c>
      <c r="HN44">
        <v>1.8606799999999999</v>
      </c>
      <c r="HO44">
        <v>1.8580399999999999</v>
      </c>
      <c r="HP44">
        <v>1.8591299999999999</v>
      </c>
      <c r="HQ44">
        <v>1.8585199999999999</v>
      </c>
      <c r="HR44">
        <v>1.8589800000000001</v>
      </c>
      <c r="HS44">
        <v>1.8573</v>
      </c>
      <c r="HT44">
        <v>1.86066</v>
      </c>
      <c r="HU44">
        <v>5</v>
      </c>
      <c r="HV44">
        <v>0</v>
      </c>
      <c r="HW44">
        <v>0</v>
      </c>
      <c r="HX44">
        <v>0</v>
      </c>
      <c r="HY44" t="s">
        <v>416</v>
      </c>
      <c r="HZ44" t="s">
        <v>417</v>
      </c>
      <c r="IA44" t="s">
        <v>418</v>
      </c>
      <c r="IB44" t="s">
        <v>418</v>
      </c>
      <c r="IC44" t="s">
        <v>418</v>
      </c>
      <c r="ID44" t="s">
        <v>418</v>
      </c>
      <c r="IE44">
        <v>0</v>
      </c>
      <c r="IF44">
        <v>100</v>
      </c>
      <c r="IG44">
        <v>100</v>
      </c>
      <c r="IH44">
        <v>1.48</v>
      </c>
      <c r="II44">
        <v>-0.28420000000000001</v>
      </c>
      <c r="IJ44">
        <v>1.478571428571513</v>
      </c>
      <c r="IK44">
        <v>0</v>
      </c>
      <c r="IL44">
        <v>0</v>
      </c>
      <c r="IM44">
        <v>0</v>
      </c>
      <c r="IN44">
        <v>-0.2842550000000017</v>
      </c>
      <c r="IO44">
        <v>0</v>
      </c>
      <c r="IP44">
        <v>0</v>
      </c>
      <c r="IQ44">
        <v>0</v>
      </c>
      <c r="IR44">
        <v>-1</v>
      </c>
      <c r="IS44">
        <v>-1</v>
      </c>
      <c r="IT44">
        <v>-1</v>
      </c>
      <c r="IU44">
        <v>-1</v>
      </c>
      <c r="IV44">
        <v>0.6</v>
      </c>
      <c r="IW44">
        <v>0.8</v>
      </c>
      <c r="IX44">
        <v>2.8540000000000001</v>
      </c>
      <c r="IY44">
        <v>2.4511699999999998</v>
      </c>
      <c r="IZ44">
        <v>1.49414</v>
      </c>
      <c r="JA44">
        <v>2.2863799999999999</v>
      </c>
      <c r="JB44">
        <v>1.54419</v>
      </c>
      <c r="JC44">
        <v>2.3767100000000001</v>
      </c>
      <c r="JD44">
        <v>49.169199999999996</v>
      </c>
      <c r="JE44">
        <v>16.356000000000002</v>
      </c>
      <c r="JF44">
        <v>18</v>
      </c>
      <c r="JG44">
        <v>497.01900000000001</v>
      </c>
      <c r="JH44">
        <v>411.61099999999999</v>
      </c>
      <c r="JI44">
        <v>25.148800000000001</v>
      </c>
      <c r="JJ44">
        <v>34.534100000000002</v>
      </c>
      <c r="JK44">
        <v>29.999700000000001</v>
      </c>
      <c r="JL44">
        <v>34.567</v>
      </c>
      <c r="JM44">
        <v>34.553699999999999</v>
      </c>
      <c r="JN44">
        <v>57.162100000000002</v>
      </c>
      <c r="JO44">
        <v>15.374499999999999</v>
      </c>
      <c r="JP44">
        <v>12.9969</v>
      </c>
      <c r="JQ44">
        <v>25.136199999999999</v>
      </c>
      <c r="JR44">
        <v>1500</v>
      </c>
      <c r="JS44">
        <v>23.247699999999998</v>
      </c>
      <c r="JT44">
        <v>97.957599999999999</v>
      </c>
      <c r="JU44">
        <v>97.133399999999995</v>
      </c>
    </row>
    <row r="45" spans="1:281" x14ac:dyDescent="0.25">
      <c r="A45">
        <v>43</v>
      </c>
      <c r="B45">
        <v>1693332544.5999999</v>
      </c>
      <c r="C45">
        <v>11138</v>
      </c>
      <c r="D45" t="s">
        <v>563</v>
      </c>
      <c r="E45" t="s">
        <v>564</v>
      </c>
      <c r="F45" t="s">
        <v>411</v>
      </c>
      <c r="G45" t="s">
        <v>565</v>
      </c>
      <c r="H45" t="s">
        <v>566</v>
      </c>
      <c r="I45" t="s">
        <v>31</v>
      </c>
      <c r="J45">
        <v>1693332544.5999999</v>
      </c>
      <c r="K45">
        <f t="shared" si="46"/>
        <v>3.9342403420363223E-3</v>
      </c>
      <c r="L45">
        <f t="shared" si="47"/>
        <v>3.9342403420363223</v>
      </c>
      <c r="M45">
        <f t="shared" si="48"/>
        <v>41.91779121675706</v>
      </c>
      <c r="N45">
        <f t="shared" si="49"/>
        <v>348.15899999999999</v>
      </c>
      <c r="O45">
        <f t="shared" si="50"/>
        <v>90.625874862489326</v>
      </c>
      <c r="P45">
        <f t="shared" si="51"/>
        <v>8.9796873403422452</v>
      </c>
      <c r="Q45">
        <f t="shared" si="52"/>
        <v>34.497421067327402</v>
      </c>
      <c r="R45">
        <f t="shared" si="53"/>
        <v>0.27778391574911021</v>
      </c>
      <c r="S45">
        <f t="shared" si="54"/>
        <v>2.9178109760531239</v>
      </c>
      <c r="T45">
        <f t="shared" si="55"/>
        <v>0.26388364325809882</v>
      </c>
      <c r="U45">
        <f t="shared" si="56"/>
        <v>0.16611817905752405</v>
      </c>
      <c r="V45">
        <f t="shared" si="57"/>
        <v>344.37949967084251</v>
      </c>
      <c r="W45">
        <f t="shared" si="58"/>
        <v>31.32635018074307</v>
      </c>
      <c r="X45">
        <f t="shared" si="59"/>
        <v>29.988700000000001</v>
      </c>
      <c r="Y45">
        <f t="shared" si="60"/>
        <v>4.2576852552078863</v>
      </c>
      <c r="Z45">
        <f t="shared" si="61"/>
        <v>65.302690536722196</v>
      </c>
      <c r="AA45">
        <f t="shared" si="62"/>
        <v>2.8332832325678399</v>
      </c>
      <c r="AB45">
        <f t="shared" si="63"/>
        <v>4.3386929532016394</v>
      </c>
      <c r="AC45">
        <f t="shared" si="64"/>
        <v>1.4244020226400465</v>
      </c>
      <c r="AD45">
        <f t="shared" si="65"/>
        <v>-173.49999908380181</v>
      </c>
      <c r="AE45">
        <f t="shared" si="66"/>
        <v>51.674700824510353</v>
      </c>
      <c r="AF45">
        <f t="shared" si="67"/>
        <v>3.9438242108252579</v>
      </c>
      <c r="AG45">
        <f t="shared" si="68"/>
        <v>226.4980256223763</v>
      </c>
      <c r="AH45">
        <v>0</v>
      </c>
      <c r="AI45">
        <v>0</v>
      </c>
      <c r="AJ45">
        <f t="shared" si="69"/>
        <v>1</v>
      </c>
      <c r="AK45">
        <f t="shared" si="70"/>
        <v>0</v>
      </c>
      <c r="AL45">
        <f t="shared" si="71"/>
        <v>51942.21758040975</v>
      </c>
      <c r="AM45" t="s">
        <v>413</v>
      </c>
      <c r="AN45">
        <v>10366.9</v>
      </c>
      <c r="AO45">
        <v>993.59653846153856</v>
      </c>
      <c r="AP45">
        <v>3431.87</v>
      </c>
      <c r="AQ45">
        <f t="shared" si="72"/>
        <v>0.71047955241266758</v>
      </c>
      <c r="AR45">
        <v>-3.9894345373445681</v>
      </c>
      <c r="AS45" t="s">
        <v>567</v>
      </c>
      <c r="AT45">
        <v>10307.700000000001</v>
      </c>
      <c r="AU45">
        <v>655.31287999999995</v>
      </c>
      <c r="AV45">
        <v>965.47958675954135</v>
      </c>
      <c r="AW45">
        <f t="shared" si="73"/>
        <v>0.32125661796802996</v>
      </c>
      <c r="AX45">
        <v>0.5</v>
      </c>
      <c r="AY45">
        <f t="shared" si="74"/>
        <v>1513.2269998354211</v>
      </c>
      <c r="AZ45">
        <f t="shared" si="75"/>
        <v>41.91779121675706</v>
      </c>
      <c r="BA45">
        <f t="shared" si="76"/>
        <v>243.067094092518</v>
      </c>
      <c r="BB45">
        <f t="shared" si="77"/>
        <v>3.0337302836319014E-2</v>
      </c>
      <c r="BC45">
        <f t="shared" si="78"/>
        <v>2.5545754121207831</v>
      </c>
      <c r="BD45">
        <f t="shared" si="79"/>
        <v>571.16319890896898</v>
      </c>
      <c r="BE45" t="s">
        <v>568</v>
      </c>
      <c r="BF45">
        <v>533.25</v>
      </c>
      <c r="BG45">
        <f t="shared" si="80"/>
        <v>533.25</v>
      </c>
      <c r="BH45">
        <f t="shared" si="81"/>
        <v>0.44768381712786098</v>
      </c>
      <c r="BI45">
        <f t="shared" si="82"/>
        <v>0.71759712028249889</v>
      </c>
      <c r="BJ45">
        <f t="shared" si="83"/>
        <v>0.85088435643183957</v>
      </c>
      <c r="BK45">
        <f t="shared" si="84"/>
        <v>-11.031306311114429</v>
      </c>
      <c r="BL45">
        <f t="shared" si="85"/>
        <v>1.0115315005250709</v>
      </c>
      <c r="BM45">
        <f t="shared" si="86"/>
        <v>0.58393276871140176</v>
      </c>
      <c r="BN45">
        <f t="shared" si="87"/>
        <v>0.41606723128859824</v>
      </c>
      <c r="BO45">
        <v>16614</v>
      </c>
      <c r="BP45">
        <v>290.00000000000011</v>
      </c>
      <c r="BQ45">
        <v>876.89</v>
      </c>
      <c r="BR45">
        <v>225</v>
      </c>
      <c r="BS45">
        <v>10307.700000000001</v>
      </c>
      <c r="BT45">
        <v>876.61</v>
      </c>
      <c r="BU45">
        <v>0.28000000000000003</v>
      </c>
      <c r="BV45">
        <v>300.00000000000011</v>
      </c>
      <c r="BW45">
        <v>38.4</v>
      </c>
      <c r="BX45">
        <v>965.47958675954135</v>
      </c>
      <c r="BY45">
        <v>1.23195274299682</v>
      </c>
      <c r="BZ45">
        <v>-91.602798471564199</v>
      </c>
      <c r="CA45">
        <v>1.0394489204836901</v>
      </c>
      <c r="CB45">
        <v>0.99640760661891015</v>
      </c>
      <c r="CC45">
        <v>-1.1229126807563959E-2</v>
      </c>
      <c r="CD45">
        <v>289.99999999999989</v>
      </c>
      <c r="CE45">
        <v>866.22</v>
      </c>
      <c r="CF45">
        <v>705</v>
      </c>
      <c r="CG45">
        <v>10285.5</v>
      </c>
      <c r="CH45">
        <v>876.42</v>
      </c>
      <c r="CI45">
        <v>-10.199999999999999</v>
      </c>
      <c r="CW45">
        <f t="shared" si="88"/>
        <v>1800.05</v>
      </c>
      <c r="CX45">
        <f t="shared" si="89"/>
        <v>1513.2269998354211</v>
      </c>
      <c r="CY45">
        <f t="shared" si="90"/>
        <v>0.84065831495537413</v>
      </c>
      <c r="CZ45">
        <f t="shared" si="91"/>
        <v>0.19131662991074833</v>
      </c>
      <c r="DA45">
        <v>6</v>
      </c>
      <c r="DB45">
        <v>0.5</v>
      </c>
      <c r="DC45" t="s">
        <v>414</v>
      </c>
      <c r="DD45">
        <v>2</v>
      </c>
      <c r="DE45">
        <v>1693332544.5999999</v>
      </c>
      <c r="DF45">
        <v>348.15899999999999</v>
      </c>
      <c r="DG45">
        <v>400.10300000000001</v>
      </c>
      <c r="DH45">
        <v>28.5944</v>
      </c>
      <c r="DI45">
        <v>24.008400000000002</v>
      </c>
      <c r="DJ45">
        <v>348.23700000000002</v>
      </c>
      <c r="DK45">
        <v>28.884699999999999</v>
      </c>
      <c r="DL45">
        <v>500.01</v>
      </c>
      <c r="DM45">
        <v>98.985900000000001</v>
      </c>
      <c r="DN45">
        <v>9.9348599999999995E-2</v>
      </c>
      <c r="DO45">
        <v>30.3172</v>
      </c>
      <c r="DP45">
        <v>29.988700000000001</v>
      </c>
      <c r="DQ45">
        <v>999.9</v>
      </c>
      <c r="DR45">
        <v>0</v>
      </c>
      <c r="DS45">
        <v>0</v>
      </c>
      <c r="DT45">
        <v>10035</v>
      </c>
      <c r="DU45">
        <v>0</v>
      </c>
      <c r="DV45">
        <v>1765.74</v>
      </c>
      <c r="DW45">
        <v>-51.9437</v>
      </c>
      <c r="DX45">
        <v>358.40800000000002</v>
      </c>
      <c r="DY45">
        <v>409.94499999999999</v>
      </c>
      <c r="DZ45">
        <v>4.5860000000000003</v>
      </c>
      <c r="EA45">
        <v>400.10300000000001</v>
      </c>
      <c r="EB45">
        <v>24.008400000000002</v>
      </c>
      <c r="EC45">
        <v>2.8304499999999999</v>
      </c>
      <c r="ED45">
        <v>2.3765000000000001</v>
      </c>
      <c r="EE45">
        <v>23.0627</v>
      </c>
      <c r="EF45">
        <v>20.204499999999999</v>
      </c>
      <c r="EG45">
        <v>1800.05</v>
      </c>
      <c r="EH45">
        <v>0.97799700000000001</v>
      </c>
      <c r="EI45">
        <v>2.2002899999999999E-2</v>
      </c>
      <c r="EJ45">
        <v>0</v>
      </c>
      <c r="EK45">
        <v>655.53899999999999</v>
      </c>
      <c r="EL45">
        <v>5.0002500000000003</v>
      </c>
      <c r="EM45">
        <v>20172.8</v>
      </c>
      <c r="EN45">
        <v>14822.5</v>
      </c>
      <c r="EO45">
        <v>46.811999999999998</v>
      </c>
      <c r="EP45">
        <v>48.75</v>
      </c>
      <c r="EQ45">
        <v>47.561999999999998</v>
      </c>
      <c r="ER45">
        <v>47.875</v>
      </c>
      <c r="ES45">
        <v>48.186999999999998</v>
      </c>
      <c r="ET45">
        <v>1755.55</v>
      </c>
      <c r="EU45">
        <v>39.5</v>
      </c>
      <c r="EV45">
        <v>0</v>
      </c>
      <c r="EW45">
        <v>2246</v>
      </c>
      <c r="EX45">
        <v>0</v>
      </c>
      <c r="EY45">
        <v>655.31287999999995</v>
      </c>
      <c r="EZ45">
        <v>2.0098461425423979</v>
      </c>
      <c r="FA45">
        <v>184.046152767628</v>
      </c>
      <c r="FB45">
        <v>20155.491999999998</v>
      </c>
      <c r="FC45">
        <v>15</v>
      </c>
      <c r="FD45">
        <v>1693332513.5999999</v>
      </c>
      <c r="FE45" t="s">
        <v>569</v>
      </c>
      <c r="FF45">
        <v>1693332505.5999999</v>
      </c>
      <c r="FG45">
        <v>1693332513.5999999</v>
      </c>
      <c r="FH45">
        <v>50</v>
      </c>
      <c r="FI45">
        <v>-0.13300000000000001</v>
      </c>
      <c r="FJ45">
        <v>-7.5999999999999998E-2</v>
      </c>
      <c r="FK45">
        <v>-7.6999999999999999E-2</v>
      </c>
      <c r="FL45">
        <v>-0.28999999999999998</v>
      </c>
      <c r="FM45">
        <v>400</v>
      </c>
      <c r="FN45">
        <v>24</v>
      </c>
      <c r="FO45">
        <v>0.09</v>
      </c>
      <c r="FP45">
        <v>0.08</v>
      </c>
      <c r="FQ45">
        <v>41.767615488366538</v>
      </c>
      <c r="FR45">
        <v>-0.2995710828359795</v>
      </c>
      <c r="FS45">
        <v>9.1126725474788728E-2</v>
      </c>
      <c r="FT45">
        <v>1</v>
      </c>
      <c r="FU45">
        <v>0.272370239445967</v>
      </c>
      <c r="FV45">
        <v>4.9474953145620448E-2</v>
      </c>
      <c r="FW45">
        <v>3.8146990321287072E-3</v>
      </c>
      <c r="FX45">
        <v>1</v>
      </c>
      <c r="FY45">
        <v>2</v>
      </c>
      <c r="FZ45">
        <v>2</v>
      </c>
      <c r="GA45" t="s">
        <v>415</v>
      </c>
      <c r="GB45">
        <v>2.91629</v>
      </c>
      <c r="GC45">
        <v>2.8295400000000002</v>
      </c>
      <c r="GD45">
        <v>8.0268599999999996E-2</v>
      </c>
      <c r="GE45">
        <v>8.77724E-2</v>
      </c>
      <c r="GF45">
        <v>0.13419600000000001</v>
      </c>
      <c r="GG45">
        <v>0.11351799999999999</v>
      </c>
      <c r="GH45">
        <v>23863.1</v>
      </c>
      <c r="GI45">
        <v>29060.5</v>
      </c>
      <c r="GJ45">
        <v>23365.8</v>
      </c>
      <c r="GK45">
        <v>29177.4</v>
      </c>
      <c r="GL45">
        <v>27607.8</v>
      </c>
      <c r="GM45">
        <v>36661.599999999999</v>
      </c>
      <c r="GN45">
        <v>33042.9</v>
      </c>
      <c r="GO45">
        <v>43118.8</v>
      </c>
      <c r="GP45">
        <v>1.9477</v>
      </c>
      <c r="GQ45">
        <v>1.7063999999999999</v>
      </c>
      <c r="GR45">
        <v>1.68383E-2</v>
      </c>
      <c r="GS45">
        <v>0</v>
      </c>
      <c r="GT45">
        <v>29.714600000000001</v>
      </c>
      <c r="GU45">
        <v>999.9</v>
      </c>
      <c r="GV45">
        <v>28.8</v>
      </c>
      <c r="GW45">
        <v>47.4</v>
      </c>
      <c r="GX45">
        <v>31.707599999999999</v>
      </c>
      <c r="GY45">
        <v>61.328299999999999</v>
      </c>
      <c r="GZ45">
        <v>40.132199999999997</v>
      </c>
      <c r="HA45">
        <v>1</v>
      </c>
      <c r="HB45">
        <v>0.61859799999999998</v>
      </c>
      <c r="HC45">
        <v>3.8286099999999998</v>
      </c>
      <c r="HD45">
        <v>20.218800000000002</v>
      </c>
      <c r="HE45">
        <v>5.2112999999999996</v>
      </c>
      <c r="HF45">
        <v>11.8782</v>
      </c>
      <c r="HG45">
        <v>4.9847999999999999</v>
      </c>
      <c r="HH45">
        <v>3.2839999999999998</v>
      </c>
      <c r="HI45">
        <v>9999</v>
      </c>
      <c r="HJ45">
        <v>9999</v>
      </c>
      <c r="HK45">
        <v>9999</v>
      </c>
      <c r="HL45">
        <v>999.9</v>
      </c>
      <c r="HM45">
        <v>1.85486</v>
      </c>
      <c r="HN45">
        <v>1.8608100000000001</v>
      </c>
      <c r="HO45">
        <v>1.8582000000000001</v>
      </c>
      <c r="HP45">
        <v>1.85914</v>
      </c>
      <c r="HQ45">
        <v>1.85867</v>
      </c>
      <c r="HR45">
        <v>1.8591299999999999</v>
      </c>
      <c r="HS45">
        <v>1.85745</v>
      </c>
      <c r="HT45">
        <v>1.8607199999999999</v>
      </c>
      <c r="HU45">
        <v>5</v>
      </c>
      <c r="HV45">
        <v>0</v>
      </c>
      <c r="HW45">
        <v>0</v>
      </c>
      <c r="HX45">
        <v>0</v>
      </c>
      <c r="HY45" t="s">
        <v>416</v>
      </c>
      <c r="HZ45" t="s">
        <v>417</v>
      </c>
      <c r="IA45" t="s">
        <v>418</v>
      </c>
      <c r="IB45" t="s">
        <v>418</v>
      </c>
      <c r="IC45" t="s">
        <v>418</v>
      </c>
      <c r="ID45" t="s">
        <v>418</v>
      </c>
      <c r="IE45">
        <v>0</v>
      </c>
      <c r="IF45">
        <v>100</v>
      </c>
      <c r="IG45">
        <v>100</v>
      </c>
      <c r="IH45">
        <v>-7.8E-2</v>
      </c>
      <c r="II45">
        <v>-0.2903</v>
      </c>
      <c r="IJ45">
        <v>-7.720000000000482E-2</v>
      </c>
      <c r="IK45">
        <v>0</v>
      </c>
      <c r="IL45">
        <v>0</v>
      </c>
      <c r="IM45">
        <v>0</v>
      </c>
      <c r="IN45">
        <v>-0.29028999999999883</v>
      </c>
      <c r="IO45">
        <v>0</v>
      </c>
      <c r="IP45">
        <v>0</v>
      </c>
      <c r="IQ45">
        <v>0</v>
      </c>
      <c r="IR45">
        <v>-1</v>
      </c>
      <c r="IS45">
        <v>-1</v>
      </c>
      <c r="IT45">
        <v>-1</v>
      </c>
      <c r="IU45">
        <v>-1</v>
      </c>
      <c r="IV45">
        <v>0.7</v>
      </c>
      <c r="IW45">
        <v>0.5</v>
      </c>
      <c r="IX45">
        <v>0.99975599999999998</v>
      </c>
      <c r="IY45">
        <v>2.48291</v>
      </c>
      <c r="IZ45">
        <v>1.49414</v>
      </c>
      <c r="JA45">
        <v>2.2875999999999999</v>
      </c>
      <c r="JB45">
        <v>1.54419</v>
      </c>
      <c r="JC45">
        <v>2.52075</v>
      </c>
      <c r="JD45">
        <v>51.198900000000002</v>
      </c>
      <c r="JE45">
        <v>24.035</v>
      </c>
      <c r="JF45">
        <v>18</v>
      </c>
      <c r="JG45">
        <v>519.779</v>
      </c>
      <c r="JH45">
        <v>390.71699999999998</v>
      </c>
      <c r="JI45">
        <v>24.595199999999998</v>
      </c>
      <c r="JJ45">
        <v>34.891199999999998</v>
      </c>
      <c r="JK45">
        <v>30.0002</v>
      </c>
      <c r="JL45">
        <v>34.817399999999999</v>
      </c>
      <c r="JM45">
        <v>34.797699999999999</v>
      </c>
      <c r="JN45">
        <v>20.097300000000001</v>
      </c>
      <c r="JO45">
        <v>20.296399999999998</v>
      </c>
      <c r="JP45">
        <v>0</v>
      </c>
      <c r="JQ45">
        <v>24.6037</v>
      </c>
      <c r="JR45">
        <v>400</v>
      </c>
      <c r="JS45">
        <v>23.8795</v>
      </c>
      <c r="JT45">
        <v>97.995400000000004</v>
      </c>
      <c r="JU45">
        <v>97.077299999999994</v>
      </c>
    </row>
    <row r="46" spans="1:281" x14ac:dyDescent="0.25">
      <c r="A46">
        <v>44</v>
      </c>
      <c r="B46">
        <v>1693332676.5999999</v>
      </c>
      <c r="C46">
        <v>11270</v>
      </c>
      <c r="D46" t="s">
        <v>570</v>
      </c>
      <c r="E46" t="s">
        <v>571</v>
      </c>
      <c r="F46" t="s">
        <v>411</v>
      </c>
      <c r="G46" t="s">
        <v>565</v>
      </c>
      <c r="H46" t="s">
        <v>566</v>
      </c>
      <c r="I46" t="s">
        <v>31</v>
      </c>
      <c r="J46">
        <v>1693332676.5999999</v>
      </c>
      <c r="K46">
        <f t="shared" si="46"/>
        <v>4.2298035142988803E-3</v>
      </c>
      <c r="L46">
        <f t="shared" si="47"/>
        <v>4.2298035142988804</v>
      </c>
      <c r="M46">
        <f t="shared" si="48"/>
        <v>34.06177428028743</v>
      </c>
      <c r="N46">
        <f t="shared" si="49"/>
        <v>257.798</v>
      </c>
      <c r="O46">
        <f t="shared" si="50"/>
        <v>63.994275126189379</v>
      </c>
      <c r="P46">
        <f t="shared" si="51"/>
        <v>6.3406900344241341</v>
      </c>
      <c r="Q46">
        <f t="shared" si="52"/>
        <v>25.543178765150397</v>
      </c>
      <c r="R46">
        <f t="shared" si="53"/>
        <v>0.30083103110506054</v>
      </c>
      <c r="S46">
        <f t="shared" si="54"/>
        <v>2.9194928136606477</v>
      </c>
      <c r="T46">
        <f t="shared" si="55"/>
        <v>0.2846097025820466</v>
      </c>
      <c r="U46">
        <f t="shared" si="56"/>
        <v>0.1792655603033963</v>
      </c>
      <c r="V46">
        <f t="shared" si="57"/>
        <v>344.40549967095143</v>
      </c>
      <c r="W46">
        <f t="shared" si="58"/>
        <v>31.241134033487103</v>
      </c>
      <c r="X46">
        <f t="shared" si="59"/>
        <v>30.004999999999999</v>
      </c>
      <c r="Y46">
        <f t="shared" si="60"/>
        <v>4.2616735092747486</v>
      </c>
      <c r="Z46">
        <f t="shared" si="61"/>
        <v>65.531498589098931</v>
      </c>
      <c r="AA46">
        <f t="shared" si="62"/>
        <v>2.8419236182260001</v>
      </c>
      <c r="AB46">
        <f t="shared" si="63"/>
        <v>4.3367291751492925</v>
      </c>
      <c r="AC46">
        <f t="shared" si="64"/>
        <v>1.4197498910487485</v>
      </c>
      <c r="AD46">
        <f t="shared" si="65"/>
        <v>-186.53433498058061</v>
      </c>
      <c r="AE46">
        <f t="shared" si="66"/>
        <v>47.895510466273386</v>
      </c>
      <c r="AF46">
        <f t="shared" si="67"/>
        <v>3.6534415167361418</v>
      </c>
      <c r="AG46">
        <f t="shared" si="68"/>
        <v>209.42011667338036</v>
      </c>
      <c r="AH46">
        <v>0</v>
      </c>
      <c r="AI46">
        <v>0</v>
      </c>
      <c r="AJ46">
        <f t="shared" si="69"/>
        <v>1</v>
      </c>
      <c r="AK46">
        <f t="shared" si="70"/>
        <v>0</v>
      </c>
      <c r="AL46">
        <f t="shared" si="71"/>
        <v>51991.328032255056</v>
      </c>
      <c r="AM46" t="s">
        <v>413</v>
      </c>
      <c r="AN46">
        <v>10366.9</v>
      </c>
      <c r="AO46">
        <v>993.59653846153856</v>
      </c>
      <c r="AP46">
        <v>3431.87</v>
      </c>
      <c r="AQ46">
        <f t="shared" si="72"/>
        <v>0.71047955241266758</v>
      </c>
      <c r="AR46">
        <v>-3.9894345373445681</v>
      </c>
      <c r="AS46" t="s">
        <v>572</v>
      </c>
      <c r="AT46">
        <v>10311.5</v>
      </c>
      <c r="AU46">
        <v>619.50587999999993</v>
      </c>
      <c r="AV46">
        <v>861.28648928089501</v>
      </c>
      <c r="AW46">
        <f t="shared" si="73"/>
        <v>0.28072030885189259</v>
      </c>
      <c r="AX46">
        <v>0.5</v>
      </c>
      <c r="AY46">
        <f t="shared" si="74"/>
        <v>1513.3442998354758</v>
      </c>
      <c r="AZ46">
        <f t="shared" si="75"/>
        <v>34.06177428028743</v>
      </c>
      <c r="BA46">
        <f t="shared" si="76"/>
        <v>212.41323962453296</v>
      </c>
      <c r="BB46">
        <f t="shared" si="77"/>
        <v>2.5143788377680321E-2</v>
      </c>
      <c r="BC46">
        <f t="shared" si="78"/>
        <v>2.9845858987818743</v>
      </c>
      <c r="BD46">
        <f t="shared" si="79"/>
        <v>533.01714529880462</v>
      </c>
      <c r="BE46" t="s">
        <v>573</v>
      </c>
      <c r="BF46">
        <v>519.95000000000005</v>
      </c>
      <c r="BG46">
        <f t="shared" si="80"/>
        <v>519.95000000000005</v>
      </c>
      <c r="BH46">
        <f t="shared" si="81"/>
        <v>0.39631004727112751</v>
      </c>
      <c r="BI46">
        <f t="shared" si="82"/>
        <v>0.70833507952889063</v>
      </c>
      <c r="BJ46">
        <f t="shared" si="83"/>
        <v>0.88277957866943635</v>
      </c>
      <c r="BK46">
        <f t="shared" si="84"/>
        <v>-1.8273790296214829</v>
      </c>
      <c r="BL46">
        <f t="shared" si="85"/>
        <v>1.0542638269528475</v>
      </c>
      <c r="BM46">
        <f t="shared" si="86"/>
        <v>0.5945041629000305</v>
      </c>
      <c r="BN46">
        <f t="shared" si="87"/>
        <v>0.4054958370999695</v>
      </c>
      <c r="BO46">
        <v>16616</v>
      </c>
      <c r="BP46">
        <v>290.00000000000011</v>
      </c>
      <c r="BQ46">
        <v>792.04</v>
      </c>
      <c r="BR46">
        <v>185</v>
      </c>
      <c r="BS46">
        <v>10311.5</v>
      </c>
      <c r="BT46">
        <v>791.01</v>
      </c>
      <c r="BU46">
        <v>1.03</v>
      </c>
      <c r="BV46">
        <v>300.00000000000011</v>
      </c>
      <c r="BW46">
        <v>38.4</v>
      </c>
      <c r="BX46">
        <v>861.28648928089501</v>
      </c>
      <c r="BY46">
        <v>0.71698490394089665</v>
      </c>
      <c r="BZ46">
        <v>-72.468057187425458</v>
      </c>
      <c r="CA46">
        <v>0.60485322267892316</v>
      </c>
      <c r="CB46">
        <v>0.9980532127672026</v>
      </c>
      <c r="CC46">
        <v>-1.1227106562847609E-2</v>
      </c>
      <c r="CD46">
        <v>289.99999999999989</v>
      </c>
      <c r="CE46">
        <v>784.4</v>
      </c>
      <c r="CF46">
        <v>665</v>
      </c>
      <c r="CG46">
        <v>10286.5</v>
      </c>
      <c r="CH46">
        <v>790.84</v>
      </c>
      <c r="CI46">
        <v>-6.44</v>
      </c>
      <c r="CW46">
        <f t="shared" si="88"/>
        <v>1800.19</v>
      </c>
      <c r="CX46">
        <f t="shared" si="89"/>
        <v>1513.3442998354758</v>
      </c>
      <c r="CY46">
        <f t="shared" si="90"/>
        <v>0.84065809710945827</v>
      </c>
      <c r="CZ46">
        <f t="shared" si="91"/>
        <v>0.19131619421891657</v>
      </c>
      <c r="DA46">
        <v>6</v>
      </c>
      <c r="DB46">
        <v>0.5</v>
      </c>
      <c r="DC46" t="s">
        <v>414</v>
      </c>
      <c r="DD46">
        <v>2</v>
      </c>
      <c r="DE46">
        <v>1693332676.5999999</v>
      </c>
      <c r="DF46">
        <v>257.798</v>
      </c>
      <c r="DG46">
        <v>299.96800000000002</v>
      </c>
      <c r="DH46">
        <v>28.682500000000001</v>
      </c>
      <c r="DI46">
        <v>23.753799999999998</v>
      </c>
      <c r="DJ46">
        <v>257.92200000000003</v>
      </c>
      <c r="DK46">
        <v>28.965</v>
      </c>
      <c r="DL46">
        <v>500.15</v>
      </c>
      <c r="DM46">
        <v>98.982399999999998</v>
      </c>
      <c r="DN46">
        <v>9.9744799999999995E-2</v>
      </c>
      <c r="DO46">
        <v>30.3093</v>
      </c>
      <c r="DP46">
        <v>30.004999999999999</v>
      </c>
      <c r="DQ46">
        <v>999.9</v>
      </c>
      <c r="DR46">
        <v>0</v>
      </c>
      <c r="DS46">
        <v>0</v>
      </c>
      <c r="DT46">
        <v>10045</v>
      </c>
      <c r="DU46">
        <v>0</v>
      </c>
      <c r="DV46">
        <v>1768.01</v>
      </c>
      <c r="DW46">
        <v>-42.169899999999998</v>
      </c>
      <c r="DX46">
        <v>265.411</v>
      </c>
      <c r="DY46">
        <v>307.267</v>
      </c>
      <c r="DZ46">
        <v>4.9287099999999997</v>
      </c>
      <c r="EA46">
        <v>299.96800000000002</v>
      </c>
      <c r="EB46">
        <v>23.753799999999998</v>
      </c>
      <c r="EC46">
        <v>2.83907</v>
      </c>
      <c r="ED46">
        <v>2.35121</v>
      </c>
      <c r="EE46">
        <v>23.113</v>
      </c>
      <c r="EF46">
        <v>20.031600000000001</v>
      </c>
      <c r="EG46">
        <v>1800.19</v>
      </c>
      <c r="EH46">
        <v>0.97800100000000001</v>
      </c>
      <c r="EI46">
        <v>2.1999100000000001E-2</v>
      </c>
      <c r="EJ46">
        <v>0</v>
      </c>
      <c r="EK46">
        <v>619.47</v>
      </c>
      <c r="EL46">
        <v>5.0002500000000003</v>
      </c>
      <c r="EM46">
        <v>19627.2</v>
      </c>
      <c r="EN46">
        <v>14823.7</v>
      </c>
      <c r="EO46">
        <v>46.875</v>
      </c>
      <c r="EP46">
        <v>48.75</v>
      </c>
      <c r="EQ46">
        <v>47.686999999999998</v>
      </c>
      <c r="ER46">
        <v>47.875</v>
      </c>
      <c r="ES46">
        <v>48.25</v>
      </c>
      <c r="ET46">
        <v>1755.7</v>
      </c>
      <c r="EU46">
        <v>39.49</v>
      </c>
      <c r="EV46">
        <v>0</v>
      </c>
      <c r="EW46">
        <v>129.80000019073489</v>
      </c>
      <c r="EX46">
        <v>0</v>
      </c>
      <c r="EY46">
        <v>619.50587999999993</v>
      </c>
      <c r="EZ46">
        <v>-0.1773846158255537</v>
      </c>
      <c r="FA46">
        <v>684.22307484392172</v>
      </c>
      <c r="FB46">
        <v>19511.651999999998</v>
      </c>
      <c r="FC46">
        <v>15</v>
      </c>
      <c r="FD46">
        <v>1693332633.0999999</v>
      </c>
      <c r="FE46" t="s">
        <v>574</v>
      </c>
      <c r="FF46">
        <v>1693332613.5999999</v>
      </c>
      <c r="FG46">
        <v>1693332633.0999999</v>
      </c>
      <c r="FH46">
        <v>51</v>
      </c>
      <c r="FI46">
        <v>-4.7E-2</v>
      </c>
      <c r="FJ46">
        <v>8.0000000000000002E-3</v>
      </c>
      <c r="FK46">
        <v>-0.124</v>
      </c>
      <c r="FL46">
        <v>-0.28199999999999997</v>
      </c>
      <c r="FM46">
        <v>300</v>
      </c>
      <c r="FN46">
        <v>24</v>
      </c>
      <c r="FO46">
        <v>0.17</v>
      </c>
      <c r="FP46">
        <v>0.08</v>
      </c>
      <c r="FQ46">
        <v>34.061864646883663</v>
      </c>
      <c r="FR46">
        <v>0.60373744166444732</v>
      </c>
      <c r="FS46">
        <v>8.3784768272872873E-2</v>
      </c>
      <c r="FT46">
        <v>1</v>
      </c>
      <c r="FU46">
        <v>0.29456116704597152</v>
      </c>
      <c r="FV46">
        <v>4.7905464446812027E-2</v>
      </c>
      <c r="FW46">
        <v>3.9570203719975754E-3</v>
      </c>
      <c r="FX46">
        <v>1</v>
      </c>
      <c r="FY46">
        <v>2</v>
      </c>
      <c r="FZ46">
        <v>2</v>
      </c>
      <c r="GA46" t="s">
        <v>415</v>
      </c>
      <c r="GB46">
        <v>2.9165800000000002</v>
      </c>
      <c r="GC46">
        <v>2.8300200000000002</v>
      </c>
      <c r="GD46">
        <v>6.2865799999999999E-2</v>
      </c>
      <c r="GE46">
        <v>6.9874800000000001E-2</v>
      </c>
      <c r="GF46">
        <v>0.13443099999999999</v>
      </c>
      <c r="GG46">
        <v>0.112654</v>
      </c>
      <c r="GH46">
        <v>24314.6</v>
      </c>
      <c r="GI46">
        <v>29628.7</v>
      </c>
      <c r="GJ46">
        <v>23366.400000000001</v>
      </c>
      <c r="GK46">
        <v>29176.1</v>
      </c>
      <c r="GL46">
        <v>27598.9</v>
      </c>
      <c r="GM46">
        <v>36694.300000000003</v>
      </c>
      <c r="GN46">
        <v>33042.6</v>
      </c>
      <c r="GO46">
        <v>43117.4</v>
      </c>
      <c r="GP46">
        <v>1.9482999999999999</v>
      </c>
      <c r="GQ46">
        <v>1.7041999999999999</v>
      </c>
      <c r="GR46">
        <v>1.07288E-2</v>
      </c>
      <c r="GS46">
        <v>0</v>
      </c>
      <c r="GT46">
        <v>29.830400000000001</v>
      </c>
      <c r="GU46">
        <v>999.9</v>
      </c>
      <c r="GV46">
        <v>28.8</v>
      </c>
      <c r="GW46">
        <v>47.5</v>
      </c>
      <c r="GX46">
        <v>31.8673</v>
      </c>
      <c r="GY46">
        <v>61.388300000000001</v>
      </c>
      <c r="GZ46">
        <v>40.4968</v>
      </c>
      <c r="HA46">
        <v>1</v>
      </c>
      <c r="HB46">
        <v>0.62624999999999997</v>
      </c>
      <c r="HC46">
        <v>4.2609500000000002</v>
      </c>
      <c r="HD46">
        <v>20.209</v>
      </c>
      <c r="HE46">
        <v>5.2077099999999996</v>
      </c>
      <c r="HF46">
        <v>11.8782</v>
      </c>
      <c r="HG46">
        <v>4.9837999999999996</v>
      </c>
      <c r="HH46">
        <v>3.2839999999999998</v>
      </c>
      <c r="HI46">
        <v>9999</v>
      </c>
      <c r="HJ46">
        <v>9999</v>
      </c>
      <c r="HK46">
        <v>9999</v>
      </c>
      <c r="HL46">
        <v>999.9</v>
      </c>
      <c r="HM46">
        <v>1.8548500000000001</v>
      </c>
      <c r="HN46">
        <v>1.8608100000000001</v>
      </c>
      <c r="HO46">
        <v>1.8581399999999999</v>
      </c>
      <c r="HP46">
        <v>1.85914</v>
      </c>
      <c r="HQ46">
        <v>1.8586</v>
      </c>
      <c r="HR46">
        <v>1.8591299999999999</v>
      </c>
      <c r="HS46">
        <v>1.85745</v>
      </c>
      <c r="HT46">
        <v>1.8607199999999999</v>
      </c>
      <c r="HU46">
        <v>5</v>
      </c>
      <c r="HV46">
        <v>0</v>
      </c>
      <c r="HW46">
        <v>0</v>
      </c>
      <c r="HX46">
        <v>0</v>
      </c>
      <c r="HY46" t="s">
        <v>416</v>
      </c>
      <c r="HZ46" t="s">
        <v>417</v>
      </c>
      <c r="IA46" t="s">
        <v>418</v>
      </c>
      <c r="IB46" t="s">
        <v>418</v>
      </c>
      <c r="IC46" t="s">
        <v>418</v>
      </c>
      <c r="ID46" t="s">
        <v>418</v>
      </c>
      <c r="IE46">
        <v>0</v>
      </c>
      <c r="IF46">
        <v>100</v>
      </c>
      <c r="IG46">
        <v>100</v>
      </c>
      <c r="IH46">
        <v>-0.124</v>
      </c>
      <c r="II46">
        <v>-0.28249999999999997</v>
      </c>
      <c r="IJ46">
        <v>-0.12409523809532171</v>
      </c>
      <c r="IK46">
        <v>0</v>
      </c>
      <c r="IL46">
        <v>0</v>
      </c>
      <c r="IM46">
        <v>0</v>
      </c>
      <c r="IN46">
        <v>-0.28243000000000151</v>
      </c>
      <c r="IO46">
        <v>0</v>
      </c>
      <c r="IP46">
        <v>0</v>
      </c>
      <c r="IQ46">
        <v>0</v>
      </c>
      <c r="IR46">
        <v>-1</v>
      </c>
      <c r="IS46">
        <v>-1</v>
      </c>
      <c r="IT46">
        <v>-1</v>
      </c>
      <c r="IU46">
        <v>-1</v>
      </c>
      <c r="IV46">
        <v>1.1000000000000001</v>
      </c>
      <c r="IW46">
        <v>0.7</v>
      </c>
      <c r="IX46">
        <v>0.79834000000000005</v>
      </c>
      <c r="IY46">
        <v>2.4853499999999999</v>
      </c>
      <c r="IZ46">
        <v>1.49414</v>
      </c>
      <c r="JA46">
        <v>2.2863799999999999</v>
      </c>
      <c r="JB46">
        <v>1.54419</v>
      </c>
      <c r="JC46">
        <v>2.5109900000000001</v>
      </c>
      <c r="JD46">
        <v>51.099699999999999</v>
      </c>
      <c r="JE46">
        <v>24.035</v>
      </c>
      <c r="JF46">
        <v>18</v>
      </c>
      <c r="JG46">
        <v>520.66600000000005</v>
      </c>
      <c r="JH46">
        <v>389.73599999999999</v>
      </c>
      <c r="JI46">
        <v>24.161300000000001</v>
      </c>
      <c r="JJ46">
        <v>34.948599999999999</v>
      </c>
      <c r="JK46">
        <v>30.000399999999999</v>
      </c>
      <c r="JL46">
        <v>34.877299999999998</v>
      </c>
      <c r="JM46">
        <v>34.857500000000002</v>
      </c>
      <c r="JN46">
        <v>16.044799999999999</v>
      </c>
      <c r="JO46">
        <v>21.779299999999999</v>
      </c>
      <c r="JP46">
        <v>0</v>
      </c>
      <c r="JQ46">
        <v>24.1662</v>
      </c>
      <c r="JR46">
        <v>300</v>
      </c>
      <c r="JS46">
        <v>23.650500000000001</v>
      </c>
      <c r="JT46">
        <v>97.995999999999995</v>
      </c>
      <c r="JU46">
        <v>97.073700000000002</v>
      </c>
    </row>
    <row r="47" spans="1:281" x14ac:dyDescent="0.25">
      <c r="A47">
        <v>45</v>
      </c>
      <c r="B47">
        <v>1693332807.5</v>
      </c>
      <c r="C47">
        <v>11400.900000095369</v>
      </c>
      <c r="D47" t="s">
        <v>575</v>
      </c>
      <c r="E47" t="s">
        <v>576</v>
      </c>
      <c r="F47" t="s">
        <v>411</v>
      </c>
      <c r="G47" t="s">
        <v>565</v>
      </c>
      <c r="H47" t="s">
        <v>566</v>
      </c>
      <c r="I47" t="s">
        <v>31</v>
      </c>
      <c r="J47">
        <v>1693332807.5</v>
      </c>
      <c r="K47">
        <f t="shared" si="46"/>
        <v>4.5859226571686425E-3</v>
      </c>
      <c r="L47">
        <f t="shared" si="47"/>
        <v>4.5859226571686422</v>
      </c>
      <c r="M47">
        <f t="shared" si="48"/>
        <v>25.073690942695553</v>
      </c>
      <c r="N47">
        <f t="shared" si="49"/>
        <v>168.971</v>
      </c>
      <c r="O47">
        <f t="shared" si="50"/>
        <v>38.093588232364496</v>
      </c>
      <c r="P47">
        <f t="shared" si="51"/>
        <v>3.7746749158995883</v>
      </c>
      <c r="Q47">
        <f t="shared" si="52"/>
        <v>16.743253256268002</v>
      </c>
      <c r="R47">
        <f t="shared" si="53"/>
        <v>0.32908242752442224</v>
      </c>
      <c r="S47">
        <f t="shared" si="54"/>
        <v>2.907387420343869</v>
      </c>
      <c r="T47">
        <f t="shared" si="55"/>
        <v>0.30970095750258625</v>
      </c>
      <c r="U47">
        <f t="shared" si="56"/>
        <v>0.19520925491246191</v>
      </c>
      <c r="V47">
        <f t="shared" si="57"/>
        <v>344.34469967089291</v>
      </c>
      <c r="W47">
        <f t="shared" si="58"/>
        <v>31.175006815096022</v>
      </c>
      <c r="X47">
        <f t="shared" si="59"/>
        <v>29.962800000000001</v>
      </c>
      <c r="Y47">
        <f t="shared" si="60"/>
        <v>4.2513547812397965</v>
      </c>
      <c r="Z47">
        <f t="shared" si="61"/>
        <v>65.318960046992331</v>
      </c>
      <c r="AA47">
        <f t="shared" si="62"/>
        <v>2.8365560739096005</v>
      </c>
      <c r="AB47">
        <f t="shared" si="63"/>
        <v>4.3426228339656676</v>
      </c>
      <c r="AC47">
        <f t="shared" si="64"/>
        <v>1.414798707330196</v>
      </c>
      <c r="AD47">
        <f t="shared" si="65"/>
        <v>-202.23918918113714</v>
      </c>
      <c r="AE47">
        <f t="shared" si="66"/>
        <v>58.026284738184742</v>
      </c>
      <c r="AF47">
        <f t="shared" si="67"/>
        <v>4.4442340226386037</v>
      </c>
      <c r="AG47">
        <f t="shared" si="68"/>
        <v>204.57602925057915</v>
      </c>
      <c r="AH47">
        <v>0</v>
      </c>
      <c r="AI47">
        <v>0</v>
      </c>
      <c r="AJ47">
        <f t="shared" si="69"/>
        <v>1</v>
      </c>
      <c r="AK47">
        <f t="shared" si="70"/>
        <v>0</v>
      </c>
      <c r="AL47">
        <f t="shared" si="71"/>
        <v>51643.533486145476</v>
      </c>
      <c r="AM47" t="s">
        <v>413</v>
      </c>
      <c r="AN47">
        <v>10366.9</v>
      </c>
      <c r="AO47">
        <v>993.59653846153856</v>
      </c>
      <c r="AP47">
        <v>3431.87</v>
      </c>
      <c r="AQ47">
        <f t="shared" si="72"/>
        <v>0.71047955241266758</v>
      </c>
      <c r="AR47">
        <v>-3.9894345373445681</v>
      </c>
      <c r="AS47" t="s">
        <v>577</v>
      </c>
      <c r="AT47">
        <v>10298.799999999999</v>
      </c>
      <c r="AU47">
        <v>603.40796153846156</v>
      </c>
      <c r="AV47">
        <v>777.34111769174581</v>
      </c>
      <c r="AW47">
        <f t="shared" si="73"/>
        <v>0.22375396360064581</v>
      </c>
      <c r="AX47">
        <v>0.5</v>
      </c>
      <c r="AY47">
        <f t="shared" si="74"/>
        <v>1513.0754998354464</v>
      </c>
      <c r="AZ47">
        <f t="shared" si="75"/>
        <v>25.073690942695553</v>
      </c>
      <c r="BA47">
        <f t="shared" si="76"/>
        <v>169.27832015760472</v>
      </c>
      <c r="BB47">
        <f t="shared" si="77"/>
        <v>1.9207981018264365E-2</v>
      </c>
      <c r="BC47">
        <f t="shared" si="78"/>
        <v>3.4148828897545931</v>
      </c>
      <c r="BD47">
        <f t="shared" si="79"/>
        <v>499.62654953157806</v>
      </c>
      <c r="BE47" t="s">
        <v>578</v>
      </c>
      <c r="BF47">
        <v>507.07</v>
      </c>
      <c r="BG47">
        <f t="shared" si="80"/>
        <v>507.07</v>
      </c>
      <c r="BH47">
        <f t="shared" si="81"/>
        <v>0.34768663530149413</v>
      </c>
      <c r="BI47">
        <f t="shared" si="82"/>
        <v>0.64355065994014726</v>
      </c>
      <c r="BJ47">
        <f t="shared" si="83"/>
        <v>0.90759329947629053</v>
      </c>
      <c r="BK47">
        <f t="shared" si="84"/>
        <v>-0.804295011584652</v>
      </c>
      <c r="BL47">
        <f t="shared" si="85"/>
        <v>1.0886920290857545</v>
      </c>
      <c r="BM47">
        <f t="shared" si="86"/>
        <v>0.54080365844667477</v>
      </c>
      <c r="BN47">
        <f t="shared" si="87"/>
        <v>0.45919634155332523</v>
      </c>
      <c r="BO47">
        <v>16618</v>
      </c>
      <c r="BP47">
        <v>290.00000000000011</v>
      </c>
      <c r="BQ47">
        <v>729.39</v>
      </c>
      <c r="BR47">
        <v>285</v>
      </c>
      <c r="BS47">
        <v>10298.799999999999</v>
      </c>
      <c r="BT47">
        <v>728.92</v>
      </c>
      <c r="BU47">
        <v>0.47</v>
      </c>
      <c r="BV47">
        <v>300.00000000000011</v>
      </c>
      <c r="BW47">
        <v>38.4</v>
      </c>
      <c r="BX47">
        <v>777.34111769174581</v>
      </c>
      <c r="BY47">
        <v>1.0787870224736129</v>
      </c>
      <c r="BZ47">
        <v>-49.870044604679919</v>
      </c>
      <c r="CA47">
        <v>0.91004627684197259</v>
      </c>
      <c r="CB47">
        <v>0.99076206626438679</v>
      </c>
      <c r="CC47">
        <v>-1.122669499443827E-2</v>
      </c>
      <c r="CD47">
        <v>289.99999999999989</v>
      </c>
      <c r="CE47">
        <v>726.53</v>
      </c>
      <c r="CF47">
        <v>695</v>
      </c>
      <c r="CG47">
        <v>10284.200000000001</v>
      </c>
      <c r="CH47">
        <v>728.85</v>
      </c>
      <c r="CI47">
        <v>-2.3199999999999998</v>
      </c>
      <c r="CW47">
        <f t="shared" si="88"/>
        <v>1799.87</v>
      </c>
      <c r="CX47">
        <f t="shared" si="89"/>
        <v>1513.0754998354464</v>
      </c>
      <c r="CY47">
        <f t="shared" si="90"/>
        <v>0.84065821411293395</v>
      </c>
      <c r="CZ47">
        <f t="shared" si="91"/>
        <v>0.19131642822586795</v>
      </c>
      <c r="DA47">
        <v>6</v>
      </c>
      <c r="DB47">
        <v>0.5</v>
      </c>
      <c r="DC47" t="s">
        <v>414</v>
      </c>
      <c r="DD47">
        <v>2</v>
      </c>
      <c r="DE47">
        <v>1693332807.5</v>
      </c>
      <c r="DF47">
        <v>168.971</v>
      </c>
      <c r="DG47">
        <v>199.97900000000001</v>
      </c>
      <c r="DH47">
        <v>28.626200000000001</v>
      </c>
      <c r="DI47">
        <v>23.282399999999999</v>
      </c>
      <c r="DJ47">
        <v>168.99199999999999</v>
      </c>
      <c r="DK47">
        <v>28.934799999999999</v>
      </c>
      <c r="DL47">
        <v>500.166</v>
      </c>
      <c r="DM47">
        <v>98.989500000000007</v>
      </c>
      <c r="DN47">
        <v>0.100008</v>
      </c>
      <c r="DO47">
        <v>30.332999999999998</v>
      </c>
      <c r="DP47">
        <v>29.962800000000001</v>
      </c>
      <c r="DQ47">
        <v>999.9</v>
      </c>
      <c r="DR47">
        <v>0</v>
      </c>
      <c r="DS47">
        <v>0</v>
      </c>
      <c r="DT47">
        <v>9975</v>
      </c>
      <c r="DU47">
        <v>0</v>
      </c>
      <c r="DV47">
        <v>1761.82</v>
      </c>
      <c r="DW47">
        <v>-31.008299999999998</v>
      </c>
      <c r="DX47">
        <v>173.95</v>
      </c>
      <c r="DY47">
        <v>204.74600000000001</v>
      </c>
      <c r="DZ47">
        <v>5.34382</v>
      </c>
      <c r="EA47">
        <v>199.97900000000001</v>
      </c>
      <c r="EB47">
        <v>23.282399999999999</v>
      </c>
      <c r="EC47">
        <v>2.8336899999999998</v>
      </c>
      <c r="ED47">
        <v>2.30471</v>
      </c>
      <c r="EE47">
        <v>23.081700000000001</v>
      </c>
      <c r="EF47">
        <v>19.709299999999999</v>
      </c>
      <c r="EG47">
        <v>1799.87</v>
      </c>
      <c r="EH47">
        <v>0.97799700000000001</v>
      </c>
      <c r="EI47">
        <v>2.2002899999999999E-2</v>
      </c>
      <c r="EJ47">
        <v>0</v>
      </c>
      <c r="EK47">
        <v>603.12900000000002</v>
      </c>
      <c r="EL47">
        <v>5.0002500000000003</v>
      </c>
      <c r="EM47">
        <v>19160.3</v>
      </c>
      <c r="EN47">
        <v>14820.9</v>
      </c>
      <c r="EO47">
        <v>46.875</v>
      </c>
      <c r="EP47">
        <v>48.686999999999998</v>
      </c>
      <c r="EQ47">
        <v>47.625</v>
      </c>
      <c r="ER47">
        <v>47.75</v>
      </c>
      <c r="ES47">
        <v>48.186999999999998</v>
      </c>
      <c r="ET47">
        <v>1755.38</v>
      </c>
      <c r="EU47">
        <v>39.49</v>
      </c>
      <c r="EV47">
        <v>0</v>
      </c>
      <c r="EW47">
        <v>129</v>
      </c>
      <c r="EX47">
        <v>0</v>
      </c>
      <c r="EY47">
        <v>603.40796153846156</v>
      </c>
      <c r="EZ47">
        <v>-0.45432478922278968</v>
      </c>
      <c r="FA47">
        <v>-168.21538490659319</v>
      </c>
      <c r="FB47">
        <v>19163.84230769231</v>
      </c>
      <c r="FC47">
        <v>15</v>
      </c>
      <c r="FD47">
        <v>1693332779.5</v>
      </c>
      <c r="FE47" t="s">
        <v>579</v>
      </c>
      <c r="FF47">
        <v>1693332774</v>
      </c>
      <c r="FG47">
        <v>1693332779.5</v>
      </c>
      <c r="FH47">
        <v>52</v>
      </c>
      <c r="FI47">
        <v>0.10199999999999999</v>
      </c>
      <c r="FJ47">
        <v>-2.5999999999999999E-2</v>
      </c>
      <c r="FK47">
        <v>-2.1999999999999999E-2</v>
      </c>
      <c r="FL47">
        <v>-0.309</v>
      </c>
      <c r="FM47">
        <v>200</v>
      </c>
      <c r="FN47">
        <v>23</v>
      </c>
      <c r="FO47">
        <v>0.21</v>
      </c>
      <c r="FP47">
        <v>0.05</v>
      </c>
      <c r="FQ47">
        <v>24.887205404061941</v>
      </c>
      <c r="FR47">
        <v>0.25149044353891609</v>
      </c>
      <c r="FS47">
        <v>6.119734437271164E-2</v>
      </c>
      <c r="FT47">
        <v>1</v>
      </c>
      <c r="FU47">
        <v>0.3241886684777831</v>
      </c>
      <c r="FV47">
        <v>2.993113878724735E-2</v>
      </c>
      <c r="FW47">
        <v>2.686619644193344E-3</v>
      </c>
      <c r="FX47">
        <v>1</v>
      </c>
      <c r="FY47">
        <v>2</v>
      </c>
      <c r="FZ47">
        <v>2</v>
      </c>
      <c r="GA47" t="s">
        <v>415</v>
      </c>
      <c r="GB47">
        <v>2.9165899999999998</v>
      </c>
      <c r="GC47">
        <v>2.8296800000000002</v>
      </c>
      <c r="GD47">
        <v>4.3525800000000003E-2</v>
      </c>
      <c r="GE47">
        <v>4.9556599999999999E-2</v>
      </c>
      <c r="GF47">
        <v>0.13433500000000001</v>
      </c>
      <c r="GG47">
        <v>0.111083</v>
      </c>
      <c r="GH47">
        <v>24815.9</v>
      </c>
      <c r="GI47">
        <v>30275.7</v>
      </c>
      <c r="GJ47">
        <v>23366.7</v>
      </c>
      <c r="GK47">
        <v>29176.6</v>
      </c>
      <c r="GL47">
        <v>27601.8</v>
      </c>
      <c r="GM47">
        <v>36757.5</v>
      </c>
      <c r="GN47">
        <v>33044.5</v>
      </c>
      <c r="GO47">
        <v>43118.2</v>
      </c>
      <c r="GP47">
        <v>1.9477</v>
      </c>
      <c r="GQ47">
        <v>1.7022999999999999</v>
      </c>
      <c r="GR47">
        <v>1.4454099999999999E-2</v>
      </c>
      <c r="GS47">
        <v>0</v>
      </c>
      <c r="GT47">
        <v>29.727499999999999</v>
      </c>
      <c r="GU47">
        <v>999.9</v>
      </c>
      <c r="GV47">
        <v>28.7</v>
      </c>
      <c r="GW47">
        <v>47.5</v>
      </c>
      <c r="GX47">
        <v>31.756399999999999</v>
      </c>
      <c r="GY47">
        <v>61.398299999999999</v>
      </c>
      <c r="GZ47">
        <v>40.725200000000001</v>
      </c>
      <c r="HA47">
        <v>1</v>
      </c>
      <c r="HB47">
        <v>0.62727599999999994</v>
      </c>
      <c r="HC47">
        <v>3.9170199999999999</v>
      </c>
      <c r="HD47">
        <v>20.216899999999999</v>
      </c>
      <c r="HE47">
        <v>5.2107000000000001</v>
      </c>
      <c r="HF47">
        <v>11.8782</v>
      </c>
      <c r="HG47">
        <v>4.9846000000000004</v>
      </c>
      <c r="HH47">
        <v>3.2839999999999998</v>
      </c>
      <c r="HI47">
        <v>9999</v>
      </c>
      <c r="HJ47">
        <v>9999</v>
      </c>
      <c r="HK47">
        <v>9999</v>
      </c>
      <c r="HL47">
        <v>999.9</v>
      </c>
      <c r="HM47">
        <v>1.85486</v>
      </c>
      <c r="HN47">
        <v>1.8608199999999999</v>
      </c>
      <c r="HO47">
        <v>1.8582000000000001</v>
      </c>
      <c r="HP47">
        <v>1.85921</v>
      </c>
      <c r="HQ47">
        <v>1.8586499999999999</v>
      </c>
      <c r="HR47">
        <v>1.8591299999999999</v>
      </c>
      <c r="HS47">
        <v>1.85745</v>
      </c>
      <c r="HT47">
        <v>1.8607800000000001</v>
      </c>
      <c r="HU47">
        <v>5</v>
      </c>
      <c r="HV47">
        <v>0</v>
      </c>
      <c r="HW47">
        <v>0</v>
      </c>
      <c r="HX47">
        <v>0</v>
      </c>
      <c r="HY47" t="s">
        <v>416</v>
      </c>
      <c r="HZ47" t="s">
        <v>417</v>
      </c>
      <c r="IA47" t="s">
        <v>418</v>
      </c>
      <c r="IB47" t="s">
        <v>418</v>
      </c>
      <c r="IC47" t="s">
        <v>418</v>
      </c>
      <c r="ID47" t="s">
        <v>418</v>
      </c>
      <c r="IE47">
        <v>0</v>
      </c>
      <c r="IF47">
        <v>100</v>
      </c>
      <c r="IG47">
        <v>100</v>
      </c>
      <c r="IH47">
        <v>-2.1000000000000001E-2</v>
      </c>
      <c r="II47">
        <v>-0.30859999999999999</v>
      </c>
      <c r="IJ47">
        <v>-2.1571428571405701E-2</v>
      </c>
      <c r="IK47">
        <v>0</v>
      </c>
      <c r="IL47">
        <v>0</v>
      </c>
      <c r="IM47">
        <v>0</v>
      </c>
      <c r="IN47">
        <v>-0.30864000000000402</v>
      </c>
      <c r="IO47">
        <v>0</v>
      </c>
      <c r="IP47">
        <v>0</v>
      </c>
      <c r="IQ47">
        <v>0</v>
      </c>
      <c r="IR47">
        <v>-1</v>
      </c>
      <c r="IS47">
        <v>-1</v>
      </c>
      <c r="IT47">
        <v>-1</v>
      </c>
      <c r="IU47">
        <v>-1</v>
      </c>
      <c r="IV47">
        <v>0.6</v>
      </c>
      <c r="IW47">
        <v>0.5</v>
      </c>
      <c r="IX47">
        <v>0.58593799999999996</v>
      </c>
      <c r="IY47">
        <v>2.50244</v>
      </c>
      <c r="IZ47">
        <v>1.49414</v>
      </c>
      <c r="JA47">
        <v>2.2863799999999999</v>
      </c>
      <c r="JB47">
        <v>1.54419</v>
      </c>
      <c r="JC47">
        <v>2.5488300000000002</v>
      </c>
      <c r="JD47">
        <v>50.967799999999997</v>
      </c>
      <c r="JE47">
        <v>24.035</v>
      </c>
      <c r="JF47">
        <v>18</v>
      </c>
      <c r="JG47">
        <v>520.51300000000003</v>
      </c>
      <c r="JH47">
        <v>388.74099999999999</v>
      </c>
      <c r="JI47">
        <v>24.527899999999999</v>
      </c>
      <c r="JJ47">
        <v>34.964599999999997</v>
      </c>
      <c r="JK47">
        <v>29.9984</v>
      </c>
      <c r="JL47">
        <v>34.908900000000003</v>
      </c>
      <c r="JM47">
        <v>34.885899999999999</v>
      </c>
      <c r="JN47">
        <v>11.789899999999999</v>
      </c>
      <c r="JO47">
        <v>23.2972</v>
      </c>
      <c r="JP47">
        <v>0</v>
      </c>
      <c r="JQ47">
        <v>24.581700000000001</v>
      </c>
      <c r="JR47">
        <v>200</v>
      </c>
      <c r="JS47">
        <v>23.1584</v>
      </c>
      <c r="JT47">
        <v>97.999799999999993</v>
      </c>
      <c r="JU47">
        <v>97.075400000000002</v>
      </c>
    </row>
    <row r="48" spans="1:281" x14ac:dyDescent="0.25">
      <c r="A48">
        <v>46</v>
      </c>
      <c r="B48">
        <v>1693332920</v>
      </c>
      <c r="C48">
        <v>11513.400000095369</v>
      </c>
      <c r="D48" t="s">
        <v>580</v>
      </c>
      <c r="E48" t="s">
        <v>581</v>
      </c>
      <c r="F48" t="s">
        <v>411</v>
      </c>
      <c r="G48" t="s">
        <v>565</v>
      </c>
      <c r="H48" t="s">
        <v>566</v>
      </c>
      <c r="I48" t="s">
        <v>31</v>
      </c>
      <c r="J48">
        <v>1693332920</v>
      </c>
      <c r="K48">
        <f t="shared" si="46"/>
        <v>5.139092876710139E-3</v>
      </c>
      <c r="L48">
        <f t="shared" si="47"/>
        <v>5.1390928767101389</v>
      </c>
      <c r="M48">
        <f t="shared" si="48"/>
        <v>16.059141557828799</v>
      </c>
      <c r="N48">
        <f t="shared" si="49"/>
        <v>100.131</v>
      </c>
      <c r="O48">
        <f t="shared" si="50"/>
        <v>25.149985706113252</v>
      </c>
      <c r="P48">
        <f t="shared" si="51"/>
        <v>2.4918146045578329</v>
      </c>
      <c r="Q48">
        <f t="shared" si="52"/>
        <v>9.9207964205058001</v>
      </c>
      <c r="R48">
        <f t="shared" si="53"/>
        <v>0.37057272817629733</v>
      </c>
      <c r="S48">
        <f t="shared" si="54"/>
        <v>2.9176783445361387</v>
      </c>
      <c r="T48">
        <f t="shared" si="55"/>
        <v>0.34627017718458142</v>
      </c>
      <c r="U48">
        <f t="shared" si="56"/>
        <v>0.21846939552242245</v>
      </c>
      <c r="V48">
        <f t="shared" si="57"/>
        <v>344.39409967094048</v>
      </c>
      <c r="W48">
        <f t="shared" si="58"/>
        <v>31.10733005947651</v>
      </c>
      <c r="X48">
        <f t="shared" si="59"/>
        <v>30.0273</v>
      </c>
      <c r="Y48">
        <f t="shared" si="60"/>
        <v>4.2671351061998966</v>
      </c>
      <c r="Z48">
        <f t="shared" si="61"/>
        <v>65.321095923516935</v>
      </c>
      <c r="AA48">
        <f t="shared" si="62"/>
        <v>2.8494981287851799</v>
      </c>
      <c r="AB48">
        <f t="shared" si="63"/>
        <v>4.3622938171790562</v>
      </c>
      <c r="AC48">
        <f t="shared" si="64"/>
        <v>1.4176369774147166</v>
      </c>
      <c r="AD48">
        <f t="shared" si="65"/>
        <v>-226.63399586291712</v>
      </c>
      <c r="AE48">
        <f t="shared" si="66"/>
        <v>60.496762690629019</v>
      </c>
      <c r="AF48">
        <f t="shared" si="67"/>
        <v>4.6203823614556798</v>
      </c>
      <c r="AG48">
        <f t="shared" si="68"/>
        <v>182.87724886010804</v>
      </c>
      <c r="AH48">
        <v>0</v>
      </c>
      <c r="AI48">
        <v>0</v>
      </c>
      <c r="AJ48">
        <f t="shared" si="69"/>
        <v>1</v>
      </c>
      <c r="AK48">
        <f t="shared" si="70"/>
        <v>0</v>
      </c>
      <c r="AL48">
        <f t="shared" si="71"/>
        <v>51922.071184693603</v>
      </c>
      <c r="AM48" t="s">
        <v>413</v>
      </c>
      <c r="AN48">
        <v>10366.9</v>
      </c>
      <c r="AO48">
        <v>993.59653846153856</v>
      </c>
      <c r="AP48">
        <v>3431.87</v>
      </c>
      <c r="AQ48">
        <f t="shared" si="72"/>
        <v>0.71047955241266758</v>
      </c>
      <c r="AR48">
        <v>-3.9894345373445681</v>
      </c>
      <c r="AS48" t="s">
        <v>582</v>
      </c>
      <c r="AT48">
        <v>10299.4</v>
      </c>
      <c r="AU48">
        <v>605.67888461538473</v>
      </c>
      <c r="AV48">
        <v>726.7835112881113</v>
      </c>
      <c r="AW48">
        <f t="shared" si="73"/>
        <v>0.1666309496456343</v>
      </c>
      <c r="AX48">
        <v>0.5</v>
      </c>
      <c r="AY48">
        <f t="shared" si="74"/>
        <v>1513.2938998354703</v>
      </c>
      <c r="AZ48">
        <f t="shared" si="75"/>
        <v>16.059141557828799</v>
      </c>
      <c r="BA48">
        <f t="shared" si="76"/>
        <v>126.0807998112649</v>
      </c>
      <c r="BB48">
        <f t="shared" si="77"/>
        <v>1.3248302988172428E-2</v>
      </c>
      <c r="BC48">
        <f t="shared" si="78"/>
        <v>3.7219976054733843</v>
      </c>
      <c r="BD48">
        <f t="shared" si="79"/>
        <v>478.24374786968087</v>
      </c>
      <c r="BE48" t="s">
        <v>583</v>
      </c>
      <c r="BF48">
        <v>507.52</v>
      </c>
      <c r="BG48">
        <f t="shared" si="80"/>
        <v>507.52</v>
      </c>
      <c r="BH48">
        <f t="shared" si="81"/>
        <v>0.30169026660979237</v>
      </c>
      <c r="BI48">
        <f t="shared" si="82"/>
        <v>0.55232457950377167</v>
      </c>
      <c r="BJ48">
        <f t="shared" si="83"/>
        <v>0.92502145389980295</v>
      </c>
      <c r="BK48">
        <f t="shared" si="84"/>
        <v>-0.45389322986095842</v>
      </c>
      <c r="BL48">
        <f t="shared" si="85"/>
        <v>1.109427031619775</v>
      </c>
      <c r="BM48">
        <f t="shared" si="86"/>
        <v>0.46281251948837371</v>
      </c>
      <c r="BN48">
        <f t="shared" si="87"/>
        <v>0.53718748051162635</v>
      </c>
      <c r="BO48">
        <v>16620</v>
      </c>
      <c r="BP48">
        <v>290.00000000000011</v>
      </c>
      <c r="BQ48">
        <v>695.34</v>
      </c>
      <c r="BR48">
        <v>275</v>
      </c>
      <c r="BS48">
        <v>10299.4</v>
      </c>
      <c r="BT48">
        <v>695.7</v>
      </c>
      <c r="BU48">
        <v>-0.36</v>
      </c>
      <c r="BV48">
        <v>300.00000000000011</v>
      </c>
      <c r="BW48">
        <v>38.4</v>
      </c>
      <c r="BX48">
        <v>726.7835112881113</v>
      </c>
      <c r="BY48">
        <v>1.1655953624985871</v>
      </c>
      <c r="BZ48">
        <v>-32.009873190004043</v>
      </c>
      <c r="CA48">
        <v>0.98324654170376757</v>
      </c>
      <c r="CB48">
        <v>0.97426107926385686</v>
      </c>
      <c r="CC48">
        <v>-1.1226271857619581E-2</v>
      </c>
      <c r="CD48">
        <v>289.99999999999989</v>
      </c>
      <c r="CE48">
        <v>694.82</v>
      </c>
      <c r="CF48">
        <v>665</v>
      </c>
      <c r="CG48">
        <v>10285.799999999999</v>
      </c>
      <c r="CH48">
        <v>695.66</v>
      </c>
      <c r="CI48">
        <v>-0.84</v>
      </c>
      <c r="CW48">
        <f t="shared" si="88"/>
        <v>1800.13</v>
      </c>
      <c r="CX48">
        <f t="shared" si="89"/>
        <v>1513.2938998354703</v>
      </c>
      <c r="CY48">
        <f t="shared" si="90"/>
        <v>0.84065811904444132</v>
      </c>
      <c r="CZ48">
        <f t="shared" si="91"/>
        <v>0.19131623808888273</v>
      </c>
      <c r="DA48">
        <v>6</v>
      </c>
      <c r="DB48">
        <v>0.5</v>
      </c>
      <c r="DC48" t="s">
        <v>414</v>
      </c>
      <c r="DD48">
        <v>2</v>
      </c>
      <c r="DE48">
        <v>1693332920</v>
      </c>
      <c r="DF48">
        <v>100.131</v>
      </c>
      <c r="DG48">
        <v>120.011</v>
      </c>
      <c r="DH48">
        <v>28.760100000000001</v>
      </c>
      <c r="DI48">
        <v>22.773099999999999</v>
      </c>
      <c r="DJ48">
        <v>100.182</v>
      </c>
      <c r="DK48">
        <v>29.0779</v>
      </c>
      <c r="DL48">
        <v>500.21300000000002</v>
      </c>
      <c r="DM48">
        <v>98.978399999999993</v>
      </c>
      <c r="DN48">
        <v>9.9771799999999994E-2</v>
      </c>
      <c r="DO48">
        <v>30.411899999999999</v>
      </c>
      <c r="DP48">
        <v>30.0273</v>
      </c>
      <c r="DQ48">
        <v>999.9</v>
      </c>
      <c r="DR48">
        <v>0</v>
      </c>
      <c r="DS48">
        <v>0</v>
      </c>
      <c r="DT48">
        <v>10035</v>
      </c>
      <c r="DU48">
        <v>0</v>
      </c>
      <c r="DV48">
        <v>1736.74</v>
      </c>
      <c r="DW48">
        <v>-19.8796</v>
      </c>
      <c r="DX48">
        <v>103.096</v>
      </c>
      <c r="DY48">
        <v>122.807</v>
      </c>
      <c r="DZ48">
        <v>5.9870200000000002</v>
      </c>
      <c r="EA48">
        <v>120.011</v>
      </c>
      <c r="EB48">
        <v>22.773099999999999</v>
      </c>
      <c r="EC48">
        <v>2.8466300000000002</v>
      </c>
      <c r="ED48">
        <v>2.2540399999999998</v>
      </c>
      <c r="EE48">
        <v>23.157</v>
      </c>
      <c r="EF48">
        <v>19.351700000000001</v>
      </c>
      <c r="EG48">
        <v>1800.13</v>
      </c>
      <c r="EH48">
        <v>0.97800100000000001</v>
      </c>
      <c r="EI48">
        <v>2.1999100000000001E-2</v>
      </c>
      <c r="EJ48">
        <v>0</v>
      </c>
      <c r="EK48">
        <v>605.39599999999996</v>
      </c>
      <c r="EL48">
        <v>5.0002500000000003</v>
      </c>
      <c r="EM48">
        <v>19052.3</v>
      </c>
      <c r="EN48">
        <v>14823.1</v>
      </c>
      <c r="EO48">
        <v>46.936999999999998</v>
      </c>
      <c r="EP48">
        <v>48.686999999999998</v>
      </c>
      <c r="EQ48">
        <v>47.625</v>
      </c>
      <c r="ER48">
        <v>47.875</v>
      </c>
      <c r="ES48">
        <v>48.25</v>
      </c>
      <c r="ET48">
        <v>1755.64</v>
      </c>
      <c r="EU48">
        <v>39.49</v>
      </c>
      <c r="EV48">
        <v>0</v>
      </c>
      <c r="EW48">
        <v>110.5999999046326</v>
      </c>
      <c r="EX48">
        <v>0</v>
      </c>
      <c r="EY48">
        <v>605.67888461538473</v>
      </c>
      <c r="EZ48">
        <v>-3.3727521388243651</v>
      </c>
      <c r="FA48">
        <v>-23.56239281520061</v>
      </c>
      <c r="FB48">
        <v>19065.54615384615</v>
      </c>
      <c r="FC48">
        <v>15</v>
      </c>
      <c r="FD48">
        <v>1693332882</v>
      </c>
      <c r="FE48" t="s">
        <v>584</v>
      </c>
      <c r="FF48">
        <v>1693332873</v>
      </c>
      <c r="FG48">
        <v>1693332882</v>
      </c>
      <c r="FH48">
        <v>53</v>
      </c>
      <c r="FI48">
        <v>-0.03</v>
      </c>
      <c r="FJ48">
        <v>-8.9999999999999993E-3</v>
      </c>
      <c r="FK48">
        <v>-5.0999999999999997E-2</v>
      </c>
      <c r="FL48">
        <v>-0.318</v>
      </c>
      <c r="FM48">
        <v>120</v>
      </c>
      <c r="FN48">
        <v>23</v>
      </c>
      <c r="FO48">
        <v>0.28999999999999998</v>
      </c>
      <c r="FP48">
        <v>0.06</v>
      </c>
      <c r="FQ48">
        <v>15.94575479772344</v>
      </c>
      <c r="FR48">
        <v>0.59035326270446808</v>
      </c>
      <c r="FS48">
        <v>6.0508346319729893E-2</v>
      </c>
      <c r="FT48">
        <v>1</v>
      </c>
      <c r="FU48">
        <v>0.36614089064886501</v>
      </c>
      <c r="FV48">
        <v>4.7265520572705409E-2</v>
      </c>
      <c r="FW48">
        <v>3.8168451203639642E-3</v>
      </c>
      <c r="FX48">
        <v>1</v>
      </c>
      <c r="FY48">
        <v>2</v>
      </c>
      <c r="FZ48">
        <v>2</v>
      </c>
      <c r="GA48" t="s">
        <v>415</v>
      </c>
      <c r="GB48">
        <v>2.9166699999999999</v>
      </c>
      <c r="GC48">
        <v>2.8299699999999999</v>
      </c>
      <c r="GD48">
        <v>2.6804700000000001E-2</v>
      </c>
      <c r="GE48">
        <v>3.1132099999999999E-2</v>
      </c>
      <c r="GF48">
        <v>0.13477500000000001</v>
      </c>
      <c r="GG48">
        <v>0.10935300000000001</v>
      </c>
      <c r="GH48">
        <v>25249.7</v>
      </c>
      <c r="GI48">
        <v>30864.2</v>
      </c>
      <c r="GJ48">
        <v>23367.5</v>
      </c>
      <c r="GK48">
        <v>29179</v>
      </c>
      <c r="GL48">
        <v>27586.400000000001</v>
      </c>
      <c r="GM48">
        <v>36829.1</v>
      </c>
      <c r="GN48">
        <v>33044.5</v>
      </c>
      <c r="GO48">
        <v>43120.9</v>
      </c>
      <c r="GP48">
        <v>1.9483999999999999</v>
      </c>
      <c r="GQ48">
        <v>1.7004999999999999</v>
      </c>
      <c r="GR48">
        <v>9.8347699999999996E-3</v>
      </c>
      <c r="GS48">
        <v>0</v>
      </c>
      <c r="GT48">
        <v>29.8673</v>
      </c>
      <c r="GU48">
        <v>999.9</v>
      </c>
      <c r="GV48">
        <v>28.7</v>
      </c>
      <c r="GW48">
        <v>47.5</v>
      </c>
      <c r="GX48">
        <v>31.755199999999999</v>
      </c>
      <c r="GY48">
        <v>61.138300000000001</v>
      </c>
      <c r="GZ48">
        <v>39.931899999999999</v>
      </c>
      <c r="HA48">
        <v>1</v>
      </c>
      <c r="HB48">
        <v>0.62801799999999997</v>
      </c>
      <c r="HC48">
        <v>4.1580899999999996</v>
      </c>
      <c r="HD48">
        <v>20.210999999999999</v>
      </c>
      <c r="HE48">
        <v>5.2088999999999999</v>
      </c>
      <c r="HF48">
        <v>11.8782</v>
      </c>
      <c r="HG48">
        <v>4.9836</v>
      </c>
      <c r="HH48">
        <v>3.2839999999999998</v>
      </c>
      <c r="HI48">
        <v>9999</v>
      </c>
      <c r="HJ48">
        <v>9999</v>
      </c>
      <c r="HK48">
        <v>9999</v>
      </c>
      <c r="HL48">
        <v>999.9</v>
      </c>
      <c r="HM48">
        <v>1.85483</v>
      </c>
      <c r="HN48">
        <v>1.8608100000000001</v>
      </c>
      <c r="HO48">
        <v>1.85812</v>
      </c>
      <c r="HP48">
        <v>1.8591299999999999</v>
      </c>
      <c r="HQ48">
        <v>1.8586</v>
      </c>
      <c r="HR48">
        <v>1.8591299999999999</v>
      </c>
      <c r="HS48">
        <v>1.85745</v>
      </c>
      <c r="HT48">
        <v>1.8607499999999999</v>
      </c>
      <c r="HU48">
        <v>5</v>
      </c>
      <c r="HV48">
        <v>0</v>
      </c>
      <c r="HW48">
        <v>0</v>
      </c>
      <c r="HX48">
        <v>0</v>
      </c>
      <c r="HY48" t="s">
        <v>416</v>
      </c>
      <c r="HZ48" t="s">
        <v>417</v>
      </c>
      <c r="IA48" t="s">
        <v>418</v>
      </c>
      <c r="IB48" t="s">
        <v>418</v>
      </c>
      <c r="IC48" t="s">
        <v>418</v>
      </c>
      <c r="ID48" t="s">
        <v>418</v>
      </c>
      <c r="IE48">
        <v>0</v>
      </c>
      <c r="IF48">
        <v>100</v>
      </c>
      <c r="IG48">
        <v>100</v>
      </c>
      <c r="IH48">
        <v>-5.0999999999999997E-2</v>
      </c>
      <c r="II48">
        <v>-0.31780000000000003</v>
      </c>
      <c r="IJ48">
        <v>-5.1449999999974239E-2</v>
      </c>
      <c r="IK48">
        <v>0</v>
      </c>
      <c r="IL48">
        <v>0</v>
      </c>
      <c r="IM48">
        <v>0</v>
      </c>
      <c r="IN48">
        <v>-0.31775500000000528</v>
      </c>
      <c r="IO48">
        <v>0</v>
      </c>
      <c r="IP48">
        <v>0</v>
      </c>
      <c r="IQ48">
        <v>0</v>
      </c>
      <c r="IR48">
        <v>-1</v>
      </c>
      <c r="IS48">
        <v>-1</v>
      </c>
      <c r="IT48">
        <v>-1</v>
      </c>
      <c r="IU48">
        <v>-1</v>
      </c>
      <c r="IV48">
        <v>0.8</v>
      </c>
      <c r="IW48">
        <v>0.6</v>
      </c>
      <c r="IX48">
        <v>0.40893600000000002</v>
      </c>
      <c r="IY48">
        <v>2.51709</v>
      </c>
      <c r="IZ48">
        <v>1.49414</v>
      </c>
      <c r="JA48">
        <v>2.2863799999999999</v>
      </c>
      <c r="JB48">
        <v>1.54419</v>
      </c>
      <c r="JC48">
        <v>2.4169900000000002</v>
      </c>
      <c r="JD48">
        <v>50.967799999999997</v>
      </c>
      <c r="JE48">
        <v>24.026199999999999</v>
      </c>
      <c r="JF48">
        <v>18</v>
      </c>
      <c r="JG48">
        <v>521.13900000000001</v>
      </c>
      <c r="JH48">
        <v>387.77499999999998</v>
      </c>
      <c r="JI48">
        <v>24.570499999999999</v>
      </c>
      <c r="JJ48">
        <v>34.983800000000002</v>
      </c>
      <c r="JK48">
        <v>30.000499999999999</v>
      </c>
      <c r="JL48">
        <v>34.927799999999998</v>
      </c>
      <c r="JM48">
        <v>34.908900000000003</v>
      </c>
      <c r="JN48">
        <v>8.2517700000000005</v>
      </c>
      <c r="JO48">
        <v>26.2134</v>
      </c>
      <c r="JP48">
        <v>0</v>
      </c>
      <c r="JQ48">
        <v>24.533300000000001</v>
      </c>
      <c r="JR48">
        <v>120</v>
      </c>
      <c r="JS48">
        <v>22.6615</v>
      </c>
      <c r="JT48">
        <v>98.001099999999994</v>
      </c>
      <c r="JU48">
        <v>97.0822</v>
      </c>
    </row>
    <row r="49" spans="1:281" x14ac:dyDescent="0.25">
      <c r="A49">
        <v>47</v>
      </c>
      <c r="B49">
        <v>1693333055</v>
      </c>
      <c r="C49">
        <v>11648.400000095369</v>
      </c>
      <c r="D49" t="s">
        <v>585</v>
      </c>
      <c r="E49" t="s">
        <v>586</v>
      </c>
      <c r="F49" t="s">
        <v>411</v>
      </c>
      <c r="G49" t="s">
        <v>565</v>
      </c>
      <c r="H49" t="s">
        <v>566</v>
      </c>
      <c r="I49" t="s">
        <v>31</v>
      </c>
      <c r="J49">
        <v>1693333055</v>
      </c>
      <c r="K49">
        <f t="shared" si="46"/>
        <v>5.8840065102071038E-3</v>
      </c>
      <c r="L49">
        <f t="shared" si="47"/>
        <v>5.8840065102071035</v>
      </c>
      <c r="M49">
        <f t="shared" si="48"/>
        <v>9.8930322196673011</v>
      </c>
      <c r="N49">
        <f t="shared" si="49"/>
        <v>57.714399999999998</v>
      </c>
      <c r="O49">
        <f t="shared" si="50"/>
        <v>17.982340625989007</v>
      </c>
      <c r="P49">
        <f t="shared" si="51"/>
        <v>1.7816283600595346</v>
      </c>
      <c r="Q49">
        <f t="shared" si="52"/>
        <v>5.7181439258920008</v>
      </c>
      <c r="R49">
        <f t="shared" si="53"/>
        <v>0.4363187321048852</v>
      </c>
      <c r="S49">
        <f t="shared" si="54"/>
        <v>2.9036406851182566</v>
      </c>
      <c r="T49">
        <f t="shared" si="55"/>
        <v>0.40289514098392287</v>
      </c>
      <c r="U49">
        <f t="shared" si="56"/>
        <v>0.25459874057287002</v>
      </c>
      <c r="V49">
        <f t="shared" si="57"/>
        <v>344.36939967091672</v>
      </c>
      <c r="W49">
        <f t="shared" si="58"/>
        <v>30.879948108418819</v>
      </c>
      <c r="X49">
        <f t="shared" si="59"/>
        <v>29.970300000000002</v>
      </c>
      <c r="Y49">
        <f t="shared" si="60"/>
        <v>4.2531870857431482</v>
      </c>
      <c r="Z49">
        <f t="shared" si="61"/>
        <v>65.653244579974256</v>
      </c>
      <c r="AA49">
        <f t="shared" si="62"/>
        <v>2.8581703662955</v>
      </c>
      <c r="AB49">
        <f t="shared" si="63"/>
        <v>4.353433534901499</v>
      </c>
      <c r="AC49">
        <f t="shared" si="64"/>
        <v>1.3950167194476482</v>
      </c>
      <c r="AD49">
        <f t="shared" si="65"/>
        <v>-259.48468710013327</v>
      </c>
      <c r="AE49">
        <f t="shared" si="66"/>
        <v>63.571331213796135</v>
      </c>
      <c r="AF49">
        <f t="shared" si="67"/>
        <v>4.8764402062035197</v>
      </c>
      <c r="AG49">
        <f t="shared" si="68"/>
        <v>153.33248399078312</v>
      </c>
      <c r="AH49">
        <v>0</v>
      </c>
      <c r="AI49">
        <v>0</v>
      </c>
      <c r="AJ49">
        <f t="shared" si="69"/>
        <v>1</v>
      </c>
      <c r="AK49">
        <f t="shared" si="70"/>
        <v>0</v>
      </c>
      <c r="AL49">
        <f t="shared" si="71"/>
        <v>51529.621966891951</v>
      </c>
      <c r="AM49" t="s">
        <v>413</v>
      </c>
      <c r="AN49">
        <v>10366.9</v>
      </c>
      <c r="AO49">
        <v>993.59653846153856</v>
      </c>
      <c r="AP49">
        <v>3431.87</v>
      </c>
      <c r="AQ49">
        <f t="shared" si="72"/>
        <v>0.71047955241266758</v>
      </c>
      <c r="AR49">
        <v>-3.9894345373445681</v>
      </c>
      <c r="AS49" t="s">
        <v>587</v>
      </c>
      <c r="AT49">
        <v>10297.4</v>
      </c>
      <c r="AU49">
        <v>609.20956000000001</v>
      </c>
      <c r="AV49">
        <v>689.18410356825802</v>
      </c>
      <c r="AW49">
        <f t="shared" si="73"/>
        <v>0.11604235088155535</v>
      </c>
      <c r="AX49">
        <v>0.5</v>
      </c>
      <c r="AY49">
        <f t="shared" si="74"/>
        <v>1513.1846998354581</v>
      </c>
      <c r="AZ49">
        <f t="shared" si="75"/>
        <v>9.8930322196673011</v>
      </c>
      <c r="BA49">
        <f t="shared" si="76"/>
        <v>87.796754943453621</v>
      </c>
      <c r="BB49">
        <f t="shared" si="77"/>
        <v>9.1743372494589928E-3</v>
      </c>
      <c r="BC49">
        <f t="shared" si="78"/>
        <v>3.9796128236728854</v>
      </c>
      <c r="BD49">
        <f t="shared" si="79"/>
        <v>461.6699663245343</v>
      </c>
      <c r="BE49" t="s">
        <v>588</v>
      </c>
      <c r="BF49">
        <v>515.4</v>
      </c>
      <c r="BG49">
        <f t="shared" si="80"/>
        <v>515.4</v>
      </c>
      <c r="BH49">
        <f t="shared" si="81"/>
        <v>0.25215918746310162</v>
      </c>
      <c r="BI49">
        <f t="shared" si="82"/>
        <v>0.46019481601690926</v>
      </c>
      <c r="BJ49">
        <f t="shared" si="83"/>
        <v>0.94041286090093223</v>
      </c>
      <c r="BK49">
        <f t="shared" si="84"/>
        <v>-0.26271772897941936</v>
      </c>
      <c r="BL49">
        <f t="shared" si="85"/>
        <v>1.1248475364618074</v>
      </c>
      <c r="BM49">
        <f t="shared" si="86"/>
        <v>0.38933139554657514</v>
      </c>
      <c r="BN49">
        <f t="shared" si="87"/>
        <v>0.61066860445342486</v>
      </c>
      <c r="BO49">
        <v>16622</v>
      </c>
      <c r="BP49">
        <v>290.00000000000011</v>
      </c>
      <c r="BQ49">
        <v>669.76</v>
      </c>
      <c r="BR49">
        <v>285</v>
      </c>
      <c r="BS49">
        <v>10297.4</v>
      </c>
      <c r="BT49">
        <v>669.3</v>
      </c>
      <c r="BU49">
        <v>0.46</v>
      </c>
      <c r="BV49">
        <v>300.00000000000011</v>
      </c>
      <c r="BW49">
        <v>38.4</v>
      </c>
      <c r="BX49">
        <v>689.18410356825802</v>
      </c>
      <c r="BY49">
        <v>0.74118140980607683</v>
      </c>
      <c r="BZ49">
        <v>-20.4727055990213</v>
      </c>
      <c r="CA49">
        <v>0.62516836120264929</v>
      </c>
      <c r="CB49">
        <v>0.97455468998106465</v>
      </c>
      <c r="CC49">
        <v>-1.122523893214683E-2</v>
      </c>
      <c r="CD49">
        <v>289.99999999999989</v>
      </c>
      <c r="CE49">
        <v>668.51</v>
      </c>
      <c r="CF49">
        <v>655</v>
      </c>
      <c r="CG49">
        <v>10285.6</v>
      </c>
      <c r="CH49">
        <v>669.28</v>
      </c>
      <c r="CI49">
        <v>-0.77</v>
      </c>
      <c r="CW49">
        <f t="shared" si="88"/>
        <v>1800</v>
      </c>
      <c r="CX49">
        <f t="shared" si="89"/>
        <v>1513.1846998354581</v>
      </c>
      <c r="CY49">
        <f t="shared" si="90"/>
        <v>0.8406581665752545</v>
      </c>
      <c r="CZ49">
        <f t="shared" si="91"/>
        <v>0.19131633315050928</v>
      </c>
      <c r="DA49">
        <v>6</v>
      </c>
      <c r="DB49">
        <v>0.5</v>
      </c>
      <c r="DC49" t="s">
        <v>414</v>
      </c>
      <c r="DD49">
        <v>2</v>
      </c>
      <c r="DE49">
        <v>1693333055</v>
      </c>
      <c r="DF49">
        <v>57.714399999999998</v>
      </c>
      <c r="DG49">
        <v>69.989400000000003</v>
      </c>
      <c r="DH49">
        <v>28.848099999999999</v>
      </c>
      <c r="DI49">
        <v>21.993300000000001</v>
      </c>
      <c r="DJ49">
        <v>57.718499999999999</v>
      </c>
      <c r="DK49">
        <v>29.1676</v>
      </c>
      <c r="DL49">
        <v>500.16899999999998</v>
      </c>
      <c r="DM49">
        <v>98.975800000000007</v>
      </c>
      <c r="DN49">
        <v>0.100755</v>
      </c>
      <c r="DO49">
        <v>30.3764</v>
      </c>
      <c r="DP49">
        <v>29.970300000000002</v>
      </c>
      <c r="DQ49">
        <v>999.9</v>
      </c>
      <c r="DR49">
        <v>0</v>
      </c>
      <c r="DS49">
        <v>0</v>
      </c>
      <c r="DT49">
        <v>9955</v>
      </c>
      <c r="DU49">
        <v>0</v>
      </c>
      <c r="DV49">
        <v>1736.87</v>
      </c>
      <c r="DW49">
        <v>-12.275</v>
      </c>
      <c r="DX49">
        <v>59.428800000000003</v>
      </c>
      <c r="DY49">
        <v>71.563299999999998</v>
      </c>
      <c r="DZ49">
        <v>6.8548</v>
      </c>
      <c r="EA49">
        <v>69.989400000000003</v>
      </c>
      <c r="EB49">
        <v>21.993300000000001</v>
      </c>
      <c r="EC49">
        <v>2.85527</v>
      </c>
      <c r="ED49">
        <v>2.1768100000000001</v>
      </c>
      <c r="EE49">
        <v>23.207100000000001</v>
      </c>
      <c r="EF49">
        <v>18.7926</v>
      </c>
      <c r="EG49">
        <v>1800</v>
      </c>
      <c r="EH49">
        <v>0.97800100000000001</v>
      </c>
      <c r="EI49">
        <v>2.1999100000000001E-2</v>
      </c>
      <c r="EJ49">
        <v>0</v>
      </c>
      <c r="EK49">
        <v>608.76599999999996</v>
      </c>
      <c r="EL49">
        <v>5.0002500000000003</v>
      </c>
      <c r="EM49">
        <v>19118.2</v>
      </c>
      <c r="EN49">
        <v>14822.1</v>
      </c>
      <c r="EO49">
        <v>47.061999999999998</v>
      </c>
      <c r="EP49">
        <v>48.811999999999998</v>
      </c>
      <c r="EQ49">
        <v>47.75</v>
      </c>
      <c r="ER49">
        <v>48.061999999999998</v>
      </c>
      <c r="ES49">
        <v>48.375</v>
      </c>
      <c r="ET49">
        <v>1755.51</v>
      </c>
      <c r="EU49">
        <v>39.49</v>
      </c>
      <c r="EV49">
        <v>0</v>
      </c>
      <c r="EW49">
        <v>132.79999995231631</v>
      </c>
      <c r="EX49">
        <v>0</v>
      </c>
      <c r="EY49">
        <v>609.20956000000001</v>
      </c>
      <c r="EZ49">
        <v>-1.3500769486042781</v>
      </c>
      <c r="FA49">
        <v>29.45384547911102</v>
      </c>
      <c r="FB49">
        <v>19104.276000000002</v>
      </c>
      <c r="FC49">
        <v>15</v>
      </c>
      <c r="FD49">
        <v>1693332994</v>
      </c>
      <c r="FE49" t="s">
        <v>589</v>
      </c>
      <c r="FF49">
        <v>1693332986</v>
      </c>
      <c r="FG49">
        <v>1693332994</v>
      </c>
      <c r="FH49">
        <v>54</v>
      </c>
      <c r="FI49">
        <v>4.7E-2</v>
      </c>
      <c r="FJ49">
        <v>-2E-3</v>
      </c>
      <c r="FK49">
        <v>-4.0000000000000001E-3</v>
      </c>
      <c r="FL49">
        <v>-0.32</v>
      </c>
      <c r="FM49">
        <v>70</v>
      </c>
      <c r="FN49">
        <v>22</v>
      </c>
      <c r="FO49">
        <v>0.34</v>
      </c>
      <c r="FP49">
        <v>0.04</v>
      </c>
      <c r="FQ49">
        <v>9.9373465454213274</v>
      </c>
      <c r="FR49">
        <v>0.18553828217206411</v>
      </c>
      <c r="FS49">
        <v>3.7086991398356639E-2</v>
      </c>
      <c r="FT49">
        <v>1</v>
      </c>
      <c r="FU49">
        <v>0.43609866434758071</v>
      </c>
      <c r="FV49">
        <v>4.9558158755407762E-2</v>
      </c>
      <c r="FW49">
        <v>4.7166935090204544E-3</v>
      </c>
      <c r="FX49">
        <v>1</v>
      </c>
      <c r="FY49">
        <v>2</v>
      </c>
      <c r="FZ49">
        <v>2</v>
      </c>
      <c r="GA49" t="s">
        <v>415</v>
      </c>
      <c r="GB49">
        <v>2.91642</v>
      </c>
      <c r="GC49">
        <v>2.8302499999999999</v>
      </c>
      <c r="GD49">
        <v>1.5729900000000002E-2</v>
      </c>
      <c r="GE49">
        <v>1.8577199999999999E-2</v>
      </c>
      <c r="GF49">
        <v>0.13502800000000001</v>
      </c>
      <c r="GG49">
        <v>0.106673</v>
      </c>
      <c r="GH49">
        <v>25533.5</v>
      </c>
      <c r="GI49">
        <v>31256.799999999999</v>
      </c>
      <c r="GJ49">
        <v>23365.3</v>
      </c>
      <c r="GK49">
        <v>29173.5</v>
      </c>
      <c r="GL49">
        <v>27575.200000000001</v>
      </c>
      <c r="GM49">
        <v>36932.800000000003</v>
      </c>
      <c r="GN49">
        <v>33041</v>
      </c>
      <c r="GO49">
        <v>43113.9</v>
      </c>
      <c r="GP49">
        <v>1.9478</v>
      </c>
      <c r="GQ49">
        <v>1.6961999999999999</v>
      </c>
      <c r="GR49">
        <v>-1.4156100000000001E-3</v>
      </c>
      <c r="GS49">
        <v>0</v>
      </c>
      <c r="GT49">
        <v>29.993300000000001</v>
      </c>
      <c r="GU49">
        <v>999.9</v>
      </c>
      <c r="GV49">
        <v>28.6</v>
      </c>
      <c r="GW49">
        <v>47.6</v>
      </c>
      <c r="GX49">
        <v>31.8081</v>
      </c>
      <c r="GY49">
        <v>61.468400000000003</v>
      </c>
      <c r="GZ49">
        <v>40.100200000000001</v>
      </c>
      <c r="HA49">
        <v>1</v>
      </c>
      <c r="HB49">
        <v>0.63812999999999998</v>
      </c>
      <c r="HC49">
        <v>4.0746399999999996</v>
      </c>
      <c r="HD49">
        <v>20.212499999999999</v>
      </c>
      <c r="HE49">
        <v>5.2088999999999999</v>
      </c>
      <c r="HF49">
        <v>11.8782</v>
      </c>
      <c r="HG49">
        <v>4.9832000000000001</v>
      </c>
      <c r="HH49">
        <v>3.2839999999999998</v>
      </c>
      <c r="HI49">
        <v>9999</v>
      </c>
      <c r="HJ49">
        <v>9999</v>
      </c>
      <c r="HK49">
        <v>9999</v>
      </c>
      <c r="HL49">
        <v>999.9</v>
      </c>
      <c r="HM49">
        <v>1.8548</v>
      </c>
      <c r="HN49">
        <v>1.8608100000000001</v>
      </c>
      <c r="HO49">
        <v>1.85806</v>
      </c>
      <c r="HP49">
        <v>1.8591299999999999</v>
      </c>
      <c r="HQ49">
        <v>1.8585199999999999</v>
      </c>
      <c r="HR49">
        <v>1.8591</v>
      </c>
      <c r="HS49">
        <v>1.85741</v>
      </c>
      <c r="HT49">
        <v>1.86066</v>
      </c>
      <c r="HU49">
        <v>5</v>
      </c>
      <c r="HV49">
        <v>0</v>
      </c>
      <c r="HW49">
        <v>0</v>
      </c>
      <c r="HX49">
        <v>0</v>
      </c>
      <c r="HY49" t="s">
        <v>416</v>
      </c>
      <c r="HZ49" t="s">
        <v>417</v>
      </c>
      <c r="IA49" t="s">
        <v>418</v>
      </c>
      <c r="IB49" t="s">
        <v>418</v>
      </c>
      <c r="IC49" t="s">
        <v>418</v>
      </c>
      <c r="ID49" t="s">
        <v>418</v>
      </c>
      <c r="IE49">
        <v>0</v>
      </c>
      <c r="IF49">
        <v>100</v>
      </c>
      <c r="IG49">
        <v>100</v>
      </c>
      <c r="IH49">
        <v>-4.0000000000000001E-3</v>
      </c>
      <c r="II49">
        <v>-0.31950000000000001</v>
      </c>
      <c r="IJ49">
        <v>-4.0952380952319336E-3</v>
      </c>
      <c r="IK49">
        <v>0</v>
      </c>
      <c r="IL49">
        <v>0</v>
      </c>
      <c r="IM49">
        <v>0</v>
      </c>
      <c r="IN49">
        <v>-0.31950000000000139</v>
      </c>
      <c r="IO49">
        <v>0</v>
      </c>
      <c r="IP49">
        <v>0</v>
      </c>
      <c r="IQ49">
        <v>0</v>
      </c>
      <c r="IR49">
        <v>-1</v>
      </c>
      <c r="IS49">
        <v>-1</v>
      </c>
      <c r="IT49">
        <v>-1</v>
      </c>
      <c r="IU49">
        <v>-1</v>
      </c>
      <c r="IV49">
        <v>1.1000000000000001</v>
      </c>
      <c r="IW49">
        <v>1</v>
      </c>
      <c r="IX49">
        <v>0.29663099999999998</v>
      </c>
      <c r="IY49">
        <v>2.5305200000000001</v>
      </c>
      <c r="IZ49">
        <v>1.49414</v>
      </c>
      <c r="JA49">
        <v>2.2863799999999999</v>
      </c>
      <c r="JB49">
        <v>1.54419</v>
      </c>
      <c r="JC49">
        <v>2.4279799999999998</v>
      </c>
      <c r="JD49">
        <v>51.099699999999999</v>
      </c>
      <c r="JE49">
        <v>24.026199999999999</v>
      </c>
      <c r="JF49">
        <v>18</v>
      </c>
      <c r="JG49">
        <v>521.57299999999998</v>
      </c>
      <c r="JH49">
        <v>385.78100000000001</v>
      </c>
      <c r="JI49">
        <v>24.486999999999998</v>
      </c>
      <c r="JJ49">
        <v>35.118400000000001</v>
      </c>
      <c r="JK49">
        <v>30.001000000000001</v>
      </c>
      <c r="JL49">
        <v>35.032299999999999</v>
      </c>
      <c r="JM49">
        <v>35.0124</v>
      </c>
      <c r="JN49">
        <v>6.0106599999999997</v>
      </c>
      <c r="JO49">
        <v>29.170500000000001</v>
      </c>
      <c r="JP49">
        <v>0</v>
      </c>
      <c r="JQ49">
        <v>24.4786</v>
      </c>
      <c r="JR49">
        <v>70</v>
      </c>
      <c r="JS49">
        <v>21.929099999999998</v>
      </c>
      <c r="JT49">
        <v>97.991200000000006</v>
      </c>
      <c r="JU49">
        <v>97.0655</v>
      </c>
    </row>
    <row r="50" spans="1:281" x14ac:dyDescent="0.25">
      <c r="A50">
        <v>48</v>
      </c>
      <c r="B50">
        <v>1693333159.5</v>
      </c>
      <c r="C50">
        <v>11752.900000095369</v>
      </c>
      <c r="D50" t="s">
        <v>590</v>
      </c>
      <c r="E50" t="s">
        <v>591</v>
      </c>
      <c r="F50" t="s">
        <v>411</v>
      </c>
      <c r="G50" t="s">
        <v>565</v>
      </c>
      <c r="H50" t="s">
        <v>566</v>
      </c>
      <c r="I50" t="s">
        <v>31</v>
      </c>
      <c r="J50">
        <v>1693333159.5</v>
      </c>
      <c r="K50">
        <f t="shared" si="46"/>
        <v>5.6440929771699915E-3</v>
      </c>
      <c r="L50">
        <f t="shared" si="47"/>
        <v>5.6440929771699917</v>
      </c>
      <c r="M50">
        <f t="shared" si="48"/>
        <v>4.367013344283083</v>
      </c>
      <c r="N50">
        <f t="shared" si="49"/>
        <v>24.611599999999999</v>
      </c>
      <c r="O50">
        <f t="shared" si="50"/>
        <v>6.1771943844763912</v>
      </c>
      <c r="P50">
        <f t="shared" si="51"/>
        <v>0.61200774693074644</v>
      </c>
      <c r="Q50">
        <f t="shared" si="52"/>
        <v>2.4384030883362802</v>
      </c>
      <c r="R50">
        <f t="shared" si="53"/>
        <v>0.41245949318294411</v>
      </c>
      <c r="S50">
        <f t="shared" si="54"/>
        <v>2.9150146294032551</v>
      </c>
      <c r="T50">
        <f t="shared" si="55"/>
        <v>0.3825646853629196</v>
      </c>
      <c r="U50">
        <f t="shared" si="56"/>
        <v>0.24160804781321138</v>
      </c>
      <c r="V50">
        <f t="shared" si="57"/>
        <v>344.37509967092222</v>
      </c>
      <c r="W50">
        <f t="shared" si="58"/>
        <v>30.989373118359694</v>
      </c>
      <c r="X50">
        <f t="shared" si="59"/>
        <v>30.0122</v>
      </c>
      <c r="Y50">
        <f t="shared" si="60"/>
        <v>4.2634362284972411</v>
      </c>
      <c r="Z50">
        <f t="shared" si="61"/>
        <v>65.380637061866821</v>
      </c>
      <c r="AA50">
        <f t="shared" si="62"/>
        <v>2.8542520897288703</v>
      </c>
      <c r="AB50">
        <f t="shared" si="63"/>
        <v>4.3655923496554756</v>
      </c>
      <c r="AC50">
        <f t="shared" si="64"/>
        <v>1.4091841387683708</v>
      </c>
      <c r="AD50">
        <f t="shared" si="65"/>
        <v>-248.90450029319663</v>
      </c>
      <c r="AE50">
        <f t="shared" si="66"/>
        <v>64.888997546390414</v>
      </c>
      <c r="AF50">
        <f t="shared" si="67"/>
        <v>4.960317376334678</v>
      </c>
      <c r="AG50">
        <f t="shared" si="68"/>
        <v>165.31991430045068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51844.063457233809</v>
      </c>
      <c r="AM50" t="s">
        <v>413</v>
      </c>
      <c r="AN50">
        <v>10366.9</v>
      </c>
      <c r="AO50">
        <v>993.59653846153856</v>
      </c>
      <c r="AP50">
        <v>3431.87</v>
      </c>
      <c r="AQ50">
        <f t="shared" si="72"/>
        <v>0.71047955241266758</v>
      </c>
      <c r="AR50">
        <v>-3.9894345373445681</v>
      </c>
      <c r="AS50" t="s">
        <v>592</v>
      </c>
      <c r="AT50">
        <v>10304.200000000001</v>
      </c>
      <c r="AU50">
        <v>614.60524000000009</v>
      </c>
      <c r="AV50">
        <v>668.33640447303276</v>
      </c>
      <c r="AW50">
        <f t="shared" si="73"/>
        <v>8.0395387881643798E-2</v>
      </c>
      <c r="AX50">
        <v>0.5</v>
      </c>
      <c r="AY50">
        <f t="shared" si="74"/>
        <v>1513.2098998354611</v>
      </c>
      <c r="AZ50">
        <f t="shared" si="75"/>
        <v>4.367013344283083</v>
      </c>
      <c r="BA50">
        <f t="shared" si="76"/>
        <v>60.827548421807627</v>
      </c>
      <c r="BB50">
        <f t="shared" si="77"/>
        <v>5.522332283536005E-3</v>
      </c>
      <c r="BC50">
        <f t="shared" si="78"/>
        <v>4.1349439848424048</v>
      </c>
      <c r="BD50">
        <f t="shared" si="79"/>
        <v>452.22044997078763</v>
      </c>
      <c r="BE50" t="s">
        <v>593</v>
      </c>
      <c r="BF50">
        <v>524.66999999999996</v>
      </c>
      <c r="BG50">
        <f t="shared" si="80"/>
        <v>524.66999999999996</v>
      </c>
      <c r="BH50">
        <f t="shared" si="81"/>
        <v>0.21496121341214436</v>
      </c>
      <c r="BI50">
        <f t="shared" si="82"/>
        <v>0.37399950719250014</v>
      </c>
      <c r="BJ50">
        <f t="shared" si="83"/>
        <v>0.95058255212127385</v>
      </c>
      <c r="BK50">
        <f t="shared" si="84"/>
        <v>-0.16519443626291885</v>
      </c>
      <c r="BL50">
        <f t="shared" si="85"/>
        <v>1.133397725529637</v>
      </c>
      <c r="BM50">
        <f t="shared" si="86"/>
        <v>0.31927212569598173</v>
      </c>
      <c r="BN50">
        <f t="shared" si="87"/>
        <v>0.68072787430401827</v>
      </c>
      <c r="BO50">
        <v>16624</v>
      </c>
      <c r="BP50">
        <v>290.00000000000011</v>
      </c>
      <c r="BQ50">
        <v>654.84</v>
      </c>
      <c r="BR50">
        <v>225</v>
      </c>
      <c r="BS50">
        <v>10304.200000000001</v>
      </c>
      <c r="BT50">
        <v>653.85</v>
      </c>
      <c r="BU50">
        <v>0.99</v>
      </c>
      <c r="BV50">
        <v>300.00000000000011</v>
      </c>
      <c r="BW50">
        <v>38.4</v>
      </c>
      <c r="BX50">
        <v>668.33640447303276</v>
      </c>
      <c r="BY50">
        <v>0.72276590789474959</v>
      </c>
      <c r="BZ50">
        <v>-14.927454501140531</v>
      </c>
      <c r="CA50">
        <v>0.60961839704092002</v>
      </c>
      <c r="CB50">
        <v>0.95538498337059607</v>
      </c>
      <c r="CC50">
        <v>-1.1224855617352611E-2</v>
      </c>
      <c r="CD50">
        <v>289.99999999999989</v>
      </c>
      <c r="CE50">
        <v>651.64</v>
      </c>
      <c r="CF50">
        <v>635</v>
      </c>
      <c r="CG50">
        <v>10286.700000000001</v>
      </c>
      <c r="CH50">
        <v>653.82000000000005</v>
      </c>
      <c r="CI50">
        <v>-2.1800000000000002</v>
      </c>
      <c r="CW50">
        <f t="shared" si="88"/>
        <v>1800.03</v>
      </c>
      <c r="CX50">
        <f t="shared" si="89"/>
        <v>1513.2098998354611</v>
      </c>
      <c r="CY50">
        <f t="shared" si="90"/>
        <v>0.8406581556059961</v>
      </c>
      <c r="CZ50">
        <f t="shared" si="91"/>
        <v>0.19131631121199213</v>
      </c>
      <c r="DA50">
        <v>6</v>
      </c>
      <c r="DB50">
        <v>0.5</v>
      </c>
      <c r="DC50" t="s">
        <v>414</v>
      </c>
      <c r="DD50">
        <v>2</v>
      </c>
      <c r="DE50">
        <v>1693333159.5</v>
      </c>
      <c r="DF50">
        <v>24.611599999999999</v>
      </c>
      <c r="DG50">
        <v>30.017399999999999</v>
      </c>
      <c r="DH50">
        <v>28.808900000000001</v>
      </c>
      <c r="DI50">
        <v>22.232700000000001</v>
      </c>
      <c r="DJ50">
        <v>24.5594</v>
      </c>
      <c r="DK50">
        <v>29.1435</v>
      </c>
      <c r="DL50">
        <v>500.12099999999998</v>
      </c>
      <c r="DM50">
        <v>98.975800000000007</v>
      </c>
      <c r="DN50">
        <v>9.9558300000000002E-2</v>
      </c>
      <c r="DO50">
        <v>30.4251</v>
      </c>
      <c r="DP50">
        <v>30.0122</v>
      </c>
      <c r="DQ50">
        <v>999.9</v>
      </c>
      <c r="DR50">
        <v>0</v>
      </c>
      <c r="DS50">
        <v>0</v>
      </c>
      <c r="DT50">
        <v>10020</v>
      </c>
      <c r="DU50">
        <v>0</v>
      </c>
      <c r="DV50">
        <v>1728.45</v>
      </c>
      <c r="DW50">
        <v>-5.4058400000000004</v>
      </c>
      <c r="DX50">
        <v>25.3416</v>
      </c>
      <c r="DY50">
        <v>30.6999</v>
      </c>
      <c r="DZ50">
        <v>6.5761700000000003</v>
      </c>
      <c r="EA50">
        <v>30.017399999999999</v>
      </c>
      <c r="EB50">
        <v>22.232700000000001</v>
      </c>
      <c r="EC50">
        <v>2.8513799999999998</v>
      </c>
      <c r="ED50">
        <v>2.2004999999999999</v>
      </c>
      <c r="EE50">
        <v>23.1846</v>
      </c>
      <c r="EF50">
        <v>18.965900000000001</v>
      </c>
      <c r="EG50">
        <v>1800.03</v>
      </c>
      <c r="EH50">
        <v>0.97800100000000001</v>
      </c>
      <c r="EI50">
        <v>2.1999100000000001E-2</v>
      </c>
      <c r="EJ50">
        <v>0</v>
      </c>
      <c r="EK50">
        <v>614.76300000000003</v>
      </c>
      <c r="EL50">
        <v>5.0002500000000003</v>
      </c>
      <c r="EM50">
        <v>19238</v>
      </c>
      <c r="EN50">
        <v>14822.3</v>
      </c>
      <c r="EO50">
        <v>47.061999999999998</v>
      </c>
      <c r="EP50">
        <v>48.875</v>
      </c>
      <c r="EQ50">
        <v>47.811999999999998</v>
      </c>
      <c r="ER50">
        <v>48.061999999999998</v>
      </c>
      <c r="ES50">
        <v>48.436999999999998</v>
      </c>
      <c r="ET50">
        <v>1755.54</v>
      </c>
      <c r="EU50">
        <v>39.49</v>
      </c>
      <c r="EV50">
        <v>0</v>
      </c>
      <c r="EW50">
        <v>102.5999999046326</v>
      </c>
      <c r="EX50">
        <v>0</v>
      </c>
      <c r="EY50">
        <v>614.60524000000009</v>
      </c>
      <c r="EZ50">
        <v>-2.0682307762487682</v>
      </c>
      <c r="FA50">
        <v>-198.43846307913469</v>
      </c>
      <c r="FB50">
        <v>19258.856</v>
      </c>
      <c r="FC50">
        <v>15</v>
      </c>
      <c r="FD50">
        <v>1693333128.5</v>
      </c>
      <c r="FE50" t="s">
        <v>594</v>
      </c>
      <c r="FF50">
        <v>1693333120.5</v>
      </c>
      <c r="FG50">
        <v>1693333128.5</v>
      </c>
      <c r="FH50">
        <v>55</v>
      </c>
      <c r="FI50">
        <v>5.6000000000000001E-2</v>
      </c>
      <c r="FJ50">
        <v>-1.4999999999999999E-2</v>
      </c>
      <c r="FK50">
        <v>5.1999999999999998E-2</v>
      </c>
      <c r="FL50">
        <v>-0.33500000000000002</v>
      </c>
      <c r="FM50">
        <v>30</v>
      </c>
      <c r="FN50">
        <v>22</v>
      </c>
      <c r="FO50">
        <v>0.89</v>
      </c>
      <c r="FP50">
        <v>0.03</v>
      </c>
      <c r="FQ50">
        <v>4.3777505327286379</v>
      </c>
      <c r="FR50">
        <v>-2.5830505512806669E-2</v>
      </c>
      <c r="FS50">
        <v>6.3118647445552137E-2</v>
      </c>
      <c r="FT50">
        <v>1</v>
      </c>
      <c r="FU50">
        <v>0.40401876539638759</v>
      </c>
      <c r="FV50">
        <v>4.4214972375527573E-2</v>
      </c>
      <c r="FW50">
        <v>3.5364095262423452E-3</v>
      </c>
      <c r="FX50">
        <v>1</v>
      </c>
      <c r="FY50">
        <v>2</v>
      </c>
      <c r="FZ50">
        <v>2</v>
      </c>
      <c r="GA50" t="s">
        <v>415</v>
      </c>
      <c r="GB50">
        <v>2.91621</v>
      </c>
      <c r="GC50">
        <v>2.8296199999999998</v>
      </c>
      <c r="GD50">
        <v>6.7618000000000001E-3</v>
      </c>
      <c r="GE50">
        <v>8.0705699999999991E-3</v>
      </c>
      <c r="GF50">
        <v>0.13492299999999999</v>
      </c>
      <c r="GG50">
        <v>0.10747</v>
      </c>
      <c r="GH50">
        <v>25760.5</v>
      </c>
      <c r="GI50">
        <v>31587.5</v>
      </c>
      <c r="GJ50">
        <v>23361</v>
      </c>
      <c r="GK50">
        <v>29171</v>
      </c>
      <c r="GL50">
        <v>27574.3</v>
      </c>
      <c r="GM50">
        <v>36896.699999999997</v>
      </c>
      <c r="GN50">
        <v>33036.300000000003</v>
      </c>
      <c r="GO50">
        <v>43111.3</v>
      </c>
      <c r="GP50">
        <v>1.9456</v>
      </c>
      <c r="GQ50">
        <v>1.6940999999999999</v>
      </c>
      <c r="GR50">
        <v>-5.9604600000000003E-4</v>
      </c>
      <c r="GS50">
        <v>0</v>
      </c>
      <c r="GT50">
        <v>30.021899999999999</v>
      </c>
      <c r="GU50">
        <v>999.9</v>
      </c>
      <c r="GV50">
        <v>28.6</v>
      </c>
      <c r="GW50">
        <v>47.8</v>
      </c>
      <c r="GX50">
        <v>32.134099999999997</v>
      </c>
      <c r="GY50">
        <v>61.0884</v>
      </c>
      <c r="GZ50">
        <v>40.304499999999997</v>
      </c>
      <c r="HA50">
        <v>1</v>
      </c>
      <c r="HB50">
        <v>0.64705299999999999</v>
      </c>
      <c r="HC50">
        <v>4.2901300000000004</v>
      </c>
      <c r="HD50">
        <v>20.206900000000001</v>
      </c>
      <c r="HE50">
        <v>5.2088999999999999</v>
      </c>
      <c r="HF50">
        <v>11.8782</v>
      </c>
      <c r="HG50">
        <v>4.9832000000000001</v>
      </c>
      <c r="HH50">
        <v>3.2839999999999998</v>
      </c>
      <c r="HI50">
        <v>9999</v>
      </c>
      <c r="HJ50">
        <v>9999</v>
      </c>
      <c r="HK50">
        <v>9999</v>
      </c>
      <c r="HL50">
        <v>999.9</v>
      </c>
      <c r="HM50">
        <v>1.85486</v>
      </c>
      <c r="HN50">
        <v>1.8608100000000001</v>
      </c>
      <c r="HO50">
        <v>1.85822</v>
      </c>
      <c r="HP50">
        <v>1.85914</v>
      </c>
      <c r="HQ50">
        <v>1.85863</v>
      </c>
      <c r="HR50">
        <v>1.8591299999999999</v>
      </c>
      <c r="HS50">
        <v>1.85745</v>
      </c>
      <c r="HT50">
        <v>1.8607100000000001</v>
      </c>
      <c r="HU50">
        <v>5</v>
      </c>
      <c r="HV50">
        <v>0</v>
      </c>
      <c r="HW50">
        <v>0</v>
      </c>
      <c r="HX50">
        <v>0</v>
      </c>
      <c r="HY50" t="s">
        <v>416</v>
      </c>
      <c r="HZ50" t="s">
        <v>417</v>
      </c>
      <c r="IA50" t="s">
        <v>418</v>
      </c>
      <c r="IB50" t="s">
        <v>418</v>
      </c>
      <c r="IC50" t="s">
        <v>418</v>
      </c>
      <c r="ID50" t="s">
        <v>418</v>
      </c>
      <c r="IE50">
        <v>0</v>
      </c>
      <c r="IF50">
        <v>100</v>
      </c>
      <c r="IG50">
        <v>100</v>
      </c>
      <c r="IH50">
        <v>5.1999999999999998E-2</v>
      </c>
      <c r="II50">
        <v>-0.33460000000000001</v>
      </c>
      <c r="IJ50">
        <v>5.2125000000007297E-2</v>
      </c>
      <c r="IK50">
        <v>0</v>
      </c>
      <c r="IL50">
        <v>0</v>
      </c>
      <c r="IM50">
        <v>0</v>
      </c>
      <c r="IN50">
        <v>-0.33458500000000058</v>
      </c>
      <c r="IO50">
        <v>0</v>
      </c>
      <c r="IP50">
        <v>0</v>
      </c>
      <c r="IQ50">
        <v>0</v>
      </c>
      <c r="IR50">
        <v>-1</v>
      </c>
      <c r="IS50">
        <v>-1</v>
      </c>
      <c r="IT50">
        <v>-1</v>
      </c>
      <c r="IU50">
        <v>-1</v>
      </c>
      <c r="IV50">
        <v>0.7</v>
      </c>
      <c r="IW50">
        <v>0.5</v>
      </c>
      <c r="IX50">
        <v>0.20752000000000001</v>
      </c>
      <c r="IY50">
        <v>2.5549300000000001</v>
      </c>
      <c r="IZ50">
        <v>1.49414</v>
      </c>
      <c r="JA50">
        <v>2.2863799999999999</v>
      </c>
      <c r="JB50">
        <v>1.54419</v>
      </c>
      <c r="JC50">
        <v>2.4401899999999999</v>
      </c>
      <c r="JD50">
        <v>51.2652</v>
      </c>
      <c r="JE50">
        <v>24.017499999999998</v>
      </c>
      <c r="JF50">
        <v>18</v>
      </c>
      <c r="JG50">
        <v>520.79499999999996</v>
      </c>
      <c r="JH50">
        <v>385.00900000000001</v>
      </c>
      <c r="JI50">
        <v>24.356100000000001</v>
      </c>
      <c r="JJ50">
        <v>35.211799999999997</v>
      </c>
      <c r="JK50">
        <v>30</v>
      </c>
      <c r="JL50">
        <v>35.121400000000001</v>
      </c>
      <c r="JM50">
        <v>35.094999999999999</v>
      </c>
      <c r="JN50">
        <v>4.2184699999999999</v>
      </c>
      <c r="JO50">
        <v>28.2818</v>
      </c>
      <c r="JP50">
        <v>0</v>
      </c>
      <c r="JQ50">
        <v>24.362300000000001</v>
      </c>
      <c r="JR50">
        <v>30</v>
      </c>
      <c r="JS50">
        <v>22.156600000000001</v>
      </c>
      <c r="JT50">
        <v>97.975499999999997</v>
      </c>
      <c r="JU50">
        <v>97.058700000000002</v>
      </c>
    </row>
    <row r="51" spans="1:281" x14ac:dyDescent="0.25">
      <c r="A51">
        <v>49</v>
      </c>
      <c r="B51">
        <v>1693333275.5</v>
      </c>
      <c r="C51">
        <v>11868.900000095369</v>
      </c>
      <c r="D51" t="s">
        <v>595</v>
      </c>
      <c r="E51" t="s">
        <v>596</v>
      </c>
      <c r="F51" t="s">
        <v>411</v>
      </c>
      <c r="G51" t="s">
        <v>565</v>
      </c>
      <c r="H51" t="s">
        <v>566</v>
      </c>
      <c r="I51" t="s">
        <v>31</v>
      </c>
      <c r="J51">
        <v>1693333275.5</v>
      </c>
      <c r="K51">
        <f t="shared" si="46"/>
        <v>5.9844118346331831E-3</v>
      </c>
      <c r="L51">
        <f t="shared" si="47"/>
        <v>5.9844118346331827</v>
      </c>
      <c r="M51">
        <f t="shared" si="48"/>
        <v>1.4798787703213492</v>
      </c>
      <c r="N51">
        <f t="shared" si="49"/>
        <v>8.1488499999999995</v>
      </c>
      <c r="O51">
        <f t="shared" si="50"/>
        <v>2.3050345925831279</v>
      </c>
      <c r="P51">
        <f t="shared" si="51"/>
        <v>0.22836409441700239</v>
      </c>
      <c r="Q51">
        <f t="shared" si="52"/>
        <v>0.80732183229605003</v>
      </c>
      <c r="R51">
        <f t="shared" si="53"/>
        <v>0.44357665271259683</v>
      </c>
      <c r="S51">
        <f t="shared" si="54"/>
        <v>2.9105699402937866</v>
      </c>
      <c r="T51">
        <f t="shared" si="55"/>
        <v>0.40915423570080206</v>
      </c>
      <c r="U51">
        <f t="shared" si="56"/>
        <v>0.25859114984027104</v>
      </c>
      <c r="V51">
        <f t="shared" si="57"/>
        <v>344.38269967092953</v>
      </c>
      <c r="W51">
        <f t="shared" si="58"/>
        <v>30.861901616203152</v>
      </c>
      <c r="X51">
        <f t="shared" si="59"/>
        <v>29.9681</v>
      </c>
      <c r="Y51">
        <f t="shared" si="60"/>
        <v>4.2526495384364491</v>
      </c>
      <c r="Z51">
        <f t="shared" si="61"/>
        <v>65.55914824492001</v>
      </c>
      <c r="AA51">
        <f t="shared" si="62"/>
        <v>2.8555783170409006</v>
      </c>
      <c r="AB51">
        <f t="shared" si="63"/>
        <v>4.3557282141202487</v>
      </c>
      <c r="AC51">
        <f t="shared" si="64"/>
        <v>1.3970712213955485</v>
      </c>
      <c r="AD51">
        <f t="shared" si="65"/>
        <v>-263.91256190732338</v>
      </c>
      <c r="AE51">
        <f t="shared" si="66"/>
        <v>65.511864964317098</v>
      </c>
      <c r="AF51">
        <f t="shared" si="67"/>
        <v>5.0135049249038568</v>
      </c>
      <c r="AG51">
        <f t="shared" si="68"/>
        <v>150.99550765282714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51724.502453211549</v>
      </c>
      <c r="AM51" t="s">
        <v>413</v>
      </c>
      <c r="AN51">
        <v>10366.9</v>
      </c>
      <c r="AO51">
        <v>993.59653846153856</v>
      </c>
      <c r="AP51">
        <v>3431.87</v>
      </c>
      <c r="AQ51">
        <f t="shared" si="72"/>
        <v>0.71047955241266758</v>
      </c>
      <c r="AR51">
        <v>-3.9894345373445681</v>
      </c>
      <c r="AS51" t="s">
        <v>597</v>
      </c>
      <c r="AT51">
        <v>10308.299999999999</v>
      </c>
      <c r="AU51">
        <v>616.89907999999991</v>
      </c>
      <c r="AV51">
        <v>658.21615416853854</v>
      </c>
      <c r="AW51">
        <f t="shared" si="73"/>
        <v>6.2771285552434608E-2</v>
      </c>
      <c r="AX51">
        <v>0.5</v>
      </c>
      <c r="AY51">
        <f t="shared" si="74"/>
        <v>1513.2434998354645</v>
      </c>
      <c r="AZ51">
        <f t="shared" si="75"/>
        <v>1.4798787703213492</v>
      </c>
      <c r="BA51">
        <f t="shared" si="76"/>
        <v>47.494119919268741</v>
      </c>
      <c r="BB51">
        <f t="shared" si="77"/>
        <v>3.6142982330739223E-3</v>
      </c>
      <c r="BC51">
        <f t="shared" si="78"/>
        <v>4.2138951289263824</v>
      </c>
      <c r="BD51">
        <f t="shared" si="79"/>
        <v>447.56423341882476</v>
      </c>
      <c r="BE51" t="s">
        <v>598</v>
      </c>
      <c r="BF51">
        <v>530.22</v>
      </c>
      <c r="BG51">
        <f t="shared" si="80"/>
        <v>530.22</v>
      </c>
      <c r="BH51">
        <f t="shared" si="81"/>
        <v>0.19445915047500439</v>
      </c>
      <c r="BI51">
        <f t="shared" si="82"/>
        <v>0.32279934062811377</v>
      </c>
      <c r="BJ51">
        <f t="shared" si="83"/>
        <v>0.95588849304067047</v>
      </c>
      <c r="BK51">
        <f t="shared" si="84"/>
        <v>-0.12319466523254557</v>
      </c>
      <c r="BL51">
        <f t="shared" si="85"/>
        <v>1.1375483060383993</v>
      </c>
      <c r="BM51">
        <f t="shared" si="86"/>
        <v>0.27744354293385964</v>
      </c>
      <c r="BN51">
        <f t="shared" si="87"/>
        <v>0.72255645706614036</v>
      </c>
      <c r="BO51">
        <v>16626</v>
      </c>
      <c r="BP51">
        <v>290.00000000000011</v>
      </c>
      <c r="BQ51">
        <v>647.16</v>
      </c>
      <c r="BR51">
        <v>195</v>
      </c>
      <c r="BS51">
        <v>10308.299999999999</v>
      </c>
      <c r="BT51">
        <v>646.38</v>
      </c>
      <c r="BU51">
        <v>0.78</v>
      </c>
      <c r="BV51">
        <v>300.00000000000011</v>
      </c>
      <c r="BW51">
        <v>38.4</v>
      </c>
      <c r="BX51">
        <v>658.21615416853854</v>
      </c>
      <c r="BY51">
        <v>0.86478832657901805</v>
      </c>
      <c r="BZ51">
        <v>-12.197993234690671</v>
      </c>
      <c r="CA51">
        <v>0.72941389714229632</v>
      </c>
      <c r="CB51">
        <v>0.90899013085983005</v>
      </c>
      <c r="CC51">
        <v>-1.122493081201336E-2</v>
      </c>
      <c r="CD51">
        <v>289.99999999999989</v>
      </c>
      <c r="CE51">
        <v>645.20000000000005</v>
      </c>
      <c r="CF51">
        <v>685</v>
      </c>
      <c r="CG51">
        <v>10283.200000000001</v>
      </c>
      <c r="CH51">
        <v>646.35</v>
      </c>
      <c r="CI51">
        <v>-1.1499999999999999</v>
      </c>
      <c r="CW51">
        <f t="shared" si="88"/>
        <v>1800.07</v>
      </c>
      <c r="CX51">
        <f t="shared" si="89"/>
        <v>1513.2434998354645</v>
      </c>
      <c r="CY51">
        <f t="shared" si="90"/>
        <v>0.84065814098088665</v>
      </c>
      <c r="CZ51">
        <f t="shared" si="91"/>
        <v>0.19131628196177344</v>
      </c>
      <c r="DA51">
        <v>6</v>
      </c>
      <c r="DB51">
        <v>0.5</v>
      </c>
      <c r="DC51" t="s">
        <v>414</v>
      </c>
      <c r="DD51">
        <v>2</v>
      </c>
      <c r="DE51">
        <v>1693333275.5</v>
      </c>
      <c r="DF51">
        <v>8.1488499999999995</v>
      </c>
      <c r="DG51">
        <v>9.9826700000000006</v>
      </c>
      <c r="DH51">
        <v>28.8233</v>
      </c>
      <c r="DI51">
        <v>21.851099999999999</v>
      </c>
      <c r="DJ51">
        <v>8.0887700000000002</v>
      </c>
      <c r="DK51">
        <v>29.1555</v>
      </c>
      <c r="DL51">
        <v>500.15100000000001</v>
      </c>
      <c r="DM51">
        <v>98.971500000000006</v>
      </c>
      <c r="DN51">
        <v>0.100373</v>
      </c>
      <c r="DO51">
        <v>30.3856</v>
      </c>
      <c r="DP51">
        <v>29.9681</v>
      </c>
      <c r="DQ51">
        <v>999.9</v>
      </c>
      <c r="DR51">
        <v>0</v>
      </c>
      <c r="DS51">
        <v>0</v>
      </c>
      <c r="DT51">
        <v>9995</v>
      </c>
      <c r="DU51">
        <v>0</v>
      </c>
      <c r="DV51">
        <v>1688.36</v>
      </c>
      <c r="DW51">
        <v>-1.83382</v>
      </c>
      <c r="DX51">
        <v>8.3907000000000007</v>
      </c>
      <c r="DY51">
        <v>10.2057</v>
      </c>
      <c r="DZ51">
        <v>6.9721799999999998</v>
      </c>
      <c r="EA51">
        <v>9.9826700000000006</v>
      </c>
      <c r="EB51">
        <v>21.851099999999999</v>
      </c>
      <c r="EC51">
        <v>2.8526799999999999</v>
      </c>
      <c r="ED51">
        <v>2.1626400000000001</v>
      </c>
      <c r="EE51">
        <v>23.1922</v>
      </c>
      <c r="EF51">
        <v>18.688199999999998</v>
      </c>
      <c r="EG51">
        <v>1800.07</v>
      </c>
      <c r="EH51">
        <v>0.97800100000000001</v>
      </c>
      <c r="EI51">
        <v>2.1999100000000001E-2</v>
      </c>
      <c r="EJ51">
        <v>0</v>
      </c>
      <c r="EK51">
        <v>616.99599999999998</v>
      </c>
      <c r="EL51">
        <v>5.0002500000000003</v>
      </c>
      <c r="EM51">
        <v>19241.099999999999</v>
      </c>
      <c r="EN51">
        <v>14822.7</v>
      </c>
      <c r="EO51">
        <v>47.061999999999998</v>
      </c>
      <c r="EP51">
        <v>48.811999999999998</v>
      </c>
      <c r="EQ51">
        <v>47.811999999999998</v>
      </c>
      <c r="ER51">
        <v>48</v>
      </c>
      <c r="ES51">
        <v>48.436999999999998</v>
      </c>
      <c r="ET51">
        <v>1755.58</v>
      </c>
      <c r="EU51">
        <v>39.49</v>
      </c>
      <c r="EV51">
        <v>0</v>
      </c>
      <c r="EW51">
        <v>114.2000000476837</v>
      </c>
      <c r="EX51">
        <v>0</v>
      </c>
      <c r="EY51">
        <v>616.89907999999991</v>
      </c>
      <c r="EZ51">
        <v>-0.22976923804128571</v>
      </c>
      <c r="FA51">
        <v>-273.07692354664539</v>
      </c>
      <c r="FB51">
        <v>19234.736000000001</v>
      </c>
      <c r="FC51">
        <v>15</v>
      </c>
      <c r="FD51">
        <v>1693333241</v>
      </c>
      <c r="FE51" t="s">
        <v>599</v>
      </c>
      <c r="FF51">
        <v>1693333227.5</v>
      </c>
      <c r="FG51">
        <v>1693333241</v>
      </c>
      <c r="FH51">
        <v>56</v>
      </c>
      <c r="FI51">
        <v>8.0000000000000002E-3</v>
      </c>
      <c r="FJ51">
        <v>2E-3</v>
      </c>
      <c r="FK51">
        <v>0.06</v>
      </c>
      <c r="FL51">
        <v>-0.33200000000000002</v>
      </c>
      <c r="FM51">
        <v>10</v>
      </c>
      <c r="FN51">
        <v>22</v>
      </c>
      <c r="FO51">
        <v>1.3</v>
      </c>
      <c r="FP51">
        <v>0.04</v>
      </c>
      <c r="FQ51">
        <v>1.4186418317196481</v>
      </c>
      <c r="FR51">
        <v>7.6594202607397424E-2</v>
      </c>
      <c r="FS51">
        <v>6.3303177899836138E-2</v>
      </c>
      <c r="FT51">
        <v>1</v>
      </c>
      <c r="FU51">
        <v>0.43972410801227529</v>
      </c>
      <c r="FV51">
        <v>4.5049780972744563E-2</v>
      </c>
      <c r="FW51">
        <v>3.5740614386710889E-3</v>
      </c>
      <c r="FX51">
        <v>1</v>
      </c>
      <c r="FY51">
        <v>2</v>
      </c>
      <c r="FZ51">
        <v>2</v>
      </c>
      <c r="GA51" t="s">
        <v>415</v>
      </c>
      <c r="GB51">
        <v>2.9162300000000001</v>
      </c>
      <c r="GC51">
        <v>2.8302200000000002</v>
      </c>
      <c r="GD51">
        <v>2.2343900000000002E-3</v>
      </c>
      <c r="GE51">
        <v>2.6945099999999998E-3</v>
      </c>
      <c r="GF51">
        <v>0.13494100000000001</v>
      </c>
      <c r="GG51">
        <v>0.10614800000000001</v>
      </c>
      <c r="GH51">
        <v>25878.1</v>
      </c>
      <c r="GI51">
        <v>31758.5</v>
      </c>
      <c r="GJ51">
        <v>23361.599999999999</v>
      </c>
      <c r="GK51">
        <v>29171.4</v>
      </c>
      <c r="GL51">
        <v>27573.599999999999</v>
      </c>
      <c r="GM51">
        <v>36951.4</v>
      </c>
      <c r="GN51">
        <v>33036.300000000003</v>
      </c>
      <c r="GO51">
        <v>43112.1</v>
      </c>
      <c r="GP51">
        <v>1.9467000000000001</v>
      </c>
      <c r="GQ51">
        <v>1.6918</v>
      </c>
      <c r="GR51">
        <v>-5.9604600000000003E-4</v>
      </c>
      <c r="GS51">
        <v>0</v>
      </c>
      <c r="GT51">
        <v>29.977799999999998</v>
      </c>
      <c r="GU51">
        <v>999.9</v>
      </c>
      <c r="GV51">
        <v>28.5</v>
      </c>
      <c r="GW51">
        <v>47.9</v>
      </c>
      <c r="GX51">
        <v>32.182899999999997</v>
      </c>
      <c r="GY51">
        <v>61.608400000000003</v>
      </c>
      <c r="GZ51">
        <v>40.773200000000003</v>
      </c>
      <c r="HA51">
        <v>1</v>
      </c>
      <c r="HB51">
        <v>0.64722599999999997</v>
      </c>
      <c r="HC51">
        <v>3.8230900000000001</v>
      </c>
      <c r="HD51">
        <v>20.217400000000001</v>
      </c>
      <c r="HE51">
        <v>5.2095000000000002</v>
      </c>
      <c r="HF51">
        <v>11.8782</v>
      </c>
      <c r="HG51">
        <v>4.984</v>
      </c>
      <c r="HH51">
        <v>3.2839999999999998</v>
      </c>
      <c r="HI51">
        <v>9999</v>
      </c>
      <c r="HJ51">
        <v>9999</v>
      </c>
      <c r="HK51">
        <v>9999</v>
      </c>
      <c r="HL51">
        <v>999.9</v>
      </c>
      <c r="HM51">
        <v>1.85486</v>
      </c>
      <c r="HN51">
        <v>1.86084</v>
      </c>
      <c r="HO51">
        <v>1.85822</v>
      </c>
      <c r="HP51">
        <v>1.8591899999999999</v>
      </c>
      <c r="HQ51">
        <v>1.8586499999999999</v>
      </c>
      <c r="HR51">
        <v>1.8591299999999999</v>
      </c>
      <c r="HS51">
        <v>1.85745</v>
      </c>
      <c r="HT51">
        <v>1.8608</v>
      </c>
      <c r="HU51">
        <v>5</v>
      </c>
      <c r="HV51">
        <v>0</v>
      </c>
      <c r="HW51">
        <v>0</v>
      </c>
      <c r="HX51">
        <v>0</v>
      </c>
      <c r="HY51" t="s">
        <v>416</v>
      </c>
      <c r="HZ51" t="s">
        <v>417</v>
      </c>
      <c r="IA51" t="s">
        <v>418</v>
      </c>
      <c r="IB51" t="s">
        <v>418</v>
      </c>
      <c r="IC51" t="s">
        <v>418</v>
      </c>
      <c r="ID51" t="s">
        <v>418</v>
      </c>
      <c r="IE51">
        <v>0</v>
      </c>
      <c r="IF51">
        <v>100</v>
      </c>
      <c r="IG51">
        <v>100</v>
      </c>
      <c r="IH51">
        <v>0.06</v>
      </c>
      <c r="II51">
        <v>-0.3322</v>
      </c>
      <c r="IJ51">
        <v>6.0079999999997469E-2</v>
      </c>
      <c r="IK51">
        <v>0</v>
      </c>
      <c r="IL51">
        <v>0</v>
      </c>
      <c r="IM51">
        <v>0</v>
      </c>
      <c r="IN51">
        <v>-0.33218000000000458</v>
      </c>
      <c r="IO51">
        <v>0</v>
      </c>
      <c r="IP51">
        <v>0</v>
      </c>
      <c r="IQ51">
        <v>0</v>
      </c>
      <c r="IR51">
        <v>-1</v>
      </c>
      <c r="IS51">
        <v>-1</v>
      </c>
      <c r="IT51">
        <v>-1</v>
      </c>
      <c r="IU51">
        <v>-1</v>
      </c>
      <c r="IV51">
        <v>0.8</v>
      </c>
      <c r="IW51">
        <v>0.6</v>
      </c>
      <c r="IX51">
        <v>0.162354</v>
      </c>
      <c r="IY51">
        <v>2.5720200000000002</v>
      </c>
      <c r="IZ51">
        <v>1.49414</v>
      </c>
      <c r="JA51">
        <v>2.2863799999999999</v>
      </c>
      <c r="JB51">
        <v>1.54419</v>
      </c>
      <c r="JC51">
        <v>2.5671400000000002</v>
      </c>
      <c r="JD51">
        <v>51.431399999999996</v>
      </c>
      <c r="JE51">
        <v>24.035</v>
      </c>
      <c r="JF51">
        <v>18</v>
      </c>
      <c r="JG51">
        <v>521.952</v>
      </c>
      <c r="JH51">
        <v>383.916</v>
      </c>
      <c r="JI51">
        <v>24.571400000000001</v>
      </c>
      <c r="JJ51">
        <v>35.253799999999998</v>
      </c>
      <c r="JK51">
        <v>30.0001</v>
      </c>
      <c r="JL51">
        <v>35.172499999999999</v>
      </c>
      <c r="JM51">
        <v>35.146000000000001</v>
      </c>
      <c r="JN51">
        <v>3.3183199999999999</v>
      </c>
      <c r="JO51">
        <v>30.246099999999998</v>
      </c>
      <c r="JP51">
        <v>0</v>
      </c>
      <c r="JQ51">
        <v>24.572199999999999</v>
      </c>
      <c r="JR51">
        <v>10</v>
      </c>
      <c r="JS51">
        <v>21.701499999999999</v>
      </c>
      <c r="JT51">
        <v>97.976500000000001</v>
      </c>
      <c r="JU51">
        <v>97.060299999999998</v>
      </c>
    </row>
    <row r="52" spans="1:281" x14ac:dyDescent="0.25">
      <c r="A52">
        <v>50</v>
      </c>
      <c r="B52">
        <v>1693333465</v>
      </c>
      <c r="C52">
        <v>12058.400000095369</v>
      </c>
      <c r="D52" t="s">
        <v>600</v>
      </c>
      <c r="E52" t="s">
        <v>601</v>
      </c>
      <c r="F52" t="s">
        <v>411</v>
      </c>
      <c r="G52" t="s">
        <v>565</v>
      </c>
      <c r="H52" t="s">
        <v>566</v>
      </c>
      <c r="I52" t="s">
        <v>31</v>
      </c>
      <c r="J52">
        <v>1693333465</v>
      </c>
      <c r="K52">
        <f t="shared" si="46"/>
        <v>5.516856294542077E-3</v>
      </c>
      <c r="L52">
        <f t="shared" si="47"/>
        <v>5.5168562945420767</v>
      </c>
      <c r="M52">
        <f t="shared" si="48"/>
        <v>38.166368633743218</v>
      </c>
      <c r="N52">
        <f t="shared" si="49"/>
        <v>351.88</v>
      </c>
      <c r="O52">
        <f t="shared" si="50"/>
        <v>181.65505160772921</v>
      </c>
      <c r="P52">
        <f t="shared" si="51"/>
        <v>17.996639950880255</v>
      </c>
      <c r="Q52">
        <f t="shared" si="52"/>
        <v>34.860894920724</v>
      </c>
      <c r="R52">
        <f t="shared" si="53"/>
        <v>0.39657936529342103</v>
      </c>
      <c r="S52">
        <f t="shared" si="54"/>
        <v>2.9131778890269402</v>
      </c>
      <c r="T52">
        <f t="shared" si="55"/>
        <v>0.36884313172119171</v>
      </c>
      <c r="U52">
        <f t="shared" si="56"/>
        <v>0.23285709358131598</v>
      </c>
      <c r="V52">
        <f t="shared" si="57"/>
        <v>344.38269967092953</v>
      </c>
      <c r="W52">
        <f t="shared" si="58"/>
        <v>31.063914958723522</v>
      </c>
      <c r="X52">
        <f t="shared" si="59"/>
        <v>30.018599999999999</v>
      </c>
      <c r="Y52">
        <f t="shared" si="60"/>
        <v>4.2650036234208688</v>
      </c>
      <c r="Z52">
        <f t="shared" si="61"/>
        <v>64.817019000260558</v>
      </c>
      <c r="AA52">
        <f t="shared" si="62"/>
        <v>2.8362965976324297</v>
      </c>
      <c r="AB52">
        <f t="shared" si="63"/>
        <v>4.3758516534384713</v>
      </c>
      <c r="AC52">
        <f t="shared" si="64"/>
        <v>1.4287070257884391</v>
      </c>
      <c r="AD52">
        <f t="shared" si="65"/>
        <v>-243.29336258930559</v>
      </c>
      <c r="AE52">
        <f t="shared" si="66"/>
        <v>70.282222743066384</v>
      </c>
      <c r="AF52">
        <f t="shared" si="67"/>
        <v>5.3772408348034437</v>
      </c>
      <c r="AG52">
        <f t="shared" si="68"/>
        <v>176.74880065949378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51784.789083324235</v>
      </c>
      <c r="AM52" t="s">
        <v>413</v>
      </c>
      <c r="AN52">
        <v>10366.9</v>
      </c>
      <c r="AO52">
        <v>993.59653846153856</v>
      </c>
      <c r="AP52">
        <v>3431.87</v>
      </c>
      <c r="AQ52">
        <f t="shared" si="72"/>
        <v>0.71047955241266758</v>
      </c>
      <c r="AR52">
        <v>-3.9894345373445681</v>
      </c>
      <c r="AS52" t="s">
        <v>602</v>
      </c>
      <c r="AT52">
        <v>10302.1</v>
      </c>
      <c r="AU52">
        <v>622.39643999999998</v>
      </c>
      <c r="AV52">
        <v>899.27478442582333</v>
      </c>
      <c r="AW52">
        <f t="shared" si="73"/>
        <v>0.30789070173095867</v>
      </c>
      <c r="AX52">
        <v>0.5</v>
      </c>
      <c r="AY52">
        <f t="shared" si="74"/>
        <v>1513.2434998354645</v>
      </c>
      <c r="AZ52">
        <f t="shared" si="75"/>
        <v>38.166368633743218</v>
      </c>
      <c r="BA52">
        <f t="shared" si="76"/>
        <v>232.95680152707649</v>
      </c>
      <c r="BB52">
        <f t="shared" si="77"/>
        <v>2.7857911285045268E-2</v>
      </c>
      <c r="BC52">
        <f t="shared" si="78"/>
        <v>2.8162640156659231</v>
      </c>
      <c r="BD52">
        <f t="shared" si="79"/>
        <v>547.3257339973045</v>
      </c>
      <c r="BE52" t="s">
        <v>603</v>
      </c>
      <c r="BF52">
        <v>516.19000000000005</v>
      </c>
      <c r="BG52">
        <f t="shared" si="80"/>
        <v>516.19000000000005</v>
      </c>
      <c r="BH52">
        <f t="shared" si="81"/>
        <v>0.42599302355666357</v>
      </c>
      <c r="BI52">
        <f t="shared" si="82"/>
        <v>0.72275996249972518</v>
      </c>
      <c r="BJ52">
        <f t="shared" si="83"/>
        <v>0.86861219872351447</v>
      </c>
      <c r="BK52">
        <f t="shared" si="84"/>
        <v>-2.9354664494574867</v>
      </c>
      <c r="BL52">
        <f t="shared" si="85"/>
        <v>1.0386838291617222</v>
      </c>
      <c r="BM52">
        <f t="shared" si="86"/>
        <v>0.59942737629208354</v>
      </c>
      <c r="BN52">
        <f t="shared" si="87"/>
        <v>0.40057262370791646</v>
      </c>
      <c r="BO52">
        <v>16628</v>
      </c>
      <c r="BP52">
        <v>290.00000000000011</v>
      </c>
      <c r="BQ52">
        <v>810.43</v>
      </c>
      <c r="BR52">
        <v>255</v>
      </c>
      <c r="BS52">
        <v>10302.1</v>
      </c>
      <c r="BT52">
        <v>809.73</v>
      </c>
      <c r="BU52">
        <v>0.7</v>
      </c>
      <c r="BV52">
        <v>300.00000000000011</v>
      </c>
      <c r="BW52">
        <v>38.4</v>
      </c>
      <c r="BX52">
        <v>899.27478442582333</v>
      </c>
      <c r="BY52">
        <v>1.2042227259683731</v>
      </c>
      <c r="BZ52">
        <v>-92.250369888471809</v>
      </c>
      <c r="CA52">
        <v>1.0158485721389769</v>
      </c>
      <c r="CB52">
        <v>0.99661617667174063</v>
      </c>
      <c r="CC52">
        <v>-1.122701268075639E-2</v>
      </c>
      <c r="CD52">
        <v>289.99999999999989</v>
      </c>
      <c r="CE52">
        <v>791.35</v>
      </c>
      <c r="CF52">
        <v>625</v>
      </c>
      <c r="CG52">
        <v>10289</v>
      </c>
      <c r="CH52">
        <v>809.62</v>
      </c>
      <c r="CI52">
        <v>-18.27</v>
      </c>
      <c r="CW52">
        <f t="shared" si="88"/>
        <v>1800.07</v>
      </c>
      <c r="CX52">
        <f t="shared" si="89"/>
        <v>1513.2434998354645</v>
      </c>
      <c r="CY52">
        <f t="shared" si="90"/>
        <v>0.84065814098088665</v>
      </c>
      <c r="CZ52">
        <f t="shared" si="91"/>
        <v>0.19131628196177344</v>
      </c>
      <c r="DA52">
        <v>6</v>
      </c>
      <c r="DB52">
        <v>0.5</v>
      </c>
      <c r="DC52" t="s">
        <v>414</v>
      </c>
      <c r="DD52">
        <v>2</v>
      </c>
      <c r="DE52">
        <v>1693333465</v>
      </c>
      <c r="DF52">
        <v>351.88</v>
      </c>
      <c r="DG52">
        <v>399.983</v>
      </c>
      <c r="DH52">
        <v>28.629100000000001</v>
      </c>
      <c r="DI52">
        <v>22.201899999999998</v>
      </c>
      <c r="DJ52">
        <v>351.92500000000001</v>
      </c>
      <c r="DK52">
        <v>28.968699999999998</v>
      </c>
      <c r="DL52">
        <v>500.27199999999999</v>
      </c>
      <c r="DM52">
        <v>98.970699999999994</v>
      </c>
      <c r="DN52">
        <v>9.9707299999999999E-2</v>
      </c>
      <c r="DO52">
        <v>30.466100000000001</v>
      </c>
      <c r="DP52">
        <v>30.018599999999999</v>
      </c>
      <c r="DQ52">
        <v>999.9</v>
      </c>
      <c r="DR52">
        <v>0</v>
      </c>
      <c r="DS52">
        <v>0</v>
      </c>
      <c r="DT52">
        <v>10010</v>
      </c>
      <c r="DU52">
        <v>0</v>
      </c>
      <c r="DV52">
        <v>1689.77</v>
      </c>
      <c r="DW52">
        <v>-48.102899999999998</v>
      </c>
      <c r="DX52">
        <v>362.25099999999998</v>
      </c>
      <c r="DY52">
        <v>409.065</v>
      </c>
      <c r="DZ52">
        <v>6.42713</v>
      </c>
      <c r="EA52">
        <v>399.983</v>
      </c>
      <c r="EB52">
        <v>22.201899999999998</v>
      </c>
      <c r="EC52">
        <v>2.83344</v>
      </c>
      <c r="ED52">
        <v>2.1973400000000001</v>
      </c>
      <c r="EE52">
        <v>23.080200000000001</v>
      </c>
      <c r="EF52">
        <v>18.942900000000002</v>
      </c>
      <c r="EG52">
        <v>1800.07</v>
      </c>
      <c r="EH52">
        <v>0.97800100000000001</v>
      </c>
      <c r="EI52">
        <v>2.19992E-2</v>
      </c>
      <c r="EJ52">
        <v>0</v>
      </c>
      <c r="EK52">
        <v>622.71799999999996</v>
      </c>
      <c r="EL52">
        <v>5.0002500000000003</v>
      </c>
      <c r="EM52">
        <v>19389.400000000001</v>
      </c>
      <c r="EN52">
        <v>14822.7</v>
      </c>
      <c r="EO52">
        <v>47.061999999999998</v>
      </c>
      <c r="EP52">
        <v>48.875</v>
      </c>
      <c r="EQ52">
        <v>47.875</v>
      </c>
      <c r="ER52">
        <v>48.061999999999998</v>
      </c>
      <c r="ES52">
        <v>48.436999999999998</v>
      </c>
      <c r="ET52">
        <v>1755.58</v>
      </c>
      <c r="EU52">
        <v>39.49</v>
      </c>
      <c r="EV52">
        <v>0</v>
      </c>
      <c r="EW52">
        <v>187.79999995231631</v>
      </c>
      <c r="EX52">
        <v>0</v>
      </c>
      <c r="EY52">
        <v>622.39643999999998</v>
      </c>
      <c r="EZ52">
        <v>2.204692305359587</v>
      </c>
      <c r="FA52">
        <v>-212.07692180990429</v>
      </c>
      <c r="FB52">
        <v>19424.004000000001</v>
      </c>
      <c r="FC52">
        <v>15</v>
      </c>
      <c r="FD52">
        <v>1693333375</v>
      </c>
      <c r="FE52" t="s">
        <v>604</v>
      </c>
      <c r="FF52">
        <v>1693333371</v>
      </c>
      <c r="FG52">
        <v>1693333375</v>
      </c>
      <c r="FH52">
        <v>57</v>
      </c>
      <c r="FI52">
        <v>-0.105</v>
      </c>
      <c r="FJ52">
        <v>-7.0000000000000001E-3</v>
      </c>
      <c r="FK52">
        <v>-4.4999999999999998E-2</v>
      </c>
      <c r="FL52">
        <v>-0.34</v>
      </c>
      <c r="FM52">
        <v>400</v>
      </c>
      <c r="FN52">
        <v>21</v>
      </c>
      <c r="FO52">
        <v>0.31</v>
      </c>
      <c r="FP52">
        <v>0.05</v>
      </c>
      <c r="FQ52">
        <v>37.60080697280064</v>
      </c>
      <c r="FR52">
        <v>3.6698506863192799</v>
      </c>
      <c r="FS52">
        <v>0.27718372278891762</v>
      </c>
      <c r="FT52">
        <v>0</v>
      </c>
      <c r="FU52">
        <v>0.40357038827149722</v>
      </c>
      <c r="FV52">
        <v>-1.7033887904170611E-2</v>
      </c>
      <c r="FW52">
        <v>1.8234300272919059E-3</v>
      </c>
      <c r="FX52">
        <v>1</v>
      </c>
      <c r="FY52">
        <v>1</v>
      </c>
      <c r="FZ52">
        <v>2</v>
      </c>
      <c r="GA52" t="s">
        <v>419</v>
      </c>
      <c r="GB52">
        <v>2.91656</v>
      </c>
      <c r="GC52">
        <v>2.8296800000000002</v>
      </c>
      <c r="GD52">
        <v>8.0850699999999998E-2</v>
      </c>
      <c r="GE52">
        <v>8.7643399999999996E-2</v>
      </c>
      <c r="GF52">
        <v>0.13433600000000001</v>
      </c>
      <c r="GG52">
        <v>0.10734200000000001</v>
      </c>
      <c r="GH52">
        <v>23844</v>
      </c>
      <c r="GI52">
        <v>29058.5</v>
      </c>
      <c r="GJ52">
        <v>23363</v>
      </c>
      <c r="GK52">
        <v>29172.9</v>
      </c>
      <c r="GL52">
        <v>27601.7</v>
      </c>
      <c r="GM52">
        <v>36913.4</v>
      </c>
      <c r="GN52">
        <v>33038.6</v>
      </c>
      <c r="GO52">
        <v>43113.8</v>
      </c>
      <c r="GP52">
        <v>1.9464999999999999</v>
      </c>
      <c r="GQ52">
        <v>1.6923999999999999</v>
      </c>
      <c r="GR52">
        <v>-2.2351699999999999E-3</v>
      </c>
      <c r="GS52">
        <v>0</v>
      </c>
      <c r="GT52">
        <v>30.0549</v>
      </c>
      <c r="GU52">
        <v>999.9</v>
      </c>
      <c r="GV52">
        <v>28.1</v>
      </c>
      <c r="GW52">
        <v>48.2</v>
      </c>
      <c r="GX52">
        <v>32.218200000000003</v>
      </c>
      <c r="GY52">
        <v>61.2684</v>
      </c>
      <c r="GZ52">
        <v>40.793300000000002</v>
      </c>
      <c r="HA52">
        <v>1</v>
      </c>
      <c r="HB52">
        <v>0.65039599999999997</v>
      </c>
      <c r="HC52">
        <v>4.57735</v>
      </c>
      <c r="HD52">
        <v>20.198599999999999</v>
      </c>
      <c r="HE52">
        <v>5.2112999999999996</v>
      </c>
      <c r="HF52">
        <v>11.8782</v>
      </c>
      <c r="HG52">
        <v>4.9843999999999999</v>
      </c>
      <c r="HH52">
        <v>3.2839999999999998</v>
      </c>
      <c r="HI52">
        <v>9999</v>
      </c>
      <c r="HJ52">
        <v>9999</v>
      </c>
      <c r="HK52">
        <v>9999</v>
      </c>
      <c r="HL52">
        <v>999.9</v>
      </c>
      <c r="HM52">
        <v>1.85486</v>
      </c>
      <c r="HN52">
        <v>1.8608199999999999</v>
      </c>
      <c r="HO52">
        <v>1.8582000000000001</v>
      </c>
      <c r="HP52">
        <v>1.85914</v>
      </c>
      <c r="HQ52">
        <v>1.85863</v>
      </c>
      <c r="HR52">
        <v>1.8591299999999999</v>
      </c>
      <c r="HS52">
        <v>1.85745</v>
      </c>
      <c r="HT52">
        <v>1.8607100000000001</v>
      </c>
      <c r="HU52">
        <v>5</v>
      </c>
      <c r="HV52">
        <v>0</v>
      </c>
      <c r="HW52">
        <v>0</v>
      </c>
      <c r="HX52">
        <v>0</v>
      </c>
      <c r="HY52" t="s">
        <v>416</v>
      </c>
      <c r="HZ52" t="s">
        <v>417</v>
      </c>
      <c r="IA52" t="s">
        <v>418</v>
      </c>
      <c r="IB52" t="s">
        <v>418</v>
      </c>
      <c r="IC52" t="s">
        <v>418</v>
      </c>
      <c r="ID52" t="s">
        <v>418</v>
      </c>
      <c r="IE52">
        <v>0</v>
      </c>
      <c r="IF52">
        <v>100</v>
      </c>
      <c r="IG52">
        <v>100</v>
      </c>
      <c r="IH52">
        <v>-4.4999999999999998E-2</v>
      </c>
      <c r="II52">
        <v>-0.33960000000000001</v>
      </c>
      <c r="IJ52">
        <v>-4.4750000000021828E-2</v>
      </c>
      <c r="IK52">
        <v>0</v>
      </c>
      <c r="IL52">
        <v>0</v>
      </c>
      <c r="IM52">
        <v>0</v>
      </c>
      <c r="IN52">
        <v>-0.33962500000000517</v>
      </c>
      <c r="IO52">
        <v>0</v>
      </c>
      <c r="IP52">
        <v>0</v>
      </c>
      <c r="IQ52">
        <v>0</v>
      </c>
      <c r="IR52">
        <v>-1</v>
      </c>
      <c r="IS52">
        <v>-1</v>
      </c>
      <c r="IT52">
        <v>-1</v>
      </c>
      <c r="IU52">
        <v>-1</v>
      </c>
      <c r="IV52">
        <v>1.6</v>
      </c>
      <c r="IW52">
        <v>1.5</v>
      </c>
      <c r="IX52">
        <v>0.99975599999999998</v>
      </c>
      <c r="IY52">
        <v>2.50366</v>
      </c>
      <c r="IZ52">
        <v>1.49414</v>
      </c>
      <c r="JA52">
        <v>2.2863799999999999</v>
      </c>
      <c r="JB52">
        <v>1.54419</v>
      </c>
      <c r="JC52">
        <v>2.5695800000000002</v>
      </c>
      <c r="JD52">
        <v>51.631799999999998</v>
      </c>
      <c r="JE52">
        <v>24.026199999999999</v>
      </c>
      <c r="JF52">
        <v>18</v>
      </c>
      <c r="JG52">
        <v>521.89300000000003</v>
      </c>
      <c r="JH52">
        <v>384.42399999999998</v>
      </c>
      <c r="JI52">
        <v>24.250800000000002</v>
      </c>
      <c r="JJ52">
        <v>35.235999999999997</v>
      </c>
      <c r="JK52">
        <v>30.0002</v>
      </c>
      <c r="JL52">
        <v>35.182099999999998</v>
      </c>
      <c r="JM52">
        <v>35.168300000000002</v>
      </c>
      <c r="JN52">
        <v>20.084</v>
      </c>
      <c r="JO52">
        <v>28.688800000000001</v>
      </c>
      <c r="JP52">
        <v>0</v>
      </c>
      <c r="JQ52">
        <v>24.249099999999999</v>
      </c>
      <c r="JR52">
        <v>400</v>
      </c>
      <c r="JS52">
        <v>22.283000000000001</v>
      </c>
      <c r="JT52">
        <v>97.983000000000004</v>
      </c>
      <c r="JU52">
        <v>97.064599999999999</v>
      </c>
    </row>
    <row r="53" spans="1:281" x14ac:dyDescent="0.25">
      <c r="A53">
        <v>51</v>
      </c>
      <c r="B53">
        <v>1693333620.5</v>
      </c>
      <c r="C53">
        <v>12213.900000095369</v>
      </c>
      <c r="D53" t="s">
        <v>605</v>
      </c>
      <c r="E53" t="s">
        <v>606</v>
      </c>
      <c r="F53" t="s">
        <v>411</v>
      </c>
      <c r="G53" t="s">
        <v>565</v>
      </c>
      <c r="H53" t="s">
        <v>566</v>
      </c>
      <c r="I53" t="s">
        <v>31</v>
      </c>
      <c r="J53">
        <v>1693333620.5</v>
      </c>
      <c r="K53">
        <f t="shared" si="46"/>
        <v>5.7216343552144514E-3</v>
      </c>
      <c r="L53">
        <f t="shared" si="47"/>
        <v>5.7216343552144515</v>
      </c>
      <c r="M53">
        <f t="shared" si="48"/>
        <v>43.96950795245629</v>
      </c>
      <c r="N53">
        <f t="shared" si="49"/>
        <v>344.89699999999999</v>
      </c>
      <c r="O53">
        <f t="shared" si="50"/>
        <v>158.13597672771024</v>
      </c>
      <c r="P53">
        <f t="shared" si="51"/>
        <v>15.666329480348743</v>
      </c>
      <c r="Q53">
        <f t="shared" si="52"/>
        <v>34.168505804897094</v>
      </c>
      <c r="R53">
        <f t="shared" si="53"/>
        <v>0.41527166773498309</v>
      </c>
      <c r="S53">
        <f t="shared" si="54"/>
        <v>2.9122723524303256</v>
      </c>
      <c r="T53">
        <f t="shared" si="55"/>
        <v>0.38495757146220749</v>
      </c>
      <c r="U53">
        <f t="shared" si="56"/>
        <v>0.24313741988325904</v>
      </c>
      <c r="V53">
        <f t="shared" si="57"/>
        <v>344.39599967094233</v>
      </c>
      <c r="W53">
        <f t="shared" si="58"/>
        <v>30.996151265023897</v>
      </c>
      <c r="X53">
        <f t="shared" si="59"/>
        <v>29.982700000000001</v>
      </c>
      <c r="Y53">
        <f t="shared" si="60"/>
        <v>4.2562180054864323</v>
      </c>
      <c r="Z53">
        <f t="shared" si="61"/>
        <v>64.87509728336876</v>
      </c>
      <c r="AA53">
        <f t="shared" si="62"/>
        <v>2.83646636605059</v>
      </c>
      <c r="AB53">
        <f t="shared" si="63"/>
        <v>4.3721959346914767</v>
      </c>
      <c r="AC53">
        <f t="shared" si="64"/>
        <v>1.4197516394358423</v>
      </c>
      <c r="AD53">
        <f t="shared" si="65"/>
        <v>-252.3240750649573</v>
      </c>
      <c r="AE53">
        <f t="shared" si="66"/>
        <v>73.604613007707783</v>
      </c>
      <c r="AF53">
        <f t="shared" si="67"/>
        <v>5.6317787280502136</v>
      </c>
      <c r="AG53">
        <f t="shared" si="68"/>
        <v>171.30831634174302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51761.533125086025</v>
      </c>
      <c r="AM53" t="s">
        <v>413</v>
      </c>
      <c r="AN53">
        <v>10366.9</v>
      </c>
      <c r="AO53">
        <v>993.59653846153856</v>
      </c>
      <c r="AP53">
        <v>3431.87</v>
      </c>
      <c r="AQ53">
        <f t="shared" si="72"/>
        <v>0.71047955241266758</v>
      </c>
      <c r="AR53">
        <v>-3.9894345373445681</v>
      </c>
      <c r="AS53" t="s">
        <v>607</v>
      </c>
      <c r="AT53">
        <v>10311.9</v>
      </c>
      <c r="AU53">
        <v>650.70748000000003</v>
      </c>
      <c r="AV53">
        <v>961.6055922607934</v>
      </c>
      <c r="AW53">
        <f t="shared" si="73"/>
        <v>0.32331146445379222</v>
      </c>
      <c r="AX53">
        <v>0.5</v>
      </c>
      <c r="AY53">
        <f t="shared" si="74"/>
        <v>1513.3022998354713</v>
      </c>
      <c r="AZ53">
        <f t="shared" si="75"/>
        <v>43.96950795245629</v>
      </c>
      <c r="BA53">
        <f t="shared" si="76"/>
        <v>244.633991360549</v>
      </c>
      <c r="BB53">
        <f t="shared" si="77"/>
        <v>3.1691581050934128E-2</v>
      </c>
      <c r="BC53">
        <f t="shared" si="78"/>
        <v>2.5688956341564779</v>
      </c>
      <c r="BD53">
        <f t="shared" si="79"/>
        <v>569.80518088380404</v>
      </c>
      <c r="BE53" t="s">
        <v>608</v>
      </c>
      <c r="BF53">
        <v>529.13</v>
      </c>
      <c r="BG53">
        <f t="shared" si="80"/>
        <v>529.13</v>
      </c>
      <c r="BH53">
        <f t="shared" si="81"/>
        <v>0.44974321670074413</v>
      </c>
      <c r="BI53">
        <f t="shared" si="82"/>
        <v>0.71888013525931926</v>
      </c>
      <c r="BJ53">
        <f t="shared" si="83"/>
        <v>0.85101125410446909</v>
      </c>
      <c r="BK53">
        <f t="shared" si="84"/>
        <v>-9.718315623110632</v>
      </c>
      <c r="BL53">
        <f t="shared" si="85"/>
        <v>1.0131203274388099</v>
      </c>
      <c r="BM53">
        <f t="shared" si="86"/>
        <v>0.58456535027039114</v>
      </c>
      <c r="BN53">
        <f t="shared" si="87"/>
        <v>0.41543464972960886</v>
      </c>
      <c r="BO53">
        <v>16630</v>
      </c>
      <c r="BP53">
        <v>290.00000000000011</v>
      </c>
      <c r="BQ53">
        <v>872.3</v>
      </c>
      <c r="BR53">
        <v>185</v>
      </c>
      <c r="BS53">
        <v>10311.9</v>
      </c>
      <c r="BT53">
        <v>870.93</v>
      </c>
      <c r="BU53">
        <v>1.37</v>
      </c>
      <c r="BV53">
        <v>300.00000000000011</v>
      </c>
      <c r="BW53">
        <v>38.4</v>
      </c>
      <c r="BX53">
        <v>961.6055922607934</v>
      </c>
      <c r="BY53">
        <v>0.99023031958603147</v>
      </c>
      <c r="BZ53">
        <v>-93.499000112037251</v>
      </c>
      <c r="CA53">
        <v>0.83538299811735983</v>
      </c>
      <c r="CB53">
        <v>0.99776979023416157</v>
      </c>
      <c r="CC53">
        <v>-1.1227928364849831E-2</v>
      </c>
      <c r="CD53">
        <v>289.99999999999989</v>
      </c>
      <c r="CE53">
        <v>859.87</v>
      </c>
      <c r="CF53">
        <v>645</v>
      </c>
      <c r="CG53">
        <v>10288.200000000001</v>
      </c>
      <c r="CH53">
        <v>870.73</v>
      </c>
      <c r="CI53">
        <v>-10.86</v>
      </c>
      <c r="CW53">
        <f t="shared" si="88"/>
        <v>1800.14</v>
      </c>
      <c r="CX53">
        <f t="shared" si="89"/>
        <v>1513.3022998354713</v>
      </c>
      <c r="CY53">
        <f t="shared" si="90"/>
        <v>0.84065811538850932</v>
      </c>
      <c r="CZ53">
        <f t="shared" si="91"/>
        <v>0.19131623077701862</v>
      </c>
      <c r="DA53">
        <v>6</v>
      </c>
      <c r="DB53">
        <v>0.5</v>
      </c>
      <c r="DC53" t="s">
        <v>414</v>
      </c>
      <c r="DD53">
        <v>2</v>
      </c>
      <c r="DE53">
        <v>1693333620.5</v>
      </c>
      <c r="DF53">
        <v>344.89699999999999</v>
      </c>
      <c r="DG53">
        <v>400.00299999999999</v>
      </c>
      <c r="DH53">
        <v>28.6313</v>
      </c>
      <c r="DI53">
        <v>21.965</v>
      </c>
      <c r="DJ53">
        <v>344.89400000000001</v>
      </c>
      <c r="DK53">
        <v>28.961200000000002</v>
      </c>
      <c r="DL53">
        <v>500.23099999999999</v>
      </c>
      <c r="DM53">
        <v>98.968900000000005</v>
      </c>
      <c r="DN53">
        <v>9.9824300000000005E-2</v>
      </c>
      <c r="DO53">
        <v>30.451499999999999</v>
      </c>
      <c r="DP53">
        <v>29.982700000000001</v>
      </c>
      <c r="DQ53">
        <v>999.9</v>
      </c>
      <c r="DR53">
        <v>0</v>
      </c>
      <c r="DS53">
        <v>0</v>
      </c>
      <c r="DT53">
        <v>10005</v>
      </c>
      <c r="DU53">
        <v>0</v>
      </c>
      <c r="DV53">
        <v>1674.13</v>
      </c>
      <c r="DW53">
        <v>-55.105899999999998</v>
      </c>
      <c r="DX53">
        <v>355.06299999999999</v>
      </c>
      <c r="DY53">
        <v>408.98700000000002</v>
      </c>
      <c r="DZ53">
        <v>6.6662999999999997</v>
      </c>
      <c r="EA53">
        <v>400.00299999999999</v>
      </c>
      <c r="EB53">
        <v>21.965</v>
      </c>
      <c r="EC53">
        <v>2.8336100000000002</v>
      </c>
      <c r="ED53">
        <v>2.1738499999999998</v>
      </c>
      <c r="EE53">
        <v>23.081199999999999</v>
      </c>
      <c r="EF53">
        <v>18.770900000000001</v>
      </c>
      <c r="EG53">
        <v>1800.14</v>
      </c>
      <c r="EH53">
        <v>0.97800100000000001</v>
      </c>
      <c r="EI53">
        <v>2.1999100000000001E-2</v>
      </c>
      <c r="EJ53">
        <v>0</v>
      </c>
      <c r="EK53">
        <v>651.76499999999999</v>
      </c>
      <c r="EL53">
        <v>5.0002500000000003</v>
      </c>
      <c r="EM53">
        <v>19841.8</v>
      </c>
      <c r="EN53">
        <v>14823.3</v>
      </c>
      <c r="EO53">
        <v>47</v>
      </c>
      <c r="EP53">
        <v>48.75</v>
      </c>
      <c r="EQ53">
        <v>47.811999999999998</v>
      </c>
      <c r="ER53">
        <v>47.875</v>
      </c>
      <c r="ES53">
        <v>48.375</v>
      </c>
      <c r="ET53">
        <v>1755.65</v>
      </c>
      <c r="EU53">
        <v>39.49</v>
      </c>
      <c r="EV53">
        <v>0</v>
      </c>
      <c r="EW53">
        <v>153.5999999046326</v>
      </c>
      <c r="EX53">
        <v>0</v>
      </c>
      <c r="EY53">
        <v>650.70748000000003</v>
      </c>
      <c r="EZ53">
        <v>10.77223078303091</v>
      </c>
      <c r="FA53">
        <v>267.62307736940562</v>
      </c>
      <c r="FB53">
        <v>19774.968000000001</v>
      </c>
      <c r="FC53">
        <v>15</v>
      </c>
      <c r="FD53">
        <v>1693333560</v>
      </c>
      <c r="FE53" t="s">
        <v>609</v>
      </c>
      <c r="FF53">
        <v>1693333543.5</v>
      </c>
      <c r="FG53">
        <v>1693333560</v>
      </c>
      <c r="FH53">
        <v>58</v>
      </c>
      <c r="FI53">
        <v>4.8000000000000001E-2</v>
      </c>
      <c r="FJ53">
        <v>0.01</v>
      </c>
      <c r="FK53">
        <v>3.0000000000000001E-3</v>
      </c>
      <c r="FL53">
        <v>-0.33</v>
      </c>
      <c r="FM53">
        <v>400</v>
      </c>
      <c r="FN53">
        <v>22</v>
      </c>
      <c r="FO53">
        <v>0.14000000000000001</v>
      </c>
      <c r="FP53">
        <v>7.0000000000000007E-2</v>
      </c>
      <c r="FQ53">
        <v>43.879214801107352</v>
      </c>
      <c r="FR53">
        <v>0.51211518606271644</v>
      </c>
      <c r="FS53">
        <v>8.0964952005423016E-2</v>
      </c>
      <c r="FT53">
        <v>1</v>
      </c>
      <c r="FU53">
        <v>0.41764763220604978</v>
      </c>
      <c r="FV53">
        <v>-2.2745683280905201E-2</v>
      </c>
      <c r="FW53">
        <v>1.751674785413046E-3</v>
      </c>
      <c r="FX53">
        <v>1</v>
      </c>
      <c r="FY53">
        <v>2</v>
      </c>
      <c r="FZ53">
        <v>2</v>
      </c>
      <c r="GA53" t="s">
        <v>415</v>
      </c>
      <c r="GB53">
        <v>2.9164599999999998</v>
      </c>
      <c r="GC53">
        <v>2.8297500000000002</v>
      </c>
      <c r="GD53">
        <v>7.9570799999999997E-2</v>
      </c>
      <c r="GE53">
        <v>8.7642600000000001E-2</v>
      </c>
      <c r="GF53">
        <v>0.13430700000000001</v>
      </c>
      <c r="GG53">
        <v>0.10653</v>
      </c>
      <c r="GH53">
        <v>23879.200000000001</v>
      </c>
      <c r="GI53">
        <v>29060.7</v>
      </c>
      <c r="GJ53">
        <v>23364.9</v>
      </c>
      <c r="GK53">
        <v>29175.1</v>
      </c>
      <c r="GL53">
        <v>27605.5</v>
      </c>
      <c r="GM53">
        <v>36949.300000000003</v>
      </c>
      <c r="GN53">
        <v>33042.1</v>
      </c>
      <c r="GO53">
        <v>43116.6</v>
      </c>
      <c r="GP53">
        <v>1.9464999999999999</v>
      </c>
      <c r="GQ53">
        <v>1.6912</v>
      </c>
      <c r="GR53">
        <v>1.19209E-2</v>
      </c>
      <c r="GS53">
        <v>0</v>
      </c>
      <c r="GT53">
        <v>29.788699999999999</v>
      </c>
      <c r="GU53">
        <v>999.9</v>
      </c>
      <c r="GV53">
        <v>27.9</v>
      </c>
      <c r="GW53">
        <v>48.4</v>
      </c>
      <c r="GX53">
        <v>32.312600000000003</v>
      </c>
      <c r="GY53">
        <v>61.578400000000002</v>
      </c>
      <c r="GZ53">
        <v>40.877400000000002</v>
      </c>
      <c r="HA53">
        <v>1</v>
      </c>
      <c r="HB53">
        <v>0.64205299999999998</v>
      </c>
      <c r="HC53">
        <v>3.2867000000000002</v>
      </c>
      <c r="HD53">
        <v>20.2287</v>
      </c>
      <c r="HE53">
        <v>5.2107000000000001</v>
      </c>
      <c r="HF53">
        <v>11.8782</v>
      </c>
      <c r="HG53">
        <v>4.9836</v>
      </c>
      <c r="HH53">
        <v>3.2839999999999998</v>
      </c>
      <c r="HI53">
        <v>9999</v>
      </c>
      <c r="HJ53">
        <v>9999</v>
      </c>
      <c r="HK53">
        <v>9999</v>
      </c>
      <c r="HL53">
        <v>999.9</v>
      </c>
      <c r="HM53">
        <v>1.85483</v>
      </c>
      <c r="HN53">
        <v>1.8608100000000001</v>
      </c>
      <c r="HO53">
        <v>1.85808</v>
      </c>
      <c r="HP53">
        <v>1.8591299999999999</v>
      </c>
      <c r="HQ53">
        <v>1.8585400000000001</v>
      </c>
      <c r="HR53">
        <v>1.85903</v>
      </c>
      <c r="HS53">
        <v>1.85737</v>
      </c>
      <c r="HT53">
        <v>1.86066</v>
      </c>
      <c r="HU53">
        <v>5</v>
      </c>
      <c r="HV53">
        <v>0</v>
      </c>
      <c r="HW53">
        <v>0</v>
      </c>
      <c r="HX53">
        <v>0</v>
      </c>
      <c r="HY53" t="s">
        <v>416</v>
      </c>
      <c r="HZ53" t="s">
        <v>417</v>
      </c>
      <c r="IA53" t="s">
        <v>418</v>
      </c>
      <c r="IB53" t="s">
        <v>418</v>
      </c>
      <c r="IC53" t="s">
        <v>418</v>
      </c>
      <c r="ID53" t="s">
        <v>418</v>
      </c>
      <c r="IE53">
        <v>0</v>
      </c>
      <c r="IF53">
        <v>100</v>
      </c>
      <c r="IG53">
        <v>100</v>
      </c>
      <c r="IH53">
        <v>3.0000000000000001E-3</v>
      </c>
      <c r="II53">
        <v>-0.32990000000000003</v>
      </c>
      <c r="IJ53">
        <v>2.9000000000678479E-3</v>
      </c>
      <c r="IK53">
        <v>0</v>
      </c>
      <c r="IL53">
        <v>0</v>
      </c>
      <c r="IM53">
        <v>0</v>
      </c>
      <c r="IN53">
        <v>-0.32991428571428832</v>
      </c>
      <c r="IO53">
        <v>0</v>
      </c>
      <c r="IP53">
        <v>0</v>
      </c>
      <c r="IQ53">
        <v>0</v>
      </c>
      <c r="IR53">
        <v>-1</v>
      </c>
      <c r="IS53">
        <v>-1</v>
      </c>
      <c r="IT53">
        <v>-1</v>
      </c>
      <c r="IU53">
        <v>-1</v>
      </c>
      <c r="IV53">
        <v>1.3</v>
      </c>
      <c r="IW53">
        <v>1</v>
      </c>
      <c r="IX53">
        <v>0.99853499999999995</v>
      </c>
      <c r="IY53">
        <v>2.5097700000000001</v>
      </c>
      <c r="IZ53">
        <v>1.49414</v>
      </c>
      <c r="JA53">
        <v>2.2863799999999999</v>
      </c>
      <c r="JB53">
        <v>1.54419</v>
      </c>
      <c r="JC53">
        <v>2.5537100000000001</v>
      </c>
      <c r="JD53">
        <v>51.698900000000002</v>
      </c>
      <c r="JE53">
        <v>24.035</v>
      </c>
      <c r="JF53">
        <v>18</v>
      </c>
      <c r="JG53">
        <v>521.97</v>
      </c>
      <c r="JH53">
        <v>383.70800000000003</v>
      </c>
      <c r="JI53">
        <v>25.2879</v>
      </c>
      <c r="JJ53">
        <v>35.2376</v>
      </c>
      <c r="JK53">
        <v>29.9999</v>
      </c>
      <c r="JL53">
        <v>35.191699999999997</v>
      </c>
      <c r="JM53">
        <v>35.171500000000002</v>
      </c>
      <c r="JN53">
        <v>20.075500000000002</v>
      </c>
      <c r="JO53">
        <v>29.784199999999998</v>
      </c>
      <c r="JP53">
        <v>0</v>
      </c>
      <c r="JQ53">
        <v>25.274799999999999</v>
      </c>
      <c r="JR53">
        <v>400</v>
      </c>
      <c r="JS53">
        <v>21.930099999999999</v>
      </c>
      <c r="JT53">
        <v>97.992599999999996</v>
      </c>
      <c r="JU53">
        <v>97.071299999999994</v>
      </c>
    </row>
    <row r="54" spans="1:281" x14ac:dyDescent="0.25">
      <c r="A54">
        <v>52</v>
      </c>
      <c r="B54">
        <v>1693333730</v>
      </c>
      <c r="C54">
        <v>12323.400000095369</v>
      </c>
      <c r="D54" t="s">
        <v>610</v>
      </c>
      <c r="E54" t="s">
        <v>611</v>
      </c>
      <c r="F54" t="s">
        <v>411</v>
      </c>
      <c r="G54" t="s">
        <v>565</v>
      </c>
      <c r="H54" t="s">
        <v>566</v>
      </c>
      <c r="I54" t="s">
        <v>31</v>
      </c>
      <c r="J54">
        <v>1693333730</v>
      </c>
      <c r="K54">
        <f t="shared" si="46"/>
        <v>5.4325851636008813E-3</v>
      </c>
      <c r="L54">
        <f t="shared" si="47"/>
        <v>5.4325851636008817</v>
      </c>
      <c r="M54">
        <f t="shared" si="48"/>
        <v>46.308427599929587</v>
      </c>
      <c r="N54">
        <f t="shared" si="49"/>
        <v>441.50400000000002</v>
      </c>
      <c r="O54">
        <f t="shared" si="50"/>
        <v>234.56556136487447</v>
      </c>
      <c r="P54">
        <f t="shared" si="51"/>
        <v>23.237328113483539</v>
      </c>
      <c r="Q54">
        <f t="shared" si="52"/>
        <v>43.737764622048005</v>
      </c>
      <c r="R54">
        <f t="shared" si="53"/>
        <v>0.39630995324354185</v>
      </c>
      <c r="S54">
        <f t="shared" si="54"/>
        <v>2.901678390907164</v>
      </c>
      <c r="T54">
        <f t="shared" si="55"/>
        <v>0.36850845926349129</v>
      </c>
      <c r="U54">
        <f t="shared" si="56"/>
        <v>0.23265291190843079</v>
      </c>
      <c r="V54">
        <f t="shared" si="57"/>
        <v>344.33899967088746</v>
      </c>
      <c r="W54">
        <f t="shared" si="58"/>
        <v>31.119599870927246</v>
      </c>
      <c r="X54">
        <f t="shared" si="59"/>
        <v>30.0383</v>
      </c>
      <c r="Y54">
        <f t="shared" si="60"/>
        <v>4.2698314132950923</v>
      </c>
      <c r="Z54">
        <f t="shared" si="61"/>
        <v>65.285151233586987</v>
      </c>
      <c r="AA54">
        <f t="shared" si="62"/>
        <v>2.8619693108139002</v>
      </c>
      <c r="AB54">
        <f t="shared" si="63"/>
        <v>4.3837982400835962</v>
      </c>
      <c r="AC54">
        <f t="shared" si="64"/>
        <v>1.4078621024811921</v>
      </c>
      <c r="AD54">
        <f t="shared" si="65"/>
        <v>-239.57700571479887</v>
      </c>
      <c r="AE54">
        <f t="shared" si="66"/>
        <v>71.882013646165049</v>
      </c>
      <c r="AF54">
        <f t="shared" si="67"/>
        <v>5.5228391206710921</v>
      </c>
      <c r="AG54">
        <f t="shared" si="68"/>
        <v>182.16684672292473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51453.184441548263</v>
      </c>
      <c r="AM54" t="s">
        <v>413</v>
      </c>
      <c r="AN54">
        <v>10366.9</v>
      </c>
      <c r="AO54">
        <v>993.59653846153856</v>
      </c>
      <c r="AP54">
        <v>3431.87</v>
      </c>
      <c r="AQ54">
        <f t="shared" si="72"/>
        <v>0.71047955241266758</v>
      </c>
      <c r="AR54">
        <v>-3.9894345373445681</v>
      </c>
      <c r="AS54" t="s">
        <v>612</v>
      </c>
      <c r="AT54">
        <v>10313.700000000001</v>
      </c>
      <c r="AU54">
        <v>670.32492000000002</v>
      </c>
      <c r="AV54">
        <v>1014.787394383507</v>
      </c>
      <c r="AW54">
        <f t="shared" si="73"/>
        <v>0.33944299691737034</v>
      </c>
      <c r="AX54">
        <v>0.5</v>
      </c>
      <c r="AY54">
        <f t="shared" si="74"/>
        <v>1513.0502998354436</v>
      </c>
      <c r="AZ54">
        <f t="shared" si="75"/>
        <v>46.308427599929587</v>
      </c>
      <c r="BA54">
        <f t="shared" si="76"/>
        <v>256.79716413143439</v>
      </c>
      <c r="BB54">
        <f t="shared" si="77"/>
        <v>3.3242690043248695E-2</v>
      </c>
      <c r="BC54">
        <f t="shared" si="78"/>
        <v>2.3818610863656753</v>
      </c>
      <c r="BD54">
        <f t="shared" si="79"/>
        <v>588.06700745406897</v>
      </c>
      <c r="BE54" t="s">
        <v>613</v>
      </c>
      <c r="BF54">
        <v>535.36</v>
      </c>
      <c r="BG54">
        <f t="shared" si="80"/>
        <v>535.36</v>
      </c>
      <c r="BH54">
        <f t="shared" si="81"/>
        <v>0.47244121974412556</v>
      </c>
      <c r="BI54">
        <f t="shared" si="82"/>
        <v>0.71848725879848685</v>
      </c>
      <c r="BJ54">
        <f t="shared" si="83"/>
        <v>0.83448101529650964</v>
      </c>
      <c r="BK54">
        <f t="shared" si="84"/>
        <v>16.255241206486808</v>
      </c>
      <c r="BL54">
        <f t="shared" si="85"/>
        <v>0.99130907330279594</v>
      </c>
      <c r="BM54">
        <f t="shared" si="86"/>
        <v>0.57382521131745767</v>
      </c>
      <c r="BN54">
        <f t="shared" si="87"/>
        <v>0.42617478868254233</v>
      </c>
      <c r="BO54">
        <v>16632</v>
      </c>
      <c r="BP54">
        <v>290.00000000000011</v>
      </c>
      <c r="BQ54">
        <v>916.52</v>
      </c>
      <c r="BR54">
        <v>175</v>
      </c>
      <c r="BS54">
        <v>10313.700000000001</v>
      </c>
      <c r="BT54">
        <v>915.02</v>
      </c>
      <c r="BU54">
        <v>1.5</v>
      </c>
      <c r="BV54">
        <v>300.00000000000011</v>
      </c>
      <c r="BW54">
        <v>38.4</v>
      </c>
      <c r="BX54">
        <v>1014.787394383507</v>
      </c>
      <c r="BY54">
        <v>1.4521715358552201</v>
      </c>
      <c r="BZ54">
        <v>-102.8980289203806</v>
      </c>
      <c r="CA54">
        <v>1.225126740286328</v>
      </c>
      <c r="CB54">
        <v>0.99604646528213425</v>
      </c>
      <c r="CC54">
        <v>-1.1228403781979999E-2</v>
      </c>
      <c r="CD54">
        <v>289.99999999999989</v>
      </c>
      <c r="CE54">
        <v>902.31</v>
      </c>
      <c r="CF54">
        <v>655</v>
      </c>
      <c r="CG54">
        <v>10287.700000000001</v>
      </c>
      <c r="CH54">
        <v>914.77</v>
      </c>
      <c r="CI54">
        <v>-12.46</v>
      </c>
      <c r="CW54">
        <f t="shared" si="88"/>
        <v>1799.84</v>
      </c>
      <c r="CX54">
        <f t="shared" si="89"/>
        <v>1513.0502998354436</v>
      </c>
      <c r="CY54">
        <f t="shared" si="90"/>
        <v>0.8406582250841429</v>
      </c>
      <c r="CZ54">
        <f t="shared" si="91"/>
        <v>0.19131645016828577</v>
      </c>
      <c r="DA54">
        <v>6</v>
      </c>
      <c r="DB54">
        <v>0.5</v>
      </c>
      <c r="DC54" t="s">
        <v>414</v>
      </c>
      <c r="DD54">
        <v>2</v>
      </c>
      <c r="DE54">
        <v>1693333730</v>
      </c>
      <c r="DF54">
        <v>441.50400000000002</v>
      </c>
      <c r="DG54">
        <v>499.9</v>
      </c>
      <c r="DH54">
        <v>28.889700000000001</v>
      </c>
      <c r="DI54">
        <v>22.564599999999999</v>
      </c>
      <c r="DJ54">
        <v>441.27</v>
      </c>
      <c r="DK54">
        <v>29.219799999999999</v>
      </c>
      <c r="DL54">
        <v>500.44799999999998</v>
      </c>
      <c r="DM54">
        <v>98.963999999999999</v>
      </c>
      <c r="DN54">
        <v>0.101387</v>
      </c>
      <c r="DO54">
        <v>30.497800000000002</v>
      </c>
      <c r="DP54">
        <v>30.0383</v>
      </c>
      <c r="DQ54">
        <v>999.9</v>
      </c>
      <c r="DR54">
        <v>0</v>
      </c>
      <c r="DS54">
        <v>0</v>
      </c>
      <c r="DT54">
        <v>9945</v>
      </c>
      <c r="DU54">
        <v>0</v>
      </c>
      <c r="DV54">
        <v>1669.07</v>
      </c>
      <c r="DW54">
        <v>-58.395699999999998</v>
      </c>
      <c r="DX54">
        <v>454.63900000000001</v>
      </c>
      <c r="DY54">
        <v>511.44</v>
      </c>
      <c r="DZ54">
        <v>6.3251200000000001</v>
      </c>
      <c r="EA54">
        <v>499.9</v>
      </c>
      <c r="EB54">
        <v>22.564599999999999</v>
      </c>
      <c r="EC54">
        <v>2.8590399999999998</v>
      </c>
      <c r="ED54">
        <v>2.2330800000000002</v>
      </c>
      <c r="EE54">
        <v>23.228999999999999</v>
      </c>
      <c r="EF54">
        <v>19.201599999999999</v>
      </c>
      <c r="EG54">
        <v>1799.84</v>
      </c>
      <c r="EH54">
        <v>0.97799700000000001</v>
      </c>
      <c r="EI54">
        <v>2.2002899999999999E-2</v>
      </c>
      <c r="EJ54">
        <v>0</v>
      </c>
      <c r="EK54">
        <v>670.28099999999995</v>
      </c>
      <c r="EL54">
        <v>5.0002500000000003</v>
      </c>
      <c r="EM54">
        <v>20224.3</v>
      </c>
      <c r="EN54">
        <v>14820.7</v>
      </c>
      <c r="EO54">
        <v>47</v>
      </c>
      <c r="EP54">
        <v>48.686999999999998</v>
      </c>
      <c r="EQ54">
        <v>47.811999999999998</v>
      </c>
      <c r="ER54">
        <v>47.875</v>
      </c>
      <c r="ES54">
        <v>48.375</v>
      </c>
      <c r="ET54">
        <v>1755.35</v>
      </c>
      <c r="EU54">
        <v>39.49</v>
      </c>
      <c r="EV54">
        <v>0</v>
      </c>
      <c r="EW54">
        <v>107.5999999046326</v>
      </c>
      <c r="EX54">
        <v>0</v>
      </c>
      <c r="EY54">
        <v>670.32492000000002</v>
      </c>
      <c r="EZ54">
        <v>3.5708461655805861</v>
      </c>
      <c r="FA54">
        <v>90.953845784449157</v>
      </c>
      <c r="FB54">
        <v>20211.828000000001</v>
      </c>
      <c r="FC54">
        <v>15</v>
      </c>
      <c r="FD54">
        <v>1693333697</v>
      </c>
      <c r="FE54" t="s">
        <v>614</v>
      </c>
      <c r="FF54">
        <v>1693333695</v>
      </c>
      <c r="FG54">
        <v>1693333697</v>
      </c>
      <c r="FH54">
        <v>59</v>
      </c>
      <c r="FI54">
        <v>0.23200000000000001</v>
      </c>
      <c r="FJ54">
        <v>0</v>
      </c>
      <c r="FK54">
        <v>0.23499999999999999</v>
      </c>
      <c r="FL54">
        <v>-0.33</v>
      </c>
      <c r="FM54">
        <v>500</v>
      </c>
      <c r="FN54">
        <v>22</v>
      </c>
      <c r="FO54">
        <v>0.12</v>
      </c>
      <c r="FP54">
        <v>0.04</v>
      </c>
      <c r="FQ54">
        <v>46.374825481757213</v>
      </c>
      <c r="FR54">
        <v>-0.32539629609105147</v>
      </c>
      <c r="FS54">
        <v>8.4741172176144575E-2</v>
      </c>
      <c r="FT54">
        <v>1</v>
      </c>
      <c r="FU54">
        <v>0.39377634397814948</v>
      </c>
      <c r="FV54">
        <v>4.6826276171520763E-2</v>
      </c>
      <c r="FW54">
        <v>3.9025961702117678E-3</v>
      </c>
      <c r="FX54">
        <v>1</v>
      </c>
      <c r="FY54">
        <v>2</v>
      </c>
      <c r="FZ54">
        <v>2</v>
      </c>
      <c r="GA54" t="s">
        <v>415</v>
      </c>
      <c r="GB54">
        <v>2.9170400000000001</v>
      </c>
      <c r="GC54">
        <v>2.8308</v>
      </c>
      <c r="GD54">
        <v>9.6197900000000003E-2</v>
      </c>
      <c r="GE54">
        <v>0.103579</v>
      </c>
      <c r="GF54">
        <v>0.13513900000000001</v>
      </c>
      <c r="GG54">
        <v>0.108573</v>
      </c>
      <c r="GH54">
        <v>23451</v>
      </c>
      <c r="GI54">
        <v>28555.5</v>
      </c>
      <c r="GJ54">
        <v>23367.7</v>
      </c>
      <c r="GK54">
        <v>29177.200000000001</v>
      </c>
      <c r="GL54">
        <v>27584</v>
      </c>
      <c r="GM54">
        <v>36868.800000000003</v>
      </c>
      <c r="GN54">
        <v>33046.6</v>
      </c>
      <c r="GO54">
        <v>43119.1</v>
      </c>
      <c r="GP54">
        <v>1.9463999999999999</v>
      </c>
      <c r="GQ54">
        <v>1.6921999999999999</v>
      </c>
      <c r="GR54">
        <v>1.05053E-2</v>
      </c>
      <c r="GS54">
        <v>0</v>
      </c>
      <c r="GT54">
        <v>29.8673</v>
      </c>
      <c r="GU54">
        <v>999.9</v>
      </c>
      <c r="GV54">
        <v>27.7</v>
      </c>
      <c r="GW54">
        <v>48.5</v>
      </c>
      <c r="GX54">
        <v>32.243200000000002</v>
      </c>
      <c r="GY54">
        <v>61.498399999999997</v>
      </c>
      <c r="GZ54">
        <v>40.853400000000001</v>
      </c>
      <c r="HA54">
        <v>1</v>
      </c>
      <c r="HB54">
        <v>0.643598</v>
      </c>
      <c r="HC54">
        <v>4.2574300000000003</v>
      </c>
      <c r="HD54">
        <v>20.206800000000001</v>
      </c>
      <c r="HE54">
        <v>5.2088999999999999</v>
      </c>
      <c r="HF54">
        <v>11.8782</v>
      </c>
      <c r="HG54">
        <v>4.9842000000000004</v>
      </c>
      <c r="HH54">
        <v>3.2837000000000001</v>
      </c>
      <c r="HI54">
        <v>9999</v>
      </c>
      <c r="HJ54">
        <v>9999</v>
      </c>
      <c r="HK54">
        <v>9999</v>
      </c>
      <c r="HL54">
        <v>999.9</v>
      </c>
      <c r="HM54">
        <v>1.85486</v>
      </c>
      <c r="HN54">
        <v>1.8608100000000001</v>
      </c>
      <c r="HO54">
        <v>1.85812</v>
      </c>
      <c r="HP54">
        <v>1.8591299999999999</v>
      </c>
      <c r="HQ54">
        <v>1.8585400000000001</v>
      </c>
      <c r="HR54">
        <v>1.85904</v>
      </c>
      <c r="HS54">
        <v>1.85741</v>
      </c>
      <c r="HT54">
        <v>1.86066</v>
      </c>
      <c r="HU54">
        <v>5</v>
      </c>
      <c r="HV54">
        <v>0</v>
      </c>
      <c r="HW54">
        <v>0</v>
      </c>
      <c r="HX54">
        <v>0</v>
      </c>
      <c r="HY54" t="s">
        <v>416</v>
      </c>
      <c r="HZ54" t="s">
        <v>417</v>
      </c>
      <c r="IA54" t="s">
        <v>418</v>
      </c>
      <c r="IB54" t="s">
        <v>418</v>
      </c>
      <c r="IC54" t="s">
        <v>418</v>
      </c>
      <c r="ID54" t="s">
        <v>418</v>
      </c>
      <c r="IE54">
        <v>0</v>
      </c>
      <c r="IF54">
        <v>100</v>
      </c>
      <c r="IG54">
        <v>100</v>
      </c>
      <c r="IH54">
        <v>0.23400000000000001</v>
      </c>
      <c r="II54">
        <v>-0.3301</v>
      </c>
      <c r="IJ54">
        <v>0.23465000000015829</v>
      </c>
      <c r="IK54">
        <v>0</v>
      </c>
      <c r="IL54">
        <v>0</v>
      </c>
      <c r="IM54">
        <v>0</v>
      </c>
      <c r="IN54">
        <v>-0.33009500000000003</v>
      </c>
      <c r="IO54">
        <v>0</v>
      </c>
      <c r="IP54">
        <v>0</v>
      </c>
      <c r="IQ54">
        <v>0</v>
      </c>
      <c r="IR54">
        <v>-1</v>
      </c>
      <c r="IS54">
        <v>-1</v>
      </c>
      <c r="IT54">
        <v>-1</v>
      </c>
      <c r="IU54">
        <v>-1</v>
      </c>
      <c r="IV54">
        <v>0.6</v>
      </c>
      <c r="IW54">
        <v>0.6</v>
      </c>
      <c r="IX54">
        <v>1.1938500000000001</v>
      </c>
      <c r="IY54">
        <v>2.50366</v>
      </c>
      <c r="IZ54">
        <v>1.49414</v>
      </c>
      <c r="JA54">
        <v>2.2863799999999999</v>
      </c>
      <c r="JB54">
        <v>1.54419</v>
      </c>
      <c r="JC54">
        <v>2.5524900000000001</v>
      </c>
      <c r="JD54">
        <v>51.732500000000002</v>
      </c>
      <c r="JE54">
        <v>24.026199999999999</v>
      </c>
      <c r="JF54">
        <v>18</v>
      </c>
      <c r="JG54">
        <v>521.69600000000003</v>
      </c>
      <c r="JH54">
        <v>384.16199999999998</v>
      </c>
      <c r="JI54">
        <v>24.615600000000001</v>
      </c>
      <c r="JJ54">
        <v>35.192399999999999</v>
      </c>
      <c r="JK54">
        <v>30.0001</v>
      </c>
      <c r="JL54">
        <v>35.1661</v>
      </c>
      <c r="JM54">
        <v>35.146000000000001</v>
      </c>
      <c r="JN54">
        <v>23.9709</v>
      </c>
      <c r="JO54">
        <v>27.688600000000001</v>
      </c>
      <c r="JP54">
        <v>0</v>
      </c>
      <c r="JQ54">
        <v>24.599399999999999</v>
      </c>
      <c r="JR54">
        <v>500</v>
      </c>
      <c r="JS54">
        <v>22.546600000000002</v>
      </c>
      <c r="JT54">
        <v>98.005099999999999</v>
      </c>
      <c r="JU54">
        <v>97.077399999999997</v>
      </c>
    </row>
    <row r="55" spans="1:281" x14ac:dyDescent="0.25">
      <c r="A55">
        <v>53</v>
      </c>
      <c r="B55">
        <v>1693333839</v>
      </c>
      <c r="C55">
        <v>12432.400000095369</v>
      </c>
      <c r="D55" t="s">
        <v>615</v>
      </c>
      <c r="E55" t="s">
        <v>616</v>
      </c>
      <c r="F55" t="s">
        <v>411</v>
      </c>
      <c r="G55" t="s">
        <v>565</v>
      </c>
      <c r="H55" t="s">
        <v>566</v>
      </c>
      <c r="I55" t="s">
        <v>31</v>
      </c>
      <c r="J55">
        <v>1693333839</v>
      </c>
      <c r="K55">
        <f t="shared" si="46"/>
        <v>5.5293508746134274E-3</v>
      </c>
      <c r="L55">
        <f t="shared" si="47"/>
        <v>5.529350874613427</v>
      </c>
      <c r="M55">
        <f t="shared" si="48"/>
        <v>47.316561142735914</v>
      </c>
      <c r="N55">
        <f t="shared" si="49"/>
        <v>638.94600000000003</v>
      </c>
      <c r="O55">
        <f t="shared" si="50"/>
        <v>425.4140277565341</v>
      </c>
      <c r="P55">
        <f t="shared" si="51"/>
        <v>42.143223030750001</v>
      </c>
      <c r="Q55">
        <f t="shared" si="52"/>
        <v>63.296558236711803</v>
      </c>
      <c r="R55">
        <f t="shared" si="53"/>
        <v>0.40110003663731281</v>
      </c>
      <c r="S55">
        <f t="shared" si="54"/>
        <v>2.9174272103291461</v>
      </c>
      <c r="T55">
        <f t="shared" si="55"/>
        <v>0.37279025079366029</v>
      </c>
      <c r="U55">
        <f t="shared" si="56"/>
        <v>0.23537070650300901</v>
      </c>
      <c r="V55">
        <f t="shared" si="57"/>
        <v>344.39409967094048</v>
      </c>
      <c r="W55">
        <f t="shared" si="58"/>
        <v>31.054321693292934</v>
      </c>
      <c r="X55">
        <f t="shared" si="59"/>
        <v>30.037800000000001</v>
      </c>
      <c r="Y55">
        <f t="shared" si="60"/>
        <v>4.2697088216784334</v>
      </c>
      <c r="Z55">
        <f t="shared" si="61"/>
        <v>65.223810403219829</v>
      </c>
      <c r="AA55">
        <f t="shared" si="62"/>
        <v>2.8531824166656201</v>
      </c>
      <c r="AB55">
        <f t="shared" si="63"/>
        <v>4.3744491452231538</v>
      </c>
      <c r="AC55">
        <f t="shared" si="64"/>
        <v>1.4165264050128132</v>
      </c>
      <c r="AD55">
        <f t="shared" si="65"/>
        <v>-243.84437357045215</v>
      </c>
      <c r="AE55">
        <f t="shared" si="66"/>
        <v>66.484088727131933</v>
      </c>
      <c r="AF55">
        <f t="shared" si="67"/>
        <v>5.0795809598466271</v>
      </c>
      <c r="AG55">
        <f t="shared" si="68"/>
        <v>172.11339578746689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51906.307887503732</v>
      </c>
      <c r="AM55" t="s">
        <v>413</v>
      </c>
      <c r="AN55">
        <v>10366.9</v>
      </c>
      <c r="AO55">
        <v>993.59653846153856</v>
      </c>
      <c r="AP55">
        <v>3431.87</v>
      </c>
      <c r="AQ55">
        <f t="shared" si="72"/>
        <v>0.71047955241266758</v>
      </c>
      <c r="AR55">
        <v>-3.9894345373445681</v>
      </c>
      <c r="AS55" t="s">
        <v>617</v>
      </c>
      <c r="AT55">
        <v>10312.200000000001</v>
      </c>
      <c r="AU55">
        <v>677.99057692307701</v>
      </c>
      <c r="AV55">
        <v>1039.686267791742</v>
      </c>
      <c r="AW55">
        <f t="shared" si="73"/>
        <v>0.34788926436134837</v>
      </c>
      <c r="AX55">
        <v>0.5</v>
      </c>
      <c r="AY55">
        <f t="shared" si="74"/>
        <v>1513.2938998354703</v>
      </c>
      <c r="AZ55">
        <f t="shared" si="75"/>
        <v>47.316561142735914</v>
      </c>
      <c r="BA55">
        <f t="shared" si="76"/>
        <v>263.2293507881389</v>
      </c>
      <c r="BB55">
        <f t="shared" si="77"/>
        <v>3.3903523754148894E-2</v>
      </c>
      <c r="BC55">
        <f t="shared" si="78"/>
        <v>2.300870759108105</v>
      </c>
      <c r="BD55">
        <f t="shared" si="79"/>
        <v>596.34310000712026</v>
      </c>
      <c r="BE55" t="s">
        <v>618</v>
      </c>
      <c r="BF55">
        <v>541.03</v>
      </c>
      <c r="BG55">
        <f t="shared" si="80"/>
        <v>541.03</v>
      </c>
      <c r="BH55">
        <f t="shared" si="81"/>
        <v>0.4796218659796968</v>
      </c>
      <c r="BI55">
        <f t="shared" si="82"/>
        <v>0.72534070908284054</v>
      </c>
      <c r="BJ55">
        <f t="shared" si="83"/>
        <v>0.82750471565643824</v>
      </c>
      <c r="BK55">
        <f t="shared" si="84"/>
        <v>7.8476418960360244</v>
      </c>
      <c r="BL55">
        <f t="shared" si="85"/>
        <v>0.98109739122488637</v>
      </c>
      <c r="BM55">
        <f t="shared" si="86"/>
        <v>0.57881495288040474</v>
      </c>
      <c r="BN55">
        <f t="shared" si="87"/>
        <v>0.42118504711959526</v>
      </c>
      <c r="BO55">
        <v>16634</v>
      </c>
      <c r="BP55">
        <v>290.00000000000011</v>
      </c>
      <c r="BQ55">
        <v>935.8</v>
      </c>
      <c r="BR55">
        <v>185</v>
      </c>
      <c r="BS55">
        <v>10312.200000000001</v>
      </c>
      <c r="BT55">
        <v>934.99</v>
      </c>
      <c r="BU55">
        <v>0.81</v>
      </c>
      <c r="BV55">
        <v>300.00000000000011</v>
      </c>
      <c r="BW55">
        <v>38.4</v>
      </c>
      <c r="BX55">
        <v>1039.686267791742</v>
      </c>
      <c r="BY55">
        <v>1.349341554498281</v>
      </c>
      <c r="BZ55">
        <v>-107.969662252897</v>
      </c>
      <c r="CA55">
        <v>1.1383772966550929</v>
      </c>
      <c r="CB55">
        <v>0.99689703197605595</v>
      </c>
      <c r="CC55">
        <v>-1.1228454949944381E-2</v>
      </c>
      <c r="CD55">
        <v>289.99999999999989</v>
      </c>
      <c r="CE55">
        <v>921.24</v>
      </c>
      <c r="CF55">
        <v>685</v>
      </c>
      <c r="CG55">
        <v>10285.700000000001</v>
      </c>
      <c r="CH55">
        <v>934.72</v>
      </c>
      <c r="CI55">
        <v>-13.48</v>
      </c>
      <c r="CW55">
        <f t="shared" si="88"/>
        <v>1800.13</v>
      </c>
      <c r="CX55">
        <f t="shared" si="89"/>
        <v>1513.2938998354703</v>
      </c>
      <c r="CY55">
        <f t="shared" si="90"/>
        <v>0.84065811904444132</v>
      </c>
      <c r="CZ55">
        <f t="shared" si="91"/>
        <v>0.19131623808888273</v>
      </c>
      <c r="DA55">
        <v>6</v>
      </c>
      <c r="DB55">
        <v>0.5</v>
      </c>
      <c r="DC55" t="s">
        <v>414</v>
      </c>
      <c r="DD55">
        <v>2</v>
      </c>
      <c r="DE55">
        <v>1693333839</v>
      </c>
      <c r="DF55">
        <v>638.94600000000003</v>
      </c>
      <c r="DG55">
        <v>699.952</v>
      </c>
      <c r="DH55">
        <v>28.801400000000001</v>
      </c>
      <c r="DI55">
        <v>22.358699999999999</v>
      </c>
      <c r="DJ55">
        <v>638.65</v>
      </c>
      <c r="DK55">
        <v>29.123000000000001</v>
      </c>
      <c r="DL55">
        <v>500.11</v>
      </c>
      <c r="DM55">
        <v>98.964200000000005</v>
      </c>
      <c r="DN55">
        <v>9.9818299999999999E-2</v>
      </c>
      <c r="DO55">
        <v>30.4605</v>
      </c>
      <c r="DP55">
        <v>30.037800000000001</v>
      </c>
      <c r="DQ55">
        <v>999.9</v>
      </c>
      <c r="DR55">
        <v>0</v>
      </c>
      <c r="DS55">
        <v>0</v>
      </c>
      <c r="DT55">
        <v>10035</v>
      </c>
      <c r="DU55">
        <v>0</v>
      </c>
      <c r="DV55">
        <v>1666.28</v>
      </c>
      <c r="DW55">
        <v>-61.006</v>
      </c>
      <c r="DX55">
        <v>657.89400000000001</v>
      </c>
      <c r="DY55">
        <v>715.96</v>
      </c>
      <c r="DZ55">
        <v>6.4426399999999999</v>
      </c>
      <c r="EA55">
        <v>699.952</v>
      </c>
      <c r="EB55">
        <v>22.358699999999999</v>
      </c>
      <c r="EC55">
        <v>2.8502999999999998</v>
      </c>
      <c r="ED55">
        <v>2.21271</v>
      </c>
      <c r="EE55">
        <v>23.1783</v>
      </c>
      <c r="EF55">
        <v>19.054600000000001</v>
      </c>
      <c r="EG55">
        <v>1800.13</v>
      </c>
      <c r="EH55">
        <v>0.97800100000000001</v>
      </c>
      <c r="EI55">
        <v>2.1999100000000001E-2</v>
      </c>
      <c r="EJ55">
        <v>0</v>
      </c>
      <c r="EK55">
        <v>678.15700000000004</v>
      </c>
      <c r="EL55">
        <v>5.0002500000000003</v>
      </c>
      <c r="EM55">
        <v>20352.3</v>
      </c>
      <c r="EN55">
        <v>14823.1</v>
      </c>
      <c r="EO55">
        <v>47</v>
      </c>
      <c r="EP55">
        <v>48.686999999999998</v>
      </c>
      <c r="EQ55">
        <v>47.75</v>
      </c>
      <c r="ER55">
        <v>47.875</v>
      </c>
      <c r="ES55">
        <v>48.375</v>
      </c>
      <c r="ET55">
        <v>1755.64</v>
      </c>
      <c r="EU55">
        <v>39.49</v>
      </c>
      <c r="EV55">
        <v>0</v>
      </c>
      <c r="EW55">
        <v>107</v>
      </c>
      <c r="EX55">
        <v>0</v>
      </c>
      <c r="EY55">
        <v>677.99057692307701</v>
      </c>
      <c r="EZ55">
        <v>9.8495719268617346E-2</v>
      </c>
      <c r="FA55">
        <v>54.276923070205413</v>
      </c>
      <c r="FB55">
        <v>20343.530769230769</v>
      </c>
      <c r="FC55">
        <v>15</v>
      </c>
      <c r="FD55">
        <v>1693333808</v>
      </c>
      <c r="FE55" t="s">
        <v>619</v>
      </c>
      <c r="FF55">
        <v>1693333808</v>
      </c>
      <c r="FG55">
        <v>1693333805.5</v>
      </c>
      <c r="FH55">
        <v>60</v>
      </c>
      <c r="FI55">
        <v>6.0999999999999999E-2</v>
      </c>
      <c r="FJ55">
        <v>8.0000000000000002E-3</v>
      </c>
      <c r="FK55">
        <v>0.29499999999999998</v>
      </c>
      <c r="FL55">
        <v>-0.32200000000000001</v>
      </c>
      <c r="FM55">
        <v>700</v>
      </c>
      <c r="FN55">
        <v>22</v>
      </c>
      <c r="FO55">
        <v>0.12</v>
      </c>
      <c r="FP55">
        <v>0.05</v>
      </c>
      <c r="FQ55">
        <v>47.498791333221611</v>
      </c>
      <c r="FR55">
        <v>-0.35984932605477121</v>
      </c>
      <c r="FS55">
        <v>8.2094944931347599E-2</v>
      </c>
      <c r="FT55">
        <v>1</v>
      </c>
      <c r="FU55">
        <v>0.39611592722345418</v>
      </c>
      <c r="FV55">
        <v>4.2678136915125731E-2</v>
      </c>
      <c r="FW55">
        <v>3.9100768712094251E-3</v>
      </c>
      <c r="FX55">
        <v>1</v>
      </c>
      <c r="FY55">
        <v>2</v>
      </c>
      <c r="FZ55">
        <v>2</v>
      </c>
      <c r="GA55" t="s">
        <v>415</v>
      </c>
      <c r="GB55">
        <v>2.91622</v>
      </c>
      <c r="GC55">
        <v>2.8300100000000001</v>
      </c>
      <c r="GD55">
        <v>0.12559200000000001</v>
      </c>
      <c r="GE55">
        <v>0.131384</v>
      </c>
      <c r="GF55">
        <v>0.13483500000000001</v>
      </c>
      <c r="GG55">
        <v>0.107878</v>
      </c>
      <c r="GH55">
        <v>22690.2</v>
      </c>
      <c r="GI55">
        <v>27671.9</v>
      </c>
      <c r="GJ55">
        <v>23369.599999999999</v>
      </c>
      <c r="GK55">
        <v>29179.8</v>
      </c>
      <c r="GL55">
        <v>27597.599999999999</v>
      </c>
      <c r="GM55">
        <v>36903.300000000003</v>
      </c>
      <c r="GN55">
        <v>33048.300000000003</v>
      </c>
      <c r="GO55">
        <v>43122.2</v>
      </c>
      <c r="GP55">
        <v>1.9457</v>
      </c>
      <c r="GQ55">
        <v>1.6926000000000001</v>
      </c>
      <c r="GR55">
        <v>5.6922400000000003E-3</v>
      </c>
      <c r="GS55">
        <v>0</v>
      </c>
      <c r="GT55">
        <v>29.9451</v>
      </c>
      <c r="GU55">
        <v>999.9</v>
      </c>
      <c r="GV55">
        <v>27.7</v>
      </c>
      <c r="GW55">
        <v>48.6</v>
      </c>
      <c r="GX55">
        <v>32.407800000000002</v>
      </c>
      <c r="GY55">
        <v>61.158499999999997</v>
      </c>
      <c r="GZ55">
        <v>40.524799999999999</v>
      </c>
      <c r="HA55">
        <v>1</v>
      </c>
      <c r="HB55">
        <v>0.64236800000000005</v>
      </c>
      <c r="HC55">
        <v>4.4175500000000003</v>
      </c>
      <c r="HD55">
        <v>20.2028</v>
      </c>
      <c r="HE55">
        <v>5.2100999999999997</v>
      </c>
      <c r="HF55">
        <v>11.8782</v>
      </c>
      <c r="HG55">
        <v>4.9829999999999997</v>
      </c>
      <c r="HH55">
        <v>3.2839999999999998</v>
      </c>
      <c r="HI55">
        <v>9999</v>
      </c>
      <c r="HJ55">
        <v>9999</v>
      </c>
      <c r="HK55">
        <v>9999</v>
      </c>
      <c r="HL55">
        <v>999.9</v>
      </c>
      <c r="HM55">
        <v>1.85483</v>
      </c>
      <c r="HN55">
        <v>1.8608100000000001</v>
      </c>
      <c r="HO55">
        <v>1.85809</v>
      </c>
      <c r="HP55">
        <v>1.8591299999999999</v>
      </c>
      <c r="HQ55">
        <v>1.85856</v>
      </c>
      <c r="HR55">
        <v>1.8590500000000001</v>
      </c>
      <c r="HS55">
        <v>1.8573900000000001</v>
      </c>
      <c r="HT55">
        <v>1.8606799999999999</v>
      </c>
      <c r="HU55">
        <v>5</v>
      </c>
      <c r="HV55">
        <v>0</v>
      </c>
      <c r="HW55">
        <v>0</v>
      </c>
      <c r="HX55">
        <v>0</v>
      </c>
      <c r="HY55" t="s">
        <v>416</v>
      </c>
      <c r="HZ55" t="s">
        <v>417</v>
      </c>
      <c r="IA55" t="s">
        <v>418</v>
      </c>
      <c r="IB55" t="s">
        <v>418</v>
      </c>
      <c r="IC55" t="s">
        <v>418</v>
      </c>
      <c r="ID55" t="s">
        <v>418</v>
      </c>
      <c r="IE55">
        <v>0</v>
      </c>
      <c r="IF55">
        <v>100</v>
      </c>
      <c r="IG55">
        <v>100</v>
      </c>
      <c r="IH55">
        <v>0.29599999999999999</v>
      </c>
      <c r="II55">
        <v>-0.3216</v>
      </c>
      <c r="IJ55">
        <v>0.29547619047616541</v>
      </c>
      <c r="IK55">
        <v>0</v>
      </c>
      <c r="IL55">
        <v>0</v>
      </c>
      <c r="IM55">
        <v>0</v>
      </c>
      <c r="IN55">
        <v>-0.32167000000000101</v>
      </c>
      <c r="IO55">
        <v>0</v>
      </c>
      <c r="IP55">
        <v>0</v>
      </c>
      <c r="IQ55">
        <v>0</v>
      </c>
      <c r="IR55">
        <v>-1</v>
      </c>
      <c r="IS55">
        <v>-1</v>
      </c>
      <c r="IT55">
        <v>-1</v>
      </c>
      <c r="IU55">
        <v>-1</v>
      </c>
      <c r="IV55">
        <v>0.5</v>
      </c>
      <c r="IW55">
        <v>0.6</v>
      </c>
      <c r="IX55">
        <v>1.56372</v>
      </c>
      <c r="IY55">
        <v>2.49268</v>
      </c>
      <c r="IZ55">
        <v>1.49414</v>
      </c>
      <c r="JA55">
        <v>2.2863799999999999</v>
      </c>
      <c r="JB55">
        <v>1.54419</v>
      </c>
      <c r="JC55">
        <v>2.5756800000000002</v>
      </c>
      <c r="JD55">
        <v>51.799700000000001</v>
      </c>
      <c r="JE55">
        <v>24.035</v>
      </c>
      <c r="JF55">
        <v>18</v>
      </c>
      <c r="JG55">
        <v>521.06799999999998</v>
      </c>
      <c r="JH55">
        <v>384.30799999999999</v>
      </c>
      <c r="JI55">
        <v>24.476500000000001</v>
      </c>
      <c r="JJ55">
        <v>35.173099999999998</v>
      </c>
      <c r="JK55">
        <v>30.000800000000002</v>
      </c>
      <c r="JL55">
        <v>35.146999999999998</v>
      </c>
      <c r="JM55">
        <v>35.130099999999999</v>
      </c>
      <c r="JN55">
        <v>31.368500000000001</v>
      </c>
      <c r="JO55">
        <v>28.613700000000001</v>
      </c>
      <c r="JP55">
        <v>0</v>
      </c>
      <c r="JQ55">
        <v>24.443300000000001</v>
      </c>
      <c r="JR55">
        <v>700</v>
      </c>
      <c r="JS55">
        <v>22.386199999999999</v>
      </c>
      <c r="JT55">
        <v>98.011399999999995</v>
      </c>
      <c r="JU55">
        <v>97.085099999999997</v>
      </c>
    </row>
    <row r="56" spans="1:281" x14ac:dyDescent="0.25">
      <c r="A56">
        <v>54</v>
      </c>
      <c r="B56">
        <v>1693333978.5</v>
      </c>
      <c r="C56">
        <v>12571.900000095369</v>
      </c>
      <c r="D56" t="s">
        <v>620</v>
      </c>
      <c r="E56" t="s">
        <v>621</v>
      </c>
      <c r="F56" t="s">
        <v>411</v>
      </c>
      <c r="G56" t="s">
        <v>565</v>
      </c>
      <c r="H56" t="s">
        <v>566</v>
      </c>
      <c r="I56" t="s">
        <v>31</v>
      </c>
      <c r="J56">
        <v>1693333978.5</v>
      </c>
      <c r="K56">
        <f t="shared" si="46"/>
        <v>5.3160888908564468E-3</v>
      </c>
      <c r="L56">
        <f t="shared" si="47"/>
        <v>5.316088890856447</v>
      </c>
      <c r="M56">
        <f t="shared" si="48"/>
        <v>46.997685041461551</v>
      </c>
      <c r="N56">
        <f t="shared" si="49"/>
        <v>838.31500000000005</v>
      </c>
      <c r="O56">
        <f t="shared" si="50"/>
        <v>612.81713778220239</v>
      </c>
      <c r="P56">
        <f t="shared" si="51"/>
        <v>60.707913175557792</v>
      </c>
      <c r="Q56">
        <f t="shared" si="52"/>
        <v>83.046558420262514</v>
      </c>
      <c r="R56">
        <f t="shared" si="53"/>
        <v>0.38338612817362494</v>
      </c>
      <c r="S56">
        <f t="shared" si="54"/>
        <v>2.9043268283717958</v>
      </c>
      <c r="T56">
        <f t="shared" si="55"/>
        <v>0.35732639027982305</v>
      </c>
      <c r="U56">
        <f t="shared" si="56"/>
        <v>0.22552257595576503</v>
      </c>
      <c r="V56">
        <f t="shared" si="57"/>
        <v>344.36369967091122</v>
      </c>
      <c r="W56">
        <f t="shared" si="58"/>
        <v>30.976966347161913</v>
      </c>
      <c r="X56">
        <f t="shared" si="59"/>
        <v>30.010400000000001</v>
      </c>
      <c r="Y56">
        <f t="shared" si="60"/>
        <v>4.2629954891330444</v>
      </c>
      <c r="Z56">
        <f t="shared" si="61"/>
        <v>65.475192141423236</v>
      </c>
      <c r="AA56">
        <f t="shared" si="62"/>
        <v>2.8420375569075005</v>
      </c>
      <c r="AB56">
        <f t="shared" si="63"/>
        <v>4.3406326334542671</v>
      </c>
      <c r="AC56">
        <f t="shared" si="64"/>
        <v>1.4209579322255439</v>
      </c>
      <c r="AD56">
        <f t="shared" si="65"/>
        <v>-234.43952008676931</v>
      </c>
      <c r="AE56">
        <f t="shared" si="66"/>
        <v>49.259460183733104</v>
      </c>
      <c r="AF56">
        <f t="shared" si="67"/>
        <v>3.7774982624197575</v>
      </c>
      <c r="AG56">
        <f t="shared" si="68"/>
        <v>162.96113803029479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51557.581431405648</v>
      </c>
      <c r="AM56" t="s">
        <v>413</v>
      </c>
      <c r="AN56">
        <v>10366.9</v>
      </c>
      <c r="AO56">
        <v>993.59653846153856</v>
      </c>
      <c r="AP56">
        <v>3431.87</v>
      </c>
      <c r="AQ56">
        <f t="shared" si="72"/>
        <v>0.71047955241266758</v>
      </c>
      <c r="AR56">
        <v>-3.9894345373445681</v>
      </c>
      <c r="AS56" t="s">
        <v>622</v>
      </c>
      <c r="AT56">
        <v>10309.799999999999</v>
      </c>
      <c r="AU56">
        <v>676.29363999999998</v>
      </c>
      <c r="AV56">
        <v>1041.658821072142</v>
      </c>
      <c r="AW56">
        <f t="shared" si="73"/>
        <v>0.35075321562206407</v>
      </c>
      <c r="AX56">
        <v>0.5</v>
      </c>
      <c r="AY56">
        <f t="shared" si="74"/>
        <v>1513.1594998354556</v>
      </c>
      <c r="AZ56">
        <f t="shared" si="75"/>
        <v>46.997685041461551</v>
      </c>
      <c r="BA56">
        <f t="shared" si="76"/>
        <v>265.37278015818009</v>
      </c>
      <c r="BB56">
        <f t="shared" si="77"/>
        <v>3.3695799804548413E-2</v>
      </c>
      <c r="BC56">
        <f t="shared" si="78"/>
        <v>2.2946200143226352</v>
      </c>
      <c r="BD56">
        <f t="shared" si="79"/>
        <v>596.99153330666684</v>
      </c>
      <c r="BE56" t="s">
        <v>623</v>
      </c>
      <c r="BF56">
        <v>538.54999999999995</v>
      </c>
      <c r="BG56">
        <f t="shared" si="80"/>
        <v>538.54999999999995</v>
      </c>
      <c r="BH56">
        <f t="shared" si="81"/>
        <v>0.48298810598494257</v>
      </c>
      <c r="BI56">
        <f t="shared" si="82"/>
        <v>0.72621501704847147</v>
      </c>
      <c r="BJ56">
        <f t="shared" si="83"/>
        <v>0.82611366144355203</v>
      </c>
      <c r="BK56">
        <f t="shared" si="84"/>
        <v>7.6019107130699508</v>
      </c>
      <c r="BL56">
        <f t="shared" si="85"/>
        <v>0.98028839530563638</v>
      </c>
      <c r="BM56">
        <f t="shared" si="86"/>
        <v>0.57830367505962987</v>
      </c>
      <c r="BN56">
        <f t="shared" si="87"/>
        <v>0.42169632494037013</v>
      </c>
      <c r="BO56">
        <v>16636</v>
      </c>
      <c r="BP56">
        <v>290.00000000000011</v>
      </c>
      <c r="BQ56">
        <v>937</v>
      </c>
      <c r="BR56">
        <v>205</v>
      </c>
      <c r="BS56">
        <v>10309.799999999999</v>
      </c>
      <c r="BT56">
        <v>936.17</v>
      </c>
      <c r="BU56">
        <v>0.83</v>
      </c>
      <c r="BV56">
        <v>300.00000000000011</v>
      </c>
      <c r="BW56">
        <v>38.4</v>
      </c>
      <c r="BX56">
        <v>1041.658821072142</v>
      </c>
      <c r="BY56">
        <v>1.112849810248711</v>
      </c>
      <c r="BZ56">
        <v>-108.75314373761709</v>
      </c>
      <c r="CA56">
        <v>0.93889528868756567</v>
      </c>
      <c r="CB56">
        <v>0.99791741224056907</v>
      </c>
      <c r="CC56">
        <v>-1.122866941045607E-2</v>
      </c>
      <c r="CD56">
        <v>289.99999999999989</v>
      </c>
      <c r="CE56">
        <v>924.05</v>
      </c>
      <c r="CF56">
        <v>655</v>
      </c>
      <c r="CG56">
        <v>10288.200000000001</v>
      </c>
      <c r="CH56">
        <v>935.95</v>
      </c>
      <c r="CI56">
        <v>-11.9</v>
      </c>
      <c r="CW56">
        <f t="shared" si="88"/>
        <v>1799.97</v>
      </c>
      <c r="CX56">
        <f t="shared" si="89"/>
        <v>1513.1594998354556</v>
      </c>
      <c r="CY56">
        <f t="shared" si="90"/>
        <v>0.84065817754487882</v>
      </c>
      <c r="CZ56">
        <f t="shared" si="91"/>
        <v>0.19131635508975772</v>
      </c>
      <c r="DA56">
        <v>6</v>
      </c>
      <c r="DB56">
        <v>0.5</v>
      </c>
      <c r="DC56" t="s">
        <v>414</v>
      </c>
      <c r="DD56">
        <v>2</v>
      </c>
      <c r="DE56">
        <v>1693333978.5</v>
      </c>
      <c r="DF56">
        <v>838.31500000000005</v>
      </c>
      <c r="DG56">
        <v>900.11199999999997</v>
      </c>
      <c r="DH56">
        <v>28.689</v>
      </c>
      <c r="DI56">
        <v>22.487500000000001</v>
      </c>
      <c r="DJ56">
        <v>837.56700000000001</v>
      </c>
      <c r="DK56">
        <v>28.997900000000001</v>
      </c>
      <c r="DL56">
        <v>499.58</v>
      </c>
      <c r="DM56">
        <v>98.965000000000003</v>
      </c>
      <c r="DN56">
        <v>9.8667500000000005E-2</v>
      </c>
      <c r="DO56">
        <v>30.324999999999999</v>
      </c>
      <c r="DP56">
        <v>30.010400000000001</v>
      </c>
      <c r="DQ56">
        <v>999.9</v>
      </c>
      <c r="DR56">
        <v>0</v>
      </c>
      <c r="DS56">
        <v>0</v>
      </c>
      <c r="DT56">
        <v>9960</v>
      </c>
      <c r="DU56">
        <v>0</v>
      </c>
      <c r="DV56">
        <v>1675.06</v>
      </c>
      <c r="DW56">
        <v>-61.7971</v>
      </c>
      <c r="DX56">
        <v>863.07600000000002</v>
      </c>
      <c r="DY56">
        <v>920.81899999999996</v>
      </c>
      <c r="DZ56">
        <v>6.2015700000000002</v>
      </c>
      <c r="EA56">
        <v>900.11199999999997</v>
      </c>
      <c r="EB56">
        <v>22.487500000000001</v>
      </c>
      <c r="EC56">
        <v>2.83921</v>
      </c>
      <c r="ED56">
        <v>2.2254700000000001</v>
      </c>
      <c r="EE56">
        <v>23.113800000000001</v>
      </c>
      <c r="EF56">
        <v>19.146899999999999</v>
      </c>
      <c r="EG56">
        <v>1799.97</v>
      </c>
      <c r="EH56">
        <v>0.97799700000000001</v>
      </c>
      <c r="EI56">
        <v>2.2002899999999999E-2</v>
      </c>
      <c r="EJ56">
        <v>0</v>
      </c>
      <c r="EK56">
        <v>676.35199999999998</v>
      </c>
      <c r="EL56">
        <v>5.0002500000000003</v>
      </c>
      <c r="EM56">
        <v>20391.7</v>
      </c>
      <c r="EN56">
        <v>14821.8</v>
      </c>
      <c r="EO56">
        <v>46.875</v>
      </c>
      <c r="EP56">
        <v>48.625</v>
      </c>
      <c r="EQ56">
        <v>47.686999999999998</v>
      </c>
      <c r="ER56">
        <v>47.686999999999998</v>
      </c>
      <c r="ES56">
        <v>48.25</v>
      </c>
      <c r="ET56">
        <v>1755.48</v>
      </c>
      <c r="EU56">
        <v>39.49</v>
      </c>
      <c r="EV56">
        <v>0</v>
      </c>
      <c r="EW56">
        <v>137.5999999046326</v>
      </c>
      <c r="EX56">
        <v>0</v>
      </c>
      <c r="EY56">
        <v>676.29363999999998</v>
      </c>
      <c r="EZ56">
        <v>-2.31592307797548</v>
      </c>
      <c r="FA56">
        <v>-475.5769238673318</v>
      </c>
      <c r="FB56">
        <v>20418.68</v>
      </c>
      <c r="FC56">
        <v>15</v>
      </c>
      <c r="FD56">
        <v>1693333946.5</v>
      </c>
      <c r="FE56" t="s">
        <v>624</v>
      </c>
      <c r="FF56">
        <v>1693333946.5</v>
      </c>
      <c r="FG56">
        <v>1693333938.5</v>
      </c>
      <c r="FH56">
        <v>61</v>
      </c>
      <c r="FI56">
        <v>0.45300000000000001</v>
      </c>
      <c r="FJ56">
        <v>1.2999999999999999E-2</v>
      </c>
      <c r="FK56">
        <v>0.748</v>
      </c>
      <c r="FL56">
        <v>-0.309</v>
      </c>
      <c r="FM56">
        <v>900</v>
      </c>
      <c r="FN56">
        <v>23</v>
      </c>
      <c r="FO56">
        <v>0.14000000000000001</v>
      </c>
      <c r="FP56">
        <v>7.0000000000000007E-2</v>
      </c>
      <c r="FQ56">
        <v>46.966363169365927</v>
      </c>
      <c r="FR56">
        <v>0.32620997750064662</v>
      </c>
      <c r="FS56">
        <v>0.1241053782830472</v>
      </c>
      <c r="FT56">
        <v>1</v>
      </c>
      <c r="FU56">
        <v>0.381942427285202</v>
      </c>
      <c r="FV56">
        <v>3.0595174805816139E-2</v>
      </c>
      <c r="FW56">
        <v>3.7566012196225151E-3</v>
      </c>
      <c r="FX56">
        <v>1</v>
      </c>
      <c r="FY56">
        <v>2</v>
      </c>
      <c r="FZ56">
        <v>2</v>
      </c>
      <c r="GA56" t="s">
        <v>415</v>
      </c>
      <c r="GB56">
        <v>2.9148900000000002</v>
      </c>
      <c r="GC56">
        <v>2.8281999999999998</v>
      </c>
      <c r="GD56">
        <v>0.150841</v>
      </c>
      <c r="GE56">
        <v>0.15537500000000001</v>
      </c>
      <c r="GF56">
        <v>0.134437</v>
      </c>
      <c r="GG56">
        <v>0.10832</v>
      </c>
      <c r="GH56">
        <v>22034.799999999999</v>
      </c>
      <c r="GI56">
        <v>26906</v>
      </c>
      <c r="GJ56">
        <v>23369.9</v>
      </c>
      <c r="GK56">
        <v>29178.799999999999</v>
      </c>
      <c r="GL56">
        <v>27613.4</v>
      </c>
      <c r="GM56">
        <v>36886.5</v>
      </c>
      <c r="GN56">
        <v>33049.4</v>
      </c>
      <c r="GO56">
        <v>43120.7</v>
      </c>
      <c r="GP56">
        <v>1.9457</v>
      </c>
      <c r="GQ56">
        <v>1.6928000000000001</v>
      </c>
      <c r="GR56">
        <v>5.33462E-3</v>
      </c>
      <c r="GS56">
        <v>0</v>
      </c>
      <c r="GT56">
        <v>29.9236</v>
      </c>
      <c r="GU56">
        <v>999.9</v>
      </c>
      <c r="GV56">
        <v>27.6</v>
      </c>
      <c r="GW56">
        <v>48.7</v>
      </c>
      <c r="GX56">
        <v>32.453699999999998</v>
      </c>
      <c r="GY56">
        <v>61.418500000000002</v>
      </c>
      <c r="GZ56">
        <v>40.544899999999998</v>
      </c>
      <c r="HA56">
        <v>1</v>
      </c>
      <c r="HB56">
        <v>0.64112800000000003</v>
      </c>
      <c r="HC56">
        <v>4.1586999999999996</v>
      </c>
      <c r="HD56">
        <v>20.207899999999999</v>
      </c>
      <c r="HE56">
        <v>5.1963200000000001</v>
      </c>
      <c r="HF56">
        <v>11.8782</v>
      </c>
      <c r="HG56">
        <v>4.9795999999999996</v>
      </c>
      <c r="HH56">
        <v>3.2812999999999999</v>
      </c>
      <c r="HI56">
        <v>9999</v>
      </c>
      <c r="HJ56">
        <v>9999</v>
      </c>
      <c r="HK56">
        <v>9999</v>
      </c>
      <c r="HL56">
        <v>999.9</v>
      </c>
      <c r="HM56">
        <v>1.85486</v>
      </c>
      <c r="HN56">
        <v>1.8608100000000001</v>
      </c>
      <c r="HO56">
        <v>1.8581399999999999</v>
      </c>
      <c r="HP56">
        <v>1.8591299999999999</v>
      </c>
      <c r="HQ56">
        <v>1.85856</v>
      </c>
      <c r="HR56">
        <v>1.8590899999999999</v>
      </c>
      <c r="HS56">
        <v>1.8574200000000001</v>
      </c>
      <c r="HT56">
        <v>1.8606799999999999</v>
      </c>
      <c r="HU56">
        <v>5</v>
      </c>
      <c r="HV56">
        <v>0</v>
      </c>
      <c r="HW56">
        <v>0</v>
      </c>
      <c r="HX56">
        <v>0</v>
      </c>
      <c r="HY56" t="s">
        <v>416</v>
      </c>
      <c r="HZ56" t="s">
        <v>417</v>
      </c>
      <c r="IA56" t="s">
        <v>418</v>
      </c>
      <c r="IB56" t="s">
        <v>418</v>
      </c>
      <c r="IC56" t="s">
        <v>418</v>
      </c>
      <c r="ID56" t="s">
        <v>418</v>
      </c>
      <c r="IE56">
        <v>0</v>
      </c>
      <c r="IF56">
        <v>100</v>
      </c>
      <c r="IG56">
        <v>100</v>
      </c>
      <c r="IH56">
        <v>0.748</v>
      </c>
      <c r="II56">
        <v>-0.30890000000000001</v>
      </c>
      <c r="IJ56">
        <v>0.74824999999998454</v>
      </c>
      <c r="IK56">
        <v>0</v>
      </c>
      <c r="IL56">
        <v>0</v>
      </c>
      <c r="IM56">
        <v>0</v>
      </c>
      <c r="IN56">
        <v>-0.30887500000000401</v>
      </c>
      <c r="IO56">
        <v>0</v>
      </c>
      <c r="IP56">
        <v>0</v>
      </c>
      <c r="IQ56">
        <v>0</v>
      </c>
      <c r="IR56">
        <v>-1</v>
      </c>
      <c r="IS56">
        <v>-1</v>
      </c>
      <c r="IT56">
        <v>-1</v>
      </c>
      <c r="IU56">
        <v>-1</v>
      </c>
      <c r="IV56">
        <v>0.5</v>
      </c>
      <c r="IW56">
        <v>0.7</v>
      </c>
      <c r="IX56">
        <v>1.9116200000000001</v>
      </c>
      <c r="IY56">
        <v>2.48169</v>
      </c>
      <c r="IZ56">
        <v>1.49414</v>
      </c>
      <c r="JA56">
        <v>2.2851599999999999</v>
      </c>
      <c r="JB56">
        <v>1.54419</v>
      </c>
      <c r="JC56">
        <v>2.5647000000000002</v>
      </c>
      <c r="JD56">
        <v>51.934600000000003</v>
      </c>
      <c r="JE56">
        <v>24.026199999999999</v>
      </c>
      <c r="JF56">
        <v>18</v>
      </c>
      <c r="JG56">
        <v>520.96600000000001</v>
      </c>
      <c r="JH56">
        <v>384.33100000000002</v>
      </c>
      <c r="JI56">
        <v>24.249199999999998</v>
      </c>
      <c r="JJ56">
        <v>35.163400000000003</v>
      </c>
      <c r="JK56">
        <v>30.0001</v>
      </c>
      <c r="JL56">
        <v>35.1342</v>
      </c>
      <c r="JM56">
        <v>35.114100000000001</v>
      </c>
      <c r="JN56">
        <v>38.331200000000003</v>
      </c>
      <c r="JO56">
        <v>28.996400000000001</v>
      </c>
      <c r="JP56">
        <v>0</v>
      </c>
      <c r="JQ56">
        <v>24.2501</v>
      </c>
      <c r="JR56">
        <v>900</v>
      </c>
      <c r="JS56">
        <v>22.479199999999999</v>
      </c>
      <c r="JT56">
        <v>98.0137</v>
      </c>
      <c r="JU56">
        <v>97.081800000000001</v>
      </c>
    </row>
    <row r="57" spans="1:281" x14ac:dyDescent="0.25">
      <c r="A57">
        <v>55</v>
      </c>
      <c r="B57">
        <v>1693334097.5</v>
      </c>
      <c r="C57">
        <v>12690.900000095369</v>
      </c>
      <c r="D57" t="s">
        <v>625</v>
      </c>
      <c r="E57" t="s">
        <v>626</v>
      </c>
      <c r="F57" t="s">
        <v>411</v>
      </c>
      <c r="G57" t="s">
        <v>565</v>
      </c>
      <c r="H57" t="s">
        <v>566</v>
      </c>
      <c r="I57" t="s">
        <v>31</v>
      </c>
      <c r="J57">
        <v>1693334097.5</v>
      </c>
      <c r="K57">
        <f t="shared" si="46"/>
        <v>4.780871366715081E-3</v>
      </c>
      <c r="L57">
        <f t="shared" si="47"/>
        <v>4.7808713667150808</v>
      </c>
      <c r="M57">
        <f t="shared" si="48"/>
        <v>46.960166442767303</v>
      </c>
      <c r="N57">
        <f t="shared" si="49"/>
        <v>1137.1300000000001</v>
      </c>
      <c r="O57">
        <f t="shared" si="50"/>
        <v>876.1976141412274</v>
      </c>
      <c r="P57">
        <f t="shared" si="51"/>
        <v>86.799005204016296</v>
      </c>
      <c r="Q57">
        <f t="shared" si="52"/>
        <v>112.64782190075002</v>
      </c>
      <c r="R57">
        <f t="shared" si="53"/>
        <v>0.33478312047132897</v>
      </c>
      <c r="S57">
        <f t="shared" si="54"/>
        <v>2.9069161666367851</v>
      </c>
      <c r="T57">
        <f t="shared" si="55"/>
        <v>0.31474324272890236</v>
      </c>
      <c r="U57">
        <f t="shared" si="56"/>
        <v>0.19841498955181902</v>
      </c>
      <c r="V57">
        <f t="shared" si="57"/>
        <v>344.31869967078399</v>
      </c>
      <c r="W57">
        <f t="shared" si="58"/>
        <v>31.113437198189029</v>
      </c>
      <c r="X57">
        <f t="shared" si="59"/>
        <v>30.0229</v>
      </c>
      <c r="Y57">
        <f t="shared" si="60"/>
        <v>4.2660569989113739</v>
      </c>
      <c r="Z57">
        <f t="shared" si="61"/>
        <v>64.864057138840295</v>
      </c>
      <c r="AA57">
        <f t="shared" si="62"/>
        <v>2.8150909920025002</v>
      </c>
      <c r="AB57">
        <f t="shared" si="63"/>
        <v>4.3399859894314829</v>
      </c>
      <c r="AC57">
        <f t="shared" si="64"/>
        <v>1.4509660069088737</v>
      </c>
      <c r="AD57">
        <f t="shared" si="65"/>
        <v>-210.83642727213507</v>
      </c>
      <c r="AE57">
        <f t="shared" si="66"/>
        <v>46.936940480528584</v>
      </c>
      <c r="AF57">
        <f t="shared" si="67"/>
        <v>3.5963640151279646</v>
      </c>
      <c r="AG57">
        <f t="shared" si="68"/>
        <v>184.01557689430547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51631.408168657959</v>
      </c>
      <c r="AM57" t="s">
        <v>413</v>
      </c>
      <c r="AN57">
        <v>10366.9</v>
      </c>
      <c r="AO57">
        <v>993.59653846153856</v>
      </c>
      <c r="AP57">
        <v>3431.87</v>
      </c>
      <c r="AQ57">
        <f t="shared" si="72"/>
        <v>0.71047955241266758</v>
      </c>
      <c r="AR57">
        <v>-3.9894345373445681</v>
      </c>
      <c r="AS57" t="s">
        <v>627</v>
      </c>
      <c r="AT57">
        <v>10317.6</v>
      </c>
      <c r="AU57">
        <v>673.91469230769246</v>
      </c>
      <c r="AV57">
        <v>1039.170295285297</v>
      </c>
      <c r="AW57">
        <f t="shared" si="73"/>
        <v>0.35148772500018988</v>
      </c>
      <c r="AX57">
        <v>0.5</v>
      </c>
      <c r="AY57">
        <f t="shared" si="74"/>
        <v>1512.958199835392</v>
      </c>
      <c r="AZ57">
        <f t="shared" si="75"/>
        <v>46.960166442767303</v>
      </c>
      <c r="BA57">
        <f t="shared" si="76"/>
        <v>265.89311784026228</v>
      </c>
      <c r="BB57">
        <f t="shared" si="77"/>
        <v>3.3675484878336444E-2</v>
      </c>
      <c r="BC57">
        <f t="shared" si="78"/>
        <v>2.302509719119525</v>
      </c>
      <c r="BD57">
        <f t="shared" si="79"/>
        <v>596.17331229405852</v>
      </c>
      <c r="BE57" t="s">
        <v>628</v>
      </c>
      <c r="BF57">
        <v>536.4</v>
      </c>
      <c r="BG57">
        <f t="shared" si="80"/>
        <v>536.4</v>
      </c>
      <c r="BH57">
        <f t="shared" si="81"/>
        <v>0.48381896361583832</v>
      </c>
      <c r="BI57">
        <f t="shared" si="82"/>
        <v>0.7264860442288863</v>
      </c>
      <c r="BJ57">
        <f t="shared" si="83"/>
        <v>0.82635969452790148</v>
      </c>
      <c r="BK57">
        <f t="shared" si="84"/>
        <v>8.0146037639624641</v>
      </c>
      <c r="BL57">
        <f t="shared" si="85"/>
        <v>0.9813090051043728</v>
      </c>
      <c r="BM57">
        <f t="shared" si="86"/>
        <v>0.57824398039159131</v>
      </c>
      <c r="BN57">
        <f t="shared" si="87"/>
        <v>0.42175601960840869</v>
      </c>
      <c r="BO57">
        <v>16638</v>
      </c>
      <c r="BP57">
        <v>290.00000000000011</v>
      </c>
      <c r="BQ57">
        <v>935.42</v>
      </c>
      <c r="BR57">
        <v>155</v>
      </c>
      <c r="BS57">
        <v>10317.6</v>
      </c>
      <c r="BT57">
        <v>934.86</v>
      </c>
      <c r="BU57">
        <v>0.56000000000000005</v>
      </c>
      <c r="BV57">
        <v>300.00000000000011</v>
      </c>
      <c r="BW57">
        <v>38.4</v>
      </c>
      <c r="BX57">
        <v>1039.170295285297</v>
      </c>
      <c r="BY57">
        <v>1.317435038591303</v>
      </c>
      <c r="BZ57">
        <v>-107.62645236684889</v>
      </c>
      <c r="CA57">
        <v>1.1115705553330839</v>
      </c>
      <c r="CB57">
        <v>0.99702217708236607</v>
      </c>
      <c r="CC57">
        <v>-1.1229333926585089E-2</v>
      </c>
      <c r="CD57">
        <v>289.99999999999989</v>
      </c>
      <c r="CE57">
        <v>922.85</v>
      </c>
      <c r="CF57">
        <v>665</v>
      </c>
      <c r="CG57">
        <v>10288.1</v>
      </c>
      <c r="CH57">
        <v>934.56</v>
      </c>
      <c r="CI57">
        <v>-11.71</v>
      </c>
      <c r="CW57">
        <f t="shared" si="88"/>
        <v>1799.73</v>
      </c>
      <c r="CX57">
        <f t="shared" si="89"/>
        <v>1512.958199835392</v>
      </c>
      <c r="CY57">
        <f t="shared" si="90"/>
        <v>0.84065843200668544</v>
      </c>
      <c r="CZ57">
        <f t="shared" si="91"/>
        <v>0.19131686401337089</v>
      </c>
      <c r="DA57">
        <v>6</v>
      </c>
      <c r="DB57">
        <v>0.5</v>
      </c>
      <c r="DC57" t="s">
        <v>414</v>
      </c>
      <c r="DD57">
        <v>2</v>
      </c>
      <c r="DE57">
        <v>1693334097.5</v>
      </c>
      <c r="DF57">
        <v>1137.1300000000001</v>
      </c>
      <c r="DG57">
        <v>1199.99</v>
      </c>
      <c r="DH57">
        <v>28.417100000000001</v>
      </c>
      <c r="DI57">
        <v>22.8445</v>
      </c>
      <c r="DJ57">
        <v>1136.19</v>
      </c>
      <c r="DK57">
        <v>28.732399999999998</v>
      </c>
      <c r="DL57">
        <v>500.12700000000001</v>
      </c>
      <c r="DM57">
        <v>98.962800000000001</v>
      </c>
      <c r="DN57">
        <v>0.10047499999999999</v>
      </c>
      <c r="DO57">
        <v>30.322399999999998</v>
      </c>
      <c r="DP57">
        <v>30.0229</v>
      </c>
      <c r="DQ57">
        <v>999.9</v>
      </c>
      <c r="DR57">
        <v>0</v>
      </c>
      <c r="DS57">
        <v>0</v>
      </c>
      <c r="DT57">
        <v>9975</v>
      </c>
      <c r="DU57">
        <v>0</v>
      </c>
      <c r="DV57">
        <v>1666.8</v>
      </c>
      <c r="DW57">
        <v>-62.854399999999998</v>
      </c>
      <c r="DX57">
        <v>1170.3900000000001</v>
      </c>
      <c r="DY57">
        <v>1228.04</v>
      </c>
      <c r="DZ57">
        <v>5.5726000000000004</v>
      </c>
      <c r="EA57">
        <v>1199.99</v>
      </c>
      <c r="EB57">
        <v>22.8445</v>
      </c>
      <c r="EC57">
        <v>2.8122400000000001</v>
      </c>
      <c r="ED57">
        <v>2.2607599999999999</v>
      </c>
      <c r="EE57">
        <v>22.956099999999999</v>
      </c>
      <c r="EF57">
        <v>19.3995</v>
      </c>
      <c r="EG57">
        <v>1799.73</v>
      </c>
      <c r="EH57">
        <v>0.977993</v>
      </c>
      <c r="EI57">
        <v>2.2006600000000001E-2</v>
      </c>
      <c r="EJ57">
        <v>0</v>
      </c>
      <c r="EK57">
        <v>673.47199999999998</v>
      </c>
      <c r="EL57">
        <v>5.0002500000000003</v>
      </c>
      <c r="EM57">
        <v>20230.900000000001</v>
      </c>
      <c r="EN57">
        <v>14819.8</v>
      </c>
      <c r="EO57">
        <v>46.811999999999998</v>
      </c>
      <c r="EP57">
        <v>48.436999999999998</v>
      </c>
      <c r="EQ57">
        <v>47.561999999999998</v>
      </c>
      <c r="ER57">
        <v>47.5</v>
      </c>
      <c r="ES57">
        <v>48.125</v>
      </c>
      <c r="ET57">
        <v>1755.23</v>
      </c>
      <c r="EU57">
        <v>39.5</v>
      </c>
      <c r="EV57">
        <v>0</v>
      </c>
      <c r="EW57">
        <v>117.2000000476837</v>
      </c>
      <c r="EX57">
        <v>0</v>
      </c>
      <c r="EY57">
        <v>673.91469230769246</v>
      </c>
      <c r="EZ57">
        <v>-1.5985641061464011</v>
      </c>
      <c r="FA57">
        <v>-507.91111353361549</v>
      </c>
      <c r="FB57">
        <v>20282.73076923077</v>
      </c>
      <c r="FC57">
        <v>15</v>
      </c>
      <c r="FD57">
        <v>1693334069</v>
      </c>
      <c r="FE57" t="s">
        <v>629</v>
      </c>
      <c r="FF57">
        <v>1693334069</v>
      </c>
      <c r="FG57">
        <v>1693334067</v>
      </c>
      <c r="FH57">
        <v>62</v>
      </c>
      <c r="FI57">
        <v>0.19400000000000001</v>
      </c>
      <c r="FJ57">
        <v>-6.0000000000000001E-3</v>
      </c>
      <c r="FK57">
        <v>0.94199999999999995</v>
      </c>
      <c r="FL57">
        <v>-0.315</v>
      </c>
      <c r="FM57">
        <v>1200</v>
      </c>
      <c r="FN57">
        <v>22</v>
      </c>
      <c r="FO57">
        <v>0.19</v>
      </c>
      <c r="FP57">
        <v>0.04</v>
      </c>
      <c r="FQ57">
        <v>46.965676776501667</v>
      </c>
      <c r="FR57">
        <v>-0.59930524303637389</v>
      </c>
      <c r="FS57">
        <v>0.14269907882253891</v>
      </c>
      <c r="FT57">
        <v>1</v>
      </c>
      <c r="FU57">
        <v>0.33700866164946602</v>
      </c>
      <c r="FV57">
        <v>-1.5820833628334419E-2</v>
      </c>
      <c r="FW57">
        <v>1.901482223469333E-3</v>
      </c>
      <c r="FX57">
        <v>1</v>
      </c>
      <c r="FY57">
        <v>2</v>
      </c>
      <c r="FZ57">
        <v>2</v>
      </c>
      <c r="GA57" t="s">
        <v>415</v>
      </c>
      <c r="GB57">
        <v>2.9163199999999998</v>
      </c>
      <c r="GC57">
        <v>2.8301400000000001</v>
      </c>
      <c r="GD57">
        <v>0.18334500000000001</v>
      </c>
      <c r="GE57">
        <v>0.186501</v>
      </c>
      <c r="GF57">
        <v>0.13359299999999999</v>
      </c>
      <c r="GG57">
        <v>0.109537</v>
      </c>
      <c r="GH57">
        <v>21192.799999999999</v>
      </c>
      <c r="GI57">
        <v>25913.8</v>
      </c>
      <c r="GJ57">
        <v>23372.7</v>
      </c>
      <c r="GK57">
        <v>29179.8</v>
      </c>
      <c r="GL57">
        <v>27646.2</v>
      </c>
      <c r="GM57">
        <v>36840.5</v>
      </c>
      <c r="GN57">
        <v>33053.4</v>
      </c>
      <c r="GO57">
        <v>43121.599999999999</v>
      </c>
      <c r="GP57">
        <v>1.9460999999999999</v>
      </c>
      <c r="GQ57">
        <v>1.6935</v>
      </c>
      <c r="GR57">
        <v>1.3410999999999999E-2</v>
      </c>
      <c r="GS57">
        <v>0</v>
      </c>
      <c r="GT57">
        <v>29.804600000000001</v>
      </c>
      <c r="GU57">
        <v>999.9</v>
      </c>
      <c r="GV57">
        <v>27.5</v>
      </c>
      <c r="GW57">
        <v>48.8</v>
      </c>
      <c r="GX57">
        <v>32.496499999999997</v>
      </c>
      <c r="GY57">
        <v>61.488500000000002</v>
      </c>
      <c r="GZ57">
        <v>40.400599999999997</v>
      </c>
      <c r="HA57">
        <v>1</v>
      </c>
      <c r="HB57">
        <v>0.637378</v>
      </c>
      <c r="HC57">
        <v>4.2377200000000004</v>
      </c>
      <c r="HD57">
        <v>20.207899999999999</v>
      </c>
      <c r="HE57">
        <v>5.2100999999999997</v>
      </c>
      <c r="HF57">
        <v>11.8782</v>
      </c>
      <c r="HG57">
        <v>4.9842000000000004</v>
      </c>
      <c r="HH57">
        <v>3.2839999999999998</v>
      </c>
      <c r="HI57">
        <v>9999</v>
      </c>
      <c r="HJ57">
        <v>9999</v>
      </c>
      <c r="HK57">
        <v>9999</v>
      </c>
      <c r="HL57">
        <v>999.9</v>
      </c>
      <c r="HM57">
        <v>1.8548500000000001</v>
      </c>
      <c r="HN57">
        <v>1.8608100000000001</v>
      </c>
      <c r="HO57">
        <v>1.85816</v>
      </c>
      <c r="HP57">
        <v>1.8591299999999999</v>
      </c>
      <c r="HQ57">
        <v>1.8585499999999999</v>
      </c>
      <c r="HR57">
        <v>1.8590500000000001</v>
      </c>
      <c r="HS57">
        <v>1.8573599999999999</v>
      </c>
      <c r="HT57">
        <v>1.8606799999999999</v>
      </c>
      <c r="HU57">
        <v>5</v>
      </c>
      <c r="HV57">
        <v>0</v>
      </c>
      <c r="HW57">
        <v>0</v>
      </c>
      <c r="HX57">
        <v>0</v>
      </c>
      <c r="HY57" t="s">
        <v>416</v>
      </c>
      <c r="HZ57" t="s">
        <v>417</v>
      </c>
      <c r="IA57" t="s">
        <v>418</v>
      </c>
      <c r="IB57" t="s">
        <v>418</v>
      </c>
      <c r="IC57" t="s">
        <v>418</v>
      </c>
      <c r="ID57" t="s">
        <v>418</v>
      </c>
      <c r="IE57">
        <v>0</v>
      </c>
      <c r="IF57">
        <v>100</v>
      </c>
      <c r="IG57">
        <v>100</v>
      </c>
      <c r="IH57">
        <v>0.94</v>
      </c>
      <c r="II57">
        <v>-0.31530000000000002</v>
      </c>
      <c r="IJ57">
        <v>0.94200000000023465</v>
      </c>
      <c r="IK57">
        <v>0</v>
      </c>
      <c r="IL57">
        <v>0</v>
      </c>
      <c r="IM57">
        <v>0</v>
      </c>
      <c r="IN57">
        <v>-0.31528000000000128</v>
      </c>
      <c r="IO57">
        <v>0</v>
      </c>
      <c r="IP57">
        <v>0</v>
      </c>
      <c r="IQ57">
        <v>0</v>
      </c>
      <c r="IR57">
        <v>-1</v>
      </c>
      <c r="IS57">
        <v>-1</v>
      </c>
      <c r="IT57">
        <v>-1</v>
      </c>
      <c r="IU57">
        <v>-1</v>
      </c>
      <c r="IV57">
        <v>0.5</v>
      </c>
      <c r="IW57">
        <v>0.5</v>
      </c>
      <c r="IX57">
        <v>2.4047900000000002</v>
      </c>
      <c r="IY57">
        <v>2.4694799999999999</v>
      </c>
      <c r="IZ57">
        <v>1.49414</v>
      </c>
      <c r="JA57">
        <v>2.2863799999999999</v>
      </c>
      <c r="JB57">
        <v>1.54419</v>
      </c>
      <c r="JC57">
        <v>2.35229</v>
      </c>
      <c r="JD57">
        <v>51.934600000000003</v>
      </c>
      <c r="JE57">
        <v>24.017499999999998</v>
      </c>
      <c r="JF57">
        <v>18</v>
      </c>
      <c r="JG57">
        <v>520.85599999999999</v>
      </c>
      <c r="JH57">
        <v>384.48099999999999</v>
      </c>
      <c r="JI57">
        <v>24.407900000000001</v>
      </c>
      <c r="JJ57">
        <v>35.1023</v>
      </c>
      <c r="JK57">
        <v>29.999500000000001</v>
      </c>
      <c r="JL57">
        <v>35.086399999999998</v>
      </c>
      <c r="JM57">
        <v>35.069600000000001</v>
      </c>
      <c r="JN57">
        <v>48.174100000000003</v>
      </c>
      <c r="JO57">
        <v>27.173100000000002</v>
      </c>
      <c r="JP57">
        <v>0</v>
      </c>
      <c r="JQ57">
        <v>24.418299999999999</v>
      </c>
      <c r="JR57">
        <v>1200</v>
      </c>
      <c r="JS57">
        <v>22.822399999999998</v>
      </c>
      <c r="JT57">
        <v>98.025700000000001</v>
      </c>
      <c r="JU57">
        <v>97.084299999999999</v>
      </c>
    </row>
    <row r="58" spans="1:281" x14ac:dyDescent="0.25">
      <c r="A58">
        <v>56</v>
      </c>
      <c r="B58">
        <v>1693334197</v>
      </c>
      <c r="C58">
        <v>12790.400000095369</v>
      </c>
      <c r="D58" t="s">
        <v>630</v>
      </c>
      <c r="E58" t="s">
        <v>631</v>
      </c>
      <c r="F58" t="s">
        <v>411</v>
      </c>
      <c r="G58" t="s">
        <v>565</v>
      </c>
      <c r="H58" t="s">
        <v>566</v>
      </c>
      <c r="I58" t="s">
        <v>31</v>
      </c>
      <c r="J58">
        <v>1693334197</v>
      </c>
      <c r="K58">
        <f t="shared" si="46"/>
        <v>4.7072492472162667E-3</v>
      </c>
      <c r="L58">
        <f t="shared" si="47"/>
        <v>4.707249247216267</v>
      </c>
      <c r="M58">
        <f t="shared" si="48"/>
        <v>46.747466624210375</v>
      </c>
      <c r="N58">
        <f t="shared" si="49"/>
        <v>1435.84</v>
      </c>
      <c r="O58">
        <f t="shared" si="50"/>
        <v>1168.7243340182979</v>
      </c>
      <c r="P58">
        <f t="shared" si="51"/>
        <v>115.78141871750469</v>
      </c>
      <c r="Q58">
        <f t="shared" si="52"/>
        <v>142.24363043743998</v>
      </c>
      <c r="R58">
        <f t="shared" si="53"/>
        <v>0.33394779518920276</v>
      </c>
      <c r="S58">
        <f t="shared" si="54"/>
        <v>2.9104763286469204</v>
      </c>
      <c r="T58">
        <f t="shared" si="55"/>
        <v>0.31402743357335328</v>
      </c>
      <c r="U58">
        <f t="shared" si="56"/>
        <v>0.19795781419330755</v>
      </c>
      <c r="V58">
        <f t="shared" si="57"/>
        <v>344.38329967084621</v>
      </c>
      <c r="W58">
        <f t="shared" si="58"/>
        <v>31.062679283938127</v>
      </c>
      <c r="X58">
        <f t="shared" si="59"/>
        <v>29.9726</v>
      </c>
      <c r="Y58">
        <f t="shared" si="60"/>
        <v>4.2537491303334081</v>
      </c>
      <c r="Z58">
        <f t="shared" si="61"/>
        <v>65.277707559543089</v>
      </c>
      <c r="AA58">
        <f t="shared" si="62"/>
        <v>2.8217802096967</v>
      </c>
      <c r="AB58">
        <f t="shared" si="63"/>
        <v>4.3227317796397982</v>
      </c>
      <c r="AC58">
        <f t="shared" si="64"/>
        <v>1.4319689206367081</v>
      </c>
      <c r="AD58">
        <f t="shared" si="65"/>
        <v>-207.58969180223735</v>
      </c>
      <c r="AE58">
        <f t="shared" si="66"/>
        <v>43.981760832352649</v>
      </c>
      <c r="AF58">
        <f t="shared" si="67"/>
        <v>3.3638177348556932</v>
      </c>
      <c r="AG58">
        <f t="shared" si="68"/>
        <v>184.13918643581718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51744.365404798511</v>
      </c>
      <c r="AM58" t="s">
        <v>413</v>
      </c>
      <c r="AN58">
        <v>10366.9</v>
      </c>
      <c r="AO58">
        <v>993.59653846153856</v>
      </c>
      <c r="AP58">
        <v>3431.87</v>
      </c>
      <c r="AQ58">
        <f t="shared" si="72"/>
        <v>0.71047955241266758</v>
      </c>
      <c r="AR58">
        <v>-3.9894345373445681</v>
      </c>
      <c r="AS58" t="s">
        <v>632</v>
      </c>
      <c r="AT58">
        <v>10306.9</v>
      </c>
      <c r="AU58">
        <v>672.85972000000004</v>
      </c>
      <c r="AV58">
        <v>1038.3433728971811</v>
      </c>
      <c r="AW58">
        <f t="shared" si="73"/>
        <v>0.35198727361008741</v>
      </c>
      <c r="AX58">
        <v>0.5</v>
      </c>
      <c r="AY58">
        <f t="shared" si="74"/>
        <v>1513.243799835423</v>
      </c>
      <c r="AZ58">
        <f t="shared" si="75"/>
        <v>46.747466624210375</v>
      </c>
      <c r="BA58">
        <f t="shared" si="76"/>
        <v>266.32127970571969</v>
      </c>
      <c r="BB58">
        <f t="shared" si="77"/>
        <v>3.3528570324935725E-2</v>
      </c>
      <c r="BC58">
        <f t="shared" si="78"/>
        <v>2.3051397924603796</v>
      </c>
      <c r="BD58">
        <f t="shared" si="79"/>
        <v>595.90105237304715</v>
      </c>
      <c r="BE58" t="s">
        <v>633</v>
      </c>
      <c r="BF58">
        <v>540.07000000000005</v>
      </c>
      <c r="BG58">
        <f t="shared" si="80"/>
        <v>540.07000000000005</v>
      </c>
      <c r="BH58">
        <f t="shared" si="81"/>
        <v>0.47987340787556709</v>
      </c>
      <c r="BI58">
        <f t="shared" si="82"/>
        <v>0.73350026868202489</v>
      </c>
      <c r="BJ58">
        <f t="shared" si="83"/>
        <v>0.82769438657680983</v>
      </c>
      <c r="BK58">
        <f t="shared" si="84"/>
        <v>8.1678102486297792</v>
      </c>
      <c r="BL58">
        <f t="shared" si="85"/>
        <v>0.98164814769898312</v>
      </c>
      <c r="BM58">
        <f t="shared" si="86"/>
        <v>0.58874305941081029</v>
      </c>
      <c r="BN58">
        <f t="shared" si="87"/>
        <v>0.41125694058918971</v>
      </c>
      <c r="BO58">
        <v>16640</v>
      </c>
      <c r="BP58">
        <v>290.00000000000011</v>
      </c>
      <c r="BQ58">
        <v>935.23</v>
      </c>
      <c r="BR58">
        <v>235</v>
      </c>
      <c r="BS58">
        <v>10306.9</v>
      </c>
      <c r="BT58">
        <v>934.22</v>
      </c>
      <c r="BU58">
        <v>1.01</v>
      </c>
      <c r="BV58">
        <v>300.00000000000011</v>
      </c>
      <c r="BW58">
        <v>38.4</v>
      </c>
      <c r="BX58">
        <v>1038.3433728971811</v>
      </c>
      <c r="BY58">
        <v>1.0535535846209689</v>
      </c>
      <c r="BZ58">
        <v>-107.32257091196431</v>
      </c>
      <c r="CA58">
        <v>0.88895789391473312</v>
      </c>
      <c r="CB58">
        <v>0.99808263507973038</v>
      </c>
      <c r="CC58">
        <v>-1.1229936373748599E-2</v>
      </c>
      <c r="CD58">
        <v>289.99999999999989</v>
      </c>
      <c r="CE58">
        <v>923.23</v>
      </c>
      <c r="CF58">
        <v>635</v>
      </c>
      <c r="CG58">
        <v>10290.700000000001</v>
      </c>
      <c r="CH58">
        <v>934.05</v>
      </c>
      <c r="CI58">
        <v>-10.82</v>
      </c>
      <c r="CW58">
        <f t="shared" si="88"/>
        <v>1800.07</v>
      </c>
      <c r="CX58">
        <f t="shared" si="89"/>
        <v>1513.243799835423</v>
      </c>
      <c r="CY58">
        <f t="shared" si="90"/>
        <v>0.84065830764104899</v>
      </c>
      <c r="CZ58">
        <f t="shared" si="91"/>
        <v>0.19131661528209803</v>
      </c>
      <c r="DA58">
        <v>6</v>
      </c>
      <c r="DB58">
        <v>0.5</v>
      </c>
      <c r="DC58" t="s">
        <v>414</v>
      </c>
      <c r="DD58">
        <v>2</v>
      </c>
      <c r="DE58">
        <v>1693334197</v>
      </c>
      <c r="DF58">
        <v>1435.84</v>
      </c>
      <c r="DG58">
        <v>1500.03</v>
      </c>
      <c r="DH58">
        <v>28.483699999999999</v>
      </c>
      <c r="DI58">
        <v>22.997399999999999</v>
      </c>
      <c r="DJ58">
        <v>1434.76</v>
      </c>
      <c r="DK58">
        <v>28.795200000000001</v>
      </c>
      <c r="DL58">
        <v>500.137</v>
      </c>
      <c r="DM58">
        <v>98.966200000000001</v>
      </c>
      <c r="DN58">
        <v>0.10029100000000001</v>
      </c>
      <c r="DO58">
        <v>30.2529</v>
      </c>
      <c r="DP58">
        <v>29.9726</v>
      </c>
      <c r="DQ58">
        <v>999.9</v>
      </c>
      <c r="DR58">
        <v>0</v>
      </c>
      <c r="DS58">
        <v>0</v>
      </c>
      <c r="DT58">
        <v>9995</v>
      </c>
      <c r="DU58">
        <v>0</v>
      </c>
      <c r="DV58">
        <v>1662.54</v>
      </c>
      <c r="DW58">
        <v>-64.189499999999995</v>
      </c>
      <c r="DX58">
        <v>1477.94</v>
      </c>
      <c r="DY58">
        <v>1535.34</v>
      </c>
      <c r="DZ58">
        <v>5.4863499999999998</v>
      </c>
      <c r="EA58">
        <v>1500.03</v>
      </c>
      <c r="EB58">
        <v>22.997399999999999</v>
      </c>
      <c r="EC58">
        <v>2.8189299999999999</v>
      </c>
      <c r="ED58">
        <v>2.27596</v>
      </c>
      <c r="EE58">
        <v>22.9953</v>
      </c>
      <c r="EF58">
        <v>19.507300000000001</v>
      </c>
      <c r="EG58">
        <v>1800.07</v>
      </c>
      <c r="EH58">
        <v>0.97799700000000001</v>
      </c>
      <c r="EI58">
        <v>2.2002899999999999E-2</v>
      </c>
      <c r="EJ58">
        <v>0</v>
      </c>
      <c r="EK58">
        <v>672.19600000000003</v>
      </c>
      <c r="EL58">
        <v>5.0002500000000003</v>
      </c>
      <c r="EM58">
        <v>20181.5</v>
      </c>
      <c r="EN58">
        <v>14822.7</v>
      </c>
      <c r="EO58">
        <v>46.75</v>
      </c>
      <c r="EP58">
        <v>48.311999999999998</v>
      </c>
      <c r="EQ58">
        <v>47.5</v>
      </c>
      <c r="ER58">
        <v>47.436999999999998</v>
      </c>
      <c r="ES58">
        <v>48.061999999999998</v>
      </c>
      <c r="ET58">
        <v>1755.57</v>
      </c>
      <c r="EU58">
        <v>39.5</v>
      </c>
      <c r="EV58">
        <v>0</v>
      </c>
      <c r="EW58">
        <v>97.400000095367432</v>
      </c>
      <c r="EX58">
        <v>0</v>
      </c>
      <c r="EY58">
        <v>672.85972000000004</v>
      </c>
      <c r="EZ58">
        <v>-1.454692308849747</v>
      </c>
      <c r="FA58">
        <v>60.515383852617617</v>
      </c>
      <c r="FB58">
        <v>20244.624</v>
      </c>
      <c r="FC58">
        <v>15</v>
      </c>
      <c r="FD58">
        <v>1693334166.5</v>
      </c>
      <c r="FE58" t="s">
        <v>634</v>
      </c>
      <c r="FF58">
        <v>1693334166.5</v>
      </c>
      <c r="FG58">
        <v>1693334165.5</v>
      </c>
      <c r="FH58">
        <v>63</v>
      </c>
      <c r="FI58">
        <v>0.14299999999999999</v>
      </c>
      <c r="FJ58">
        <v>4.0000000000000001E-3</v>
      </c>
      <c r="FK58">
        <v>1.0860000000000001</v>
      </c>
      <c r="FL58">
        <v>-0.311</v>
      </c>
      <c r="FM58">
        <v>1500</v>
      </c>
      <c r="FN58">
        <v>23</v>
      </c>
      <c r="FO58">
        <v>0.27</v>
      </c>
      <c r="FP58">
        <v>0.06</v>
      </c>
      <c r="FQ58">
        <v>46.754743676131582</v>
      </c>
      <c r="FR58">
        <v>-0.25351172744521933</v>
      </c>
      <c r="FS58">
        <v>0.20532699175808419</v>
      </c>
      <c r="FT58">
        <v>0</v>
      </c>
      <c r="FU58">
        <v>0.33602745504158832</v>
      </c>
      <c r="FV58">
        <v>-4.232982004762049E-3</v>
      </c>
      <c r="FW58">
        <v>2.0849913969597199E-3</v>
      </c>
      <c r="FX58">
        <v>1</v>
      </c>
      <c r="FY58">
        <v>1</v>
      </c>
      <c r="FZ58">
        <v>2</v>
      </c>
      <c r="GA58" t="s">
        <v>419</v>
      </c>
      <c r="GB58">
        <v>2.91642</v>
      </c>
      <c r="GC58">
        <v>2.83013</v>
      </c>
      <c r="GD58">
        <v>0.21134900000000001</v>
      </c>
      <c r="GE58">
        <v>0.21351899999999999</v>
      </c>
      <c r="GF58">
        <v>0.13381399999999999</v>
      </c>
      <c r="GG58">
        <v>0.110067</v>
      </c>
      <c r="GH58">
        <v>20467.2</v>
      </c>
      <c r="GI58">
        <v>25054.1</v>
      </c>
      <c r="GJ58">
        <v>23375.7</v>
      </c>
      <c r="GK58">
        <v>29183.200000000001</v>
      </c>
      <c r="GL58">
        <v>27645</v>
      </c>
      <c r="GM58">
        <v>36825.300000000003</v>
      </c>
      <c r="GN58">
        <v>33057.800000000003</v>
      </c>
      <c r="GO58">
        <v>43126</v>
      </c>
      <c r="GP58">
        <v>1.9473</v>
      </c>
      <c r="GQ58">
        <v>1.6950000000000001</v>
      </c>
      <c r="GR58">
        <v>1.27405E-2</v>
      </c>
      <c r="GS58">
        <v>0</v>
      </c>
      <c r="GT58">
        <v>29.7653</v>
      </c>
      <c r="GU58">
        <v>999.9</v>
      </c>
      <c r="GV58">
        <v>27.4</v>
      </c>
      <c r="GW58">
        <v>48.9</v>
      </c>
      <c r="GX58">
        <v>32.5441</v>
      </c>
      <c r="GY58">
        <v>61.328499999999998</v>
      </c>
      <c r="GZ58">
        <v>40.1282</v>
      </c>
      <c r="HA58">
        <v>1</v>
      </c>
      <c r="HB58">
        <v>0.62884099999999998</v>
      </c>
      <c r="HC58">
        <v>3.79854</v>
      </c>
      <c r="HD58">
        <v>20.218599999999999</v>
      </c>
      <c r="HE58">
        <v>5.2095000000000002</v>
      </c>
      <c r="HF58">
        <v>11.8782</v>
      </c>
      <c r="HG58">
        <v>4.9843999999999999</v>
      </c>
      <c r="HH58">
        <v>3.2839999999999998</v>
      </c>
      <c r="HI58">
        <v>9999</v>
      </c>
      <c r="HJ58">
        <v>9999</v>
      </c>
      <c r="HK58">
        <v>9999</v>
      </c>
      <c r="HL58">
        <v>999.9</v>
      </c>
      <c r="HM58">
        <v>1.85486</v>
      </c>
      <c r="HN58">
        <v>1.86084</v>
      </c>
      <c r="HO58">
        <v>1.8581700000000001</v>
      </c>
      <c r="HP58">
        <v>1.8591800000000001</v>
      </c>
      <c r="HQ58">
        <v>1.85863</v>
      </c>
      <c r="HR58">
        <v>1.8591299999999999</v>
      </c>
      <c r="HS58">
        <v>1.85745</v>
      </c>
      <c r="HT58">
        <v>1.86077</v>
      </c>
      <c r="HU58">
        <v>5</v>
      </c>
      <c r="HV58">
        <v>0</v>
      </c>
      <c r="HW58">
        <v>0</v>
      </c>
      <c r="HX58">
        <v>0</v>
      </c>
      <c r="HY58" t="s">
        <v>416</v>
      </c>
      <c r="HZ58" t="s">
        <v>417</v>
      </c>
      <c r="IA58" t="s">
        <v>418</v>
      </c>
      <c r="IB58" t="s">
        <v>418</v>
      </c>
      <c r="IC58" t="s">
        <v>418</v>
      </c>
      <c r="ID58" t="s">
        <v>418</v>
      </c>
      <c r="IE58">
        <v>0</v>
      </c>
      <c r="IF58">
        <v>100</v>
      </c>
      <c r="IG58">
        <v>100</v>
      </c>
      <c r="IH58">
        <v>1.08</v>
      </c>
      <c r="II58">
        <v>-0.3115</v>
      </c>
      <c r="IJ58">
        <v>1.0857142857141751</v>
      </c>
      <c r="IK58">
        <v>0</v>
      </c>
      <c r="IL58">
        <v>0</v>
      </c>
      <c r="IM58">
        <v>0</v>
      </c>
      <c r="IN58">
        <v>-0.3114714285714264</v>
      </c>
      <c r="IO58">
        <v>0</v>
      </c>
      <c r="IP58">
        <v>0</v>
      </c>
      <c r="IQ58">
        <v>0</v>
      </c>
      <c r="IR58">
        <v>-1</v>
      </c>
      <c r="IS58">
        <v>-1</v>
      </c>
      <c r="IT58">
        <v>-1</v>
      </c>
      <c r="IU58">
        <v>-1</v>
      </c>
      <c r="IV58">
        <v>0.5</v>
      </c>
      <c r="IW58">
        <v>0.5</v>
      </c>
      <c r="IX58">
        <v>2.8637700000000001</v>
      </c>
      <c r="IY58">
        <v>2.4597199999999999</v>
      </c>
      <c r="IZ58">
        <v>1.49414</v>
      </c>
      <c r="JA58">
        <v>2.2863799999999999</v>
      </c>
      <c r="JB58">
        <v>1.54419</v>
      </c>
      <c r="JC58">
        <v>2.50244</v>
      </c>
      <c r="JD58">
        <v>51.934600000000003</v>
      </c>
      <c r="JE58">
        <v>24.017499999999998</v>
      </c>
      <c r="JF58">
        <v>18</v>
      </c>
      <c r="JG58">
        <v>521.28399999999999</v>
      </c>
      <c r="JH58">
        <v>385.10300000000001</v>
      </c>
      <c r="JI58">
        <v>24.488</v>
      </c>
      <c r="JJ58">
        <v>35.047800000000002</v>
      </c>
      <c r="JK58">
        <v>30.0001</v>
      </c>
      <c r="JL58">
        <v>35.038699999999999</v>
      </c>
      <c r="JM58">
        <v>35.021900000000002</v>
      </c>
      <c r="JN58">
        <v>57.354199999999999</v>
      </c>
      <c r="JO58">
        <v>26.3522</v>
      </c>
      <c r="JP58">
        <v>0</v>
      </c>
      <c r="JQ58">
        <v>24.487400000000001</v>
      </c>
      <c r="JR58">
        <v>1500</v>
      </c>
      <c r="JS58">
        <v>22.945900000000002</v>
      </c>
      <c r="JT58">
        <v>98.038399999999996</v>
      </c>
      <c r="JU58">
        <v>97.094700000000003</v>
      </c>
    </row>
    <row r="59" spans="1:281" x14ac:dyDescent="0.25">
      <c r="A59">
        <v>57</v>
      </c>
      <c r="B59">
        <v>1693336840</v>
      </c>
      <c r="C59">
        <v>15433.400000095369</v>
      </c>
      <c r="D59" t="s">
        <v>635</v>
      </c>
      <c r="E59" t="s">
        <v>636</v>
      </c>
      <c r="F59" t="s">
        <v>411</v>
      </c>
      <c r="G59" t="s">
        <v>493</v>
      </c>
      <c r="H59" t="s">
        <v>637</v>
      </c>
      <c r="I59" t="s">
        <v>31</v>
      </c>
      <c r="J59">
        <v>1693336840</v>
      </c>
      <c r="K59">
        <f t="shared" si="46"/>
        <v>3.7613349469317959E-3</v>
      </c>
      <c r="L59">
        <f t="shared" si="47"/>
        <v>3.7613349469317958</v>
      </c>
      <c r="M59">
        <f t="shared" si="48"/>
        <v>38.275634809572132</v>
      </c>
      <c r="N59">
        <f t="shared" si="49"/>
        <v>352.48</v>
      </c>
      <c r="O59">
        <f t="shared" si="50"/>
        <v>102.2966008478258</v>
      </c>
      <c r="P59">
        <f t="shared" si="51"/>
        <v>10.128288009924237</v>
      </c>
      <c r="Q59">
        <f t="shared" si="52"/>
        <v>34.898705608496009</v>
      </c>
      <c r="R59">
        <f t="shared" si="53"/>
        <v>0.26086079756963965</v>
      </c>
      <c r="S59">
        <f t="shared" si="54"/>
        <v>2.9181993586892516</v>
      </c>
      <c r="T59">
        <f t="shared" si="55"/>
        <v>0.24856386809451811</v>
      </c>
      <c r="U59">
        <f t="shared" si="56"/>
        <v>0.15640893241952725</v>
      </c>
      <c r="V59">
        <f t="shared" si="57"/>
        <v>344.38709967084986</v>
      </c>
      <c r="W59">
        <f t="shared" si="58"/>
        <v>31.313638570991344</v>
      </c>
      <c r="X59">
        <f t="shared" si="59"/>
        <v>30.018599999999999</v>
      </c>
      <c r="Y59">
        <f t="shared" si="60"/>
        <v>4.2650036234208688</v>
      </c>
      <c r="Z59">
        <f t="shared" si="61"/>
        <v>65.220663941443874</v>
      </c>
      <c r="AA59">
        <f t="shared" si="62"/>
        <v>2.8203813488259701</v>
      </c>
      <c r="AB59">
        <f t="shared" si="63"/>
        <v>4.3243677362103403</v>
      </c>
      <c r="AC59">
        <f t="shared" si="64"/>
        <v>1.4446222745948987</v>
      </c>
      <c r="AD59">
        <f t="shared" si="65"/>
        <v>-165.87487115969219</v>
      </c>
      <c r="AE59">
        <f t="shared" si="66"/>
        <v>37.899824685600258</v>
      </c>
      <c r="AF59">
        <f t="shared" si="67"/>
        <v>2.8917395544544822</v>
      </c>
      <c r="AG59">
        <f t="shared" si="68"/>
        <v>219.30379275121243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51961.463141869783</v>
      </c>
      <c r="AM59" t="s">
        <v>413</v>
      </c>
      <c r="AN59">
        <v>10366.9</v>
      </c>
      <c r="AO59">
        <v>993.59653846153856</v>
      </c>
      <c r="AP59">
        <v>3431.87</v>
      </c>
      <c r="AQ59">
        <f t="shared" si="72"/>
        <v>0.71047955241266758</v>
      </c>
      <c r="AR59">
        <v>-3.9894345373445681</v>
      </c>
      <c r="AS59" t="s">
        <v>638</v>
      </c>
      <c r="AT59">
        <v>10266.5</v>
      </c>
      <c r="AU59">
        <v>776.60052000000007</v>
      </c>
      <c r="AV59">
        <v>1068.3058536327251</v>
      </c>
      <c r="AW59">
        <f t="shared" si="73"/>
        <v>0.2730541376711495</v>
      </c>
      <c r="AX59">
        <v>0.5</v>
      </c>
      <c r="AY59">
        <f t="shared" si="74"/>
        <v>1513.2605998354247</v>
      </c>
      <c r="AZ59">
        <f t="shared" si="75"/>
        <v>38.275634809572132</v>
      </c>
      <c r="BA59">
        <f t="shared" si="76"/>
        <v>206.60103407989416</v>
      </c>
      <c r="BB59">
        <f t="shared" si="77"/>
        <v>2.7929802276959605E-2</v>
      </c>
      <c r="BC59">
        <f t="shared" si="78"/>
        <v>2.2124414448634564</v>
      </c>
      <c r="BD59">
        <f t="shared" si="79"/>
        <v>605.64952776347957</v>
      </c>
      <c r="BE59" t="s">
        <v>639</v>
      </c>
      <c r="BF59">
        <v>559.07000000000005</v>
      </c>
      <c r="BG59">
        <f t="shared" si="80"/>
        <v>559.07000000000005</v>
      </c>
      <c r="BH59">
        <f t="shared" si="81"/>
        <v>0.47667608662921002</v>
      </c>
      <c r="BI59">
        <f t="shared" si="82"/>
        <v>0.57282952791283814</v>
      </c>
      <c r="BJ59">
        <f t="shared" si="83"/>
        <v>0.82273884237234574</v>
      </c>
      <c r="BK59">
        <f t="shared" si="84"/>
        <v>3.9045376465347164</v>
      </c>
      <c r="BL59">
        <f t="shared" si="85"/>
        <v>0.96935974723522267</v>
      </c>
      <c r="BM59">
        <f t="shared" si="86"/>
        <v>0.41237649978682789</v>
      </c>
      <c r="BN59">
        <f t="shared" si="87"/>
        <v>0.58762350021317211</v>
      </c>
      <c r="BO59">
        <v>16642</v>
      </c>
      <c r="BP59">
        <v>290.00000000000011</v>
      </c>
      <c r="BQ59">
        <v>991.83</v>
      </c>
      <c r="BR59">
        <v>205</v>
      </c>
      <c r="BS59">
        <v>10266.5</v>
      </c>
      <c r="BT59">
        <v>990.99</v>
      </c>
      <c r="BU59">
        <v>0.84</v>
      </c>
      <c r="BV59">
        <v>300.00000000000011</v>
      </c>
      <c r="BW59">
        <v>38.5</v>
      </c>
      <c r="BX59">
        <v>1068.3058536327251</v>
      </c>
      <c r="BY59">
        <v>1.1819612190892059</v>
      </c>
      <c r="BZ59">
        <v>-79.377959171917212</v>
      </c>
      <c r="CA59">
        <v>0.99280347233676247</v>
      </c>
      <c r="CB59">
        <v>0.99563899438411219</v>
      </c>
      <c r="CC59">
        <v>-1.1182321913236939E-2</v>
      </c>
      <c r="CD59">
        <v>289.99999999999989</v>
      </c>
      <c r="CE59">
        <v>987.06</v>
      </c>
      <c r="CF59">
        <v>675</v>
      </c>
      <c r="CG59">
        <v>10241</v>
      </c>
      <c r="CH59">
        <v>990.8</v>
      </c>
      <c r="CI59">
        <v>-3.74</v>
      </c>
      <c r="CW59">
        <f t="shared" si="88"/>
        <v>1800.09</v>
      </c>
      <c r="CX59">
        <f t="shared" si="89"/>
        <v>1513.2605998354247</v>
      </c>
      <c r="CY59">
        <f t="shared" si="90"/>
        <v>0.84065830032688638</v>
      </c>
      <c r="CZ59">
        <f t="shared" si="91"/>
        <v>0.19131660065377279</v>
      </c>
      <c r="DA59">
        <v>6</v>
      </c>
      <c r="DB59">
        <v>0.5</v>
      </c>
      <c r="DC59" t="s">
        <v>414</v>
      </c>
      <c r="DD59">
        <v>2</v>
      </c>
      <c r="DE59">
        <v>1693336840</v>
      </c>
      <c r="DF59">
        <v>352.48</v>
      </c>
      <c r="DG59">
        <v>399.983</v>
      </c>
      <c r="DH59">
        <v>28.4861</v>
      </c>
      <c r="DI59">
        <v>24.102799999999998</v>
      </c>
      <c r="DJ59">
        <v>352.99799999999999</v>
      </c>
      <c r="DK59">
        <v>28.7898</v>
      </c>
      <c r="DL59">
        <v>500.197</v>
      </c>
      <c r="DM59">
        <v>98.909300000000002</v>
      </c>
      <c r="DN59">
        <v>9.9737699999999999E-2</v>
      </c>
      <c r="DO59">
        <v>30.259499999999999</v>
      </c>
      <c r="DP59">
        <v>30.018599999999999</v>
      </c>
      <c r="DQ59">
        <v>999.9</v>
      </c>
      <c r="DR59">
        <v>0</v>
      </c>
      <c r="DS59">
        <v>0</v>
      </c>
      <c r="DT59">
        <v>10045</v>
      </c>
      <c r="DU59">
        <v>0</v>
      </c>
      <c r="DV59">
        <v>1386.31</v>
      </c>
      <c r="DW59">
        <v>-47.502200000000002</v>
      </c>
      <c r="DX59">
        <v>362.81599999999997</v>
      </c>
      <c r="DY59">
        <v>409.86200000000002</v>
      </c>
      <c r="DZ59">
        <v>4.3832500000000003</v>
      </c>
      <c r="EA59">
        <v>399.983</v>
      </c>
      <c r="EB59">
        <v>24.102799999999998</v>
      </c>
      <c r="EC59">
        <v>2.8175300000000001</v>
      </c>
      <c r="ED59">
        <v>2.3839899999999998</v>
      </c>
      <c r="EE59">
        <v>22.987200000000001</v>
      </c>
      <c r="EF59">
        <v>20.255400000000002</v>
      </c>
      <c r="EG59">
        <v>1800.09</v>
      </c>
      <c r="EH59">
        <v>0.97799499999999995</v>
      </c>
      <c r="EI59">
        <v>2.2004800000000001E-2</v>
      </c>
      <c r="EJ59">
        <v>0</v>
      </c>
      <c r="EK59">
        <v>776.73800000000006</v>
      </c>
      <c r="EL59">
        <v>5.0002500000000003</v>
      </c>
      <c r="EM59">
        <v>21886.6</v>
      </c>
      <c r="EN59">
        <v>14822.8</v>
      </c>
      <c r="EO59">
        <v>50.625</v>
      </c>
      <c r="EP59">
        <v>51.625</v>
      </c>
      <c r="EQ59">
        <v>51.436999999999998</v>
      </c>
      <c r="ER59">
        <v>50.811999999999998</v>
      </c>
      <c r="ES59">
        <v>51.625</v>
      </c>
      <c r="ET59">
        <v>1755.59</v>
      </c>
      <c r="EU59">
        <v>39.5</v>
      </c>
      <c r="EV59">
        <v>0</v>
      </c>
      <c r="EW59">
        <v>2641.400000095367</v>
      </c>
      <c r="EX59">
        <v>0</v>
      </c>
      <c r="EY59">
        <v>776.60052000000007</v>
      </c>
      <c r="EZ59">
        <v>-1.029538443346032</v>
      </c>
      <c r="FA59">
        <v>321.09230659475242</v>
      </c>
      <c r="FB59">
        <v>21878.056</v>
      </c>
      <c r="FC59">
        <v>15</v>
      </c>
      <c r="FD59">
        <v>1693336801</v>
      </c>
      <c r="FE59" t="s">
        <v>640</v>
      </c>
      <c r="FF59">
        <v>1693336799.5</v>
      </c>
      <c r="FG59">
        <v>1693336801</v>
      </c>
      <c r="FH59">
        <v>65</v>
      </c>
      <c r="FI59">
        <v>-8.0000000000000002E-3</v>
      </c>
      <c r="FJ59">
        <v>-0.54800000000000004</v>
      </c>
      <c r="FK59">
        <v>-0.51800000000000002</v>
      </c>
      <c r="FL59">
        <v>-0.30399999999999999</v>
      </c>
      <c r="FM59">
        <v>400</v>
      </c>
      <c r="FN59">
        <v>23</v>
      </c>
      <c r="FO59">
        <v>0.19</v>
      </c>
      <c r="FP59">
        <v>7.0000000000000007E-2</v>
      </c>
      <c r="FQ59">
        <v>38.318161005125802</v>
      </c>
      <c r="FR59">
        <v>-0.1873722013687675</v>
      </c>
      <c r="FS59">
        <v>7.7641691845784455E-2</v>
      </c>
      <c r="FT59">
        <v>1</v>
      </c>
      <c r="FU59">
        <v>0.25539036529588888</v>
      </c>
      <c r="FV59">
        <v>3.9066523395212917E-2</v>
      </c>
      <c r="FW59">
        <v>3.1548868314068392E-3</v>
      </c>
      <c r="FX59">
        <v>1</v>
      </c>
      <c r="FY59">
        <v>2</v>
      </c>
      <c r="FZ59">
        <v>2</v>
      </c>
      <c r="GA59" t="s">
        <v>415</v>
      </c>
      <c r="GB59">
        <v>2.91744</v>
      </c>
      <c r="GC59">
        <v>2.8300200000000002</v>
      </c>
      <c r="GD59">
        <v>8.1191100000000002E-2</v>
      </c>
      <c r="GE59">
        <v>8.7812799999999996E-2</v>
      </c>
      <c r="GF59">
        <v>0.133965</v>
      </c>
      <c r="GG59">
        <v>0.11389199999999999</v>
      </c>
      <c r="GH59">
        <v>23904</v>
      </c>
      <c r="GI59">
        <v>29081.200000000001</v>
      </c>
      <c r="GJ59">
        <v>23427.5</v>
      </c>
      <c r="GK59">
        <v>29196.3</v>
      </c>
      <c r="GL59">
        <v>27687.3</v>
      </c>
      <c r="GM59">
        <v>36658.400000000001</v>
      </c>
      <c r="GN59">
        <v>33133.599999999999</v>
      </c>
      <c r="GO59">
        <v>43136.9</v>
      </c>
      <c r="GP59">
        <v>1.9561999999999999</v>
      </c>
      <c r="GQ59">
        <v>1.7517</v>
      </c>
      <c r="GR59">
        <v>2.6375099999999999E-2</v>
      </c>
      <c r="GS59">
        <v>0</v>
      </c>
      <c r="GT59">
        <v>29.589300000000001</v>
      </c>
      <c r="GU59">
        <v>999.9</v>
      </c>
      <c r="GV59">
        <v>30.7</v>
      </c>
      <c r="GW59">
        <v>43.4</v>
      </c>
      <c r="GX59">
        <v>27.533000000000001</v>
      </c>
      <c r="GY59">
        <v>61.020600000000002</v>
      </c>
      <c r="GZ59">
        <v>38.357399999999998</v>
      </c>
      <c r="HA59">
        <v>1</v>
      </c>
      <c r="HB59">
        <v>0.55929899999999999</v>
      </c>
      <c r="HC59">
        <v>3.91648</v>
      </c>
      <c r="HD59">
        <v>20.273199999999999</v>
      </c>
      <c r="HE59">
        <v>5.2088999999999999</v>
      </c>
      <c r="HF59">
        <v>11.8782</v>
      </c>
      <c r="HG59">
        <v>4.9847999999999999</v>
      </c>
      <c r="HH59">
        <v>3.2839999999999998</v>
      </c>
      <c r="HI59">
        <v>9999</v>
      </c>
      <c r="HJ59">
        <v>9999</v>
      </c>
      <c r="HK59">
        <v>9999</v>
      </c>
      <c r="HL59">
        <v>999.9</v>
      </c>
      <c r="HM59">
        <v>1.8547100000000001</v>
      </c>
      <c r="HN59">
        <v>1.8607499999999999</v>
      </c>
      <c r="HO59">
        <v>1.85806</v>
      </c>
      <c r="HP59">
        <v>1.8591800000000001</v>
      </c>
      <c r="HQ59">
        <v>1.8586499999999999</v>
      </c>
      <c r="HR59">
        <v>1.8591299999999999</v>
      </c>
      <c r="HS59">
        <v>1.85745</v>
      </c>
      <c r="HT59">
        <v>1.8608100000000001</v>
      </c>
      <c r="HU59">
        <v>5</v>
      </c>
      <c r="HV59">
        <v>0</v>
      </c>
      <c r="HW59">
        <v>0</v>
      </c>
      <c r="HX59">
        <v>0</v>
      </c>
      <c r="HY59" t="s">
        <v>416</v>
      </c>
      <c r="HZ59" t="s">
        <v>417</v>
      </c>
      <c r="IA59" t="s">
        <v>418</v>
      </c>
      <c r="IB59" t="s">
        <v>418</v>
      </c>
      <c r="IC59" t="s">
        <v>418</v>
      </c>
      <c r="ID59" t="s">
        <v>418</v>
      </c>
      <c r="IE59">
        <v>0</v>
      </c>
      <c r="IF59">
        <v>100</v>
      </c>
      <c r="IG59">
        <v>100</v>
      </c>
      <c r="IH59">
        <v>-0.51800000000000002</v>
      </c>
      <c r="II59">
        <v>-0.30370000000000003</v>
      </c>
      <c r="IJ59">
        <v>-0.51761904761906408</v>
      </c>
      <c r="IK59">
        <v>0</v>
      </c>
      <c r="IL59">
        <v>0</v>
      </c>
      <c r="IM59">
        <v>0</v>
      </c>
      <c r="IN59">
        <v>-0.30376500000000212</v>
      </c>
      <c r="IO59">
        <v>0</v>
      </c>
      <c r="IP59">
        <v>0</v>
      </c>
      <c r="IQ59">
        <v>0</v>
      </c>
      <c r="IR59">
        <v>-1</v>
      </c>
      <c r="IS59">
        <v>-1</v>
      </c>
      <c r="IT59">
        <v>-1</v>
      </c>
      <c r="IU59">
        <v>-1</v>
      </c>
      <c r="IV59">
        <v>0.7</v>
      </c>
      <c r="IW59">
        <v>0.7</v>
      </c>
      <c r="IX59">
        <v>1.00952</v>
      </c>
      <c r="IY59">
        <v>2.49268</v>
      </c>
      <c r="IZ59">
        <v>1.49414</v>
      </c>
      <c r="JA59">
        <v>2.2851599999999999</v>
      </c>
      <c r="JB59">
        <v>1.54419</v>
      </c>
      <c r="JC59">
        <v>2.5341800000000001</v>
      </c>
      <c r="JD59">
        <v>43.317599999999999</v>
      </c>
      <c r="JE59">
        <v>15.8482</v>
      </c>
      <c r="JF59">
        <v>18</v>
      </c>
      <c r="JG59">
        <v>520.79499999999996</v>
      </c>
      <c r="JH59">
        <v>415.61099999999999</v>
      </c>
      <c r="JI59">
        <v>24.230599999999999</v>
      </c>
      <c r="JJ59">
        <v>34.207000000000001</v>
      </c>
      <c r="JK59">
        <v>30</v>
      </c>
      <c r="JL59">
        <v>34.2331</v>
      </c>
      <c r="JM59">
        <v>34.223199999999999</v>
      </c>
      <c r="JN59">
        <v>20.273</v>
      </c>
      <c r="JO59">
        <v>9.1317599999999999</v>
      </c>
      <c r="JP59">
        <v>17.916799999999999</v>
      </c>
      <c r="JQ59">
        <v>24.241399999999999</v>
      </c>
      <c r="JR59">
        <v>400</v>
      </c>
      <c r="JS59">
        <v>24.0335</v>
      </c>
      <c r="JT59">
        <v>98.260199999999998</v>
      </c>
      <c r="JU59">
        <v>97.127099999999999</v>
      </c>
    </row>
    <row r="60" spans="1:281" x14ac:dyDescent="0.25">
      <c r="A60">
        <v>58</v>
      </c>
      <c r="B60">
        <v>1693336951</v>
      </c>
      <c r="C60">
        <v>15544.400000095369</v>
      </c>
      <c r="D60" t="s">
        <v>641</v>
      </c>
      <c r="E60" t="s">
        <v>642</v>
      </c>
      <c r="F60" t="s">
        <v>411</v>
      </c>
      <c r="G60" t="s">
        <v>493</v>
      </c>
      <c r="H60" t="s">
        <v>637</v>
      </c>
      <c r="I60" t="s">
        <v>31</v>
      </c>
      <c r="J60">
        <v>1693336951</v>
      </c>
      <c r="K60">
        <f t="shared" si="46"/>
        <v>4.1327018245196807E-3</v>
      </c>
      <c r="L60">
        <f t="shared" si="47"/>
        <v>4.1327018245196809</v>
      </c>
      <c r="M60">
        <f t="shared" si="48"/>
        <v>31.511873464711812</v>
      </c>
      <c r="N60">
        <f t="shared" si="49"/>
        <v>261.012</v>
      </c>
      <c r="O60">
        <f t="shared" si="50"/>
        <v>75.813131742349171</v>
      </c>
      <c r="P60">
        <f t="shared" si="51"/>
        <v>7.5054975103339672</v>
      </c>
      <c r="Q60">
        <f t="shared" si="52"/>
        <v>25.840179282199198</v>
      </c>
      <c r="R60">
        <f t="shared" si="53"/>
        <v>0.29143868754311797</v>
      </c>
      <c r="S60">
        <f t="shared" si="54"/>
        <v>2.9154300458409468</v>
      </c>
      <c r="T60">
        <f t="shared" si="55"/>
        <v>0.27616681821377143</v>
      </c>
      <c r="U60">
        <f t="shared" si="56"/>
        <v>0.17390966092812021</v>
      </c>
      <c r="V60">
        <f t="shared" si="57"/>
        <v>344.36999967083341</v>
      </c>
      <c r="W60">
        <f t="shared" si="58"/>
        <v>31.196686463233565</v>
      </c>
      <c r="X60">
        <f t="shared" si="59"/>
        <v>29.9665</v>
      </c>
      <c r="Y60">
        <f t="shared" si="60"/>
        <v>4.2522586321312641</v>
      </c>
      <c r="Z60">
        <f t="shared" si="61"/>
        <v>65.376458422551025</v>
      </c>
      <c r="AA60">
        <f t="shared" si="62"/>
        <v>2.8237166473518402</v>
      </c>
      <c r="AB60">
        <f t="shared" si="63"/>
        <v>4.3191642916799911</v>
      </c>
      <c r="AC60">
        <f t="shared" si="64"/>
        <v>1.4285419847794238</v>
      </c>
      <c r="AD60">
        <f t="shared" si="65"/>
        <v>-182.25215046131791</v>
      </c>
      <c r="AE60">
        <f t="shared" si="66"/>
        <v>42.752052779734342</v>
      </c>
      <c r="AF60">
        <f t="shared" si="67"/>
        <v>3.2638801122669707</v>
      </c>
      <c r="AG60">
        <f t="shared" si="68"/>
        <v>208.13378210151683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51886.138163180491</v>
      </c>
      <c r="AM60" t="s">
        <v>413</v>
      </c>
      <c r="AN60">
        <v>10366.9</v>
      </c>
      <c r="AO60">
        <v>993.59653846153856</v>
      </c>
      <c r="AP60">
        <v>3431.87</v>
      </c>
      <c r="AQ60">
        <f t="shared" si="72"/>
        <v>0.71047955241266758</v>
      </c>
      <c r="AR60">
        <v>-3.9894345373445681</v>
      </c>
      <c r="AS60" t="s">
        <v>643</v>
      </c>
      <c r="AT60">
        <v>10272</v>
      </c>
      <c r="AU60">
        <v>762.93419230769234</v>
      </c>
      <c r="AV60">
        <v>1006.520858913264</v>
      </c>
      <c r="AW60">
        <f t="shared" si="73"/>
        <v>0.24200856291102701</v>
      </c>
      <c r="AX60">
        <v>0.5</v>
      </c>
      <c r="AY60">
        <f t="shared" si="74"/>
        <v>1513.1849998354169</v>
      </c>
      <c r="AZ60">
        <f t="shared" si="75"/>
        <v>31.511873464711812</v>
      </c>
      <c r="BA60">
        <f t="shared" si="76"/>
        <v>183.10186361434594</v>
      </c>
      <c r="BB60">
        <f t="shared" si="77"/>
        <v>2.3461313722986755E-2</v>
      </c>
      <c r="BC60">
        <f t="shared" si="78"/>
        <v>2.4096362431131078</v>
      </c>
      <c r="BD60">
        <f t="shared" si="79"/>
        <v>585.28141716168534</v>
      </c>
      <c r="BE60" t="s">
        <v>644</v>
      </c>
      <c r="BF60">
        <v>543.95000000000005</v>
      </c>
      <c r="BG60">
        <f t="shared" si="80"/>
        <v>543.95000000000005</v>
      </c>
      <c r="BH60">
        <f t="shared" si="81"/>
        <v>0.45957404142890745</v>
      </c>
      <c r="BI60">
        <f t="shared" si="82"/>
        <v>0.52659319520870695</v>
      </c>
      <c r="BJ60">
        <f t="shared" si="83"/>
        <v>0.83982559803828916</v>
      </c>
      <c r="BK60">
        <f t="shared" si="84"/>
        <v>18.847154673656565</v>
      </c>
      <c r="BL60">
        <f t="shared" si="85"/>
        <v>0.99469939666095908</v>
      </c>
      <c r="BM60">
        <f t="shared" si="86"/>
        <v>0.37544570871488009</v>
      </c>
      <c r="BN60">
        <f t="shared" si="87"/>
        <v>0.62455429128511986</v>
      </c>
      <c r="BO60">
        <v>16644</v>
      </c>
      <c r="BP60">
        <v>290.00000000000011</v>
      </c>
      <c r="BQ60">
        <v>942.43</v>
      </c>
      <c r="BR60">
        <v>165</v>
      </c>
      <c r="BS60">
        <v>10272</v>
      </c>
      <c r="BT60">
        <v>940.87</v>
      </c>
      <c r="BU60">
        <v>1.56</v>
      </c>
      <c r="BV60">
        <v>300.00000000000011</v>
      </c>
      <c r="BW60">
        <v>38.5</v>
      </c>
      <c r="BX60">
        <v>1006.520858913264</v>
      </c>
      <c r="BY60">
        <v>1.1465343678409941</v>
      </c>
      <c r="BZ60">
        <v>-67.437240941382157</v>
      </c>
      <c r="CA60">
        <v>0.96296972206201514</v>
      </c>
      <c r="CB60">
        <v>0.99432310008896085</v>
      </c>
      <c r="CC60">
        <v>-1.1181414682981099E-2</v>
      </c>
      <c r="CD60">
        <v>289.99999999999989</v>
      </c>
      <c r="CE60">
        <v>938.96</v>
      </c>
      <c r="CF60">
        <v>745</v>
      </c>
      <c r="CG60">
        <v>10235.299999999999</v>
      </c>
      <c r="CH60">
        <v>940.63</v>
      </c>
      <c r="CI60">
        <v>-1.67</v>
      </c>
      <c r="CW60">
        <f t="shared" si="88"/>
        <v>1800</v>
      </c>
      <c r="CX60">
        <f t="shared" si="89"/>
        <v>1513.1849998354169</v>
      </c>
      <c r="CY60">
        <f t="shared" si="90"/>
        <v>0.8406583332418982</v>
      </c>
      <c r="CZ60">
        <f t="shared" si="91"/>
        <v>0.19131666648379633</v>
      </c>
      <c r="DA60">
        <v>6</v>
      </c>
      <c r="DB60">
        <v>0.5</v>
      </c>
      <c r="DC60" t="s">
        <v>414</v>
      </c>
      <c r="DD60">
        <v>2</v>
      </c>
      <c r="DE60">
        <v>1693336951</v>
      </c>
      <c r="DF60">
        <v>261.012</v>
      </c>
      <c r="DG60">
        <v>300.09800000000001</v>
      </c>
      <c r="DH60">
        <v>28.522400000000001</v>
      </c>
      <c r="DI60">
        <v>23.7074</v>
      </c>
      <c r="DJ60">
        <v>261.62599999999998</v>
      </c>
      <c r="DK60">
        <v>28.815999999999999</v>
      </c>
      <c r="DL60">
        <v>500.29</v>
      </c>
      <c r="DM60">
        <v>98.900599999999997</v>
      </c>
      <c r="DN60">
        <v>9.9366599999999999E-2</v>
      </c>
      <c r="DO60">
        <v>30.238499999999998</v>
      </c>
      <c r="DP60">
        <v>29.9665</v>
      </c>
      <c r="DQ60">
        <v>999.9</v>
      </c>
      <c r="DR60">
        <v>0</v>
      </c>
      <c r="DS60">
        <v>0</v>
      </c>
      <c r="DT60">
        <v>10030</v>
      </c>
      <c r="DU60">
        <v>0</v>
      </c>
      <c r="DV60">
        <v>1382.6</v>
      </c>
      <c r="DW60">
        <v>-39.085900000000002</v>
      </c>
      <c r="DX60">
        <v>268.67599999999999</v>
      </c>
      <c r="DY60">
        <v>307.38600000000002</v>
      </c>
      <c r="DZ60">
        <v>4.8150399999999998</v>
      </c>
      <c r="EA60">
        <v>300.09800000000001</v>
      </c>
      <c r="EB60">
        <v>23.7074</v>
      </c>
      <c r="EC60">
        <v>2.8208899999999999</v>
      </c>
      <c r="ED60">
        <v>2.3446699999999998</v>
      </c>
      <c r="EE60">
        <v>23.006799999999998</v>
      </c>
      <c r="EF60">
        <v>19.986699999999999</v>
      </c>
      <c r="EG60">
        <v>1800</v>
      </c>
      <c r="EH60">
        <v>0.97799499999999995</v>
      </c>
      <c r="EI60">
        <v>2.2004800000000001E-2</v>
      </c>
      <c r="EJ60">
        <v>0</v>
      </c>
      <c r="EK60">
        <v>762.22199999999998</v>
      </c>
      <c r="EL60">
        <v>5.0002500000000003</v>
      </c>
      <c r="EM60">
        <v>21461.1</v>
      </c>
      <c r="EN60">
        <v>14822.1</v>
      </c>
      <c r="EO60">
        <v>50.686999999999998</v>
      </c>
      <c r="EP60">
        <v>51.625</v>
      </c>
      <c r="EQ60">
        <v>51.436999999999998</v>
      </c>
      <c r="ER60">
        <v>50.811999999999998</v>
      </c>
      <c r="ES60">
        <v>51.625</v>
      </c>
      <c r="ET60">
        <v>1755.5</v>
      </c>
      <c r="EU60">
        <v>39.5</v>
      </c>
      <c r="EV60">
        <v>0</v>
      </c>
      <c r="EW60">
        <v>109.2000000476837</v>
      </c>
      <c r="EX60">
        <v>0</v>
      </c>
      <c r="EY60">
        <v>762.93419230769234</v>
      </c>
      <c r="EZ60">
        <v>-3.9636581210386641</v>
      </c>
      <c r="FA60">
        <v>8.0547013743645479</v>
      </c>
      <c r="FB60">
        <v>21458.630769230771</v>
      </c>
      <c r="FC60">
        <v>15</v>
      </c>
      <c r="FD60">
        <v>1693336915</v>
      </c>
      <c r="FE60" t="s">
        <v>645</v>
      </c>
      <c r="FF60">
        <v>1693336913.5</v>
      </c>
      <c r="FG60">
        <v>1693336915</v>
      </c>
      <c r="FH60">
        <v>66</v>
      </c>
      <c r="FI60">
        <v>-9.7000000000000003E-2</v>
      </c>
      <c r="FJ60">
        <v>0.01</v>
      </c>
      <c r="FK60">
        <v>-0.61399999999999999</v>
      </c>
      <c r="FL60">
        <v>-0.29399999999999998</v>
      </c>
      <c r="FM60">
        <v>300</v>
      </c>
      <c r="FN60">
        <v>24</v>
      </c>
      <c r="FO60">
        <v>0.13</v>
      </c>
      <c r="FP60">
        <v>7.0000000000000007E-2</v>
      </c>
      <c r="FQ60">
        <v>31.433357930076639</v>
      </c>
      <c r="FR60">
        <v>0.112361265609912</v>
      </c>
      <c r="FS60">
        <v>6.4929336884385014E-2</v>
      </c>
      <c r="FT60">
        <v>1</v>
      </c>
      <c r="FU60">
        <v>0.28704603620044022</v>
      </c>
      <c r="FV60">
        <v>4.5813737802400639E-2</v>
      </c>
      <c r="FW60">
        <v>3.8171949222373298E-3</v>
      </c>
      <c r="FX60">
        <v>1</v>
      </c>
      <c r="FY60">
        <v>2</v>
      </c>
      <c r="FZ60">
        <v>2</v>
      </c>
      <c r="GA60" t="s">
        <v>415</v>
      </c>
      <c r="GB60">
        <v>2.9176899999999999</v>
      </c>
      <c r="GC60">
        <v>2.82952</v>
      </c>
      <c r="GD60">
        <v>6.3682600000000006E-2</v>
      </c>
      <c r="GE60">
        <v>6.9964200000000004E-2</v>
      </c>
      <c r="GF60">
        <v>0.13404099999999999</v>
      </c>
      <c r="GG60">
        <v>0.112576</v>
      </c>
      <c r="GH60">
        <v>24362.2</v>
      </c>
      <c r="GI60">
        <v>29650.5</v>
      </c>
      <c r="GJ60">
        <v>23430.400000000001</v>
      </c>
      <c r="GK60">
        <v>29196.9</v>
      </c>
      <c r="GL60">
        <v>27686</v>
      </c>
      <c r="GM60">
        <v>36710.9</v>
      </c>
      <c r="GN60">
        <v>33136.9</v>
      </c>
      <c r="GO60">
        <v>43137</v>
      </c>
      <c r="GP60">
        <v>1.9565999999999999</v>
      </c>
      <c r="GQ60">
        <v>1.7526999999999999</v>
      </c>
      <c r="GR60">
        <v>2.78652E-2</v>
      </c>
      <c r="GS60">
        <v>0</v>
      </c>
      <c r="GT60">
        <v>29.512799999999999</v>
      </c>
      <c r="GU60">
        <v>999.9</v>
      </c>
      <c r="GV60">
        <v>31.4</v>
      </c>
      <c r="GW60">
        <v>43.2</v>
      </c>
      <c r="GX60">
        <v>27.871400000000001</v>
      </c>
      <c r="GY60">
        <v>61.1706</v>
      </c>
      <c r="GZ60">
        <v>38.177100000000003</v>
      </c>
      <c r="HA60">
        <v>1</v>
      </c>
      <c r="HB60">
        <v>0.55420700000000001</v>
      </c>
      <c r="HC60">
        <v>3.4335300000000002</v>
      </c>
      <c r="HD60">
        <v>20.2836</v>
      </c>
      <c r="HE60">
        <v>5.2107000000000001</v>
      </c>
      <c r="HF60">
        <v>11.8782</v>
      </c>
      <c r="HG60">
        <v>4.9847999999999999</v>
      </c>
      <c r="HH60">
        <v>3.2839999999999998</v>
      </c>
      <c r="HI60">
        <v>9999</v>
      </c>
      <c r="HJ60">
        <v>9999</v>
      </c>
      <c r="HK60">
        <v>9999</v>
      </c>
      <c r="HL60">
        <v>999.9</v>
      </c>
      <c r="HM60">
        <v>1.8546899999999999</v>
      </c>
      <c r="HN60">
        <v>1.86069</v>
      </c>
      <c r="HO60">
        <v>1.8581099999999999</v>
      </c>
      <c r="HP60">
        <v>1.8592200000000001</v>
      </c>
      <c r="HQ60">
        <v>1.8586499999999999</v>
      </c>
      <c r="HR60">
        <v>1.8591299999999999</v>
      </c>
      <c r="HS60">
        <v>1.85745</v>
      </c>
      <c r="HT60">
        <v>1.8608100000000001</v>
      </c>
      <c r="HU60">
        <v>5</v>
      </c>
      <c r="HV60">
        <v>0</v>
      </c>
      <c r="HW60">
        <v>0</v>
      </c>
      <c r="HX60">
        <v>0</v>
      </c>
      <c r="HY60" t="s">
        <v>416</v>
      </c>
      <c r="HZ60" t="s">
        <v>417</v>
      </c>
      <c r="IA60" t="s">
        <v>418</v>
      </c>
      <c r="IB60" t="s">
        <v>418</v>
      </c>
      <c r="IC60" t="s">
        <v>418</v>
      </c>
      <c r="ID60" t="s">
        <v>418</v>
      </c>
      <c r="IE60">
        <v>0</v>
      </c>
      <c r="IF60">
        <v>100</v>
      </c>
      <c r="IG60">
        <v>100</v>
      </c>
      <c r="IH60">
        <v>-0.61399999999999999</v>
      </c>
      <c r="II60">
        <v>-0.29360000000000003</v>
      </c>
      <c r="IJ60">
        <v>-0.61405000000007703</v>
      </c>
      <c r="IK60">
        <v>0</v>
      </c>
      <c r="IL60">
        <v>0</v>
      </c>
      <c r="IM60">
        <v>0</v>
      </c>
      <c r="IN60">
        <v>-0.29353809523809821</v>
      </c>
      <c r="IO60">
        <v>0</v>
      </c>
      <c r="IP60">
        <v>0</v>
      </c>
      <c r="IQ60">
        <v>0</v>
      </c>
      <c r="IR60">
        <v>-1</v>
      </c>
      <c r="IS60">
        <v>-1</v>
      </c>
      <c r="IT60">
        <v>-1</v>
      </c>
      <c r="IU60">
        <v>-1</v>
      </c>
      <c r="IV60">
        <v>0.6</v>
      </c>
      <c r="IW60">
        <v>0.6</v>
      </c>
      <c r="IX60">
        <v>0.80444300000000002</v>
      </c>
      <c r="IY60">
        <v>2.47925</v>
      </c>
      <c r="IZ60">
        <v>1.49414</v>
      </c>
      <c r="JA60">
        <v>2.2863799999999999</v>
      </c>
      <c r="JB60">
        <v>1.54419</v>
      </c>
      <c r="JC60">
        <v>2.5427200000000001</v>
      </c>
      <c r="JD60">
        <v>43.155000000000001</v>
      </c>
      <c r="JE60">
        <v>15.839399999999999</v>
      </c>
      <c r="JF60">
        <v>18</v>
      </c>
      <c r="JG60">
        <v>520.96500000000003</v>
      </c>
      <c r="JH60">
        <v>416.149</v>
      </c>
      <c r="JI60">
        <v>24.571300000000001</v>
      </c>
      <c r="JJ60">
        <v>34.194600000000001</v>
      </c>
      <c r="JK60">
        <v>29.9998</v>
      </c>
      <c r="JL60">
        <v>34.220799999999997</v>
      </c>
      <c r="JM60">
        <v>34.206899999999997</v>
      </c>
      <c r="JN60">
        <v>16.173999999999999</v>
      </c>
      <c r="JO60">
        <v>14.404999999999999</v>
      </c>
      <c r="JP60">
        <v>19.191800000000001</v>
      </c>
      <c r="JQ60">
        <v>24.5731</v>
      </c>
      <c r="JR60">
        <v>300</v>
      </c>
      <c r="JS60">
        <v>23.5639</v>
      </c>
      <c r="JT60">
        <v>98.271000000000001</v>
      </c>
      <c r="JU60">
        <v>97.127899999999997</v>
      </c>
    </row>
    <row r="61" spans="1:281" x14ac:dyDescent="0.25">
      <c r="A61">
        <v>59</v>
      </c>
      <c r="B61">
        <v>1693337050.5</v>
      </c>
      <c r="C61">
        <v>15643.900000095369</v>
      </c>
      <c r="D61" t="s">
        <v>646</v>
      </c>
      <c r="E61" t="s">
        <v>647</v>
      </c>
      <c r="F61" t="s">
        <v>411</v>
      </c>
      <c r="G61" t="s">
        <v>493</v>
      </c>
      <c r="H61" t="s">
        <v>637</v>
      </c>
      <c r="I61" t="s">
        <v>31</v>
      </c>
      <c r="J61">
        <v>1693337050.5</v>
      </c>
      <c r="K61">
        <f t="shared" si="46"/>
        <v>4.1623603436295236E-3</v>
      </c>
      <c r="L61">
        <f t="shared" si="47"/>
        <v>4.1623603436295236</v>
      </c>
      <c r="M61">
        <f t="shared" si="48"/>
        <v>21.984031292188032</v>
      </c>
      <c r="N61">
        <f t="shared" si="49"/>
        <v>172.779</v>
      </c>
      <c r="O61">
        <f t="shared" si="50"/>
        <v>44.342195284935016</v>
      </c>
      <c r="P61">
        <f t="shared" si="51"/>
        <v>4.3896593469765461</v>
      </c>
      <c r="Q61">
        <f t="shared" si="52"/>
        <v>17.104271618435998</v>
      </c>
      <c r="R61">
        <f t="shared" si="53"/>
        <v>0.29287019295684141</v>
      </c>
      <c r="S61">
        <f t="shared" si="54"/>
        <v>2.9004525716285396</v>
      </c>
      <c r="T61">
        <f t="shared" si="55"/>
        <v>0.2773770975860832</v>
      </c>
      <c r="U61">
        <f t="shared" si="56"/>
        <v>0.1746843489953635</v>
      </c>
      <c r="V61">
        <f t="shared" si="57"/>
        <v>344.36239967082605</v>
      </c>
      <c r="W61">
        <f t="shared" si="58"/>
        <v>31.25632619660044</v>
      </c>
      <c r="X61">
        <f t="shared" si="59"/>
        <v>30.014700000000001</v>
      </c>
      <c r="Y61">
        <f t="shared" si="60"/>
        <v>4.264048432381867</v>
      </c>
      <c r="Z61">
        <f t="shared" si="61"/>
        <v>65.3265773906395</v>
      </c>
      <c r="AA61">
        <f t="shared" si="62"/>
        <v>2.8317543778199998</v>
      </c>
      <c r="AB61">
        <f t="shared" si="63"/>
        <v>4.3347661716405108</v>
      </c>
      <c r="AC61">
        <f t="shared" si="64"/>
        <v>1.4322940545618672</v>
      </c>
      <c r="AD61">
        <f t="shared" si="65"/>
        <v>-183.56009115406198</v>
      </c>
      <c r="AE61">
        <f t="shared" si="66"/>
        <v>44.831049365237526</v>
      </c>
      <c r="AF61">
        <f t="shared" si="67"/>
        <v>3.4421655669984839</v>
      </c>
      <c r="AG61">
        <f t="shared" si="68"/>
        <v>209.07552344900009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51450.344759345317</v>
      </c>
      <c r="AM61" t="s">
        <v>413</v>
      </c>
      <c r="AN61">
        <v>10366.9</v>
      </c>
      <c r="AO61">
        <v>993.59653846153856</v>
      </c>
      <c r="AP61">
        <v>3431.87</v>
      </c>
      <c r="AQ61">
        <f t="shared" si="72"/>
        <v>0.71047955241266758</v>
      </c>
      <c r="AR61">
        <v>-3.9894345373445681</v>
      </c>
      <c r="AS61" t="s">
        <v>648</v>
      </c>
      <c r="AT61">
        <v>10274.6</v>
      </c>
      <c r="AU61">
        <v>761.55968000000007</v>
      </c>
      <c r="AV61">
        <v>943.18220909956619</v>
      </c>
      <c r="AW61">
        <f t="shared" si="73"/>
        <v>0.19256356549913811</v>
      </c>
      <c r="AX61">
        <v>0.5</v>
      </c>
      <c r="AY61">
        <f t="shared" si="74"/>
        <v>1513.151399835413</v>
      </c>
      <c r="AZ61">
        <f t="shared" si="75"/>
        <v>21.984031292188032</v>
      </c>
      <c r="BA61">
        <f t="shared" si="76"/>
        <v>145.68891434615955</v>
      </c>
      <c r="BB61">
        <f t="shared" si="77"/>
        <v>1.7165146747614126E-2</v>
      </c>
      <c r="BC61">
        <f t="shared" si="78"/>
        <v>2.6386076485436738</v>
      </c>
      <c r="BD61">
        <f t="shared" si="79"/>
        <v>563.28541941008746</v>
      </c>
      <c r="BE61" t="s">
        <v>649</v>
      </c>
      <c r="BF61">
        <v>537.80999999999995</v>
      </c>
      <c r="BG61">
        <f t="shared" si="80"/>
        <v>537.80999999999995</v>
      </c>
      <c r="BH61">
        <f t="shared" si="81"/>
        <v>0.42979204356130252</v>
      </c>
      <c r="BI61">
        <f t="shared" si="82"/>
        <v>0.44803892576404164</v>
      </c>
      <c r="BJ61">
        <f t="shared" si="83"/>
        <v>0.85992957675391457</v>
      </c>
      <c r="BK61">
        <f t="shared" si="84"/>
        <v>-3.6025973448049946</v>
      </c>
      <c r="BL61">
        <f t="shared" si="85"/>
        <v>1.020676240855348</v>
      </c>
      <c r="BM61">
        <f t="shared" si="86"/>
        <v>0.31640306202287283</v>
      </c>
      <c r="BN61">
        <f t="shared" si="87"/>
        <v>0.68359693797712717</v>
      </c>
      <c r="BO61">
        <v>16646</v>
      </c>
      <c r="BP61">
        <v>290.00000000000011</v>
      </c>
      <c r="BQ61">
        <v>894.13</v>
      </c>
      <c r="BR61">
        <v>145</v>
      </c>
      <c r="BS61">
        <v>10274.6</v>
      </c>
      <c r="BT61">
        <v>894.15</v>
      </c>
      <c r="BU61">
        <v>-0.02</v>
      </c>
      <c r="BV61">
        <v>300.00000000000011</v>
      </c>
      <c r="BW61">
        <v>38.5</v>
      </c>
      <c r="BX61">
        <v>943.18220909956619</v>
      </c>
      <c r="BY61">
        <v>0.92918071963104021</v>
      </c>
      <c r="BZ61">
        <v>-50.37961337644203</v>
      </c>
      <c r="CA61">
        <v>0.78035792357459166</v>
      </c>
      <c r="CB61">
        <v>0.99332689048754796</v>
      </c>
      <c r="CC61">
        <v>-1.118040867630702E-2</v>
      </c>
      <c r="CD61">
        <v>289.99999999999989</v>
      </c>
      <c r="CE61">
        <v>892.84</v>
      </c>
      <c r="CF61">
        <v>675</v>
      </c>
      <c r="CG61">
        <v>10239.4</v>
      </c>
      <c r="CH61">
        <v>893.98</v>
      </c>
      <c r="CI61">
        <v>-1.1399999999999999</v>
      </c>
      <c r="CW61">
        <f t="shared" si="88"/>
        <v>1799.96</v>
      </c>
      <c r="CX61">
        <f t="shared" si="89"/>
        <v>1513.151399835413</v>
      </c>
      <c r="CY61">
        <f t="shared" si="90"/>
        <v>0.84065834787184879</v>
      </c>
      <c r="CZ61">
        <f t="shared" si="91"/>
        <v>0.19131669574369767</v>
      </c>
      <c r="DA61">
        <v>6</v>
      </c>
      <c r="DB61">
        <v>0.5</v>
      </c>
      <c r="DC61" t="s">
        <v>414</v>
      </c>
      <c r="DD61">
        <v>2</v>
      </c>
      <c r="DE61">
        <v>1693337050.5</v>
      </c>
      <c r="DF61">
        <v>172.779</v>
      </c>
      <c r="DG61">
        <v>200.00399999999999</v>
      </c>
      <c r="DH61">
        <v>28.605</v>
      </c>
      <c r="DI61">
        <v>23.756399999999999</v>
      </c>
      <c r="DJ61">
        <v>173.24299999999999</v>
      </c>
      <c r="DK61">
        <v>28.903400000000001</v>
      </c>
      <c r="DL61">
        <v>500.346</v>
      </c>
      <c r="DM61">
        <v>98.894499999999994</v>
      </c>
      <c r="DN61">
        <v>0.10058400000000001</v>
      </c>
      <c r="DO61">
        <v>30.301400000000001</v>
      </c>
      <c r="DP61">
        <v>30.014700000000001</v>
      </c>
      <c r="DQ61">
        <v>999.9</v>
      </c>
      <c r="DR61">
        <v>0</v>
      </c>
      <c r="DS61">
        <v>0</v>
      </c>
      <c r="DT61">
        <v>9945</v>
      </c>
      <c r="DU61">
        <v>0</v>
      </c>
      <c r="DV61">
        <v>1395.64</v>
      </c>
      <c r="DW61">
        <v>-27.224499999999999</v>
      </c>
      <c r="DX61">
        <v>177.86699999999999</v>
      </c>
      <c r="DY61">
        <v>204.87100000000001</v>
      </c>
      <c r="DZ61">
        <v>4.8486200000000004</v>
      </c>
      <c r="EA61">
        <v>200.00399999999999</v>
      </c>
      <c r="EB61">
        <v>23.756399999999999</v>
      </c>
      <c r="EC61">
        <v>2.8288799999999998</v>
      </c>
      <c r="ED61">
        <v>2.34938</v>
      </c>
      <c r="EE61">
        <v>23.053599999999999</v>
      </c>
      <c r="EF61">
        <v>20.018999999999998</v>
      </c>
      <c r="EG61">
        <v>1799.96</v>
      </c>
      <c r="EH61">
        <v>0.97799499999999995</v>
      </c>
      <c r="EI61">
        <v>2.2004800000000001E-2</v>
      </c>
      <c r="EJ61">
        <v>0</v>
      </c>
      <c r="EK61">
        <v>760.78300000000002</v>
      </c>
      <c r="EL61">
        <v>5.0002500000000003</v>
      </c>
      <c r="EM61">
        <v>21483.3</v>
      </c>
      <c r="EN61">
        <v>14821.7</v>
      </c>
      <c r="EO61">
        <v>50.75</v>
      </c>
      <c r="EP61">
        <v>51.625</v>
      </c>
      <c r="EQ61">
        <v>51.5</v>
      </c>
      <c r="ER61">
        <v>50.811999999999998</v>
      </c>
      <c r="ES61">
        <v>51.686999999999998</v>
      </c>
      <c r="ET61">
        <v>1755.46</v>
      </c>
      <c r="EU61">
        <v>39.5</v>
      </c>
      <c r="EV61">
        <v>0</v>
      </c>
      <c r="EW61">
        <v>97.800000190734863</v>
      </c>
      <c r="EX61">
        <v>0</v>
      </c>
      <c r="EY61">
        <v>761.55968000000007</v>
      </c>
      <c r="EZ61">
        <v>-6.1697692161810158</v>
      </c>
      <c r="FA61">
        <v>-87.207692204912931</v>
      </c>
      <c r="FB61">
        <v>21497.732</v>
      </c>
      <c r="FC61">
        <v>15</v>
      </c>
      <c r="FD61">
        <v>1693337015.5</v>
      </c>
      <c r="FE61" t="s">
        <v>650</v>
      </c>
      <c r="FF61">
        <v>1693337012.5</v>
      </c>
      <c r="FG61">
        <v>1693337015.5</v>
      </c>
      <c r="FH61">
        <v>67</v>
      </c>
      <c r="FI61">
        <v>0.151</v>
      </c>
      <c r="FJ61">
        <v>-5.0000000000000001E-3</v>
      </c>
      <c r="FK61">
        <v>-0.46400000000000002</v>
      </c>
      <c r="FL61">
        <v>-0.29799999999999999</v>
      </c>
      <c r="FM61">
        <v>200</v>
      </c>
      <c r="FN61">
        <v>23</v>
      </c>
      <c r="FO61">
        <v>0.22</v>
      </c>
      <c r="FP61">
        <v>0.05</v>
      </c>
      <c r="FQ61">
        <v>21.995403151547301</v>
      </c>
      <c r="FR61">
        <v>0.25945796663825488</v>
      </c>
      <c r="FS61">
        <v>6.3837077852158183E-2</v>
      </c>
      <c r="FT61">
        <v>1</v>
      </c>
      <c r="FU61">
        <v>0.28603030542682523</v>
      </c>
      <c r="FV61">
        <v>4.5241489281245183E-2</v>
      </c>
      <c r="FW61">
        <v>3.36170177720447E-3</v>
      </c>
      <c r="FX61">
        <v>1</v>
      </c>
      <c r="FY61">
        <v>2</v>
      </c>
      <c r="FZ61">
        <v>2</v>
      </c>
      <c r="GA61" t="s">
        <v>415</v>
      </c>
      <c r="GB61">
        <v>2.9178299999999999</v>
      </c>
      <c r="GC61">
        <v>2.82999</v>
      </c>
      <c r="GD61">
        <v>4.4557300000000001E-2</v>
      </c>
      <c r="GE61">
        <v>4.9616100000000003E-2</v>
      </c>
      <c r="GF61">
        <v>0.134322</v>
      </c>
      <c r="GG61">
        <v>0.112738</v>
      </c>
      <c r="GH61">
        <v>24860.799999999999</v>
      </c>
      <c r="GI61">
        <v>30299.3</v>
      </c>
      <c r="GJ61">
        <v>23431.8</v>
      </c>
      <c r="GK61">
        <v>29197.5</v>
      </c>
      <c r="GL61">
        <v>27676.799999999999</v>
      </c>
      <c r="GM61">
        <v>36702.699999999997</v>
      </c>
      <c r="GN61">
        <v>33138.9</v>
      </c>
      <c r="GO61">
        <v>43138</v>
      </c>
      <c r="GP61">
        <v>1.9568000000000001</v>
      </c>
      <c r="GQ61">
        <v>1.7544</v>
      </c>
      <c r="GR61">
        <v>2.7418100000000001E-2</v>
      </c>
      <c r="GS61">
        <v>0</v>
      </c>
      <c r="GT61">
        <v>29.5684</v>
      </c>
      <c r="GU61">
        <v>999.9</v>
      </c>
      <c r="GV61">
        <v>31.9</v>
      </c>
      <c r="GW61">
        <v>42.9</v>
      </c>
      <c r="GX61">
        <v>27.877700000000001</v>
      </c>
      <c r="GY61">
        <v>61.1706</v>
      </c>
      <c r="GZ61">
        <v>37.7684</v>
      </c>
      <c r="HA61">
        <v>1</v>
      </c>
      <c r="HB61">
        <v>0.55453200000000002</v>
      </c>
      <c r="HC61">
        <v>3.8910300000000002</v>
      </c>
      <c r="HD61">
        <v>20.273800000000001</v>
      </c>
      <c r="HE61">
        <v>5.2100999999999997</v>
      </c>
      <c r="HF61">
        <v>11.8782</v>
      </c>
      <c r="HG61">
        <v>4.9843999999999999</v>
      </c>
      <c r="HH61">
        <v>3.2839999999999998</v>
      </c>
      <c r="HI61">
        <v>9999</v>
      </c>
      <c r="HJ61">
        <v>9999</v>
      </c>
      <c r="HK61">
        <v>9999</v>
      </c>
      <c r="HL61">
        <v>999.9</v>
      </c>
      <c r="HM61">
        <v>1.8546</v>
      </c>
      <c r="HN61">
        <v>1.86066</v>
      </c>
      <c r="HO61">
        <v>1.85806</v>
      </c>
      <c r="HP61">
        <v>1.8591299999999999</v>
      </c>
      <c r="HQ61">
        <v>1.8585799999999999</v>
      </c>
      <c r="HR61">
        <v>1.8591200000000001</v>
      </c>
      <c r="HS61">
        <v>1.85745</v>
      </c>
      <c r="HT61">
        <v>1.8608100000000001</v>
      </c>
      <c r="HU61">
        <v>5</v>
      </c>
      <c r="HV61">
        <v>0</v>
      </c>
      <c r="HW61">
        <v>0</v>
      </c>
      <c r="HX61">
        <v>0</v>
      </c>
      <c r="HY61" t="s">
        <v>416</v>
      </c>
      <c r="HZ61" t="s">
        <v>417</v>
      </c>
      <c r="IA61" t="s">
        <v>418</v>
      </c>
      <c r="IB61" t="s">
        <v>418</v>
      </c>
      <c r="IC61" t="s">
        <v>418</v>
      </c>
      <c r="ID61" t="s">
        <v>418</v>
      </c>
      <c r="IE61">
        <v>0</v>
      </c>
      <c r="IF61">
        <v>100</v>
      </c>
      <c r="IG61">
        <v>100</v>
      </c>
      <c r="IH61">
        <v>-0.46400000000000002</v>
      </c>
      <c r="II61">
        <v>-0.2984</v>
      </c>
      <c r="IJ61">
        <v>-0.46350000000001051</v>
      </c>
      <c r="IK61">
        <v>0</v>
      </c>
      <c r="IL61">
        <v>0</v>
      </c>
      <c r="IM61">
        <v>0</v>
      </c>
      <c r="IN61">
        <v>-0.29838999999999771</v>
      </c>
      <c r="IO61">
        <v>0</v>
      </c>
      <c r="IP61">
        <v>0</v>
      </c>
      <c r="IQ61">
        <v>0</v>
      </c>
      <c r="IR61">
        <v>-1</v>
      </c>
      <c r="IS61">
        <v>-1</v>
      </c>
      <c r="IT61">
        <v>-1</v>
      </c>
      <c r="IU61">
        <v>-1</v>
      </c>
      <c r="IV61">
        <v>0.6</v>
      </c>
      <c r="IW61">
        <v>0.6</v>
      </c>
      <c r="IX61">
        <v>0.59082000000000001</v>
      </c>
      <c r="IY61">
        <v>2.48291</v>
      </c>
      <c r="IZ61">
        <v>1.49414</v>
      </c>
      <c r="JA61">
        <v>2.2863799999999999</v>
      </c>
      <c r="JB61">
        <v>1.54419</v>
      </c>
      <c r="JC61">
        <v>2.5476100000000002</v>
      </c>
      <c r="JD61">
        <v>42.966000000000001</v>
      </c>
      <c r="JE61">
        <v>15.8132</v>
      </c>
      <c r="JF61">
        <v>18</v>
      </c>
      <c r="JG61">
        <v>520.92499999999995</v>
      </c>
      <c r="JH61">
        <v>417.108</v>
      </c>
      <c r="JI61">
        <v>24.4313</v>
      </c>
      <c r="JJ61">
        <v>34.17</v>
      </c>
      <c r="JK61">
        <v>30.0002</v>
      </c>
      <c r="JL61">
        <v>34.199399999999997</v>
      </c>
      <c r="JM61">
        <v>34.186399999999999</v>
      </c>
      <c r="JN61">
        <v>11.8863</v>
      </c>
      <c r="JO61">
        <v>14.4201</v>
      </c>
      <c r="JP61">
        <v>20.182600000000001</v>
      </c>
      <c r="JQ61">
        <v>24.421500000000002</v>
      </c>
      <c r="JR61">
        <v>200</v>
      </c>
      <c r="JS61">
        <v>23.659099999999999</v>
      </c>
      <c r="JT61">
        <v>98.276799999999994</v>
      </c>
      <c r="JU61">
        <v>97.130099999999999</v>
      </c>
    </row>
    <row r="62" spans="1:281" x14ac:dyDescent="0.25">
      <c r="A62">
        <v>60</v>
      </c>
      <c r="B62">
        <v>1693337164</v>
      </c>
      <c r="C62">
        <v>15757.400000095369</v>
      </c>
      <c r="D62" t="s">
        <v>651</v>
      </c>
      <c r="E62" t="s">
        <v>652</v>
      </c>
      <c r="F62" t="s">
        <v>411</v>
      </c>
      <c r="G62" t="s">
        <v>493</v>
      </c>
      <c r="H62" t="s">
        <v>637</v>
      </c>
      <c r="I62" t="s">
        <v>31</v>
      </c>
      <c r="J62">
        <v>1693337164</v>
      </c>
      <c r="K62">
        <f t="shared" si="46"/>
        <v>4.4856434110618106E-3</v>
      </c>
      <c r="L62">
        <f t="shared" si="47"/>
        <v>4.4856434110618109</v>
      </c>
      <c r="M62">
        <f t="shared" si="48"/>
        <v>14.232780873358436</v>
      </c>
      <c r="N62">
        <f t="shared" si="49"/>
        <v>102.428</v>
      </c>
      <c r="O62">
        <f t="shared" si="50"/>
        <v>25.89676158905549</v>
      </c>
      <c r="P62">
        <f t="shared" si="51"/>
        <v>2.5634463675521348</v>
      </c>
      <c r="Q62">
        <f t="shared" si="52"/>
        <v>10.1390547861628</v>
      </c>
      <c r="R62">
        <f t="shared" si="53"/>
        <v>0.31934471377526186</v>
      </c>
      <c r="S62">
        <f t="shared" si="54"/>
        <v>2.9125751322333486</v>
      </c>
      <c r="T62">
        <f t="shared" si="55"/>
        <v>0.30108965548752697</v>
      </c>
      <c r="U62">
        <f t="shared" si="56"/>
        <v>0.18973416261784815</v>
      </c>
      <c r="V62">
        <f t="shared" si="57"/>
        <v>344.37509967092222</v>
      </c>
      <c r="W62">
        <f t="shared" si="58"/>
        <v>31.144787124392849</v>
      </c>
      <c r="X62">
        <f t="shared" si="59"/>
        <v>30.002500000000001</v>
      </c>
      <c r="Y62">
        <f t="shared" si="60"/>
        <v>4.2610616025627452</v>
      </c>
      <c r="Z62">
        <f t="shared" si="61"/>
        <v>65.587883735776813</v>
      </c>
      <c r="AA62">
        <f t="shared" si="62"/>
        <v>2.8392382407742902</v>
      </c>
      <c r="AB62">
        <f t="shared" si="63"/>
        <v>4.3289066197230346</v>
      </c>
      <c r="AC62">
        <f t="shared" si="64"/>
        <v>1.421823361788455</v>
      </c>
      <c r="AD62">
        <f t="shared" si="65"/>
        <v>-197.81687442782584</v>
      </c>
      <c r="AE62">
        <f t="shared" si="66"/>
        <v>43.228363220623542</v>
      </c>
      <c r="AF62">
        <f t="shared" si="67"/>
        <v>3.3047098555633694</v>
      </c>
      <c r="AG62">
        <f t="shared" si="68"/>
        <v>193.09129831928331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51798.019966866319</v>
      </c>
      <c r="AM62" t="s">
        <v>413</v>
      </c>
      <c r="AN62">
        <v>10366.9</v>
      </c>
      <c r="AO62">
        <v>993.59653846153856</v>
      </c>
      <c r="AP62">
        <v>3431.87</v>
      </c>
      <c r="AQ62">
        <f t="shared" si="72"/>
        <v>0.71047955241266758</v>
      </c>
      <c r="AR62">
        <v>-3.9894345373445681</v>
      </c>
      <c r="AS62" t="s">
        <v>653</v>
      </c>
      <c r="AT62">
        <v>10254</v>
      </c>
      <c r="AU62">
        <v>764.90195999999992</v>
      </c>
      <c r="AV62">
        <v>887.98485715950733</v>
      </c>
      <c r="AW62">
        <f t="shared" si="73"/>
        <v>0.13860922983892532</v>
      </c>
      <c r="AX62">
        <v>0.5</v>
      </c>
      <c r="AY62">
        <f t="shared" si="74"/>
        <v>1513.2098998354611</v>
      </c>
      <c r="AZ62">
        <f t="shared" si="75"/>
        <v>14.232780873358436</v>
      </c>
      <c r="BA62">
        <f t="shared" si="76"/>
        <v>104.8724294004153</v>
      </c>
      <c r="BB62">
        <f t="shared" si="77"/>
        <v>1.2042093706024787E-2</v>
      </c>
      <c r="BC62">
        <f t="shared" si="78"/>
        <v>2.8647843736636358</v>
      </c>
      <c r="BD62">
        <f t="shared" si="79"/>
        <v>543.12294883795334</v>
      </c>
      <c r="BE62" t="s">
        <v>654</v>
      </c>
      <c r="BF62">
        <v>536.29</v>
      </c>
      <c r="BG62">
        <f t="shared" si="80"/>
        <v>536.29</v>
      </c>
      <c r="BH62">
        <f t="shared" si="81"/>
        <v>0.39605952097484132</v>
      </c>
      <c r="BI62">
        <f t="shared" si="82"/>
        <v>0.34997070515502166</v>
      </c>
      <c r="BJ62">
        <f t="shared" si="83"/>
        <v>0.87854079073639557</v>
      </c>
      <c r="BK62">
        <f t="shared" si="84"/>
        <v>-1.1654288203926184</v>
      </c>
      <c r="BL62">
        <f t="shared" si="85"/>
        <v>1.0433141249199316</v>
      </c>
      <c r="BM62">
        <f t="shared" si="86"/>
        <v>0.24537234741506816</v>
      </c>
      <c r="BN62">
        <f t="shared" si="87"/>
        <v>0.75462765258493181</v>
      </c>
      <c r="BO62">
        <v>16648</v>
      </c>
      <c r="BP62">
        <v>290.00000000000011</v>
      </c>
      <c r="BQ62">
        <v>856.15</v>
      </c>
      <c r="BR62">
        <v>275</v>
      </c>
      <c r="BS62">
        <v>10254</v>
      </c>
      <c r="BT62">
        <v>855.65</v>
      </c>
      <c r="BU62">
        <v>0.5</v>
      </c>
      <c r="BV62">
        <v>300.00000000000011</v>
      </c>
      <c r="BW62">
        <v>38.5</v>
      </c>
      <c r="BX62">
        <v>887.98485715950733</v>
      </c>
      <c r="BY62">
        <v>1.2260563110771769</v>
      </c>
      <c r="BZ62">
        <v>-33.152150891023332</v>
      </c>
      <c r="CA62">
        <v>1.0295314641432149</v>
      </c>
      <c r="CB62">
        <v>0.97370688156572027</v>
      </c>
      <c r="CC62">
        <v>-1.1178824249165749E-2</v>
      </c>
      <c r="CD62">
        <v>289.99999999999989</v>
      </c>
      <c r="CE62">
        <v>854.89</v>
      </c>
      <c r="CF62">
        <v>665</v>
      </c>
      <c r="CG62">
        <v>10238.6</v>
      </c>
      <c r="CH62">
        <v>855.61</v>
      </c>
      <c r="CI62">
        <v>-0.72</v>
      </c>
      <c r="CW62">
        <f t="shared" si="88"/>
        <v>1800.03</v>
      </c>
      <c r="CX62">
        <f t="shared" si="89"/>
        <v>1513.2098998354611</v>
      </c>
      <c r="CY62">
        <f t="shared" si="90"/>
        <v>0.8406581556059961</v>
      </c>
      <c r="CZ62">
        <f t="shared" si="91"/>
        <v>0.19131631121199213</v>
      </c>
      <c r="DA62">
        <v>6</v>
      </c>
      <c r="DB62">
        <v>0.5</v>
      </c>
      <c r="DC62" t="s">
        <v>414</v>
      </c>
      <c r="DD62">
        <v>2</v>
      </c>
      <c r="DE62">
        <v>1693337164</v>
      </c>
      <c r="DF62">
        <v>102.428</v>
      </c>
      <c r="DG62">
        <v>120.051</v>
      </c>
      <c r="DH62">
        <v>28.6829</v>
      </c>
      <c r="DI62">
        <v>23.456800000000001</v>
      </c>
      <c r="DJ62">
        <v>102.867</v>
      </c>
      <c r="DK62">
        <v>28.979800000000001</v>
      </c>
      <c r="DL62">
        <v>500.21800000000002</v>
      </c>
      <c r="DM62">
        <v>98.887200000000007</v>
      </c>
      <c r="DN62">
        <v>9.9940100000000004E-2</v>
      </c>
      <c r="DO62">
        <v>30.277799999999999</v>
      </c>
      <c r="DP62">
        <v>30.002500000000001</v>
      </c>
      <c r="DQ62">
        <v>999.9</v>
      </c>
      <c r="DR62">
        <v>0</v>
      </c>
      <c r="DS62">
        <v>0</v>
      </c>
      <c r="DT62">
        <v>10015</v>
      </c>
      <c r="DU62">
        <v>0</v>
      </c>
      <c r="DV62">
        <v>1375.16</v>
      </c>
      <c r="DW62">
        <v>-17.6235</v>
      </c>
      <c r="DX62">
        <v>105.452</v>
      </c>
      <c r="DY62">
        <v>122.935</v>
      </c>
      <c r="DZ62">
        <v>5.2260900000000001</v>
      </c>
      <c r="EA62">
        <v>120.051</v>
      </c>
      <c r="EB62">
        <v>23.456800000000001</v>
      </c>
      <c r="EC62">
        <v>2.8363700000000001</v>
      </c>
      <c r="ED62">
        <v>2.3195800000000002</v>
      </c>
      <c r="EE62">
        <v>23.097300000000001</v>
      </c>
      <c r="EF62">
        <v>19.812999999999999</v>
      </c>
      <c r="EG62">
        <v>1800.03</v>
      </c>
      <c r="EH62">
        <v>0.97799899999999995</v>
      </c>
      <c r="EI62">
        <v>2.2001099999999999E-2</v>
      </c>
      <c r="EJ62">
        <v>0</v>
      </c>
      <c r="EK62">
        <v>764.53800000000001</v>
      </c>
      <c r="EL62">
        <v>5.0002500000000003</v>
      </c>
      <c r="EM62">
        <v>21468.9</v>
      </c>
      <c r="EN62">
        <v>14822.3</v>
      </c>
      <c r="EO62">
        <v>50.875</v>
      </c>
      <c r="EP62">
        <v>51.936999999999998</v>
      </c>
      <c r="EQ62">
        <v>51.686999999999998</v>
      </c>
      <c r="ER62">
        <v>51</v>
      </c>
      <c r="ES62">
        <v>51.811999999999998</v>
      </c>
      <c r="ET62">
        <v>1755.54</v>
      </c>
      <c r="EU62">
        <v>39.49</v>
      </c>
      <c r="EV62">
        <v>0</v>
      </c>
      <c r="EW62">
        <v>111.6000001430511</v>
      </c>
      <c r="EX62">
        <v>0</v>
      </c>
      <c r="EY62">
        <v>764.90195999999992</v>
      </c>
      <c r="EZ62">
        <v>-1.8417692457413359</v>
      </c>
      <c r="FA62">
        <v>-143.33076922401571</v>
      </c>
      <c r="FB62">
        <v>21486.312000000002</v>
      </c>
      <c r="FC62">
        <v>15</v>
      </c>
      <c r="FD62">
        <v>1693337119</v>
      </c>
      <c r="FE62" t="s">
        <v>655</v>
      </c>
      <c r="FF62">
        <v>1693337110</v>
      </c>
      <c r="FG62">
        <v>1693337119</v>
      </c>
      <c r="FH62">
        <v>68</v>
      </c>
      <c r="FI62">
        <v>2.4E-2</v>
      </c>
      <c r="FJ62">
        <v>1E-3</v>
      </c>
      <c r="FK62">
        <v>-0.439</v>
      </c>
      <c r="FL62">
        <v>-0.29699999999999999</v>
      </c>
      <c r="FM62">
        <v>120</v>
      </c>
      <c r="FN62">
        <v>23</v>
      </c>
      <c r="FO62">
        <v>0.33</v>
      </c>
      <c r="FP62">
        <v>7.0000000000000007E-2</v>
      </c>
      <c r="FQ62">
        <v>14.063915629529401</v>
      </c>
      <c r="FR62">
        <v>0.57983272916665252</v>
      </c>
      <c r="FS62">
        <v>6.032830470327067E-2</v>
      </c>
      <c r="FT62">
        <v>1</v>
      </c>
      <c r="FU62">
        <v>0.31803996123450551</v>
      </c>
      <c r="FV62">
        <v>4.1306917944366833E-2</v>
      </c>
      <c r="FW62">
        <v>4.1003603750619042E-3</v>
      </c>
      <c r="FX62">
        <v>1</v>
      </c>
      <c r="FY62">
        <v>2</v>
      </c>
      <c r="FZ62">
        <v>2</v>
      </c>
      <c r="GA62" t="s">
        <v>415</v>
      </c>
      <c r="GB62">
        <v>2.9175200000000001</v>
      </c>
      <c r="GC62">
        <v>2.8299599999999998</v>
      </c>
      <c r="GD62">
        <v>2.7522499999999998E-2</v>
      </c>
      <c r="GE62">
        <v>3.1182700000000001E-2</v>
      </c>
      <c r="GF62">
        <v>0.13455700000000001</v>
      </c>
      <c r="GG62">
        <v>0.11173</v>
      </c>
      <c r="GH62">
        <v>25302.3</v>
      </c>
      <c r="GI62">
        <v>30886</v>
      </c>
      <c r="GJ62">
        <v>23431</v>
      </c>
      <c r="GK62">
        <v>29197.4</v>
      </c>
      <c r="GL62">
        <v>27667.200000000001</v>
      </c>
      <c r="GM62">
        <v>36742.1</v>
      </c>
      <c r="GN62">
        <v>33138.199999999997</v>
      </c>
      <c r="GO62">
        <v>43137.599999999999</v>
      </c>
      <c r="GP62">
        <v>1.9568000000000001</v>
      </c>
      <c r="GQ62">
        <v>1.7556</v>
      </c>
      <c r="GR62">
        <v>1.79559E-2</v>
      </c>
      <c r="GS62">
        <v>0</v>
      </c>
      <c r="GT62">
        <v>29.7103</v>
      </c>
      <c r="GU62">
        <v>999.9</v>
      </c>
      <c r="GV62">
        <v>32.4</v>
      </c>
      <c r="GW62">
        <v>42.7</v>
      </c>
      <c r="GX62">
        <v>28.021799999999999</v>
      </c>
      <c r="GY62">
        <v>61.2607</v>
      </c>
      <c r="GZ62">
        <v>37.552100000000003</v>
      </c>
      <c r="HA62">
        <v>1</v>
      </c>
      <c r="HB62">
        <v>0.55743900000000002</v>
      </c>
      <c r="HC62">
        <v>4.0510099999999998</v>
      </c>
      <c r="HD62">
        <v>20.270299999999999</v>
      </c>
      <c r="HE62">
        <v>5.2088999999999999</v>
      </c>
      <c r="HF62">
        <v>11.8782</v>
      </c>
      <c r="HG62">
        <v>4.9836</v>
      </c>
      <c r="HH62">
        <v>3.2839999999999998</v>
      </c>
      <c r="HI62">
        <v>9999</v>
      </c>
      <c r="HJ62">
        <v>9999</v>
      </c>
      <c r="HK62">
        <v>9999</v>
      </c>
      <c r="HL62">
        <v>999.9</v>
      </c>
      <c r="HM62">
        <v>1.8546</v>
      </c>
      <c r="HN62">
        <v>1.86066</v>
      </c>
      <c r="HO62">
        <v>1.85806</v>
      </c>
      <c r="HP62">
        <v>1.8591299999999999</v>
      </c>
      <c r="HQ62">
        <v>1.8585400000000001</v>
      </c>
      <c r="HR62">
        <v>1.8590500000000001</v>
      </c>
      <c r="HS62">
        <v>1.85745</v>
      </c>
      <c r="HT62">
        <v>1.8608100000000001</v>
      </c>
      <c r="HU62">
        <v>5</v>
      </c>
      <c r="HV62">
        <v>0</v>
      </c>
      <c r="HW62">
        <v>0</v>
      </c>
      <c r="HX62">
        <v>0</v>
      </c>
      <c r="HY62" t="s">
        <v>416</v>
      </c>
      <c r="HZ62" t="s">
        <v>417</v>
      </c>
      <c r="IA62" t="s">
        <v>418</v>
      </c>
      <c r="IB62" t="s">
        <v>418</v>
      </c>
      <c r="IC62" t="s">
        <v>418</v>
      </c>
      <c r="ID62" t="s">
        <v>418</v>
      </c>
      <c r="IE62">
        <v>0</v>
      </c>
      <c r="IF62">
        <v>100</v>
      </c>
      <c r="IG62">
        <v>100</v>
      </c>
      <c r="IH62">
        <v>-0.439</v>
      </c>
      <c r="II62">
        <v>-0.2969</v>
      </c>
      <c r="IJ62">
        <v>-0.43905000000002298</v>
      </c>
      <c r="IK62">
        <v>0</v>
      </c>
      <c r="IL62">
        <v>0</v>
      </c>
      <c r="IM62">
        <v>0</v>
      </c>
      <c r="IN62">
        <v>-0.2969450000000009</v>
      </c>
      <c r="IO62">
        <v>0</v>
      </c>
      <c r="IP62">
        <v>0</v>
      </c>
      <c r="IQ62">
        <v>0</v>
      </c>
      <c r="IR62">
        <v>-1</v>
      </c>
      <c r="IS62">
        <v>-1</v>
      </c>
      <c r="IT62">
        <v>-1</v>
      </c>
      <c r="IU62">
        <v>-1</v>
      </c>
      <c r="IV62">
        <v>0.9</v>
      </c>
      <c r="IW62">
        <v>0.8</v>
      </c>
      <c r="IX62">
        <v>0.41259800000000002</v>
      </c>
      <c r="IY62">
        <v>2.50244</v>
      </c>
      <c r="IZ62">
        <v>1.49414</v>
      </c>
      <c r="JA62">
        <v>2.2863799999999999</v>
      </c>
      <c r="JB62">
        <v>1.54419</v>
      </c>
      <c r="JC62">
        <v>2.4877899999999999</v>
      </c>
      <c r="JD62">
        <v>42.8583</v>
      </c>
      <c r="JE62">
        <v>15.7781</v>
      </c>
      <c r="JF62">
        <v>18</v>
      </c>
      <c r="JG62">
        <v>521.01099999999997</v>
      </c>
      <c r="JH62">
        <v>417.95600000000002</v>
      </c>
      <c r="JI62">
        <v>24.017499999999998</v>
      </c>
      <c r="JJ62">
        <v>34.193100000000001</v>
      </c>
      <c r="JK62">
        <v>30.0001</v>
      </c>
      <c r="JL62">
        <v>34.210099999999997</v>
      </c>
      <c r="JM62">
        <v>34.1965</v>
      </c>
      <c r="JN62">
        <v>8.3268000000000004</v>
      </c>
      <c r="JO62">
        <v>16.300599999999999</v>
      </c>
      <c r="JP62">
        <v>20.930499999999999</v>
      </c>
      <c r="JQ62">
        <v>24.0168</v>
      </c>
      <c r="JR62">
        <v>120</v>
      </c>
      <c r="JS62">
        <v>23.378499999999999</v>
      </c>
      <c r="JT62">
        <v>98.274100000000004</v>
      </c>
      <c r="JU62">
        <v>97.129300000000001</v>
      </c>
    </row>
    <row r="63" spans="1:281" x14ac:dyDescent="0.25">
      <c r="A63">
        <v>61</v>
      </c>
      <c r="B63">
        <v>1693337283.5</v>
      </c>
      <c r="C63">
        <v>15876.900000095369</v>
      </c>
      <c r="D63" t="s">
        <v>656</v>
      </c>
      <c r="E63" t="s">
        <v>657</v>
      </c>
      <c r="F63" t="s">
        <v>411</v>
      </c>
      <c r="G63" t="s">
        <v>493</v>
      </c>
      <c r="H63" t="s">
        <v>637</v>
      </c>
      <c r="I63" t="s">
        <v>31</v>
      </c>
      <c r="J63">
        <v>1693337283.5</v>
      </c>
      <c r="K63">
        <f t="shared" si="46"/>
        <v>5.1508791878565616E-3</v>
      </c>
      <c r="L63">
        <f t="shared" si="47"/>
        <v>5.1508791878565612</v>
      </c>
      <c r="M63">
        <f t="shared" si="48"/>
        <v>9.0438486499908919</v>
      </c>
      <c r="N63">
        <f t="shared" si="49"/>
        <v>58.791200000000003</v>
      </c>
      <c r="O63">
        <f t="shared" si="50"/>
        <v>16.748336845242523</v>
      </c>
      <c r="P63">
        <f t="shared" si="51"/>
        <v>1.6578809174794766</v>
      </c>
      <c r="Q63">
        <f t="shared" si="52"/>
        <v>5.8196111946128006</v>
      </c>
      <c r="R63">
        <f t="shared" si="53"/>
        <v>0.37288584816052622</v>
      </c>
      <c r="S63">
        <f t="shared" si="54"/>
        <v>2.9134639563985494</v>
      </c>
      <c r="T63">
        <f t="shared" si="55"/>
        <v>0.34825669578842261</v>
      </c>
      <c r="U63">
        <f t="shared" si="56"/>
        <v>0.21973755997737598</v>
      </c>
      <c r="V63">
        <f t="shared" si="57"/>
        <v>344.38268650818486</v>
      </c>
      <c r="W63">
        <f t="shared" si="58"/>
        <v>30.987080868743526</v>
      </c>
      <c r="X63">
        <f t="shared" si="59"/>
        <v>29.969200000000001</v>
      </c>
      <c r="Y63">
        <f t="shared" si="60"/>
        <v>4.2529183046880989</v>
      </c>
      <c r="Z63">
        <f t="shared" si="61"/>
        <v>65.575484773737188</v>
      </c>
      <c r="AA63">
        <f t="shared" si="62"/>
        <v>2.8413060438583999</v>
      </c>
      <c r="AB63">
        <f t="shared" si="63"/>
        <v>4.3328784433116923</v>
      </c>
      <c r="AC63">
        <f t="shared" si="64"/>
        <v>1.411612260829699</v>
      </c>
      <c r="AD63">
        <f t="shared" si="65"/>
        <v>-227.15377218447438</v>
      </c>
      <c r="AE63">
        <f t="shared" si="66"/>
        <v>50.98513909811463</v>
      </c>
      <c r="AF63">
        <f t="shared" si="67"/>
        <v>3.8961753720436958</v>
      </c>
      <c r="AG63">
        <f t="shared" si="68"/>
        <v>172.11022879386877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51820.549830500808</v>
      </c>
      <c r="AM63" t="s">
        <v>413</v>
      </c>
      <c r="AN63">
        <v>10366.9</v>
      </c>
      <c r="AO63">
        <v>993.59653846153856</v>
      </c>
      <c r="AP63">
        <v>3431.87</v>
      </c>
      <c r="AQ63">
        <f t="shared" si="72"/>
        <v>0.71047955241266758</v>
      </c>
      <c r="AR63">
        <v>-3.9894345373445681</v>
      </c>
      <c r="AS63" t="s">
        <v>658</v>
      </c>
      <c r="AT63">
        <v>10256.700000000001</v>
      </c>
      <c r="AU63">
        <v>769.60479999999995</v>
      </c>
      <c r="AV63">
        <v>860.9776369393403</v>
      </c>
      <c r="AW63">
        <f t="shared" si="73"/>
        <v>0.10612684118504923</v>
      </c>
      <c r="AX63">
        <v>0.5</v>
      </c>
      <c r="AY63">
        <f t="shared" si="74"/>
        <v>1513.2434932540923</v>
      </c>
      <c r="AZ63">
        <f t="shared" si="75"/>
        <v>9.0438486499908919</v>
      </c>
      <c r="BA63">
        <f t="shared" si="76"/>
        <v>80.297875941443081</v>
      </c>
      <c r="BB63">
        <f t="shared" si="77"/>
        <v>8.6128129712347689E-3</v>
      </c>
      <c r="BC63">
        <f t="shared" si="78"/>
        <v>2.9860152607445603</v>
      </c>
      <c r="BD63">
        <f t="shared" si="79"/>
        <v>532.89884186570066</v>
      </c>
      <c r="BE63" t="s">
        <v>659</v>
      </c>
      <c r="BF63">
        <v>541.54999999999995</v>
      </c>
      <c r="BG63">
        <f t="shared" si="80"/>
        <v>541.54999999999995</v>
      </c>
      <c r="BH63">
        <f t="shared" si="81"/>
        <v>0.37100573027060568</v>
      </c>
      <c r="BI63">
        <f t="shared" si="82"/>
        <v>0.28605175749614975</v>
      </c>
      <c r="BJ63">
        <f t="shared" si="83"/>
        <v>0.88948364300861493</v>
      </c>
      <c r="BK63">
        <f t="shared" si="84"/>
        <v>-0.6889880393410287</v>
      </c>
      <c r="BL63">
        <f t="shared" si="85"/>
        <v>1.0543904954116674</v>
      </c>
      <c r="BM63">
        <f t="shared" si="86"/>
        <v>0.20128685433360069</v>
      </c>
      <c r="BN63">
        <f t="shared" si="87"/>
        <v>0.79871314566639928</v>
      </c>
      <c r="BO63">
        <v>16650</v>
      </c>
      <c r="BP63">
        <v>290.00000000000011</v>
      </c>
      <c r="BQ63">
        <v>835.46</v>
      </c>
      <c r="BR63">
        <v>285</v>
      </c>
      <c r="BS63">
        <v>10256.700000000001</v>
      </c>
      <c r="BT63">
        <v>835.39</v>
      </c>
      <c r="BU63">
        <v>7.0000000000000007E-2</v>
      </c>
      <c r="BV63">
        <v>300.00000000000011</v>
      </c>
      <c r="BW63">
        <v>38.5</v>
      </c>
      <c r="BX63">
        <v>860.9776369393403</v>
      </c>
      <c r="BY63">
        <v>1.2539366690836871</v>
      </c>
      <c r="BZ63">
        <v>-26.246073438467899</v>
      </c>
      <c r="CA63">
        <v>1.0533786887887751</v>
      </c>
      <c r="CB63">
        <v>0.95684415583771876</v>
      </c>
      <c r="CC63">
        <v>-1.118236040044494E-2</v>
      </c>
      <c r="CD63">
        <v>289.99999999999989</v>
      </c>
      <c r="CE63">
        <v>833.39</v>
      </c>
      <c r="CF63">
        <v>655</v>
      </c>
      <c r="CG63">
        <v>10243.5</v>
      </c>
      <c r="CH63">
        <v>835.36</v>
      </c>
      <c r="CI63">
        <v>-1.97</v>
      </c>
      <c r="CW63">
        <f t="shared" si="88"/>
        <v>1800.07</v>
      </c>
      <c r="CX63">
        <f t="shared" si="89"/>
        <v>1513.2434932540923</v>
      </c>
      <c r="CY63">
        <f t="shared" si="90"/>
        <v>0.84065813732471095</v>
      </c>
      <c r="CZ63">
        <f t="shared" si="91"/>
        <v>0.19131627464942189</v>
      </c>
      <c r="DA63">
        <v>6</v>
      </c>
      <c r="DB63">
        <v>0.5</v>
      </c>
      <c r="DC63" t="s">
        <v>414</v>
      </c>
      <c r="DD63">
        <v>2</v>
      </c>
      <c r="DE63">
        <v>1693337283.5</v>
      </c>
      <c r="DF63">
        <v>58.791200000000003</v>
      </c>
      <c r="DG63">
        <v>70.004900000000006</v>
      </c>
      <c r="DH63">
        <v>28.703600000000002</v>
      </c>
      <c r="DI63">
        <v>22.7012</v>
      </c>
      <c r="DJ63">
        <v>59.171199999999999</v>
      </c>
      <c r="DK63">
        <v>29.014700000000001</v>
      </c>
      <c r="DL63">
        <v>500.10300000000001</v>
      </c>
      <c r="DM63">
        <v>98.888099999999994</v>
      </c>
      <c r="DN63">
        <v>9.9694000000000005E-2</v>
      </c>
      <c r="DO63">
        <v>30.293800000000001</v>
      </c>
      <c r="DP63">
        <v>29.969200000000001</v>
      </c>
      <c r="DQ63">
        <v>999.9</v>
      </c>
      <c r="DR63">
        <v>0</v>
      </c>
      <c r="DS63">
        <v>0</v>
      </c>
      <c r="DT63">
        <v>10020</v>
      </c>
      <c r="DU63">
        <v>0</v>
      </c>
      <c r="DV63">
        <v>1373.93</v>
      </c>
      <c r="DW63">
        <v>-11.213699999999999</v>
      </c>
      <c r="DX63">
        <v>60.528599999999997</v>
      </c>
      <c r="DY63">
        <v>71.631</v>
      </c>
      <c r="DZ63">
        <v>6.0023499999999999</v>
      </c>
      <c r="EA63">
        <v>70.004900000000006</v>
      </c>
      <c r="EB63">
        <v>22.7012</v>
      </c>
      <c r="EC63">
        <v>2.8384399999999999</v>
      </c>
      <c r="ED63">
        <v>2.2448800000000002</v>
      </c>
      <c r="EE63">
        <v>23.109400000000001</v>
      </c>
      <c r="EF63">
        <v>19.286300000000001</v>
      </c>
      <c r="EG63">
        <v>1800.07</v>
      </c>
      <c r="EH63">
        <v>0.97800399999999998</v>
      </c>
      <c r="EI63">
        <v>2.1996399999999999E-2</v>
      </c>
      <c r="EJ63">
        <v>0</v>
      </c>
      <c r="EK63">
        <v>769.91399999999999</v>
      </c>
      <c r="EL63">
        <v>5.0002500000000003</v>
      </c>
      <c r="EM63">
        <v>21514.7</v>
      </c>
      <c r="EN63">
        <v>14822.7</v>
      </c>
      <c r="EO63">
        <v>50.375</v>
      </c>
      <c r="EP63">
        <v>51.375</v>
      </c>
      <c r="EQ63">
        <v>51.186999999999998</v>
      </c>
      <c r="ER63">
        <v>50.25</v>
      </c>
      <c r="ES63">
        <v>51.375</v>
      </c>
      <c r="ET63">
        <v>1755.59</v>
      </c>
      <c r="EU63">
        <v>39.49</v>
      </c>
      <c r="EV63">
        <v>0</v>
      </c>
      <c r="EW63">
        <v>117.7999999523163</v>
      </c>
      <c r="EX63">
        <v>0</v>
      </c>
      <c r="EY63">
        <v>769.60479999999995</v>
      </c>
      <c r="EZ63">
        <v>-1.0717692326240711</v>
      </c>
      <c r="FA63">
        <v>-166.44615333687781</v>
      </c>
      <c r="FB63">
        <v>21531.3</v>
      </c>
      <c r="FC63">
        <v>15</v>
      </c>
      <c r="FD63">
        <v>1693337246</v>
      </c>
      <c r="FE63" t="s">
        <v>660</v>
      </c>
      <c r="FF63">
        <v>1693337232.5</v>
      </c>
      <c r="FG63">
        <v>1693337246</v>
      </c>
      <c r="FH63">
        <v>69</v>
      </c>
      <c r="FI63">
        <v>5.8999999999999997E-2</v>
      </c>
      <c r="FJ63">
        <v>-1.4E-2</v>
      </c>
      <c r="FK63">
        <v>-0.38</v>
      </c>
      <c r="FL63">
        <v>-0.311</v>
      </c>
      <c r="FM63">
        <v>70</v>
      </c>
      <c r="FN63">
        <v>23</v>
      </c>
      <c r="FO63">
        <v>0.41</v>
      </c>
      <c r="FP63">
        <v>7.0000000000000007E-2</v>
      </c>
      <c r="FQ63">
        <v>8.9737148928908912</v>
      </c>
      <c r="FR63">
        <v>8.0854119233728663E-2</v>
      </c>
      <c r="FS63">
        <v>4.289989537931492E-2</v>
      </c>
      <c r="FT63">
        <v>1</v>
      </c>
      <c r="FU63">
        <v>0.36757880160944839</v>
      </c>
      <c r="FV63">
        <v>4.2510803606414502E-2</v>
      </c>
      <c r="FW63">
        <v>3.3596946916826138E-3</v>
      </c>
      <c r="FX63">
        <v>1</v>
      </c>
      <c r="FY63">
        <v>2</v>
      </c>
      <c r="FZ63">
        <v>2</v>
      </c>
      <c r="GA63" t="s">
        <v>415</v>
      </c>
      <c r="GB63">
        <v>2.9171800000000001</v>
      </c>
      <c r="GC63">
        <v>2.8297500000000002</v>
      </c>
      <c r="GD63">
        <v>1.6143000000000001E-2</v>
      </c>
      <c r="GE63">
        <v>1.8610999999999999E-2</v>
      </c>
      <c r="GF63">
        <v>0.134657</v>
      </c>
      <c r="GG63">
        <v>0.109181</v>
      </c>
      <c r="GH63">
        <v>25595.599999999999</v>
      </c>
      <c r="GI63">
        <v>31283.3</v>
      </c>
      <c r="GJ63">
        <v>23429.1</v>
      </c>
      <c r="GK63">
        <v>29195</v>
      </c>
      <c r="GL63">
        <v>27660.799999999999</v>
      </c>
      <c r="GM63">
        <v>36843.9</v>
      </c>
      <c r="GN63">
        <v>33135.1</v>
      </c>
      <c r="GO63">
        <v>43134.5</v>
      </c>
      <c r="GP63">
        <v>1.9569000000000001</v>
      </c>
      <c r="GQ63">
        <v>1.7545999999999999</v>
      </c>
      <c r="GR63">
        <v>1.4379599999999999E-2</v>
      </c>
      <c r="GS63">
        <v>0</v>
      </c>
      <c r="GT63">
        <v>29.735199999999999</v>
      </c>
      <c r="GU63">
        <v>999.9</v>
      </c>
      <c r="GV63">
        <v>32.799999999999997</v>
      </c>
      <c r="GW63">
        <v>42.4</v>
      </c>
      <c r="GX63">
        <v>27.923100000000002</v>
      </c>
      <c r="GY63">
        <v>61.210700000000003</v>
      </c>
      <c r="GZ63">
        <v>38.361400000000003</v>
      </c>
      <c r="HA63">
        <v>1</v>
      </c>
      <c r="HB63">
        <v>0.56054899999999996</v>
      </c>
      <c r="HC63">
        <v>3.56751</v>
      </c>
      <c r="HD63">
        <v>20.279800000000002</v>
      </c>
      <c r="HE63">
        <v>5.2112999999999996</v>
      </c>
      <c r="HF63">
        <v>11.8782</v>
      </c>
      <c r="HG63">
        <v>4.9850000000000003</v>
      </c>
      <c r="HH63">
        <v>3.2839999999999998</v>
      </c>
      <c r="HI63">
        <v>9999</v>
      </c>
      <c r="HJ63">
        <v>9999</v>
      </c>
      <c r="HK63">
        <v>9999</v>
      </c>
      <c r="HL63">
        <v>999.9</v>
      </c>
      <c r="HM63">
        <v>1.8545499999999999</v>
      </c>
      <c r="HN63">
        <v>1.8606400000000001</v>
      </c>
      <c r="HO63">
        <v>1.85806</v>
      </c>
      <c r="HP63">
        <v>1.8591299999999999</v>
      </c>
      <c r="HQ63">
        <v>1.8585199999999999</v>
      </c>
      <c r="HR63">
        <v>1.8589899999999999</v>
      </c>
      <c r="HS63">
        <v>1.85745</v>
      </c>
      <c r="HT63">
        <v>1.8607800000000001</v>
      </c>
      <c r="HU63">
        <v>5</v>
      </c>
      <c r="HV63">
        <v>0</v>
      </c>
      <c r="HW63">
        <v>0</v>
      </c>
      <c r="HX63">
        <v>0</v>
      </c>
      <c r="HY63" t="s">
        <v>416</v>
      </c>
      <c r="HZ63" t="s">
        <v>417</v>
      </c>
      <c r="IA63" t="s">
        <v>418</v>
      </c>
      <c r="IB63" t="s">
        <v>418</v>
      </c>
      <c r="IC63" t="s">
        <v>418</v>
      </c>
      <c r="ID63" t="s">
        <v>418</v>
      </c>
      <c r="IE63">
        <v>0</v>
      </c>
      <c r="IF63">
        <v>100</v>
      </c>
      <c r="IG63">
        <v>100</v>
      </c>
      <c r="IH63">
        <v>-0.38</v>
      </c>
      <c r="II63">
        <v>-0.31109999999999999</v>
      </c>
      <c r="IJ63">
        <v>-0.38006500000000187</v>
      </c>
      <c r="IK63">
        <v>0</v>
      </c>
      <c r="IL63">
        <v>0</v>
      </c>
      <c r="IM63">
        <v>0</v>
      </c>
      <c r="IN63">
        <v>-0.31107142857142728</v>
      </c>
      <c r="IO63">
        <v>0</v>
      </c>
      <c r="IP63">
        <v>0</v>
      </c>
      <c r="IQ63">
        <v>0</v>
      </c>
      <c r="IR63">
        <v>-1</v>
      </c>
      <c r="IS63">
        <v>-1</v>
      </c>
      <c r="IT63">
        <v>-1</v>
      </c>
      <c r="IU63">
        <v>-1</v>
      </c>
      <c r="IV63">
        <v>0.8</v>
      </c>
      <c r="IW63">
        <v>0.6</v>
      </c>
      <c r="IX63">
        <v>0.30029299999999998</v>
      </c>
      <c r="IY63">
        <v>2.51709</v>
      </c>
      <c r="IZ63">
        <v>1.49414</v>
      </c>
      <c r="JA63">
        <v>2.2863799999999999</v>
      </c>
      <c r="JB63">
        <v>1.54419</v>
      </c>
      <c r="JC63">
        <v>2.4450699999999999</v>
      </c>
      <c r="JD63">
        <v>42.724200000000003</v>
      </c>
      <c r="JE63">
        <v>15.7606</v>
      </c>
      <c r="JF63">
        <v>18</v>
      </c>
      <c r="JG63">
        <v>521.41800000000001</v>
      </c>
      <c r="JH63">
        <v>417.57799999999997</v>
      </c>
      <c r="JI63">
        <v>24.472300000000001</v>
      </c>
      <c r="JJ63">
        <v>34.2532</v>
      </c>
      <c r="JK63">
        <v>30.0001</v>
      </c>
      <c r="JL63">
        <v>34.2515</v>
      </c>
      <c r="JM63">
        <v>34.235500000000002</v>
      </c>
      <c r="JN63">
        <v>6.0716700000000001</v>
      </c>
      <c r="JO63">
        <v>20.4649</v>
      </c>
      <c r="JP63">
        <v>21.073</v>
      </c>
      <c r="JQ63">
        <v>24.4801</v>
      </c>
      <c r="JR63">
        <v>70</v>
      </c>
      <c r="JS63">
        <v>22.555499999999999</v>
      </c>
      <c r="JT63">
        <v>98.265500000000003</v>
      </c>
      <c r="JU63">
        <v>97.122100000000003</v>
      </c>
    </row>
    <row r="64" spans="1:281" x14ac:dyDescent="0.25">
      <c r="A64">
        <v>62</v>
      </c>
      <c r="B64">
        <v>1693337387.5</v>
      </c>
      <c r="C64">
        <v>15980.900000095369</v>
      </c>
      <c r="D64" t="s">
        <v>661</v>
      </c>
      <c r="E64" t="s">
        <v>662</v>
      </c>
      <c r="F64" t="s">
        <v>411</v>
      </c>
      <c r="G64" t="s">
        <v>493</v>
      </c>
      <c r="H64" t="s">
        <v>637</v>
      </c>
      <c r="I64" t="s">
        <v>31</v>
      </c>
      <c r="J64">
        <v>1693337387.5</v>
      </c>
      <c r="K64">
        <f t="shared" si="46"/>
        <v>5.4379822076491792E-3</v>
      </c>
      <c r="L64">
        <f t="shared" si="47"/>
        <v>5.4379822076491795</v>
      </c>
      <c r="M64">
        <f t="shared" si="48"/>
        <v>4.1834051409778947</v>
      </c>
      <c r="N64">
        <f t="shared" si="49"/>
        <v>24.833400000000001</v>
      </c>
      <c r="O64">
        <f t="shared" si="50"/>
        <v>6.5142798672409157</v>
      </c>
      <c r="P64">
        <f t="shared" si="51"/>
        <v>0.64481873582209415</v>
      </c>
      <c r="Q64">
        <f t="shared" si="52"/>
        <v>2.4581445563447399</v>
      </c>
      <c r="R64">
        <f t="shared" si="53"/>
        <v>0.39685295274773219</v>
      </c>
      <c r="S64">
        <f t="shared" si="54"/>
        <v>2.9147267742277903</v>
      </c>
      <c r="T64">
        <f t="shared" si="55"/>
        <v>0.36909352569409154</v>
      </c>
      <c r="U64">
        <f t="shared" si="56"/>
        <v>0.23301551454041119</v>
      </c>
      <c r="V64">
        <f t="shared" si="57"/>
        <v>344.41939967088092</v>
      </c>
      <c r="W64">
        <f t="shared" si="58"/>
        <v>30.920368038937049</v>
      </c>
      <c r="X64">
        <f t="shared" si="59"/>
        <v>29.973099999999999</v>
      </c>
      <c r="Y64">
        <f t="shared" si="60"/>
        <v>4.2538713225049429</v>
      </c>
      <c r="Z64">
        <f t="shared" si="61"/>
        <v>65.694494891192633</v>
      </c>
      <c r="AA64">
        <f t="shared" si="62"/>
        <v>2.8478006665048898</v>
      </c>
      <c r="AB64">
        <f t="shared" si="63"/>
        <v>4.3349152333412366</v>
      </c>
      <c r="AC64">
        <f t="shared" si="64"/>
        <v>1.4060706560000531</v>
      </c>
      <c r="AD64">
        <f t="shared" si="65"/>
        <v>-239.8150153573288</v>
      </c>
      <c r="AE64">
        <f t="shared" si="66"/>
        <v>51.6829348263784</v>
      </c>
      <c r="AF64">
        <f t="shared" si="67"/>
        <v>3.9480247015668364</v>
      </c>
      <c r="AG64">
        <f t="shared" si="68"/>
        <v>160.23534384149735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51854.964140654993</v>
      </c>
      <c r="AM64" t="s">
        <v>413</v>
      </c>
      <c r="AN64">
        <v>10366.9</v>
      </c>
      <c r="AO64">
        <v>993.59653846153856</v>
      </c>
      <c r="AP64">
        <v>3431.87</v>
      </c>
      <c r="AQ64">
        <f t="shared" si="72"/>
        <v>0.71047955241266758</v>
      </c>
      <c r="AR64">
        <v>-3.9894345373445681</v>
      </c>
      <c r="AS64" t="s">
        <v>663</v>
      </c>
      <c r="AT64">
        <v>10263.9</v>
      </c>
      <c r="AU64">
        <v>774.95751999999993</v>
      </c>
      <c r="AV64">
        <v>838.28085493061758</v>
      </c>
      <c r="AW64">
        <f t="shared" si="73"/>
        <v>7.5539521817969635E-2</v>
      </c>
      <c r="AX64">
        <v>0.5</v>
      </c>
      <c r="AY64">
        <f t="shared" si="74"/>
        <v>1513.4033998354403</v>
      </c>
      <c r="AZ64">
        <f t="shared" si="75"/>
        <v>4.1834051409778947</v>
      </c>
      <c r="BA64">
        <f t="shared" si="76"/>
        <v>57.160884570629328</v>
      </c>
      <c r="BB64">
        <f t="shared" si="77"/>
        <v>5.4003048223699879E-3</v>
      </c>
      <c r="BC64">
        <f t="shared" si="78"/>
        <v>3.0939381829065482</v>
      </c>
      <c r="BD64">
        <f t="shared" si="79"/>
        <v>524.11560222200706</v>
      </c>
      <c r="BE64" t="s">
        <v>664</v>
      </c>
      <c r="BF64">
        <v>552.33000000000004</v>
      </c>
      <c r="BG64">
        <f t="shared" si="80"/>
        <v>552.33000000000004</v>
      </c>
      <c r="BH64">
        <f t="shared" si="81"/>
        <v>0.34111581249733414</v>
      </c>
      <c r="BI64">
        <f t="shared" si="82"/>
        <v>0.22144831476717311</v>
      </c>
      <c r="BJ64">
        <f t="shared" si="83"/>
        <v>0.90069564759280396</v>
      </c>
      <c r="BK64">
        <f t="shared" si="84"/>
        <v>-0.40770728036625442</v>
      </c>
      <c r="BL64">
        <f t="shared" si="85"/>
        <v>1.0636990419577148</v>
      </c>
      <c r="BM64">
        <f t="shared" si="86"/>
        <v>0.1578312933789619</v>
      </c>
      <c r="BN64">
        <f t="shared" si="87"/>
        <v>0.84216870662103815</v>
      </c>
      <c r="BO64">
        <v>16652</v>
      </c>
      <c r="BP64">
        <v>290.00000000000011</v>
      </c>
      <c r="BQ64">
        <v>821.85</v>
      </c>
      <c r="BR64">
        <v>265</v>
      </c>
      <c r="BS64">
        <v>10263.9</v>
      </c>
      <c r="BT64">
        <v>821.89</v>
      </c>
      <c r="BU64">
        <v>-0.04</v>
      </c>
      <c r="BV64">
        <v>300.00000000000011</v>
      </c>
      <c r="BW64">
        <v>38.5</v>
      </c>
      <c r="BX64">
        <v>838.28085493061758</v>
      </c>
      <c r="BY64">
        <v>1.2920654220006511</v>
      </c>
      <c r="BZ64">
        <v>-16.8264283491452</v>
      </c>
      <c r="CA64">
        <v>1.0859410865267609</v>
      </c>
      <c r="CB64">
        <v>0.89555687613181645</v>
      </c>
      <c r="CC64">
        <v>-1.118711857619578E-2</v>
      </c>
      <c r="CD64">
        <v>289.99999999999989</v>
      </c>
      <c r="CE64">
        <v>820.49</v>
      </c>
      <c r="CF64">
        <v>675</v>
      </c>
      <c r="CG64">
        <v>10247.1</v>
      </c>
      <c r="CH64">
        <v>821.86</v>
      </c>
      <c r="CI64">
        <v>-1.37</v>
      </c>
      <c r="CW64">
        <f t="shared" si="88"/>
        <v>1800.26</v>
      </c>
      <c r="CX64">
        <f t="shared" si="89"/>
        <v>1513.4033998354403</v>
      </c>
      <c r="CY64">
        <f t="shared" si="90"/>
        <v>0.84065823816306551</v>
      </c>
      <c r="CZ64">
        <f t="shared" si="91"/>
        <v>0.19131647632613119</v>
      </c>
      <c r="DA64">
        <v>6</v>
      </c>
      <c r="DB64">
        <v>0.5</v>
      </c>
      <c r="DC64" t="s">
        <v>414</v>
      </c>
      <c r="DD64">
        <v>2</v>
      </c>
      <c r="DE64">
        <v>1693337387.5</v>
      </c>
      <c r="DF64">
        <v>24.833400000000001</v>
      </c>
      <c r="DG64">
        <v>30.0124</v>
      </c>
      <c r="DH64">
        <v>28.7699</v>
      </c>
      <c r="DI64">
        <v>22.4359</v>
      </c>
      <c r="DJ64">
        <v>25.2301</v>
      </c>
      <c r="DK64">
        <v>29.090800000000002</v>
      </c>
      <c r="DL64">
        <v>500.303</v>
      </c>
      <c r="DM64">
        <v>98.885499999999993</v>
      </c>
      <c r="DN64">
        <v>9.9921099999999999E-2</v>
      </c>
      <c r="DO64">
        <v>30.302</v>
      </c>
      <c r="DP64">
        <v>29.973099999999999</v>
      </c>
      <c r="DQ64">
        <v>999.9</v>
      </c>
      <c r="DR64">
        <v>0</v>
      </c>
      <c r="DS64">
        <v>0</v>
      </c>
      <c r="DT64">
        <v>10027.5</v>
      </c>
      <c r="DU64">
        <v>0</v>
      </c>
      <c r="DV64">
        <v>1352.91</v>
      </c>
      <c r="DW64">
        <v>-5.17896</v>
      </c>
      <c r="DX64">
        <v>25.569099999999999</v>
      </c>
      <c r="DY64">
        <v>30.7012</v>
      </c>
      <c r="DZ64">
        <v>6.3340500000000004</v>
      </c>
      <c r="EA64">
        <v>30.0124</v>
      </c>
      <c r="EB64">
        <v>22.4359</v>
      </c>
      <c r="EC64">
        <v>2.8449300000000002</v>
      </c>
      <c r="ED64">
        <v>2.2185899999999998</v>
      </c>
      <c r="EE64">
        <v>23.147099999999998</v>
      </c>
      <c r="EF64">
        <v>19.097200000000001</v>
      </c>
      <c r="EG64">
        <v>1800.26</v>
      </c>
      <c r="EH64">
        <v>0.97799599999999998</v>
      </c>
      <c r="EI64">
        <v>2.20039E-2</v>
      </c>
      <c r="EJ64">
        <v>0</v>
      </c>
      <c r="EK64">
        <v>775.03</v>
      </c>
      <c r="EL64">
        <v>5.0002500000000003</v>
      </c>
      <c r="EM64">
        <v>21675.7</v>
      </c>
      <c r="EN64">
        <v>14824.2</v>
      </c>
      <c r="EO64">
        <v>49.75</v>
      </c>
      <c r="EP64">
        <v>50.875</v>
      </c>
      <c r="EQ64">
        <v>50.561999999999998</v>
      </c>
      <c r="ER64">
        <v>49.686999999999998</v>
      </c>
      <c r="ES64">
        <v>50.811999999999998</v>
      </c>
      <c r="ET64">
        <v>1755.76</v>
      </c>
      <c r="EU64">
        <v>39.5</v>
      </c>
      <c r="EV64">
        <v>0</v>
      </c>
      <c r="EW64">
        <v>102</v>
      </c>
      <c r="EX64">
        <v>0</v>
      </c>
      <c r="EY64">
        <v>774.95751999999993</v>
      </c>
      <c r="EZ64">
        <v>-2.3052307534217871</v>
      </c>
      <c r="FA64">
        <v>-512.05384754825536</v>
      </c>
      <c r="FB64">
        <v>21716.928</v>
      </c>
      <c r="FC64">
        <v>15</v>
      </c>
      <c r="FD64">
        <v>1693337350</v>
      </c>
      <c r="FE64" t="s">
        <v>665</v>
      </c>
      <c r="FF64">
        <v>1693337342</v>
      </c>
      <c r="FG64">
        <v>1693337350</v>
      </c>
      <c r="FH64">
        <v>70</v>
      </c>
      <c r="FI64">
        <v>-1.7000000000000001E-2</v>
      </c>
      <c r="FJ64">
        <v>-0.01</v>
      </c>
      <c r="FK64">
        <v>-0.39700000000000002</v>
      </c>
      <c r="FL64">
        <v>-0.32100000000000001</v>
      </c>
      <c r="FM64">
        <v>30</v>
      </c>
      <c r="FN64">
        <v>22</v>
      </c>
      <c r="FO64">
        <v>1.05</v>
      </c>
      <c r="FP64">
        <v>0.05</v>
      </c>
      <c r="FQ64">
        <v>4.1697506316735264</v>
      </c>
      <c r="FR64">
        <v>-0.1099408499350948</v>
      </c>
      <c r="FS64">
        <v>3.7550603917606083E-2</v>
      </c>
      <c r="FT64">
        <v>1</v>
      </c>
      <c r="FU64">
        <v>0.39115510424593503</v>
      </c>
      <c r="FV64">
        <v>4.4975408500625952E-2</v>
      </c>
      <c r="FW64">
        <v>3.5225144621907171E-3</v>
      </c>
      <c r="FX64">
        <v>1</v>
      </c>
      <c r="FY64">
        <v>2</v>
      </c>
      <c r="FZ64">
        <v>2</v>
      </c>
      <c r="GA64" t="s">
        <v>415</v>
      </c>
      <c r="GB64">
        <v>2.9176500000000001</v>
      </c>
      <c r="GC64">
        <v>2.83005</v>
      </c>
      <c r="GD64">
        <v>6.9579799999999999E-3</v>
      </c>
      <c r="GE64">
        <v>8.0837099999999992E-3</v>
      </c>
      <c r="GF64">
        <v>0.13488900000000001</v>
      </c>
      <c r="GG64">
        <v>0.10827100000000001</v>
      </c>
      <c r="GH64">
        <v>25834</v>
      </c>
      <c r="GI64">
        <v>31618</v>
      </c>
      <c r="GJ64">
        <v>23429.200000000001</v>
      </c>
      <c r="GK64">
        <v>29194.9</v>
      </c>
      <c r="GL64">
        <v>27653.599999999999</v>
      </c>
      <c r="GM64">
        <v>36880.5</v>
      </c>
      <c r="GN64">
        <v>33136.1</v>
      </c>
      <c r="GO64">
        <v>43134.400000000001</v>
      </c>
      <c r="GP64">
        <v>1.9564999999999999</v>
      </c>
      <c r="GQ64">
        <v>1.7549999999999999</v>
      </c>
      <c r="GR64">
        <v>1.4409399999999999E-2</v>
      </c>
      <c r="GS64">
        <v>0</v>
      </c>
      <c r="GT64">
        <v>29.738499999999998</v>
      </c>
      <c r="GU64">
        <v>999.9</v>
      </c>
      <c r="GV64">
        <v>33.1</v>
      </c>
      <c r="GW64">
        <v>42.2</v>
      </c>
      <c r="GX64">
        <v>27.887599999999999</v>
      </c>
      <c r="GY64">
        <v>61.220700000000001</v>
      </c>
      <c r="GZ64">
        <v>37.928699999999999</v>
      </c>
      <c r="HA64">
        <v>1</v>
      </c>
      <c r="HB64">
        <v>0.56295700000000004</v>
      </c>
      <c r="HC64">
        <v>3.4868199999999998</v>
      </c>
      <c r="HD64">
        <v>20.281600000000001</v>
      </c>
      <c r="HE64">
        <v>5.2065099999999997</v>
      </c>
      <c r="HF64">
        <v>11.877599999999999</v>
      </c>
      <c r="HG64">
        <v>4.9833999999999996</v>
      </c>
      <c r="HH64">
        <v>3.2839999999999998</v>
      </c>
      <c r="HI64">
        <v>9999</v>
      </c>
      <c r="HJ64">
        <v>9999</v>
      </c>
      <c r="HK64">
        <v>9999</v>
      </c>
      <c r="HL64">
        <v>999.9</v>
      </c>
      <c r="HM64">
        <v>1.8545700000000001</v>
      </c>
      <c r="HN64">
        <v>1.86066</v>
      </c>
      <c r="HO64">
        <v>1.85806</v>
      </c>
      <c r="HP64">
        <v>1.8591299999999999</v>
      </c>
      <c r="HQ64">
        <v>1.8585199999999999</v>
      </c>
      <c r="HR64">
        <v>1.8589800000000001</v>
      </c>
      <c r="HS64">
        <v>1.85745</v>
      </c>
      <c r="HT64">
        <v>1.8607199999999999</v>
      </c>
      <c r="HU64">
        <v>5</v>
      </c>
      <c r="HV64">
        <v>0</v>
      </c>
      <c r="HW64">
        <v>0</v>
      </c>
      <c r="HX64">
        <v>0</v>
      </c>
      <c r="HY64" t="s">
        <v>416</v>
      </c>
      <c r="HZ64" t="s">
        <v>417</v>
      </c>
      <c r="IA64" t="s">
        <v>418</v>
      </c>
      <c r="IB64" t="s">
        <v>418</v>
      </c>
      <c r="IC64" t="s">
        <v>418</v>
      </c>
      <c r="ID64" t="s">
        <v>418</v>
      </c>
      <c r="IE64">
        <v>0</v>
      </c>
      <c r="IF64">
        <v>100</v>
      </c>
      <c r="IG64">
        <v>100</v>
      </c>
      <c r="IH64">
        <v>-0.39700000000000002</v>
      </c>
      <c r="II64">
        <v>-0.32090000000000002</v>
      </c>
      <c r="IJ64">
        <v>-0.39665000000000461</v>
      </c>
      <c r="IK64">
        <v>0</v>
      </c>
      <c r="IL64">
        <v>0</v>
      </c>
      <c r="IM64">
        <v>0</v>
      </c>
      <c r="IN64">
        <v>-0.32081499999999608</v>
      </c>
      <c r="IO64">
        <v>0</v>
      </c>
      <c r="IP64">
        <v>0</v>
      </c>
      <c r="IQ64">
        <v>0</v>
      </c>
      <c r="IR64">
        <v>-1</v>
      </c>
      <c r="IS64">
        <v>-1</v>
      </c>
      <c r="IT64">
        <v>-1</v>
      </c>
      <c r="IU64">
        <v>-1</v>
      </c>
      <c r="IV64">
        <v>0.8</v>
      </c>
      <c r="IW64">
        <v>0.6</v>
      </c>
      <c r="IX64">
        <v>0.20996100000000001</v>
      </c>
      <c r="IY64">
        <v>2.5366200000000001</v>
      </c>
      <c r="IZ64">
        <v>1.49414</v>
      </c>
      <c r="JA64">
        <v>2.2875999999999999</v>
      </c>
      <c r="JB64">
        <v>1.54419</v>
      </c>
      <c r="JC64">
        <v>2.5329600000000001</v>
      </c>
      <c r="JD64">
        <v>42.643900000000002</v>
      </c>
      <c r="JE64">
        <v>15.7431</v>
      </c>
      <c r="JF64">
        <v>18</v>
      </c>
      <c r="JG64">
        <v>521.39700000000005</v>
      </c>
      <c r="JH64">
        <v>418.05200000000002</v>
      </c>
      <c r="JI64">
        <v>24.669899999999998</v>
      </c>
      <c r="JJ64">
        <v>34.284500000000001</v>
      </c>
      <c r="JK64">
        <v>30</v>
      </c>
      <c r="JL64">
        <v>34.282299999999999</v>
      </c>
      <c r="JM64">
        <v>34.266199999999998</v>
      </c>
      <c r="JN64">
        <v>4.2712700000000003</v>
      </c>
      <c r="JO64">
        <v>21.253499999999999</v>
      </c>
      <c r="JP64">
        <v>20.785499999999999</v>
      </c>
      <c r="JQ64">
        <v>24.6845</v>
      </c>
      <c r="JR64">
        <v>30</v>
      </c>
      <c r="JS64">
        <v>22.275700000000001</v>
      </c>
      <c r="JT64">
        <v>98.267499999999998</v>
      </c>
      <c r="JU64">
        <v>97.121899999999997</v>
      </c>
    </row>
    <row r="65" spans="1:281" x14ac:dyDescent="0.25">
      <c r="A65">
        <v>63</v>
      </c>
      <c r="B65">
        <v>1693337512</v>
      </c>
      <c r="C65">
        <v>16105.400000095369</v>
      </c>
      <c r="D65" t="s">
        <v>666</v>
      </c>
      <c r="E65" t="s">
        <v>667</v>
      </c>
      <c r="F65" t="s">
        <v>411</v>
      </c>
      <c r="G65" t="s">
        <v>493</v>
      </c>
      <c r="H65" t="s">
        <v>637</v>
      </c>
      <c r="I65" t="s">
        <v>31</v>
      </c>
      <c r="J65">
        <v>1693337512</v>
      </c>
      <c r="K65">
        <f t="shared" si="46"/>
        <v>5.7602367042130891E-3</v>
      </c>
      <c r="L65">
        <f t="shared" si="47"/>
        <v>5.7602367042130886</v>
      </c>
      <c r="M65">
        <f t="shared" si="48"/>
        <v>1.3276538323097091</v>
      </c>
      <c r="N65">
        <f t="shared" si="49"/>
        <v>8.3307500000000001</v>
      </c>
      <c r="O65">
        <f t="shared" si="50"/>
        <v>2.8096640248485665</v>
      </c>
      <c r="P65">
        <f t="shared" si="51"/>
        <v>0.27811300322979726</v>
      </c>
      <c r="Q65">
        <f t="shared" si="52"/>
        <v>0.82461457354549994</v>
      </c>
      <c r="R65">
        <f t="shared" si="53"/>
        <v>0.42113386215158932</v>
      </c>
      <c r="S65">
        <f t="shared" si="54"/>
        <v>2.899386521158593</v>
      </c>
      <c r="T65">
        <f t="shared" si="55"/>
        <v>0.38986485945956501</v>
      </c>
      <c r="U65">
        <f t="shared" si="56"/>
        <v>0.24628117535435506</v>
      </c>
      <c r="V65">
        <f t="shared" si="57"/>
        <v>344.37759967084065</v>
      </c>
      <c r="W65">
        <f t="shared" si="58"/>
        <v>30.882317745274772</v>
      </c>
      <c r="X65">
        <f t="shared" si="59"/>
        <v>29.970099999999999</v>
      </c>
      <c r="Y65">
        <f t="shared" si="60"/>
        <v>4.2531382153593018</v>
      </c>
      <c r="Z65">
        <f t="shared" si="61"/>
        <v>65.421724932064521</v>
      </c>
      <c r="AA65">
        <f t="shared" si="62"/>
        <v>2.8430705071215998</v>
      </c>
      <c r="AB65">
        <f t="shared" si="63"/>
        <v>4.345759012123132</v>
      </c>
      <c r="AC65">
        <f t="shared" si="64"/>
        <v>1.410067708237702</v>
      </c>
      <c r="AD65">
        <f t="shared" si="65"/>
        <v>-254.02643865579722</v>
      </c>
      <c r="AE65">
        <f t="shared" si="66"/>
        <v>58.695053161328005</v>
      </c>
      <c r="AF65">
        <f t="shared" si="67"/>
        <v>4.5083042170303722</v>
      </c>
      <c r="AG65">
        <f t="shared" si="68"/>
        <v>153.55451839340185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51412.442048157296</v>
      </c>
      <c r="AM65" t="s">
        <v>413</v>
      </c>
      <c r="AN65">
        <v>10366.9</v>
      </c>
      <c r="AO65">
        <v>993.59653846153856</v>
      </c>
      <c r="AP65">
        <v>3431.87</v>
      </c>
      <c r="AQ65">
        <f t="shared" si="72"/>
        <v>0.71047955241266758</v>
      </c>
      <c r="AR65">
        <v>-3.9894345373445681</v>
      </c>
      <c r="AS65" t="s">
        <v>668</v>
      </c>
      <c r="AT65">
        <v>10288.799999999999</v>
      </c>
      <c r="AU65">
        <v>776.15038461538461</v>
      </c>
      <c r="AV65">
        <v>825.57931391460011</v>
      </c>
      <c r="AW65">
        <f t="shared" si="73"/>
        <v>5.9871811788550389E-2</v>
      </c>
      <c r="AX65">
        <v>0.5</v>
      </c>
      <c r="AY65">
        <f t="shared" si="74"/>
        <v>1513.2185998354203</v>
      </c>
      <c r="AZ65">
        <f t="shared" si="75"/>
        <v>1.3276538323097091</v>
      </c>
      <c r="BA65">
        <f t="shared" si="76"/>
        <v>45.299569602140011</v>
      </c>
      <c r="BB65">
        <f t="shared" si="77"/>
        <v>3.5137609134810867E-3</v>
      </c>
      <c r="BC65">
        <f t="shared" si="78"/>
        <v>3.1569234380732083</v>
      </c>
      <c r="BD65">
        <f t="shared" si="79"/>
        <v>519.12210656428726</v>
      </c>
      <c r="BE65" t="s">
        <v>669</v>
      </c>
      <c r="BF65">
        <v>553.75</v>
      </c>
      <c r="BG65">
        <f t="shared" si="80"/>
        <v>553.75</v>
      </c>
      <c r="BH65">
        <f t="shared" si="81"/>
        <v>0.32925887232528062</v>
      </c>
      <c r="BI65">
        <f t="shared" si="82"/>
        <v>0.18183811226019742</v>
      </c>
      <c r="BJ65">
        <f t="shared" si="83"/>
        <v>0.90555316876481873</v>
      </c>
      <c r="BK65">
        <f t="shared" si="84"/>
        <v>-0.2941896548553371</v>
      </c>
      <c r="BL65">
        <f t="shared" si="85"/>
        <v>1.0689082775977579</v>
      </c>
      <c r="BM65">
        <f t="shared" si="86"/>
        <v>0.12973369164016055</v>
      </c>
      <c r="BN65">
        <f t="shared" si="87"/>
        <v>0.87026630835983942</v>
      </c>
      <c r="BO65">
        <v>16654</v>
      </c>
      <c r="BP65">
        <v>290.00000000000011</v>
      </c>
      <c r="BQ65">
        <v>812.19</v>
      </c>
      <c r="BR65">
        <v>135</v>
      </c>
      <c r="BS65">
        <v>10288.799999999999</v>
      </c>
      <c r="BT65">
        <v>811.11</v>
      </c>
      <c r="BU65">
        <v>1.08</v>
      </c>
      <c r="BV65">
        <v>300.00000000000011</v>
      </c>
      <c r="BW65">
        <v>38.5</v>
      </c>
      <c r="BX65">
        <v>825.57931391460011</v>
      </c>
      <c r="BY65">
        <v>1.4611765003352839</v>
      </c>
      <c r="BZ65">
        <v>-14.888016794831779</v>
      </c>
      <c r="CA65">
        <v>1.228836407121052</v>
      </c>
      <c r="CB65">
        <v>0.83980438967690896</v>
      </c>
      <c r="CC65">
        <v>-1.119339644048944E-2</v>
      </c>
      <c r="CD65">
        <v>289.99999999999989</v>
      </c>
      <c r="CE65">
        <v>809.83</v>
      </c>
      <c r="CF65">
        <v>665</v>
      </c>
      <c r="CG65">
        <v>10254.299999999999</v>
      </c>
      <c r="CH65">
        <v>811.06</v>
      </c>
      <c r="CI65">
        <v>-1.23</v>
      </c>
      <c r="CW65">
        <f t="shared" si="88"/>
        <v>1800.04</v>
      </c>
      <c r="CX65">
        <f t="shared" si="89"/>
        <v>1513.2185998354203</v>
      </c>
      <c r="CY65">
        <f t="shared" si="90"/>
        <v>0.84065831861259765</v>
      </c>
      <c r="CZ65">
        <f t="shared" si="91"/>
        <v>0.19131663722519537</v>
      </c>
      <c r="DA65">
        <v>6</v>
      </c>
      <c r="DB65">
        <v>0.5</v>
      </c>
      <c r="DC65" t="s">
        <v>414</v>
      </c>
      <c r="DD65">
        <v>2</v>
      </c>
      <c r="DE65">
        <v>1693337512</v>
      </c>
      <c r="DF65">
        <v>8.3307500000000001</v>
      </c>
      <c r="DG65">
        <v>9.9807699999999997</v>
      </c>
      <c r="DH65">
        <v>28.7224</v>
      </c>
      <c r="DI65">
        <v>22.011700000000001</v>
      </c>
      <c r="DJ65">
        <v>8.6318800000000007</v>
      </c>
      <c r="DK65">
        <v>29.051400000000001</v>
      </c>
      <c r="DL65">
        <v>500.22699999999998</v>
      </c>
      <c r="DM65">
        <v>98.883799999999994</v>
      </c>
      <c r="DN65">
        <v>0.100634</v>
      </c>
      <c r="DO65">
        <v>30.345600000000001</v>
      </c>
      <c r="DP65">
        <v>29.970099999999999</v>
      </c>
      <c r="DQ65">
        <v>999.9</v>
      </c>
      <c r="DR65">
        <v>0</v>
      </c>
      <c r="DS65">
        <v>0</v>
      </c>
      <c r="DT65">
        <v>9940</v>
      </c>
      <c r="DU65">
        <v>0</v>
      </c>
      <c r="DV65">
        <v>1328.6</v>
      </c>
      <c r="DW65">
        <v>-1.65002</v>
      </c>
      <c r="DX65">
        <v>8.5771099999999993</v>
      </c>
      <c r="DY65">
        <v>10.205399999999999</v>
      </c>
      <c r="DZ65">
        <v>6.7107200000000002</v>
      </c>
      <c r="EA65">
        <v>9.9807699999999997</v>
      </c>
      <c r="EB65">
        <v>22.011700000000001</v>
      </c>
      <c r="EC65">
        <v>2.8401800000000001</v>
      </c>
      <c r="ED65">
        <v>2.1766000000000001</v>
      </c>
      <c r="EE65">
        <v>23.119499999999999</v>
      </c>
      <c r="EF65">
        <v>18.7911</v>
      </c>
      <c r="EG65">
        <v>1800.04</v>
      </c>
      <c r="EH65">
        <v>0.97799700000000001</v>
      </c>
      <c r="EI65">
        <v>2.2002899999999999E-2</v>
      </c>
      <c r="EJ65">
        <v>0</v>
      </c>
      <c r="EK65">
        <v>776.18799999999999</v>
      </c>
      <c r="EL65">
        <v>5.0002500000000003</v>
      </c>
      <c r="EM65">
        <v>21660</v>
      </c>
      <c r="EN65">
        <v>14822.4</v>
      </c>
      <c r="EO65">
        <v>49</v>
      </c>
      <c r="EP65">
        <v>50.061999999999998</v>
      </c>
      <c r="EQ65">
        <v>49.75</v>
      </c>
      <c r="ER65">
        <v>48.936999999999998</v>
      </c>
      <c r="ES65">
        <v>50.061999999999998</v>
      </c>
      <c r="ET65">
        <v>1755.54</v>
      </c>
      <c r="EU65">
        <v>39.5</v>
      </c>
      <c r="EV65">
        <v>0</v>
      </c>
      <c r="EW65">
        <v>122.6000001430511</v>
      </c>
      <c r="EX65">
        <v>0</v>
      </c>
      <c r="EY65">
        <v>776.15038461538461</v>
      </c>
      <c r="EZ65">
        <v>-0.44013675304074779</v>
      </c>
      <c r="FA65">
        <v>-87.808546953671808</v>
      </c>
      <c r="FB65">
        <v>21672.646153846152</v>
      </c>
      <c r="FC65">
        <v>15</v>
      </c>
      <c r="FD65">
        <v>1693337481.5</v>
      </c>
      <c r="FE65" t="s">
        <v>670</v>
      </c>
      <c r="FF65">
        <v>1693337472.5</v>
      </c>
      <c r="FG65">
        <v>1693337481.5</v>
      </c>
      <c r="FH65">
        <v>71</v>
      </c>
      <c r="FI65">
        <v>9.6000000000000002E-2</v>
      </c>
      <c r="FJ65">
        <v>-8.0000000000000002E-3</v>
      </c>
      <c r="FK65">
        <v>-0.30099999999999999</v>
      </c>
      <c r="FL65">
        <v>-0.32900000000000001</v>
      </c>
      <c r="FM65">
        <v>10</v>
      </c>
      <c r="FN65">
        <v>22</v>
      </c>
      <c r="FO65">
        <v>0.98</v>
      </c>
      <c r="FP65">
        <v>0.04</v>
      </c>
      <c r="FQ65">
        <v>1.4058104353290579</v>
      </c>
      <c r="FR65">
        <v>-0.20585650572434239</v>
      </c>
      <c r="FS65">
        <v>3.9903822723381499E-2</v>
      </c>
      <c r="FT65">
        <v>1</v>
      </c>
      <c r="FU65">
        <v>0.42137030339693499</v>
      </c>
      <c r="FV65">
        <v>3.6726716755278589E-2</v>
      </c>
      <c r="FW65">
        <v>4.4022252681924631E-3</v>
      </c>
      <c r="FX65">
        <v>1</v>
      </c>
      <c r="FY65">
        <v>2</v>
      </c>
      <c r="FZ65">
        <v>2</v>
      </c>
      <c r="GA65" t="s">
        <v>415</v>
      </c>
      <c r="GB65">
        <v>2.91751</v>
      </c>
      <c r="GC65">
        <v>2.83</v>
      </c>
      <c r="GD65">
        <v>2.3891699999999999E-3</v>
      </c>
      <c r="GE65">
        <v>2.6995700000000001E-3</v>
      </c>
      <c r="GF65">
        <v>0.134765</v>
      </c>
      <c r="GG65">
        <v>0.106826</v>
      </c>
      <c r="GH65">
        <v>25954.7</v>
      </c>
      <c r="GI65">
        <v>31792.1</v>
      </c>
      <c r="GJ65">
        <v>23430.9</v>
      </c>
      <c r="GK65">
        <v>29197.3</v>
      </c>
      <c r="GL65">
        <v>27658.799999999999</v>
      </c>
      <c r="GM65">
        <v>36942.6</v>
      </c>
      <c r="GN65">
        <v>33138.400000000001</v>
      </c>
      <c r="GO65">
        <v>43138</v>
      </c>
      <c r="GP65">
        <v>1.9567000000000001</v>
      </c>
      <c r="GQ65">
        <v>1.7567999999999999</v>
      </c>
      <c r="GR65">
        <v>2.52724E-2</v>
      </c>
      <c r="GS65">
        <v>0</v>
      </c>
      <c r="GT65">
        <v>29.558700000000002</v>
      </c>
      <c r="GU65">
        <v>999.9</v>
      </c>
      <c r="GV65">
        <v>33.200000000000003</v>
      </c>
      <c r="GW65">
        <v>42</v>
      </c>
      <c r="GX65">
        <v>27.674900000000001</v>
      </c>
      <c r="GY65">
        <v>61.380699999999997</v>
      </c>
      <c r="GZ65">
        <v>37.608199999999997</v>
      </c>
      <c r="HA65">
        <v>1</v>
      </c>
      <c r="HB65">
        <v>0.56172800000000001</v>
      </c>
      <c r="HC65">
        <v>3.4369299999999998</v>
      </c>
      <c r="HD65">
        <v>20.2819</v>
      </c>
      <c r="HE65">
        <v>5.2088999999999999</v>
      </c>
      <c r="HF65">
        <v>11.8764</v>
      </c>
      <c r="HG65">
        <v>4.9847999999999999</v>
      </c>
      <c r="HH65">
        <v>3.2839999999999998</v>
      </c>
      <c r="HI65">
        <v>9999</v>
      </c>
      <c r="HJ65">
        <v>9999</v>
      </c>
      <c r="HK65">
        <v>9999</v>
      </c>
      <c r="HL65">
        <v>999.9</v>
      </c>
      <c r="HM65">
        <v>1.8545499999999999</v>
      </c>
      <c r="HN65">
        <v>1.86066</v>
      </c>
      <c r="HO65">
        <v>1.8580000000000001</v>
      </c>
      <c r="HP65">
        <v>1.8591299999999999</v>
      </c>
      <c r="HQ65">
        <v>1.8585199999999999</v>
      </c>
      <c r="HR65">
        <v>1.85903</v>
      </c>
      <c r="HS65">
        <v>1.85745</v>
      </c>
      <c r="HT65">
        <v>1.86077</v>
      </c>
      <c r="HU65">
        <v>5</v>
      </c>
      <c r="HV65">
        <v>0</v>
      </c>
      <c r="HW65">
        <v>0</v>
      </c>
      <c r="HX65">
        <v>0</v>
      </c>
      <c r="HY65" t="s">
        <v>416</v>
      </c>
      <c r="HZ65" t="s">
        <v>417</v>
      </c>
      <c r="IA65" t="s">
        <v>418</v>
      </c>
      <c r="IB65" t="s">
        <v>418</v>
      </c>
      <c r="IC65" t="s">
        <v>418</v>
      </c>
      <c r="ID65" t="s">
        <v>418</v>
      </c>
      <c r="IE65">
        <v>0</v>
      </c>
      <c r="IF65">
        <v>100</v>
      </c>
      <c r="IG65">
        <v>100</v>
      </c>
      <c r="IH65">
        <v>-0.30099999999999999</v>
      </c>
      <c r="II65">
        <v>-0.32900000000000001</v>
      </c>
      <c r="IJ65">
        <v>-0.30113199999999912</v>
      </c>
      <c r="IK65">
        <v>0</v>
      </c>
      <c r="IL65">
        <v>0</v>
      </c>
      <c r="IM65">
        <v>0</v>
      </c>
      <c r="IN65">
        <v>-0.32898499999999592</v>
      </c>
      <c r="IO65">
        <v>0</v>
      </c>
      <c r="IP65">
        <v>0</v>
      </c>
      <c r="IQ65">
        <v>0</v>
      </c>
      <c r="IR65">
        <v>-1</v>
      </c>
      <c r="IS65">
        <v>-1</v>
      </c>
      <c r="IT65">
        <v>-1</v>
      </c>
      <c r="IU65">
        <v>-1</v>
      </c>
      <c r="IV65">
        <v>0.7</v>
      </c>
      <c r="IW65">
        <v>0.5</v>
      </c>
      <c r="IX65">
        <v>0.164795</v>
      </c>
      <c r="IY65">
        <v>2.5549300000000001</v>
      </c>
      <c r="IZ65">
        <v>1.49414</v>
      </c>
      <c r="JA65">
        <v>2.2875999999999999</v>
      </c>
      <c r="JB65">
        <v>1.54419</v>
      </c>
      <c r="JC65">
        <v>2.5305200000000001</v>
      </c>
      <c r="JD65">
        <v>42.457099999999997</v>
      </c>
      <c r="JE65">
        <v>15.7256</v>
      </c>
      <c r="JF65">
        <v>18</v>
      </c>
      <c r="JG65">
        <v>521.399</v>
      </c>
      <c r="JH65">
        <v>419.07499999999999</v>
      </c>
      <c r="JI65">
        <v>25.136199999999999</v>
      </c>
      <c r="JJ65">
        <v>34.241100000000003</v>
      </c>
      <c r="JK65">
        <v>29.998799999999999</v>
      </c>
      <c r="JL65">
        <v>34.265700000000002</v>
      </c>
      <c r="JM65">
        <v>34.244700000000002</v>
      </c>
      <c r="JN65">
        <v>3.3679100000000002</v>
      </c>
      <c r="JO65">
        <v>21.7089</v>
      </c>
      <c r="JP65">
        <v>19.861899999999999</v>
      </c>
      <c r="JQ65">
        <v>25.206199999999999</v>
      </c>
      <c r="JR65">
        <v>10</v>
      </c>
      <c r="JS65">
        <v>21.94</v>
      </c>
      <c r="JT65">
        <v>98.2744</v>
      </c>
      <c r="JU65">
        <v>97.129800000000003</v>
      </c>
    </row>
    <row r="66" spans="1:281" x14ac:dyDescent="0.25">
      <c r="A66">
        <v>64</v>
      </c>
      <c r="B66">
        <v>1693337695</v>
      </c>
      <c r="C66">
        <v>16288.400000095369</v>
      </c>
      <c r="D66" t="s">
        <v>671</v>
      </c>
      <c r="E66" t="s">
        <v>672</v>
      </c>
      <c r="F66" t="s">
        <v>411</v>
      </c>
      <c r="G66" t="s">
        <v>493</v>
      </c>
      <c r="H66" t="s">
        <v>637</v>
      </c>
      <c r="I66" t="s">
        <v>31</v>
      </c>
      <c r="J66">
        <v>1693337695</v>
      </c>
      <c r="K66">
        <f t="shared" si="46"/>
        <v>5.6782347792489274E-3</v>
      </c>
      <c r="L66">
        <f t="shared" si="47"/>
        <v>5.6782347792489274</v>
      </c>
      <c r="M66">
        <f t="shared" si="48"/>
        <v>37.423975786486366</v>
      </c>
      <c r="N66">
        <f t="shared" si="49"/>
        <v>352.68099999999998</v>
      </c>
      <c r="O66">
        <f t="shared" si="50"/>
        <v>189.87972681202106</v>
      </c>
      <c r="P66">
        <f t="shared" si="51"/>
        <v>18.793982058304604</v>
      </c>
      <c r="Q66">
        <f t="shared" si="52"/>
        <v>34.907783456349996</v>
      </c>
      <c r="R66">
        <f t="shared" si="53"/>
        <v>0.40835486145393857</v>
      </c>
      <c r="S66">
        <f t="shared" si="54"/>
        <v>2.9119811901811015</v>
      </c>
      <c r="T66">
        <f t="shared" si="55"/>
        <v>0.37900123161685989</v>
      </c>
      <c r="U66">
        <f t="shared" si="56"/>
        <v>0.23933700651047951</v>
      </c>
      <c r="V66">
        <f t="shared" si="57"/>
        <v>344.37699967092402</v>
      </c>
      <c r="W66">
        <f t="shared" si="58"/>
        <v>30.932541605600306</v>
      </c>
      <c r="X66">
        <f t="shared" si="59"/>
        <v>29.990100000000002</v>
      </c>
      <c r="Y66">
        <f t="shared" si="60"/>
        <v>4.2580276768974503</v>
      </c>
      <c r="Z66">
        <f t="shared" si="61"/>
        <v>64.964239158083913</v>
      </c>
      <c r="AA66">
        <f t="shared" si="62"/>
        <v>2.8282073728999997</v>
      </c>
      <c r="AB66">
        <f t="shared" si="63"/>
        <v>4.3534834080298284</v>
      </c>
      <c r="AC66">
        <f t="shared" si="64"/>
        <v>1.4298203039974506</v>
      </c>
      <c r="AD66">
        <f t="shared" si="65"/>
        <v>-250.41015376487769</v>
      </c>
      <c r="AE66">
        <f t="shared" si="66"/>
        <v>60.676917116029031</v>
      </c>
      <c r="AF66">
        <f t="shared" si="67"/>
        <v>4.6415428903816887</v>
      </c>
      <c r="AG66">
        <f t="shared" si="68"/>
        <v>159.28530591245703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51764.098379939649</v>
      </c>
      <c r="AM66" t="s">
        <v>413</v>
      </c>
      <c r="AN66">
        <v>10366.9</v>
      </c>
      <c r="AO66">
        <v>993.59653846153856</v>
      </c>
      <c r="AP66">
        <v>3431.87</v>
      </c>
      <c r="AQ66">
        <f t="shared" si="72"/>
        <v>0.71047955241266758</v>
      </c>
      <c r="AR66">
        <v>-3.9894345373445681</v>
      </c>
      <c r="AS66" t="s">
        <v>673</v>
      </c>
      <c r="AT66">
        <v>10281.1</v>
      </c>
      <c r="AU66">
        <v>761.60730769230781</v>
      </c>
      <c r="AV66">
        <v>1026.94533703809</v>
      </c>
      <c r="AW66">
        <f t="shared" si="73"/>
        <v>0.2583760009184799</v>
      </c>
      <c r="AX66">
        <v>0.5</v>
      </c>
      <c r="AY66">
        <f t="shared" si="74"/>
        <v>1513.2182998354619</v>
      </c>
      <c r="AZ66">
        <f t="shared" si="75"/>
        <v>37.423975786486366</v>
      </c>
      <c r="BA66">
        <f t="shared" si="76"/>
        <v>195.48964641407395</v>
      </c>
      <c r="BB66">
        <f t="shared" si="77"/>
        <v>2.736776995647883E-2</v>
      </c>
      <c r="BC66">
        <f t="shared" si="78"/>
        <v>2.341823441058879</v>
      </c>
      <c r="BD66">
        <f t="shared" si="79"/>
        <v>592.12939295942624</v>
      </c>
      <c r="BE66" t="s">
        <v>674</v>
      </c>
      <c r="BF66">
        <v>560.41999999999996</v>
      </c>
      <c r="BG66">
        <f t="shared" si="80"/>
        <v>560.41999999999996</v>
      </c>
      <c r="BH66">
        <f t="shared" si="81"/>
        <v>0.4542844883873175</v>
      </c>
      <c r="BI66">
        <f t="shared" si="82"/>
        <v>0.56875373807214746</v>
      </c>
      <c r="BJ66">
        <f t="shared" si="83"/>
        <v>0.83752970205363497</v>
      </c>
      <c r="BK66">
        <f t="shared" si="84"/>
        <v>7.9564494276069553</v>
      </c>
      <c r="BL66">
        <f t="shared" si="85"/>
        <v>0.98632278163110154</v>
      </c>
      <c r="BM66">
        <f t="shared" si="86"/>
        <v>0.41851091326340767</v>
      </c>
      <c r="BN66">
        <f t="shared" si="87"/>
        <v>0.58148908673659228</v>
      </c>
      <c r="BO66">
        <v>16656</v>
      </c>
      <c r="BP66">
        <v>290.00000000000011</v>
      </c>
      <c r="BQ66">
        <v>947.17</v>
      </c>
      <c r="BR66">
        <v>245</v>
      </c>
      <c r="BS66">
        <v>10281.1</v>
      </c>
      <c r="BT66">
        <v>946.15</v>
      </c>
      <c r="BU66">
        <v>1.02</v>
      </c>
      <c r="BV66">
        <v>300.00000000000011</v>
      </c>
      <c r="BW66">
        <v>38.4</v>
      </c>
      <c r="BX66">
        <v>1026.94533703809</v>
      </c>
      <c r="BY66">
        <v>1.331960772795433</v>
      </c>
      <c r="BZ66">
        <v>-83.071271510472727</v>
      </c>
      <c r="CA66">
        <v>1.121143905348613</v>
      </c>
      <c r="CB66">
        <v>0.99492577502775392</v>
      </c>
      <c r="CC66">
        <v>-1.120301601779756E-2</v>
      </c>
      <c r="CD66">
        <v>289.99999999999989</v>
      </c>
      <c r="CE66">
        <v>932.33</v>
      </c>
      <c r="CF66">
        <v>665</v>
      </c>
      <c r="CG66">
        <v>10263.4</v>
      </c>
      <c r="CH66">
        <v>946.01</v>
      </c>
      <c r="CI66">
        <v>-13.68</v>
      </c>
      <c r="CW66">
        <f t="shared" si="88"/>
        <v>1800.04</v>
      </c>
      <c r="CX66">
        <f t="shared" si="89"/>
        <v>1513.2182998354619</v>
      </c>
      <c r="CY66">
        <f t="shared" si="90"/>
        <v>0.84065815194965776</v>
      </c>
      <c r="CZ66">
        <f t="shared" si="91"/>
        <v>0.19131630389931559</v>
      </c>
      <c r="DA66">
        <v>6</v>
      </c>
      <c r="DB66">
        <v>0.5</v>
      </c>
      <c r="DC66" t="s">
        <v>414</v>
      </c>
      <c r="DD66">
        <v>2</v>
      </c>
      <c r="DE66">
        <v>1693337695</v>
      </c>
      <c r="DF66">
        <v>352.68099999999998</v>
      </c>
      <c r="DG66">
        <v>399.95299999999997</v>
      </c>
      <c r="DH66">
        <v>28.574000000000002</v>
      </c>
      <c r="DI66">
        <v>21.9604</v>
      </c>
      <c r="DJ66">
        <v>353.16699999999997</v>
      </c>
      <c r="DK66">
        <v>28.8949</v>
      </c>
      <c r="DL66">
        <v>500.42200000000003</v>
      </c>
      <c r="DM66">
        <v>98.878299999999996</v>
      </c>
      <c r="DN66">
        <v>0.10005</v>
      </c>
      <c r="DO66">
        <v>30.3766</v>
      </c>
      <c r="DP66">
        <v>29.990100000000002</v>
      </c>
      <c r="DQ66">
        <v>999.9</v>
      </c>
      <c r="DR66">
        <v>0</v>
      </c>
      <c r="DS66">
        <v>0</v>
      </c>
      <c r="DT66">
        <v>10012.5</v>
      </c>
      <c r="DU66">
        <v>0</v>
      </c>
      <c r="DV66">
        <v>1324.92</v>
      </c>
      <c r="DW66">
        <v>-47.272199999999998</v>
      </c>
      <c r="DX66">
        <v>363.05500000000001</v>
      </c>
      <c r="DY66">
        <v>408.93400000000003</v>
      </c>
      <c r="DZ66">
        <v>6.6135700000000002</v>
      </c>
      <c r="EA66">
        <v>399.95299999999997</v>
      </c>
      <c r="EB66">
        <v>21.9604</v>
      </c>
      <c r="EC66">
        <v>2.8253499999999998</v>
      </c>
      <c r="ED66">
        <v>2.1714099999999998</v>
      </c>
      <c r="EE66">
        <v>23.032900000000001</v>
      </c>
      <c r="EF66">
        <v>18.7529</v>
      </c>
      <c r="EG66">
        <v>1800.04</v>
      </c>
      <c r="EH66">
        <v>0.97799800000000003</v>
      </c>
      <c r="EI66">
        <v>2.2002000000000001E-2</v>
      </c>
      <c r="EJ66">
        <v>0</v>
      </c>
      <c r="EK66">
        <v>759.68299999999999</v>
      </c>
      <c r="EL66">
        <v>5.0002500000000003</v>
      </c>
      <c r="EM66">
        <v>21315.599999999999</v>
      </c>
      <c r="EN66">
        <v>14822.4</v>
      </c>
      <c r="EO66">
        <v>48.125</v>
      </c>
      <c r="EP66">
        <v>49.186999999999998</v>
      </c>
      <c r="EQ66">
        <v>48.875</v>
      </c>
      <c r="ER66">
        <v>48.125</v>
      </c>
      <c r="ES66">
        <v>49.25</v>
      </c>
      <c r="ET66">
        <v>1755.55</v>
      </c>
      <c r="EU66">
        <v>39.49</v>
      </c>
      <c r="EV66">
        <v>0</v>
      </c>
      <c r="EW66">
        <v>180.79999995231631</v>
      </c>
      <c r="EX66">
        <v>0</v>
      </c>
      <c r="EY66">
        <v>761.60730769230781</v>
      </c>
      <c r="EZ66">
        <v>-18.4466324592454</v>
      </c>
      <c r="FA66">
        <v>-259.12820467945608</v>
      </c>
      <c r="FB66">
        <v>21340.72692307692</v>
      </c>
      <c r="FC66">
        <v>15</v>
      </c>
      <c r="FD66">
        <v>1693337625</v>
      </c>
      <c r="FE66" t="s">
        <v>675</v>
      </c>
      <c r="FF66">
        <v>1693337611.5</v>
      </c>
      <c r="FG66">
        <v>1693337625</v>
      </c>
      <c r="FH66">
        <v>72</v>
      </c>
      <c r="FI66">
        <v>-0.185</v>
      </c>
      <c r="FJ66">
        <v>8.0000000000000002E-3</v>
      </c>
      <c r="FK66">
        <v>-0.48599999999999999</v>
      </c>
      <c r="FL66">
        <v>-0.32100000000000001</v>
      </c>
      <c r="FM66">
        <v>400</v>
      </c>
      <c r="FN66">
        <v>22</v>
      </c>
      <c r="FO66">
        <v>0.22</v>
      </c>
      <c r="FP66">
        <v>0.05</v>
      </c>
      <c r="FQ66">
        <v>37.392573516874329</v>
      </c>
      <c r="FR66">
        <v>0.68374005908741642</v>
      </c>
      <c r="FS66">
        <v>9.175963925741483E-2</v>
      </c>
      <c r="FT66">
        <v>1</v>
      </c>
      <c r="FU66">
        <v>0.41397767688271347</v>
      </c>
      <c r="FV66">
        <v>-2.2293445174410929E-2</v>
      </c>
      <c r="FW66">
        <v>1.960505024918225E-3</v>
      </c>
      <c r="FX66">
        <v>1</v>
      </c>
      <c r="FY66">
        <v>2</v>
      </c>
      <c r="FZ66">
        <v>2</v>
      </c>
      <c r="GA66" t="s">
        <v>415</v>
      </c>
      <c r="GB66">
        <v>2.9180999999999999</v>
      </c>
      <c r="GC66">
        <v>2.83006</v>
      </c>
      <c r="GD66">
        <v>8.1208699999999995E-2</v>
      </c>
      <c r="GE66">
        <v>8.7775599999999995E-2</v>
      </c>
      <c r="GF66">
        <v>0.13427900000000001</v>
      </c>
      <c r="GG66">
        <v>0.10666399999999999</v>
      </c>
      <c r="GH66">
        <v>23912.2</v>
      </c>
      <c r="GI66">
        <v>29090.5</v>
      </c>
      <c r="GJ66">
        <v>23435.7</v>
      </c>
      <c r="GK66">
        <v>29204.3</v>
      </c>
      <c r="GL66">
        <v>27686.5</v>
      </c>
      <c r="GM66">
        <v>36967.300000000003</v>
      </c>
      <c r="GN66">
        <v>33145.199999999997</v>
      </c>
      <c r="GO66">
        <v>43147.9</v>
      </c>
      <c r="GP66">
        <v>1.9595</v>
      </c>
      <c r="GQ66">
        <v>1.7616000000000001</v>
      </c>
      <c r="GR66">
        <v>2.3841899999999999E-2</v>
      </c>
      <c r="GS66">
        <v>0</v>
      </c>
      <c r="GT66">
        <v>29.602</v>
      </c>
      <c r="GU66">
        <v>999.9</v>
      </c>
      <c r="GV66">
        <v>33.5</v>
      </c>
      <c r="GW66">
        <v>41.6</v>
      </c>
      <c r="GX66">
        <v>27.347000000000001</v>
      </c>
      <c r="GY66">
        <v>61.050699999999999</v>
      </c>
      <c r="GZ66">
        <v>37.451900000000002</v>
      </c>
      <c r="HA66">
        <v>1</v>
      </c>
      <c r="HB66">
        <v>0.54630100000000004</v>
      </c>
      <c r="HC66">
        <v>2.8531499999999999</v>
      </c>
      <c r="HD66">
        <v>20.293199999999999</v>
      </c>
      <c r="HE66">
        <v>5.2083000000000004</v>
      </c>
      <c r="HF66">
        <v>11.874599999999999</v>
      </c>
      <c r="HG66">
        <v>4.9843999999999999</v>
      </c>
      <c r="HH66">
        <v>3.2839999999999998</v>
      </c>
      <c r="HI66">
        <v>9999</v>
      </c>
      <c r="HJ66">
        <v>9999</v>
      </c>
      <c r="HK66">
        <v>9999</v>
      </c>
      <c r="HL66">
        <v>999.9</v>
      </c>
      <c r="HM66">
        <v>1.8545499999999999</v>
      </c>
      <c r="HN66">
        <v>1.86066</v>
      </c>
      <c r="HO66">
        <v>1.85806</v>
      </c>
      <c r="HP66">
        <v>1.8591299999999999</v>
      </c>
      <c r="HQ66">
        <v>1.8585199999999999</v>
      </c>
      <c r="HR66">
        <v>1.8590899999999999</v>
      </c>
      <c r="HS66">
        <v>1.8574299999999999</v>
      </c>
      <c r="HT66">
        <v>1.8608100000000001</v>
      </c>
      <c r="HU66">
        <v>5</v>
      </c>
      <c r="HV66">
        <v>0</v>
      </c>
      <c r="HW66">
        <v>0</v>
      </c>
      <c r="HX66">
        <v>0</v>
      </c>
      <c r="HY66" t="s">
        <v>416</v>
      </c>
      <c r="HZ66" t="s">
        <v>417</v>
      </c>
      <c r="IA66" t="s">
        <v>418</v>
      </c>
      <c r="IB66" t="s">
        <v>418</v>
      </c>
      <c r="IC66" t="s">
        <v>418</v>
      </c>
      <c r="ID66" t="s">
        <v>418</v>
      </c>
      <c r="IE66">
        <v>0</v>
      </c>
      <c r="IF66">
        <v>100</v>
      </c>
      <c r="IG66">
        <v>100</v>
      </c>
      <c r="IH66">
        <v>-0.48599999999999999</v>
      </c>
      <c r="II66">
        <v>-0.32090000000000002</v>
      </c>
      <c r="IJ66">
        <v>-0.48610000000002168</v>
      </c>
      <c r="IK66">
        <v>0</v>
      </c>
      <c r="IL66">
        <v>0</v>
      </c>
      <c r="IM66">
        <v>0</v>
      </c>
      <c r="IN66">
        <v>-0.32088095238094988</v>
      </c>
      <c r="IO66">
        <v>0</v>
      </c>
      <c r="IP66">
        <v>0</v>
      </c>
      <c r="IQ66">
        <v>0</v>
      </c>
      <c r="IR66">
        <v>-1</v>
      </c>
      <c r="IS66">
        <v>-1</v>
      </c>
      <c r="IT66">
        <v>-1</v>
      </c>
      <c r="IU66">
        <v>-1</v>
      </c>
      <c r="IV66">
        <v>1.4</v>
      </c>
      <c r="IW66">
        <v>1.2</v>
      </c>
      <c r="IX66">
        <v>1.00464</v>
      </c>
      <c r="IY66">
        <v>2.4902299999999999</v>
      </c>
      <c r="IZ66">
        <v>1.49414</v>
      </c>
      <c r="JA66">
        <v>2.2888199999999999</v>
      </c>
      <c r="JB66">
        <v>1.54419</v>
      </c>
      <c r="JC66">
        <v>2.5524900000000001</v>
      </c>
      <c r="JD66">
        <v>42.218000000000004</v>
      </c>
      <c r="JE66">
        <v>15.6906</v>
      </c>
      <c r="JF66">
        <v>18</v>
      </c>
      <c r="JG66">
        <v>522.59900000000005</v>
      </c>
      <c r="JH66">
        <v>421.67500000000001</v>
      </c>
      <c r="JI66">
        <v>25.528700000000001</v>
      </c>
      <c r="JJ66">
        <v>34.132899999999999</v>
      </c>
      <c r="JK66">
        <v>29.9999</v>
      </c>
      <c r="JL66">
        <v>34.180999999999997</v>
      </c>
      <c r="JM66">
        <v>34.167999999999999</v>
      </c>
      <c r="JN66">
        <v>20.185400000000001</v>
      </c>
      <c r="JO66">
        <v>20.921800000000001</v>
      </c>
      <c r="JP66">
        <v>19.166499999999999</v>
      </c>
      <c r="JQ66">
        <v>25.529800000000002</v>
      </c>
      <c r="JR66">
        <v>400</v>
      </c>
      <c r="JS66">
        <v>22.001300000000001</v>
      </c>
      <c r="JT66">
        <v>98.294499999999999</v>
      </c>
      <c r="JU66">
        <v>97.152500000000003</v>
      </c>
    </row>
    <row r="67" spans="1:281" x14ac:dyDescent="0.25">
      <c r="A67">
        <v>65</v>
      </c>
      <c r="B67">
        <v>1693337852.5</v>
      </c>
      <c r="C67">
        <v>16445.900000095371</v>
      </c>
      <c r="D67" t="s">
        <v>676</v>
      </c>
      <c r="E67" t="s">
        <v>677</v>
      </c>
      <c r="F67" t="s">
        <v>411</v>
      </c>
      <c r="G67" t="s">
        <v>493</v>
      </c>
      <c r="H67" t="s">
        <v>637</v>
      </c>
      <c r="I67" t="s">
        <v>31</v>
      </c>
      <c r="J67">
        <v>1693337852.5</v>
      </c>
      <c r="K67">
        <f t="shared" ref="K67:K86" si="92">(L67)/1000</f>
        <v>5.3827918097856991E-3</v>
      </c>
      <c r="L67">
        <f t="shared" ref="L67:L86" si="93">1000*DL67*AJ67*(DH67-DI67)/(100*DA67*(1000-AJ67*DH67))</f>
        <v>5.382791809785699</v>
      </c>
      <c r="M67">
        <f t="shared" ref="M67:M86" si="94">DL67*AJ67*(DG67-DF67*(1000-AJ67*DI67)/(1000-AJ67*DH67))/(100*DA67)</f>
        <v>40.361379806082972</v>
      </c>
      <c r="N67">
        <f t="shared" ref="N67:N86" si="95">DF67 - IF(AJ67&gt;1, M67*DA67*100/(AL67*DT67), 0)</f>
        <v>349.36200000000002</v>
      </c>
      <c r="O67">
        <f t="shared" ref="O67:O86" si="96">((U67-K67/2)*N67-M67)/(U67+K67/2)</f>
        <v>165.06075549185542</v>
      </c>
      <c r="P67">
        <f t="shared" ref="P67:P86" si="97">O67*(DM67+DN67)/1000</f>
        <v>16.337178864266431</v>
      </c>
      <c r="Q67">
        <f t="shared" ref="Q67:Q86" si="98">(DF67 - IF(AJ67&gt;1, M67*DA67*100/(AL67*DT67), 0))*(DM67+DN67)/1000</f>
        <v>34.578719001800998</v>
      </c>
      <c r="R67">
        <f t="shared" ref="R67:R86" si="99">2/((1/T67-1/S67)+SIGN(T67)*SQRT((1/T67-1/S67)*(1/T67-1/S67) + 4*DB67/((DB67+1)*(DB67+1))*(2*1/T67*1/S67-1/S67*1/S67)))</f>
        <v>0.38509401409322347</v>
      </c>
      <c r="S67">
        <f t="shared" ref="S67:S86" si="100">IF(LEFT(DC67,1)&lt;&gt;"0",IF(LEFT(DC67,1)="1",3,DD67),$D$5+$E$5*(DT67*DM67/($K$5*1000))+$F$5*(DT67*DM67/($K$5*1000))*MAX(MIN(DA67,$J$5),$I$5)*MAX(MIN(DA67,$J$5),$I$5)+$G$5*MAX(MIN(DA67,$J$5),$I$5)*(DT67*DM67/($K$5*1000))+$H$5*(DT67*DM67/($K$5*1000))*(DT67*DM67/($K$5*1000)))</f>
        <v>2.9132676252891661</v>
      </c>
      <c r="T67">
        <f t="shared" ref="T67:T86" si="101">K67*(1000-(1000*0.61365*EXP(17.502*X67/(240.97+X67))/(DM67+DN67)+DH67)/2)/(1000*0.61365*EXP(17.502*X67/(240.97+X67))/(DM67+DN67)-DH67)</f>
        <v>0.3588848923392195</v>
      </c>
      <c r="U67">
        <f t="shared" ref="U67:U86" si="102">1/((DB67+1)/(R67/1.6)+1/(S67/1.37)) + DB67/((DB67+1)/(R67/1.6) + DB67/(S67/1.37))</f>
        <v>0.22650902447787113</v>
      </c>
      <c r="V67">
        <f t="shared" ref="V67:V86" si="103">(CW67*CZ67)</f>
        <v>344.38209967101284</v>
      </c>
      <c r="W67">
        <f t="shared" ref="W67:W86" si="104">(DO67+(V67+2*0.95*0.0000000567*(((DO67+$B$7)+273)^4-(DO67+273)^4)-44100*K67)/(1.84*29.3*S67+8*0.95*0.0000000567*(DO67+273)^3))</f>
        <v>30.940027472715315</v>
      </c>
      <c r="X67">
        <f t="shared" ref="X67:X86" si="105">($C$7*DP67+$D$7*DQ67+$E$7*W67)</f>
        <v>30.008900000000001</v>
      </c>
      <c r="Y67">
        <f t="shared" ref="Y67:Y86" si="106">0.61365*EXP(17.502*X67/(240.97+X67))</f>
        <v>4.2626282366619623</v>
      </c>
      <c r="Z67">
        <f t="shared" ref="Z67:Z86" si="107">(AA67/AB67*100)</f>
        <v>65.294604872939914</v>
      </c>
      <c r="AA67">
        <f t="shared" ref="AA67:AA86" si="108">DH67*(DM67+DN67)/1000</f>
        <v>2.8313094155108995</v>
      </c>
      <c r="AB67">
        <f t="shared" ref="AB67:AB86" si="109">0.61365*EXP(17.502*DO67/(240.97+DO67))</f>
        <v>4.336207288520221</v>
      </c>
      <c r="AC67">
        <f t="shared" ref="AC67:AC86" si="110">(Y67-DH67*(DM67+DN67)/1000)</f>
        <v>1.4313188211510628</v>
      </c>
      <c r="AD67">
        <f t="shared" ref="AD67:AD86" si="111">(-K67*44100)</f>
        <v>-237.38111881154933</v>
      </c>
      <c r="AE67">
        <f t="shared" ref="AE67:AE86" si="112">2*29.3*S67*0.92*(DO67-X67)</f>
        <v>46.851023121212229</v>
      </c>
      <c r="AF67">
        <f t="shared" ref="AF67:AF86" si="113">2*0.95*0.0000000567*(((DO67+$B$7)+273)^4-(X67+273)^4)</f>
        <v>3.5814370686773609</v>
      </c>
      <c r="AG67">
        <f t="shared" ref="AG67:AG86" si="114">V67+AF67+AD67+AE67</f>
        <v>157.43344104935309</v>
      </c>
      <c r="AH67">
        <v>0</v>
      </c>
      <c r="AI67">
        <v>0</v>
      </c>
      <c r="AJ67">
        <f t="shared" ref="AJ67:AJ86" si="115">IF(AH67*$H$13&gt;=AL67,1,(AL67/(AL67-AH67*$H$13)))</f>
        <v>1</v>
      </c>
      <c r="AK67">
        <f t="shared" ref="AK67:AK86" si="116">(AJ67-1)*100</f>
        <v>0</v>
      </c>
      <c r="AL67">
        <f t="shared" ref="AL67:AL86" si="117">MAX(0,($B$13+$C$13*DT67)/(1+$D$13*DT67)*DM67/(DO67+273)*$E$13)</f>
        <v>51812.443917184799</v>
      </c>
      <c r="AM67" t="s">
        <v>413</v>
      </c>
      <c r="AN67">
        <v>10366.9</v>
      </c>
      <c r="AO67">
        <v>993.59653846153856</v>
      </c>
      <c r="AP67">
        <v>3431.87</v>
      </c>
      <c r="AQ67">
        <f t="shared" ref="AQ67:AQ86" si="118">1-AO67/AP67</f>
        <v>0.71047955241266758</v>
      </c>
      <c r="AR67">
        <v>-3.9894345373445681</v>
      </c>
      <c r="AS67" t="s">
        <v>678</v>
      </c>
      <c r="AT67">
        <v>10299.6</v>
      </c>
      <c r="AU67">
        <v>761.81844000000001</v>
      </c>
      <c r="AV67">
        <v>1044.811542248467</v>
      </c>
      <c r="AW67">
        <f t="shared" ref="AW67:AW86" si="119">1-AU67/AV67</f>
        <v>0.27085564315212007</v>
      </c>
      <c r="AX67">
        <v>0.5</v>
      </c>
      <c r="AY67">
        <f t="shared" ref="AY67:AY86" si="120">CX67</f>
        <v>1513.2431998355062</v>
      </c>
      <c r="AZ67">
        <f t="shared" ref="AZ67:AZ86" si="121">M67</f>
        <v>40.361379806082972</v>
      </c>
      <c r="BA67">
        <f t="shared" ref="BA67:BA86" si="122">AW67*AX67*AY67</f>
        <v>204.9352300685091</v>
      </c>
      <c r="BB67">
        <f t="shared" ref="BB67:BB86" si="123">(AZ67-AR67)/AY67</f>
        <v>2.9308451112318629E-2</v>
      </c>
      <c r="BC67">
        <f t="shared" ref="BC67:BC86" si="124">(AP67-AV67)/AV67</f>
        <v>2.2846784910267246</v>
      </c>
      <c r="BD67">
        <f t="shared" ref="BD67:BD86" si="125">AO67/(AQ67+AO67/AV67)</f>
        <v>598.02574670573472</v>
      </c>
      <c r="BE67" t="s">
        <v>679</v>
      </c>
      <c r="BF67">
        <v>565.35</v>
      </c>
      <c r="BG67">
        <f t="shared" ref="BG67:BG86" si="126">IF(BF67&lt;&gt;0, BF67, BD67)</f>
        <v>565.35</v>
      </c>
      <c r="BH67">
        <f t="shared" ref="BH67:BH86" si="127">1-BG67/AV67</f>
        <v>0.4588976316404878</v>
      </c>
      <c r="BI67">
        <f t="shared" ref="BI67:BI86" si="128">(AV67-AU67)/(AV67-BG67)</f>
        <v>0.59023107655590468</v>
      </c>
      <c r="BJ67">
        <f t="shared" ref="BJ67:BJ86" si="129">(AP67-AV67)/(AP67-BG67)</f>
        <v>0.83273741601367957</v>
      </c>
      <c r="BK67">
        <f t="shared" ref="BK67:BK86" si="130">(AV67-AU67)/(AV67-AO67)</f>
        <v>5.525589794463607</v>
      </c>
      <c r="BL67">
        <f t="shared" ref="BL67:BL86" si="131">(AP67-AV67)/(AP67-AO67)</f>
        <v>0.97899538152926702</v>
      </c>
      <c r="BM67">
        <f t="shared" ref="BM67:BM86" si="132">(BI67*BG67/AU67)</f>
        <v>0.43801399599999274</v>
      </c>
      <c r="BN67">
        <f t="shared" ref="BN67:BN86" si="133">(1-BM67)</f>
        <v>0.56198600400000731</v>
      </c>
      <c r="BO67">
        <v>16658</v>
      </c>
      <c r="BP67">
        <v>290.00000000000011</v>
      </c>
      <c r="BQ67">
        <v>971.87</v>
      </c>
      <c r="BR67">
        <v>145</v>
      </c>
      <c r="BS67">
        <v>10299.6</v>
      </c>
      <c r="BT67">
        <v>967.04</v>
      </c>
      <c r="BU67">
        <v>4.83</v>
      </c>
      <c r="BV67">
        <v>300.00000000000011</v>
      </c>
      <c r="BW67">
        <v>38.4</v>
      </c>
      <c r="BX67">
        <v>1044.811542248467</v>
      </c>
      <c r="BY67">
        <v>1.1988974720948939</v>
      </c>
      <c r="BZ67">
        <v>-80.106698516308612</v>
      </c>
      <c r="CA67">
        <v>1.009586021261986</v>
      </c>
      <c r="CB67">
        <v>0.99557228336038606</v>
      </c>
      <c r="CC67">
        <v>-1.12076703003337E-2</v>
      </c>
      <c r="CD67">
        <v>289.99999999999989</v>
      </c>
      <c r="CE67">
        <v>961.3</v>
      </c>
      <c r="CF67">
        <v>645</v>
      </c>
      <c r="CG67">
        <v>10269.5</v>
      </c>
      <c r="CH67">
        <v>966.81</v>
      </c>
      <c r="CI67">
        <v>-5.51</v>
      </c>
      <c r="CW67">
        <f t="shared" ref="CW67:CW86" si="134">$B$11*DU67+$C$11*DV67+$F$11*EG67*(1-EJ67)</f>
        <v>1800.07</v>
      </c>
      <c r="CX67">
        <f t="shared" ref="CX67:CX86" si="135">CW67*CY67</f>
        <v>1513.2431998355062</v>
      </c>
      <c r="CY67">
        <f t="shared" ref="CY67:CY86" si="136">($B$11*$D$9+$C$11*$D$9+$F$11*((ET67+EL67)/MAX(ET67+EL67+EU67, 0.1)*$I$9+EU67/MAX(ET67+EL67+EU67, 0.1)*$J$9))/($B$11+$C$11+$F$11)</f>
        <v>0.84065797432072431</v>
      </c>
      <c r="CZ67">
        <f t="shared" ref="CZ67:CZ86" si="137">($B$11*$K$9+$C$11*$K$9+$F$11*((ET67+EL67)/MAX(ET67+EL67+EU67, 0.1)*$P$9+EU67/MAX(ET67+EL67+EU67, 0.1)*$Q$9))/($B$11+$C$11+$F$11)</f>
        <v>0.19131594864144885</v>
      </c>
      <c r="DA67">
        <v>6</v>
      </c>
      <c r="DB67">
        <v>0.5</v>
      </c>
      <c r="DC67" t="s">
        <v>414</v>
      </c>
      <c r="DD67">
        <v>2</v>
      </c>
      <c r="DE67">
        <v>1693337852.5</v>
      </c>
      <c r="DF67">
        <v>349.36200000000002</v>
      </c>
      <c r="DG67">
        <v>400.02100000000002</v>
      </c>
      <c r="DH67">
        <v>28.605799999999999</v>
      </c>
      <c r="DI67">
        <v>22.335100000000001</v>
      </c>
      <c r="DJ67">
        <v>349.89600000000002</v>
      </c>
      <c r="DK67">
        <v>28.924199999999999</v>
      </c>
      <c r="DL67">
        <v>500.30900000000003</v>
      </c>
      <c r="DM67">
        <v>98.876999999999995</v>
      </c>
      <c r="DN67">
        <v>9.9760500000000002E-2</v>
      </c>
      <c r="DO67">
        <v>30.307200000000002</v>
      </c>
      <c r="DP67">
        <v>30.008900000000001</v>
      </c>
      <c r="DQ67">
        <v>999.9</v>
      </c>
      <c r="DR67">
        <v>0</v>
      </c>
      <c r="DS67">
        <v>0</v>
      </c>
      <c r="DT67">
        <v>10020</v>
      </c>
      <c r="DU67">
        <v>0</v>
      </c>
      <c r="DV67">
        <v>1343.79</v>
      </c>
      <c r="DW67">
        <v>-50.658099999999997</v>
      </c>
      <c r="DX67">
        <v>359.65100000000001</v>
      </c>
      <c r="DY67">
        <v>409.15899999999999</v>
      </c>
      <c r="DZ67">
        <v>6.27074</v>
      </c>
      <c r="EA67">
        <v>400.02100000000002</v>
      </c>
      <c r="EB67">
        <v>22.335100000000001</v>
      </c>
      <c r="EC67">
        <v>2.8284600000000002</v>
      </c>
      <c r="ED67">
        <v>2.2084299999999999</v>
      </c>
      <c r="EE67">
        <v>23.051100000000002</v>
      </c>
      <c r="EF67">
        <v>19.023599999999998</v>
      </c>
      <c r="EG67">
        <v>1800.07</v>
      </c>
      <c r="EH67">
        <v>0.97800600000000004</v>
      </c>
      <c r="EI67">
        <v>2.1993499999999999E-2</v>
      </c>
      <c r="EJ67">
        <v>0</v>
      </c>
      <c r="EK67">
        <v>762.46900000000005</v>
      </c>
      <c r="EL67">
        <v>5.0002500000000003</v>
      </c>
      <c r="EM67">
        <v>21289</v>
      </c>
      <c r="EN67">
        <v>14822.6</v>
      </c>
      <c r="EO67">
        <v>47.561999999999998</v>
      </c>
      <c r="EP67">
        <v>48.625</v>
      </c>
      <c r="EQ67">
        <v>48.311999999999998</v>
      </c>
      <c r="ER67">
        <v>47.625</v>
      </c>
      <c r="ES67">
        <v>48.75</v>
      </c>
      <c r="ET67">
        <v>1755.59</v>
      </c>
      <c r="EU67">
        <v>39.479999999999997</v>
      </c>
      <c r="EV67">
        <v>0</v>
      </c>
      <c r="EW67">
        <v>155.4000000953674</v>
      </c>
      <c r="EX67">
        <v>0</v>
      </c>
      <c r="EY67">
        <v>761.81844000000001</v>
      </c>
      <c r="EZ67">
        <v>7.1837692248598053</v>
      </c>
      <c r="FA67">
        <v>-72.738461198830748</v>
      </c>
      <c r="FB67">
        <v>21295.62</v>
      </c>
      <c r="FC67">
        <v>15</v>
      </c>
      <c r="FD67">
        <v>1693337762.5</v>
      </c>
      <c r="FE67" t="s">
        <v>680</v>
      </c>
      <c r="FF67">
        <v>1693337751</v>
      </c>
      <c r="FG67">
        <v>1693337762.5</v>
      </c>
      <c r="FH67">
        <v>73</v>
      </c>
      <c r="FI67">
        <v>-4.8000000000000001E-2</v>
      </c>
      <c r="FJ67">
        <v>3.0000000000000001E-3</v>
      </c>
      <c r="FK67">
        <v>-0.53400000000000003</v>
      </c>
      <c r="FL67">
        <v>-0.318</v>
      </c>
      <c r="FM67">
        <v>400</v>
      </c>
      <c r="FN67">
        <v>22</v>
      </c>
      <c r="FO67">
        <v>0.17</v>
      </c>
      <c r="FP67">
        <v>0.05</v>
      </c>
      <c r="FQ67">
        <v>40.140380821285952</v>
      </c>
      <c r="FR67">
        <v>0.62560255363761863</v>
      </c>
      <c r="FS67">
        <v>8.3671639824032695E-2</v>
      </c>
      <c r="FT67">
        <v>1</v>
      </c>
      <c r="FU67">
        <v>0.38760108247071628</v>
      </c>
      <c r="FV67">
        <v>-2.581787656673629E-2</v>
      </c>
      <c r="FW67">
        <v>1.9797896692240521E-3</v>
      </c>
      <c r="FX67">
        <v>1</v>
      </c>
      <c r="FY67">
        <v>2</v>
      </c>
      <c r="FZ67">
        <v>2</v>
      </c>
      <c r="GA67" t="s">
        <v>415</v>
      </c>
      <c r="GB67">
        <v>2.9178999999999999</v>
      </c>
      <c r="GC67">
        <v>2.8298199999999998</v>
      </c>
      <c r="GD67">
        <v>8.0631400000000006E-2</v>
      </c>
      <c r="GE67">
        <v>8.7805400000000006E-2</v>
      </c>
      <c r="GF67">
        <v>0.13439499999999999</v>
      </c>
      <c r="GG67">
        <v>0.107962</v>
      </c>
      <c r="GH67">
        <v>23930.5</v>
      </c>
      <c r="GI67">
        <v>29092.400000000001</v>
      </c>
      <c r="GJ67">
        <v>23438.7</v>
      </c>
      <c r="GK67">
        <v>29206.799999999999</v>
      </c>
      <c r="GL67">
        <v>27686.3</v>
      </c>
      <c r="GM67">
        <v>36915.599999999999</v>
      </c>
      <c r="GN67">
        <v>33150</v>
      </c>
      <c r="GO67">
        <v>43150.7</v>
      </c>
      <c r="GP67">
        <v>1.9588000000000001</v>
      </c>
      <c r="GQ67">
        <v>1.7656000000000001</v>
      </c>
      <c r="GR67">
        <v>2.3379899999999999E-2</v>
      </c>
      <c r="GS67">
        <v>0</v>
      </c>
      <c r="GT67">
        <v>29.628399999999999</v>
      </c>
      <c r="GU67">
        <v>999.9</v>
      </c>
      <c r="GV67">
        <v>33.700000000000003</v>
      </c>
      <c r="GW67">
        <v>41.3</v>
      </c>
      <c r="GX67">
        <v>27.079000000000001</v>
      </c>
      <c r="GY67">
        <v>60.860700000000001</v>
      </c>
      <c r="GZ67">
        <v>37.728400000000001</v>
      </c>
      <c r="HA67">
        <v>1</v>
      </c>
      <c r="HB67">
        <v>0.54097600000000001</v>
      </c>
      <c r="HC67">
        <v>3.2185899999999998</v>
      </c>
      <c r="HD67">
        <v>20.286899999999999</v>
      </c>
      <c r="HE67">
        <v>5.2107000000000001</v>
      </c>
      <c r="HF67">
        <v>11.8758</v>
      </c>
      <c r="HG67">
        <v>4.9843999999999999</v>
      </c>
      <c r="HH67">
        <v>3.2839999999999998</v>
      </c>
      <c r="HI67">
        <v>9999</v>
      </c>
      <c r="HJ67">
        <v>9999</v>
      </c>
      <c r="HK67">
        <v>9999</v>
      </c>
      <c r="HL67">
        <v>999.9</v>
      </c>
      <c r="HM67">
        <v>1.8546100000000001</v>
      </c>
      <c r="HN67">
        <v>1.86066</v>
      </c>
      <c r="HO67">
        <v>1.85806</v>
      </c>
      <c r="HP67">
        <v>1.8592200000000001</v>
      </c>
      <c r="HQ67">
        <v>1.85856</v>
      </c>
      <c r="HR67">
        <v>1.8591299999999999</v>
      </c>
      <c r="HS67">
        <v>1.85745</v>
      </c>
      <c r="HT67">
        <v>1.8608100000000001</v>
      </c>
      <c r="HU67">
        <v>5</v>
      </c>
      <c r="HV67">
        <v>0</v>
      </c>
      <c r="HW67">
        <v>0</v>
      </c>
      <c r="HX67">
        <v>0</v>
      </c>
      <c r="HY67" t="s">
        <v>416</v>
      </c>
      <c r="HZ67" t="s">
        <v>417</v>
      </c>
      <c r="IA67" t="s">
        <v>418</v>
      </c>
      <c r="IB67" t="s">
        <v>418</v>
      </c>
      <c r="IC67" t="s">
        <v>418</v>
      </c>
      <c r="ID67" t="s">
        <v>418</v>
      </c>
      <c r="IE67">
        <v>0</v>
      </c>
      <c r="IF67">
        <v>100</v>
      </c>
      <c r="IG67">
        <v>100</v>
      </c>
      <c r="IH67">
        <v>-0.53400000000000003</v>
      </c>
      <c r="II67">
        <v>-0.31840000000000002</v>
      </c>
      <c r="IJ67">
        <v>-0.53361904761908363</v>
      </c>
      <c r="IK67">
        <v>0</v>
      </c>
      <c r="IL67">
        <v>0</v>
      </c>
      <c r="IM67">
        <v>0</v>
      </c>
      <c r="IN67">
        <v>-0.31832499999999442</v>
      </c>
      <c r="IO67">
        <v>0</v>
      </c>
      <c r="IP67">
        <v>0</v>
      </c>
      <c r="IQ67">
        <v>0</v>
      </c>
      <c r="IR67">
        <v>-1</v>
      </c>
      <c r="IS67">
        <v>-1</v>
      </c>
      <c r="IT67">
        <v>-1</v>
      </c>
      <c r="IU67">
        <v>-1</v>
      </c>
      <c r="IV67">
        <v>1.7</v>
      </c>
      <c r="IW67">
        <v>1.5</v>
      </c>
      <c r="IX67">
        <v>1.00464</v>
      </c>
      <c r="IY67">
        <v>2.4865699999999999</v>
      </c>
      <c r="IZ67">
        <v>1.49414</v>
      </c>
      <c r="JA67">
        <v>2.2875999999999999</v>
      </c>
      <c r="JB67">
        <v>1.54419</v>
      </c>
      <c r="JC67">
        <v>2.4645999999999999</v>
      </c>
      <c r="JD67">
        <v>42.006500000000003</v>
      </c>
      <c r="JE67">
        <v>15.6556</v>
      </c>
      <c r="JF67">
        <v>18</v>
      </c>
      <c r="JG67">
        <v>521.50199999999995</v>
      </c>
      <c r="JH67">
        <v>423.76900000000001</v>
      </c>
      <c r="JI67">
        <v>25.330300000000001</v>
      </c>
      <c r="JJ67">
        <v>34.049700000000001</v>
      </c>
      <c r="JK67">
        <v>30.0001</v>
      </c>
      <c r="JL67">
        <v>34.104500000000002</v>
      </c>
      <c r="JM67">
        <v>34.092500000000001</v>
      </c>
      <c r="JN67">
        <v>20.174800000000001</v>
      </c>
      <c r="JO67">
        <v>18.212399999999999</v>
      </c>
      <c r="JP67">
        <v>19.241700000000002</v>
      </c>
      <c r="JQ67">
        <v>25.317599999999999</v>
      </c>
      <c r="JR67">
        <v>400</v>
      </c>
      <c r="JS67">
        <v>22.301300000000001</v>
      </c>
      <c r="JT67">
        <v>98.308199999999999</v>
      </c>
      <c r="JU67">
        <v>97.159700000000001</v>
      </c>
    </row>
    <row r="68" spans="1:281" x14ac:dyDescent="0.25">
      <c r="A68">
        <v>66</v>
      </c>
      <c r="B68">
        <v>1693337967.0999999</v>
      </c>
      <c r="C68">
        <v>16560.5</v>
      </c>
      <c r="D68" t="s">
        <v>681</v>
      </c>
      <c r="E68" t="s">
        <v>682</v>
      </c>
      <c r="F68" t="s">
        <v>411</v>
      </c>
      <c r="G68" t="s">
        <v>493</v>
      </c>
      <c r="H68" t="s">
        <v>637</v>
      </c>
      <c r="I68" t="s">
        <v>31</v>
      </c>
      <c r="J68">
        <v>1693337967.0999999</v>
      </c>
      <c r="K68">
        <f t="shared" si="92"/>
        <v>5.3509805135951048E-3</v>
      </c>
      <c r="L68">
        <f t="shared" si="93"/>
        <v>5.350980513595105</v>
      </c>
      <c r="M68">
        <f t="shared" si="94"/>
        <v>41.830317585338044</v>
      </c>
      <c r="N68">
        <f t="shared" si="95"/>
        <v>446.89299999999997</v>
      </c>
      <c r="O68">
        <f t="shared" si="96"/>
        <v>252.67230785010364</v>
      </c>
      <c r="P68">
        <f t="shared" si="97"/>
        <v>25.007953673567521</v>
      </c>
      <c r="Q68">
        <f t="shared" si="98"/>
        <v>44.230725306358593</v>
      </c>
      <c r="R68">
        <f t="shared" si="99"/>
        <v>0.38232145598704331</v>
      </c>
      <c r="S68">
        <f t="shared" si="100"/>
        <v>2.9219360360268247</v>
      </c>
      <c r="T68">
        <f t="shared" si="101"/>
        <v>0.35654592706910121</v>
      </c>
      <c r="U68">
        <f t="shared" si="102"/>
        <v>0.22501205853368139</v>
      </c>
      <c r="V68">
        <f t="shared" si="103"/>
        <v>344.39409967094048</v>
      </c>
      <c r="W68">
        <f t="shared" si="104"/>
        <v>30.935632992784935</v>
      </c>
      <c r="X68">
        <f t="shared" si="105"/>
        <v>30.023800000000001</v>
      </c>
      <c r="Y68">
        <f t="shared" si="106"/>
        <v>4.2662775015427838</v>
      </c>
      <c r="Z68">
        <f t="shared" si="107"/>
        <v>65.401928112456588</v>
      </c>
      <c r="AA68">
        <f t="shared" si="108"/>
        <v>2.8341758711431204</v>
      </c>
      <c r="AB68">
        <f t="shared" si="109"/>
        <v>4.3334744906447451</v>
      </c>
      <c r="AC68">
        <f t="shared" si="110"/>
        <v>1.4321016303996634</v>
      </c>
      <c r="AD68">
        <f t="shared" si="111"/>
        <v>-235.97824064954412</v>
      </c>
      <c r="AE68">
        <f t="shared" si="112"/>
        <v>42.910468002432992</v>
      </c>
      <c r="AF68">
        <f t="shared" si="113"/>
        <v>3.2705405434188659</v>
      </c>
      <c r="AG68">
        <f t="shared" si="114"/>
        <v>154.59686756724821</v>
      </c>
      <c r="AH68">
        <v>0</v>
      </c>
      <c r="AI68">
        <v>0</v>
      </c>
      <c r="AJ68">
        <f t="shared" si="115"/>
        <v>1</v>
      </c>
      <c r="AK68">
        <f t="shared" si="116"/>
        <v>0</v>
      </c>
      <c r="AL68">
        <f t="shared" si="117"/>
        <v>52060.688350077864</v>
      </c>
      <c r="AM68" t="s">
        <v>413</v>
      </c>
      <c r="AN68">
        <v>10366.9</v>
      </c>
      <c r="AO68">
        <v>993.59653846153856</v>
      </c>
      <c r="AP68">
        <v>3431.87</v>
      </c>
      <c r="AQ68">
        <f t="shared" si="118"/>
        <v>0.71047955241266758</v>
      </c>
      <c r="AR68">
        <v>-3.9894345373445681</v>
      </c>
      <c r="AS68" t="s">
        <v>683</v>
      </c>
      <c r="AT68">
        <v>10306.799999999999</v>
      </c>
      <c r="AU68">
        <v>772.63284615384623</v>
      </c>
      <c r="AV68">
        <v>1084.292534958061</v>
      </c>
      <c r="AW68">
        <f t="shared" si="119"/>
        <v>0.28743137000041163</v>
      </c>
      <c r="AX68">
        <v>0.5</v>
      </c>
      <c r="AY68">
        <f t="shared" si="120"/>
        <v>1513.2938998354703</v>
      </c>
      <c r="AZ68">
        <f t="shared" si="121"/>
        <v>41.830317585338044</v>
      </c>
      <c r="BA68">
        <f t="shared" si="122"/>
        <v>217.48406942148745</v>
      </c>
      <c r="BB68">
        <f t="shared" si="123"/>
        <v>3.0278158213460235E-2</v>
      </c>
      <c r="BC68">
        <f t="shared" si="124"/>
        <v>2.1650775868642684</v>
      </c>
      <c r="BD68">
        <f t="shared" si="125"/>
        <v>610.75462939685781</v>
      </c>
      <c r="BE68" t="s">
        <v>684</v>
      </c>
      <c r="BF68">
        <v>567.02</v>
      </c>
      <c r="BG68">
        <f t="shared" si="126"/>
        <v>567.02</v>
      </c>
      <c r="BH68">
        <f t="shared" si="127"/>
        <v>0.47705994303287202</v>
      </c>
      <c r="BI68">
        <f t="shared" si="128"/>
        <v>0.60250577353673573</v>
      </c>
      <c r="BJ68">
        <f t="shared" si="129"/>
        <v>0.81944166886292091</v>
      </c>
      <c r="BK68">
        <f t="shared" si="130"/>
        <v>3.4363114232519054</v>
      </c>
      <c r="BL68">
        <f t="shared" si="131"/>
        <v>0.96280318925372022</v>
      </c>
      <c r="BM68">
        <f t="shared" si="132"/>
        <v>0.44216709839795515</v>
      </c>
      <c r="BN68">
        <f t="shared" si="133"/>
        <v>0.55783290160204491</v>
      </c>
      <c r="BO68">
        <v>16660</v>
      </c>
      <c r="BP68">
        <v>290.00000000000011</v>
      </c>
      <c r="BQ68">
        <v>1000.93</v>
      </c>
      <c r="BR68">
        <v>115</v>
      </c>
      <c r="BS68">
        <v>10306.799999999999</v>
      </c>
      <c r="BT68">
        <v>996.83</v>
      </c>
      <c r="BU68">
        <v>4.0999999999999996</v>
      </c>
      <c r="BV68">
        <v>300.00000000000011</v>
      </c>
      <c r="BW68">
        <v>38.4</v>
      </c>
      <c r="BX68">
        <v>1084.292534958061</v>
      </c>
      <c r="BY68">
        <v>1.472698563293749</v>
      </c>
      <c r="BZ68">
        <v>-90.141238672426169</v>
      </c>
      <c r="CA68">
        <v>1.2404538174602051</v>
      </c>
      <c r="CB68">
        <v>0.9947255707611361</v>
      </c>
      <c r="CC68">
        <v>-1.1210283426028931E-2</v>
      </c>
      <c r="CD68">
        <v>289.99999999999989</v>
      </c>
      <c r="CE68">
        <v>989.87</v>
      </c>
      <c r="CF68">
        <v>645</v>
      </c>
      <c r="CG68">
        <v>10272</v>
      </c>
      <c r="CH68">
        <v>996.54</v>
      </c>
      <c r="CI68">
        <v>-6.67</v>
      </c>
      <c r="CW68">
        <f t="shared" si="134"/>
        <v>1800.13</v>
      </c>
      <c r="CX68">
        <f t="shared" si="135"/>
        <v>1513.2938998354703</v>
      </c>
      <c r="CY68">
        <f t="shared" si="136"/>
        <v>0.84065811904444132</v>
      </c>
      <c r="CZ68">
        <f t="shared" si="137"/>
        <v>0.19131623808888273</v>
      </c>
      <c r="DA68">
        <v>6</v>
      </c>
      <c r="DB68">
        <v>0.5</v>
      </c>
      <c r="DC68" t="s">
        <v>414</v>
      </c>
      <c r="DD68">
        <v>2</v>
      </c>
      <c r="DE68">
        <v>1693337967.0999999</v>
      </c>
      <c r="DF68">
        <v>446.89299999999997</v>
      </c>
      <c r="DG68">
        <v>499.97</v>
      </c>
      <c r="DH68">
        <v>28.6356</v>
      </c>
      <c r="DI68">
        <v>22.396999999999998</v>
      </c>
      <c r="DJ68">
        <v>447.17</v>
      </c>
      <c r="DK68">
        <v>28.946300000000001</v>
      </c>
      <c r="DL68">
        <v>499.89600000000002</v>
      </c>
      <c r="DM68">
        <v>98.874499999999998</v>
      </c>
      <c r="DN68">
        <v>9.9360199999999996E-2</v>
      </c>
      <c r="DO68">
        <v>30.296199999999999</v>
      </c>
      <c r="DP68">
        <v>30.023800000000001</v>
      </c>
      <c r="DQ68">
        <v>999.9</v>
      </c>
      <c r="DR68">
        <v>0</v>
      </c>
      <c r="DS68">
        <v>0</v>
      </c>
      <c r="DT68">
        <v>10070</v>
      </c>
      <c r="DU68">
        <v>0</v>
      </c>
      <c r="DV68">
        <v>1339.89</v>
      </c>
      <c r="DW68">
        <v>-53.076900000000002</v>
      </c>
      <c r="DX68">
        <v>460.06700000000001</v>
      </c>
      <c r="DY68">
        <v>511.42399999999998</v>
      </c>
      <c r="DZ68">
        <v>6.2385799999999998</v>
      </c>
      <c r="EA68">
        <v>499.97</v>
      </c>
      <c r="EB68">
        <v>22.396999999999998</v>
      </c>
      <c r="EC68">
        <v>2.8313299999999999</v>
      </c>
      <c r="ED68">
        <v>2.2145000000000001</v>
      </c>
      <c r="EE68">
        <v>23.067900000000002</v>
      </c>
      <c r="EF68">
        <v>19.067599999999999</v>
      </c>
      <c r="EG68">
        <v>1800.13</v>
      </c>
      <c r="EH68">
        <v>0.97800299999999996</v>
      </c>
      <c r="EI68">
        <v>2.1997300000000001E-2</v>
      </c>
      <c r="EJ68">
        <v>0</v>
      </c>
      <c r="EK68">
        <v>772.81799999999998</v>
      </c>
      <c r="EL68">
        <v>5.0002500000000003</v>
      </c>
      <c r="EM68">
        <v>21464.5</v>
      </c>
      <c r="EN68">
        <v>14823.2</v>
      </c>
      <c r="EO68">
        <v>47.311999999999998</v>
      </c>
      <c r="EP68">
        <v>48.311999999999998</v>
      </c>
      <c r="EQ68">
        <v>48</v>
      </c>
      <c r="ER68">
        <v>47.375</v>
      </c>
      <c r="ES68">
        <v>48.5</v>
      </c>
      <c r="ET68">
        <v>1755.64</v>
      </c>
      <c r="EU68">
        <v>39.49</v>
      </c>
      <c r="EV68">
        <v>0</v>
      </c>
      <c r="EW68">
        <v>112.3999998569489</v>
      </c>
      <c r="EX68">
        <v>0</v>
      </c>
      <c r="EY68">
        <v>772.63284615384623</v>
      </c>
      <c r="EZ68">
        <v>1.116034182563781</v>
      </c>
      <c r="FA68">
        <v>55.507692447957218</v>
      </c>
      <c r="FB68">
        <v>21462.961538461539</v>
      </c>
      <c r="FC68">
        <v>15</v>
      </c>
      <c r="FD68">
        <v>1693337937.5999999</v>
      </c>
      <c r="FE68" t="s">
        <v>685</v>
      </c>
      <c r="FF68">
        <v>1693337936.5999999</v>
      </c>
      <c r="FG68">
        <v>1693337937.5999999</v>
      </c>
      <c r="FH68">
        <v>74</v>
      </c>
      <c r="FI68">
        <v>0.25700000000000001</v>
      </c>
      <c r="FJ68">
        <v>8.0000000000000002E-3</v>
      </c>
      <c r="FK68">
        <v>-0.27700000000000002</v>
      </c>
      <c r="FL68">
        <v>-0.311</v>
      </c>
      <c r="FM68">
        <v>500</v>
      </c>
      <c r="FN68">
        <v>22</v>
      </c>
      <c r="FO68">
        <v>0.2</v>
      </c>
      <c r="FP68">
        <v>0.04</v>
      </c>
      <c r="FQ68">
        <v>41.996513004228447</v>
      </c>
      <c r="FR68">
        <v>-0.23410688732025631</v>
      </c>
      <c r="FS68">
        <v>8.3070101989148978E-2</v>
      </c>
      <c r="FT68">
        <v>1</v>
      </c>
      <c r="FU68">
        <v>0.38091670591773602</v>
      </c>
      <c r="FV68">
        <v>4.7490381385844577E-2</v>
      </c>
      <c r="FW68">
        <v>4.9395522870113824E-3</v>
      </c>
      <c r="FX68">
        <v>1</v>
      </c>
      <c r="FY68">
        <v>2</v>
      </c>
      <c r="FZ68">
        <v>2</v>
      </c>
      <c r="GA68" t="s">
        <v>415</v>
      </c>
      <c r="GB68">
        <v>2.9169200000000002</v>
      </c>
      <c r="GC68">
        <v>2.82986</v>
      </c>
      <c r="GD68">
        <v>9.7334500000000004E-2</v>
      </c>
      <c r="GE68">
        <v>0.103769</v>
      </c>
      <c r="GF68">
        <v>0.13447899999999999</v>
      </c>
      <c r="GG68">
        <v>0.108183</v>
      </c>
      <c r="GH68">
        <v>23499.200000000001</v>
      </c>
      <c r="GI68">
        <v>28587.1</v>
      </c>
      <c r="GJ68">
        <v>23441.8</v>
      </c>
      <c r="GK68">
        <v>29210.3</v>
      </c>
      <c r="GL68">
        <v>27687.7</v>
      </c>
      <c r="GM68">
        <v>36911.599999999999</v>
      </c>
      <c r="GN68">
        <v>33153.4</v>
      </c>
      <c r="GO68">
        <v>43154.9</v>
      </c>
      <c r="GP68">
        <v>1.9593</v>
      </c>
      <c r="GQ68">
        <v>1.7685</v>
      </c>
      <c r="GR68">
        <v>2.7790700000000002E-2</v>
      </c>
      <c r="GS68">
        <v>0</v>
      </c>
      <c r="GT68">
        <v>29.571400000000001</v>
      </c>
      <c r="GU68">
        <v>999.9</v>
      </c>
      <c r="GV68">
        <v>33.9</v>
      </c>
      <c r="GW68">
        <v>41.2</v>
      </c>
      <c r="GX68">
        <v>27.0946</v>
      </c>
      <c r="GY68">
        <v>61.027999999999999</v>
      </c>
      <c r="GZ68">
        <v>38.189100000000003</v>
      </c>
      <c r="HA68">
        <v>1</v>
      </c>
      <c r="HB68">
        <v>0.535528</v>
      </c>
      <c r="HC68">
        <v>3.17598</v>
      </c>
      <c r="HD68">
        <v>20.287800000000001</v>
      </c>
      <c r="HE68">
        <v>5.2107000000000001</v>
      </c>
      <c r="HF68">
        <v>11.8764</v>
      </c>
      <c r="HG68">
        <v>4.984</v>
      </c>
      <c r="HH68">
        <v>3.2839999999999998</v>
      </c>
      <c r="HI68">
        <v>9999</v>
      </c>
      <c r="HJ68">
        <v>9999</v>
      </c>
      <c r="HK68">
        <v>9999</v>
      </c>
      <c r="HL68">
        <v>999.9</v>
      </c>
      <c r="HM68">
        <v>1.8545700000000001</v>
      </c>
      <c r="HN68">
        <v>1.86066</v>
      </c>
      <c r="HO68">
        <v>1.85806</v>
      </c>
      <c r="HP68">
        <v>1.8591599999999999</v>
      </c>
      <c r="HQ68">
        <v>1.85856</v>
      </c>
      <c r="HR68">
        <v>1.8591200000000001</v>
      </c>
      <c r="HS68">
        <v>1.85745</v>
      </c>
      <c r="HT68">
        <v>1.8608100000000001</v>
      </c>
      <c r="HU68">
        <v>5</v>
      </c>
      <c r="HV68">
        <v>0</v>
      </c>
      <c r="HW68">
        <v>0</v>
      </c>
      <c r="HX68">
        <v>0</v>
      </c>
      <c r="HY68" t="s">
        <v>416</v>
      </c>
      <c r="HZ68" t="s">
        <v>417</v>
      </c>
      <c r="IA68" t="s">
        <v>418</v>
      </c>
      <c r="IB68" t="s">
        <v>418</v>
      </c>
      <c r="IC68" t="s">
        <v>418</v>
      </c>
      <c r="ID68" t="s">
        <v>418</v>
      </c>
      <c r="IE68">
        <v>0</v>
      </c>
      <c r="IF68">
        <v>100</v>
      </c>
      <c r="IG68">
        <v>100</v>
      </c>
      <c r="IH68">
        <v>-0.27700000000000002</v>
      </c>
      <c r="II68">
        <v>-0.31069999999999998</v>
      </c>
      <c r="IJ68">
        <v>-0.27695238095230928</v>
      </c>
      <c r="IK68">
        <v>0</v>
      </c>
      <c r="IL68">
        <v>0</v>
      </c>
      <c r="IM68">
        <v>0</v>
      </c>
      <c r="IN68">
        <v>-0.31070952380952832</v>
      </c>
      <c r="IO68">
        <v>0</v>
      </c>
      <c r="IP68">
        <v>0</v>
      </c>
      <c r="IQ68">
        <v>0</v>
      </c>
      <c r="IR68">
        <v>-1</v>
      </c>
      <c r="IS68">
        <v>-1</v>
      </c>
      <c r="IT68">
        <v>-1</v>
      </c>
      <c r="IU68">
        <v>-1</v>
      </c>
      <c r="IV68">
        <v>0.5</v>
      </c>
      <c r="IW68">
        <v>0.5</v>
      </c>
      <c r="IX68">
        <v>1.1987300000000001</v>
      </c>
      <c r="IY68">
        <v>2.47803</v>
      </c>
      <c r="IZ68">
        <v>1.49414</v>
      </c>
      <c r="JA68">
        <v>2.2888199999999999</v>
      </c>
      <c r="JB68">
        <v>1.54419</v>
      </c>
      <c r="JC68">
        <v>2.5427200000000001</v>
      </c>
      <c r="JD68">
        <v>41.874899999999997</v>
      </c>
      <c r="JE68">
        <v>15.6381</v>
      </c>
      <c r="JF68">
        <v>18</v>
      </c>
      <c r="JG68">
        <v>521.41499999999996</v>
      </c>
      <c r="JH68">
        <v>425.30099999999999</v>
      </c>
      <c r="JI68">
        <v>25.471</v>
      </c>
      <c r="JJ68">
        <v>33.991500000000002</v>
      </c>
      <c r="JK68">
        <v>30.0001</v>
      </c>
      <c r="JL68">
        <v>34.052700000000002</v>
      </c>
      <c r="JM68">
        <v>34.0398</v>
      </c>
      <c r="JN68">
        <v>24.062899999999999</v>
      </c>
      <c r="JO68">
        <v>17.944099999999999</v>
      </c>
      <c r="JP68">
        <v>19.624199999999998</v>
      </c>
      <c r="JQ68">
        <v>25.448599999999999</v>
      </c>
      <c r="JR68">
        <v>500</v>
      </c>
      <c r="JS68">
        <v>22.321200000000001</v>
      </c>
      <c r="JT68">
        <v>98.319500000000005</v>
      </c>
      <c r="JU68">
        <v>97.17</v>
      </c>
    </row>
    <row r="69" spans="1:281" x14ac:dyDescent="0.25">
      <c r="A69">
        <v>67</v>
      </c>
      <c r="B69">
        <v>1693338068.5999999</v>
      </c>
      <c r="C69">
        <v>16662</v>
      </c>
      <c r="D69" t="s">
        <v>686</v>
      </c>
      <c r="E69" t="s">
        <v>687</v>
      </c>
      <c r="F69" t="s">
        <v>411</v>
      </c>
      <c r="G69" t="s">
        <v>493</v>
      </c>
      <c r="H69" t="s">
        <v>637</v>
      </c>
      <c r="I69" t="s">
        <v>31</v>
      </c>
      <c r="J69">
        <v>1693338068.5999999</v>
      </c>
      <c r="K69">
        <f t="shared" si="92"/>
        <v>5.0440790539981826E-3</v>
      </c>
      <c r="L69">
        <f t="shared" si="93"/>
        <v>5.0440790539981828</v>
      </c>
      <c r="M69">
        <f t="shared" si="94"/>
        <v>43.063659171764037</v>
      </c>
      <c r="N69">
        <f t="shared" si="95"/>
        <v>644.45699999999999</v>
      </c>
      <c r="O69">
        <f t="shared" si="96"/>
        <v>426.25721665384327</v>
      </c>
      <c r="P69">
        <f t="shared" si="97"/>
        <v>42.186126860421382</v>
      </c>
      <c r="Q69">
        <f t="shared" si="98"/>
        <v>63.781077940469999</v>
      </c>
      <c r="R69">
        <f t="shared" si="99"/>
        <v>0.35504364416913387</v>
      </c>
      <c r="S69">
        <f t="shared" si="100"/>
        <v>2.8982320363447256</v>
      </c>
      <c r="T69">
        <f t="shared" si="101"/>
        <v>0.33252937643561087</v>
      </c>
      <c r="U69">
        <f t="shared" si="102"/>
        <v>0.20973459297933333</v>
      </c>
      <c r="V69">
        <f t="shared" si="103"/>
        <v>344.36179967090942</v>
      </c>
      <c r="W69">
        <f t="shared" si="104"/>
        <v>30.957760803139507</v>
      </c>
      <c r="X69">
        <f t="shared" si="105"/>
        <v>30.0427</v>
      </c>
      <c r="Y69">
        <f t="shared" si="106"/>
        <v>4.2709103517982649</v>
      </c>
      <c r="Z69">
        <f t="shared" si="107"/>
        <v>65.390809837533752</v>
      </c>
      <c r="AA69">
        <f t="shared" si="108"/>
        <v>2.8234783275899997</v>
      </c>
      <c r="AB69">
        <f t="shared" si="109"/>
        <v>4.3178519039679308</v>
      </c>
      <c r="AC69">
        <f t="shared" si="110"/>
        <v>1.4474320242082652</v>
      </c>
      <c r="AD69">
        <f t="shared" si="111"/>
        <v>-222.44388628131986</v>
      </c>
      <c r="AE69">
        <f t="shared" si="112"/>
        <v>29.765526996020927</v>
      </c>
      <c r="AF69">
        <f t="shared" si="113"/>
        <v>2.2867179562845772</v>
      </c>
      <c r="AG69">
        <f t="shared" si="114"/>
        <v>153.97015834189506</v>
      </c>
      <c r="AH69">
        <v>0</v>
      </c>
      <c r="AI69">
        <v>0</v>
      </c>
      <c r="AJ69">
        <f t="shared" si="115"/>
        <v>1</v>
      </c>
      <c r="AK69">
        <f t="shared" si="116"/>
        <v>0</v>
      </c>
      <c r="AL69">
        <f t="shared" si="117"/>
        <v>51398.48435810818</v>
      </c>
      <c r="AM69" t="s">
        <v>413</v>
      </c>
      <c r="AN69">
        <v>10366.9</v>
      </c>
      <c r="AO69">
        <v>993.59653846153856</v>
      </c>
      <c r="AP69">
        <v>3431.87</v>
      </c>
      <c r="AQ69">
        <f t="shared" si="118"/>
        <v>0.71047955241266758</v>
      </c>
      <c r="AR69">
        <v>-3.9894345373445681</v>
      </c>
      <c r="AS69" t="s">
        <v>688</v>
      </c>
      <c r="AT69">
        <v>10292.6</v>
      </c>
      <c r="AU69">
        <v>775.30026923076923</v>
      </c>
      <c r="AV69">
        <v>1096.5212308615501</v>
      </c>
      <c r="AW69">
        <f t="shared" si="119"/>
        <v>0.29294550127259611</v>
      </c>
      <c r="AX69">
        <v>0.5</v>
      </c>
      <c r="AY69">
        <f t="shared" si="120"/>
        <v>1513.1510998354547</v>
      </c>
      <c r="AZ69">
        <f t="shared" si="121"/>
        <v>43.063659171764037</v>
      </c>
      <c r="BA69">
        <f t="shared" si="122"/>
        <v>221.6354037212387</v>
      </c>
      <c r="BB69">
        <f t="shared" si="123"/>
        <v>3.1096097220049818E-2</v>
      </c>
      <c r="BC69">
        <f t="shared" si="124"/>
        <v>2.1297798012570519</v>
      </c>
      <c r="BD69">
        <f t="shared" si="125"/>
        <v>614.61551487019051</v>
      </c>
      <c r="BE69" t="s">
        <v>689</v>
      </c>
      <c r="BF69">
        <v>568.24</v>
      </c>
      <c r="BG69">
        <f t="shared" si="126"/>
        <v>568.24</v>
      </c>
      <c r="BH69">
        <f t="shared" si="127"/>
        <v>0.48177929983760837</v>
      </c>
      <c r="BI69">
        <f t="shared" si="128"/>
        <v>0.60804916560619815</v>
      </c>
      <c r="BJ69">
        <f t="shared" si="129"/>
        <v>0.81552043006200159</v>
      </c>
      <c r="BK69">
        <f t="shared" si="130"/>
        <v>3.1209319565646321</v>
      </c>
      <c r="BL69">
        <f t="shared" si="131"/>
        <v>0.95778787981596203</v>
      </c>
      <c r="BM69">
        <f t="shared" si="132"/>
        <v>0.44565682687931862</v>
      </c>
      <c r="BN69">
        <f t="shared" si="133"/>
        <v>0.55434317312068138</v>
      </c>
      <c r="BO69">
        <v>16662</v>
      </c>
      <c r="BP69">
        <v>290.00000000000011</v>
      </c>
      <c r="BQ69">
        <v>1009.66</v>
      </c>
      <c r="BR69">
        <v>215</v>
      </c>
      <c r="BS69">
        <v>10292.6</v>
      </c>
      <c r="BT69">
        <v>1006.17</v>
      </c>
      <c r="BU69">
        <v>3.49</v>
      </c>
      <c r="BV69">
        <v>300.00000000000011</v>
      </c>
      <c r="BW69">
        <v>38.4</v>
      </c>
      <c r="BX69">
        <v>1096.5212308615501</v>
      </c>
      <c r="BY69">
        <v>1.474971941986142</v>
      </c>
      <c r="BZ69">
        <v>-92.999159271678721</v>
      </c>
      <c r="CA69">
        <v>1.242482890358489</v>
      </c>
      <c r="CB69">
        <v>0.99502703159961914</v>
      </c>
      <c r="CC69">
        <v>-1.1211574638487209E-2</v>
      </c>
      <c r="CD69">
        <v>289.99999999999989</v>
      </c>
      <c r="CE69">
        <v>998</v>
      </c>
      <c r="CF69">
        <v>635</v>
      </c>
      <c r="CG69">
        <v>10273.700000000001</v>
      </c>
      <c r="CH69">
        <v>1006</v>
      </c>
      <c r="CI69">
        <v>-8</v>
      </c>
      <c r="CW69">
        <f t="shared" si="134"/>
        <v>1799.96</v>
      </c>
      <c r="CX69">
        <f t="shared" si="135"/>
        <v>1513.1510998354547</v>
      </c>
      <c r="CY69">
        <f t="shared" si="136"/>
        <v>0.84065818120150149</v>
      </c>
      <c r="CZ69">
        <f t="shared" si="137"/>
        <v>0.19131636240300307</v>
      </c>
      <c r="DA69">
        <v>6</v>
      </c>
      <c r="DB69">
        <v>0.5</v>
      </c>
      <c r="DC69" t="s">
        <v>414</v>
      </c>
      <c r="DD69">
        <v>2</v>
      </c>
      <c r="DE69">
        <v>1693338068.5999999</v>
      </c>
      <c r="DF69">
        <v>644.45699999999999</v>
      </c>
      <c r="DG69">
        <v>700.03599999999994</v>
      </c>
      <c r="DH69">
        <v>28.529</v>
      </c>
      <c r="DI69">
        <v>22.648599999999998</v>
      </c>
      <c r="DJ69">
        <v>644.81299999999999</v>
      </c>
      <c r="DK69">
        <v>28.8293</v>
      </c>
      <c r="DL69">
        <v>499.98399999999998</v>
      </c>
      <c r="DM69">
        <v>98.868099999999998</v>
      </c>
      <c r="DN69">
        <v>0.10061</v>
      </c>
      <c r="DO69">
        <v>30.2332</v>
      </c>
      <c r="DP69">
        <v>30.0427</v>
      </c>
      <c r="DQ69">
        <v>999.9</v>
      </c>
      <c r="DR69">
        <v>0</v>
      </c>
      <c r="DS69">
        <v>0</v>
      </c>
      <c r="DT69">
        <v>9935</v>
      </c>
      <c r="DU69">
        <v>0</v>
      </c>
      <c r="DV69">
        <v>1335.8</v>
      </c>
      <c r="DW69">
        <v>-55.578600000000002</v>
      </c>
      <c r="DX69">
        <v>663.38300000000004</v>
      </c>
      <c r="DY69">
        <v>716.25800000000004</v>
      </c>
      <c r="DZ69">
        <v>5.88035</v>
      </c>
      <c r="EA69">
        <v>700.03599999999994</v>
      </c>
      <c r="EB69">
        <v>22.648599999999998</v>
      </c>
      <c r="EC69">
        <v>2.8206099999999998</v>
      </c>
      <c r="ED69">
        <v>2.2392300000000001</v>
      </c>
      <c r="EE69">
        <v>23.005199999999999</v>
      </c>
      <c r="EF69">
        <v>19.245799999999999</v>
      </c>
      <c r="EG69">
        <v>1799.96</v>
      </c>
      <c r="EH69">
        <v>0.97799899999999995</v>
      </c>
      <c r="EI69">
        <v>2.2001E-2</v>
      </c>
      <c r="EJ69">
        <v>0</v>
      </c>
      <c r="EK69">
        <v>774.82799999999997</v>
      </c>
      <c r="EL69">
        <v>5.0002500000000003</v>
      </c>
      <c r="EM69">
        <v>21663.1</v>
      </c>
      <c r="EN69">
        <v>14821.8</v>
      </c>
      <c r="EO69">
        <v>47.186999999999998</v>
      </c>
      <c r="EP69">
        <v>48.25</v>
      </c>
      <c r="EQ69">
        <v>47.875</v>
      </c>
      <c r="ER69">
        <v>47.311999999999998</v>
      </c>
      <c r="ES69">
        <v>48.375</v>
      </c>
      <c r="ET69">
        <v>1755.47</v>
      </c>
      <c r="EU69">
        <v>39.49</v>
      </c>
      <c r="EV69">
        <v>0</v>
      </c>
      <c r="EW69">
        <v>99.599999904632568</v>
      </c>
      <c r="EX69">
        <v>0</v>
      </c>
      <c r="EY69">
        <v>775.30026923076923</v>
      </c>
      <c r="EZ69">
        <v>-2.551692297246988</v>
      </c>
      <c r="FA69">
        <v>1056.796578633481</v>
      </c>
      <c r="FB69">
        <v>21582.84230769231</v>
      </c>
      <c r="FC69">
        <v>15</v>
      </c>
      <c r="FD69">
        <v>1693338038.5999999</v>
      </c>
      <c r="FE69" t="s">
        <v>690</v>
      </c>
      <c r="FF69">
        <v>1693338036.0999999</v>
      </c>
      <c r="FG69">
        <v>1693338038.5999999</v>
      </c>
      <c r="FH69">
        <v>75</v>
      </c>
      <c r="FI69">
        <v>-7.9000000000000001E-2</v>
      </c>
      <c r="FJ69">
        <v>0.01</v>
      </c>
      <c r="FK69">
        <v>-0.35599999999999998</v>
      </c>
      <c r="FL69">
        <v>-0.3</v>
      </c>
      <c r="FM69">
        <v>700</v>
      </c>
      <c r="FN69">
        <v>22</v>
      </c>
      <c r="FO69">
        <v>0.19</v>
      </c>
      <c r="FP69">
        <v>0.04</v>
      </c>
      <c r="FQ69">
        <v>42.964035827704691</v>
      </c>
      <c r="FR69">
        <v>-0.68035170865437078</v>
      </c>
      <c r="FS69">
        <v>0.1343595763610014</v>
      </c>
      <c r="FT69">
        <v>1</v>
      </c>
      <c r="FU69">
        <v>0.35888120043719268</v>
      </c>
      <c r="FV69">
        <v>-1.263326536265872E-2</v>
      </c>
      <c r="FW69">
        <v>2.3401292969878361E-3</v>
      </c>
      <c r="FX69">
        <v>1</v>
      </c>
      <c r="FY69">
        <v>2</v>
      </c>
      <c r="FZ69">
        <v>2</v>
      </c>
      <c r="GA69" t="s">
        <v>415</v>
      </c>
      <c r="GB69">
        <v>2.91717</v>
      </c>
      <c r="GC69">
        <v>2.8299300000000001</v>
      </c>
      <c r="GD69">
        <v>0.12662699999999999</v>
      </c>
      <c r="GE69">
        <v>0.131601</v>
      </c>
      <c r="GF69">
        <v>0.134101</v>
      </c>
      <c r="GG69">
        <v>0.10903599999999999</v>
      </c>
      <c r="GH69">
        <v>22737.4</v>
      </c>
      <c r="GI69">
        <v>27698.7</v>
      </c>
      <c r="GJ69">
        <v>23442.5</v>
      </c>
      <c r="GK69">
        <v>29209.9</v>
      </c>
      <c r="GL69">
        <v>27703.3</v>
      </c>
      <c r="GM69">
        <v>36878.6</v>
      </c>
      <c r="GN69">
        <v>33154.6</v>
      </c>
      <c r="GO69">
        <v>43154</v>
      </c>
      <c r="GP69">
        <v>1.9594</v>
      </c>
      <c r="GQ69">
        <v>1.7708999999999999</v>
      </c>
      <c r="GR69">
        <v>1.89245E-2</v>
      </c>
      <c r="GS69">
        <v>0</v>
      </c>
      <c r="GT69">
        <v>29.7347</v>
      </c>
      <c r="GU69">
        <v>999.9</v>
      </c>
      <c r="GV69">
        <v>34.1</v>
      </c>
      <c r="GW69">
        <v>41</v>
      </c>
      <c r="GX69">
        <v>26.964700000000001</v>
      </c>
      <c r="GY69">
        <v>61.427999999999997</v>
      </c>
      <c r="GZ69">
        <v>37.6282</v>
      </c>
      <c r="HA69">
        <v>1</v>
      </c>
      <c r="HB69">
        <v>0.53967500000000002</v>
      </c>
      <c r="HC69">
        <v>3.9085200000000002</v>
      </c>
      <c r="HD69">
        <v>20.273299999999999</v>
      </c>
      <c r="HE69">
        <v>5.2112999999999996</v>
      </c>
      <c r="HF69">
        <v>11.8782</v>
      </c>
      <c r="HG69">
        <v>4.9846000000000004</v>
      </c>
      <c r="HH69">
        <v>3.2839999999999998</v>
      </c>
      <c r="HI69">
        <v>9999</v>
      </c>
      <c r="HJ69">
        <v>9999</v>
      </c>
      <c r="HK69">
        <v>9999</v>
      </c>
      <c r="HL69">
        <v>999.9</v>
      </c>
      <c r="HM69">
        <v>1.8545499999999999</v>
      </c>
      <c r="HN69">
        <v>1.86066</v>
      </c>
      <c r="HO69">
        <v>1.85806</v>
      </c>
      <c r="HP69">
        <v>1.8591299999999999</v>
      </c>
      <c r="HQ69">
        <v>1.8585400000000001</v>
      </c>
      <c r="HR69">
        <v>1.8591299999999999</v>
      </c>
      <c r="HS69">
        <v>1.85745</v>
      </c>
      <c r="HT69">
        <v>1.8608</v>
      </c>
      <c r="HU69">
        <v>5</v>
      </c>
      <c r="HV69">
        <v>0</v>
      </c>
      <c r="HW69">
        <v>0</v>
      </c>
      <c r="HX69">
        <v>0</v>
      </c>
      <c r="HY69" t="s">
        <v>416</v>
      </c>
      <c r="HZ69" t="s">
        <v>417</v>
      </c>
      <c r="IA69" t="s">
        <v>418</v>
      </c>
      <c r="IB69" t="s">
        <v>418</v>
      </c>
      <c r="IC69" t="s">
        <v>418</v>
      </c>
      <c r="ID69" t="s">
        <v>418</v>
      </c>
      <c r="IE69">
        <v>0</v>
      </c>
      <c r="IF69">
        <v>100</v>
      </c>
      <c r="IG69">
        <v>100</v>
      </c>
      <c r="IH69">
        <v>-0.35599999999999998</v>
      </c>
      <c r="II69">
        <v>-0.30030000000000001</v>
      </c>
      <c r="IJ69">
        <v>-0.35595238095231713</v>
      </c>
      <c r="IK69">
        <v>0</v>
      </c>
      <c r="IL69">
        <v>0</v>
      </c>
      <c r="IM69">
        <v>0</v>
      </c>
      <c r="IN69">
        <v>-0.30034500000000008</v>
      </c>
      <c r="IO69">
        <v>0</v>
      </c>
      <c r="IP69">
        <v>0</v>
      </c>
      <c r="IQ69">
        <v>0</v>
      </c>
      <c r="IR69">
        <v>-1</v>
      </c>
      <c r="IS69">
        <v>-1</v>
      </c>
      <c r="IT69">
        <v>-1</v>
      </c>
      <c r="IU69">
        <v>-1</v>
      </c>
      <c r="IV69">
        <v>0.5</v>
      </c>
      <c r="IW69">
        <v>0.5</v>
      </c>
      <c r="IX69">
        <v>1.5686</v>
      </c>
      <c r="IY69">
        <v>2.4719199999999999</v>
      </c>
      <c r="IZ69">
        <v>1.49414</v>
      </c>
      <c r="JA69">
        <v>2.2888199999999999</v>
      </c>
      <c r="JB69">
        <v>1.54419</v>
      </c>
      <c r="JC69">
        <v>2.4536099999999998</v>
      </c>
      <c r="JD69">
        <v>41.796100000000003</v>
      </c>
      <c r="JE69">
        <v>15.5943</v>
      </c>
      <c r="JF69">
        <v>18</v>
      </c>
      <c r="JG69">
        <v>521.26099999999997</v>
      </c>
      <c r="JH69">
        <v>426.71</v>
      </c>
      <c r="JI69">
        <v>24.585599999999999</v>
      </c>
      <c r="JJ69">
        <v>33.973100000000002</v>
      </c>
      <c r="JK69">
        <v>30.000399999999999</v>
      </c>
      <c r="JL69">
        <v>34.025300000000001</v>
      </c>
      <c r="JM69">
        <v>34.0154</v>
      </c>
      <c r="JN69">
        <v>31.4739</v>
      </c>
      <c r="JO69">
        <v>16.661300000000001</v>
      </c>
      <c r="JP69">
        <v>19.8232</v>
      </c>
      <c r="JQ69">
        <v>24.601199999999999</v>
      </c>
      <c r="JR69">
        <v>700</v>
      </c>
      <c r="JS69">
        <v>22.607099999999999</v>
      </c>
      <c r="JT69">
        <v>98.322699999999998</v>
      </c>
      <c r="JU69">
        <v>97.168199999999999</v>
      </c>
    </row>
    <row r="70" spans="1:281" x14ac:dyDescent="0.25">
      <c r="A70">
        <v>68</v>
      </c>
      <c r="B70">
        <v>1693338179.0999999</v>
      </c>
      <c r="C70">
        <v>16772.5</v>
      </c>
      <c r="D70" t="s">
        <v>691</v>
      </c>
      <c r="E70" t="s">
        <v>692</v>
      </c>
      <c r="F70" t="s">
        <v>411</v>
      </c>
      <c r="G70" t="s">
        <v>493</v>
      </c>
      <c r="H70" t="s">
        <v>637</v>
      </c>
      <c r="I70" t="s">
        <v>31</v>
      </c>
      <c r="J70">
        <v>1693338179.0999999</v>
      </c>
      <c r="K70">
        <f t="shared" si="92"/>
        <v>4.9804939023156084E-3</v>
      </c>
      <c r="L70">
        <f t="shared" si="93"/>
        <v>4.9804939023156081</v>
      </c>
      <c r="M70">
        <f t="shared" si="94"/>
        <v>42.63982231590704</v>
      </c>
      <c r="N70">
        <f t="shared" si="95"/>
        <v>843.77499999999998</v>
      </c>
      <c r="O70">
        <f t="shared" si="96"/>
        <v>620.16702751505852</v>
      </c>
      <c r="P70">
        <f t="shared" si="97"/>
        <v>61.375601365809992</v>
      </c>
      <c r="Q70">
        <f t="shared" si="98"/>
        <v>83.505242531099981</v>
      </c>
      <c r="R70">
        <f t="shared" si="99"/>
        <v>0.35011534948937179</v>
      </c>
      <c r="S70">
        <f t="shared" si="100"/>
        <v>2.9016997727570528</v>
      </c>
      <c r="T70">
        <f t="shared" si="101"/>
        <v>0.32822551637170155</v>
      </c>
      <c r="U70">
        <f t="shared" si="102"/>
        <v>0.20699351177970718</v>
      </c>
      <c r="V70">
        <f t="shared" si="103"/>
        <v>344.37889967092582</v>
      </c>
      <c r="W70">
        <f t="shared" si="104"/>
        <v>30.818585605723833</v>
      </c>
      <c r="X70">
        <f t="shared" si="105"/>
        <v>29.971800000000002</v>
      </c>
      <c r="Y70">
        <f t="shared" si="106"/>
        <v>4.2535536292216216</v>
      </c>
      <c r="Z70">
        <f t="shared" si="107"/>
        <v>65.553147897309728</v>
      </c>
      <c r="AA70">
        <f t="shared" si="108"/>
        <v>2.8053961186679999</v>
      </c>
      <c r="AB70">
        <f t="shared" si="109"/>
        <v>4.2795749840460857</v>
      </c>
      <c r="AC70">
        <f t="shared" si="110"/>
        <v>1.4481575105536217</v>
      </c>
      <c r="AD70">
        <f t="shared" si="111"/>
        <v>-219.63978109211834</v>
      </c>
      <c r="AE70">
        <f t="shared" si="112"/>
        <v>16.613549731410497</v>
      </c>
      <c r="AF70">
        <f t="shared" si="113"/>
        <v>1.2733744482920395</v>
      </c>
      <c r="AG70">
        <f t="shared" si="114"/>
        <v>142.62604275851001</v>
      </c>
      <c r="AH70">
        <v>0</v>
      </c>
      <c r="AI70">
        <v>0</v>
      </c>
      <c r="AJ70">
        <f t="shared" si="115"/>
        <v>1</v>
      </c>
      <c r="AK70">
        <f t="shared" si="116"/>
        <v>0</v>
      </c>
      <c r="AL70">
        <f t="shared" si="117"/>
        <v>51523.03071083426</v>
      </c>
      <c r="AM70" t="s">
        <v>413</v>
      </c>
      <c r="AN70">
        <v>10366.9</v>
      </c>
      <c r="AO70">
        <v>993.59653846153856</v>
      </c>
      <c r="AP70">
        <v>3431.87</v>
      </c>
      <c r="AQ70">
        <f t="shared" si="118"/>
        <v>0.71047955241266758</v>
      </c>
      <c r="AR70">
        <v>-3.9894345373445681</v>
      </c>
      <c r="AS70" t="s">
        <v>693</v>
      </c>
      <c r="AT70">
        <v>10305.1</v>
      </c>
      <c r="AU70">
        <v>772.55603846153849</v>
      </c>
      <c r="AV70">
        <v>1091.6989085248199</v>
      </c>
      <c r="AW70">
        <f t="shared" si="119"/>
        <v>0.29233597979366821</v>
      </c>
      <c r="AX70">
        <v>0.5</v>
      </c>
      <c r="AY70">
        <f t="shared" si="120"/>
        <v>1513.226699835463</v>
      </c>
      <c r="AZ70">
        <f t="shared" si="121"/>
        <v>42.63982231590704</v>
      </c>
      <c r="BA70">
        <f t="shared" si="122"/>
        <v>221.18530497316956</v>
      </c>
      <c r="BB70">
        <f t="shared" si="123"/>
        <v>3.0814455532883291E-2</v>
      </c>
      <c r="BC70">
        <f t="shared" si="124"/>
        <v>2.143604865042307</v>
      </c>
      <c r="BD70">
        <f t="shared" si="125"/>
        <v>613.09752317325115</v>
      </c>
      <c r="BE70" t="s">
        <v>694</v>
      </c>
      <c r="BF70">
        <v>567.95000000000005</v>
      </c>
      <c r="BG70">
        <f t="shared" si="126"/>
        <v>567.95000000000005</v>
      </c>
      <c r="BH70">
        <f t="shared" si="127"/>
        <v>0.47975582318072119</v>
      </c>
      <c r="BI70">
        <f t="shared" si="128"/>
        <v>0.6093432651958598</v>
      </c>
      <c r="BJ70">
        <f t="shared" si="129"/>
        <v>0.81712166941645725</v>
      </c>
      <c r="BK70">
        <f t="shared" si="130"/>
        <v>3.2531616703797979</v>
      </c>
      <c r="BL70">
        <f t="shared" si="131"/>
        <v>0.95976564088862193</v>
      </c>
      <c r="BM70">
        <f t="shared" si="132"/>
        <v>0.44796298292763648</v>
      </c>
      <c r="BN70">
        <f t="shared" si="133"/>
        <v>0.55203701707236352</v>
      </c>
      <c r="BO70">
        <v>16664</v>
      </c>
      <c r="BP70">
        <v>290.00000000000011</v>
      </c>
      <c r="BQ70">
        <v>1008.48</v>
      </c>
      <c r="BR70">
        <v>135</v>
      </c>
      <c r="BS70">
        <v>10305.1</v>
      </c>
      <c r="BT70">
        <v>1003.99</v>
      </c>
      <c r="BU70">
        <v>4.49</v>
      </c>
      <c r="BV70">
        <v>300.00000000000011</v>
      </c>
      <c r="BW70">
        <v>38.4</v>
      </c>
      <c r="BX70">
        <v>1091.6989085248199</v>
      </c>
      <c r="BY70">
        <v>1.1552933459025221</v>
      </c>
      <c r="BZ70">
        <v>-90.384281255217743</v>
      </c>
      <c r="CA70">
        <v>0.97327242323334717</v>
      </c>
      <c r="CB70">
        <v>0.99676381519892832</v>
      </c>
      <c r="CC70">
        <v>-1.1212101668520571E-2</v>
      </c>
      <c r="CD70">
        <v>289.99999999999989</v>
      </c>
      <c r="CE70">
        <v>997.29</v>
      </c>
      <c r="CF70">
        <v>675</v>
      </c>
      <c r="CG70">
        <v>10271.700000000001</v>
      </c>
      <c r="CH70">
        <v>1003.71</v>
      </c>
      <c r="CI70">
        <v>-6.42</v>
      </c>
      <c r="CW70">
        <f t="shared" si="134"/>
        <v>1800.05</v>
      </c>
      <c r="CX70">
        <f t="shared" si="135"/>
        <v>1513.226699835463</v>
      </c>
      <c r="CY70">
        <f t="shared" si="136"/>
        <v>0.84065814829336016</v>
      </c>
      <c r="CZ70">
        <f t="shared" si="137"/>
        <v>0.19131629658672028</v>
      </c>
      <c r="DA70">
        <v>6</v>
      </c>
      <c r="DB70">
        <v>0.5</v>
      </c>
      <c r="DC70" t="s">
        <v>414</v>
      </c>
      <c r="DD70">
        <v>2</v>
      </c>
      <c r="DE70">
        <v>1693338179.0999999</v>
      </c>
      <c r="DF70">
        <v>843.77499999999998</v>
      </c>
      <c r="DG70">
        <v>899.98400000000004</v>
      </c>
      <c r="DH70">
        <v>28.347000000000001</v>
      </c>
      <c r="DI70">
        <v>22.54</v>
      </c>
      <c r="DJ70">
        <v>843.70399999999995</v>
      </c>
      <c r="DK70">
        <v>28.652100000000001</v>
      </c>
      <c r="DL70">
        <v>500.01499999999999</v>
      </c>
      <c r="DM70">
        <v>98.865799999999993</v>
      </c>
      <c r="DN70">
        <v>0.10044400000000001</v>
      </c>
      <c r="DO70">
        <v>30.077999999999999</v>
      </c>
      <c r="DP70">
        <v>29.971800000000002</v>
      </c>
      <c r="DQ70">
        <v>999.9</v>
      </c>
      <c r="DR70">
        <v>0</v>
      </c>
      <c r="DS70">
        <v>0</v>
      </c>
      <c r="DT70">
        <v>9955</v>
      </c>
      <c r="DU70">
        <v>0</v>
      </c>
      <c r="DV70">
        <v>1334.72</v>
      </c>
      <c r="DW70">
        <v>-56.2089</v>
      </c>
      <c r="DX70">
        <v>868.39099999999996</v>
      </c>
      <c r="DY70">
        <v>920.73699999999997</v>
      </c>
      <c r="DZ70">
        <v>5.8070199999999996</v>
      </c>
      <c r="EA70">
        <v>899.98400000000004</v>
      </c>
      <c r="EB70">
        <v>22.54</v>
      </c>
      <c r="EC70">
        <v>2.8025500000000001</v>
      </c>
      <c r="ED70">
        <v>2.2284299999999999</v>
      </c>
      <c r="EE70">
        <v>22.899100000000001</v>
      </c>
      <c r="EF70">
        <v>19.168199999999999</v>
      </c>
      <c r="EG70">
        <v>1800.05</v>
      </c>
      <c r="EH70">
        <v>0.97799899999999995</v>
      </c>
      <c r="EI70">
        <v>2.2001E-2</v>
      </c>
      <c r="EJ70">
        <v>0</v>
      </c>
      <c r="EK70">
        <v>772.37800000000004</v>
      </c>
      <c r="EL70">
        <v>5.0002500000000003</v>
      </c>
      <c r="EM70">
        <v>21353.7</v>
      </c>
      <c r="EN70">
        <v>14822.5</v>
      </c>
      <c r="EO70">
        <v>47</v>
      </c>
      <c r="EP70">
        <v>48.125</v>
      </c>
      <c r="EQ70">
        <v>47.686999999999998</v>
      </c>
      <c r="ER70">
        <v>47.186999999999998</v>
      </c>
      <c r="ES70">
        <v>48.25</v>
      </c>
      <c r="ET70">
        <v>1755.56</v>
      </c>
      <c r="EU70">
        <v>39.49</v>
      </c>
      <c r="EV70">
        <v>0</v>
      </c>
      <c r="EW70">
        <v>108.7999999523163</v>
      </c>
      <c r="EX70">
        <v>0</v>
      </c>
      <c r="EY70">
        <v>772.55603846153849</v>
      </c>
      <c r="EZ70">
        <v>-1.147589740492585</v>
      </c>
      <c r="FA70">
        <v>-1379.0119637466</v>
      </c>
      <c r="FB70">
        <v>21440.55</v>
      </c>
      <c r="FC70">
        <v>15</v>
      </c>
      <c r="FD70">
        <v>1693338142.0999999</v>
      </c>
      <c r="FE70" t="s">
        <v>695</v>
      </c>
      <c r="FF70">
        <v>1693338140.5999999</v>
      </c>
      <c r="FG70">
        <v>1693338142.0999999</v>
      </c>
      <c r="FH70">
        <v>76</v>
      </c>
      <c r="FI70">
        <v>0.42699999999999999</v>
      </c>
      <c r="FJ70">
        <v>-5.0000000000000001E-3</v>
      </c>
      <c r="FK70">
        <v>7.0999999999999994E-2</v>
      </c>
      <c r="FL70">
        <v>-0.30499999999999999</v>
      </c>
      <c r="FM70">
        <v>900</v>
      </c>
      <c r="FN70">
        <v>22</v>
      </c>
      <c r="FO70">
        <v>0.21</v>
      </c>
      <c r="FP70">
        <v>7.0000000000000007E-2</v>
      </c>
      <c r="FQ70">
        <v>42.543634499459444</v>
      </c>
      <c r="FR70">
        <v>-0.67204532380182525</v>
      </c>
      <c r="FS70">
        <v>0.14199733326303299</v>
      </c>
      <c r="FT70">
        <v>1</v>
      </c>
      <c r="FU70">
        <v>0.35238944745003348</v>
      </c>
      <c r="FV70">
        <v>-1.1267301528694131E-2</v>
      </c>
      <c r="FW70">
        <v>1.824052506899378E-3</v>
      </c>
      <c r="FX70">
        <v>1</v>
      </c>
      <c r="FY70">
        <v>2</v>
      </c>
      <c r="FZ70">
        <v>2</v>
      </c>
      <c r="GA70" t="s">
        <v>415</v>
      </c>
      <c r="GB70">
        <v>2.9172400000000001</v>
      </c>
      <c r="GC70">
        <v>2.8299400000000001</v>
      </c>
      <c r="GD70">
        <v>0.15177499999999999</v>
      </c>
      <c r="GE70">
        <v>0.15557699999999999</v>
      </c>
      <c r="GF70">
        <v>0.13352800000000001</v>
      </c>
      <c r="GG70">
        <v>0.108668</v>
      </c>
      <c r="GH70">
        <v>22082.6</v>
      </c>
      <c r="GI70">
        <v>26932.799999999999</v>
      </c>
      <c r="GJ70">
        <v>23442.9</v>
      </c>
      <c r="GK70">
        <v>29209.3</v>
      </c>
      <c r="GL70">
        <v>27724.6</v>
      </c>
      <c r="GM70">
        <v>36895.599999999999</v>
      </c>
      <c r="GN70">
        <v>33155.300000000003</v>
      </c>
      <c r="GO70">
        <v>43152.800000000003</v>
      </c>
      <c r="GP70">
        <v>1.9599</v>
      </c>
      <c r="GQ70">
        <v>1.7725</v>
      </c>
      <c r="GR70">
        <v>2.0563600000000001E-2</v>
      </c>
      <c r="GS70">
        <v>0</v>
      </c>
      <c r="GT70">
        <v>29.637</v>
      </c>
      <c r="GU70">
        <v>999.9</v>
      </c>
      <c r="GV70">
        <v>34.299999999999997</v>
      </c>
      <c r="GW70">
        <v>40.799999999999997</v>
      </c>
      <c r="GX70">
        <v>26.841000000000001</v>
      </c>
      <c r="GY70">
        <v>61.338000000000001</v>
      </c>
      <c r="GZ70">
        <v>38.016800000000003</v>
      </c>
      <c r="HA70">
        <v>1</v>
      </c>
      <c r="HB70">
        <v>0.53585400000000005</v>
      </c>
      <c r="HC70">
        <v>3.3131200000000001</v>
      </c>
      <c r="HD70">
        <v>20.286100000000001</v>
      </c>
      <c r="HE70">
        <v>5.2107000000000001</v>
      </c>
      <c r="HF70">
        <v>11.877000000000001</v>
      </c>
      <c r="HG70">
        <v>4.9837999999999996</v>
      </c>
      <c r="HH70">
        <v>3.2839999999999998</v>
      </c>
      <c r="HI70">
        <v>9999</v>
      </c>
      <c r="HJ70">
        <v>9999</v>
      </c>
      <c r="HK70">
        <v>9999</v>
      </c>
      <c r="HL70">
        <v>999.9</v>
      </c>
      <c r="HM70">
        <v>1.8545700000000001</v>
      </c>
      <c r="HN70">
        <v>1.86066</v>
      </c>
      <c r="HO70">
        <v>1.85806</v>
      </c>
      <c r="HP70">
        <v>1.8591299999999999</v>
      </c>
      <c r="HQ70">
        <v>1.8585199999999999</v>
      </c>
      <c r="HR70">
        <v>1.8591299999999999</v>
      </c>
      <c r="HS70">
        <v>1.85745</v>
      </c>
      <c r="HT70">
        <v>1.8608100000000001</v>
      </c>
      <c r="HU70">
        <v>5</v>
      </c>
      <c r="HV70">
        <v>0</v>
      </c>
      <c r="HW70">
        <v>0</v>
      </c>
      <c r="HX70">
        <v>0</v>
      </c>
      <c r="HY70" t="s">
        <v>416</v>
      </c>
      <c r="HZ70" t="s">
        <v>417</v>
      </c>
      <c r="IA70" t="s">
        <v>418</v>
      </c>
      <c r="IB70" t="s">
        <v>418</v>
      </c>
      <c r="IC70" t="s">
        <v>418</v>
      </c>
      <c r="ID70" t="s">
        <v>418</v>
      </c>
      <c r="IE70">
        <v>0</v>
      </c>
      <c r="IF70">
        <v>100</v>
      </c>
      <c r="IG70">
        <v>100</v>
      </c>
      <c r="IH70">
        <v>7.0999999999999994E-2</v>
      </c>
      <c r="II70">
        <v>-0.30509999999999998</v>
      </c>
      <c r="IJ70">
        <v>7.1190476190508889E-2</v>
      </c>
      <c r="IK70">
        <v>0</v>
      </c>
      <c r="IL70">
        <v>0</v>
      </c>
      <c r="IM70">
        <v>0</v>
      </c>
      <c r="IN70">
        <v>-0.30509999999999238</v>
      </c>
      <c r="IO70">
        <v>0</v>
      </c>
      <c r="IP70">
        <v>0</v>
      </c>
      <c r="IQ70">
        <v>0</v>
      </c>
      <c r="IR70">
        <v>-1</v>
      </c>
      <c r="IS70">
        <v>-1</v>
      </c>
      <c r="IT70">
        <v>-1</v>
      </c>
      <c r="IU70">
        <v>-1</v>
      </c>
      <c r="IV70">
        <v>0.6</v>
      </c>
      <c r="IW70">
        <v>0.6</v>
      </c>
      <c r="IX70">
        <v>1.9177200000000001</v>
      </c>
      <c r="IY70">
        <v>2.4633799999999999</v>
      </c>
      <c r="IZ70">
        <v>1.49414</v>
      </c>
      <c r="JA70">
        <v>2.2888199999999999</v>
      </c>
      <c r="JB70">
        <v>1.54419</v>
      </c>
      <c r="JC70">
        <v>2.5354000000000001</v>
      </c>
      <c r="JD70">
        <v>41.691200000000002</v>
      </c>
      <c r="JE70">
        <v>15.5768</v>
      </c>
      <c r="JF70">
        <v>18</v>
      </c>
      <c r="JG70">
        <v>521.52</v>
      </c>
      <c r="JH70">
        <v>427.68099999999998</v>
      </c>
      <c r="JI70">
        <v>24.759699999999999</v>
      </c>
      <c r="JJ70">
        <v>33.979199999999999</v>
      </c>
      <c r="JK70">
        <v>29.9998</v>
      </c>
      <c r="JL70">
        <v>34.016100000000002</v>
      </c>
      <c r="JM70">
        <v>34.003300000000003</v>
      </c>
      <c r="JN70">
        <v>38.430399999999999</v>
      </c>
      <c r="JO70">
        <v>17.2255</v>
      </c>
      <c r="JP70">
        <v>20.132400000000001</v>
      </c>
      <c r="JQ70">
        <v>24.768000000000001</v>
      </c>
      <c r="JR70">
        <v>900</v>
      </c>
      <c r="JS70">
        <v>22.4785</v>
      </c>
      <c r="JT70">
        <v>98.324700000000007</v>
      </c>
      <c r="JU70">
        <v>97.165700000000001</v>
      </c>
    </row>
    <row r="71" spans="1:281" x14ac:dyDescent="0.25">
      <c r="A71">
        <v>69</v>
      </c>
      <c r="B71">
        <v>1693338300.0999999</v>
      </c>
      <c r="C71">
        <v>16893.5</v>
      </c>
      <c r="D71" t="s">
        <v>696</v>
      </c>
      <c r="E71" t="s">
        <v>697</v>
      </c>
      <c r="F71" t="s">
        <v>411</v>
      </c>
      <c r="G71" t="s">
        <v>493</v>
      </c>
      <c r="H71" t="s">
        <v>637</v>
      </c>
      <c r="I71" t="s">
        <v>31</v>
      </c>
      <c r="J71">
        <v>1693338300.0999999</v>
      </c>
      <c r="K71">
        <f t="shared" si="92"/>
        <v>4.8190468459426454E-3</v>
      </c>
      <c r="L71">
        <f t="shared" si="93"/>
        <v>4.819046845942645</v>
      </c>
      <c r="M71">
        <f t="shared" si="94"/>
        <v>42.331030369141331</v>
      </c>
      <c r="N71">
        <f t="shared" si="95"/>
        <v>1142.7</v>
      </c>
      <c r="O71">
        <f t="shared" si="96"/>
        <v>901.83279784153331</v>
      </c>
      <c r="P71">
        <f t="shared" si="97"/>
        <v>89.244531633114775</v>
      </c>
      <c r="Q71">
        <f t="shared" si="98"/>
        <v>113.08052506100999</v>
      </c>
      <c r="R71">
        <f t="shared" si="99"/>
        <v>0.33081863534534783</v>
      </c>
      <c r="S71">
        <f t="shared" si="100"/>
        <v>2.9103369444858846</v>
      </c>
      <c r="T71">
        <f t="shared" si="101"/>
        <v>0.31125723001989364</v>
      </c>
      <c r="U71">
        <f t="shared" si="102"/>
        <v>0.19619682385600562</v>
      </c>
      <c r="V71">
        <f t="shared" si="103"/>
        <v>344.36049967082425</v>
      </c>
      <c r="W71">
        <f t="shared" si="104"/>
        <v>30.861187815696503</v>
      </c>
      <c r="X71">
        <f t="shared" si="105"/>
        <v>30.015999999999998</v>
      </c>
      <c r="Y71">
        <f t="shared" si="106"/>
        <v>4.264366808677857</v>
      </c>
      <c r="Z71">
        <f t="shared" si="107"/>
        <v>65.109270205747379</v>
      </c>
      <c r="AA71">
        <f t="shared" si="108"/>
        <v>2.7868159537941897</v>
      </c>
      <c r="AB71">
        <f t="shared" si="109"/>
        <v>4.2802137775277806</v>
      </c>
      <c r="AC71">
        <f t="shared" si="110"/>
        <v>1.4775508548836673</v>
      </c>
      <c r="AD71">
        <f t="shared" si="111"/>
        <v>-212.51996590607067</v>
      </c>
      <c r="AE71">
        <f t="shared" si="112"/>
        <v>10.135874713682893</v>
      </c>
      <c r="AF71">
        <f t="shared" si="113"/>
        <v>0.77475561137879834</v>
      </c>
      <c r="AG71">
        <f t="shared" si="114"/>
        <v>142.75116408981526</v>
      </c>
      <c r="AH71">
        <v>0</v>
      </c>
      <c r="AI71">
        <v>0</v>
      </c>
      <c r="AJ71">
        <f t="shared" si="115"/>
        <v>1</v>
      </c>
      <c r="AK71">
        <f t="shared" si="116"/>
        <v>0</v>
      </c>
      <c r="AL71">
        <f t="shared" si="117"/>
        <v>51767.537707181124</v>
      </c>
      <c r="AM71" t="s">
        <v>413</v>
      </c>
      <c r="AN71">
        <v>10366.9</v>
      </c>
      <c r="AO71">
        <v>993.59653846153856</v>
      </c>
      <c r="AP71">
        <v>3431.87</v>
      </c>
      <c r="AQ71">
        <f t="shared" si="118"/>
        <v>0.71047955241266758</v>
      </c>
      <c r="AR71">
        <v>-3.9894345373445681</v>
      </c>
      <c r="AS71" t="s">
        <v>698</v>
      </c>
      <c r="AT71">
        <v>10303</v>
      </c>
      <c r="AU71">
        <v>769.76996153846142</v>
      </c>
      <c r="AV71">
        <v>1088.949697238831</v>
      </c>
      <c r="AW71">
        <f t="shared" si="119"/>
        <v>0.29310787863726862</v>
      </c>
      <c r="AX71">
        <v>0.5</v>
      </c>
      <c r="AY71">
        <f t="shared" si="120"/>
        <v>1513.142999835412</v>
      </c>
      <c r="AZ71">
        <f t="shared" si="121"/>
        <v>42.331030369141331</v>
      </c>
      <c r="BA71">
        <f t="shared" si="122"/>
        <v>221.75706737829523</v>
      </c>
      <c r="BB71">
        <f t="shared" si="123"/>
        <v>3.0612086836157772E-2</v>
      </c>
      <c r="BC71">
        <f t="shared" si="124"/>
        <v>2.1515413509934738</v>
      </c>
      <c r="BD71">
        <f t="shared" si="125"/>
        <v>612.22948020539297</v>
      </c>
      <c r="BE71" t="s">
        <v>699</v>
      </c>
      <c r="BF71">
        <v>566.51</v>
      </c>
      <c r="BG71">
        <f t="shared" si="126"/>
        <v>566.51</v>
      </c>
      <c r="BH71">
        <f t="shared" si="127"/>
        <v>0.47976476651175226</v>
      </c>
      <c r="BI71">
        <f t="shared" si="128"/>
        <v>0.61094081745181394</v>
      </c>
      <c r="BJ71">
        <f t="shared" si="129"/>
        <v>0.8176704856496807</v>
      </c>
      <c r="BK71">
        <f t="shared" si="130"/>
        <v>3.3473430748723079</v>
      </c>
      <c r="BL71">
        <f t="shared" si="131"/>
        <v>0.96089316465876295</v>
      </c>
      <c r="BM71">
        <f t="shared" si="132"/>
        <v>0.44962014600167544</v>
      </c>
      <c r="BN71">
        <f t="shared" si="133"/>
        <v>0.55037985399832456</v>
      </c>
      <c r="BO71">
        <v>16666</v>
      </c>
      <c r="BP71">
        <v>290.00000000000011</v>
      </c>
      <c r="BQ71">
        <v>1006.67</v>
      </c>
      <c r="BR71">
        <v>155</v>
      </c>
      <c r="BS71">
        <v>10303</v>
      </c>
      <c r="BT71">
        <v>1002.24</v>
      </c>
      <c r="BU71">
        <v>4.43</v>
      </c>
      <c r="BV71">
        <v>300.00000000000011</v>
      </c>
      <c r="BW71">
        <v>38.4</v>
      </c>
      <c r="BX71">
        <v>1088.949697238831</v>
      </c>
      <c r="BY71">
        <v>1.3209604913243751</v>
      </c>
      <c r="BZ71">
        <v>-89.337211655518317</v>
      </c>
      <c r="CA71">
        <v>1.112970309508269</v>
      </c>
      <c r="CB71">
        <v>0.99567309684410288</v>
      </c>
      <c r="CC71">
        <v>-1.121303848720802E-2</v>
      </c>
      <c r="CD71">
        <v>289.99999999999989</v>
      </c>
      <c r="CE71">
        <v>995.55</v>
      </c>
      <c r="CF71">
        <v>635</v>
      </c>
      <c r="CG71">
        <v>10275.799999999999</v>
      </c>
      <c r="CH71">
        <v>1002.01</v>
      </c>
      <c r="CI71">
        <v>-6.46</v>
      </c>
      <c r="CW71">
        <f t="shared" si="134"/>
        <v>1799.95</v>
      </c>
      <c r="CX71">
        <f t="shared" si="135"/>
        <v>1513.142999835412</v>
      </c>
      <c r="CY71">
        <f t="shared" si="136"/>
        <v>0.84065835152943802</v>
      </c>
      <c r="CZ71">
        <f t="shared" si="137"/>
        <v>0.19131670305887621</v>
      </c>
      <c r="DA71">
        <v>6</v>
      </c>
      <c r="DB71">
        <v>0.5</v>
      </c>
      <c r="DC71" t="s">
        <v>414</v>
      </c>
      <c r="DD71">
        <v>2</v>
      </c>
      <c r="DE71">
        <v>1693338300.0999999</v>
      </c>
      <c r="DF71">
        <v>1142.7</v>
      </c>
      <c r="DG71">
        <v>1200.1400000000001</v>
      </c>
      <c r="DH71">
        <v>28.161300000000001</v>
      </c>
      <c r="DI71">
        <v>22.5379</v>
      </c>
      <c r="DJ71">
        <v>1142.45</v>
      </c>
      <c r="DK71">
        <v>28.468800000000002</v>
      </c>
      <c r="DL71">
        <v>499.69799999999998</v>
      </c>
      <c r="DM71">
        <v>98.859399999999994</v>
      </c>
      <c r="DN71">
        <v>9.9666299999999999E-2</v>
      </c>
      <c r="DO71">
        <v>30.0806</v>
      </c>
      <c r="DP71">
        <v>30.015999999999998</v>
      </c>
      <c r="DQ71">
        <v>999.9</v>
      </c>
      <c r="DR71">
        <v>0</v>
      </c>
      <c r="DS71">
        <v>0</v>
      </c>
      <c r="DT71">
        <v>10005</v>
      </c>
      <c r="DU71">
        <v>0</v>
      </c>
      <c r="DV71">
        <v>1309.18</v>
      </c>
      <c r="DW71">
        <v>-57.433599999999998</v>
      </c>
      <c r="DX71">
        <v>1175.81</v>
      </c>
      <c r="DY71">
        <v>1227.81</v>
      </c>
      <c r="DZ71">
        <v>5.6233199999999997</v>
      </c>
      <c r="EA71">
        <v>1200.1400000000001</v>
      </c>
      <c r="EB71">
        <v>22.5379</v>
      </c>
      <c r="EC71">
        <v>2.7839999999999998</v>
      </c>
      <c r="ED71">
        <v>2.2280899999999999</v>
      </c>
      <c r="EE71">
        <v>22.7895</v>
      </c>
      <c r="EF71">
        <v>19.165700000000001</v>
      </c>
      <c r="EG71">
        <v>1799.95</v>
      </c>
      <c r="EH71">
        <v>0.97799499999999995</v>
      </c>
      <c r="EI71">
        <v>2.2004800000000001E-2</v>
      </c>
      <c r="EJ71">
        <v>0</v>
      </c>
      <c r="EK71">
        <v>769.69100000000003</v>
      </c>
      <c r="EL71">
        <v>5.0002500000000003</v>
      </c>
      <c r="EM71">
        <v>21201.599999999999</v>
      </c>
      <c r="EN71">
        <v>14821.6</v>
      </c>
      <c r="EO71">
        <v>46.811999999999998</v>
      </c>
      <c r="EP71">
        <v>47.875</v>
      </c>
      <c r="EQ71">
        <v>47.5</v>
      </c>
      <c r="ER71">
        <v>47</v>
      </c>
      <c r="ES71">
        <v>48.061999999999998</v>
      </c>
      <c r="ET71">
        <v>1755.45</v>
      </c>
      <c r="EU71">
        <v>39.5</v>
      </c>
      <c r="EV71">
        <v>0</v>
      </c>
      <c r="EW71">
        <v>118.7999999523163</v>
      </c>
      <c r="EX71">
        <v>0</v>
      </c>
      <c r="EY71">
        <v>769.76996153846142</v>
      </c>
      <c r="EZ71">
        <v>-0.99852991253839474</v>
      </c>
      <c r="FA71">
        <v>20.08888831761476</v>
      </c>
      <c r="FB71">
        <v>21225.40769230769</v>
      </c>
      <c r="FC71">
        <v>15</v>
      </c>
      <c r="FD71">
        <v>1693338267.5999999</v>
      </c>
      <c r="FE71" t="s">
        <v>700</v>
      </c>
      <c r="FF71">
        <v>1693338260.0999999</v>
      </c>
      <c r="FG71">
        <v>1693338267.5999999</v>
      </c>
      <c r="FH71">
        <v>77</v>
      </c>
      <c r="FI71">
        <v>0.17799999999999999</v>
      </c>
      <c r="FJ71">
        <v>-3.0000000000000001E-3</v>
      </c>
      <c r="FK71">
        <v>0.25</v>
      </c>
      <c r="FL71">
        <v>-0.308</v>
      </c>
      <c r="FM71">
        <v>1200</v>
      </c>
      <c r="FN71">
        <v>22</v>
      </c>
      <c r="FO71">
        <v>0.26</v>
      </c>
      <c r="FP71">
        <v>7.0000000000000007E-2</v>
      </c>
      <c r="FQ71">
        <v>42.439356131981683</v>
      </c>
      <c r="FR71">
        <v>-0.53743375767077139</v>
      </c>
      <c r="FS71">
        <v>0.1438601046580896</v>
      </c>
      <c r="FT71">
        <v>1</v>
      </c>
      <c r="FU71">
        <v>0.33813842521917298</v>
      </c>
      <c r="FV71">
        <v>-2.0123586913747171E-2</v>
      </c>
      <c r="FW71">
        <v>2.742363993970035E-3</v>
      </c>
      <c r="FX71">
        <v>1</v>
      </c>
      <c r="FY71">
        <v>2</v>
      </c>
      <c r="FZ71">
        <v>2</v>
      </c>
      <c r="GA71" t="s">
        <v>415</v>
      </c>
      <c r="GB71">
        <v>2.9164599999999998</v>
      </c>
      <c r="GC71">
        <v>2.82959</v>
      </c>
      <c r="GD71">
        <v>0.18418300000000001</v>
      </c>
      <c r="GE71">
        <v>0.186725</v>
      </c>
      <c r="GF71">
        <v>0.13293099999999999</v>
      </c>
      <c r="GG71">
        <v>0.10866000000000001</v>
      </c>
      <c r="GH71">
        <v>21239.3</v>
      </c>
      <c r="GI71">
        <v>25938.2</v>
      </c>
      <c r="GJ71">
        <v>23444.5</v>
      </c>
      <c r="GK71">
        <v>29209.599999999999</v>
      </c>
      <c r="GL71">
        <v>27747.4</v>
      </c>
      <c r="GM71">
        <v>36900</v>
      </c>
      <c r="GN71">
        <v>33156.400000000001</v>
      </c>
      <c r="GO71">
        <v>43153.4</v>
      </c>
      <c r="GP71">
        <v>1.9589000000000001</v>
      </c>
      <c r="GQ71">
        <v>1.7754000000000001</v>
      </c>
      <c r="GR71">
        <v>3.10689E-2</v>
      </c>
      <c r="GS71">
        <v>0</v>
      </c>
      <c r="GT71">
        <v>29.510300000000001</v>
      </c>
      <c r="GU71">
        <v>999.9</v>
      </c>
      <c r="GV71">
        <v>34.6</v>
      </c>
      <c r="GW71">
        <v>40.6</v>
      </c>
      <c r="GX71">
        <v>26.7911</v>
      </c>
      <c r="GY71">
        <v>61.177999999999997</v>
      </c>
      <c r="GZ71">
        <v>38.000799999999998</v>
      </c>
      <c r="HA71">
        <v>1</v>
      </c>
      <c r="HB71">
        <v>0.53521300000000005</v>
      </c>
      <c r="HC71">
        <v>3.41418</v>
      </c>
      <c r="HD71">
        <v>20.281500000000001</v>
      </c>
      <c r="HE71">
        <v>5.2011200000000004</v>
      </c>
      <c r="HF71">
        <v>11.8752</v>
      </c>
      <c r="HG71">
        <v>4.9816000000000003</v>
      </c>
      <c r="HH71">
        <v>3.2822</v>
      </c>
      <c r="HI71">
        <v>9999</v>
      </c>
      <c r="HJ71">
        <v>9999</v>
      </c>
      <c r="HK71">
        <v>9999</v>
      </c>
      <c r="HL71">
        <v>999.9</v>
      </c>
      <c r="HM71">
        <v>1.8546</v>
      </c>
      <c r="HN71">
        <v>1.8606799999999999</v>
      </c>
      <c r="HO71">
        <v>1.85806</v>
      </c>
      <c r="HP71">
        <v>1.8591899999999999</v>
      </c>
      <c r="HQ71">
        <v>1.8586</v>
      </c>
      <c r="HR71">
        <v>1.8591299999999999</v>
      </c>
      <c r="HS71">
        <v>1.85745</v>
      </c>
      <c r="HT71">
        <v>1.8608100000000001</v>
      </c>
      <c r="HU71">
        <v>5</v>
      </c>
      <c r="HV71">
        <v>0</v>
      </c>
      <c r="HW71">
        <v>0</v>
      </c>
      <c r="HX71">
        <v>0</v>
      </c>
      <c r="HY71" t="s">
        <v>416</v>
      </c>
      <c r="HZ71" t="s">
        <v>417</v>
      </c>
      <c r="IA71" t="s">
        <v>418</v>
      </c>
      <c r="IB71" t="s">
        <v>418</v>
      </c>
      <c r="IC71" t="s">
        <v>418</v>
      </c>
      <c r="ID71" t="s">
        <v>418</v>
      </c>
      <c r="IE71">
        <v>0</v>
      </c>
      <c r="IF71">
        <v>100</v>
      </c>
      <c r="IG71">
        <v>100</v>
      </c>
      <c r="IH71">
        <v>0.25</v>
      </c>
      <c r="II71">
        <v>-0.3075</v>
      </c>
      <c r="IJ71">
        <v>0.24952380952345271</v>
      </c>
      <c r="IK71">
        <v>0</v>
      </c>
      <c r="IL71">
        <v>0</v>
      </c>
      <c r="IM71">
        <v>0</v>
      </c>
      <c r="IN71">
        <v>-0.30759499999999917</v>
      </c>
      <c r="IO71">
        <v>0</v>
      </c>
      <c r="IP71">
        <v>0</v>
      </c>
      <c r="IQ71">
        <v>0</v>
      </c>
      <c r="IR71">
        <v>-1</v>
      </c>
      <c r="IS71">
        <v>-1</v>
      </c>
      <c r="IT71">
        <v>-1</v>
      </c>
      <c r="IU71">
        <v>-1</v>
      </c>
      <c r="IV71">
        <v>0.7</v>
      </c>
      <c r="IW71">
        <v>0.5</v>
      </c>
      <c r="IX71">
        <v>2.4084500000000002</v>
      </c>
      <c r="IY71">
        <v>2.4511699999999998</v>
      </c>
      <c r="IZ71">
        <v>1.49414</v>
      </c>
      <c r="JA71">
        <v>2.2888199999999999</v>
      </c>
      <c r="JB71">
        <v>1.54419</v>
      </c>
      <c r="JC71">
        <v>2.5390600000000001</v>
      </c>
      <c r="JD71">
        <v>41.586599999999997</v>
      </c>
      <c r="JE71">
        <v>15.5505</v>
      </c>
      <c r="JF71">
        <v>18</v>
      </c>
      <c r="JG71">
        <v>520.697</v>
      </c>
      <c r="JH71">
        <v>429.45</v>
      </c>
      <c r="JI71">
        <v>25.180700000000002</v>
      </c>
      <c r="JJ71">
        <v>33.960799999999999</v>
      </c>
      <c r="JK71">
        <v>30.0017</v>
      </c>
      <c r="JL71">
        <v>33.997900000000001</v>
      </c>
      <c r="JM71">
        <v>33.981999999999999</v>
      </c>
      <c r="JN71">
        <v>48.250500000000002</v>
      </c>
      <c r="JO71">
        <v>17.449400000000001</v>
      </c>
      <c r="JP71">
        <v>20.670400000000001</v>
      </c>
      <c r="JQ71">
        <v>25.141200000000001</v>
      </c>
      <c r="JR71">
        <v>1200</v>
      </c>
      <c r="JS71">
        <v>22.4968</v>
      </c>
      <c r="JT71">
        <v>98.329300000000003</v>
      </c>
      <c r="JU71">
        <v>97.167000000000002</v>
      </c>
    </row>
    <row r="72" spans="1:281" x14ac:dyDescent="0.25">
      <c r="A72">
        <v>70</v>
      </c>
      <c r="B72">
        <v>1693338450.5999999</v>
      </c>
      <c r="C72">
        <v>17044</v>
      </c>
      <c r="D72" t="s">
        <v>701</v>
      </c>
      <c r="E72" t="s">
        <v>702</v>
      </c>
      <c r="F72" t="s">
        <v>411</v>
      </c>
      <c r="G72" t="s">
        <v>493</v>
      </c>
      <c r="H72" t="s">
        <v>637</v>
      </c>
      <c r="I72" t="s">
        <v>31</v>
      </c>
      <c r="J72">
        <v>1693338450.5999999</v>
      </c>
      <c r="K72">
        <f t="shared" si="92"/>
        <v>4.3790313691752557E-3</v>
      </c>
      <c r="L72">
        <f t="shared" si="93"/>
        <v>4.379031369175256</v>
      </c>
      <c r="M72">
        <f t="shared" si="94"/>
        <v>42.813949132626547</v>
      </c>
      <c r="N72">
        <f t="shared" si="95"/>
        <v>1441.14</v>
      </c>
      <c r="O72">
        <f t="shared" si="96"/>
        <v>1166.6825158169001</v>
      </c>
      <c r="P72">
        <f t="shared" si="97"/>
        <v>115.45320540886244</v>
      </c>
      <c r="Q72">
        <f t="shared" si="98"/>
        <v>142.61311898244</v>
      </c>
      <c r="R72">
        <f t="shared" si="99"/>
        <v>0.29655540362567134</v>
      </c>
      <c r="S72">
        <f t="shared" si="100"/>
        <v>2.9068209536594107</v>
      </c>
      <c r="T72">
        <f t="shared" si="101"/>
        <v>0.28071408328640318</v>
      </c>
      <c r="U72">
        <f t="shared" si="102"/>
        <v>0.17679903165350208</v>
      </c>
      <c r="V72">
        <f t="shared" si="103"/>
        <v>344.36499967099638</v>
      </c>
      <c r="W72">
        <f t="shared" si="104"/>
        <v>30.9421319291415</v>
      </c>
      <c r="X72">
        <f t="shared" si="105"/>
        <v>30.006799999999998</v>
      </c>
      <c r="Y72">
        <f t="shared" si="106"/>
        <v>4.2621141295248082</v>
      </c>
      <c r="Z72">
        <f t="shared" si="107"/>
        <v>64.923205465247818</v>
      </c>
      <c r="AA72">
        <f t="shared" si="108"/>
        <v>2.7732736682315999</v>
      </c>
      <c r="AB72">
        <f t="shared" si="109"/>
        <v>4.271621600255215</v>
      </c>
      <c r="AC72">
        <f t="shared" si="110"/>
        <v>1.4888404612932082</v>
      </c>
      <c r="AD72">
        <f t="shared" si="111"/>
        <v>-193.11528338062877</v>
      </c>
      <c r="AE72">
        <f t="shared" si="112"/>
        <v>6.0804462126433281</v>
      </c>
      <c r="AF72">
        <f t="shared" si="113"/>
        <v>0.46523129152854353</v>
      </c>
      <c r="AG72">
        <f t="shared" si="114"/>
        <v>157.79539379453948</v>
      </c>
      <c r="AH72">
        <v>0</v>
      </c>
      <c r="AI72">
        <v>0</v>
      </c>
      <c r="AJ72">
        <f t="shared" si="115"/>
        <v>1</v>
      </c>
      <c r="AK72">
        <f t="shared" si="116"/>
        <v>0</v>
      </c>
      <c r="AL72">
        <f t="shared" si="117"/>
        <v>51673.659905965709</v>
      </c>
      <c r="AM72" t="s">
        <v>413</v>
      </c>
      <c r="AN72">
        <v>10366.9</v>
      </c>
      <c r="AO72">
        <v>993.59653846153856</v>
      </c>
      <c r="AP72">
        <v>3431.87</v>
      </c>
      <c r="AQ72">
        <f t="shared" si="118"/>
        <v>0.71047955241266758</v>
      </c>
      <c r="AR72">
        <v>-3.9894345373445681</v>
      </c>
      <c r="AS72" t="s">
        <v>703</v>
      </c>
      <c r="AT72">
        <v>10299.5</v>
      </c>
      <c r="AU72">
        <v>766.13279999999997</v>
      </c>
      <c r="AV72">
        <v>1088.454274382839</v>
      </c>
      <c r="AW72">
        <f t="shared" si="119"/>
        <v>0.29612771245314595</v>
      </c>
      <c r="AX72">
        <v>0.5</v>
      </c>
      <c r="AY72">
        <f t="shared" si="120"/>
        <v>1513.1675998354983</v>
      </c>
      <c r="AZ72">
        <f t="shared" si="121"/>
        <v>42.813949132626547</v>
      </c>
      <c r="BA72">
        <f t="shared" si="122"/>
        <v>224.04542994875175</v>
      </c>
      <c r="BB72">
        <f t="shared" si="123"/>
        <v>3.0930733433004558E-2</v>
      </c>
      <c r="BC72">
        <f t="shared" si="124"/>
        <v>2.1529758123701557</v>
      </c>
      <c r="BD72">
        <f t="shared" si="125"/>
        <v>612.07285004788002</v>
      </c>
      <c r="BE72" t="s">
        <v>704</v>
      </c>
      <c r="BF72">
        <v>563.46</v>
      </c>
      <c r="BG72">
        <f t="shared" si="126"/>
        <v>563.46</v>
      </c>
      <c r="BH72">
        <f t="shared" si="127"/>
        <v>0.48233011412492666</v>
      </c>
      <c r="BI72">
        <f t="shared" si="128"/>
        <v>0.61395236121717045</v>
      </c>
      <c r="BJ72">
        <f t="shared" si="129"/>
        <v>0.81697376791224452</v>
      </c>
      <c r="BK72">
        <f t="shared" si="130"/>
        <v>3.3979461058427103</v>
      </c>
      <c r="BL72">
        <f t="shared" si="131"/>
        <v>0.96109635058675957</v>
      </c>
      <c r="BM72">
        <f t="shared" si="132"/>
        <v>0.45153738027066181</v>
      </c>
      <c r="BN72">
        <f t="shared" si="133"/>
        <v>0.54846261972933819</v>
      </c>
      <c r="BO72">
        <v>16668</v>
      </c>
      <c r="BP72">
        <v>290.00000000000011</v>
      </c>
      <c r="BQ72">
        <v>1003.04</v>
      </c>
      <c r="BR72">
        <v>155</v>
      </c>
      <c r="BS72">
        <v>10299.5</v>
      </c>
      <c r="BT72">
        <v>999.31</v>
      </c>
      <c r="BU72">
        <v>3.73</v>
      </c>
      <c r="BV72">
        <v>300.00000000000011</v>
      </c>
      <c r="BW72">
        <v>38.4</v>
      </c>
      <c r="BX72">
        <v>1088.454274382839</v>
      </c>
      <c r="BY72">
        <v>1.210609805859981</v>
      </c>
      <c r="BZ72">
        <v>-91.814190692641873</v>
      </c>
      <c r="CA72">
        <v>1.0196020862565209</v>
      </c>
      <c r="CB72">
        <v>0.99655885641452135</v>
      </c>
      <c r="CC72">
        <v>-1.1209957953281431E-2</v>
      </c>
      <c r="CD72">
        <v>289.99999999999989</v>
      </c>
      <c r="CE72">
        <v>992.24</v>
      </c>
      <c r="CF72">
        <v>685</v>
      </c>
      <c r="CG72">
        <v>10268.4</v>
      </c>
      <c r="CH72">
        <v>999.04</v>
      </c>
      <c r="CI72">
        <v>-6.8</v>
      </c>
      <c r="CW72">
        <f t="shared" si="134"/>
        <v>1799.98</v>
      </c>
      <c r="CX72">
        <f t="shared" si="135"/>
        <v>1513.1675998354983</v>
      </c>
      <c r="CY72">
        <f t="shared" si="136"/>
        <v>0.84065800721980144</v>
      </c>
      <c r="CZ72">
        <f t="shared" si="137"/>
        <v>0.19131601443960289</v>
      </c>
      <c r="DA72">
        <v>6</v>
      </c>
      <c r="DB72">
        <v>0.5</v>
      </c>
      <c r="DC72" t="s">
        <v>414</v>
      </c>
      <c r="DD72">
        <v>2</v>
      </c>
      <c r="DE72">
        <v>1693338450.5999999</v>
      </c>
      <c r="DF72">
        <v>1441.14</v>
      </c>
      <c r="DG72">
        <v>1500.06</v>
      </c>
      <c r="DH72">
        <v>28.0246</v>
      </c>
      <c r="DI72">
        <v>22.919599999999999</v>
      </c>
      <c r="DJ72">
        <v>1441</v>
      </c>
      <c r="DK72">
        <v>28.325600000000001</v>
      </c>
      <c r="DL72">
        <v>500.25200000000001</v>
      </c>
      <c r="DM72">
        <v>98.8583</v>
      </c>
      <c r="DN72">
        <v>0.100246</v>
      </c>
      <c r="DO72">
        <v>30.0456</v>
      </c>
      <c r="DP72">
        <v>30.006799999999998</v>
      </c>
      <c r="DQ72">
        <v>999.9</v>
      </c>
      <c r="DR72">
        <v>0</v>
      </c>
      <c r="DS72">
        <v>0</v>
      </c>
      <c r="DT72">
        <v>9985</v>
      </c>
      <c r="DU72">
        <v>0</v>
      </c>
      <c r="DV72">
        <v>1318.3</v>
      </c>
      <c r="DW72">
        <v>-58.924599999999998</v>
      </c>
      <c r="DX72">
        <v>1482.69</v>
      </c>
      <c r="DY72">
        <v>1535.25</v>
      </c>
      <c r="DZ72">
        <v>5.1050300000000002</v>
      </c>
      <c r="EA72">
        <v>1500.06</v>
      </c>
      <c r="EB72">
        <v>22.919599999999999</v>
      </c>
      <c r="EC72">
        <v>2.77047</v>
      </c>
      <c r="ED72">
        <v>2.26579</v>
      </c>
      <c r="EE72">
        <v>22.709199999999999</v>
      </c>
      <c r="EF72">
        <v>19.435300000000002</v>
      </c>
      <c r="EG72">
        <v>1799.98</v>
      </c>
      <c r="EH72">
        <v>0.97800600000000004</v>
      </c>
      <c r="EI72">
        <v>2.1993499999999999E-2</v>
      </c>
      <c r="EJ72">
        <v>0</v>
      </c>
      <c r="EK72">
        <v>765.70399999999995</v>
      </c>
      <c r="EL72">
        <v>5.0002500000000003</v>
      </c>
      <c r="EM72">
        <v>21206.799999999999</v>
      </c>
      <c r="EN72">
        <v>14821.9</v>
      </c>
      <c r="EO72">
        <v>47.375</v>
      </c>
      <c r="EP72">
        <v>48.436999999999998</v>
      </c>
      <c r="EQ72">
        <v>48.061999999999998</v>
      </c>
      <c r="ER72">
        <v>47.75</v>
      </c>
      <c r="ES72">
        <v>48.5</v>
      </c>
      <c r="ET72">
        <v>1755.5</v>
      </c>
      <c r="EU72">
        <v>39.479999999999997</v>
      </c>
      <c r="EV72">
        <v>0</v>
      </c>
      <c r="EW72">
        <v>148.79999995231631</v>
      </c>
      <c r="EX72">
        <v>0</v>
      </c>
      <c r="EY72">
        <v>766.13279999999997</v>
      </c>
      <c r="EZ72">
        <v>-2.6337692488556139</v>
      </c>
      <c r="FA72">
        <v>-22.97692340090979</v>
      </c>
      <c r="FB72">
        <v>21217.371999999999</v>
      </c>
      <c r="FC72">
        <v>15</v>
      </c>
      <c r="FD72">
        <v>1693338383.5999999</v>
      </c>
      <c r="FE72" t="s">
        <v>705</v>
      </c>
      <c r="FF72">
        <v>1693338383.5999999</v>
      </c>
      <c r="FG72">
        <v>1693338373.0999999</v>
      </c>
      <c r="FH72">
        <v>78</v>
      </c>
      <c r="FI72">
        <v>-0.109</v>
      </c>
      <c r="FJ72">
        <v>7.0000000000000001E-3</v>
      </c>
      <c r="FK72">
        <v>0.14199999999999999</v>
      </c>
      <c r="FL72">
        <v>-0.30099999999999999</v>
      </c>
      <c r="FM72">
        <v>1500</v>
      </c>
      <c r="FN72">
        <v>22</v>
      </c>
      <c r="FO72">
        <v>0.23</v>
      </c>
      <c r="FP72">
        <v>7.0000000000000007E-2</v>
      </c>
      <c r="FQ72">
        <v>42.753178685895207</v>
      </c>
      <c r="FR72">
        <v>0.68076537553807459</v>
      </c>
      <c r="FS72">
        <v>0.1906030371348558</v>
      </c>
      <c r="FT72">
        <v>1</v>
      </c>
      <c r="FU72">
        <v>0.29998700012638763</v>
      </c>
      <c r="FV72">
        <v>-2.8735515645337661E-2</v>
      </c>
      <c r="FW72">
        <v>2.2135888726661271E-3</v>
      </c>
      <c r="FX72">
        <v>1</v>
      </c>
      <c r="FY72">
        <v>2</v>
      </c>
      <c r="FZ72">
        <v>2</v>
      </c>
      <c r="GA72" t="s">
        <v>415</v>
      </c>
      <c r="GB72">
        <v>2.91791</v>
      </c>
      <c r="GC72">
        <v>2.83</v>
      </c>
      <c r="GD72">
        <v>0.21210200000000001</v>
      </c>
      <c r="GE72">
        <v>0.21374099999999999</v>
      </c>
      <c r="GF72">
        <v>0.13247999999999999</v>
      </c>
      <c r="GG72">
        <v>0.109962</v>
      </c>
      <c r="GH72">
        <v>20514.099999999999</v>
      </c>
      <c r="GI72">
        <v>25078.2</v>
      </c>
      <c r="GJ72">
        <v>23447.8</v>
      </c>
      <c r="GK72">
        <v>29213.200000000001</v>
      </c>
      <c r="GL72">
        <v>27768.799999999999</v>
      </c>
      <c r="GM72">
        <v>36853.300000000003</v>
      </c>
      <c r="GN72">
        <v>33162.1</v>
      </c>
      <c r="GO72">
        <v>43158.7</v>
      </c>
      <c r="GP72">
        <v>1.9598</v>
      </c>
      <c r="GQ72">
        <v>1.7793000000000001</v>
      </c>
      <c r="GR72">
        <v>3.1590500000000001E-2</v>
      </c>
      <c r="GS72">
        <v>0</v>
      </c>
      <c r="GT72">
        <v>29.4925</v>
      </c>
      <c r="GU72">
        <v>999.9</v>
      </c>
      <c r="GV72">
        <v>35.1</v>
      </c>
      <c r="GW72">
        <v>40.4</v>
      </c>
      <c r="GX72">
        <v>26.8903</v>
      </c>
      <c r="GY72">
        <v>61.417999999999999</v>
      </c>
      <c r="GZ72">
        <v>37.139400000000002</v>
      </c>
      <c r="HA72">
        <v>1</v>
      </c>
      <c r="HB72">
        <v>0.52866899999999994</v>
      </c>
      <c r="HC72">
        <v>3.2884600000000002</v>
      </c>
      <c r="HD72">
        <v>20.2865</v>
      </c>
      <c r="HE72">
        <v>5.2100999999999997</v>
      </c>
      <c r="HF72">
        <v>11.8734</v>
      </c>
      <c r="HG72">
        <v>4.9847999999999999</v>
      </c>
      <c r="HH72">
        <v>3.2839999999999998</v>
      </c>
      <c r="HI72">
        <v>9999</v>
      </c>
      <c r="HJ72">
        <v>9999</v>
      </c>
      <c r="HK72">
        <v>9999</v>
      </c>
      <c r="HL72">
        <v>999.9</v>
      </c>
      <c r="HM72">
        <v>1.8545499999999999</v>
      </c>
      <c r="HN72">
        <v>1.86066</v>
      </c>
      <c r="HO72">
        <v>1.85806</v>
      </c>
      <c r="HP72">
        <v>1.85914</v>
      </c>
      <c r="HQ72">
        <v>1.8585199999999999</v>
      </c>
      <c r="HR72">
        <v>1.8590500000000001</v>
      </c>
      <c r="HS72">
        <v>1.85745</v>
      </c>
      <c r="HT72">
        <v>1.8608100000000001</v>
      </c>
      <c r="HU72">
        <v>5</v>
      </c>
      <c r="HV72">
        <v>0</v>
      </c>
      <c r="HW72">
        <v>0</v>
      </c>
      <c r="HX72">
        <v>0</v>
      </c>
      <c r="HY72" t="s">
        <v>416</v>
      </c>
      <c r="HZ72" t="s">
        <v>417</v>
      </c>
      <c r="IA72" t="s">
        <v>418</v>
      </c>
      <c r="IB72" t="s">
        <v>418</v>
      </c>
      <c r="IC72" t="s">
        <v>418</v>
      </c>
      <c r="ID72" t="s">
        <v>418</v>
      </c>
      <c r="IE72">
        <v>0</v>
      </c>
      <c r="IF72">
        <v>100</v>
      </c>
      <c r="IG72">
        <v>100</v>
      </c>
      <c r="IH72">
        <v>0.14000000000000001</v>
      </c>
      <c r="II72">
        <v>-0.30099999999999999</v>
      </c>
      <c r="IJ72">
        <v>0.1420000000002801</v>
      </c>
      <c r="IK72">
        <v>0</v>
      </c>
      <c r="IL72">
        <v>0</v>
      </c>
      <c r="IM72">
        <v>0</v>
      </c>
      <c r="IN72">
        <v>-0.30093333333333661</v>
      </c>
      <c r="IO72">
        <v>0</v>
      </c>
      <c r="IP72">
        <v>0</v>
      </c>
      <c r="IQ72">
        <v>0</v>
      </c>
      <c r="IR72">
        <v>-1</v>
      </c>
      <c r="IS72">
        <v>-1</v>
      </c>
      <c r="IT72">
        <v>-1</v>
      </c>
      <c r="IU72">
        <v>-1</v>
      </c>
      <c r="IV72">
        <v>1.1000000000000001</v>
      </c>
      <c r="IW72">
        <v>1.3</v>
      </c>
      <c r="IX72">
        <v>2.8662100000000001</v>
      </c>
      <c r="IY72">
        <v>2.4377399999999998</v>
      </c>
      <c r="IZ72">
        <v>1.49414</v>
      </c>
      <c r="JA72">
        <v>2.2888199999999999</v>
      </c>
      <c r="JB72">
        <v>1.54419</v>
      </c>
      <c r="JC72">
        <v>2.3327599999999999</v>
      </c>
      <c r="JD72">
        <v>41.456200000000003</v>
      </c>
      <c r="JE72">
        <v>15.515499999999999</v>
      </c>
      <c r="JF72">
        <v>18</v>
      </c>
      <c r="JG72">
        <v>520.85699999999997</v>
      </c>
      <c r="JH72">
        <v>431.67</v>
      </c>
      <c r="JI72">
        <v>24.8598</v>
      </c>
      <c r="JJ72">
        <v>33.8996</v>
      </c>
      <c r="JK72">
        <v>29.9999</v>
      </c>
      <c r="JL72">
        <v>33.943199999999997</v>
      </c>
      <c r="JM72">
        <v>33.930399999999999</v>
      </c>
      <c r="JN72">
        <v>57.407800000000002</v>
      </c>
      <c r="JO72">
        <v>17.199300000000001</v>
      </c>
      <c r="JP72">
        <v>22.318000000000001</v>
      </c>
      <c r="JQ72">
        <v>24.866099999999999</v>
      </c>
      <c r="JR72">
        <v>1500</v>
      </c>
      <c r="JS72">
        <v>22.900700000000001</v>
      </c>
      <c r="JT72">
        <v>98.344999999999999</v>
      </c>
      <c r="JU72">
        <v>97.179100000000005</v>
      </c>
    </row>
    <row r="73" spans="1:281" x14ac:dyDescent="0.25">
      <c r="A73">
        <v>71</v>
      </c>
      <c r="B73">
        <v>1693345101.5999999</v>
      </c>
      <c r="C73">
        <v>23695</v>
      </c>
      <c r="D73" t="s">
        <v>706</v>
      </c>
      <c r="E73" t="s">
        <v>707</v>
      </c>
      <c r="F73" t="s">
        <v>411</v>
      </c>
      <c r="G73" t="s">
        <v>565</v>
      </c>
      <c r="H73" t="s">
        <v>31</v>
      </c>
      <c r="I73" t="s">
        <v>412</v>
      </c>
      <c r="J73">
        <v>1693345101.5999999</v>
      </c>
      <c r="K73">
        <f t="shared" si="92"/>
        <v>2.9013076848323012E-3</v>
      </c>
      <c r="L73">
        <f t="shared" si="93"/>
        <v>2.9013076848323012</v>
      </c>
      <c r="M73">
        <f t="shared" si="94"/>
        <v>38.45485641925265</v>
      </c>
      <c r="N73">
        <f t="shared" si="95"/>
        <v>352.79199999999997</v>
      </c>
      <c r="O73">
        <f t="shared" si="96"/>
        <v>54.543667416912037</v>
      </c>
      <c r="P73">
        <f t="shared" si="97"/>
        <v>5.3915449273267599</v>
      </c>
      <c r="Q73">
        <f t="shared" si="98"/>
        <v>34.872864405367999</v>
      </c>
      <c r="R73">
        <f t="shared" si="99"/>
        <v>0.21687462768083121</v>
      </c>
      <c r="S73">
        <f t="shared" si="100"/>
        <v>2.9092431044720173</v>
      </c>
      <c r="T73">
        <f t="shared" si="101"/>
        <v>0.20827654533452747</v>
      </c>
      <c r="U73">
        <f t="shared" si="102"/>
        <v>0.13091694136954321</v>
      </c>
      <c r="V73">
        <f t="shared" si="103"/>
        <v>344.36751283439082</v>
      </c>
      <c r="W73">
        <f t="shared" si="104"/>
        <v>32.034796012064561</v>
      </c>
      <c r="X73">
        <f t="shared" si="105"/>
        <v>29.983599999999999</v>
      </c>
      <c r="Y73">
        <f t="shared" si="106"/>
        <v>4.2564380648484299</v>
      </c>
      <c r="Z73">
        <f t="shared" si="107"/>
        <v>65.855949481439623</v>
      </c>
      <c r="AA73">
        <f t="shared" si="108"/>
        <v>2.9295254235814006</v>
      </c>
      <c r="AB73">
        <f t="shared" si="109"/>
        <v>4.448383853925054</v>
      </c>
      <c r="AC73">
        <f t="shared" si="110"/>
        <v>1.3269126412670293</v>
      </c>
      <c r="AD73">
        <f t="shared" si="111"/>
        <v>-127.94766890110448</v>
      </c>
      <c r="AE73">
        <f t="shared" si="112"/>
        <v>120.76919797118738</v>
      </c>
      <c r="AF73">
        <f t="shared" si="113"/>
        <v>9.264030109422464</v>
      </c>
      <c r="AG73">
        <f t="shared" si="114"/>
        <v>346.45307201389625</v>
      </c>
      <c r="AH73">
        <v>0</v>
      </c>
      <c r="AI73">
        <v>0</v>
      </c>
      <c r="AJ73">
        <f t="shared" si="115"/>
        <v>1</v>
      </c>
      <c r="AK73">
        <f t="shared" si="116"/>
        <v>0</v>
      </c>
      <c r="AL73">
        <f t="shared" si="117"/>
        <v>51619.465983537302</v>
      </c>
      <c r="AM73" t="s">
        <v>413</v>
      </c>
      <c r="AN73">
        <v>10366.9</v>
      </c>
      <c r="AO73">
        <v>993.59653846153856</v>
      </c>
      <c r="AP73">
        <v>3431.87</v>
      </c>
      <c r="AQ73">
        <f t="shared" si="118"/>
        <v>0.71047955241266758</v>
      </c>
      <c r="AR73">
        <v>-3.9894345373445681</v>
      </c>
      <c r="AS73" t="s">
        <v>708</v>
      </c>
      <c r="AT73">
        <v>10299.799999999999</v>
      </c>
      <c r="AU73">
        <v>661.53811999999994</v>
      </c>
      <c r="AV73">
        <v>952.89223530819572</v>
      </c>
      <c r="AW73">
        <f t="shared" si="119"/>
        <v>0.305757675960034</v>
      </c>
      <c r="AX73">
        <v>0.5</v>
      </c>
      <c r="AY73">
        <f t="shared" si="120"/>
        <v>1513.1763064171953</v>
      </c>
      <c r="AZ73">
        <f t="shared" si="121"/>
        <v>38.45485641925265</v>
      </c>
      <c r="BA73">
        <f t="shared" si="122"/>
        <v>231.33263538395497</v>
      </c>
      <c r="BB73">
        <f t="shared" si="123"/>
        <v>2.804979880837162E-2</v>
      </c>
      <c r="BC73">
        <f t="shared" si="124"/>
        <v>2.6015300291433521</v>
      </c>
      <c r="BD73">
        <f t="shared" si="125"/>
        <v>566.73438679843184</v>
      </c>
      <c r="BE73" t="s">
        <v>709</v>
      </c>
      <c r="BF73">
        <v>531.54999999999995</v>
      </c>
      <c r="BG73">
        <f t="shared" si="126"/>
        <v>531.54999999999995</v>
      </c>
      <c r="BH73">
        <f t="shared" si="127"/>
        <v>0.4421719683463684</v>
      </c>
      <c r="BI73">
        <f t="shared" si="128"/>
        <v>0.69149041062802874</v>
      </c>
      <c r="BJ73">
        <f t="shared" si="129"/>
        <v>0.85472560430980182</v>
      </c>
      <c r="BK73">
        <f t="shared" si="130"/>
        <v>-7.157820985427394</v>
      </c>
      <c r="BL73">
        <f t="shared" si="131"/>
        <v>1.016693904024883</v>
      </c>
      <c r="BM73">
        <f t="shared" si="132"/>
        <v>0.55561685208605771</v>
      </c>
      <c r="BN73">
        <f t="shared" si="133"/>
        <v>0.44438314791394229</v>
      </c>
      <c r="BO73">
        <v>16678</v>
      </c>
      <c r="BP73">
        <v>290.00000000000011</v>
      </c>
      <c r="BQ73">
        <v>868.2</v>
      </c>
      <c r="BR73">
        <v>265</v>
      </c>
      <c r="BS73">
        <v>10299.799999999999</v>
      </c>
      <c r="BT73">
        <v>868.4</v>
      </c>
      <c r="BU73">
        <v>-0.2</v>
      </c>
      <c r="BV73">
        <v>300.00000000000011</v>
      </c>
      <c r="BW73">
        <v>38.5</v>
      </c>
      <c r="BX73">
        <v>952.89223530819572</v>
      </c>
      <c r="BY73">
        <v>1.0387634082461059</v>
      </c>
      <c r="BZ73">
        <v>-87.028069591645874</v>
      </c>
      <c r="CA73">
        <v>0.87606604862284232</v>
      </c>
      <c r="CB73">
        <v>0.99717067700395767</v>
      </c>
      <c r="CC73">
        <v>-1.1227663848720801E-2</v>
      </c>
      <c r="CD73">
        <v>289.99999999999989</v>
      </c>
      <c r="CE73">
        <v>859.45</v>
      </c>
      <c r="CF73">
        <v>635</v>
      </c>
      <c r="CG73">
        <v>10285.6</v>
      </c>
      <c r="CH73">
        <v>868.28</v>
      </c>
      <c r="CI73">
        <v>-8.83</v>
      </c>
      <c r="CW73">
        <f t="shared" si="134"/>
        <v>1799.99</v>
      </c>
      <c r="CX73">
        <f t="shared" si="135"/>
        <v>1513.1763064171953</v>
      </c>
      <c r="CY73">
        <f t="shared" si="136"/>
        <v>0.84065817388829678</v>
      </c>
      <c r="CZ73">
        <f t="shared" si="137"/>
        <v>0.19131634777659365</v>
      </c>
      <c r="DA73">
        <v>6</v>
      </c>
      <c r="DB73">
        <v>0.5</v>
      </c>
      <c r="DC73" t="s">
        <v>414</v>
      </c>
      <c r="DD73">
        <v>2</v>
      </c>
      <c r="DE73">
        <v>1693345101.5999999</v>
      </c>
      <c r="DF73">
        <v>352.79199999999997</v>
      </c>
      <c r="DG73">
        <v>400.12</v>
      </c>
      <c r="DH73">
        <v>29.636600000000001</v>
      </c>
      <c r="DI73">
        <v>26.261500000000002</v>
      </c>
      <c r="DJ73">
        <v>353.60399999999998</v>
      </c>
      <c r="DK73">
        <v>30.006900000000002</v>
      </c>
      <c r="DL73">
        <v>500.48700000000002</v>
      </c>
      <c r="DM73">
        <v>98.748199999999997</v>
      </c>
      <c r="DN73">
        <v>0.10002900000000001</v>
      </c>
      <c r="DO73">
        <v>30.753599999999999</v>
      </c>
      <c r="DP73">
        <v>29.983599999999999</v>
      </c>
      <c r="DQ73">
        <v>999.9</v>
      </c>
      <c r="DR73">
        <v>0</v>
      </c>
      <c r="DS73">
        <v>0</v>
      </c>
      <c r="DT73">
        <v>10010</v>
      </c>
      <c r="DU73">
        <v>0</v>
      </c>
      <c r="DV73">
        <v>280.315</v>
      </c>
      <c r="DW73">
        <v>-47.328600000000002</v>
      </c>
      <c r="DX73">
        <v>363.56599999999997</v>
      </c>
      <c r="DY73">
        <v>410.911</v>
      </c>
      <c r="DZ73">
        <v>3.3751000000000002</v>
      </c>
      <c r="EA73">
        <v>400.12</v>
      </c>
      <c r="EB73">
        <v>26.261500000000002</v>
      </c>
      <c r="EC73">
        <v>2.9265599999999998</v>
      </c>
      <c r="ED73">
        <v>2.59328</v>
      </c>
      <c r="EE73">
        <v>23.6159</v>
      </c>
      <c r="EF73">
        <v>21.624099999999999</v>
      </c>
      <c r="EG73">
        <v>1799.99</v>
      </c>
      <c r="EH73">
        <v>0.97799700000000001</v>
      </c>
      <c r="EI73">
        <v>2.2002899999999999E-2</v>
      </c>
      <c r="EJ73">
        <v>0</v>
      </c>
      <c r="EK73">
        <v>659.63800000000003</v>
      </c>
      <c r="EL73">
        <v>5.0002500000000003</v>
      </c>
      <c r="EM73">
        <v>23870</v>
      </c>
      <c r="EN73">
        <v>14822</v>
      </c>
      <c r="EO73">
        <v>50.436999999999998</v>
      </c>
      <c r="EP73">
        <v>51.436999999999998</v>
      </c>
      <c r="EQ73">
        <v>51.311999999999998</v>
      </c>
      <c r="ER73">
        <v>50.311999999999998</v>
      </c>
      <c r="ES73">
        <v>51.436999999999998</v>
      </c>
      <c r="ET73">
        <v>1755.49</v>
      </c>
      <c r="EU73">
        <v>39.49</v>
      </c>
      <c r="EV73">
        <v>0</v>
      </c>
      <c r="EW73">
        <v>2877.2000000476842</v>
      </c>
      <c r="EX73">
        <v>0</v>
      </c>
      <c r="EY73">
        <v>661.53811999999994</v>
      </c>
      <c r="EZ73">
        <v>-13.52853841683312</v>
      </c>
      <c r="FA73">
        <v>647.62307411443624</v>
      </c>
      <c r="FB73">
        <v>23829.475999999999</v>
      </c>
      <c r="FC73">
        <v>15</v>
      </c>
      <c r="FD73">
        <v>1693345003.0999999</v>
      </c>
      <c r="FE73" t="s">
        <v>710</v>
      </c>
      <c r="FF73">
        <v>1693345003.0999999</v>
      </c>
      <c r="FG73">
        <v>1693345002.0999999</v>
      </c>
      <c r="FH73">
        <v>91</v>
      </c>
      <c r="FI73">
        <v>0.04</v>
      </c>
      <c r="FJ73">
        <v>-0.11799999999999999</v>
      </c>
      <c r="FK73">
        <v>-0.81299999999999994</v>
      </c>
      <c r="FL73">
        <v>-0.37</v>
      </c>
      <c r="FM73">
        <v>400</v>
      </c>
      <c r="FN73">
        <v>18</v>
      </c>
      <c r="FO73">
        <v>0.22</v>
      </c>
      <c r="FP73">
        <v>0.04</v>
      </c>
      <c r="FQ73">
        <v>38.371573485906723</v>
      </c>
      <c r="FR73">
        <v>-0.61186785439799074</v>
      </c>
      <c r="FS73">
        <v>9.2300401955419845E-2</v>
      </c>
      <c r="FT73">
        <v>1</v>
      </c>
      <c r="FU73">
        <v>0.19049001465340679</v>
      </c>
      <c r="FV73">
        <v>3.7185868594097123E-2</v>
      </c>
      <c r="FW73">
        <v>3.1157140193118272E-3</v>
      </c>
      <c r="FX73">
        <v>1</v>
      </c>
      <c r="FY73">
        <v>2</v>
      </c>
      <c r="FZ73">
        <v>2</v>
      </c>
      <c r="GA73" t="s">
        <v>415</v>
      </c>
      <c r="GB73">
        <v>2.91913</v>
      </c>
      <c r="GC73">
        <v>2.8300100000000001</v>
      </c>
      <c r="GD73">
        <v>8.1385600000000002E-2</v>
      </c>
      <c r="GE73">
        <v>8.7936100000000003E-2</v>
      </c>
      <c r="GF73">
        <v>0.13794999999999999</v>
      </c>
      <c r="GG73">
        <v>0.12098</v>
      </c>
      <c r="GH73">
        <v>23975.5</v>
      </c>
      <c r="GI73">
        <v>29110.1</v>
      </c>
      <c r="GJ73">
        <v>23499.9</v>
      </c>
      <c r="GK73">
        <v>29225.1</v>
      </c>
      <c r="GL73">
        <v>27642.6</v>
      </c>
      <c r="GM73">
        <v>36390.800000000003</v>
      </c>
      <c r="GN73">
        <v>33239.699999999997</v>
      </c>
      <c r="GO73">
        <v>43175.199999999997</v>
      </c>
      <c r="GP73">
        <v>1.9673</v>
      </c>
      <c r="GQ73">
        <v>1.8129</v>
      </c>
      <c r="GR73">
        <v>2.0146399999999998E-2</v>
      </c>
      <c r="GS73">
        <v>0</v>
      </c>
      <c r="GT73">
        <v>29.6557</v>
      </c>
      <c r="GU73">
        <v>999.9</v>
      </c>
      <c r="GV73">
        <v>46.9</v>
      </c>
      <c r="GW73">
        <v>36.6</v>
      </c>
      <c r="GX73">
        <v>29.297799999999999</v>
      </c>
      <c r="GY73">
        <v>61.050699999999999</v>
      </c>
      <c r="GZ73">
        <v>35.885399999999997</v>
      </c>
      <c r="HA73">
        <v>1</v>
      </c>
      <c r="HB73">
        <v>0.46740900000000002</v>
      </c>
      <c r="HC73">
        <v>1.0250499999999999E-2</v>
      </c>
      <c r="HD73">
        <v>20.319099999999999</v>
      </c>
      <c r="HE73">
        <v>5.2107000000000001</v>
      </c>
      <c r="HF73">
        <v>11.872199999999999</v>
      </c>
      <c r="HG73">
        <v>4.9837999999999996</v>
      </c>
      <c r="HH73">
        <v>3.2839999999999998</v>
      </c>
      <c r="HI73">
        <v>9999</v>
      </c>
      <c r="HJ73">
        <v>9999</v>
      </c>
      <c r="HK73">
        <v>9999</v>
      </c>
      <c r="HL73">
        <v>999.9</v>
      </c>
      <c r="HM73">
        <v>1.85463</v>
      </c>
      <c r="HN73">
        <v>1.86066</v>
      </c>
      <c r="HO73">
        <v>1.85816</v>
      </c>
      <c r="HP73">
        <v>1.85928</v>
      </c>
      <c r="HQ73">
        <v>1.85867</v>
      </c>
      <c r="HR73">
        <v>1.8591299999999999</v>
      </c>
      <c r="HS73">
        <v>1.8575999999999999</v>
      </c>
      <c r="HT73">
        <v>1.86094</v>
      </c>
      <c r="HU73">
        <v>5</v>
      </c>
      <c r="HV73">
        <v>0</v>
      </c>
      <c r="HW73">
        <v>0</v>
      </c>
      <c r="HX73">
        <v>0</v>
      </c>
      <c r="HY73" t="s">
        <v>416</v>
      </c>
      <c r="HZ73" t="s">
        <v>417</v>
      </c>
      <c r="IA73" t="s">
        <v>418</v>
      </c>
      <c r="IB73" t="s">
        <v>418</v>
      </c>
      <c r="IC73" t="s">
        <v>418</v>
      </c>
      <c r="ID73" t="s">
        <v>418</v>
      </c>
      <c r="IE73">
        <v>0</v>
      </c>
      <c r="IF73">
        <v>100</v>
      </c>
      <c r="IG73">
        <v>100</v>
      </c>
      <c r="IH73">
        <v>-0.81200000000000006</v>
      </c>
      <c r="II73">
        <v>-0.37030000000000002</v>
      </c>
      <c r="IJ73">
        <v>-0.81276190476188503</v>
      </c>
      <c r="IK73">
        <v>0</v>
      </c>
      <c r="IL73">
        <v>0</v>
      </c>
      <c r="IM73">
        <v>0</v>
      </c>
      <c r="IN73">
        <v>-0.37032857142856912</v>
      </c>
      <c r="IO73">
        <v>0</v>
      </c>
      <c r="IP73">
        <v>0</v>
      </c>
      <c r="IQ73">
        <v>0</v>
      </c>
      <c r="IR73">
        <v>-1</v>
      </c>
      <c r="IS73">
        <v>-1</v>
      </c>
      <c r="IT73">
        <v>-1</v>
      </c>
      <c r="IU73">
        <v>-1</v>
      </c>
      <c r="IV73">
        <v>1.6</v>
      </c>
      <c r="IW73">
        <v>1.7</v>
      </c>
      <c r="IX73">
        <v>0.99853499999999995</v>
      </c>
      <c r="IY73">
        <v>2.47681</v>
      </c>
      <c r="IZ73">
        <v>1.49414</v>
      </c>
      <c r="JA73">
        <v>2.2936999999999999</v>
      </c>
      <c r="JB73">
        <v>1.54419</v>
      </c>
      <c r="JC73">
        <v>2.5476100000000002</v>
      </c>
      <c r="JD73">
        <v>39.3917</v>
      </c>
      <c r="JE73">
        <v>16.1021</v>
      </c>
      <c r="JF73">
        <v>18</v>
      </c>
      <c r="JG73">
        <v>520.197</v>
      </c>
      <c r="JH73">
        <v>449.03300000000002</v>
      </c>
      <c r="JI73">
        <v>24.919699999999999</v>
      </c>
      <c r="JJ73">
        <v>33.299500000000002</v>
      </c>
      <c r="JK73">
        <v>29.993400000000001</v>
      </c>
      <c r="JL73">
        <v>33.2498</v>
      </c>
      <c r="JM73">
        <v>33.216900000000003</v>
      </c>
      <c r="JN73">
        <v>20.074400000000001</v>
      </c>
      <c r="JO73">
        <v>17.168700000000001</v>
      </c>
      <c r="JP73">
        <v>41.834699999999998</v>
      </c>
      <c r="JQ73">
        <v>25.295400000000001</v>
      </c>
      <c r="JR73">
        <v>400</v>
      </c>
      <c r="JS73">
        <v>25.960599999999999</v>
      </c>
      <c r="JT73">
        <v>98.570300000000003</v>
      </c>
      <c r="JU73">
        <v>97.217200000000005</v>
      </c>
    </row>
    <row r="74" spans="1:281" x14ac:dyDescent="0.25">
      <c r="A74">
        <v>72</v>
      </c>
      <c r="B74">
        <v>1693345252.0999999</v>
      </c>
      <c r="C74">
        <v>23845.5</v>
      </c>
      <c r="D74" t="s">
        <v>711</v>
      </c>
      <c r="E74" t="s">
        <v>712</v>
      </c>
      <c r="F74" t="s">
        <v>411</v>
      </c>
      <c r="G74" t="s">
        <v>565</v>
      </c>
      <c r="H74" t="s">
        <v>31</v>
      </c>
      <c r="I74" t="s">
        <v>412</v>
      </c>
      <c r="J74">
        <v>1693345252.0999999</v>
      </c>
      <c r="K74">
        <f t="shared" si="92"/>
        <v>3.6663197937529678E-3</v>
      </c>
      <c r="L74">
        <f t="shared" si="93"/>
        <v>3.6663197937529679</v>
      </c>
      <c r="M74">
        <f t="shared" si="94"/>
        <v>28.667131554839944</v>
      </c>
      <c r="N74">
        <f t="shared" si="95"/>
        <v>264.47199999999998</v>
      </c>
      <c r="O74">
        <f t="shared" si="96"/>
        <v>85.245953799422793</v>
      </c>
      <c r="P74">
        <f t="shared" si="97"/>
        <v>8.4261714246369124</v>
      </c>
      <c r="Q74">
        <f t="shared" si="98"/>
        <v>26.141843802464003</v>
      </c>
      <c r="R74">
        <f t="shared" si="99"/>
        <v>0.27333822598812213</v>
      </c>
      <c r="S74">
        <f t="shared" si="100"/>
        <v>2.8986974360022977</v>
      </c>
      <c r="T74">
        <f t="shared" si="101"/>
        <v>0.25978363723331027</v>
      </c>
      <c r="U74">
        <f t="shared" si="102"/>
        <v>0.16352656940366275</v>
      </c>
      <c r="V74">
        <f t="shared" si="103"/>
        <v>344.36689967099824</v>
      </c>
      <c r="W74">
        <f t="shared" si="104"/>
        <v>31.771974184463456</v>
      </c>
      <c r="X74">
        <f t="shared" si="105"/>
        <v>29.932500000000001</v>
      </c>
      <c r="Y74">
        <f t="shared" si="106"/>
        <v>4.2439592730803444</v>
      </c>
      <c r="Z74">
        <f t="shared" si="107"/>
        <v>65.427136961360915</v>
      </c>
      <c r="AA74">
        <f t="shared" si="108"/>
        <v>2.8993632784076002</v>
      </c>
      <c r="AB74">
        <f t="shared" si="109"/>
        <v>4.4314384108231231</v>
      </c>
      <c r="AC74">
        <f t="shared" si="110"/>
        <v>1.3445959946727442</v>
      </c>
      <c r="AD74">
        <f t="shared" si="111"/>
        <v>-161.68470290450588</v>
      </c>
      <c r="AE74">
        <f t="shared" si="112"/>
        <v>117.87791280484696</v>
      </c>
      <c r="AF74">
        <f t="shared" si="113"/>
        <v>9.0698501975633832</v>
      </c>
      <c r="AG74">
        <f t="shared" si="114"/>
        <v>309.62995976890267</v>
      </c>
      <c r="AH74">
        <v>0</v>
      </c>
      <c r="AI74">
        <v>0</v>
      </c>
      <c r="AJ74">
        <f t="shared" si="115"/>
        <v>1</v>
      </c>
      <c r="AK74">
        <f t="shared" si="116"/>
        <v>0</v>
      </c>
      <c r="AL74">
        <f t="shared" si="117"/>
        <v>51332.352872142881</v>
      </c>
      <c r="AM74" t="s">
        <v>413</v>
      </c>
      <c r="AN74">
        <v>10366.9</v>
      </c>
      <c r="AO74">
        <v>993.59653846153856</v>
      </c>
      <c r="AP74">
        <v>3431.87</v>
      </c>
      <c r="AQ74">
        <f t="shared" si="118"/>
        <v>0.71047955241266758</v>
      </c>
      <c r="AR74">
        <v>-3.9894345373445681</v>
      </c>
      <c r="AS74" t="s">
        <v>713</v>
      </c>
      <c r="AT74">
        <v>10302.299999999999</v>
      </c>
      <c r="AU74">
        <v>599.24488000000008</v>
      </c>
      <c r="AV74">
        <v>799.24098271338823</v>
      </c>
      <c r="AW74">
        <f t="shared" si="119"/>
        <v>0.25023254192297562</v>
      </c>
      <c r="AX74">
        <v>0.5</v>
      </c>
      <c r="AY74">
        <f t="shared" si="120"/>
        <v>1513.1759998354989</v>
      </c>
      <c r="AZ74">
        <f t="shared" si="121"/>
        <v>28.667131554839944</v>
      </c>
      <c r="BA74">
        <f t="shared" si="122"/>
        <v>189.32293840783851</v>
      </c>
      <c r="BB74">
        <f t="shared" si="123"/>
        <v>2.1581472410172171E-2</v>
      </c>
      <c r="BC74">
        <f t="shared" si="124"/>
        <v>3.2939114412638739</v>
      </c>
      <c r="BD74">
        <f t="shared" si="125"/>
        <v>508.58349274348831</v>
      </c>
      <c r="BE74" t="s">
        <v>714</v>
      </c>
      <c r="BF74">
        <v>501.14</v>
      </c>
      <c r="BG74">
        <f t="shared" si="126"/>
        <v>501.14</v>
      </c>
      <c r="BH74">
        <f t="shared" si="127"/>
        <v>0.37298010132231763</v>
      </c>
      <c r="BI74">
        <f t="shared" si="128"/>
        <v>0.67090051462754197</v>
      </c>
      <c r="BJ74">
        <f t="shared" si="129"/>
        <v>0.89828439238231139</v>
      </c>
      <c r="BK74">
        <f t="shared" si="130"/>
        <v>-1.029021794327027</v>
      </c>
      <c r="BL74">
        <f t="shared" si="131"/>
        <v>1.0797103191311113</v>
      </c>
      <c r="BM74">
        <f t="shared" si="132"/>
        <v>0.56106459165816536</v>
      </c>
      <c r="BN74">
        <f t="shared" si="133"/>
        <v>0.43893540834183464</v>
      </c>
      <c r="BO74">
        <v>16680</v>
      </c>
      <c r="BP74">
        <v>290.00000000000011</v>
      </c>
      <c r="BQ74">
        <v>743.13</v>
      </c>
      <c r="BR74">
        <v>225</v>
      </c>
      <c r="BS74">
        <v>10302.299999999999</v>
      </c>
      <c r="BT74">
        <v>743.17</v>
      </c>
      <c r="BU74">
        <v>-0.04</v>
      </c>
      <c r="BV74">
        <v>300.00000000000011</v>
      </c>
      <c r="BW74">
        <v>38.5</v>
      </c>
      <c r="BX74">
        <v>799.24098271338823</v>
      </c>
      <c r="BY74">
        <v>1.13304745128968</v>
      </c>
      <c r="BZ74">
        <v>-57.767965344275908</v>
      </c>
      <c r="CA74">
        <v>0.95531207322073108</v>
      </c>
      <c r="CB74">
        <v>0.99240091022677623</v>
      </c>
      <c r="CC74">
        <v>-1.122373770856509E-2</v>
      </c>
      <c r="CD74">
        <v>289.99999999999989</v>
      </c>
      <c r="CE74">
        <v>738.82</v>
      </c>
      <c r="CF74">
        <v>685</v>
      </c>
      <c r="CG74">
        <v>10278.9</v>
      </c>
      <c r="CH74">
        <v>743.04</v>
      </c>
      <c r="CI74">
        <v>-4.22</v>
      </c>
      <c r="CW74">
        <f t="shared" si="134"/>
        <v>1799.99</v>
      </c>
      <c r="CX74">
        <f t="shared" si="135"/>
        <v>1513.1759998354989</v>
      </c>
      <c r="CY74">
        <f t="shared" si="136"/>
        <v>0.84065800356418585</v>
      </c>
      <c r="CZ74">
        <f t="shared" si="137"/>
        <v>0.19131600712837196</v>
      </c>
      <c r="DA74">
        <v>6</v>
      </c>
      <c r="DB74">
        <v>0.5</v>
      </c>
      <c r="DC74" t="s">
        <v>414</v>
      </c>
      <c r="DD74">
        <v>2</v>
      </c>
      <c r="DE74">
        <v>1693345252.0999999</v>
      </c>
      <c r="DF74">
        <v>264.47199999999998</v>
      </c>
      <c r="DG74">
        <v>300.05</v>
      </c>
      <c r="DH74">
        <v>29.3323</v>
      </c>
      <c r="DI74">
        <v>25.060099999999998</v>
      </c>
      <c r="DJ74">
        <v>265.392</v>
      </c>
      <c r="DK74">
        <v>29.585999999999999</v>
      </c>
      <c r="DL74">
        <v>499.80500000000001</v>
      </c>
      <c r="DM74">
        <v>98.745400000000004</v>
      </c>
      <c r="DN74">
        <v>0.100012</v>
      </c>
      <c r="DO74">
        <v>30.686800000000002</v>
      </c>
      <c r="DP74">
        <v>29.932500000000001</v>
      </c>
      <c r="DQ74">
        <v>999.9</v>
      </c>
      <c r="DR74">
        <v>0</v>
      </c>
      <c r="DS74">
        <v>0</v>
      </c>
      <c r="DT74">
        <v>9950</v>
      </c>
      <c r="DU74">
        <v>0</v>
      </c>
      <c r="DV74">
        <v>231.62799999999999</v>
      </c>
      <c r="DW74">
        <v>-35.5779</v>
      </c>
      <c r="DX74">
        <v>272.464</v>
      </c>
      <c r="DY74">
        <v>307.762</v>
      </c>
      <c r="DZ74">
        <v>4.2722800000000003</v>
      </c>
      <c r="EA74">
        <v>300.05</v>
      </c>
      <c r="EB74">
        <v>25.060099999999998</v>
      </c>
      <c r="EC74">
        <v>2.8964300000000001</v>
      </c>
      <c r="ED74">
        <v>2.4745699999999999</v>
      </c>
      <c r="EE74">
        <v>23.444199999999999</v>
      </c>
      <c r="EF74">
        <v>20.860199999999999</v>
      </c>
      <c r="EG74">
        <v>1799.99</v>
      </c>
      <c r="EH74">
        <v>0.97800500000000001</v>
      </c>
      <c r="EI74">
        <v>2.1995299999999999E-2</v>
      </c>
      <c r="EJ74">
        <v>0</v>
      </c>
      <c r="EK74">
        <v>598.93600000000004</v>
      </c>
      <c r="EL74">
        <v>5.0002500000000003</v>
      </c>
      <c r="EM74">
        <v>20829.900000000001</v>
      </c>
      <c r="EN74">
        <v>14822</v>
      </c>
      <c r="EO74">
        <v>50.5</v>
      </c>
      <c r="EP74">
        <v>51.436999999999998</v>
      </c>
      <c r="EQ74">
        <v>51.375</v>
      </c>
      <c r="ER74">
        <v>50.375</v>
      </c>
      <c r="ES74">
        <v>51.5</v>
      </c>
      <c r="ET74">
        <v>1755.51</v>
      </c>
      <c r="EU74">
        <v>39.479999999999997</v>
      </c>
      <c r="EV74">
        <v>0</v>
      </c>
      <c r="EW74">
        <v>148.39999985694891</v>
      </c>
      <c r="EX74">
        <v>0</v>
      </c>
      <c r="EY74">
        <v>599.24488000000008</v>
      </c>
      <c r="EZ74">
        <v>-6.0381538438983373</v>
      </c>
      <c r="FA74">
        <v>9183.7769300490927</v>
      </c>
      <c r="FB74">
        <v>19070.364000000001</v>
      </c>
      <c r="FC74">
        <v>15</v>
      </c>
      <c r="FD74">
        <v>1693345224.5999999</v>
      </c>
      <c r="FE74" t="s">
        <v>715</v>
      </c>
      <c r="FF74">
        <v>1693345214.5999999</v>
      </c>
      <c r="FG74">
        <v>1693345224.5999999</v>
      </c>
      <c r="FH74">
        <v>92</v>
      </c>
      <c r="FI74">
        <v>-0.107</v>
      </c>
      <c r="FJ74">
        <v>0.11700000000000001</v>
      </c>
      <c r="FK74">
        <v>-0.92</v>
      </c>
      <c r="FL74">
        <v>-0.254</v>
      </c>
      <c r="FM74">
        <v>300</v>
      </c>
      <c r="FN74">
        <v>25</v>
      </c>
      <c r="FO74">
        <v>0.18</v>
      </c>
      <c r="FP74">
        <v>0.75</v>
      </c>
      <c r="FQ74">
        <v>28.64580807027334</v>
      </c>
      <c r="FR74">
        <v>-0.50899369055286792</v>
      </c>
      <c r="FS74">
        <v>7.8929218337148235E-2</v>
      </c>
      <c r="FT74">
        <v>1</v>
      </c>
      <c r="FU74">
        <v>0.27663033067693432</v>
      </c>
      <c r="FV74">
        <v>3.8994370743514258E-2</v>
      </c>
      <c r="FW74">
        <v>5.3702079144559416E-3</v>
      </c>
      <c r="FX74">
        <v>1</v>
      </c>
      <c r="FY74">
        <v>2</v>
      </c>
      <c r="FZ74">
        <v>2</v>
      </c>
      <c r="GA74" t="s">
        <v>415</v>
      </c>
      <c r="GB74">
        <v>2.9174699999999998</v>
      </c>
      <c r="GC74">
        <v>2.8294700000000002</v>
      </c>
      <c r="GD74">
        <v>6.4526100000000003E-2</v>
      </c>
      <c r="GE74">
        <v>7.0045200000000002E-2</v>
      </c>
      <c r="GF74">
        <v>0.13661300000000001</v>
      </c>
      <c r="GG74">
        <v>0.117115</v>
      </c>
      <c r="GH74">
        <v>24419.200000000001</v>
      </c>
      <c r="GI74">
        <v>29677.3</v>
      </c>
      <c r="GJ74">
        <v>23503.5</v>
      </c>
      <c r="GK74">
        <v>29221.599999999999</v>
      </c>
      <c r="GL74">
        <v>27686.7</v>
      </c>
      <c r="GM74">
        <v>36544.400000000001</v>
      </c>
      <c r="GN74">
        <v>33243.1</v>
      </c>
      <c r="GO74">
        <v>43168.7</v>
      </c>
      <c r="GP74">
        <v>1.9664999999999999</v>
      </c>
      <c r="GQ74">
        <v>1.8123</v>
      </c>
      <c r="GR74">
        <v>3.2961400000000002E-2</v>
      </c>
      <c r="GS74">
        <v>0</v>
      </c>
      <c r="GT74">
        <v>29.395800000000001</v>
      </c>
      <c r="GU74">
        <v>999.9</v>
      </c>
      <c r="GV74">
        <v>47.9</v>
      </c>
      <c r="GW74">
        <v>36.5</v>
      </c>
      <c r="GX74">
        <v>29.761399999999998</v>
      </c>
      <c r="GY74">
        <v>61.220700000000001</v>
      </c>
      <c r="GZ74">
        <v>36.822899999999997</v>
      </c>
      <c r="HA74">
        <v>1</v>
      </c>
      <c r="HB74">
        <v>0.46501999999999999</v>
      </c>
      <c r="HC74">
        <v>2.2840699999999998</v>
      </c>
      <c r="HD74">
        <v>20.307500000000001</v>
      </c>
      <c r="HE74">
        <v>5.2100999999999997</v>
      </c>
      <c r="HF74">
        <v>11.872199999999999</v>
      </c>
      <c r="HG74">
        <v>4.9836</v>
      </c>
      <c r="HH74">
        <v>3.2839999999999998</v>
      </c>
      <c r="HI74">
        <v>9999</v>
      </c>
      <c r="HJ74">
        <v>9999</v>
      </c>
      <c r="HK74">
        <v>9999</v>
      </c>
      <c r="HL74">
        <v>999.9</v>
      </c>
      <c r="HM74">
        <v>1.8546100000000001</v>
      </c>
      <c r="HN74">
        <v>1.8606799999999999</v>
      </c>
      <c r="HO74">
        <v>1.85806</v>
      </c>
      <c r="HP74">
        <v>1.85928</v>
      </c>
      <c r="HQ74">
        <v>1.85867</v>
      </c>
      <c r="HR74">
        <v>1.85914</v>
      </c>
      <c r="HS74">
        <v>1.8575699999999999</v>
      </c>
      <c r="HT74">
        <v>1.86093</v>
      </c>
      <c r="HU74">
        <v>5</v>
      </c>
      <c r="HV74">
        <v>0</v>
      </c>
      <c r="HW74">
        <v>0</v>
      </c>
      <c r="HX74">
        <v>0</v>
      </c>
      <c r="HY74" t="s">
        <v>416</v>
      </c>
      <c r="HZ74" t="s">
        <v>417</v>
      </c>
      <c r="IA74" t="s">
        <v>418</v>
      </c>
      <c r="IB74" t="s">
        <v>418</v>
      </c>
      <c r="IC74" t="s">
        <v>418</v>
      </c>
      <c r="ID74" t="s">
        <v>418</v>
      </c>
      <c r="IE74">
        <v>0</v>
      </c>
      <c r="IF74">
        <v>100</v>
      </c>
      <c r="IG74">
        <v>100</v>
      </c>
      <c r="IH74">
        <v>-0.92</v>
      </c>
      <c r="II74">
        <v>-0.25369999999999998</v>
      </c>
      <c r="IJ74">
        <v>-0.92000000000007276</v>
      </c>
      <c r="IK74">
        <v>0</v>
      </c>
      <c r="IL74">
        <v>0</v>
      </c>
      <c r="IM74">
        <v>0</v>
      </c>
      <c r="IN74">
        <v>-0.25363809523809883</v>
      </c>
      <c r="IO74">
        <v>0</v>
      </c>
      <c r="IP74">
        <v>0</v>
      </c>
      <c r="IQ74">
        <v>0</v>
      </c>
      <c r="IR74">
        <v>-1</v>
      </c>
      <c r="IS74">
        <v>-1</v>
      </c>
      <c r="IT74">
        <v>-1</v>
      </c>
      <c r="IU74">
        <v>-1</v>
      </c>
      <c r="IV74">
        <v>0.6</v>
      </c>
      <c r="IW74">
        <v>0.5</v>
      </c>
      <c r="IX74">
        <v>0.79711900000000002</v>
      </c>
      <c r="IY74">
        <v>2.4682599999999999</v>
      </c>
      <c r="IZ74">
        <v>1.49414</v>
      </c>
      <c r="JA74">
        <v>2.2936999999999999</v>
      </c>
      <c r="JB74">
        <v>1.54419</v>
      </c>
      <c r="JC74">
        <v>2.35107</v>
      </c>
      <c r="JD74">
        <v>39.242199999999997</v>
      </c>
      <c r="JE74">
        <v>16.049600000000002</v>
      </c>
      <c r="JF74">
        <v>18</v>
      </c>
      <c r="JG74">
        <v>519.46600000000001</v>
      </c>
      <c r="JH74">
        <v>448.42</v>
      </c>
      <c r="JI74">
        <v>25.8613</v>
      </c>
      <c r="JJ74">
        <v>33.257899999999999</v>
      </c>
      <c r="JK74">
        <v>29.999700000000001</v>
      </c>
      <c r="JL74">
        <v>33.226199999999999</v>
      </c>
      <c r="JM74">
        <v>33.190399999999997</v>
      </c>
      <c r="JN74">
        <v>16.0244</v>
      </c>
      <c r="JO74">
        <v>22.9682</v>
      </c>
      <c r="JP74">
        <v>43.573300000000003</v>
      </c>
      <c r="JQ74">
        <v>25.8599</v>
      </c>
      <c r="JR74">
        <v>300</v>
      </c>
      <c r="JS74">
        <v>24.953900000000001</v>
      </c>
      <c r="JT74">
        <v>98.582499999999996</v>
      </c>
      <c r="JU74">
        <v>97.203599999999994</v>
      </c>
    </row>
    <row r="75" spans="1:281" x14ac:dyDescent="0.25">
      <c r="A75">
        <v>73</v>
      </c>
      <c r="B75">
        <v>1693345372.0999999</v>
      </c>
      <c r="C75">
        <v>23965.5</v>
      </c>
      <c r="D75" t="s">
        <v>716</v>
      </c>
      <c r="E75" t="s">
        <v>717</v>
      </c>
      <c r="F75" t="s">
        <v>411</v>
      </c>
      <c r="G75" t="s">
        <v>565</v>
      </c>
      <c r="H75" t="s">
        <v>31</v>
      </c>
      <c r="I75" t="s">
        <v>412</v>
      </c>
      <c r="J75">
        <v>1693345372.0999999</v>
      </c>
      <c r="K75">
        <f t="shared" si="92"/>
        <v>3.3979546389468207E-3</v>
      </c>
      <c r="L75">
        <f t="shared" si="93"/>
        <v>3.3979546389468207</v>
      </c>
      <c r="M75">
        <f t="shared" si="94"/>
        <v>19.151426931469164</v>
      </c>
      <c r="N75">
        <f t="shared" si="95"/>
        <v>176.32900000000001</v>
      </c>
      <c r="O75">
        <f t="shared" si="96"/>
        <v>47.528137478164169</v>
      </c>
      <c r="P75">
        <f t="shared" si="97"/>
        <v>4.6979672895159439</v>
      </c>
      <c r="Q75">
        <f t="shared" si="98"/>
        <v>17.429420089807699</v>
      </c>
      <c r="R75">
        <f t="shared" si="99"/>
        <v>0.25260966008290403</v>
      </c>
      <c r="S75">
        <f t="shared" si="100"/>
        <v>2.9118269627557427</v>
      </c>
      <c r="T75">
        <f t="shared" si="101"/>
        <v>0.24103580325691548</v>
      </c>
      <c r="U75">
        <f t="shared" si="102"/>
        <v>0.15164304608236262</v>
      </c>
      <c r="V75">
        <f t="shared" si="103"/>
        <v>344.36809967083155</v>
      </c>
      <c r="W75">
        <f t="shared" si="104"/>
        <v>31.894498863077633</v>
      </c>
      <c r="X75">
        <f t="shared" si="105"/>
        <v>29.958600000000001</v>
      </c>
      <c r="Y75">
        <f t="shared" si="106"/>
        <v>4.2503289912453885</v>
      </c>
      <c r="Z75">
        <f t="shared" si="107"/>
        <v>65.392959661673672</v>
      </c>
      <c r="AA75">
        <f t="shared" si="108"/>
        <v>2.9073184860883803</v>
      </c>
      <c r="AB75">
        <f t="shared" si="109"/>
        <v>4.4459197154098815</v>
      </c>
      <c r="AC75">
        <f t="shared" si="110"/>
        <v>1.3430105051570083</v>
      </c>
      <c r="AD75">
        <f t="shared" si="111"/>
        <v>-149.84979957755479</v>
      </c>
      <c r="AE75">
        <f t="shared" si="112"/>
        <v>123.2782906691935</v>
      </c>
      <c r="AF75">
        <f t="shared" si="113"/>
        <v>9.4464872514612193</v>
      </c>
      <c r="AG75">
        <f t="shared" si="114"/>
        <v>327.24307801393149</v>
      </c>
      <c r="AH75">
        <v>0</v>
      </c>
      <c r="AI75">
        <v>0</v>
      </c>
      <c r="AJ75">
        <f t="shared" si="115"/>
        <v>1</v>
      </c>
      <c r="AK75">
        <f t="shared" si="116"/>
        <v>0</v>
      </c>
      <c r="AL75">
        <f t="shared" si="117"/>
        <v>51694.277568236474</v>
      </c>
      <c r="AM75" t="s">
        <v>413</v>
      </c>
      <c r="AN75">
        <v>10366.9</v>
      </c>
      <c r="AO75">
        <v>993.59653846153856</v>
      </c>
      <c r="AP75">
        <v>3431.87</v>
      </c>
      <c r="AQ75">
        <f t="shared" si="118"/>
        <v>0.71047955241266758</v>
      </c>
      <c r="AR75">
        <v>-3.9894345373445681</v>
      </c>
      <c r="AS75" t="s">
        <v>718</v>
      </c>
      <c r="AT75">
        <v>10292.9</v>
      </c>
      <c r="AU75">
        <v>584.65157692307685</v>
      </c>
      <c r="AV75">
        <v>721.5136468496944</v>
      </c>
      <c r="AW75">
        <f t="shared" si="119"/>
        <v>0.18968743075642569</v>
      </c>
      <c r="AX75">
        <v>0.5</v>
      </c>
      <c r="AY75">
        <f t="shared" si="120"/>
        <v>1513.1765998354158</v>
      </c>
      <c r="AZ75">
        <f t="shared" si="121"/>
        <v>19.151426931469164</v>
      </c>
      <c r="BA75">
        <f t="shared" si="122"/>
        <v>143.51529075176205</v>
      </c>
      <c r="BB75">
        <f t="shared" si="123"/>
        <v>1.5292902012448978E-2</v>
      </c>
      <c r="BC75">
        <f t="shared" si="124"/>
        <v>3.7564866097604477</v>
      </c>
      <c r="BD75">
        <f t="shared" si="125"/>
        <v>475.95622135277512</v>
      </c>
      <c r="BE75" t="s">
        <v>719</v>
      </c>
      <c r="BF75">
        <v>490.43</v>
      </c>
      <c r="BG75">
        <f t="shared" si="126"/>
        <v>490.43</v>
      </c>
      <c r="BH75">
        <f t="shared" si="127"/>
        <v>0.32027619693496068</v>
      </c>
      <c r="BI75">
        <f t="shared" si="128"/>
        <v>0.59226203062148253</v>
      </c>
      <c r="BJ75">
        <f t="shared" si="129"/>
        <v>0.92143859917261794</v>
      </c>
      <c r="BK75">
        <f t="shared" si="130"/>
        <v>-0.50301608129726205</v>
      </c>
      <c r="BL75">
        <f t="shared" si="131"/>
        <v>1.1115883414652634</v>
      </c>
      <c r="BM75">
        <f t="shared" si="132"/>
        <v>0.49681396432102704</v>
      </c>
      <c r="BN75">
        <f t="shared" si="133"/>
        <v>0.50318603567897302</v>
      </c>
      <c r="BO75">
        <v>16682</v>
      </c>
      <c r="BP75">
        <v>290.00000000000011</v>
      </c>
      <c r="BQ75">
        <v>686.44</v>
      </c>
      <c r="BR75">
        <v>295</v>
      </c>
      <c r="BS75">
        <v>10292.9</v>
      </c>
      <c r="BT75">
        <v>686.13</v>
      </c>
      <c r="BU75">
        <v>0.31</v>
      </c>
      <c r="BV75">
        <v>300.00000000000011</v>
      </c>
      <c r="BW75">
        <v>38.5</v>
      </c>
      <c r="BX75">
        <v>721.5136468496944</v>
      </c>
      <c r="BY75">
        <v>1.0395660642412901</v>
      </c>
      <c r="BZ75">
        <v>-36.418312776817643</v>
      </c>
      <c r="CA75">
        <v>0.87635611135247093</v>
      </c>
      <c r="CB75">
        <v>0.98404508032807469</v>
      </c>
      <c r="CC75">
        <v>-1.1223001779755279E-2</v>
      </c>
      <c r="CD75">
        <v>289.99999999999989</v>
      </c>
      <c r="CE75">
        <v>682.34</v>
      </c>
      <c r="CF75">
        <v>695</v>
      </c>
      <c r="CG75">
        <v>10276.700000000001</v>
      </c>
      <c r="CH75">
        <v>686.08</v>
      </c>
      <c r="CI75">
        <v>-3.74</v>
      </c>
      <c r="CW75">
        <f t="shared" si="134"/>
        <v>1799.99</v>
      </c>
      <c r="CX75">
        <f t="shared" si="135"/>
        <v>1513.1765998354158</v>
      </c>
      <c r="CY75">
        <f t="shared" si="136"/>
        <v>0.8406583368993249</v>
      </c>
      <c r="CZ75">
        <f t="shared" si="137"/>
        <v>0.19131667379864975</v>
      </c>
      <c r="DA75">
        <v>6</v>
      </c>
      <c r="DB75">
        <v>0.5</v>
      </c>
      <c r="DC75" t="s">
        <v>414</v>
      </c>
      <c r="DD75">
        <v>2</v>
      </c>
      <c r="DE75">
        <v>1693345372.0999999</v>
      </c>
      <c r="DF75">
        <v>176.32900000000001</v>
      </c>
      <c r="DG75">
        <v>200.03800000000001</v>
      </c>
      <c r="DH75">
        <v>29.412600000000001</v>
      </c>
      <c r="DI75">
        <v>25.453600000000002</v>
      </c>
      <c r="DJ75">
        <v>177.184</v>
      </c>
      <c r="DK75">
        <v>29.666599999999999</v>
      </c>
      <c r="DL75">
        <v>499.82499999999999</v>
      </c>
      <c r="DM75">
        <v>98.746300000000005</v>
      </c>
      <c r="DN75">
        <v>9.9721299999999999E-2</v>
      </c>
      <c r="DO75">
        <v>30.7439</v>
      </c>
      <c r="DP75">
        <v>29.958600000000001</v>
      </c>
      <c r="DQ75">
        <v>999.9</v>
      </c>
      <c r="DR75">
        <v>0</v>
      </c>
      <c r="DS75">
        <v>0</v>
      </c>
      <c r="DT75">
        <v>10025</v>
      </c>
      <c r="DU75">
        <v>0</v>
      </c>
      <c r="DV75">
        <v>211.31299999999999</v>
      </c>
      <c r="DW75">
        <v>-23.709199999999999</v>
      </c>
      <c r="DX75">
        <v>181.672</v>
      </c>
      <c r="DY75">
        <v>205.26300000000001</v>
      </c>
      <c r="DZ75">
        <v>3.9589799999999999</v>
      </c>
      <c r="EA75">
        <v>200.03800000000001</v>
      </c>
      <c r="EB75">
        <v>25.453600000000002</v>
      </c>
      <c r="EC75">
        <v>2.9043800000000002</v>
      </c>
      <c r="ED75">
        <v>2.5134500000000002</v>
      </c>
      <c r="EE75">
        <v>23.489699999999999</v>
      </c>
      <c r="EF75">
        <v>21.113900000000001</v>
      </c>
      <c r="EG75">
        <v>1799.99</v>
      </c>
      <c r="EH75">
        <v>0.97799599999999998</v>
      </c>
      <c r="EI75">
        <v>2.20038E-2</v>
      </c>
      <c r="EJ75">
        <v>0</v>
      </c>
      <c r="EK75">
        <v>584.20299999999997</v>
      </c>
      <c r="EL75">
        <v>5.0002500000000003</v>
      </c>
      <c r="EM75">
        <v>16477.900000000001</v>
      </c>
      <c r="EN75">
        <v>14821.9</v>
      </c>
      <c r="EO75">
        <v>50.5</v>
      </c>
      <c r="EP75">
        <v>51.436999999999998</v>
      </c>
      <c r="EQ75">
        <v>51.375</v>
      </c>
      <c r="ER75">
        <v>50.311999999999998</v>
      </c>
      <c r="ES75">
        <v>51.5</v>
      </c>
      <c r="ET75">
        <v>1755.49</v>
      </c>
      <c r="EU75">
        <v>39.5</v>
      </c>
      <c r="EV75">
        <v>0</v>
      </c>
      <c r="EW75">
        <v>117.7999999523163</v>
      </c>
      <c r="EX75">
        <v>0</v>
      </c>
      <c r="EY75">
        <v>584.65157692307685</v>
      </c>
      <c r="EZ75">
        <v>-4.2429743623406253</v>
      </c>
      <c r="FA75">
        <v>-358.8444508386911</v>
      </c>
      <c r="FB75">
        <v>16298.892307692309</v>
      </c>
      <c r="FC75">
        <v>15</v>
      </c>
      <c r="FD75">
        <v>1693345342.0999999</v>
      </c>
      <c r="FE75" t="s">
        <v>720</v>
      </c>
      <c r="FF75">
        <v>1693345336.5999999</v>
      </c>
      <c r="FG75">
        <v>1693345342.0999999</v>
      </c>
      <c r="FH75">
        <v>93</v>
      </c>
      <c r="FI75">
        <v>6.6000000000000003E-2</v>
      </c>
      <c r="FJ75">
        <v>0</v>
      </c>
      <c r="FK75">
        <v>-0.85499999999999998</v>
      </c>
      <c r="FL75">
        <v>-0.254</v>
      </c>
      <c r="FM75">
        <v>200</v>
      </c>
      <c r="FN75">
        <v>25</v>
      </c>
      <c r="FO75">
        <v>0.25</v>
      </c>
      <c r="FP75">
        <v>7.0000000000000007E-2</v>
      </c>
      <c r="FQ75">
        <v>19.14084585083971</v>
      </c>
      <c r="FR75">
        <v>0.29857261676211738</v>
      </c>
      <c r="FS75">
        <v>5.5650725807245983E-2</v>
      </c>
      <c r="FT75">
        <v>1</v>
      </c>
      <c r="FU75">
        <v>0.2477873360136012</v>
      </c>
      <c r="FV75">
        <v>4.5375883312969011E-2</v>
      </c>
      <c r="FW75">
        <v>3.9098996615332688E-3</v>
      </c>
      <c r="FX75">
        <v>1</v>
      </c>
      <c r="FY75">
        <v>2</v>
      </c>
      <c r="FZ75">
        <v>2</v>
      </c>
      <c r="GA75" t="s">
        <v>415</v>
      </c>
      <c r="GB75">
        <v>2.9176299999999999</v>
      </c>
      <c r="GC75">
        <v>2.8298299999999998</v>
      </c>
      <c r="GD75">
        <v>4.5535800000000001E-2</v>
      </c>
      <c r="GE75">
        <v>4.9706300000000002E-2</v>
      </c>
      <c r="GF75">
        <v>0.13689299999999999</v>
      </c>
      <c r="GG75">
        <v>0.118408</v>
      </c>
      <c r="GH75">
        <v>24919.200000000001</v>
      </c>
      <c r="GI75">
        <v>30328.1</v>
      </c>
      <c r="GJ75">
        <v>23507.8</v>
      </c>
      <c r="GK75">
        <v>29223.1</v>
      </c>
      <c r="GL75">
        <v>27679.8</v>
      </c>
      <c r="GM75">
        <v>36489.199999999997</v>
      </c>
      <c r="GN75">
        <v>33248.400000000001</v>
      </c>
      <c r="GO75">
        <v>43170.8</v>
      </c>
      <c r="GP75">
        <v>1.9670000000000001</v>
      </c>
      <c r="GQ75">
        <v>1.8148</v>
      </c>
      <c r="GR75">
        <v>3.4093900000000003E-2</v>
      </c>
      <c r="GS75">
        <v>0</v>
      </c>
      <c r="GT75">
        <v>29.403500000000001</v>
      </c>
      <c r="GU75">
        <v>999.9</v>
      </c>
      <c r="GV75">
        <v>48.2</v>
      </c>
      <c r="GW75">
        <v>36.5</v>
      </c>
      <c r="GX75">
        <v>29.9466</v>
      </c>
      <c r="GY75">
        <v>61.1907</v>
      </c>
      <c r="GZ75">
        <v>36.666699999999999</v>
      </c>
      <c r="HA75">
        <v>1</v>
      </c>
      <c r="HB75">
        <v>0.45649400000000001</v>
      </c>
      <c r="HC75">
        <v>1.6939</v>
      </c>
      <c r="HD75">
        <v>20.313199999999998</v>
      </c>
      <c r="HE75">
        <v>5.2100999999999997</v>
      </c>
      <c r="HF75">
        <v>11.8728</v>
      </c>
      <c r="HG75">
        <v>4.9847999999999999</v>
      </c>
      <c r="HH75">
        <v>3.2839999999999998</v>
      </c>
      <c r="HI75">
        <v>9999</v>
      </c>
      <c r="HJ75">
        <v>9999</v>
      </c>
      <c r="HK75">
        <v>9999</v>
      </c>
      <c r="HL75">
        <v>999.9</v>
      </c>
      <c r="HM75">
        <v>1.8545499999999999</v>
      </c>
      <c r="HN75">
        <v>1.86066</v>
      </c>
      <c r="HO75">
        <v>1.85806</v>
      </c>
      <c r="HP75">
        <v>1.85921</v>
      </c>
      <c r="HQ75">
        <v>1.8586100000000001</v>
      </c>
      <c r="HR75">
        <v>1.8591299999999999</v>
      </c>
      <c r="HS75">
        <v>1.85748</v>
      </c>
      <c r="HT75">
        <v>1.8608100000000001</v>
      </c>
      <c r="HU75">
        <v>5</v>
      </c>
      <c r="HV75">
        <v>0</v>
      </c>
      <c r="HW75">
        <v>0</v>
      </c>
      <c r="HX75">
        <v>0</v>
      </c>
      <c r="HY75" t="s">
        <v>416</v>
      </c>
      <c r="HZ75" t="s">
        <v>417</v>
      </c>
      <c r="IA75" t="s">
        <v>418</v>
      </c>
      <c r="IB75" t="s">
        <v>418</v>
      </c>
      <c r="IC75" t="s">
        <v>418</v>
      </c>
      <c r="ID75" t="s">
        <v>418</v>
      </c>
      <c r="IE75">
        <v>0</v>
      </c>
      <c r="IF75">
        <v>100</v>
      </c>
      <c r="IG75">
        <v>100</v>
      </c>
      <c r="IH75">
        <v>-0.85499999999999998</v>
      </c>
      <c r="II75">
        <v>-0.254</v>
      </c>
      <c r="IJ75">
        <v>-0.85450000000000159</v>
      </c>
      <c r="IK75">
        <v>0</v>
      </c>
      <c r="IL75">
        <v>0</v>
      </c>
      <c r="IM75">
        <v>0</v>
      </c>
      <c r="IN75">
        <v>-0.25400952380952552</v>
      </c>
      <c r="IO75">
        <v>0</v>
      </c>
      <c r="IP75">
        <v>0</v>
      </c>
      <c r="IQ75">
        <v>0</v>
      </c>
      <c r="IR75">
        <v>-1</v>
      </c>
      <c r="IS75">
        <v>-1</v>
      </c>
      <c r="IT75">
        <v>-1</v>
      </c>
      <c r="IU75">
        <v>-1</v>
      </c>
      <c r="IV75">
        <v>0.6</v>
      </c>
      <c r="IW75">
        <v>0.5</v>
      </c>
      <c r="IX75">
        <v>0.58593799999999996</v>
      </c>
      <c r="IY75">
        <v>2.4731399999999999</v>
      </c>
      <c r="IZ75">
        <v>1.49414</v>
      </c>
      <c r="JA75">
        <v>2.2936999999999999</v>
      </c>
      <c r="JB75">
        <v>1.54419</v>
      </c>
      <c r="JC75">
        <v>2.4121100000000002</v>
      </c>
      <c r="JD75">
        <v>39.1676</v>
      </c>
      <c r="JE75">
        <v>16.040800000000001</v>
      </c>
      <c r="JF75">
        <v>18</v>
      </c>
      <c r="JG75">
        <v>519.21699999999998</v>
      </c>
      <c r="JH75">
        <v>449.63499999999999</v>
      </c>
      <c r="JI75">
        <v>25.702300000000001</v>
      </c>
      <c r="JJ75">
        <v>33.153100000000002</v>
      </c>
      <c r="JK75">
        <v>29.997299999999999</v>
      </c>
      <c r="JL75">
        <v>33.155700000000003</v>
      </c>
      <c r="JM75">
        <v>33.125900000000001</v>
      </c>
      <c r="JN75">
        <v>11.795</v>
      </c>
      <c r="JO75">
        <v>21.4634</v>
      </c>
      <c r="JP75">
        <v>44.823099999999997</v>
      </c>
      <c r="JQ75">
        <v>25.8354</v>
      </c>
      <c r="JR75">
        <v>200</v>
      </c>
      <c r="JS75">
        <v>25.385899999999999</v>
      </c>
      <c r="JT75">
        <v>98.599100000000007</v>
      </c>
      <c r="JU75">
        <v>97.208500000000001</v>
      </c>
    </row>
    <row r="76" spans="1:281" x14ac:dyDescent="0.25">
      <c r="A76">
        <v>74</v>
      </c>
      <c r="B76">
        <v>1693345481.5999999</v>
      </c>
      <c r="C76">
        <v>24075</v>
      </c>
      <c r="D76" t="s">
        <v>721</v>
      </c>
      <c r="E76" t="s">
        <v>722</v>
      </c>
      <c r="F76" t="s">
        <v>411</v>
      </c>
      <c r="G76" t="s">
        <v>565</v>
      </c>
      <c r="H76" t="s">
        <v>31</v>
      </c>
      <c r="I76" t="s">
        <v>412</v>
      </c>
      <c r="J76">
        <v>1693345481.5999999</v>
      </c>
      <c r="K76">
        <f t="shared" si="92"/>
        <v>3.5739998169421919E-3</v>
      </c>
      <c r="L76">
        <f t="shared" si="93"/>
        <v>3.5739998169421918</v>
      </c>
      <c r="M76">
        <f t="shared" si="94"/>
        <v>11.803993787639511</v>
      </c>
      <c r="N76">
        <f t="shared" si="95"/>
        <v>105.465</v>
      </c>
      <c r="O76">
        <f t="shared" si="96"/>
        <v>29.455360385363193</v>
      </c>
      <c r="P76">
        <f t="shared" si="97"/>
        <v>2.9114980455830977</v>
      </c>
      <c r="Q76">
        <f t="shared" si="98"/>
        <v>10.424626871311501</v>
      </c>
      <c r="R76">
        <f t="shared" si="99"/>
        <v>0.2644873589801488</v>
      </c>
      <c r="S76">
        <f t="shared" si="100"/>
        <v>2.9065593016774574</v>
      </c>
      <c r="T76">
        <f t="shared" si="101"/>
        <v>0.25180705435667966</v>
      </c>
      <c r="U76">
        <f t="shared" si="102"/>
        <v>0.15846801169386909</v>
      </c>
      <c r="V76">
        <f t="shared" si="103"/>
        <v>344.32699967095982</v>
      </c>
      <c r="W76">
        <f t="shared" si="104"/>
        <v>31.919237535953211</v>
      </c>
      <c r="X76">
        <f t="shared" si="105"/>
        <v>30.0106</v>
      </c>
      <c r="Y76">
        <f t="shared" si="106"/>
        <v>4.2630444582125806</v>
      </c>
      <c r="Z76">
        <f t="shared" si="107"/>
        <v>65.218280581811356</v>
      </c>
      <c r="AA76">
        <f t="shared" si="108"/>
        <v>2.9110176236055505</v>
      </c>
      <c r="AB76">
        <f t="shared" si="109"/>
        <v>4.4634994937560508</v>
      </c>
      <c r="AC76">
        <f t="shared" si="110"/>
        <v>1.3520268346070301</v>
      </c>
      <c r="AD76">
        <f t="shared" si="111"/>
        <v>-157.61339192715067</v>
      </c>
      <c r="AE76">
        <f t="shared" si="112"/>
        <v>125.73481627780075</v>
      </c>
      <c r="AF76">
        <f t="shared" si="113"/>
        <v>9.6579673162708879</v>
      </c>
      <c r="AG76">
        <f t="shared" si="114"/>
        <v>322.10639133788084</v>
      </c>
      <c r="AH76">
        <v>0</v>
      </c>
      <c r="AI76">
        <v>0</v>
      </c>
      <c r="AJ76">
        <f t="shared" si="115"/>
        <v>1</v>
      </c>
      <c r="AK76">
        <f t="shared" si="116"/>
        <v>0</v>
      </c>
      <c r="AL76">
        <f t="shared" si="117"/>
        <v>51533.321429042669</v>
      </c>
      <c r="AM76" t="s">
        <v>413</v>
      </c>
      <c r="AN76">
        <v>10366.9</v>
      </c>
      <c r="AO76">
        <v>993.59653846153856</v>
      </c>
      <c r="AP76">
        <v>3431.87</v>
      </c>
      <c r="AQ76">
        <f t="shared" si="118"/>
        <v>0.71047955241266758</v>
      </c>
      <c r="AR76">
        <v>-3.9894345373445681</v>
      </c>
      <c r="AS76" t="s">
        <v>723</v>
      </c>
      <c r="AT76">
        <v>10301.6</v>
      </c>
      <c r="AU76">
        <v>585.5222</v>
      </c>
      <c r="AV76">
        <v>673.10499489305255</v>
      </c>
      <c r="AW76">
        <f t="shared" si="119"/>
        <v>0.13011758278063035</v>
      </c>
      <c r="AX76">
        <v>0.5</v>
      </c>
      <c r="AY76">
        <f t="shared" si="120"/>
        <v>1512.9995998354798</v>
      </c>
      <c r="AZ76">
        <f t="shared" si="121"/>
        <v>11.803993787639511</v>
      </c>
      <c r="BA76">
        <f t="shared" si="122"/>
        <v>98.433925339326819</v>
      </c>
      <c r="BB76">
        <f t="shared" si="123"/>
        <v>1.0438488104492176E-2</v>
      </c>
      <c r="BC76">
        <f t="shared" si="124"/>
        <v>4.0985656413755756</v>
      </c>
      <c r="BD76">
        <f t="shared" si="125"/>
        <v>454.3986578689894</v>
      </c>
      <c r="BE76" t="s">
        <v>724</v>
      </c>
      <c r="BF76">
        <v>493.59</v>
      </c>
      <c r="BG76">
        <f t="shared" si="126"/>
        <v>493.59</v>
      </c>
      <c r="BH76">
        <f t="shared" si="127"/>
        <v>0.26669686936668047</v>
      </c>
      <c r="BI76">
        <f t="shared" si="128"/>
        <v>0.48788567743452665</v>
      </c>
      <c r="BJ76">
        <f t="shared" si="129"/>
        <v>0.93890473511950778</v>
      </c>
      <c r="BK76">
        <f t="shared" si="130"/>
        <v>-0.27327646126905353</v>
      </c>
      <c r="BL76">
        <f t="shared" si="131"/>
        <v>1.131442001327557</v>
      </c>
      <c r="BM76">
        <f t="shared" si="132"/>
        <v>0.41128328101805189</v>
      </c>
      <c r="BN76">
        <f t="shared" si="133"/>
        <v>0.58871671898194811</v>
      </c>
      <c r="BO76">
        <v>16684</v>
      </c>
      <c r="BP76">
        <v>290.00000000000011</v>
      </c>
      <c r="BQ76">
        <v>651.41</v>
      </c>
      <c r="BR76">
        <v>225</v>
      </c>
      <c r="BS76">
        <v>10301.6</v>
      </c>
      <c r="BT76">
        <v>650.57000000000005</v>
      </c>
      <c r="BU76">
        <v>0.84</v>
      </c>
      <c r="BV76">
        <v>300.00000000000011</v>
      </c>
      <c r="BW76">
        <v>38.5</v>
      </c>
      <c r="BX76">
        <v>673.10499489305255</v>
      </c>
      <c r="BY76">
        <v>1.1396693273695051</v>
      </c>
      <c r="BZ76">
        <v>-23.215731040598481</v>
      </c>
      <c r="CA76">
        <v>0.960840633679651</v>
      </c>
      <c r="CB76">
        <v>0.95423319993042333</v>
      </c>
      <c r="CC76">
        <v>-1.1223154393770869E-2</v>
      </c>
      <c r="CD76">
        <v>289.99999999999989</v>
      </c>
      <c r="CE76">
        <v>648.35</v>
      </c>
      <c r="CF76">
        <v>685</v>
      </c>
      <c r="CG76">
        <v>10278.5</v>
      </c>
      <c r="CH76">
        <v>650.52</v>
      </c>
      <c r="CI76">
        <v>-2.17</v>
      </c>
      <c r="CW76">
        <f t="shared" si="134"/>
        <v>1799.78</v>
      </c>
      <c r="CX76">
        <f t="shared" si="135"/>
        <v>1512.9995998354798</v>
      </c>
      <c r="CY76">
        <f t="shared" si="136"/>
        <v>0.84065808034064149</v>
      </c>
      <c r="CZ76">
        <f t="shared" si="137"/>
        <v>0.19131616068128318</v>
      </c>
      <c r="DA76">
        <v>6</v>
      </c>
      <c r="DB76">
        <v>0.5</v>
      </c>
      <c r="DC76" t="s">
        <v>414</v>
      </c>
      <c r="DD76">
        <v>2</v>
      </c>
      <c r="DE76">
        <v>1693345481.5999999</v>
      </c>
      <c r="DF76">
        <v>105.465</v>
      </c>
      <c r="DG76">
        <v>120.086</v>
      </c>
      <c r="DH76">
        <v>29.450500000000002</v>
      </c>
      <c r="DI76">
        <v>25.286899999999999</v>
      </c>
      <c r="DJ76">
        <v>106.19</v>
      </c>
      <c r="DK76">
        <v>29.702300000000001</v>
      </c>
      <c r="DL76">
        <v>499.86700000000002</v>
      </c>
      <c r="DM76">
        <v>98.744600000000005</v>
      </c>
      <c r="DN76">
        <v>9.9821099999999996E-2</v>
      </c>
      <c r="DO76">
        <v>30.812999999999999</v>
      </c>
      <c r="DP76">
        <v>30.0106</v>
      </c>
      <c r="DQ76">
        <v>999.9</v>
      </c>
      <c r="DR76">
        <v>0</v>
      </c>
      <c r="DS76">
        <v>0</v>
      </c>
      <c r="DT76">
        <v>9995</v>
      </c>
      <c r="DU76">
        <v>0</v>
      </c>
      <c r="DV76">
        <v>246.54900000000001</v>
      </c>
      <c r="DW76">
        <v>-14.620900000000001</v>
      </c>
      <c r="DX76">
        <v>108.66500000000001</v>
      </c>
      <c r="DY76">
        <v>123.20099999999999</v>
      </c>
      <c r="DZ76">
        <v>4.1636300000000004</v>
      </c>
      <c r="EA76">
        <v>120.086</v>
      </c>
      <c r="EB76">
        <v>25.286899999999999</v>
      </c>
      <c r="EC76">
        <v>2.90808</v>
      </c>
      <c r="ED76">
        <v>2.4969399999999999</v>
      </c>
      <c r="EE76">
        <v>23.5107</v>
      </c>
      <c r="EF76">
        <v>21.006599999999999</v>
      </c>
      <c r="EG76">
        <v>1799.78</v>
      </c>
      <c r="EH76">
        <v>0.97800500000000001</v>
      </c>
      <c r="EI76">
        <v>2.1995299999999999E-2</v>
      </c>
      <c r="EJ76">
        <v>0</v>
      </c>
      <c r="EK76">
        <v>585.08799999999997</v>
      </c>
      <c r="EL76">
        <v>5.0002500000000003</v>
      </c>
      <c r="EM76">
        <v>18567.7</v>
      </c>
      <c r="EN76">
        <v>14820.3</v>
      </c>
      <c r="EO76">
        <v>50.5</v>
      </c>
      <c r="EP76">
        <v>51.375</v>
      </c>
      <c r="EQ76">
        <v>51.375</v>
      </c>
      <c r="ER76">
        <v>50.25</v>
      </c>
      <c r="ES76">
        <v>51.436999999999998</v>
      </c>
      <c r="ET76">
        <v>1755.3</v>
      </c>
      <c r="EU76">
        <v>39.479999999999997</v>
      </c>
      <c r="EV76">
        <v>0</v>
      </c>
      <c r="EW76">
        <v>107.3999998569489</v>
      </c>
      <c r="EX76">
        <v>0</v>
      </c>
      <c r="EY76">
        <v>585.5222</v>
      </c>
      <c r="EZ76">
        <v>-3.5053846221583189</v>
      </c>
      <c r="FA76">
        <v>-6353.3230642285725</v>
      </c>
      <c r="FB76">
        <v>19389.044000000002</v>
      </c>
      <c r="FC76">
        <v>15</v>
      </c>
      <c r="FD76">
        <v>1693345451.0999999</v>
      </c>
      <c r="FE76" t="s">
        <v>725</v>
      </c>
      <c r="FF76">
        <v>1693345433.5999999</v>
      </c>
      <c r="FG76">
        <v>1693345451.0999999</v>
      </c>
      <c r="FH76">
        <v>94</v>
      </c>
      <c r="FI76">
        <v>0.129</v>
      </c>
      <c r="FJ76">
        <v>2E-3</v>
      </c>
      <c r="FK76">
        <v>-0.72499999999999998</v>
      </c>
      <c r="FL76">
        <v>-0.252</v>
      </c>
      <c r="FM76">
        <v>120</v>
      </c>
      <c r="FN76">
        <v>25</v>
      </c>
      <c r="FO76">
        <v>0.56000000000000005</v>
      </c>
      <c r="FP76">
        <v>0.05</v>
      </c>
      <c r="FQ76">
        <v>11.775509176728001</v>
      </c>
      <c r="FR76">
        <v>-1.6370011955288949E-2</v>
      </c>
      <c r="FS76">
        <v>5.9483276771913993E-2</v>
      </c>
      <c r="FT76">
        <v>1</v>
      </c>
      <c r="FU76">
        <v>0.26233954063820369</v>
      </c>
      <c r="FV76">
        <v>4.0801231072994382E-2</v>
      </c>
      <c r="FW76">
        <v>3.2764631184971161E-3</v>
      </c>
      <c r="FX76">
        <v>1</v>
      </c>
      <c r="FY76">
        <v>2</v>
      </c>
      <c r="FZ76">
        <v>2</v>
      </c>
      <c r="GA76" t="s">
        <v>415</v>
      </c>
      <c r="GB76">
        <v>2.91784</v>
      </c>
      <c r="GC76">
        <v>2.8296700000000001</v>
      </c>
      <c r="GD76">
        <v>2.8423799999999999E-2</v>
      </c>
      <c r="GE76">
        <v>3.1258300000000003E-2</v>
      </c>
      <c r="GF76">
        <v>0.13703000000000001</v>
      </c>
      <c r="GG76">
        <v>0.11788800000000001</v>
      </c>
      <c r="GH76">
        <v>25369.9</v>
      </c>
      <c r="GI76">
        <v>30920.3</v>
      </c>
      <c r="GJ76">
        <v>23511.599999999999</v>
      </c>
      <c r="GK76">
        <v>29226.5</v>
      </c>
      <c r="GL76">
        <v>27677.8</v>
      </c>
      <c r="GM76">
        <v>36511.1</v>
      </c>
      <c r="GN76">
        <v>33254</v>
      </c>
      <c r="GO76">
        <v>43174.2</v>
      </c>
      <c r="GP76">
        <v>1.9681999999999999</v>
      </c>
      <c r="GQ76">
        <v>1.8162</v>
      </c>
      <c r="GR76">
        <v>3.9607299999999998E-2</v>
      </c>
      <c r="GS76">
        <v>0</v>
      </c>
      <c r="GT76">
        <v>29.3657</v>
      </c>
      <c r="GU76">
        <v>999.9</v>
      </c>
      <c r="GV76">
        <v>48.5</v>
      </c>
      <c r="GW76">
        <v>36.4</v>
      </c>
      <c r="GX76">
        <v>29.9693</v>
      </c>
      <c r="GY76">
        <v>61.330800000000004</v>
      </c>
      <c r="GZ76">
        <v>36.554499999999997</v>
      </c>
      <c r="HA76">
        <v>1</v>
      </c>
      <c r="HB76">
        <v>0.450762</v>
      </c>
      <c r="HC76">
        <v>2.7250800000000002</v>
      </c>
      <c r="HD76">
        <v>20.3002</v>
      </c>
      <c r="HE76">
        <v>5.2100999999999997</v>
      </c>
      <c r="HF76">
        <v>11.8728</v>
      </c>
      <c r="HG76">
        <v>4.9851999999999999</v>
      </c>
      <c r="HH76">
        <v>3.2839999999999998</v>
      </c>
      <c r="HI76">
        <v>9999</v>
      </c>
      <c r="HJ76">
        <v>9999</v>
      </c>
      <c r="HK76">
        <v>9999</v>
      </c>
      <c r="HL76">
        <v>999.9</v>
      </c>
      <c r="HM76">
        <v>1.8545499999999999</v>
      </c>
      <c r="HN76">
        <v>1.8606400000000001</v>
      </c>
      <c r="HO76">
        <v>1.85806</v>
      </c>
      <c r="HP76">
        <v>1.8591299999999999</v>
      </c>
      <c r="HQ76">
        <v>1.85856</v>
      </c>
      <c r="HR76">
        <v>1.8591299999999999</v>
      </c>
      <c r="HS76">
        <v>1.85747</v>
      </c>
      <c r="HT76">
        <v>1.8608100000000001</v>
      </c>
      <c r="HU76">
        <v>5</v>
      </c>
      <c r="HV76">
        <v>0</v>
      </c>
      <c r="HW76">
        <v>0</v>
      </c>
      <c r="HX76">
        <v>0</v>
      </c>
      <c r="HY76" t="s">
        <v>416</v>
      </c>
      <c r="HZ76" t="s">
        <v>417</v>
      </c>
      <c r="IA76" t="s">
        <v>418</v>
      </c>
      <c r="IB76" t="s">
        <v>418</v>
      </c>
      <c r="IC76" t="s">
        <v>418</v>
      </c>
      <c r="ID76" t="s">
        <v>418</v>
      </c>
      <c r="IE76">
        <v>0</v>
      </c>
      <c r="IF76">
        <v>100</v>
      </c>
      <c r="IG76">
        <v>100</v>
      </c>
      <c r="IH76">
        <v>-0.72499999999999998</v>
      </c>
      <c r="II76">
        <v>-0.25180000000000002</v>
      </c>
      <c r="IJ76">
        <v>-0.72524999999995998</v>
      </c>
      <c r="IK76">
        <v>0</v>
      </c>
      <c r="IL76">
        <v>0</v>
      </c>
      <c r="IM76">
        <v>0</v>
      </c>
      <c r="IN76">
        <v>-0.25180476190475792</v>
      </c>
      <c r="IO76">
        <v>0</v>
      </c>
      <c r="IP76">
        <v>0</v>
      </c>
      <c r="IQ76">
        <v>0</v>
      </c>
      <c r="IR76">
        <v>-1</v>
      </c>
      <c r="IS76">
        <v>-1</v>
      </c>
      <c r="IT76">
        <v>-1</v>
      </c>
      <c r="IU76">
        <v>-1</v>
      </c>
      <c r="IV76">
        <v>0.8</v>
      </c>
      <c r="IW76">
        <v>0.5</v>
      </c>
      <c r="IX76">
        <v>0.41015600000000002</v>
      </c>
      <c r="IY76">
        <v>2.4890099999999999</v>
      </c>
      <c r="IZ76">
        <v>1.49414</v>
      </c>
      <c r="JA76">
        <v>2.2936999999999999</v>
      </c>
      <c r="JB76">
        <v>1.54419</v>
      </c>
      <c r="JC76">
        <v>2.34619</v>
      </c>
      <c r="JD76">
        <v>39.118000000000002</v>
      </c>
      <c r="JE76">
        <v>16.005800000000001</v>
      </c>
      <c r="JF76">
        <v>18</v>
      </c>
      <c r="JG76">
        <v>519.36599999999999</v>
      </c>
      <c r="JH76">
        <v>450.00799999999998</v>
      </c>
      <c r="JI76">
        <v>25.806999999999999</v>
      </c>
      <c r="JJ76">
        <v>33.045400000000001</v>
      </c>
      <c r="JK76">
        <v>30</v>
      </c>
      <c r="JL76">
        <v>33.076599999999999</v>
      </c>
      <c r="JM76">
        <v>33.049799999999998</v>
      </c>
      <c r="JN76">
        <v>8.2755100000000006</v>
      </c>
      <c r="JO76">
        <v>22.342700000000001</v>
      </c>
      <c r="JP76">
        <v>45.128700000000002</v>
      </c>
      <c r="JQ76">
        <v>25.802800000000001</v>
      </c>
      <c r="JR76">
        <v>120</v>
      </c>
      <c r="JS76">
        <v>25.225000000000001</v>
      </c>
      <c r="JT76">
        <v>98.615399999999994</v>
      </c>
      <c r="JU76">
        <v>97.217600000000004</v>
      </c>
    </row>
    <row r="77" spans="1:281" x14ac:dyDescent="0.25">
      <c r="A77">
        <v>75</v>
      </c>
      <c r="B77">
        <v>1693345584.0999999</v>
      </c>
      <c r="C77">
        <v>24177.5</v>
      </c>
      <c r="D77" t="s">
        <v>726</v>
      </c>
      <c r="E77" t="s">
        <v>727</v>
      </c>
      <c r="F77" t="s">
        <v>411</v>
      </c>
      <c r="G77" t="s">
        <v>565</v>
      </c>
      <c r="H77" t="s">
        <v>31</v>
      </c>
      <c r="I77" t="s">
        <v>412</v>
      </c>
      <c r="J77">
        <v>1693345584.0999999</v>
      </c>
      <c r="K77">
        <f t="shared" si="92"/>
        <v>3.7939756493095569E-3</v>
      </c>
      <c r="L77">
        <f t="shared" si="93"/>
        <v>3.7939756493095569</v>
      </c>
      <c r="M77">
        <f t="shared" si="94"/>
        <v>7.0946219341451542</v>
      </c>
      <c r="N77">
        <f t="shared" si="95"/>
        <v>61.221200000000003</v>
      </c>
      <c r="O77">
        <f t="shared" si="96"/>
        <v>18.293244465999578</v>
      </c>
      <c r="P77">
        <f t="shared" si="97"/>
        <v>1.8081827793314018</v>
      </c>
      <c r="Q77">
        <f t="shared" si="98"/>
        <v>6.0513661081691996</v>
      </c>
      <c r="R77">
        <f t="shared" si="99"/>
        <v>0.28253101579367118</v>
      </c>
      <c r="S77">
        <f t="shared" si="100"/>
        <v>2.8977908457617305</v>
      </c>
      <c r="T77">
        <f t="shared" si="101"/>
        <v>0.26807099546401414</v>
      </c>
      <c r="U77">
        <f t="shared" si="102"/>
        <v>0.16878185268904058</v>
      </c>
      <c r="V77">
        <f t="shared" si="103"/>
        <v>344.37449967100554</v>
      </c>
      <c r="W77">
        <f t="shared" si="104"/>
        <v>31.867187800526057</v>
      </c>
      <c r="X77">
        <f t="shared" si="105"/>
        <v>30.010999999999999</v>
      </c>
      <c r="Y77">
        <f t="shared" si="106"/>
        <v>4.2631423978423246</v>
      </c>
      <c r="Z77">
        <f t="shared" si="107"/>
        <v>65.299457827064316</v>
      </c>
      <c r="AA77">
        <f t="shared" si="108"/>
        <v>2.9150071014518999</v>
      </c>
      <c r="AB77">
        <f t="shared" si="109"/>
        <v>4.4640601904718</v>
      </c>
      <c r="AC77">
        <f t="shared" si="110"/>
        <v>1.3481352963904247</v>
      </c>
      <c r="AD77">
        <f t="shared" si="111"/>
        <v>-167.31432613455146</v>
      </c>
      <c r="AE77">
        <f t="shared" si="112"/>
        <v>125.63670800168755</v>
      </c>
      <c r="AF77">
        <f t="shared" si="113"/>
        <v>9.6797572430836993</v>
      </c>
      <c r="AG77">
        <f t="shared" si="114"/>
        <v>312.37663878122532</v>
      </c>
      <c r="AH77">
        <v>0</v>
      </c>
      <c r="AI77">
        <v>0</v>
      </c>
      <c r="AJ77">
        <f t="shared" si="115"/>
        <v>1</v>
      </c>
      <c r="AK77">
        <f t="shared" si="116"/>
        <v>0</v>
      </c>
      <c r="AL77">
        <f t="shared" si="117"/>
        <v>51285.012258854891</v>
      </c>
      <c r="AM77" t="s">
        <v>413</v>
      </c>
      <c r="AN77">
        <v>10366.9</v>
      </c>
      <c r="AO77">
        <v>993.59653846153856</v>
      </c>
      <c r="AP77">
        <v>3431.87</v>
      </c>
      <c r="AQ77">
        <f t="shared" si="118"/>
        <v>0.71047955241266758</v>
      </c>
      <c r="AR77">
        <v>-3.9894345373445681</v>
      </c>
      <c r="AS77" t="s">
        <v>728</v>
      </c>
      <c r="AT77">
        <v>10300.200000000001</v>
      </c>
      <c r="AU77">
        <v>588.65123999999992</v>
      </c>
      <c r="AV77">
        <v>649.17174178706307</v>
      </c>
      <c r="AW77">
        <f t="shared" si="119"/>
        <v>9.3227258507063371E-2</v>
      </c>
      <c r="AX77">
        <v>0.5</v>
      </c>
      <c r="AY77">
        <f t="shared" si="120"/>
        <v>1513.2095998355028</v>
      </c>
      <c r="AZ77">
        <f t="shared" si="121"/>
        <v>7.0946219341451542</v>
      </c>
      <c r="BA77">
        <f t="shared" si="122"/>
        <v>70.536191269617163</v>
      </c>
      <c r="BB77">
        <f t="shared" si="123"/>
        <v>7.3248652881231007E-3</v>
      </c>
      <c r="BC77">
        <f t="shared" si="124"/>
        <v>4.286536334056418</v>
      </c>
      <c r="BD77">
        <f t="shared" si="125"/>
        <v>443.36405186953635</v>
      </c>
      <c r="BE77" t="s">
        <v>729</v>
      </c>
      <c r="BF77">
        <v>495.94</v>
      </c>
      <c r="BG77">
        <f t="shared" si="126"/>
        <v>495.94</v>
      </c>
      <c r="BH77">
        <f t="shared" si="127"/>
        <v>0.23604191606560276</v>
      </c>
      <c r="BI77">
        <f t="shared" si="128"/>
        <v>0.39496060725567456</v>
      </c>
      <c r="BJ77">
        <f t="shared" si="129"/>
        <v>0.94780810789526215</v>
      </c>
      <c r="BK77">
        <f t="shared" si="130"/>
        <v>-0.17571470571052583</v>
      </c>
      <c r="BL77">
        <f t="shared" si="131"/>
        <v>1.1412576571526787</v>
      </c>
      <c r="BM77">
        <f t="shared" si="132"/>
        <v>0.33275520418912097</v>
      </c>
      <c r="BN77">
        <f t="shared" si="133"/>
        <v>0.66724479581087903</v>
      </c>
      <c r="BO77">
        <v>16686</v>
      </c>
      <c r="BP77">
        <v>290.00000000000011</v>
      </c>
      <c r="BQ77">
        <v>634.35</v>
      </c>
      <c r="BR77">
        <v>235</v>
      </c>
      <c r="BS77">
        <v>10300.200000000001</v>
      </c>
      <c r="BT77">
        <v>633.41999999999996</v>
      </c>
      <c r="BU77">
        <v>0.93</v>
      </c>
      <c r="BV77">
        <v>300.00000000000011</v>
      </c>
      <c r="BW77">
        <v>38.5</v>
      </c>
      <c r="BX77">
        <v>649.17174178706307</v>
      </c>
      <c r="BY77">
        <v>0.82216797825327692</v>
      </c>
      <c r="BZ77">
        <v>-16.222481715207991</v>
      </c>
      <c r="CA77">
        <v>0.69314791759742711</v>
      </c>
      <c r="CB77">
        <v>0.95136781894746936</v>
      </c>
      <c r="CC77">
        <v>-1.122278843159067E-2</v>
      </c>
      <c r="CD77">
        <v>289.99999999999989</v>
      </c>
      <c r="CE77">
        <v>631.71</v>
      </c>
      <c r="CF77">
        <v>635</v>
      </c>
      <c r="CG77">
        <v>10281.9</v>
      </c>
      <c r="CH77">
        <v>633.39</v>
      </c>
      <c r="CI77">
        <v>-1.68</v>
      </c>
      <c r="CW77">
        <f t="shared" si="134"/>
        <v>1800.03</v>
      </c>
      <c r="CX77">
        <f t="shared" si="135"/>
        <v>1513.2095998355028</v>
      </c>
      <c r="CY77">
        <f t="shared" si="136"/>
        <v>0.84065798894213029</v>
      </c>
      <c r="CZ77">
        <f t="shared" si="137"/>
        <v>0.19131597788426055</v>
      </c>
      <c r="DA77">
        <v>6</v>
      </c>
      <c r="DB77">
        <v>0.5</v>
      </c>
      <c r="DC77" t="s">
        <v>414</v>
      </c>
      <c r="DD77">
        <v>2</v>
      </c>
      <c r="DE77">
        <v>1693345584.0999999</v>
      </c>
      <c r="DF77">
        <v>61.221200000000003</v>
      </c>
      <c r="DG77">
        <v>70.005899999999997</v>
      </c>
      <c r="DH77">
        <v>29.4909</v>
      </c>
      <c r="DI77">
        <v>25.0762</v>
      </c>
      <c r="DJ77">
        <v>61.879199999999997</v>
      </c>
      <c r="DK77">
        <v>29.751799999999999</v>
      </c>
      <c r="DL77">
        <v>500.43099999999998</v>
      </c>
      <c r="DM77">
        <v>98.743700000000004</v>
      </c>
      <c r="DN77">
        <v>0.100591</v>
      </c>
      <c r="DO77">
        <v>30.815200000000001</v>
      </c>
      <c r="DP77">
        <v>30.010999999999999</v>
      </c>
      <c r="DQ77">
        <v>999.9</v>
      </c>
      <c r="DR77">
        <v>0</v>
      </c>
      <c r="DS77">
        <v>0</v>
      </c>
      <c r="DT77">
        <v>9945</v>
      </c>
      <c r="DU77">
        <v>0</v>
      </c>
      <c r="DV77">
        <v>254.26400000000001</v>
      </c>
      <c r="DW77">
        <v>-8.7847299999999997</v>
      </c>
      <c r="DX77">
        <v>63.081499999999998</v>
      </c>
      <c r="DY77">
        <v>71.8065</v>
      </c>
      <c r="DZ77">
        <v>4.4147499999999997</v>
      </c>
      <c r="EA77">
        <v>70.005899999999997</v>
      </c>
      <c r="EB77">
        <v>25.0762</v>
      </c>
      <c r="EC77">
        <v>2.9120499999999998</v>
      </c>
      <c r="ED77">
        <v>2.4761199999999999</v>
      </c>
      <c r="EE77">
        <v>23.5334</v>
      </c>
      <c r="EF77">
        <v>20.8704</v>
      </c>
      <c r="EG77">
        <v>1800.03</v>
      </c>
      <c r="EH77">
        <v>0.97800500000000001</v>
      </c>
      <c r="EI77">
        <v>2.1995299999999999E-2</v>
      </c>
      <c r="EJ77">
        <v>0</v>
      </c>
      <c r="EK77">
        <v>588.38</v>
      </c>
      <c r="EL77">
        <v>5.0002500000000003</v>
      </c>
      <c r="EM77">
        <v>20169.8</v>
      </c>
      <c r="EN77">
        <v>14822.3</v>
      </c>
      <c r="EO77">
        <v>50.436999999999998</v>
      </c>
      <c r="EP77">
        <v>51.311999999999998</v>
      </c>
      <c r="EQ77">
        <v>51.311999999999998</v>
      </c>
      <c r="ER77">
        <v>50.125</v>
      </c>
      <c r="ES77">
        <v>51.436999999999998</v>
      </c>
      <c r="ET77">
        <v>1755.55</v>
      </c>
      <c r="EU77">
        <v>39.479999999999997</v>
      </c>
      <c r="EV77">
        <v>0</v>
      </c>
      <c r="EW77">
        <v>100.3999998569489</v>
      </c>
      <c r="EX77">
        <v>0</v>
      </c>
      <c r="EY77">
        <v>588.65123999999992</v>
      </c>
      <c r="EZ77">
        <v>-2.5638461484295259</v>
      </c>
      <c r="FA77">
        <v>1214.323095279866</v>
      </c>
      <c r="FB77">
        <v>20634.88</v>
      </c>
      <c r="FC77">
        <v>15</v>
      </c>
      <c r="FD77">
        <v>1693345556.0999999</v>
      </c>
      <c r="FE77" t="s">
        <v>730</v>
      </c>
      <c r="FF77">
        <v>1693345551.0999999</v>
      </c>
      <c r="FG77">
        <v>1693345556.0999999</v>
      </c>
      <c r="FH77">
        <v>95</v>
      </c>
      <c r="FI77">
        <v>6.7000000000000004E-2</v>
      </c>
      <c r="FJ77">
        <v>-8.9999999999999993E-3</v>
      </c>
      <c r="FK77">
        <v>-0.65800000000000003</v>
      </c>
      <c r="FL77">
        <v>-0.26100000000000001</v>
      </c>
      <c r="FM77">
        <v>70</v>
      </c>
      <c r="FN77">
        <v>25</v>
      </c>
      <c r="FO77">
        <v>0.74</v>
      </c>
      <c r="FP77">
        <v>0.21</v>
      </c>
      <c r="FQ77">
        <v>7.1279754545102509</v>
      </c>
      <c r="FR77">
        <v>4.5342932125039148E-2</v>
      </c>
      <c r="FS77">
        <v>3.7378196301605167E-2</v>
      </c>
      <c r="FT77">
        <v>1</v>
      </c>
      <c r="FU77">
        <v>0.2801125534239281</v>
      </c>
      <c r="FV77">
        <v>3.5772239206200381E-2</v>
      </c>
      <c r="FW77">
        <v>3.4726762096475151E-3</v>
      </c>
      <c r="FX77">
        <v>1</v>
      </c>
      <c r="FY77">
        <v>2</v>
      </c>
      <c r="FZ77">
        <v>2</v>
      </c>
      <c r="GA77" t="s">
        <v>415</v>
      </c>
      <c r="GB77">
        <v>2.91934</v>
      </c>
      <c r="GC77">
        <v>2.83</v>
      </c>
      <c r="GD77">
        <v>1.6907200000000001E-2</v>
      </c>
      <c r="GE77">
        <v>1.8659499999999999E-2</v>
      </c>
      <c r="GF77">
        <v>0.137207</v>
      </c>
      <c r="GG77">
        <v>0.11722</v>
      </c>
      <c r="GH77">
        <v>25674.1</v>
      </c>
      <c r="GI77">
        <v>31324.400000000001</v>
      </c>
      <c r="GJ77">
        <v>23515</v>
      </c>
      <c r="GK77">
        <v>29228.400000000001</v>
      </c>
      <c r="GL77">
        <v>27674.6</v>
      </c>
      <c r="GM77">
        <v>36539.199999999997</v>
      </c>
      <c r="GN77">
        <v>33258.800000000003</v>
      </c>
      <c r="GO77">
        <v>43176.6</v>
      </c>
      <c r="GP77">
        <v>1.9695</v>
      </c>
      <c r="GQ77">
        <v>1.8174999999999999</v>
      </c>
      <c r="GR77">
        <v>3.6805900000000003E-2</v>
      </c>
      <c r="GS77">
        <v>0</v>
      </c>
      <c r="GT77">
        <v>29.411799999999999</v>
      </c>
      <c r="GU77">
        <v>999.9</v>
      </c>
      <c r="GV77">
        <v>48.7</v>
      </c>
      <c r="GW77">
        <v>36.4</v>
      </c>
      <c r="GX77">
        <v>30.090900000000001</v>
      </c>
      <c r="GY77">
        <v>61.320799999999998</v>
      </c>
      <c r="GZ77">
        <v>35.945500000000003</v>
      </c>
      <c r="HA77">
        <v>1</v>
      </c>
      <c r="HB77">
        <v>0.44384099999999999</v>
      </c>
      <c r="HC77">
        <v>2.49695</v>
      </c>
      <c r="HD77">
        <v>20.3049</v>
      </c>
      <c r="HE77">
        <v>5.2095000000000002</v>
      </c>
      <c r="HF77">
        <v>11.872199999999999</v>
      </c>
      <c r="HG77">
        <v>4.9846000000000004</v>
      </c>
      <c r="HH77">
        <v>3.2839999999999998</v>
      </c>
      <c r="HI77">
        <v>9999</v>
      </c>
      <c r="HJ77">
        <v>9999</v>
      </c>
      <c r="HK77">
        <v>9999</v>
      </c>
      <c r="HL77">
        <v>999.9</v>
      </c>
      <c r="HM77">
        <v>1.8545499999999999</v>
      </c>
      <c r="HN77">
        <v>1.86066</v>
      </c>
      <c r="HO77">
        <v>1.85806</v>
      </c>
      <c r="HP77">
        <v>1.85928</v>
      </c>
      <c r="HQ77">
        <v>1.8586499999999999</v>
      </c>
      <c r="HR77">
        <v>1.8591299999999999</v>
      </c>
      <c r="HS77">
        <v>1.8575600000000001</v>
      </c>
      <c r="HT77">
        <v>1.8609100000000001</v>
      </c>
      <c r="HU77">
        <v>5</v>
      </c>
      <c r="HV77">
        <v>0</v>
      </c>
      <c r="HW77">
        <v>0</v>
      </c>
      <c r="HX77">
        <v>0</v>
      </c>
      <c r="HY77" t="s">
        <v>416</v>
      </c>
      <c r="HZ77" t="s">
        <v>417</v>
      </c>
      <c r="IA77" t="s">
        <v>418</v>
      </c>
      <c r="IB77" t="s">
        <v>418</v>
      </c>
      <c r="IC77" t="s">
        <v>418</v>
      </c>
      <c r="ID77" t="s">
        <v>418</v>
      </c>
      <c r="IE77">
        <v>0</v>
      </c>
      <c r="IF77">
        <v>100</v>
      </c>
      <c r="IG77">
        <v>100</v>
      </c>
      <c r="IH77">
        <v>-0.65800000000000003</v>
      </c>
      <c r="II77">
        <v>-0.26090000000000002</v>
      </c>
      <c r="IJ77">
        <v>-0.65799500000001387</v>
      </c>
      <c r="IK77">
        <v>0</v>
      </c>
      <c r="IL77">
        <v>0</v>
      </c>
      <c r="IM77">
        <v>0</v>
      </c>
      <c r="IN77">
        <v>-0.26089500000000138</v>
      </c>
      <c r="IO77">
        <v>0</v>
      </c>
      <c r="IP77">
        <v>0</v>
      </c>
      <c r="IQ77">
        <v>0</v>
      </c>
      <c r="IR77">
        <v>-1</v>
      </c>
      <c r="IS77">
        <v>-1</v>
      </c>
      <c r="IT77">
        <v>-1</v>
      </c>
      <c r="IU77">
        <v>-1</v>
      </c>
      <c r="IV77">
        <v>0.6</v>
      </c>
      <c r="IW77">
        <v>0.5</v>
      </c>
      <c r="IX77">
        <v>0.299072</v>
      </c>
      <c r="IY77">
        <v>2.5</v>
      </c>
      <c r="IZ77">
        <v>1.49414</v>
      </c>
      <c r="JA77">
        <v>2.2936999999999999</v>
      </c>
      <c r="JB77">
        <v>1.54419</v>
      </c>
      <c r="JC77">
        <v>2.5122100000000001</v>
      </c>
      <c r="JD77">
        <v>39.0931</v>
      </c>
      <c r="JE77">
        <v>16.014600000000002</v>
      </c>
      <c r="JF77">
        <v>18</v>
      </c>
      <c r="JG77">
        <v>519.63099999999997</v>
      </c>
      <c r="JH77">
        <v>450.35899999999998</v>
      </c>
      <c r="JI77">
        <v>25.814</v>
      </c>
      <c r="JJ77">
        <v>32.962400000000002</v>
      </c>
      <c r="JK77">
        <v>29.9999</v>
      </c>
      <c r="JL77">
        <v>33.003599999999999</v>
      </c>
      <c r="JM77">
        <v>32.979900000000001</v>
      </c>
      <c r="JN77">
        <v>6.0495299999999999</v>
      </c>
      <c r="JO77">
        <v>23.4328</v>
      </c>
      <c r="JP77">
        <v>45.177100000000003</v>
      </c>
      <c r="JQ77">
        <v>25.811499999999999</v>
      </c>
      <c r="JR77">
        <v>70</v>
      </c>
      <c r="JS77">
        <v>24.964600000000001</v>
      </c>
      <c r="JT77">
        <v>98.629599999999996</v>
      </c>
      <c r="JU77">
        <v>97.223399999999998</v>
      </c>
    </row>
    <row r="78" spans="1:281" x14ac:dyDescent="0.25">
      <c r="A78">
        <v>76</v>
      </c>
      <c r="B78">
        <v>1693345683.5999999</v>
      </c>
      <c r="C78">
        <v>24277</v>
      </c>
      <c r="D78" t="s">
        <v>731</v>
      </c>
      <c r="E78" t="s">
        <v>732</v>
      </c>
      <c r="F78" t="s">
        <v>411</v>
      </c>
      <c r="G78" t="s">
        <v>565</v>
      </c>
      <c r="H78" t="s">
        <v>31</v>
      </c>
      <c r="I78" t="s">
        <v>412</v>
      </c>
      <c r="J78">
        <v>1693345683.5999999</v>
      </c>
      <c r="K78">
        <f t="shared" si="92"/>
        <v>3.8271154506428953E-3</v>
      </c>
      <c r="L78">
        <f t="shared" si="93"/>
        <v>3.827115450642895</v>
      </c>
      <c r="M78">
        <f t="shared" si="94"/>
        <v>3.1556674222791625</v>
      </c>
      <c r="N78">
        <f t="shared" si="95"/>
        <v>26.0624</v>
      </c>
      <c r="O78">
        <f t="shared" si="96"/>
        <v>7.192928603578709</v>
      </c>
      <c r="P78">
        <f t="shared" si="97"/>
        <v>0.71096227658756439</v>
      </c>
      <c r="Q78">
        <f t="shared" si="98"/>
        <v>2.5760554926288002</v>
      </c>
      <c r="R78">
        <f t="shared" si="99"/>
        <v>0.28572428627684821</v>
      </c>
      <c r="S78">
        <f t="shared" si="100"/>
        <v>2.8995030512215476</v>
      </c>
      <c r="T78">
        <f t="shared" si="101"/>
        <v>0.27095297935671586</v>
      </c>
      <c r="U78">
        <f t="shared" si="102"/>
        <v>0.17060909368384342</v>
      </c>
      <c r="V78">
        <f t="shared" si="103"/>
        <v>344.36119967099273</v>
      </c>
      <c r="W78">
        <f t="shared" si="104"/>
        <v>31.869145425224083</v>
      </c>
      <c r="X78">
        <f t="shared" si="105"/>
        <v>30.02</v>
      </c>
      <c r="Y78">
        <f t="shared" si="106"/>
        <v>4.265346557993702</v>
      </c>
      <c r="Z78">
        <f t="shared" si="107"/>
        <v>65.368794516538514</v>
      </c>
      <c r="AA78">
        <f t="shared" si="108"/>
        <v>2.9199855486540001</v>
      </c>
      <c r="AB78">
        <f t="shared" si="109"/>
        <v>4.466941099724937</v>
      </c>
      <c r="AC78">
        <f t="shared" si="110"/>
        <v>1.3453610093397019</v>
      </c>
      <c r="AD78">
        <f t="shared" si="111"/>
        <v>-168.77579137335169</v>
      </c>
      <c r="AE78">
        <f t="shared" si="112"/>
        <v>126.07047385319829</v>
      </c>
      <c r="AF78">
        <f t="shared" si="113"/>
        <v>9.7084155550386146</v>
      </c>
      <c r="AG78">
        <f t="shared" si="114"/>
        <v>311.36429770587796</v>
      </c>
      <c r="AH78">
        <v>0</v>
      </c>
      <c r="AI78">
        <v>0</v>
      </c>
      <c r="AJ78">
        <f t="shared" si="115"/>
        <v>1</v>
      </c>
      <c r="AK78">
        <f t="shared" si="116"/>
        <v>0</v>
      </c>
      <c r="AL78">
        <f t="shared" si="117"/>
        <v>51331.429515638556</v>
      </c>
      <c r="AM78" t="s">
        <v>413</v>
      </c>
      <c r="AN78">
        <v>10366.9</v>
      </c>
      <c r="AO78">
        <v>993.59653846153856</v>
      </c>
      <c r="AP78">
        <v>3431.87</v>
      </c>
      <c r="AQ78">
        <f t="shared" si="118"/>
        <v>0.71047955241266758</v>
      </c>
      <c r="AR78">
        <v>-3.9894345373445681</v>
      </c>
      <c r="AS78" t="s">
        <v>733</v>
      </c>
      <c r="AT78">
        <v>10308.9</v>
      </c>
      <c r="AU78">
        <v>593.11734615384614</v>
      </c>
      <c r="AV78">
        <v>638.07665324985817</v>
      </c>
      <c r="AW78">
        <f t="shared" si="119"/>
        <v>7.0460667800686383E-2</v>
      </c>
      <c r="AX78">
        <v>0.5</v>
      </c>
      <c r="AY78">
        <f t="shared" si="120"/>
        <v>1513.1507998354962</v>
      </c>
      <c r="AZ78">
        <f t="shared" si="121"/>
        <v>3.1556674222791625</v>
      </c>
      <c r="BA78">
        <f t="shared" si="122"/>
        <v>53.308807919775894</v>
      </c>
      <c r="BB78">
        <f t="shared" si="123"/>
        <v>4.7220025660367213E-3</v>
      </c>
      <c r="BC78">
        <f t="shared" si="124"/>
        <v>4.3784603817123955</v>
      </c>
      <c r="BD78">
        <f t="shared" si="125"/>
        <v>438.16059326073162</v>
      </c>
      <c r="BE78" t="s">
        <v>734</v>
      </c>
      <c r="BF78">
        <v>506.85</v>
      </c>
      <c r="BG78">
        <f t="shared" si="126"/>
        <v>506.85</v>
      </c>
      <c r="BH78">
        <f t="shared" si="127"/>
        <v>0.20565970025935487</v>
      </c>
      <c r="BI78">
        <f t="shared" si="128"/>
        <v>0.34260804480328105</v>
      </c>
      <c r="BJ78">
        <f t="shared" si="129"/>
        <v>0.95513649368214293</v>
      </c>
      <c r="BK78">
        <f t="shared" si="130"/>
        <v>-0.12646073810820108</v>
      </c>
      <c r="BL78">
        <f t="shared" si="131"/>
        <v>1.1458080444296679</v>
      </c>
      <c r="BM78">
        <f t="shared" si="132"/>
        <v>0.29277661264605886</v>
      </c>
      <c r="BN78">
        <f t="shared" si="133"/>
        <v>0.70722338735394108</v>
      </c>
      <c r="BO78">
        <v>16688</v>
      </c>
      <c r="BP78">
        <v>290.00000000000011</v>
      </c>
      <c r="BQ78">
        <v>626.5</v>
      </c>
      <c r="BR78">
        <v>175</v>
      </c>
      <c r="BS78">
        <v>10308.9</v>
      </c>
      <c r="BT78">
        <v>625.75</v>
      </c>
      <c r="BU78">
        <v>0.75</v>
      </c>
      <c r="BV78">
        <v>300.00000000000011</v>
      </c>
      <c r="BW78">
        <v>38.5</v>
      </c>
      <c r="BX78">
        <v>638.07665324985817</v>
      </c>
      <c r="BY78">
        <v>1.146049051998028</v>
      </c>
      <c r="BZ78">
        <v>-12.710634156356249</v>
      </c>
      <c r="CA78">
        <v>0.96618964930741191</v>
      </c>
      <c r="CB78">
        <v>0.86074166984182576</v>
      </c>
      <c r="CC78">
        <v>-1.1223075862068979E-2</v>
      </c>
      <c r="CD78">
        <v>289.99999999999989</v>
      </c>
      <c r="CE78">
        <v>625</v>
      </c>
      <c r="CF78">
        <v>705</v>
      </c>
      <c r="CG78">
        <v>10276.5</v>
      </c>
      <c r="CH78">
        <v>625.71</v>
      </c>
      <c r="CI78">
        <v>-0.71</v>
      </c>
      <c r="CW78">
        <f t="shared" si="134"/>
        <v>1799.96</v>
      </c>
      <c r="CX78">
        <f t="shared" si="135"/>
        <v>1513.1507998354962</v>
      </c>
      <c r="CY78">
        <f t="shared" si="136"/>
        <v>0.84065801453115407</v>
      </c>
      <c r="CZ78">
        <f t="shared" si="137"/>
        <v>0.19131602906230846</v>
      </c>
      <c r="DA78">
        <v>6</v>
      </c>
      <c r="DB78">
        <v>0.5</v>
      </c>
      <c r="DC78" t="s">
        <v>414</v>
      </c>
      <c r="DD78">
        <v>2</v>
      </c>
      <c r="DE78">
        <v>1693345683.5999999</v>
      </c>
      <c r="DF78">
        <v>26.0624</v>
      </c>
      <c r="DG78">
        <v>29.969799999999999</v>
      </c>
      <c r="DH78">
        <v>29.542000000000002</v>
      </c>
      <c r="DI78">
        <v>25.084099999999999</v>
      </c>
      <c r="DJ78">
        <v>26.643799999999999</v>
      </c>
      <c r="DK78">
        <v>29.7941</v>
      </c>
      <c r="DL78">
        <v>499.88400000000001</v>
      </c>
      <c r="DM78">
        <v>98.741399999999999</v>
      </c>
      <c r="DN78">
        <v>0.100437</v>
      </c>
      <c r="DO78">
        <v>30.826499999999999</v>
      </c>
      <c r="DP78">
        <v>30.02</v>
      </c>
      <c r="DQ78">
        <v>999.9</v>
      </c>
      <c r="DR78">
        <v>0</v>
      </c>
      <c r="DS78">
        <v>0</v>
      </c>
      <c r="DT78">
        <v>9955</v>
      </c>
      <c r="DU78">
        <v>0</v>
      </c>
      <c r="DV78">
        <v>270.19600000000003</v>
      </c>
      <c r="DW78">
        <v>-3.9073899999999999</v>
      </c>
      <c r="DX78">
        <v>26.855799999999999</v>
      </c>
      <c r="DY78">
        <v>30.7409</v>
      </c>
      <c r="DZ78">
        <v>4.4579500000000003</v>
      </c>
      <c r="EA78">
        <v>29.969799999999999</v>
      </c>
      <c r="EB78">
        <v>25.084099999999999</v>
      </c>
      <c r="EC78">
        <v>2.9170199999999999</v>
      </c>
      <c r="ED78">
        <v>2.4768300000000001</v>
      </c>
      <c r="EE78">
        <v>23.561699999999998</v>
      </c>
      <c r="EF78">
        <v>20.8751</v>
      </c>
      <c r="EG78">
        <v>1799.96</v>
      </c>
      <c r="EH78">
        <v>0.97800500000000001</v>
      </c>
      <c r="EI78">
        <v>2.1995299999999999E-2</v>
      </c>
      <c r="EJ78">
        <v>0</v>
      </c>
      <c r="EK78">
        <v>592.67399999999998</v>
      </c>
      <c r="EL78">
        <v>5.0002500000000003</v>
      </c>
      <c r="EM78">
        <v>20466</v>
      </c>
      <c r="EN78">
        <v>14821.7</v>
      </c>
      <c r="EO78">
        <v>50.5</v>
      </c>
      <c r="EP78">
        <v>51.375</v>
      </c>
      <c r="EQ78">
        <v>51.375</v>
      </c>
      <c r="ER78">
        <v>50.25</v>
      </c>
      <c r="ES78">
        <v>51.436999999999998</v>
      </c>
      <c r="ET78">
        <v>1755.48</v>
      </c>
      <c r="EU78">
        <v>39.479999999999997</v>
      </c>
      <c r="EV78">
        <v>0</v>
      </c>
      <c r="EW78">
        <v>97.399999856948853</v>
      </c>
      <c r="EX78">
        <v>0</v>
      </c>
      <c r="EY78">
        <v>593.11734615384614</v>
      </c>
      <c r="EZ78">
        <v>-2.3905982801186871</v>
      </c>
      <c r="FA78">
        <v>-1861.357287611879</v>
      </c>
      <c r="FB78">
        <v>20607.034615384611</v>
      </c>
      <c r="FC78">
        <v>15</v>
      </c>
      <c r="FD78">
        <v>1693345652.5999999</v>
      </c>
      <c r="FE78" t="s">
        <v>735</v>
      </c>
      <c r="FF78">
        <v>1693345652.5999999</v>
      </c>
      <c r="FG78">
        <v>1693345648.0999999</v>
      </c>
      <c r="FH78">
        <v>96</v>
      </c>
      <c r="FI78">
        <v>7.6999999999999999E-2</v>
      </c>
      <c r="FJ78">
        <v>8.9999999999999993E-3</v>
      </c>
      <c r="FK78">
        <v>-0.58099999999999996</v>
      </c>
      <c r="FL78">
        <v>-0.252</v>
      </c>
      <c r="FM78">
        <v>30</v>
      </c>
      <c r="FN78">
        <v>25</v>
      </c>
      <c r="FO78">
        <v>1</v>
      </c>
      <c r="FP78">
        <v>7.0000000000000007E-2</v>
      </c>
      <c r="FQ78">
        <v>3.0918190543773001</v>
      </c>
      <c r="FR78">
        <v>-0.33074203496369459</v>
      </c>
      <c r="FS78">
        <v>5.8599509372248053E-2</v>
      </c>
      <c r="FT78">
        <v>1</v>
      </c>
      <c r="FU78">
        <v>0.28343276849927468</v>
      </c>
      <c r="FV78">
        <v>2.616424544150512E-2</v>
      </c>
      <c r="FW78">
        <v>2.1570208996347841E-3</v>
      </c>
      <c r="FX78">
        <v>1</v>
      </c>
      <c r="FY78">
        <v>2</v>
      </c>
      <c r="FZ78">
        <v>2</v>
      </c>
      <c r="GA78" t="s">
        <v>415</v>
      </c>
      <c r="GB78">
        <v>2.9180299999999999</v>
      </c>
      <c r="GC78">
        <v>2.8299300000000001</v>
      </c>
      <c r="GD78">
        <v>7.3666000000000001E-3</v>
      </c>
      <c r="GE78">
        <v>8.0960100000000007E-3</v>
      </c>
      <c r="GF78">
        <v>0.13735700000000001</v>
      </c>
      <c r="GG78">
        <v>0.117257</v>
      </c>
      <c r="GH78">
        <v>25925</v>
      </c>
      <c r="GI78">
        <v>31662.7</v>
      </c>
      <c r="GJ78">
        <v>23516.799999999999</v>
      </c>
      <c r="GK78">
        <v>29229.7</v>
      </c>
      <c r="GL78">
        <v>27671.7</v>
      </c>
      <c r="GM78">
        <v>36536.800000000003</v>
      </c>
      <c r="GN78">
        <v>33262.5</v>
      </c>
      <c r="GO78">
        <v>43177.4</v>
      </c>
      <c r="GP78">
        <v>1.9703999999999999</v>
      </c>
      <c r="GQ78">
        <v>1.8185</v>
      </c>
      <c r="GR78">
        <v>3.0279199999999999E-2</v>
      </c>
      <c r="GS78">
        <v>0</v>
      </c>
      <c r="GT78">
        <v>29.527100000000001</v>
      </c>
      <c r="GU78">
        <v>999.9</v>
      </c>
      <c r="GV78">
        <v>48.8</v>
      </c>
      <c r="GW78">
        <v>36.299999999999997</v>
      </c>
      <c r="GX78">
        <v>29.988700000000001</v>
      </c>
      <c r="GY78">
        <v>61.380800000000001</v>
      </c>
      <c r="GZ78">
        <v>36.866999999999997</v>
      </c>
      <c r="HA78">
        <v>1</v>
      </c>
      <c r="HB78">
        <v>0.44161600000000001</v>
      </c>
      <c r="HC78">
        <v>3.07613</v>
      </c>
      <c r="HD78">
        <v>20.296700000000001</v>
      </c>
      <c r="HE78">
        <v>5.2095000000000002</v>
      </c>
      <c r="HF78">
        <v>11.872199999999999</v>
      </c>
      <c r="HG78">
        <v>4.9805999999999999</v>
      </c>
      <c r="HH78">
        <v>3.2839999999999998</v>
      </c>
      <c r="HI78">
        <v>9999</v>
      </c>
      <c r="HJ78">
        <v>9999</v>
      </c>
      <c r="HK78">
        <v>9999</v>
      </c>
      <c r="HL78">
        <v>999.9</v>
      </c>
      <c r="HM78">
        <v>1.8545499999999999</v>
      </c>
      <c r="HN78">
        <v>1.86066</v>
      </c>
      <c r="HO78">
        <v>1.85806</v>
      </c>
      <c r="HP78">
        <v>1.85914</v>
      </c>
      <c r="HQ78">
        <v>1.8585499999999999</v>
      </c>
      <c r="HR78">
        <v>1.8591200000000001</v>
      </c>
      <c r="HS78">
        <v>1.85747</v>
      </c>
      <c r="HT78">
        <v>1.8608100000000001</v>
      </c>
      <c r="HU78">
        <v>5</v>
      </c>
      <c r="HV78">
        <v>0</v>
      </c>
      <c r="HW78">
        <v>0</v>
      </c>
      <c r="HX78">
        <v>0</v>
      </c>
      <c r="HY78" t="s">
        <v>416</v>
      </c>
      <c r="HZ78" t="s">
        <v>417</v>
      </c>
      <c r="IA78" t="s">
        <v>418</v>
      </c>
      <c r="IB78" t="s">
        <v>418</v>
      </c>
      <c r="IC78" t="s">
        <v>418</v>
      </c>
      <c r="ID78" t="s">
        <v>418</v>
      </c>
      <c r="IE78">
        <v>0</v>
      </c>
      <c r="IF78">
        <v>100</v>
      </c>
      <c r="IG78">
        <v>100</v>
      </c>
      <c r="IH78">
        <v>-0.58099999999999996</v>
      </c>
      <c r="II78">
        <v>-0.25209999999999999</v>
      </c>
      <c r="IJ78">
        <v>-0.58138500000000093</v>
      </c>
      <c r="IK78">
        <v>0</v>
      </c>
      <c r="IL78">
        <v>0</v>
      </c>
      <c r="IM78">
        <v>0</v>
      </c>
      <c r="IN78">
        <v>-0.25207142857143339</v>
      </c>
      <c r="IO78">
        <v>0</v>
      </c>
      <c r="IP78">
        <v>0</v>
      </c>
      <c r="IQ78">
        <v>0</v>
      </c>
      <c r="IR78">
        <v>-1</v>
      </c>
      <c r="IS78">
        <v>-1</v>
      </c>
      <c r="IT78">
        <v>-1</v>
      </c>
      <c r="IU78">
        <v>-1</v>
      </c>
      <c r="IV78">
        <v>0.5</v>
      </c>
      <c r="IW78">
        <v>0.6</v>
      </c>
      <c r="IX78">
        <v>0.20996100000000001</v>
      </c>
      <c r="IY78">
        <v>2.52441</v>
      </c>
      <c r="IZ78">
        <v>1.49414</v>
      </c>
      <c r="JA78">
        <v>2.2936999999999999</v>
      </c>
      <c r="JB78">
        <v>1.54419</v>
      </c>
      <c r="JC78">
        <v>2.4291999999999998</v>
      </c>
      <c r="JD78">
        <v>39.0931</v>
      </c>
      <c r="JE78">
        <v>15.988300000000001</v>
      </c>
      <c r="JF78">
        <v>18</v>
      </c>
      <c r="JG78">
        <v>519.774</v>
      </c>
      <c r="JH78">
        <v>450.63900000000001</v>
      </c>
      <c r="JI78">
        <v>25.3551</v>
      </c>
      <c r="JJ78">
        <v>32.912599999999998</v>
      </c>
      <c r="JK78">
        <v>30</v>
      </c>
      <c r="JL78">
        <v>32.9482</v>
      </c>
      <c r="JM78">
        <v>32.927500000000002</v>
      </c>
      <c r="JN78">
        <v>4.2696100000000001</v>
      </c>
      <c r="JO78">
        <v>23.1952</v>
      </c>
      <c r="JP78">
        <v>45.450699999999998</v>
      </c>
      <c r="JQ78">
        <v>25.350100000000001</v>
      </c>
      <c r="JR78">
        <v>30</v>
      </c>
      <c r="JS78">
        <v>24.993500000000001</v>
      </c>
      <c r="JT78">
        <v>98.639200000000002</v>
      </c>
      <c r="JU78">
        <v>97.226200000000006</v>
      </c>
    </row>
    <row r="79" spans="1:281" x14ac:dyDescent="0.25">
      <c r="A79">
        <v>77</v>
      </c>
      <c r="B79">
        <v>1693345783.0999999</v>
      </c>
      <c r="C79">
        <v>24376.5</v>
      </c>
      <c r="D79" t="s">
        <v>736</v>
      </c>
      <c r="E79" t="s">
        <v>737</v>
      </c>
      <c r="F79" t="s">
        <v>411</v>
      </c>
      <c r="G79" t="s">
        <v>565</v>
      </c>
      <c r="H79" t="s">
        <v>31</v>
      </c>
      <c r="I79" t="s">
        <v>412</v>
      </c>
      <c r="J79">
        <v>1693345783.0999999</v>
      </c>
      <c r="K79">
        <f t="shared" si="92"/>
        <v>4.1522574380843287E-3</v>
      </c>
      <c r="L79">
        <f t="shared" si="93"/>
        <v>4.1522574380843285</v>
      </c>
      <c r="M79">
        <f t="shared" si="94"/>
        <v>1.0403997700250891</v>
      </c>
      <c r="N79">
        <f t="shared" si="95"/>
        <v>8.7169500000000006</v>
      </c>
      <c r="O79">
        <f t="shared" si="96"/>
        <v>2.9816173893091245</v>
      </c>
      <c r="P79">
        <f t="shared" si="97"/>
        <v>0.29469617253968894</v>
      </c>
      <c r="Q79">
        <f t="shared" si="98"/>
        <v>0.86156319400024506</v>
      </c>
      <c r="R79">
        <f t="shared" si="99"/>
        <v>0.31213246527797378</v>
      </c>
      <c r="S79">
        <f t="shared" si="100"/>
        <v>2.9064584705131153</v>
      </c>
      <c r="T79">
        <f t="shared" si="101"/>
        <v>0.29463391490250473</v>
      </c>
      <c r="U79">
        <f t="shared" si="102"/>
        <v>0.18563657489873669</v>
      </c>
      <c r="V79">
        <f t="shared" si="103"/>
        <v>344.35549967098723</v>
      </c>
      <c r="W79">
        <f t="shared" si="104"/>
        <v>31.733571828354059</v>
      </c>
      <c r="X79">
        <f t="shared" si="105"/>
        <v>29.994</v>
      </c>
      <c r="Y79">
        <f t="shared" si="106"/>
        <v>4.2589816924462456</v>
      </c>
      <c r="Z79">
        <f t="shared" si="107"/>
        <v>65.47402338185826</v>
      </c>
      <c r="AA79">
        <f t="shared" si="108"/>
        <v>2.91663101895863</v>
      </c>
      <c r="AB79">
        <f t="shared" si="109"/>
        <v>4.4546384479050953</v>
      </c>
      <c r="AC79">
        <f t="shared" si="110"/>
        <v>1.3423506734876156</v>
      </c>
      <c r="AD79">
        <f t="shared" si="111"/>
        <v>-183.11455301951889</v>
      </c>
      <c r="AE79">
        <f t="shared" si="112"/>
        <v>122.87864202265784</v>
      </c>
      <c r="AF79">
        <f t="shared" si="113"/>
        <v>9.4365066891857641</v>
      </c>
      <c r="AG79">
        <f t="shared" si="114"/>
        <v>293.55609536331195</v>
      </c>
      <c r="AH79">
        <v>0</v>
      </c>
      <c r="AI79">
        <v>0</v>
      </c>
      <c r="AJ79">
        <f t="shared" si="115"/>
        <v>1</v>
      </c>
      <c r="AK79">
        <f t="shared" si="116"/>
        <v>0</v>
      </c>
      <c r="AL79">
        <f t="shared" si="117"/>
        <v>51536.249860403419</v>
      </c>
      <c r="AM79" t="s">
        <v>413</v>
      </c>
      <c r="AN79">
        <v>10366.9</v>
      </c>
      <c r="AO79">
        <v>993.59653846153856</v>
      </c>
      <c r="AP79">
        <v>3431.87</v>
      </c>
      <c r="AQ79">
        <f t="shared" si="118"/>
        <v>0.71047955241266758</v>
      </c>
      <c r="AR79">
        <v>-3.9894345373445681</v>
      </c>
      <c r="AS79" t="s">
        <v>738</v>
      </c>
      <c r="AT79">
        <v>10299.200000000001</v>
      </c>
      <c r="AU79">
        <v>594.58308</v>
      </c>
      <c r="AV79">
        <v>634.26427464775156</v>
      </c>
      <c r="AW79">
        <f t="shared" si="119"/>
        <v>6.2562556703653405E-2</v>
      </c>
      <c r="AX79">
        <v>0.5</v>
      </c>
      <c r="AY79">
        <f t="shared" si="120"/>
        <v>1513.1255998354936</v>
      </c>
      <c r="AZ79">
        <f t="shared" si="121"/>
        <v>1.0403997700250891</v>
      </c>
      <c r="BA79">
        <f t="shared" si="122"/>
        <v>47.332503069728823</v>
      </c>
      <c r="BB79">
        <f t="shared" si="123"/>
        <v>3.3241353579084899E-3</v>
      </c>
      <c r="BC79">
        <f t="shared" si="124"/>
        <v>4.4107887471763121</v>
      </c>
      <c r="BD79">
        <f t="shared" si="125"/>
        <v>436.35952284385746</v>
      </c>
      <c r="BE79" t="s">
        <v>739</v>
      </c>
      <c r="BF79">
        <v>508.25</v>
      </c>
      <c r="BG79">
        <f t="shared" si="126"/>
        <v>508.25</v>
      </c>
      <c r="BH79">
        <f t="shared" si="127"/>
        <v>0.19867786928049125</v>
      </c>
      <c r="BI79">
        <f t="shared" si="128"/>
        <v>0.31489444159142005</v>
      </c>
      <c r="BJ79">
        <f t="shared" si="129"/>
        <v>0.9568978613336373</v>
      </c>
      <c r="BK79">
        <f t="shared" si="130"/>
        <v>-0.11043036944858127</v>
      </c>
      <c r="BL79">
        <f t="shared" si="131"/>
        <v>1.1473716010455453</v>
      </c>
      <c r="BM79">
        <f t="shared" si="132"/>
        <v>0.26917197162562922</v>
      </c>
      <c r="BN79">
        <f t="shared" si="133"/>
        <v>0.73082802837437078</v>
      </c>
      <c r="BO79">
        <v>16690</v>
      </c>
      <c r="BP79">
        <v>290.00000000000011</v>
      </c>
      <c r="BQ79">
        <v>623.24</v>
      </c>
      <c r="BR79">
        <v>235</v>
      </c>
      <c r="BS79">
        <v>10299.200000000001</v>
      </c>
      <c r="BT79">
        <v>621.96</v>
      </c>
      <c r="BU79">
        <v>1.28</v>
      </c>
      <c r="BV79">
        <v>300.00000000000011</v>
      </c>
      <c r="BW79">
        <v>38.5</v>
      </c>
      <c r="BX79">
        <v>634.26427464775156</v>
      </c>
      <c r="BY79">
        <v>0.93094012651971736</v>
      </c>
      <c r="BZ79">
        <v>-12.67054326319008</v>
      </c>
      <c r="CA79">
        <v>0.7847817860728632</v>
      </c>
      <c r="CB79">
        <v>0.90300375025451352</v>
      </c>
      <c r="CC79">
        <v>-1.1222283203559519E-2</v>
      </c>
      <c r="CD79">
        <v>289.99999999999989</v>
      </c>
      <c r="CE79">
        <v>620.27</v>
      </c>
      <c r="CF79">
        <v>635</v>
      </c>
      <c r="CG79">
        <v>10281.1</v>
      </c>
      <c r="CH79">
        <v>621.94000000000005</v>
      </c>
      <c r="CI79">
        <v>-1.67</v>
      </c>
      <c r="CW79">
        <f t="shared" si="134"/>
        <v>1799.93</v>
      </c>
      <c r="CX79">
        <f t="shared" si="135"/>
        <v>1513.1255998354936</v>
      </c>
      <c r="CY79">
        <f t="shared" si="136"/>
        <v>0.840658025498488</v>
      </c>
      <c r="CZ79">
        <f t="shared" si="137"/>
        <v>0.19131605099697613</v>
      </c>
      <c r="DA79">
        <v>6</v>
      </c>
      <c r="DB79">
        <v>0.5</v>
      </c>
      <c r="DC79" t="s">
        <v>414</v>
      </c>
      <c r="DD79">
        <v>2</v>
      </c>
      <c r="DE79">
        <v>1693345783.0999999</v>
      </c>
      <c r="DF79">
        <v>8.7169500000000006</v>
      </c>
      <c r="DG79">
        <v>10.0101</v>
      </c>
      <c r="DH79">
        <v>29.5093</v>
      </c>
      <c r="DI79">
        <v>24.669</v>
      </c>
      <c r="DJ79">
        <v>9.3028899999999997</v>
      </c>
      <c r="DK79">
        <v>29.7624</v>
      </c>
      <c r="DL79">
        <v>499.52199999999999</v>
      </c>
      <c r="DM79">
        <v>98.738900000000001</v>
      </c>
      <c r="DN79">
        <v>9.8789100000000005E-2</v>
      </c>
      <c r="DO79">
        <v>30.778199999999998</v>
      </c>
      <c r="DP79">
        <v>29.994</v>
      </c>
      <c r="DQ79">
        <v>999.9</v>
      </c>
      <c r="DR79">
        <v>0</v>
      </c>
      <c r="DS79">
        <v>0</v>
      </c>
      <c r="DT79">
        <v>9995</v>
      </c>
      <c r="DU79">
        <v>0</v>
      </c>
      <c r="DV79">
        <v>290.21899999999999</v>
      </c>
      <c r="DW79">
        <v>-1.2931299999999999</v>
      </c>
      <c r="DX79">
        <v>8.9819999999999993</v>
      </c>
      <c r="DY79">
        <v>10.263299999999999</v>
      </c>
      <c r="DZ79">
        <v>4.8403</v>
      </c>
      <c r="EA79">
        <v>10.0101</v>
      </c>
      <c r="EB79">
        <v>24.669</v>
      </c>
      <c r="EC79">
        <v>2.91371</v>
      </c>
      <c r="ED79">
        <v>2.4357899999999999</v>
      </c>
      <c r="EE79">
        <v>23.542899999999999</v>
      </c>
      <c r="EF79">
        <v>20.6037</v>
      </c>
      <c r="EG79">
        <v>1799.93</v>
      </c>
      <c r="EH79">
        <v>0.97800500000000001</v>
      </c>
      <c r="EI79">
        <v>2.1995299999999999E-2</v>
      </c>
      <c r="EJ79">
        <v>0</v>
      </c>
      <c r="EK79">
        <v>594.80700000000002</v>
      </c>
      <c r="EL79">
        <v>5.0002500000000003</v>
      </c>
      <c r="EM79">
        <v>21014.5</v>
      </c>
      <c r="EN79">
        <v>14821.5</v>
      </c>
      <c r="EO79">
        <v>50.561999999999998</v>
      </c>
      <c r="EP79">
        <v>51.561999999999998</v>
      </c>
      <c r="EQ79">
        <v>51.5</v>
      </c>
      <c r="ER79">
        <v>50.311999999999998</v>
      </c>
      <c r="ES79">
        <v>51.561999999999998</v>
      </c>
      <c r="ET79">
        <v>1755.45</v>
      </c>
      <c r="EU79">
        <v>39.479999999999997</v>
      </c>
      <c r="EV79">
        <v>0</v>
      </c>
      <c r="EW79">
        <v>97.400000095367432</v>
      </c>
      <c r="EX79">
        <v>0</v>
      </c>
      <c r="EY79">
        <v>594.58308</v>
      </c>
      <c r="EZ79">
        <v>-0.12784615641210131</v>
      </c>
      <c r="FA79">
        <v>1447.169256139008</v>
      </c>
      <c r="FB79">
        <v>20825.776000000002</v>
      </c>
      <c r="FC79">
        <v>15</v>
      </c>
      <c r="FD79">
        <v>1693345751.0999999</v>
      </c>
      <c r="FE79" t="s">
        <v>740</v>
      </c>
      <c r="FF79">
        <v>1693345744.5999999</v>
      </c>
      <c r="FG79">
        <v>1693345751.0999999</v>
      </c>
      <c r="FH79">
        <v>97</v>
      </c>
      <c r="FI79">
        <v>-5.0000000000000001E-3</v>
      </c>
      <c r="FJ79">
        <v>-1E-3</v>
      </c>
      <c r="FK79">
        <v>-0.58599999999999997</v>
      </c>
      <c r="FL79">
        <v>-0.253</v>
      </c>
      <c r="FM79">
        <v>10</v>
      </c>
      <c r="FN79">
        <v>25</v>
      </c>
      <c r="FO79">
        <v>0.9</v>
      </c>
      <c r="FP79">
        <v>0.09</v>
      </c>
      <c r="FQ79">
        <v>1.0121893041283061</v>
      </c>
      <c r="FR79">
        <v>-0.28414061768030319</v>
      </c>
      <c r="FS79">
        <v>4.2280914767170198E-2</v>
      </c>
      <c r="FT79">
        <v>1</v>
      </c>
      <c r="FU79">
        <v>0.31161355122853951</v>
      </c>
      <c r="FV79">
        <v>2.032828479694361E-2</v>
      </c>
      <c r="FW79">
        <v>2.2948851463181551E-3</v>
      </c>
      <c r="FX79">
        <v>1</v>
      </c>
      <c r="FY79">
        <v>2</v>
      </c>
      <c r="FZ79">
        <v>2</v>
      </c>
      <c r="GA79" t="s">
        <v>415</v>
      </c>
      <c r="GB79">
        <v>2.9171200000000002</v>
      </c>
      <c r="GC79">
        <v>2.82863</v>
      </c>
      <c r="GD79">
        <v>2.5821500000000001E-3</v>
      </c>
      <c r="GE79">
        <v>2.7154800000000002E-3</v>
      </c>
      <c r="GF79">
        <v>0.13725899999999999</v>
      </c>
      <c r="GG79">
        <v>0.115906</v>
      </c>
      <c r="GH79">
        <v>26050.3</v>
      </c>
      <c r="GI79">
        <v>31832.799999999999</v>
      </c>
      <c r="GJ79">
        <v>23517.3</v>
      </c>
      <c r="GK79">
        <v>29228.400000000001</v>
      </c>
      <c r="GL79">
        <v>27674.5</v>
      </c>
      <c r="GM79">
        <v>36591.4</v>
      </c>
      <c r="GN79">
        <v>33262.699999999997</v>
      </c>
      <c r="GO79">
        <v>43175.9</v>
      </c>
      <c r="GP79">
        <v>1.9703999999999999</v>
      </c>
      <c r="GQ79">
        <v>1.8186</v>
      </c>
      <c r="GR79">
        <v>2.2649800000000001E-2</v>
      </c>
      <c r="GS79">
        <v>0</v>
      </c>
      <c r="GT79">
        <v>29.625299999999999</v>
      </c>
      <c r="GU79">
        <v>999.9</v>
      </c>
      <c r="GV79">
        <v>49</v>
      </c>
      <c r="GW79">
        <v>36.299999999999997</v>
      </c>
      <c r="GX79">
        <v>30.114599999999999</v>
      </c>
      <c r="GY79">
        <v>61.040799999999997</v>
      </c>
      <c r="GZ79">
        <v>36.794899999999998</v>
      </c>
      <c r="HA79">
        <v>1</v>
      </c>
      <c r="HB79">
        <v>0.44067099999999998</v>
      </c>
      <c r="HC79">
        <v>2.9850099999999999</v>
      </c>
      <c r="HD79">
        <v>20.295999999999999</v>
      </c>
      <c r="HE79">
        <v>5.1999199999999997</v>
      </c>
      <c r="HF79">
        <v>11.872199999999999</v>
      </c>
      <c r="HG79">
        <v>4.9809999999999999</v>
      </c>
      <c r="HH79">
        <v>3.2816000000000001</v>
      </c>
      <c r="HI79">
        <v>9999</v>
      </c>
      <c r="HJ79">
        <v>9999</v>
      </c>
      <c r="HK79">
        <v>9999</v>
      </c>
      <c r="HL79">
        <v>999.9</v>
      </c>
      <c r="HM79">
        <v>1.8545499999999999</v>
      </c>
      <c r="HN79">
        <v>1.86066</v>
      </c>
      <c r="HO79">
        <v>1.85806</v>
      </c>
      <c r="HP79">
        <v>1.8591299999999999</v>
      </c>
      <c r="HQ79">
        <v>1.8585199999999999</v>
      </c>
      <c r="HR79">
        <v>1.8591</v>
      </c>
      <c r="HS79">
        <v>1.85745</v>
      </c>
      <c r="HT79">
        <v>1.8608100000000001</v>
      </c>
      <c r="HU79">
        <v>5</v>
      </c>
      <c r="HV79">
        <v>0</v>
      </c>
      <c r="HW79">
        <v>0</v>
      </c>
      <c r="HX79">
        <v>0</v>
      </c>
      <c r="HY79" t="s">
        <v>416</v>
      </c>
      <c r="HZ79" t="s">
        <v>417</v>
      </c>
      <c r="IA79" t="s">
        <v>418</v>
      </c>
      <c r="IB79" t="s">
        <v>418</v>
      </c>
      <c r="IC79" t="s">
        <v>418</v>
      </c>
      <c r="ID79" t="s">
        <v>418</v>
      </c>
      <c r="IE79">
        <v>0</v>
      </c>
      <c r="IF79">
        <v>100</v>
      </c>
      <c r="IG79">
        <v>100</v>
      </c>
      <c r="IH79">
        <v>-0.58599999999999997</v>
      </c>
      <c r="II79">
        <v>-0.25309999999999999</v>
      </c>
      <c r="IJ79">
        <v>-0.58593380952380691</v>
      </c>
      <c r="IK79">
        <v>0</v>
      </c>
      <c r="IL79">
        <v>0</v>
      </c>
      <c r="IM79">
        <v>0</v>
      </c>
      <c r="IN79">
        <v>-0.25314999999999438</v>
      </c>
      <c r="IO79">
        <v>0</v>
      </c>
      <c r="IP79">
        <v>0</v>
      </c>
      <c r="IQ79">
        <v>0</v>
      </c>
      <c r="IR79">
        <v>-1</v>
      </c>
      <c r="IS79">
        <v>-1</v>
      </c>
      <c r="IT79">
        <v>-1</v>
      </c>
      <c r="IU79">
        <v>-1</v>
      </c>
      <c r="IV79">
        <v>0.6</v>
      </c>
      <c r="IW79">
        <v>0.5</v>
      </c>
      <c r="IX79">
        <v>0.164795</v>
      </c>
      <c r="IY79">
        <v>2.5488300000000002</v>
      </c>
      <c r="IZ79">
        <v>1.49414</v>
      </c>
      <c r="JA79">
        <v>2.2936999999999999</v>
      </c>
      <c r="JB79">
        <v>1.54419</v>
      </c>
      <c r="JC79">
        <v>2.4890099999999999</v>
      </c>
      <c r="JD79">
        <v>39.118000000000002</v>
      </c>
      <c r="JE79">
        <v>15.9795</v>
      </c>
      <c r="JF79">
        <v>18</v>
      </c>
      <c r="JG79">
        <v>519.60500000000002</v>
      </c>
      <c r="JH79">
        <v>450.52800000000002</v>
      </c>
      <c r="JI79">
        <v>25.326699999999999</v>
      </c>
      <c r="JJ79">
        <v>32.906700000000001</v>
      </c>
      <c r="JK79">
        <v>30.0002</v>
      </c>
      <c r="JL79">
        <v>32.927900000000001</v>
      </c>
      <c r="JM79">
        <v>32.904299999999999</v>
      </c>
      <c r="JN79">
        <v>3.3685800000000001</v>
      </c>
      <c r="JO79">
        <v>25.2118</v>
      </c>
      <c r="JP79">
        <v>45.672600000000003</v>
      </c>
      <c r="JQ79">
        <v>25.312799999999999</v>
      </c>
      <c r="JR79">
        <v>10</v>
      </c>
      <c r="JS79">
        <v>24.564800000000002</v>
      </c>
      <c r="JT79">
        <v>98.6404</v>
      </c>
      <c r="JU79">
        <v>97.222499999999997</v>
      </c>
    </row>
    <row r="80" spans="1:281" x14ac:dyDescent="0.25">
      <c r="A80">
        <v>78</v>
      </c>
      <c r="B80">
        <v>1693345972.5999999</v>
      </c>
      <c r="C80">
        <v>24566</v>
      </c>
      <c r="D80" t="s">
        <v>741</v>
      </c>
      <c r="E80" t="s">
        <v>742</v>
      </c>
      <c r="F80" t="s">
        <v>411</v>
      </c>
      <c r="G80" t="s">
        <v>565</v>
      </c>
      <c r="H80" t="s">
        <v>31</v>
      </c>
      <c r="I80" t="s">
        <v>412</v>
      </c>
      <c r="J80">
        <v>1693345972.5999999</v>
      </c>
      <c r="K80">
        <f t="shared" si="92"/>
        <v>4.1134209577057407E-3</v>
      </c>
      <c r="L80">
        <f t="shared" si="93"/>
        <v>4.113420957705741</v>
      </c>
      <c r="M80">
        <f t="shared" si="94"/>
        <v>35.154285374343075</v>
      </c>
      <c r="N80">
        <f t="shared" si="95"/>
        <v>356.24400000000003</v>
      </c>
      <c r="O80">
        <f t="shared" si="96"/>
        <v>154.11344949880672</v>
      </c>
      <c r="P80">
        <f t="shared" si="97"/>
        <v>15.232234607100057</v>
      </c>
      <c r="Q80">
        <f t="shared" si="98"/>
        <v>35.210373935688004</v>
      </c>
      <c r="R80">
        <f t="shared" si="99"/>
        <v>0.30055577765571295</v>
      </c>
      <c r="S80">
        <f t="shared" si="100"/>
        <v>2.9203875446710947</v>
      </c>
      <c r="T80">
        <f t="shared" si="101"/>
        <v>0.28436793604091543</v>
      </c>
      <c r="U80">
        <f t="shared" si="102"/>
        <v>0.17911168202391137</v>
      </c>
      <c r="V80">
        <f t="shared" si="103"/>
        <v>344.34409967097628</v>
      </c>
      <c r="W80">
        <f t="shared" si="104"/>
        <v>31.743072977469659</v>
      </c>
      <c r="X80">
        <f t="shared" si="105"/>
        <v>29.9984</v>
      </c>
      <c r="Y80">
        <f t="shared" si="106"/>
        <v>4.2600582413126675</v>
      </c>
      <c r="Z80">
        <f t="shared" si="107"/>
        <v>64.683196592309727</v>
      </c>
      <c r="AA80">
        <f t="shared" si="108"/>
        <v>2.8820114685179998</v>
      </c>
      <c r="AB80">
        <f t="shared" si="109"/>
        <v>4.4555798419842567</v>
      </c>
      <c r="AC80">
        <f t="shared" si="110"/>
        <v>1.3780467727946677</v>
      </c>
      <c r="AD80">
        <f t="shared" si="111"/>
        <v>-181.40186423482317</v>
      </c>
      <c r="AE80">
        <f t="shared" si="112"/>
        <v>123.35732174705937</v>
      </c>
      <c r="AF80">
        <f t="shared" si="113"/>
        <v>9.4284609377855553</v>
      </c>
      <c r="AG80">
        <f t="shared" si="114"/>
        <v>295.728018120998</v>
      </c>
      <c r="AH80">
        <v>0</v>
      </c>
      <c r="AI80">
        <v>0</v>
      </c>
      <c r="AJ80">
        <f t="shared" si="115"/>
        <v>1</v>
      </c>
      <c r="AK80">
        <f t="shared" si="116"/>
        <v>0</v>
      </c>
      <c r="AL80">
        <f t="shared" si="117"/>
        <v>51930.421155169897</v>
      </c>
      <c r="AM80" t="s">
        <v>413</v>
      </c>
      <c r="AN80">
        <v>10366.9</v>
      </c>
      <c r="AO80">
        <v>993.59653846153856</v>
      </c>
      <c r="AP80">
        <v>3431.87</v>
      </c>
      <c r="AQ80">
        <f t="shared" si="118"/>
        <v>0.71047955241266758</v>
      </c>
      <c r="AR80">
        <v>-3.9894345373445681</v>
      </c>
      <c r="AS80" t="s">
        <v>743</v>
      </c>
      <c r="AT80">
        <v>10302.1</v>
      </c>
      <c r="AU80">
        <v>601.76300000000003</v>
      </c>
      <c r="AV80">
        <v>838.18864947867212</v>
      </c>
      <c r="AW80">
        <f t="shared" si="119"/>
        <v>0.28206734799584998</v>
      </c>
      <c r="AX80">
        <v>0.5</v>
      </c>
      <c r="AY80">
        <f t="shared" si="120"/>
        <v>1513.0751998354879</v>
      </c>
      <c r="AZ80">
        <f t="shared" si="121"/>
        <v>35.154285374343075</v>
      </c>
      <c r="BA80">
        <f t="shared" si="122"/>
        <v>213.39455446794341</v>
      </c>
      <c r="BB80">
        <f t="shared" si="123"/>
        <v>2.5870306985365712E-2</v>
      </c>
      <c r="BC80">
        <f t="shared" si="124"/>
        <v>3.094388539065184</v>
      </c>
      <c r="BD80">
        <f t="shared" si="125"/>
        <v>524.07955684392311</v>
      </c>
      <c r="BE80" t="s">
        <v>744</v>
      </c>
      <c r="BF80">
        <v>494.28</v>
      </c>
      <c r="BG80">
        <f t="shared" si="126"/>
        <v>494.28</v>
      </c>
      <c r="BH80">
        <f t="shared" si="127"/>
        <v>0.41029981698341167</v>
      </c>
      <c r="BI80">
        <f t="shared" si="128"/>
        <v>0.6874664241131111</v>
      </c>
      <c r="BJ80">
        <f t="shared" si="129"/>
        <v>0.88292830194864758</v>
      </c>
      <c r="BK80">
        <f t="shared" si="130"/>
        <v>-1.5213233448189865</v>
      </c>
      <c r="BL80">
        <f t="shared" si="131"/>
        <v>1.063736857835794</v>
      </c>
      <c r="BM80">
        <f t="shared" si="132"/>
        <v>0.56467563494370465</v>
      </c>
      <c r="BN80">
        <f t="shared" si="133"/>
        <v>0.43532436505629535</v>
      </c>
      <c r="BO80">
        <v>16692</v>
      </c>
      <c r="BP80">
        <v>290.00000000000011</v>
      </c>
      <c r="BQ80">
        <v>765.08</v>
      </c>
      <c r="BR80">
        <v>225</v>
      </c>
      <c r="BS80">
        <v>10302.1</v>
      </c>
      <c r="BT80">
        <v>764.89</v>
      </c>
      <c r="BU80">
        <v>0.19</v>
      </c>
      <c r="BV80">
        <v>300.00000000000011</v>
      </c>
      <c r="BW80">
        <v>38.5</v>
      </c>
      <c r="BX80">
        <v>838.18864947867212</v>
      </c>
      <c r="BY80">
        <v>1.1087020595818691</v>
      </c>
      <c r="BZ80">
        <v>-75.508862846364806</v>
      </c>
      <c r="CA80">
        <v>0.93475634061606294</v>
      </c>
      <c r="CB80">
        <v>0.99572732914622752</v>
      </c>
      <c r="CC80">
        <v>-1.122475439377086E-2</v>
      </c>
      <c r="CD80">
        <v>289.99999999999989</v>
      </c>
      <c r="CE80">
        <v>750.72</v>
      </c>
      <c r="CF80">
        <v>625</v>
      </c>
      <c r="CG80">
        <v>10283.200000000001</v>
      </c>
      <c r="CH80">
        <v>764.76</v>
      </c>
      <c r="CI80">
        <v>-14.04</v>
      </c>
      <c r="CW80">
        <f t="shared" si="134"/>
        <v>1799.87</v>
      </c>
      <c r="CX80">
        <f t="shared" si="135"/>
        <v>1513.0751998354879</v>
      </c>
      <c r="CY80">
        <f t="shared" si="136"/>
        <v>0.84065804743425243</v>
      </c>
      <c r="CZ80">
        <f t="shared" si="137"/>
        <v>0.19131609486850512</v>
      </c>
      <c r="DA80">
        <v>6</v>
      </c>
      <c r="DB80">
        <v>0.5</v>
      </c>
      <c r="DC80" t="s">
        <v>414</v>
      </c>
      <c r="DD80">
        <v>2</v>
      </c>
      <c r="DE80">
        <v>1693345972.5999999</v>
      </c>
      <c r="DF80">
        <v>356.24400000000003</v>
      </c>
      <c r="DG80">
        <v>400.15300000000002</v>
      </c>
      <c r="DH80">
        <v>29.158999999999999</v>
      </c>
      <c r="DI80">
        <v>24.3706</v>
      </c>
      <c r="DJ80">
        <v>357.03800000000001</v>
      </c>
      <c r="DK80">
        <v>29.422000000000001</v>
      </c>
      <c r="DL80">
        <v>500.39400000000001</v>
      </c>
      <c r="DM80">
        <v>98.738100000000003</v>
      </c>
      <c r="DN80">
        <v>9.9701999999999999E-2</v>
      </c>
      <c r="DO80">
        <v>30.7819</v>
      </c>
      <c r="DP80">
        <v>29.9984</v>
      </c>
      <c r="DQ80">
        <v>999.9</v>
      </c>
      <c r="DR80">
        <v>0</v>
      </c>
      <c r="DS80">
        <v>0</v>
      </c>
      <c r="DT80">
        <v>10075</v>
      </c>
      <c r="DU80">
        <v>0</v>
      </c>
      <c r="DV80">
        <v>289.63299999999998</v>
      </c>
      <c r="DW80">
        <v>-43.9086</v>
      </c>
      <c r="DX80">
        <v>366.94400000000002</v>
      </c>
      <c r="DY80">
        <v>410.14800000000002</v>
      </c>
      <c r="DZ80">
        <v>4.7883599999999999</v>
      </c>
      <c r="EA80">
        <v>400.15300000000002</v>
      </c>
      <c r="EB80">
        <v>24.3706</v>
      </c>
      <c r="EC80">
        <v>2.8791000000000002</v>
      </c>
      <c r="ED80">
        <v>2.4063099999999999</v>
      </c>
      <c r="EE80">
        <v>23.344799999999999</v>
      </c>
      <c r="EF80">
        <v>20.406300000000002</v>
      </c>
      <c r="EG80">
        <v>1799.87</v>
      </c>
      <c r="EH80">
        <v>0.97800500000000001</v>
      </c>
      <c r="EI80">
        <v>2.1995299999999999E-2</v>
      </c>
      <c r="EJ80">
        <v>0</v>
      </c>
      <c r="EK80">
        <v>601.572</v>
      </c>
      <c r="EL80">
        <v>5.0002500000000003</v>
      </c>
      <c r="EM80">
        <v>19998.099999999999</v>
      </c>
      <c r="EN80">
        <v>14821</v>
      </c>
      <c r="EO80">
        <v>50.625</v>
      </c>
      <c r="EP80">
        <v>51.561999999999998</v>
      </c>
      <c r="EQ80">
        <v>51.561999999999998</v>
      </c>
      <c r="ER80">
        <v>50.375</v>
      </c>
      <c r="ES80">
        <v>51.561999999999998</v>
      </c>
      <c r="ET80">
        <v>1755.39</v>
      </c>
      <c r="EU80">
        <v>39.479999999999997</v>
      </c>
      <c r="EV80">
        <v>0</v>
      </c>
      <c r="EW80">
        <v>187.4000000953674</v>
      </c>
      <c r="EX80">
        <v>0</v>
      </c>
      <c r="EY80">
        <v>601.76300000000003</v>
      </c>
      <c r="EZ80">
        <v>-1.769367520937676</v>
      </c>
      <c r="FA80">
        <v>-2424.6495500042088</v>
      </c>
      <c r="FB80">
        <v>20347.54615384615</v>
      </c>
      <c r="FC80">
        <v>15</v>
      </c>
      <c r="FD80">
        <v>1693345876.0999999</v>
      </c>
      <c r="FE80" t="s">
        <v>745</v>
      </c>
      <c r="FF80">
        <v>1693345876.0999999</v>
      </c>
      <c r="FG80">
        <v>1693345868.5999999</v>
      </c>
      <c r="FH80">
        <v>98</v>
      </c>
      <c r="FI80">
        <v>-0.20799999999999999</v>
      </c>
      <c r="FJ80">
        <v>-0.01</v>
      </c>
      <c r="FK80">
        <v>-0.79400000000000004</v>
      </c>
      <c r="FL80">
        <v>-0.26300000000000001</v>
      </c>
      <c r="FM80">
        <v>400</v>
      </c>
      <c r="FN80">
        <v>24</v>
      </c>
      <c r="FO80">
        <v>0.31</v>
      </c>
      <c r="FP80">
        <v>7.0000000000000007E-2</v>
      </c>
      <c r="FQ80">
        <v>34.593747894753022</v>
      </c>
      <c r="FR80">
        <v>2.0024193500454301</v>
      </c>
      <c r="FS80">
        <v>0.16365749239594601</v>
      </c>
      <c r="FT80">
        <v>0</v>
      </c>
      <c r="FU80">
        <v>0.3015398940877832</v>
      </c>
      <c r="FV80">
        <v>-1.365845460847555E-2</v>
      </c>
      <c r="FW80">
        <v>1.270791735401287E-3</v>
      </c>
      <c r="FX80">
        <v>1</v>
      </c>
      <c r="FY80">
        <v>1</v>
      </c>
      <c r="FZ80">
        <v>2</v>
      </c>
      <c r="GA80" t="s">
        <v>419</v>
      </c>
      <c r="GB80">
        <v>2.9193199999999999</v>
      </c>
      <c r="GC80">
        <v>2.8302399999999999</v>
      </c>
      <c r="GD80">
        <v>8.2064899999999996E-2</v>
      </c>
      <c r="GE80">
        <v>8.7991E-2</v>
      </c>
      <c r="GF80">
        <v>0.13617599999999999</v>
      </c>
      <c r="GG80">
        <v>0.11493100000000001</v>
      </c>
      <c r="GH80">
        <v>23975.7</v>
      </c>
      <c r="GI80">
        <v>29113</v>
      </c>
      <c r="GJ80">
        <v>23516.3</v>
      </c>
      <c r="GK80">
        <v>29228.1</v>
      </c>
      <c r="GL80">
        <v>27716.2</v>
      </c>
      <c r="GM80">
        <v>36640.800000000003</v>
      </c>
      <c r="GN80">
        <v>33262.300000000003</v>
      </c>
      <c r="GO80">
        <v>43174.5</v>
      </c>
      <c r="GP80">
        <v>1.9712000000000001</v>
      </c>
      <c r="GQ80">
        <v>1.8192999999999999</v>
      </c>
      <c r="GR80">
        <v>2.56002E-2</v>
      </c>
      <c r="GS80">
        <v>0</v>
      </c>
      <c r="GT80">
        <v>29.581600000000002</v>
      </c>
      <c r="GU80">
        <v>999.9</v>
      </c>
      <c r="GV80">
        <v>49.1</v>
      </c>
      <c r="GW80">
        <v>36.200000000000003</v>
      </c>
      <c r="GX80">
        <v>30.009799999999998</v>
      </c>
      <c r="GY80">
        <v>60.980800000000002</v>
      </c>
      <c r="GZ80">
        <v>35.977600000000002</v>
      </c>
      <c r="HA80">
        <v>1</v>
      </c>
      <c r="HB80">
        <v>0.44029499999999999</v>
      </c>
      <c r="HC80">
        <v>2.6884000000000001</v>
      </c>
      <c r="HD80">
        <v>20.3017</v>
      </c>
      <c r="HE80">
        <v>5.2071100000000001</v>
      </c>
      <c r="HF80">
        <v>11.872199999999999</v>
      </c>
      <c r="HG80">
        <v>4.9837999999999996</v>
      </c>
      <c r="HH80">
        <v>3.2839999999999998</v>
      </c>
      <c r="HI80">
        <v>9999</v>
      </c>
      <c r="HJ80">
        <v>9999</v>
      </c>
      <c r="HK80">
        <v>9999</v>
      </c>
      <c r="HL80">
        <v>999.9</v>
      </c>
      <c r="HM80">
        <v>1.8545499999999999</v>
      </c>
      <c r="HN80">
        <v>1.86066</v>
      </c>
      <c r="HO80">
        <v>1.85806</v>
      </c>
      <c r="HP80">
        <v>1.8592599999999999</v>
      </c>
      <c r="HQ80">
        <v>1.85867</v>
      </c>
      <c r="HR80">
        <v>1.8591299999999999</v>
      </c>
      <c r="HS80">
        <v>1.8575299999999999</v>
      </c>
      <c r="HT80">
        <v>1.86086</v>
      </c>
      <c r="HU80">
        <v>5</v>
      </c>
      <c r="HV80">
        <v>0</v>
      </c>
      <c r="HW80">
        <v>0</v>
      </c>
      <c r="HX80">
        <v>0</v>
      </c>
      <c r="HY80" t="s">
        <v>416</v>
      </c>
      <c r="HZ80" t="s">
        <v>417</v>
      </c>
      <c r="IA80" t="s">
        <v>418</v>
      </c>
      <c r="IB80" t="s">
        <v>418</v>
      </c>
      <c r="IC80" t="s">
        <v>418</v>
      </c>
      <c r="ID80" t="s">
        <v>418</v>
      </c>
      <c r="IE80">
        <v>0</v>
      </c>
      <c r="IF80">
        <v>100</v>
      </c>
      <c r="IG80">
        <v>100</v>
      </c>
      <c r="IH80">
        <v>-0.79400000000000004</v>
      </c>
      <c r="II80">
        <v>-0.26300000000000001</v>
      </c>
      <c r="IJ80">
        <v>-0.79404761904760335</v>
      </c>
      <c r="IK80">
        <v>0</v>
      </c>
      <c r="IL80">
        <v>0</v>
      </c>
      <c r="IM80">
        <v>0</v>
      </c>
      <c r="IN80">
        <v>-0.26301500000000289</v>
      </c>
      <c r="IO80">
        <v>0</v>
      </c>
      <c r="IP80">
        <v>0</v>
      </c>
      <c r="IQ80">
        <v>0</v>
      </c>
      <c r="IR80">
        <v>-1</v>
      </c>
      <c r="IS80">
        <v>-1</v>
      </c>
      <c r="IT80">
        <v>-1</v>
      </c>
      <c r="IU80">
        <v>-1</v>
      </c>
      <c r="IV80">
        <v>1.6</v>
      </c>
      <c r="IW80">
        <v>1.7</v>
      </c>
      <c r="IX80">
        <v>0.99731400000000003</v>
      </c>
      <c r="IY80">
        <v>2.47681</v>
      </c>
      <c r="IZ80">
        <v>1.49414</v>
      </c>
      <c r="JA80">
        <v>2.2936999999999999</v>
      </c>
      <c r="JB80">
        <v>1.54419</v>
      </c>
      <c r="JC80">
        <v>2.52197</v>
      </c>
      <c r="JD80">
        <v>39.118000000000002</v>
      </c>
      <c r="JE80">
        <v>15.9795</v>
      </c>
      <c r="JF80">
        <v>18</v>
      </c>
      <c r="JG80">
        <v>519.947</v>
      </c>
      <c r="JH80">
        <v>450.82799999999997</v>
      </c>
      <c r="JI80">
        <v>25.691199999999998</v>
      </c>
      <c r="JJ80">
        <v>32.9009</v>
      </c>
      <c r="JK80">
        <v>29.999199999999998</v>
      </c>
      <c r="JL80">
        <v>32.904699999999998</v>
      </c>
      <c r="JM80">
        <v>32.881100000000004</v>
      </c>
      <c r="JN80">
        <v>20.0441</v>
      </c>
      <c r="JO80">
        <v>25.507899999999999</v>
      </c>
      <c r="JP80">
        <v>44.873699999999999</v>
      </c>
      <c r="JQ80">
        <v>25.726099999999999</v>
      </c>
      <c r="JR80">
        <v>400</v>
      </c>
      <c r="JS80">
        <v>24.395</v>
      </c>
      <c r="JT80">
        <v>98.638000000000005</v>
      </c>
      <c r="JU80">
        <v>97.220200000000006</v>
      </c>
    </row>
    <row r="81" spans="1:281" x14ac:dyDescent="0.25">
      <c r="A81">
        <v>79</v>
      </c>
      <c r="B81">
        <v>1693346101.5999999</v>
      </c>
      <c r="C81">
        <v>24695</v>
      </c>
      <c r="D81" t="s">
        <v>746</v>
      </c>
      <c r="E81" t="s">
        <v>747</v>
      </c>
      <c r="F81" t="s">
        <v>411</v>
      </c>
      <c r="G81" t="s">
        <v>565</v>
      </c>
      <c r="H81" t="s">
        <v>31</v>
      </c>
      <c r="I81" t="s">
        <v>412</v>
      </c>
      <c r="J81">
        <v>1693346101.5999999</v>
      </c>
      <c r="K81">
        <f t="shared" si="92"/>
        <v>4.1401101153304455E-3</v>
      </c>
      <c r="L81">
        <f t="shared" si="93"/>
        <v>4.1401101153304456</v>
      </c>
      <c r="M81">
        <f t="shared" si="94"/>
        <v>39.623908697408119</v>
      </c>
      <c r="N81">
        <f t="shared" si="95"/>
        <v>350.77699999999999</v>
      </c>
      <c r="O81">
        <f t="shared" si="96"/>
        <v>132.56639771094746</v>
      </c>
      <c r="P81">
        <f t="shared" si="97"/>
        <v>13.10223539252952</v>
      </c>
      <c r="Q81">
        <f t="shared" si="98"/>
        <v>34.669138662925199</v>
      </c>
      <c r="R81">
        <f t="shared" si="99"/>
        <v>0.31299614289636857</v>
      </c>
      <c r="S81">
        <f t="shared" si="100"/>
        <v>2.9212103982873856</v>
      </c>
      <c r="T81">
        <f t="shared" si="101"/>
        <v>0.29548705663239638</v>
      </c>
      <c r="U81">
        <f t="shared" si="102"/>
        <v>0.18617086299324537</v>
      </c>
      <c r="V81">
        <f t="shared" si="103"/>
        <v>344.41369967087547</v>
      </c>
      <c r="W81">
        <f t="shared" si="104"/>
        <v>31.643353314031483</v>
      </c>
      <c r="X81">
        <f t="shared" si="105"/>
        <v>29.9023</v>
      </c>
      <c r="Y81">
        <f t="shared" si="106"/>
        <v>4.2365993318442028</v>
      </c>
      <c r="Z81">
        <f t="shared" si="107"/>
        <v>65.474566927088134</v>
      </c>
      <c r="AA81">
        <f t="shared" si="108"/>
        <v>2.9018133402627599</v>
      </c>
      <c r="AB81">
        <f t="shared" si="109"/>
        <v>4.4319702694546903</v>
      </c>
      <c r="AC81">
        <f t="shared" si="110"/>
        <v>1.3347859915814428</v>
      </c>
      <c r="AD81">
        <f t="shared" si="111"/>
        <v>-182.57885608607265</v>
      </c>
      <c r="AE81">
        <f t="shared" si="112"/>
        <v>123.88029284107654</v>
      </c>
      <c r="AF81">
        <f t="shared" si="113"/>
        <v>9.4569186525121633</v>
      </c>
      <c r="AG81">
        <f t="shared" si="114"/>
        <v>295.17205507839151</v>
      </c>
      <c r="AH81">
        <v>0</v>
      </c>
      <c r="AI81">
        <v>0</v>
      </c>
      <c r="AJ81">
        <f t="shared" si="115"/>
        <v>1</v>
      </c>
      <c r="AK81">
        <f t="shared" si="116"/>
        <v>0</v>
      </c>
      <c r="AL81">
        <f t="shared" si="117"/>
        <v>51969.633503271536</v>
      </c>
      <c r="AM81" t="s">
        <v>413</v>
      </c>
      <c r="AN81">
        <v>10366.9</v>
      </c>
      <c r="AO81">
        <v>993.59653846153856</v>
      </c>
      <c r="AP81">
        <v>3431.87</v>
      </c>
      <c r="AQ81">
        <f t="shared" si="118"/>
        <v>0.71047955241266758</v>
      </c>
      <c r="AR81">
        <v>-3.9894345373445681</v>
      </c>
      <c r="AS81" t="s">
        <v>748</v>
      </c>
      <c r="AT81">
        <v>10314.700000000001</v>
      </c>
      <c r="AU81">
        <v>626.40992307692306</v>
      </c>
      <c r="AV81">
        <v>893.62270832109596</v>
      </c>
      <c r="AW81">
        <f t="shared" si="119"/>
        <v>0.29902192810901373</v>
      </c>
      <c r="AX81">
        <v>0.5</v>
      </c>
      <c r="AY81">
        <f t="shared" si="120"/>
        <v>1513.3781998354377</v>
      </c>
      <c r="AZ81">
        <f t="shared" si="121"/>
        <v>39.623908697408119</v>
      </c>
      <c r="BA81">
        <f t="shared" si="122"/>
        <v>226.26663363647043</v>
      </c>
      <c r="BB81">
        <f t="shared" si="123"/>
        <v>2.8818535406083645E-2</v>
      </c>
      <c r="BC81">
        <f t="shared" si="124"/>
        <v>2.8404015117830492</v>
      </c>
      <c r="BD81">
        <f t="shared" si="125"/>
        <v>545.22686899151995</v>
      </c>
      <c r="BE81" t="s">
        <v>749</v>
      </c>
      <c r="BF81">
        <v>509.23</v>
      </c>
      <c r="BG81">
        <f t="shared" si="126"/>
        <v>509.23</v>
      </c>
      <c r="BH81">
        <f t="shared" si="127"/>
        <v>0.43015100751331425</v>
      </c>
      <c r="BI81">
        <f t="shared" si="128"/>
        <v>0.69515570784698966</v>
      </c>
      <c r="BJ81">
        <f t="shared" si="129"/>
        <v>0.86847757222199928</v>
      </c>
      <c r="BK81">
        <f t="shared" si="130"/>
        <v>-2.6728273275995735</v>
      </c>
      <c r="BL81">
        <f t="shared" si="131"/>
        <v>1.0410018940522621</v>
      </c>
      <c r="BM81">
        <f t="shared" si="132"/>
        <v>0.56511579409231694</v>
      </c>
      <c r="BN81">
        <f t="shared" si="133"/>
        <v>0.43488420590768306</v>
      </c>
      <c r="BO81">
        <v>16694</v>
      </c>
      <c r="BP81">
        <v>290.00000000000011</v>
      </c>
      <c r="BQ81">
        <v>816.27</v>
      </c>
      <c r="BR81">
        <v>145</v>
      </c>
      <c r="BS81">
        <v>10314.700000000001</v>
      </c>
      <c r="BT81">
        <v>815.81</v>
      </c>
      <c r="BU81">
        <v>0.46</v>
      </c>
      <c r="BV81">
        <v>300.00000000000011</v>
      </c>
      <c r="BW81">
        <v>38.5</v>
      </c>
      <c r="BX81">
        <v>893.62270832109596</v>
      </c>
      <c r="BY81">
        <v>1.274265515036987</v>
      </c>
      <c r="BZ81">
        <v>-80.263926675240924</v>
      </c>
      <c r="CA81">
        <v>1.0743239715369779</v>
      </c>
      <c r="CB81">
        <v>0.99500868898386419</v>
      </c>
      <c r="CC81">
        <v>-1.1225235817575089E-2</v>
      </c>
      <c r="CD81">
        <v>289.99999999999989</v>
      </c>
      <c r="CE81">
        <v>806.77</v>
      </c>
      <c r="CF81">
        <v>665</v>
      </c>
      <c r="CG81">
        <v>10280</v>
      </c>
      <c r="CH81">
        <v>815.54</v>
      </c>
      <c r="CI81">
        <v>-8.77</v>
      </c>
      <c r="CW81">
        <f t="shared" si="134"/>
        <v>1800.23</v>
      </c>
      <c r="CX81">
        <f t="shared" si="135"/>
        <v>1513.3781998354377</v>
      </c>
      <c r="CY81">
        <f t="shared" si="136"/>
        <v>0.84065824913229847</v>
      </c>
      <c r="CZ81">
        <f t="shared" si="137"/>
        <v>0.19131649826459701</v>
      </c>
      <c r="DA81">
        <v>6</v>
      </c>
      <c r="DB81">
        <v>0.5</v>
      </c>
      <c r="DC81" t="s">
        <v>414</v>
      </c>
      <c r="DD81">
        <v>2</v>
      </c>
      <c r="DE81">
        <v>1693346101.5999999</v>
      </c>
      <c r="DF81">
        <v>350.77699999999999</v>
      </c>
      <c r="DG81">
        <v>400.03500000000003</v>
      </c>
      <c r="DH81">
        <v>29.360099999999999</v>
      </c>
      <c r="DI81">
        <v>24.5411</v>
      </c>
      <c r="DJ81">
        <v>351.613</v>
      </c>
      <c r="DK81">
        <v>29.618400000000001</v>
      </c>
      <c r="DL81">
        <v>500.339</v>
      </c>
      <c r="DM81">
        <v>98.735500000000002</v>
      </c>
      <c r="DN81">
        <v>9.9767599999999998E-2</v>
      </c>
      <c r="DO81">
        <v>30.6889</v>
      </c>
      <c r="DP81">
        <v>29.9023</v>
      </c>
      <c r="DQ81">
        <v>999.9</v>
      </c>
      <c r="DR81">
        <v>0</v>
      </c>
      <c r="DS81">
        <v>0</v>
      </c>
      <c r="DT81">
        <v>10080</v>
      </c>
      <c r="DU81">
        <v>0</v>
      </c>
      <c r="DV81">
        <v>227.42400000000001</v>
      </c>
      <c r="DW81">
        <v>-49.258000000000003</v>
      </c>
      <c r="DX81">
        <v>361.38799999999998</v>
      </c>
      <c r="DY81">
        <v>410.1</v>
      </c>
      <c r="DZ81">
        <v>4.8189900000000003</v>
      </c>
      <c r="EA81">
        <v>400.03500000000003</v>
      </c>
      <c r="EB81">
        <v>24.5411</v>
      </c>
      <c r="EC81">
        <v>2.8988800000000001</v>
      </c>
      <c r="ED81">
        <v>2.4230800000000001</v>
      </c>
      <c r="EE81">
        <v>23.458200000000001</v>
      </c>
      <c r="EF81">
        <v>20.518799999999999</v>
      </c>
      <c r="EG81">
        <v>1800.23</v>
      </c>
      <c r="EH81">
        <v>0.97799999999999998</v>
      </c>
      <c r="EI81">
        <v>2.2000100000000002E-2</v>
      </c>
      <c r="EJ81">
        <v>0</v>
      </c>
      <c r="EK81">
        <v>627.84900000000005</v>
      </c>
      <c r="EL81">
        <v>5.0002500000000003</v>
      </c>
      <c r="EM81">
        <v>15453.4</v>
      </c>
      <c r="EN81">
        <v>14823.9</v>
      </c>
      <c r="EO81">
        <v>50.625</v>
      </c>
      <c r="EP81">
        <v>51.5</v>
      </c>
      <c r="EQ81">
        <v>51.5</v>
      </c>
      <c r="ER81">
        <v>50.311999999999998</v>
      </c>
      <c r="ES81">
        <v>51.561999999999998</v>
      </c>
      <c r="ET81">
        <v>1755.73</v>
      </c>
      <c r="EU81">
        <v>39.5</v>
      </c>
      <c r="EV81">
        <v>0</v>
      </c>
      <c r="EW81">
        <v>126.7999999523163</v>
      </c>
      <c r="EX81">
        <v>0</v>
      </c>
      <c r="EY81">
        <v>626.40992307692306</v>
      </c>
      <c r="EZ81">
        <v>11.664547010393999</v>
      </c>
      <c r="FA81">
        <v>-1055.729913208063</v>
      </c>
      <c r="FB81">
        <v>15504.196153846149</v>
      </c>
      <c r="FC81">
        <v>15</v>
      </c>
      <c r="FD81">
        <v>1693346039.5999999</v>
      </c>
      <c r="FE81" t="s">
        <v>750</v>
      </c>
      <c r="FF81">
        <v>1693346039.0999999</v>
      </c>
      <c r="FG81">
        <v>1693346039.5999999</v>
      </c>
      <c r="FH81">
        <v>99</v>
      </c>
      <c r="FI81">
        <v>-4.1000000000000002E-2</v>
      </c>
      <c r="FJ81">
        <v>5.0000000000000001E-3</v>
      </c>
      <c r="FK81">
        <v>-0.83499999999999996</v>
      </c>
      <c r="FL81">
        <v>-0.25800000000000001</v>
      </c>
      <c r="FM81">
        <v>400</v>
      </c>
      <c r="FN81">
        <v>24</v>
      </c>
      <c r="FO81">
        <v>0.16</v>
      </c>
      <c r="FP81">
        <v>0.08</v>
      </c>
      <c r="FQ81">
        <v>39.349906917276172</v>
      </c>
      <c r="FR81">
        <v>0.67742968583204988</v>
      </c>
      <c r="FS81">
        <v>8.8636046720635728E-2</v>
      </c>
      <c r="FT81">
        <v>1</v>
      </c>
      <c r="FU81">
        <v>0.30837722230049008</v>
      </c>
      <c r="FV81">
        <v>1.5050469624338981E-3</v>
      </c>
      <c r="FW81">
        <v>6.2847701555885933E-4</v>
      </c>
      <c r="FX81">
        <v>1</v>
      </c>
      <c r="FY81">
        <v>2</v>
      </c>
      <c r="FZ81">
        <v>2</v>
      </c>
      <c r="GA81" t="s">
        <v>415</v>
      </c>
      <c r="GB81">
        <v>2.9192</v>
      </c>
      <c r="GC81">
        <v>2.8303600000000002</v>
      </c>
      <c r="GD81">
        <v>8.1087199999999998E-2</v>
      </c>
      <c r="GE81">
        <v>8.7974200000000002E-2</v>
      </c>
      <c r="GF81">
        <v>0.13680600000000001</v>
      </c>
      <c r="GG81">
        <v>0.115493</v>
      </c>
      <c r="GH81">
        <v>24002.2</v>
      </c>
      <c r="GI81">
        <v>29113.3</v>
      </c>
      <c r="GJ81">
        <v>23517.200000000001</v>
      </c>
      <c r="GK81">
        <v>29227.8</v>
      </c>
      <c r="GL81">
        <v>27697</v>
      </c>
      <c r="GM81">
        <v>36617.599999999999</v>
      </c>
      <c r="GN81">
        <v>33263.800000000003</v>
      </c>
      <c r="GO81">
        <v>43175.1</v>
      </c>
      <c r="GP81">
        <v>1.9713000000000001</v>
      </c>
      <c r="GQ81">
        <v>1.82</v>
      </c>
      <c r="GR81">
        <v>2.0355000000000002E-2</v>
      </c>
      <c r="GS81">
        <v>0</v>
      </c>
      <c r="GT81">
        <v>29.570900000000002</v>
      </c>
      <c r="GU81">
        <v>999.9</v>
      </c>
      <c r="GV81">
        <v>49.2</v>
      </c>
      <c r="GW81">
        <v>36.200000000000003</v>
      </c>
      <c r="GX81">
        <v>30.071000000000002</v>
      </c>
      <c r="GY81">
        <v>61.160800000000002</v>
      </c>
      <c r="GZ81">
        <v>35.889400000000002</v>
      </c>
      <c r="HA81">
        <v>1</v>
      </c>
      <c r="HB81">
        <v>0.43720500000000001</v>
      </c>
      <c r="HC81">
        <v>2.0269599999999999</v>
      </c>
      <c r="HD81">
        <v>20.311399999999999</v>
      </c>
      <c r="HE81">
        <v>5.2095000000000002</v>
      </c>
      <c r="HF81">
        <v>11.872199999999999</v>
      </c>
      <c r="HG81">
        <v>4.9843999999999999</v>
      </c>
      <c r="HH81">
        <v>3.2839999999999998</v>
      </c>
      <c r="HI81">
        <v>9999</v>
      </c>
      <c r="HJ81">
        <v>9999</v>
      </c>
      <c r="HK81">
        <v>9999</v>
      </c>
      <c r="HL81">
        <v>999.9</v>
      </c>
      <c r="HM81">
        <v>1.8546800000000001</v>
      </c>
      <c r="HN81">
        <v>1.86066</v>
      </c>
      <c r="HO81">
        <v>1.85806</v>
      </c>
      <c r="HP81">
        <v>1.85928</v>
      </c>
      <c r="HQ81">
        <v>1.85867</v>
      </c>
      <c r="HR81">
        <v>1.8591599999999999</v>
      </c>
      <c r="HS81">
        <v>1.85758</v>
      </c>
      <c r="HT81">
        <v>1.8609599999999999</v>
      </c>
      <c r="HU81">
        <v>5</v>
      </c>
      <c r="HV81">
        <v>0</v>
      </c>
      <c r="HW81">
        <v>0</v>
      </c>
      <c r="HX81">
        <v>0</v>
      </c>
      <c r="HY81" t="s">
        <v>416</v>
      </c>
      <c r="HZ81" t="s">
        <v>417</v>
      </c>
      <c r="IA81" t="s">
        <v>418</v>
      </c>
      <c r="IB81" t="s">
        <v>418</v>
      </c>
      <c r="IC81" t="s">
        <v>418</v>
      </c>
      <c r="ID81" t="s">
        <v>418</v>
      </c>
      <c r="IE81">
        <v>0</v>
      </c>
      <c r="IF81">
        <v>100</v>
      </c>
      <c r="IG81">
        <v>100</v>
      </c>
      <c r="IH81">
        <v>-0.83599999999999997</v>
      </c>
      <c r="II81">
        <v>-0.25829999999999997</v>
      </c>
      <c r="IJ81">
        <v>-0.83550000000000002</v>
      </c>
      <c r="IK81">
        <v>0</v>
      </c>
      <c r="IL81">
        <v>0</v>
      </c>
      <c r="IM81">
        <v>0</v>
      </c>
      <c r="IN81">
        <v>-0.2582952380952328</v>
      </c>
      <c r="IO81">
        <v>0</v>
      </c>
      <c r="IP81">
        <v>0</v>
      </c>
      <c r="IQ81">
        <v>0</v>
      </c>
      <c r="IR81">
        <v>-1</v>
      </c>
      <c r="IS81">
        <v>-1</v>
      </c>
      <c r="IT81">
        <v>-1</v>
      </c>
      <c r="IU81">
        <v>-1</v>
      </c>
      <c r="IV81">
        <v>1</v>
      </c>
      <c r="IW81">
        <v>1</v>
      </c>
      <c r="IX81">
        <v>0.99731400000000003</v>
      </c>
      <c r="IY81">
        <v>2.47681</v>
      </c>
      <c r="IZ81">
        <v>1.49414</v>
      </c>
      <c r="JA81">
        <v>2.2949199999999998</v>
      </c>
      <c r="JB81">
        <v>1.54419</v>
      </c>
      <c r="JC81">
        <v>2.4877899999999999</v>
      </c>
      <c r="JD81">
        <v>39.1676</v>
      </c>
      <c r="JE81">
        <v>15.9795</v>
      </c>
      <c r="JF81">
        <v>18</v>
      </c>
      <c r="JG81">
        <v>519.89300000000003</v>
      </c>
      <c r="JH81">
        <v>451.173</v>
      </c>
      <c r="JI81">
        <v>25.8995</v>
      </c>
      <c r="JJ81">
        <v>32.880400000000002</v>
      </c>
      <c r="JK81">
        <v>29.9999</v>
      </c>
      <c r="JL81">
        <v>32.890099999999997</v>
      </c>
      <c r="JM81">
        <v>32.863700000000001</v>
      </c>
      <c r="JN81">
        <v>20.043500000000002</v>
      </c>
      <c r="JO81">
        <v>25.170300000000001</v>
      </c>
      <c r="JP81">
        <v>44.828099999999999</v>
      </c>
      <c r="JQ81">
        <v>25.938300000000002</v>
      </c>
      <c r="JR81">
        <v>400</v>
      </c>
      <c r="JS81">
        <v>24.3963</v>
      </c>
      <c r="JT81">
        <v>98.642200000000003</v>
      </c>
      <c r="JU81">
        <v>97.220600000000005</v>
      </c>
    </row>
    <row r="82" spans="1:281" x14ac:dyDescent="0.25">
      <c r="A82">
        <v>80</v>
      </c>
      <c r="B82">
        <v>1693346201.0999999</v>
      </c>
      <c r="C82">
        <v>24794.5</v>
      </c>
      <c r="D82" t="s">
        <v>751</v>
      </c>
      <c r="E82" t="s">
        <v>752</v>
      </c>
      <c r="F82" t="s">
        <v>411</v>
      </c>
      <c r="G82" t="s">
        <v>565</v>
      </c>
      <c r="H82" t="s">
        <v>31</v>
      </c>
      <c r="I82" t="s">
        <v>412</v>
      </c>
      <c r="J82">
        <v>1693346201.0999999</v>
      </c>
      <c r="K82">
        <f t="shared" si="92"/>
        <v>4.1446849691596302E-3</v>
      </c>
      <c r="L82">
        <f t="shared" si="93"/>
        <v>4.1446849691596306</v>
      </c>
      <c r="M82">
        <f t="shared" si="94"/>
        <v>43.100718032931177</v>
      </c>
      <c r="N82">
        <f t="shared" si="95"/>
        <v>446.04500000000002</v>
      </c>
      <c r="O82">
        <f t="shared" si="96"/>
        <v>200.72031595814354</v>
      </c>
      <c r="P82">
        <f t="shared" si="97"/>
        <v>19.837941728048488</v>
      </c>
      <c r="Q82">
        <f t="shared" si="98"/>
        <v>44.084300464795007</v>
      </c>
      <c r="R82">
        <f t="shared" si="99"/>
        <v>0.30425161466511802</v>
      </c>
      <c r="S82">
        <f t="shared" si="100"/>
        <v>2.900235903934933</v>
      </c>
      <c r="T82">
        <f t="shared" si="101"/>
        <v>0.28756660347078111</v>
      </c>
      <c r="U82">
        <f t="shared" si="102"/>
        <v>0.18115191892863725</v>
      </c>
      <c r="V82">
        <f t="shared" si="103"/>
        <v>344.33769967080229</v>
      </c>
      <c r="W82">
        <f t="shared" si="104"/>
        <v>31.809202688616399</v>
      </c>
      <c r="X82">
        <f t="shared" si="105"/>
        <v>30.002400000000002</v>
      </c>
      <c r="Y82">
        <f t="shared" si="106"/>
        <v>4.2610371278870014</v>
      </c>
      <c r="Z82">
        <f t="shared" si="107"/>
        <v>64.567276699255345</v>
      </c>
      <c r="AA82">
        <f t="shared" si="108"/>
        <v>2.8880704548464999</v>
      </c>
      <c r="AB82">
        <f t="shared" si="109"/>
        <v>4.4729630897996486</v>
      </c>
      <c r="AC82">
        <f t="shared" si="110"/>
        <v>1.3729666730405015</v>
      </c>
      <c r="AD82">
        <f t="shared" si="111"/>
        <v>-182.78060713993969</v>
      </c>
      <c r="AE82">
        <f t="shared" si="112"/>
        <v>132.54426805347728</v>
      </c>
      <c r="AF82">
        <f t="shared" si="113"/>
        <v>10.204673900104364</v>
      </c>
      <c r="AG82">
        <f t="shared" si="114"/>
        <v>304.30603448444424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51347.982307075014</v>
      </c>
      <c r="AM82" t="s">
        <v>413</v>
      </c>
      <c r="AN82">
        <v>10366.9</v>
      </c>
      <c r="AO82">
        <v>993.59653846153856</v>
      </c>
      <c r="AP82">
        <v>3431.87</v>
      </c>
      <c r="AQ82">
        <f t="shared" si="118"/>
        <v>0.71047955241266758</v>
      </c>
      <c r="AR82">
        <v>-3.9894345373445681</v>
      </c>
      <c r="AS82" t="s">
        <v>753</v>
      </c>
      <c r="AT82">
        <v>10308.200000000001</v>
      </c>
      <c r="AU82">
        <v>657.9742</v>
      </c>
      <c r="AV82">
        <v>969.94299969252859</v>
      </c>
      <c r="AW82">
        <f t="shared" si="119"/>
        <v>0.32163621964530131</v>
      </c>
      <c r="AX82">
        <v>0.5</v>
      </c>
      <c r="AY82">
        <f t="shared" si="120"/>
        <v>1513.0421998354009</v>
      </c>
      <c r="AZ82">
        <f t="shared" si="121"/>
        <v>43.100718032931177</v>
      </c>
      <c r="BA82">
        <f t="shared" si="122"/>
        <v>243.32458665943443</v>
      </c>
      <c r="BB82">
        <f t="shared" si="123"/>
        <v>3.1122828282911436E-2</v>
      </c>
      <c r="BC82">
        <f t="shared" si="124"/>
        <v>2.5382182263162893</v>
      </c>
      <c r="BD82">
        <f t="shared" si="125"/>
        <v>572.72232805663805</v>
      </c>
      <c r="BE82" t="s">
        <v>754</v>
      </c>
      <c r="BF82">
        <v>523.73</v>
      </c>
      <c r="BG82">
        <f t="shared" si="126"/>
        <v>523.73</v>
      </c>
      <c r="BH82">
        <f t="shared" si="127"/>
        <v>0.46004043519462268</v>
      </c>
      <c r="BI82">
        <f t="shared" si="128"/>
        <v>0.69914771624201122</v>
      </c>
      <c r="BJ82">
        <f t="shared" si="129"/>
        <v>0.84656412700470796</v>
      </c>
      <c r="BK82">
        <f t="shared" si="130"/>
        <v>-13.189096259087417</v>
      </c>
      <c r="BL82">
        <f t="shared" si="131"/>
        <v>1.0097009376274328</v>
      </c>
      <c r="BM82">
        <f t="shared" si="132"/>
        <v>0.55650302614818115</v>
      </c>
      <c r="BN82">
        <f t="shared" si="133"/>
        <v>0.44349697385181885</v>
      </c>
      <c r="BO82">
        <v>16696</v>
      </c>
      <c r="BP82">
        <v>290.00000000000011</v>
      </c>
      <c r="BQ82">
        <v>882.47</v>
      </c>
      <c r="BR82">
        <v>195</v>
      </c>
      <c r="BS82">
        <v>10308.200000000001</v>
      </c>
      <c r="BT82">
        <v>881.43</v>
      </c>
      <c r="BU82">
        <v>1.04</v>
      </c>
      <c r="BV82">
        <v>300.00000000000011</v>
      </c>
      <c r="BW82">
        <v>38.5</v>
      </c>
      <c r="BX82">
        <v>969.94299969252859</v>
      </c>
      <c r="BY82">
        <v>1.2435235266750739</v>
      </c>
      <c r="BZ82">
        <v>-91.244061034718683</v>
      </c>
      <c r="CA82">
        <v>1.048608029127855</v>
      </c>
      <c r="CB82">
        <v>0.99631555492357438</v>
      </c>
      <c r="CC82">
        <v>-1.1227434037819809E-2</v>
      </c>
      <c r="CD82">
        <v>289.99999999999989</v>
      </c>
      <c r="CE82">
        <v>871.34</v>
      </c>
      <c r="CF82">
        <v>645</v>
      </c>
      <c r="CG82">
        <v>10283.6</v>
      </c>
      <c r="CH82">
        <v>881.22</v>
      </c>
      <c r="CI82">
        <v>-9.8800000000000008</v>
      </c>
      <c r="CW82">
        <f t="shared" si="134"/>
        <v>1799.83</v>
      </c>
      <c r="CX82">
        <f t="shared" si="135"/>
        <v>1513.0421998354009</v>
      </c>
      <c r="CY82">
        <f t="shared" si="136"/>
        <v>0.84065839542367948</v>
      </c>
      <c r="CZ82">
        <f t="shared" si="137"/>
        <v>0.19131679084735909</v>
      </c>
      <c r="DA82">
        <v>6</v>
      </c>
      <c r="DB82">
        <v>0.5</v>
      </c>
      <c r="DC82" t="s">
        <v>414</v>
      </c>
      <c r="DD82">
        <v>2</v>
      </c>
      <c r="DE82">
        <v>1693346201.0999999</v>
      </c>
      <c r="DF82">
        <v>446.04500000000002</v>
      </c>
      <c r="DG82">
        <v>500.01799999999997</v>
      </c>
      <c r="DH82">
        <v>29.221499999999999</v>
      </c>
      <c r="DI82">
        <v>24.3902</v>
      </c>
      <c r="DJ82">
        <v>446.66800000000001</v>
      </c>
      <c r="DK82">
        <v>29.4925</v>
      </c>
      <c r="DL82">
        <v>499.68799999999999</v>
      </c>
      <c r="DM82">
        <v>98.7333</v>
      </c>
      <c r="DN82">
        <v>0.100451</v>
      </c>
      <c r="DO82">
        <v>30.850100000000001</v>
      </c>
      <c r="DP82">
        <v>30.002400000000002</v>
      </c>
      <c r="DQ82">
        <v>999.9</v>
      </c>
      <c r="DR82">
        <v>0</v>
      </c>
      <c r="DS82">
        <v>0</v>
      </c>
      <c r="DT82">
        <v>9960</v>
      </c>
      <c r="DU82">
        <v>0</v>
      </c>
      <c r="DV82">
        <v>217.81299999999999</v>
      </c>
      <c r="DW82">
        <v>-53.972900000000003</v>
      </c>
      <c r="DX82">
        <v>459.471</v>
      </c>
      <c r="DY82">
        <v>512.51800000000003</v>
      </c>
      <c r="DZ82">
        <v>4.8313100000000002</v>
      </c>
      <c r="EA82">
        <v>500.01799999999997</v>
      </c>
      <c r="EB82">
        <v>24.3902</v>
      </c>
      <c r="EC82">
        <v>2.8851300000000002</v>
      </c>
      <c r="ED82">
        <v>2.4081199999999998</v>
      </c>
      <c r="EE82">
        <v>23.3794</v>
      </c>
      <c r="EF82">
        <v>20.418500000000002</v>
      </c>
      <c r="EG82">
        <v>1799.83</v>
      </c>
      <c r="EH82">
        <v>0.97799199999999997</v>
      </c>
      <c r="EI82">
        <v>2.2007599999999999E-2</v>
      </c>
      <c r="EJ82">
        <v>0</v>
      </c>
      <c r="EK82">
        <v>658.61199999999997</v>
      </c>
      <c r="EL82">
        <v>5.0002500000000003</v>
      </c>
      <c r="EM82">
        <v>16005.6</v>
      </c>
      <c r="EN82">
        <v>14820.6</v>
      </c>
      <c r="EO82">
        <v>50.436999999999998</v>
      </c>
      <c r="EP82">
        <v>51.186999999999998</v>
      </c>
      <c r="EQ82">
        <v>51.25</v>
      </c>
      <c r="ER82">
        <v>50.061999999999998</v>
      </c>
      <c r="ES82">
        <v>51.375</v>
      </c>
      <c r="ET82">
        <v>1755.33</v>
      </c>
      <c r="EU82">
        <v>39.5</v>
      </c>
      <c r="EV82">
        <v>0</v>
      </c>
      <c r="EW82">
        <v>97.799999952316284</v>
      </c>
      <c r="EX82">
        <v>0</v>
      </c>
      <c r="EY82">
        <v>657.9742</v>
      </c>
      <c r="EZ82">
        <v>6.7136153882267493</v>
      </c>
      <c r="FA82">
        <v>-379.18461509239438</v>
      </c>
      <c r="FB82">
        <v>16122.164000000001</v>
      </c>
      <c r="FC82">
        <v>15</v>
      </c>
      <c r="FD82">
        <v>1693346163.0999999</v>
      </c>
      <c r="FE82" t="s">
        <v>755</v>
      </c>
      <c r="FF82">
        <v>1693346163.0999999</v>
      </c>
      <c r="FG82">
        <v>1693346161.0999999</v>
      </c>
      <c r="FH82">
        <v>100</v>
      </c>
      <c r="FI82">
        <v>0.21299999999999999</v>
      </c>
      <c r="FJ82">
        <v>-1.2999999999999999E-2</v>
      </c>
      <c r="FK82">
        <v>-0.623</v>
      </c>
      <c r="FL82">
        <v>-0.27100000000000002</v>
      </c>
      <c r="FM82">
        <v>500</v>
      </c>
      <c r="FN82">
        <v>24</v>
      </c>
      <c r="FO82">
        <v>0.35</v>
      </c>
      <c r="FP82">
        <v>0.15</v>
      </c>
      <c r="FQ82">
        <v>42.902626659516358</v>
      </c>
      <c r="FR82">
        <v>0.60406147362980478</v>
      </c>
      <c r="FS82">
        <v>8.9705862529608937E-2</v>
      </c>
      <c r="FT82">
        <v>1</v>
      </c>
      <c r="FU82">
        <v>0.30781559668398312</v>
      </c>
      <c r="FV82">
        <v>-2.8502387910874161E-2</v>
      </c>
      <c r="FW82">
        <v>2.3556501367719362E-3</v>
      </c>
      <c r="FX82">
        <v>1</v>
      </c>
      <c r="FY82">
        <v>2</v>
      </c>
      <c r="FZ82">
        <v>2</v>
      </c>
      <c r="GA82" t="s">
        <v>415</v>
      </c>
      <c r="GB82">
        <v>2.91764</v>
      </c>
      <c r="GC82">
        <v>2.8299799999999999</v>
      </c>
      <c r="GD82">
        <v>9.7411300000000006E-2</v>
      </c>
      <c r="GE82">
        <v>0.103959</v>
      </c>
      <c r="GF82">
        <v>0.13641600000000001</v>
      </c>
      <c r="GG82">
        <v>0.115008</v>
      </c>
      <c r="GH82">
        <v>23579.1</v>
      </c>
      <c r="GI82">
        <v>28608.3</v>
      </c>
      <c r="GJ82">
        <v>23520.1</v>
      </c>
      <c r="GK82">
        <v>29232.799999999999</v>
      </c>
      <c r="GL82">
        <v>27713</v>
      </c>
      <c r="GM82">
        <v>36644.699999999997</v>
      </c>
      <c r="GN82">
        <v>33266.6</v>
      </c>
      <c r="GO82">
        <v>43181.3</v>
      </c>
      <c r="GP82">
        <v>1.972</v>
      </c>
      <c r="GQ82">
        <v>1.8213999999999999</v>
      </c>
      <c r="GR82">
        <v>5.0693799999999997E-2</v>
      </c>
      <c r="GS82">
        <v>0</v>
      </c>
      <c r="GT82">
        <v>29.1769</v>
      </c>
      <c r="GU82">
        <v>999.9</v>
      </c>
      <c r="GV82">
        <v>49.1</v>
      </c>
      <c r="GW82">
        <v>36.200000000000003</v>
      </c>
      <c r="GX82">
        <v>30.011800000000001</v>
      </c>
      <c r="GY82">
        <v>61.690800000000003</v>
      </c>
      <c r="GZ82">
        <v>36.738799999999998</v>
      </c>
      <c r="HA82">
        <v>1</v>
      </c>
      <c r="HB82">
        <v>0.434228</v>
      </c>
      <c r="HC82">
        <v>5.0979299999999999</v>
      </c>
      <c r="HD82">
        <v>20.242599999999999</v>
      </c>
      <c r="HE82">
        <v>5.2100999999999997</v>
      </c>
      <c r="HF82">
        <v>11.872199999999999</v>
      </c>
      <c r="HG82">
        <v>4.9850000000000003</v>
      </c>
      <c r="HH82">
        <v>3.2839999999999998</v>
      </c>
      <c r="HI82">
        <v>9999</v>
      </c>
      <c r="HJ82">
        <v>9999</v>
      </c>
      <c r="HK82">
        <v>9999</v>
      </c>
      <c r="HL82">
        <v>999.9</v>
      </c>
      <c r="HM82">
        <v>1.8545499999999999</v>
      </c>
      <c r="HN82">
        <v>1.86066</v>
      </c>
      <c r="HO82">
        <v>1.85809</v>
      </c>
      <c r="HP82">
        <v>1.85928</v>
      </c>
      <c r="HQ82">
        <v>1.8586499999999999</v>
      </c>
      <c r="HR82">
        <v>1.85914</v>
      </c>
      <c r="HS82">
        <v>1.85751</v>
      </c>
      <c r="HT82">
        <v>1.86094</v>
      </c>
      <c r="HU82">
        <v>5</v>
      </c>
      <c r="HV82">
        <v>0</v>
      </c>
      <c r="HW82">
        <v>0</v>
      </c>
      <c r="HX82">
        <v>0</v>
      </c>
      <c r="HY82" t="s">
        <v>416</v>
      </c>
      <c r="HZ82" t="s">
        <v>417</v>
      </c>
      <c r="IA82" t="s">
        <v>418</v>
      </c>
      <c r="IB82" t="s">
        <v>418</v>
      </c>
      <c r="IC82" t="s">
        <v>418</v>
      </c>
      <c r="ID82" t="s">
        <v>418</v>
      </c>
      <c r="IE82">
        <v>0</v>
      </c>
      <c r="IF82">
        <v>100</v>
      </c>
      <c r="IG82">
        <v>100</v>
      </c>
      <c r="IH82">
        <v>-0.623</v>
      </c>
      <c r="II82">
        <v>-0.27100000000000002</v>
      </c>
      <c r="IJ82">
        <v>-0.62279999999998381</v>
      </c>
      <c r="IK82">
        <v>0</v>
      </c>
      <c r="IL82">
        <v>0</v>
      </c>
      <c r="IM82">
        <v>0</v>
      </c>
      <c r="IN82">
        <v>-0.27102499999999452</v>
      </c>
      <c r="IO82">
        <v>0</v>
      </c>
      <c r="IP82">
        <v>0</v>
      </c>
      <c r="IQ82">
        <v>0</v>
      </c>
      <c r="IR82">
        <v>-1</v>
      </c>
      <c r="IS82">
        <v>-1</v>
      </c>
      <c r="IT82">
        <v>-1</v>
      </c>
      <c r="IU82">
        <v>-1</v>
      </c>
      <c r="IV82">
        <v>0.6</v>
      </c>
      <c r="IW82">
        <v>0.7</v>
      </c>
      <c r="IX82">
        <v>1.1901900000000001</v>
      </c>
      <c r="IY82">
        <v>2.4719199999999999</v>
      </c>
      <c r="IZ82">
        <v>1.49414</v>
      </c>
      <c r="JA82">
        <v>2.2949199999999998</v>
      </c>
      <c r="JB82">
        <v>1.54419</v>
      </c>
      <c r="JC82">
        <v>2.4584999999999999</v>
      </c>
      <c r="JD82">
        <v>39.1676</v>
      </c>
      <c r="JE82">
        <v>15.927</v>
      </c>
      <c r="JF82">
        <v>18</v>
      </c>
      <c r="JG82">
        <v>519.92700000000002</v>
      </c>
      <c r="JH82">
        <v>451.72899999999998</v>
      </c>
      <c r="JI82">
        <v>27.362500000000001</v>
      </c>
      <c r="JJ82">
        <v>32.810200000000002</v>
      </c>
      <c r="JK82">
        <v>30.004200000000001</v>
      </c>
      <c r="JL82">
        <v>32.838000000000001</v>
      </c>
      <c r="JM82">
        <v>32.811599999999999</v>
      </c>
      <c r="JN82">
        <v>23.896699999999999</v>
      </c>
      <c r="JO82">
        <v>24.520099999999999</v>
      </c>
      <c r="JP82">
        <v>44.539200000000001</v>
      </c>
      <c r="JQ82">
        <v>26.745200000000001</v>
      </c>
      <c r="JR82">
        <v>500</v>
      </c>
      <c r="JS82">
        <v>24.578099999999999</v>
      </c>
      <c r="JT82">
        <v>98.652199999999993</v>
      </c>
      <c r="JU82">
        <v>97.235699999999994</v>
      </c>
    </row>
    <row r="83" spans="1:281" x14ac:dyDescent="0.25">
      <c r="A83">
        <v>81</v>
      </c>
      <c r="B83">
        <v>1693346302.5</v>
      </c>
      <c r="C83">
        <v>24895.900000095371</v>
      </c>
      <c r="D83" t="s">
        <v>756</v>
      </c>
      <c r="E83" t="s">
        <v>757</v>
      </c>
      <c r="F83" t="s">
        <v>411</v>
      </c>
      <c r="G83" t="s">
        <v>565</v>
      </c>
      <c r="H83" t="s">
        <v>31</v>
      </c>
      <c r="I83" t="s">
        <v>412</v>
      </c>
      <c r="J83">
        <v>1693346302.5</v>
      </c>
      <c r="K83">
        <f t="shared" si="92"/>
        <v>3.8281200129479912E-3</v>
      </c>
      <c r="L83">
        <f t="shared" si="93"/>
        <v>3.8281200129479913</v>
      </c>
      <c r="M83">
        <f t="shared" si="94"/>
        <v>44.953267370887154</v>
      </c>
      <c r="N83">
        <f t="shared" si="95"/>
        <v>643.05100000000004</v>
      </c>
      <c r="O83">
        <f t="shared" si="96"/>
        <v>367.07200868070555</v>
      </c>
      <c r="P83">
        <f t="shared" si="97"/>
        <v>36.279179121852479</v>
      </c>
      <c r="Q83">
        <f t="shared" si="98"/>
        <v>63.555274882807005</v>
      </c>
      <c r="R83">
        <f t="shared" si="99"/>
        <v>0.28444105783039114</v>
      </c>
      <c r="S83">
        <f t="shared" si="100"/>
        <v>2.9054907984753728</v>
      </c>
      <c r="T83">
        <f t="shared" si="101"/>
        <v>0.26982699227101481</v>
      </c>
      <c r="U83">
        <f t="shared" si="102"/>
        <v>0.16989229216066087</v>
      </c>
      <c r="V83">
        <f t="shared" si="103"/>
        <v>344.38209967101284</v>
      </c>
      <c r="W83">
        <f t="shared" si="104"/>
        <v>31.964240296382957</v>
      </c>
      <c r="X83">
        <f t="shared" si="105"/>
        <v>30.0474</v>
      </c>
      <c r="Y83">
        <f t="shared" si="106"/>
        <v>4.2720631167314593</v>
      </c>
      <c r="Z83">
        <f t="shared" si="107"/>
        <v>65.027154754036061</v>
      </c>
      <c r="AA83">
        <f t="shared" si="108"/>
        <v>2.9208992315951998</v>
      </c>
      <c r="AB83">
        <f t="shared" si="109"/>
        <v>4.4918146005979249</v>
      </c>
      <c r="AC83">
        <f t="shared" si="110"/>
        <v>1.3511638851362595</v>
      </c>
      <c r="AD83">
        <f t="shared" si="111"/>
        <v>-168.8200925710064</v>
      </c>
      <c r="AE83">
        <f t="shared" si="112"/>
        <v>137.2800145843772</v>
      </c>
      <c r="AF83">
        <f t="shared" si="113"/>
        <v>10.556360015810409</v>
      </c>
      <c r="AG83">
        <f t="shared" si="114"/>
        <v>323.39838170019402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51484.076528984901</v>
      </c>
      <c r="AM83" t="s">
        <v>413</v>
      </c>
      <c r="AN83">
        <v>10366.9</v>
      </c>
      <c r="AO83">
        <v>993.59653846153856</v>
      </c>
      <c r="AP83">
        <v>3431.87</v>
      </c>
      <c r="AQ83">
        <f t="shared" si="118"/>
        <v>0.71047955241266758</v>
      </c>
      <c r="AR83">
        <v>-3.9894345373445681</v>
      </c>
      <c r="AS83" t="s">
        <v>758</v>
      </c>
      <c r="AT83">
        <v>10300.200000000001</v>
      </c>
      <c r="AU83">
        <v>672.66584</v>
      </c>
      <c r="AV83">
        <v>1013.910024078775</v>
      </c>
      <c r="AW83">
        <f t="shared" si="119"/>
        <v>0.33656259034308778</v>
      </c>
      <c r="AX83">
        <v>0.5</v>
      </c>
      <c r="AY83">
        <f t="shared" si="120"/>
        <v>1513.2431998355062</v>
      </c>
      <c r="AZ83">
        <f t="shared" si="121"/>
        <v>44.953267370887154</v>
      </c>
      <c r="BA83">
        <f t="shared" si="122"/>
        <v>254.65052557785037</v>
      </c>
      <c r="BB83">
        <f t="shared" si="123"/>
        <v>3.2342918781033965E-2</v>
      </c>
      <c r="BC83">
        <f t="shared" si="124"/>
        <v>2.3847875240390795</v>
      </c>
      <c r="BD83">
        <f t="shared" si="125"/>
        <v>587.77226387427675</v>
      </c>
      <c r="BE83" t="s">
        <v>759</v>
      </c>
      <c r="BF83">
        <v>530.16999999999996</v>
      </c>
      <c r="BG83">
        <f t="shared" si="126"/>
        <v>530.16999999999996</v>
      </c>
      <c r="BH83">
        <f t="shared" si="127"/>
        <v>0.47710350286584324</v>
      </c>
      <c r="BI83">
        <f t="shared" si="128"/>
        <v>0.7054288814092522</v>
      </c>
      <c r="BJ83">
        <f t="shared" si="129"/>
        <v>0.83329082121557196</v>
      </c>
      <c r="BK83">
        <f t="shared" si="130"/>
        <v>16.798898549898389</v>
      </c>
      <c r="BL83">
        <f t="shared" si="131"/>
        <v>0.99166890591327705</v>
      </c>
      <c r="BM83">
        <f t="shared" si="132"/>
        <v>0.55599260110598625</v>
      </c>
      <c r="BN83">
        <f t="shared" si="133"/>
        <v>0.44400739889401375</v>
      </c>
      <c r="BO83">
        <v>16698</v>
      </c>
      <c r="BP83">
        <v>290.00000000000011</v>
      </c>
      <c r="BQ83">
        <v>916.25</v>
      </c>
      <c r="BR83">
        <v>265</v>
      </c>
      <c r="BS83">
        <v>10300.200000000001</v>
      </c>
      <c r="BT83">
        <v>915.54</v>
      </c>
      <c r="BU83">
        <v>0.71</v>
      </c>
      <c r="BV83">
        <v>300.00000000000011</v>
      </c>
      <c r="BW83">
        <v>38.4</v>
      </c>
      <c r="BX83">
        <v>1013.910024078775</v>
      </c>
      <c r="BY83">
        <v>1.345522590025553</v>
      </c>
      <c r="BZ83">
        <v>-101.32789776945179</v>
      </c>
      <c r="CA83">
        <v>1.134818575324368</v>
      </c>
      <c r="CB83">
        <v>0.99650030438069404</v>
      </c>
      <c r="CC83">
        <v>-1.122764694104561E-2</v>
      </c>
      <c r="CD83">
        <v>289.99999999999989</v>
      </c>
      <c r="CE83">
        <v>903.92</v>
      </c>
      <c r="CF83">
        <v>655</v>
      </c>
      <c r="CG83">
        <v>10284.799999999999</v>
      </c>
      <c r="CH83">
        <v>915.39</v>
      </c>
      <c r="CI83">
        <v>-11.47</v>
      </c>
      <c r="CW83">
        <f t="shared" si="134"/>
        <v>1800.07</v>
      </c>
      <c r="CX83">
        <f t="shared" si="135"/>
        <v>1513.2431998355062</v>
      </c>
      <c r="CY83">
        <f t="shared" si="136"/>
        <v>0.84065797432072431</v>
      </c>
      <c r="CZ83">
        <f t="shared" si="137"/>
        <v>0.19131594864144885</v>
      </c>
      <c r="DA83">
        <v>6</v>
      </c>
      <c r="DB83">
        <v>0.5</v>
      </c>
      <c r="DC83" t="s">
        <v>414</v>
      </c>
      <c r="DD83">
        <v>2</v>
      </c>
      <c r="DE83">
        <v>1693346302.5</v>
      </c>
      <c r="DF83">
        <v>643.05100000000004</v>
      </c>
      <c r="DG83">
        <v>699.89300000000003</v>
      </c>
      <c r="DH83">
        <v>29.553599999999999</v>
      </c>
      <c r="DI83">
        <v>25.1</v>
      </c>
      <c r="DJ83">
        <v>643.88099999999997</v>
      </c>
      <c r="DK83">
        <v>29.805700000000002</v>
      </c>
      <c r="DL83">
        <v>500.49200000000002</v>
      </c>
      <c r="DM83">
        <v>98.733599999999996</v>
      </c>
      <c r="DN83">
        <v>0.100357</v>
      </c>
      <c r="DO83">
        <v>30.9238</v>
      </c>
      <c r="DP83">
        <v>30.0474</v>
      </c>
      <c r="DQ83">
        <v>999.9</v>
      </c>
      <c r="DR83">
        <v>0</v>
      </c>
      <c r="DS83">
        <v>0</v>
      </c>
      <c r="DT83">
        <v>9990</v>
      </c>
      <c r="DU83">
        <v>0</v>
      </c>
      <c r="DV83">
        <v>246.346</v>
      </c>
      <c r="DW83">
        <v>-56.841500000000003</v>
      </c>
      <c r="DX83">
        <v>662.63499999999999</v>
      </c>
      <c r="DY83">
        <v>717.91300000000001</v>
      </c>
      <c r="DZ83">
        <v>4.4535499999999999</v>
      </c>
      <c r="EA83">
        <v>699.89300000000003</v>
      </c>
      <c r="EB83">
        <v>25.1</v>
      </c>
      <c r="EC83">
        <v>2.9179300000000001</v>
      </c>
      <c r="ED83">
        <v>2.4782199999999999</v>
      </c>
      <c r="EE83">
        <v>23.5669</v>
      </c>
      <c r="EF83">
        <v>20.8841</v>
      </c>
      <c r="EG83">
        <v>1800.07</v>
      </c>
      <c r="EH83">
        <v>0.97800500000000001</v>
      </c>
      <c r="EI83">
        <v>2.1995299999999999E-2</v>
      </c>
      <c r="EJ83">
        <v>0</v>
      </c>
      <c r="EK83">
        <v>672.52200000000005</v>
      </c>
      <c r="EL83">
        <v>5.0002500000000003</v>
      </c>
      <c r="EM83">
        <v>18475.900000000001</v>
      </c>
      <c r="EN83">
        <v>14822.7</v>
      </c>
      <c r="EO83">
        <v>50.186999999999998</v>
      </c>
      <c r="EP83">
        <v>50.936999999999998</v>
      </c>
      <c r="EQ83">
        <v>51</v>
      </c>
      <c r="ER83">
        <v>49.875</v>
      </c>
      <c r="ES83">
        <v>51.186999999999998</v>
      </c>
      <c r="ET83">
        <v>1755.59</v>
      </c>
      <c r="EU83">
        <v>39.479999999999997</v>
      </c>
      <c r="EV83">
        <v>0</v>
      </c>
      <c r="EW83">
        <v>99.599999904632568</v>
      </c>
      <c r="EX83">
        <v>0</v>
      </c>
      <c r="EY83">
        <v>672.66584</v>
      </c>
      <c r="EZ83">
        <v>1.6193077014132491</v>
      </c>
      <c r="FA83">
        <v>7907.6000087811462</v>
      </c>
      <c r="FB83">
        <v>17111.024000000001</v>
      </c>
      <c r="FC83">
        <v>15</v>
      </c>
      <c r="FD83">
        <v>1693346275.5</v>
      </c>
      <c r="FE83" t="s">
        <v>760</v>
      </c>
      <c r="FF83">
        <v>1693346275.5</v>
      </c>
      <c r="FG83">
        <v>1693346262.5</v>
      </c>
      <c r="FH83">
        <v>101</v>
      </c>
      <c r="FI83">
        <v>-0.20699999999999999</v>
      </c>
      <c r="FJ83">
        <v>1.9E-2</v>
      </c>
      <c r="FK83">
        <v>-0.83</v>
      </c>
      <c r="FL83">
        <v>-0.252</v>
      </c>
      <c r="FM83">
        <v>700</v>
      </c>
      <c r="FN83">
        <v>25</v>
      </c>
      <c r="FO83">
        <v>0.14000000000000001</v>
      </c>
      <c r="FP83">
        <v>0.1</v>
      </c>
      <c r="FQ83">
        <v>45.038510317004878</v>
      </c>
      <c r="FR83">
        <v>-7.6960892693172231E-2</v>
      </c>
      <c r="FS83">
        <v>9.1137227646960306E-2</v>
      </c>
      <c r="FT83">
        <v>1</v>
      </c>
      <c r="FU83">
        <v>0.28358845141231082</v>
      </c>
      <c r="FV83">
        <v>2.8176716699223461E-2</v>
      </c>
      <c r="FW83">
        <v>2.934127932208222E-3</v>
      </c>
      <c r="FX83">
        <v>1</v>
      </c>
      <c r="FY83">
        <v>2</v>
      </c>
      <c r="FZ83">
        <v>2</v>
      </c>
      <c r="GA83" t="s">
        <v>415</v>
      </c>
      <c r="GB83">
        <v>2.9197799999999998</v>
      </c>
      <c r="GC83">
        <v>2.8301599999999998</v>
      </c>
      <c r="GD83">
        <v>0.12671299999999999</v>
      </c>
      <c r="GE83">
        <v>0.13183</v>
      </c>
      <c r="GF83">
        <v>0.13744600000000001</v>
      </c>
      <c r="GG83">
        <v>0.117355</v>
      </c>
      <c r="GH83">
        <v>22819.4</v>
      </c>
      <c r="GI83">
        <v>27720.400000000001</v>
      </c>
      <c r="GJ83">
        <v>23525.7</v>
      </c>
      <c r="GK83">
        <v>29234.5</v>
      </c>
      <c r="GL83">
        <v>27687.9</v>
      </c>
      <c r="GM83">
        <v>36550.5</v>
      </c>
      <c r="GN83">
        <v>33274.1</v>
      </c>
      <c r="GO83">
        <v>43183.1</v>
      </c>
      <c r="GP83">
        <v>1.9726999999999999</v>
      </c>
      <c r="GQ83">
        <v>1.8251999999999999</v>
      </c>
      <c r="GR83">
        <v>5.9604600000000001E-2</v>
      </c>
      <c r="GS83">
        <v>0</v>
      </c>
      <c r="GT83">
        <v>29.076799999999999</v>
      </c>
      <c r="GU83">
        <v>999.9</v>
      </c>
      <c r="GV83">
        <v>49.1</v>
      </c>
      <c r="GW83">
        <v>36.1</v>
      </c>
      <c r="GX83">
        <v>29.846800000000002</v>
      </c>
      <c r="GY83">
        <v>61.160800000000002</v>
      </c>
      <c r="GZ83">
        <v>35.817300000000003</v>
      </c>
      <c r="HA83">
        <v>1</v>
      </c>
      <c r="HB83">
        <v>0.42010199999999998</v>
      </c>
      <c r="HC83">
        <v>1.7028300000000001</v>
      </c>
      <c r="HD83">
        <v>20.3141</v>
      </c>
      <c r="HE83">
        <v>5.2100999999999997</v>
      </c>
      <c r="HF83">
        <v>11.872199999999999</v>
      </c>
      <c r="HG83">
        <v>4.9854000000000003</v>
      </c>
      <c r="HH83">
        <v>3.2839999999999998</v>
      </c>
      <c r="HI83">
        <v>9999</v>
      </c>
      <c r="HJ83">
        <v>9999</v>
      </c>
      <c r="HK83">
        <v>9999</v>
      </c>
      <c r="HL83">
        <v>999.9</v>
      </c>
      <c r="HM83">
        <v>1.8545499999999999</v>
      </c>
      <c r="HN83">
        <v>1.86066</v>
      </c>
      <c r="HO83">
        <v>1.85808</v>
      </c>
      <c r="HP83">
        <v>1.8592599999999999</v>
      </c>
      <c r="HQ83">
        <v>1.8586499999999999</v>
      </c>
      <c r="HR83">
        <v>1.85914</v>
      </c>
      <c r="HS83">
        <v>1.8575299999999999</v>
      </c>
      <c r="HT83">
        <v>1.8609100000000001</v>
      </c>
      <c r="HU83">
        <v>5</v>
      </c>
      <c r="HV83">
        <v>0</v>
      </c>
      <c r="HW83">
        <v>0</v>
      </c>
      <c r="HX83">
        <v>0</v>
      </c>
      <c r="HY83" t="s">
        <v>416</v>
      </c>
      <c r="HZ83" t="s">
        <v>417</v>
      </c>
      <c r="IA83" t="s">
        <v>418</v>
      </c>
      <c r="IB83" t="s">
        <v>418</v>
      </c>
      <c r="IC83" t="s">
        <v>418</v>
      </c>
      <c r="ID83" t="s">
        <v>418</v>
      </c>
      <c r="IE83">
        <v>0</v>
      </c>
      <c r="IF83">
        <v>100</v>
      </c>
      <c r="IG83">
        <v>100</v>
      </c>
      <c r="IH83">
        <v>-0.83</v>
      </c>
      <c r="II83">
        <v>-0.25209999999999999</v>
      </c>
      <c r="IJ83">
        <v>-0.82974999999999</v>
      </c>
      <c r="IK83">
        <v>0</v>
      </c>
      <c r="IL83">
        <v>0</v>
      </c>
      <c r="IM83">
        <v>0</v>
      </c>
      <c r="IN83">
        <v>-0.25216499999999797</v>
      </c>
      <c r="IO83">
        <v>0</v>
      </c>
      <c r="IP83">
        <v>0</v>
      </c>
      <c r="IQ83">
        <v>0</v>
      </c>
      <c r="IR83">
        <v>-1</v>
      </c>
      <c r="IS83">
        <v>-1</v>
      </c>
      <c r="IT83">
        <v>-1</v>
      </c>
      <c r="IU83">
        <v>-1</v>
      </c>
      <c r="IV83">
        <v>0.5</v>
      </c>
      <c r="IW83">
        <v>0.7</v>
      </c>
      <c r="IX83">
        <v>1.55884</v>
      </c>
      <c r="IY83">
        <v>2.4658199999999999</v>
      </c>
      <c r="IZ83">
        <v>1.49414</v>
      </c>
      <c r="JA83">
        <v>2.2949199999999998</v>
      </c>
      <c r="JB83">
        <v>1.54419</v>
      </c>
      <c r="JC83">
        <v>2.4169900000000002</v>
      </c>
      <c r="JD83">
        <v>39.118000000000002</v>
      </c>
      <c r="JE83">
        <v>15.962</v>
      </c>
      <c r="JF83">
        <v>18</v>
      </c>
      <c r="JG83">
        <v>519.649</v>
      </c>
      <c r="JH83">
        <v>453.64100000000002</v>
      </c>
      <c r="JI83">
        <v>27.084</v>
      </c>
      <c r="JJ83">
        <v>32.690899999999999</v>
      </c>
      <c r="JK83">
        <v>29.9999</v>
      </c>
      <c r="JL83">
        <v>32.748399999999997</v>
      </c>
      <c r="JM83">
        <v>32.722099999999998</v>
      </c>
      <c r="JN83">
        <v>31.2639</v>
      </c>
      <c r="JO83">
        <v>22.511299999999999</v>
      </c>
      <c r="JP83">
        <v>44.684100000000001</v>
      </c>
      <c r="JQ83">
        <v>27.083400000000001</v>
      </c>
      <c r="JR83">
        <v>700</v>
      </c>
      <c r="JS83">
        <v>25.048300000000001</v>
      </c>
      <c r="JT83">
        <v>98.674800000000005</v>
      </c>
      <c r="JU83">
        <v>97.240399999999994</v>
      </c>
    </row>
    <row r="84" spans="1:281" x14ac:dyDescent="0.25">
      <c r="A84">
        <v>82</v>
      </c>
      <c r="B84">
        <v>1693346402</v>
      </c>
      <c r="C84">
        <v>24995.400000095371</v>
      </c>
      <c r="D84" t="s">
        <v>761</v>
      </c>
      <c r="E84" t="s">
        <v>762</v>
      </c>
      <c r="F84" t="s">
        <v>411</v>
      </c>
      <c r="G84" t="s">
        <v>565</v>
      </c>
      <c r="H84" t="s">
        <v>31</v>
      </c>
      <c r="I84" t="s">
        <v>412</v>
      </c>
      <c r="J84">
        <v>1693346402</v>
      </c>
      <c r="K84">
        <f t="shared" si="92"/>
        <v>3.5272328759218263E-3</v>
      </c>
      <c r="L84">
        <f t="shared" si="93"/>
        <v>3.5272328759218263</v>
      </c>
      <c r="M84">
        <f t="shared" si="94"/>
        <v>45.365033346638207</v>
      </c>
      <c r="N84">
        <f t="shared" si="95"/>
        <v>842.06799999999998</v>
      </c>
      <c r="O84">
        <f t="shared" si="96"/>
        <v>539.26426193926295</v>
      </c>
      <c r="P84">
        <f t="shared" si="97"/>
        <v>53.297887811951512</v>
      </c>
      <c r="Q84">
        <f t="shared" si="98"/>
        <v>83.225329326736002</v>
      </c>
      <c r="R84">
        <f t="shared" si="99"/>
        <v>0.26346723844707098</v>
      </c>
      <c r="S84">
        <f t="shared" si="100"/>
        <v>2.8976177759023307</v>
      </c>
      <c r="T84">
        <f t="shared" si="101"/>
        <v>0.25084522334323933</v>
      </c>
      <c r="U84">
        <f t="shared" si="102"/>
        <v>0.15786190070246742</v>
      </c>
      <c r="V84">
        <f t="shared" si="103"/>
        <v>344.40869967103845</v>
      </c>
      <c r="W84">
        <f t="shared" si="104"/>
        <v>31.997196510721604</v>
      </c>
      <c r="X84">
        <f t="shared" si="105"/>
        <v>30.0076</v>
      </c>
      <c r="Y84">
        <f t="shared" si="106"/>
        <v>4.2623099734906358</v>
      </c>
      <c r="Z84">
        <f t="shared" si="107"/>
        <v>65.256751899059822</v>
      </c>
      <c r="AA84">
        <f t="shared" si="108"/>
        <v>2.9230783351260001</v>
      </c>
      <c r="AB84">
        <f t="shared" si="109"/>
        <v>4.4793500290168655</v>
      </c>
      <c r="AC84">
        <f t="shared" si="110"/>
        <v>1.3392316383646357</v>
      </c>
      <c r="AD84">
        <f t="shared" si="111"/>
        <v>-155.55096982815255</v>
      </c>
      <c r="AE84">
        <f t="shared" si="112"/>
        <v>135.51770057113225</v>
      </c>
      <c r="AF84">
        <f t="shared" si="113"/>
        <v>10.444587861616363</v>
      </c>
      <c r="AG84">
        <f t="shared" si="114"/>
        <v>334.82001827563454</v>
      </c>
      <c r="AH84">
        <v>0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51269.814061575758</v>
      </c>
      <c r="AM84" t="s">
        <v>413</v>
      </c>
      <c r="AN84">
        <v>10366.9</v>
      </c>
      <c r="AO84">
        <v>993.59653846153856</v>
      </c>
      <c r="AP84">
        <v>3431.87</v>
      </c>
      <c r="AQ84">
        <f t="shared" si="118"/>
        <v>0.71047955241266758</v>
      </c>
      <c r="AR84">
        <v>-3.9894345373445681</v>
      </c>
      <c r="AS84" t="s">
        <v>763</v>
      </c>
      <c r="AT84">
        <v>10300.799999999999</v>
      </c>
      <c r="AU84">
        <v>675.63076000000001</v>
      </c>
      <c r="AV84">
        <v>1028.193042688014</v>
      </c>
      <c r="AW84">
        <f t="shared" si="119"/>
        <v>0.34289502851167653</v>
      </c>
      <c r="AX84">
        <v>0.5</v>
      </c>
      <c r="AY84">
        <f t="shared" si="120"/>
        <v>1513.3607998355192</v>
      </c>
      <c r="AZ84">
        <f t="shared" si="121"/>
        <v>45.365033346638207</v>
      </c>
      <c r="BA84">
        <f t="shared" si="122"/>
        <v>259.46194730402698</v>
      </c>
      <c r="BB84">
        <f t="shared" si="123"/>
        <v>3.2612492598821714E-2</v>
      </c>
      <c r="BC84">
        <f t="shared" si="124"/>
        <v>2.3377681597883919</v>
      </c>
      <c r="BD84">
        <f t="shared" si="125"/>
        <v>592.54399112067335</v>
      </c>
      <c r="BE84" t="s">
        <v>764</v>
      </c>
      <c r="BF84">
        <v>535.55999999999995</v>
      </c>
      <c r="BG84">
        <f t="shared" si="126"/>
        <v>535.55999999999995</v>
      </c>
      <c r="BH84">
        <f t="shared" si="127"/>
        <v>0.47912504970868042</v>
      </c>
      <c r="BI84">
        <f t="shared" si="128"/>
        <v>0.71566917388302898</v>
      </c>
      <c r="BJ84">
        <f t="shared" si="129"/>
        <v>0.82991011228493705</v>
      </c>
      <c r="BK84">
        <f t="shared" si="130"/>
        <v>10.190690954787598</v>
      </c>
      <c r="BL84">
        <f t="shared" si="131"/>
        <v>0.98581106476685088</v>
      </c>
      <c r="BM84">
        <f t="shared" si="132"/>
        <v>0.56729770972060978</v>
      </c>
      <c r="BN84">
        <f t="shared" si="133"/>
        <v>0.43270229027939022</v>
      </c>
      <c r="BO84">
        <v>16700</v>
      </c>
      <c r="BP84">
        <v>290.00000000000011</v>
      </c>
      <c r="BQ84">
        <v>925.68</v>
      </c>
      <c r="BR84">
        <v>265</v>
      </c>
      <c r="BS84">
        <v>10300.799999999999</v>
      </c>
      <c r="BT84">
        <v>925.9</v>
      </c>
      <c r="BU84">
        <v>-0.22</v>
      </c>
      <c r="BV84">
        <v>300.00000000000011</v>
      </c>
      <c r="BW84">
        <v>38.5</v>
      </c>
      <c r="BX84">
        <v>1028.193042688014</v>
      </c>
      <c r="BY84">
        <v>1.1060895631596639</v>
      </c>
      <c r="BZ84">
        <v>-105.3673718444393</v>
      </c>
      <c r="CA84">
        <v>0.93292164782042031</v>
      </c>
      <c r="CB84">
        <v>0.99780979965866667</v>
      </c>
      <c r="CC84">
        <v>-1.1229449833147951E-2</v>
      </c>
      <c r="CD84">
        <v>289.99999999999989</v>
      </c>
      <c r="CE84">
        <v>913.74</v>
      </c>
      <c r="CF84">
        <v>645</v>
      </c>
      <c r="CG84">
        <v>10285.9</v>
      </c>
      <c r="CH84">
        <v>925.75</v>
      </c>
      <c r="CI84">
        <v>-12.01</v>
      </c>
      <c r="CW84">
        <f t="shared" si="134"/>
        <v>1800.21</v>
      </c>
      <c r="CX84">
        <f t="shared" si="135"/>
        <v>1513.3607998355192</v>
      </c>
      <c r="CY84">
        <f t="shared" si="136"/>
        <v>0.8406579231509208</v>
      </c>
      <c r="CZ84">
        <f t="shared" si="137"/>
        <v>0.1913158463018417</v>
      </c>
      <c r="DA84">
        <v>6</v>
      </c>
      <c r="DB84">
        <v>0.5</v>
      </c>
      <c r="DC84" t="s">
        <v>414</v>
      </c>
      <c r="DD84">
        <v>2</v>
      </c>
      <c r="DE84">
        <v>1693346402</v>
      </c>
      <c r="DF84">
        <v>842.06799999999998</v>
      </c>
      <c r="DG84">
        <v>900.03499999999997</v>
      </c>
      <c r="DH84">
        <v>29.575500000000002</v>
      </c>
      <c r="DI84">
        <v>25.470500000000001</v>
      </c>
      <c r="DJ84">
        <v>842.46100000000001</v>
      </c>
      <c r="DK84">
        <v>29.819500000000001</v>
      </c>
      <c r="DL84">
        <v>500.30399999999997</v>
      </c>
      <c r="DM84">
        <v>98.733900000000006</v>
      </c>
      <c r="DN84">
        <v>0.100552</v>
      </c>
      <c r="DO84">
        <v>30.8751</v>
      </c>
      <c r="DP84">
        <v>30.0076</v>
      </c>
      <c r="DQ84">
        <v>999.9</v>
      </c>
      <c r="DR84">
        <v>0</v>
      </c>
      <c r="DS84">
        <v>0</v>
      </c>
      <c r="DT84">
        <v>9945</v>
      </c>
      <c r="DU84">
        <v>0</v>
      </c>
      <c r="DV84">
        <v>210.858</v>
      </c>
      <c r="DW84">
        <v>-57.967100000000002</v>
      </c>
      <c r="DX84">
        <v>867.73199999999997</v>
      </c>
      <c r="DY84">
        <v>923.55899999999997</v>
      </c>
      <c r="DZ84">
        <v>4.1050300000000002</v>
      </c>
      <c r="EA84">
        <v>900.03499999999997</v>
      </c>
      <c r="EB84">
        <v>25.470500000000001</v>
      </c>
      <c r="EC84">
        <v>2.9201100000000002</v>
      </c>
      <c r="ED84">
        <v>2.5148000000000001</v>
      </c>
      <c r="EE84">
        <v>23.5792</v>
      </c>
      <c r="EF84">
        <v>21.122599999999998</v>
      </c>
      <c r="EG84">
        <v>1800.21</v>
      </c>
      <c r="EH84">
        <v>0.97800799999999999</v>
      </c>
      <c r="EI84">
        <v>2.19916E-2</v>
      </c>
      <c r="EJ84">
        <v>0</v>
      </c>
      <c r="EK84">
        <v>675.88599999999997</v>
      </c>
      <c r="EL84">
        <v>5.0002500000000003</v>
      </c>
      <c r="EM84">
        <v>16414.5</v>
      </c>
      <c r="EN84">
        <v>14823.8</v>
      </c>
      <c r="EO84">
        <v>50.061999999999998</v>
      </c>
      <c r="EP84">
        <v>50.875</v>
      </c>
      <c r="EQ84">
        <v>50.875</v>
      </c>
      <c r="ER84">
        <v>49.686999999999998</v>
      </c>
      <c r="ES84">
        <v>51.061999999999998</v>
      </c>
      <c r="ET84">
        <v>1755.73</v>
      </c>
      <c r="EU84">
        <v>39.479999999999997</v>
      </c>
      <c r="EV84">
        <v>0</v>
      </c>
      <c r="EW84">
        <v>97.400000095367432</v>
      </c>
      <c r="EX84">
        <v>0</v>
      </c>
      <c r="EY84">
        <v>675.63076000000001</v>
      </c>
      <c r="EZ84">
        <v>-0.31461539591524862</v>
      </c>
      <c r="FA84">
        <v>78.430769419609945</v>
      </c>
      <c r="FB84">
        <v>16354.312</v>
      </c>
      <c r="FC84">
        <v>15</v>
      </c>
      <c r="FD84">
        <v>1693346367</v>
      </c>
      <c r="FE84" t="s">
        <v>765</v>
      </c>
      <c r="FF84">
        <v>1693346365</v>
      </c>
      <c r="FG84">
        <v>1693346367</v>
      </c>
      <c r="FH84">
        <v>102</v>
      </c>
      <c r="FI84">
        <v>0.437</v>
      </c>
      <c r="FJ84">
        <v>8.0000000000000002E-3</v>
      </c>
      <c r="FK84">
        <v>-0.39300000000000002</v>
      </c>
      <c r="FL84">
        <v>-0.24399999999999999</v>
      </c>
      <c r="FM84">
        <v>900</v>
      </c>
      <c r="FN84">
        <v>25</v>
      </c>
      <c r="FO84">
        <v>0.15</v>
      </c>
      <c r="FP84">
        <v>0.06</v>
      </c>
      <c r="FQ84">
        <v>45.274517528614702</v>
      </c>
      <c r="FR84">
        <v>0.59330446074678334</v>
      </c>
      <c r="FS84">
        <v>8.5131109921304668E-2</v>
      </c>
      <c r="FT84">
        <v>1</v>
      </c>
      <c r="FU84">
        <v>0.26577908819709412</v>
      </c>
      <c r="FV84">
        <v>-2.0180088914042639E-2</v>
      </c>
      <c r="FW84">
        <v>1.5586864963640071E-3</v>
      </c>
      <c r="FX84">
        <v>1</v>
      </c>
      <c r="FY84">
        <v>2</v>
      </c>
      <c r="FZ84">
        <v>2</v>
      </c>
      <c r="GA84" t="s">
        <v>415</v>
      </c>
      <c r="GB84">
        <v>2.9194300000000002</v>
      </c>
      <c r="GC84">
        <v>2.8299699999999999</v>
      </c>
      <c r="GD84">
        <v>0.15190100000000001</v>
      </c>
      <c r="GE84">
        <v>0.15590000000000001</v>
      </c>
      <c r="GF84">
        <v>0.137521</v>
      </c>
      <c r="GG84">
        <v>0.11858200000000001</v>
      </c>
      <c r="GH84">
        <v>22165.9</v>
      </c>
      <c r="GI84">
        <v>26955.7</v>
      </c>
      <c r="GJ84">
        <v>23530.7</v>
      </c>
      <c r="GK84">
        <v>29238.7</v>
      </c>
      <c r="GL84">
        <v>27693.3</v>
      </c>
      <c r="GM84">
        <v>36505.5</v>
      </c>
      <c r="GN84">
        <v>33281.599999999999</v>
      </c>
      <c r="GO84">
        <v>43188.2</v>
      </c>
      <c r="GP84">
        <v>1.9744999999999999</v>
      </c>
      <c r="GQ84">
        <v>1.8284</v>
      </c>
      <c r="GR84">
        <v>5.4702199999999999E-2</v>
      </c>
      <c r="GS84">
        <v>0</v>
      </c>
      <c r="GT84">
        <v>29.116800000000001</v>
      </c>
      <c r="GU84">
        <v>999.9</v>
      </c>
      <c r="GV84">
        <v>49.2</v>
      </c>
      <c r="GW84">
        <v>36.1</v>
      </c>
      <c r="GX84">
        <v>29.908100000000001</v>
      </c>
      <c r="GY84">
        <v>61.300800000000002</v>
      </c>
      <c r="GZ84">
        <v>36.025599999999997</v>
      </c>
      <c r="HA84">
        <v>1</v>
      </c>
      <c r="HB84">
        <v>0.41192099999999998</v>
      </c>
      <c r="HC84">
        <v>2.1321599999999998</v>
      </c>
      <c r="HD84">
        <v>20.309999999999999</v>
      </c>
      <c r="HE84">
        <v>5.2100999999999997</v>
      </c>
      <c r="HF84">
        <v>11.872199999999999</v>
      </c>
      <c r="HG84">
        <v>4.9847999999999999</v>
      </c>
      <c r="HH84">
        <v>3.2839999999999998</v>
      </c>
      <c r="HI84">
        <v>9999</v>
      </c>
      <c r="HJ84">
        <v>9999</v>
      </c>
      <c r="HK84">
        <v>9999</v>
      </c>
      <c r="HL84">
        <v>999.9</v>
      </c>
      <c r="HM84">
        <v>1.8545499999999999</v>
      </c>
      <c r="HN84">
        <v>1.86066</v>
      </c>
      <c r="HO84">
        <v>1.85808</v>
      </c>
      <c r="HP84">
        <v>1.85928</v>
      </c>
      <c r="HQ84">
        <v>1.85867</v>
      </c>
      <c r="HR84">
        <v>1.85914</v>
      </c>
      <c r="HS84">
        <v>1.8575699999999999</v>
      </c>
      <c r="HT84">
        <v>1.86094</v>
      </c>
      <c r="HU84">
        <v>5</v>
      </c>
      <c r="HV84">
        <v>0</v>
      </c>
      <c r="HW84">
        <v>0</v>
      </c>
      <c r="HX84">
        <v>0</v>
      </c>
      <c r="HY84" t="s">
        <v>416</v>
      </c>
      <c r="HZ84" t="s">
        <v>417</v>
      </c>
      <c r="IA84" t="s">
        <v>418</v>
      </c>
      <c r="IB84" t="s">
        <v>418</v>
      </c>
      <c r="IC84" t="s">
        <v>418</v>
      </c>
      <c r="ID84" t="s">
        <v>418</v>
      </c>
      <c r="IE84">
        <v>0</v>
      </c>
      <c r="IF84">
        <v>100</v>
      </c>
      <c r="IG84">
        <v>100</v>
      </c>
      <c r="IH84">
        <v>-0.39300000000000002</v>
      </c>
      <c r="II84">
        <v>-0.24399999999999999</v>
      </c>
      <c r="IJ84">
        <v>-0.393100000000004</v>
      </c>
      <c r="IK84">
        <v>0</v>
      </c>
      <c r="IL84">
        <v>0</v>
      </c>
      <c r="IM84">
        <v>0</v>
      </c>
      <c r="IN84">
        <v>-0.2439299999999989</v>
      </c>
      <c r="IO84">
        <v>0</v>
      </c>
      <c r="IP84">
        <v>0</v>
      </c>
      <c r="IQ84">
        <v>0</v>
      </c>
      <c r="IR84">
        <v>-1</v>
      </c>
      <c r="IS84">
        <v>-1</v>
      </c>
      <c r="IT84">
        <v>-1</v>
      </c>
      <c r="IU84">
        <v>-1</v>
      </c>
      <c r="IV84">
        <v>0.6</v>
      </c>
      <c r="IW84">
        <v>0.6</v>
      </c>
      <c r="IX84">
        <v>1.9055200000000001</v>
      </c>
      <c r="IY84">
        <v>2.4572799999999999</v>
      </c>
      <c r="IZ84">
        <v>1.49414</v>
      </c>
      <c r="JA84">
        <v>2.2949199999999998</v>
      </c>
      <c r="JB84">
        <v>1.54419</v>
      </c>
      <c r="JC84">
        <v>2.5268600000000001</v>
      </c>
      <c r="JD84">
        <v>39.068300000000001</v>
      </c>
      <c r="JE84">
        <v>15.962</v>
      </c>
      <c r="JF84">
        <v>18</v>
      </c>
      <c r="JG84">
        <v>520.01099999999997</v>
      </c>
      <c r="JH84">
        <v>455.101</v>
      </c>
      <c r="JI84">
        <v>26.452300000000001</v>
      </c>
      <c r="JJ84">
        <v>32.58</v>
      </c>
      <c r="JK84">
        <v>29.999700000000001</v>
      </c>
      <c r="JL84">
        <v>32.6477</v>
      </c>
      <c r="JM84">
        <v>32.627200000000002</v>
      </c>
      <c r="JN84">
        <v>38.192599999999999</v>
      </c>
      <c r="JO84">
        <v>21.3324</v>
      </c>
      <c r="JP84">
        <v>45.756399999999999</v>
      </c>
      <c r="JQ84">
        <v>26.4527</v>
      </c>
      <c r="JR84">
        <v>900</v>
      </c>
      <c r="JS84">
        <v>25.441600000000001</v>
      </c>
      <c r="JT84">
        <v>98.696600000000004</v>
      </c>
      <c r="JU84">
        <v>97.252799999999993</v>
      </c>
    </row>
    <row r="85" spans="1:281" x14ac:dyDescent="0.25">
      <c r="A85">
        <v>83</v>
      </c>
      <c r="B85">
        <v>1693346516.5</v>
      </c>
      <c r="C85">
        <v>25109.900000095371</v>
      </c>
      <c r="D85" t="s">
        <v>766</v>
      </c>
      <c r="E85" t="s">
        <v>767</v>
      </c>
      <c r="F85" t="s">
        <v>411</v>
      </c>
      <c r="G85" t="s">
        <v>565</v>
      </c>
      <c r="H85" t="s">
        <v>31</v>
      </c>
      <c r="I85" t="s">
        <v>412</v>
      </c>
      <c r="J85">
        <v>1693346516.5</v>
      </c>
      <c r="K85">
        <f t="shared" si="92"/>
        <v>3.2915571904216932E-3</v>
      </c>
      <c r="L85">
        <f t="shared" si="93"/>
        <v>3.2915571904216931</v>
      </c>
      <c r="M85">
        <f t="shared" si="94"/>
        <v>45.645041148163465</v>
      </c>
      <c r="N85">
        <f t="shared" si="95"/>
        <v>1140.8699999999999</v>
      </c>
      <c r="O85">
        <f t="shared" si="96"/>
        <v>806.82763526344957</v>
      </c>
      <c r="P85">
        <f t="shared" si="97"/>
        <v>79.748944852015399</v>
      </c>
      <c r="Q85">
        <f t="shared" si="98"/>
        <v>112.76656219591499</v>
      </c>
      <c r="R85">
        <f t="shared" si="99"/>
        <v>0.24327212640502927</v>
      </c>
      <c r="S85">
        <f t="shared" si="100"/>
        <v>2.9065256917201756</v>
      </c>
      <c r="T85">
        <f t="shared" si="101"/>
        <v>0.23249983904131555</v>
      </c>
      <c r="U85">
        <f t="shared" si="102"/>
        <v>0.14624049337200035</v>
      </c>
      <c r="V85">
        <f t="shared" si="103"/>
        <v>344.34789967097993</v>
      </c>
      <c r="W85">
        <f t="shared" si="104"/>
        <v>31.94071526385676</v>
      </c>
      <c r="X85">
        <f t="shared" si="105"/>
        <v>29.943899999999999</v>
      </c>
      <c r="Y85">
        <f t="shared" si="106"/>
        <v>4.2467404247709695</v>
      </c>
      <c r="Z85">
        <f t="shared" si="107"/>
        <v>65.121049820667878</v>
      </c>
      <c r="AA85">
        <f t="shared" si="108"/>
        <v>2.8979762055959495</v>
      </c>
      <c r="AB85">
        <f t="shared" si="109"/>
        <v>4.4501374188169196</v>
      </c>
      <c r="AC85">
        <f t="shared" si="110"/>
        <v>1.34876421917502</v>
      </c>
      <c r="AD85">
        <f t="shared" si="111"/>
        <v>-145.15767209759667</v>
      </c>
      <c r="AE85">
        <f t="shared" si="112"/>
        <v>127.95845425094217</v>
      </c>
      <c r="AF85">
        <f t="shared" si="113"/>
        <v>9.8230931031283237</v>
      </c>
      <c r="AG85">
        <f t="shared" si="114"/>
        <v>336.97177492745374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51541.236362185642</v>
      </c>
      <c r="AM85" t="s">
        <v>413</v>
      </c>
      <c r="AN85">
        <v>10366.9</v>
      </c>
      <c r="AO85">
        <v>993.59653846153856</v>
      </c>
      <c r="AP85">
        <v>3431.87</v>
      </c>
      <c r="AQ85">
        <f t="shared" si="118"/>
        <v>0.71047955241266758</v>
      </c>
      <c r="AR85">
        <v>-3.9894345373445681</v>
      </c>
      <c r="AS85" t="s">
        <v>768</v>
      </c>
      <c r="AT85">
        <v>10299.4</v>
      </c>
      <c r="AU85">
        <v>673.63926923076917</v>
      </c>
      <c r="AV85">
        <v>1030.2305500094669</v>
      </c>
      <c r="AW85">
        <f t="shared" si="119"/>
        <v>0.34612765150035685</v>
      </c>
      <c r="AX85">
        <v>0.5</v>
      </c>
      <c r="AY85">
        <f t="shared" si="120"/>
        <v>1513.0919998354898</v>
      </c>
      <c r="AZ85">
        <f t="shared" si="121"/>
        <v>45.645041148163465</v>
      </c>
      <c r="BA85">
        <f t="shared" si="122"/>
        <v>261.8614902035182</v>
      </c>
      <c r="BB85">
        <f t="shared" si="123"/>
        <v>3.2803342883912227E-2</v>
      </c>
      <c r="BC85">
        <f t="shared" si="124"/>
        <v>2.331166989727167</v>
      </c>
      <c r="BD85">
        <f t="shared" si="125"/>
        <v>593.22011544498423</v>
      </c>
      <c r="BE85" t="s">
        <v>769</v>
      </c>
      <c r="BF85">
        <v>532.75</v>
      </c>
      <c r="BG85">
        <f t="shared" si="126"/>
        <v>532.75</v>
      </c>
      <c r="BH85">
        <f t="shared" si="127"/>
        <v>0.48288273921298053</v>
      </c>
      <c r="BI85">
        <f t="shared" si="128"/>
        <v>0.71679441693129897</v>
      </c>
      <c r="BJ85">
        <f t="shared" si="129"/>
        <v>0.82840291191483373</v>
      </c>
      <c r="BK85">
        <f t="shared" si="130"/>
        <v>9.7338856901371145</v>
      </c>
      <c r="BL85">
        <f t="shared" si="131"/>
        <v>0.98497542948902295</v>
      </c>
      <c r="BM85">
        <f t="shared" si="132"/>
        <v>0.56687940127987291</v>
      </c>
      <c r="BN85">
        <f t="shared" si="133"/>
        <v>0.43312059872012709</v>
      </c>
      <c r="BO85">
        <v>16702</v>
      </c>
      <c r="BP85">
        <v>290.00000000000011</v>
      </c>
      <c r="BQ85">
        <v>926.82</v>
      </c>
      <c r="BR85">
        <v>275</v>
      </c>
      <c r="BS85">
        <v>10299.4</v>
      </c>
      <c r="BT85">
        <v>926.74</v>
      </c>
      <c r="BU85">
        <v>0.08</v>
      </c>
      <c r="BV85">
        <v>300.00000000000011</v>
      </c>
      <c r="BW85">
        <v>38.4</v>
      </c>
      <c r="BX85">
        <v>1030.2305500094669</v>
      </c>
      <c r="BY85">
        <v>1.26758499842723</v>
      </c>
      <c r="BZ85">
        <v>-106.58473429732879</v>
      </c>
      <c r="CA85">
        <v>1.0691156031969691</v>
      </c>
      <c r="CB85">
        <v>0.99719071642482882</v>
      </c>
      <c r="CC85">
        <v>-1.122828520578421E-2</v>
      </c>
      <c r="CD85">
        <v>289.99999999999989</v>
      </c>
      <c r="CE85">
        <v>915.44</v>
      </c>
      <c r="CF85">
        <v>645</v>
      </c>
      <c r="CG85">
        <v>10285.799999999999</v>
      </c>
      <c r="CH85">
        <v>926.61</v>
      </c>
      <c r="CI85">
        <v>-11.17</v>
      </c>
      <c r="CW85">
        <f t="shared" si="134"/>
        <v>1799.89</v>
      </c>
      <c r="CX85">
        <f t="shared" si="135"/>
        <v>1513.0919998354898</v>
      </c>
      <c r="CY85">
        <f t="shared" si="136"/>
        <v>0.84065804012216838</v>
      </c>
      <c r="CZ85">
        <f t="shared" si="137"/>
        <v>0.19131608024433711</v>
      </c>
      <c r="DA85">
        <v>6</v>
      </c>
      <c r="DB85">
        <v>0.5</v>
      </c>
      <c r="DC85" t="s">
        <v>414</v>
      </c>
      <c r="DD85">
        <v>2</v>
      </c>
      <c r="DE85">
        <v>1693346516.5</v>
      </c>
      <c r="DF85">
        <v>1140.8699999999999</v>
      </c>
      <c r="DG85">
        <v>1200.1199999999999</v>
      </c>
      <c r="DH85">
        <v>29.319099999999999</v>
      </c>
      <c r="DI85">
        <v>25.486999999999998</v>
      </c>
      <c r="DJ85">
        <v>1141.21</v>
      </c>
      <c r="DK85">
        <v>29.557099999999998</v>
      </c>
      <c r="DL85">
        <v>500.25599999999997</v>
      </c>
      <c r="DM85">
        <v>98.742699999999999</v>
      </c>
      <c r="DN85">
        <v>9.9904499999999993E-2</v>
      </c>
      <c r="DO85">
        <v>30.7605</v>
      </c>
      <c r="DP85">
        <v>29.943899999999999</v>
      </c>
      <c r="DQ85">
        <v>999.9</v>
      </c>
      <c r="DR85">
        <v>0</v>
      </c>
      <c r="DS85">
        <v>0</v>
      </c>
      <c r="DT85">
        <v>9995</v>
      </c>
      <c r="DU85">
        <v>0</v>
      </c>
      <c r="DV85">
        <v>205.512</v>
      </c>
      <c r="DW85">
        <v>-59.257100000000001</v>
      </c>
      <c r="DX85">
        <v>1175.33</v>
      </c>
      <c r="DY85">
        <v>1231.51</v>
      </c>
      <c r="DZ85">
        <v>3.8321200000000002</v>
      </c>
      <c r="EA85">
        <v>1200.1199999999999</v>
      </c>
      <c r="EB85">
        <v>25.486999999999998</v>
      </c>
      <c r="EC85">
        <v>2.8950499999999999</v>
      </c>
      <c r="ED85">
        <v>2.5166599999999999</v>
      </c>
      <c r="EE85">
        <v>23.436299999999999</v>
      </c>
      <c r="EF85">
        <v>21.134599999999999</v>
      </c>
      <c r="EG85">
        <v>1799.89</v>
      </c>
      <c r="EH85">
        <v>0.97800500000000001</v>
      </c>
      <c r="EI85">
        <v>2.1995299999999999E-2</v>
      </c>
      <c r="EJ85">
        <v>0</v>
      </c>
      <c r="EK85">
        <v>673.02700000000004</v>
      </c>
      <c r="EL85">
        <v>5.0002500000000003</v>
      </c>
      <c r="EM85">
        <v>15962.1</v>
      </c>
      <c r="EN85">
        <v>14821.2</v>
      </c>
      <c r="EO85">
        <v>49.936999999999998</v>
      </c>
      <c r="EP85">
        <v>50.811999999999998</v>
      </c>
      <c r="EQ85">
        <v>50.75</v>
      </c>
      <c r="ER85">
        <v>49.625</v>
      </c>
      <c r="ES85">
        <v>50.936999999999998</v>
      </c>
      <c r="ET85">
        <v>1755.41</v>
      </c>
      <c r="EU85">
        <v>39.479999999999997</v>
      </c>
      <c r="EV85">
        <v>0</v>
      </c>
      <c r="EW85">
        <v>112.4000000953674</v>
      </c>
      <c r="EX85">
        <v>0</v>
      </c>
      <c r="EY85">
        <v>673.63926923076917</v>
      </c>
      <c r="EZ85">
        <v>-3.314222219264809</v>
      </c>
      <c r="FA85">
        <v>-280.98461513400042</v>
      </c>
      <c r="FB85">
        <v>15969.64615384615</v>
      </c>
      <c r="FC85">
        <v>15</v>
      </c>
      <c r="FD85">
        <v>1693346479.5</v>
      </c>
      <c r="FE85" t="s">
        <v>770</v>
      </c>
      <c r="FF85">
        <v>1693346474.5</v>
      </c>
      <c r="FG85">
        <v>1693346479.5</v>
      </c>
      <c r="FH85">
        <v>103</v>
      </c>
      <c r="FI85">
        <v>4.8000000000000001E-2</v>
      </c>
      <c r="FJ85">
        <v>6.0000000000000001E-3</v>
      </c>
      <c r="FK85">
        <v>-0.34499999999999997</v>
      </c>
      <c r="FL85">
        <v>-0.23799999999999999</v>
      </c>
      <c r="FM85">
        <v>1200</v>
      </c>
      <c r="FN85">
        <v>25</v>
      </c>
      <c r="FO85">
        <v>0.17</v>
      </c>
      <c r="FP85">
        <v>7.0000000000000007E-2</v>
      </c>
      <c r="FQ85">
        <v>45.377917438733483</v>
      </c>
      <c r="FR85">
        <v>-0.31287446472320468</v>
      </c>
      <c r="FS85">
        <v>9.1663820426255704E-2</v>
      </c>
      <c r="FT85">
        <v>1</v>
      </c>
      <c r="FU85">
        <v>0.24652130054719301</v>
      </c>
      <c r="FV85">
        <v>-2.344213801906822E-2</v>
      </c>
      <c r="FW85">
        <v>1.77697273265363E-3</v>
      </c>
      <c r="FX85">
        <v>1</v>
      </c>
      <c r="FY85">
        <v>2</v>
      </c>
      <c r="FZ85">
        <v>2</v>
      </c>
      <c r="GA85" t="s">
        <v>415</v>
      </c>
      <c r="GB85">
        <v>2.9194200000000001</v>
      </c>
      <c r="GC85">
        <v>2.8297500000000002</v>
      </c>
      <c r="GD85">
        <v>0.184421</v>
      </c>
      <c r="GE85">
        <v>0.187143</v>
      </c>
      <c r="GF85">
        <v>0.13672699999999999</v>
      </c>
      <c r="GG85">
        <v>0.118673</v>
      </c>
      <c r="GH85">
        <v>21317.5</v>
      </c>
      <c r="GI85">
        <v>25960.7</v>
      </c>
      <c r="GJ85">
        <v>23533</v>
      </c>
      <c r="GK85">
        <v>29242.400000000001</v>
      </c>
      <c r="GL85">
        <v>27723.8</v>
      </c>
      <c r="GM85">
        <v>36508</v>
      </c>
      <c r="GN85">
        <v>33284.6</v>
      </c>
      <c r="GO85">
        <v>43192.1</v>
      </c>
      <c r="GP85">
        <v>1.9757</v>
      </c>
      <c r="GQ85">
        <v>1.8317000000000001</v>
      </c>
      <c r="GR85">
        <v>5.6087999999999999E-2</v>
      </c>
      <c r="GS85">
        <v>0</v>
      </c>
      <c r="GT85">
        <v>29.0304</v>
      </c>
      <c r="GU85">
        <v>999.9</v>
      </c>
      <c r="GV85">
        <v>49.5</v>
      </c>
      <c r="GW85">
        <v>36.1</v>
      </c>
      <c r="GX85">
        <v>30.087399999999999</v>
      </c>
      <c r="GY85">
        <v>61.0608</v>
      </c>
      <c r="GZ85">
        <v>35.801299999999998</v>
      </c>
      <c r="HA85">
        <v>1</v>
      </c>
      <c r="HB85">
        <v>0.40160600000000002</v>
      </c>
      <c r="HC85">
        <v>1.47875</v>
      </c>
      <c r="HD85">
        <v>20.3169</v>
      </c>
      <c r="HE85">
        <v>5.2088999999999999</v>
      </c>
      <c r="HF85">
        <v>11.872199999999999</v>
      </c>
      <c r="HG85">
        <v>4.9843999999999999</v>
      </c>
      <c r="HH85">
        <v>3.2839999999999998</v>
      </c>
      <c r="HI85">
        <v>9999</v>
      </c>
      <c r="HJ85">
        <v>9999</v>
      </c>
      <c r="HK85">
        <v>9999</v>
      </c>
      <c r="HL85">
        <v>999.9</v>
      </c>
      <c r="HM85">
        <v>1.8545499999999999</v>
      </c>
      <c r="HN85">
        <v>1.86069</v>
      </c>
      <c r="HO85">
        <v>1.8581099999999999</v>
      </c>
      <c r="HP85">
        <v>1.85928</v>
      </c>
      <c r="HQ85">
        <v>1.85867</v>
      </c>
      <c r="HR85">
        <v>1.8592599999999999</v>
      </c>
      <c r="HS85">
        <v>1.8575999999999999</v>
      </c>
      <c r="HT85">
        <v>1.86094</v>
      </c>
      <c r="HU85">
        <v>5</v>
      </c>
      <c r="HV85">
        <v>0</v>
      </c>
      <c r="HW85">
        <v>0</v>
      </c>
      <c r="HX85">
        <v>0</v>
      </c>
      <c r="HY85" t="s">
        <v>416</v>
      </c>
      <c r="HZ85" t="s">
        <v>417</v>
      </c>
      <c r="IA85" t="s">
        <v>418</v>
      </c>
      <c r="IB85" t="s">
        <v>418</v>
      </c>
      <c r="IC85" t="s">
        <v>418</v>
      </c>
      <c r="ID85" t="s">
        <v>418</v>
      </c>
      <c r="IE85">
        <v>0</v>
      </c>
      <c r="IF85">
        <v>100</v>
      </c>
      <c r="IG85">
        <v>100</v>
      </c>
      <c r="IH85">
        <v>-0.34</v>
      </c>
      <c r="II85">
        <v>-0.23799999999999999</v>
      </c>
      <c r="IJ85">
        <v>-0.34449999999999997</v>
      </c>
      <c r="IK85">
        <v>0</v>
      </c>
      <c r="IL85">
        <v>0</v>
      </c>
      <c r="IM85">
        <v>0</v>
      </c>
      <c r="IN85">
        <v>-0.23791500000000099</v>
      </c>
      <c r="IO85">
        <v>0</v>
      </c>
      <c r="IP85">
        <v>0</v>
      </c>
      <c r="IQ85">
        <v>0</v>
      </c>
      <c r="IR85">
        <v>-1</v>
      </c>
      <c r="IS85">
        <v>-1</v>
      </c>
      <c r="IT85">
        <v>-1</v>
      </c>
      <c r="IU85">
        <v>-1</v>
      </c>
      <c r="IV85">
        <v>0.7</v>
      </c>
      <c r="IW85">
        <v>0.6</v>
      </c>
      <c r="IX85">
        <v>2.3925800000000002</v>
      </c>
      <c r="IY85">
        <v>2.4389599999999998</v>
      </c>
      <c r="IZ85">
        <v>1.49414</v>
      </c>
      <c r="JA85">
        <v>2.2936999999999999</v>
      </c>
      <c r="JB85">
        <v>1.54419</v>
      </c>
      <c r="JC85">
        <v>2.3730500000000001</v>
      </c>
      <c r="JD85">
        <v>39.018799999999999</v>
      </c>
      <c r="JE85">
        <v>15.9445</v>
      </c>
      <c r="JF85">
        <v>18</v>
      </c>
      <c r="JG85">
        <v>519.95000000000005</v>
      </c>
      <c r="JH85">
        <v>456.57600000000002</v>
      </c>
      <c r="JI85">
        <v>26.796299999999999</v>
      </c>
      <c r="JJ85">
        <v>32.474800000000002</v>
      </c>
      <c r="JK85">
        <v>29.999700000000001</v>
      </c>
      <c r="JL85">
        <v>32.544499999999999</v>
      </c>
      <c r="JM85">
        <v>32.525300000000001</v>
      </c>
      <c r="JN85">
        <v>47.955300000000001</v>
      </c>
      <c r="JO85">
        <v>21.889199999999999</v>
      </c>
      <c r="JP85">
        <v>47.026899999999998</v>
      </c>
      <c r="JQ85">
        <v>26.808399999999999</v>
      </c>
      <c r="JR85">
        <v>1200</v>
      </c>
      <c r="JS85">
        <v>25.505400000000002</v>
      </c>
      <c r="JT85">
        <v>98.705699999999993</v>
      </c>
      <c r="JU85">
        <v>97.263000000000005</v>
      </c>
    </row>
    <row r="86" spans="1:281" x14ac:dyDescent="0.25">
      <c r="A86">
        <v>84</v>
      </c>
      <c r="B86">
        <v>1693346625</v>
      </c>
      <c r="C86">
        <v>25218.400000095371</v>
      </c>
      <c r="D86" t="s">
        <v>771</v>
      </c>
      <c r="E86" t="s">
        <v>772</v>
      </c>
      <c r="F86" t="s">
        <v>411</v>
      </c>
      <c r="G86" t="s">
        <v>565</v>
      </c>
      <c r="H86" t="s">
        <v>31</v>
      </c>
      <c r="I86" t="s">
        <v>412</v>
      </c>
      <c r="J86">
        <v>1693346625</v>
      </c>
      <c r="K86">
        <f t="shared" si="92"/>
        <v>2.8682042528233218E-3</v>
      </c>
      <c r="L86">
        <f t="shared" si="93"/>
        <v>2.8682042528233218</v>
      </c>
      <c r="M86">
        <f t="shared" si="94"/>
        <v>44.902023511469181</v>
      </c>
      <c r="N86">
        <f t="shared" si="95"/>
        <v>1441.05</v>
      </c>
      <c r="O86">
        <f t="shared" si="96"/>
        <v>1056.1031011229368</v>
      </c>
      <c r="P86">
        <f t="shared" si="97"/>
        <v>104.39554716374469</v>
      </c>
      <c r="Q86">
        <f t="shared" si="98"/>
        <v>142.44745904102996</v>
      </c>
      <c r="R86">
        <f t="shared" si="99"/>
        <v>0.2083764965252102</v>
      </c>
      <c r="S86">
        <f t="shared" si="100"/>
        <v>2.904030295374425</v>
      </c>
      <c r="T86">
        <f t="shared" si="101"/>
        <v>0.20041206692533872</v>
      </c>
      <c r="U86">
        <f t="shared" si="102"/>
        <v>0.12594775078120235</v>
      </c>
      <c r="V86">
        <f t="shared" si="103"/>
        <v>344.38209967101284</v>
      </c>
      <c r="W86">
        <f t="shared" si="104"/>
        <v>32.081541497189406</v>
      </c>
      <c r="X86">
        <f t="shared" si="105"/>
        <v>29.975000000000001</v>
      </c>
      <c r="Y86">
        <f t="shared" si="106"/>
        <v>4.2543356806559256</v>
      </c>
      <c r="Z86">
        <f t="shared" si="107"/>
        <v>64.851674701632334</v>
      </c>
      <c r="AA86">
        <f t="shared" si="108"/>
        <v>2.8907725179152597</v>
      </c>
      <c r="AB86">
        <f t="shared" si="109"/>
        <v>4.4575140599144749</v>
      </c>
      <c r="AC86">
        <f t="shared" si="110"/>
        <v>1.3635631627406659</v>
      </c>
      <c r="AD86">
        <f t="shared" si="111"/>
        <v>-126.48780754950849</v>
      </c>
      <c r="AE86">
        <f t="shared" si="112"/>
        <v>127.51981520600192</v>
      </c>
      <c r="AF86">
        <f t="shared" si="113"/>
        <v>9.8007435653793422</v>
      </c>
      <c r="AG86">
        <f t="shared" si="114"/>
        <v>355.21485089288558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51465.861160915745</v>
      </c>
      <c r="AM86" t="s">
        <v>413</v>
      </c>
      <c r="AN86">
        <v>10366.9</v>
      </c>
      <c r="AO86">
        <v>993.59653846153856</v>
      </c>
      <c r="AP86">
        <v>3431.87</v>
      </c>
      <c r="AQ86">
        <f t="shared" si="118"/>
        <v>0.71047955241266758</v>
      </c>
      <c r="AR86">
        <v>-3.9894345373445681</v>
      </c>
      <c r="AS86" t="s">
        <v>773</v>
      </c>
      <c r="AT86">
        <v>10300</v>
      </c>
      <c r="AU86">
        <v>670.58763999999996</v>
      </c>
      <c r="AV86">
        <v>1029.753668402479</v>
      </c>
      <c r="AW86">
        <f t="shared" si="119"/>
        <v>0.34878829706882775</v>
      </c>
      <c r="AX86">
        <v>0.5</v>
      </c>
      <c r="AY86">
        <f t="shared" si="120"/>
        <v>1513.2431998355062</v>
      </c>
      <c r="AZ86">
        <f t="shared" si="121"/>
        <v>44.902023511469181</v>
      </c>
      <c r="BA86">
        <f t="shared" si="122"/>
        <v>263.90075936080501</v>
      </c>
      <c r="BB86">
        <f t="shared" si="123"/>
        <v>3.2309055183019082E-2</v>
      </c>
      <c r="BC86">
        <f t="shared" si="124"/>
        <v>2.3327096618398784</v>
      </c>
      <c r="BD86">
        <f t="shared" si="125"/>
        <v>593.06196925087659</v>
      </c>
      <c r="BE86" t="s">
        <v>774</v>
      </c>
      <c r="BF86">
        <v>534.74</v>
      </c>
      <c r="BG86">
        <f t="shared" si="126"/>
        <v>534.74</v>
      </c>
      <c r="BH86">
        <f t="shared" si="127"/>
        <v>0.48071075985621348</v>
      </c>
      <c r="BI86">
        <f t="shared" si="128"/>
        <v>0.72556790110784009</v>
      </c>
      <c r="BJ86">
        <f t="shared" si="129"/>
        <v>0.82913653567410539</v>
      </c>
      <c r="BK86">
        <f t="shared" si="130"/>
        <v>9.9334772696048059</v>
      </c>
      <c r="BL86">
        <f t="shared" si="131"/>
        <v>0.98517101116372452</v>
      </c>
      <c r="BM86">
        <f t="shared" si="132"/>
        <v>0.57858236014968367</v>
      </c>
      <c r="BN86">
        <f t="shared" si="133"/>
        <v>0.42141763985031633</v>
      </c>
      <c r="BO86">
        <v>16704</v>
      </c>
      <c r="BP86">
        <v>290.00000000000011</v>
      </c>
      <c r="BQ86">
        <v>925.04</v>
      </c>
      <c r="BR86">
        <v>285</v>
      </c>
      <c r="BS86">
        <v>10300</v>
      </c>
      <c r="BT86">
        <v>925.32</v>
      </c>
      <c r="BU86">
        <v>-0.28000000000000003</v>
      </c>
      <c r="BV86">
        <v>300.00000000000011</v>
      </c>
      <c r="BW86">
        <v>38.4</v>
      </c>
      <c r="BX86">
        <v>1029.753668402479</v>
      </c>
      <c r="BY86">
        <v>1.1417373508611901</v>
      </c>
      <c r="BZ86">
        <v>-107.5697712864317</v>
      </c>
      <c r="CA86">
        <v>0.96314478423020422</v>
      </c>
      <c r="CB86">
        <v>0.99776031510281338</v>
      </c>
      <c r="CC86">
        <v>-1.1231277419354851E-2</v>
      </c>
      <c r="CD86">
        <v>289.99999999999989</v>
      </c>
      <c r="CE86">
        <v>913.66</v>
      </c>
      <c r="CF86">
        <v>635</v>
      </c>
      <c r="CG86">
        <v>10288.5</v>
      </c>
      <c r="CH86">
        <v>925.2</v>
      </c>
      <c r="CI86">
        <v>-11.54</v>
      </c>
      <c r="CW86">
        <f t="shared" si="134"/>
        <v>1800.07</v>
      </c>
      <c r="CX86">
        <f t="shared" si="135"/>
        <v>1513.2431998355062</v>
      </c>
      <c r="CY86">
        <f t="shared" si="136"/>
        <v>0.84065797432072431</v>
      </c>
      <c r="CZ86">
        <f t="shared" si="137"/>
        <v>0.19131594864144885</v>
      </c>
      <c r="DA86">
        <v>6</v>
      </c>
      <c r="DB86">
        <v>0.5</v>
      </c>
      <c r="DC86" t="s">
        <v>414</v>
      </c>
      <c r="DD86">
        <v>2</v>
      </c>
      <c r="DE86">
        <v>1693346625</v>
      </c>
      <c r="DF86">
        <v>1441.05</v>
      </c>
      <c r="DG86">
        <v>1499.94</v>
      </c>
      <c r="DH86">
        <v>29.2441</v>
      </c>
      <c r="DI86">
        <v>25.900200000000002</v>
      </c>
      <c r="DJ86">
        <v>1441.18</v>
      </c>
      <c r="DK86">
        <v>29.479299999999999</v>
      </c>
      <c r="DL86">
        <v>499.59500000000003</v>
      </c>
      <c r="DM86">
        <v>98.749899999999997</v>
      </c>
      <c r="DN86">
        <v>9.9868600000000002E-2</v>
      </c>
      <c r="DO86">
        <v>30.7895</v>
      </c>
      <c r="DP86">
        <v>29.975000000000001</v>
      </c>
      <c r="DQ86">
        <v>999.9</v>
      </c>
      <c r="DR86">
        <v>0</v>
      </c>
      <c r="DS86">
        <v>0</v>
      </c>
      <c r="DT86">
        <v>9980</v>
      </c>
      <c r="DU86">
        <v>0</v>
      </c>
      <c r="DV86">
        <v>200.733</v>
      </c>
      <c r="DW86">
        <v>-58.888300000000001</v>
      </c>
      <c r="DX86">
        <v>1484.47</v>
      </c>
      <c r="DY86">
        <v>1539.82</v>
      </c>
      <c r="DZ86">
        <v>3.3438500000000002</v>
      </c>
      <c r="EA86">
        <v>1499.94</v>
      </c>
      <c r="EB86">
        <v>25.900200000000002</v>
      </c>
      <c r="EC86">
        <v>2.8878499999999998</v>
      </c>
      <c r="ED86">
        <v>2.5576400000000001</v>
      </c>
      <c r="EE86">
        <v>23.395</v>
      </c>
      <c r="EF86">
        <v>21.398</v>
      </c>
      <c r="EG86">
        <v>1800.07</v>
      </c>
      <c r="EH86">
        <v>0.97800500000000001</v>
      </c>
      <c r="EI86">
        <v>2.1995299999999999E-2</v>
      </c>
      <c r="EJ86">
        <v>0</v>
      </c>
      <c r="EK86">
        <v>670.50300000000004</v>
      </c>
      <c r="EL86">
        <v>5.0002500000000003</v>
      </c>
      <c r="EM86">
        <v>15689</v>
      </c>
      <c r="EN86">
        <v>14822.7</v>
      </c>
      <c r="EO86">
        <v>49.811999999999998</v>
      </c>
      <c r="EP86">
        <v>50.5</v>
      </c>
      <c r="EQ86">
        <v>50.561999999999998</v>
      </c>
      <c r="ER86">
        <v>49.5</v>
      </c>
      <c r="ES86">
        <v>50.811999999999998</v>
      </c>
      <c r="ET86">
        <v>1755.59</v>
      </c>
      <c r="EU86">
        <v>39.479999999999997</v>
      </c>
      <c r="EV86">
        <v>0</v>
      </c>
      <c r="EW86">
        <v>106.3999998569489</v>
      </c>
      <c r="EX86">
        <v>0</v>
      </c>
      <c r="EY86">
        <v>670.58763999999996</v>
      </c>
      <c r="EZ86">
        <v>-0.48530769806325152</v>
      </c>
      <c r="FA86">
        <v>35.176922696013463</v>
      </c>
      <c r="FB86">
        <v>15683.516</v>
      </c>
      <c r="FC86">
        <v>15</v>
      </c>
      <c r="FD86">
        <v>1693346592.5</v>
      </c>
      <c r="FE86" t="s">
        <v>775</v>
      </c>
      <c r="FF86">
        <v>1693346592.5</v>
      </c>
      <c r="FG86">
        <v>1693346584</v>
      </c>
      <c r="FH86">
        <v>104</v>
      </c>
      <c r="FI86">
        <v>0.221</v>
      </c>
      <c r="FJ86">
        <v>3.0000000000000001E-3</v>
      </c>
      <c r="FK86">
        <v>-0.122</v>
      </c>
      <c r="FL86">
        <v>-0.23499999999999999</v>
      </c>
      <c r="FM86">
        <v>1500</v>
      </c>
      <c r="FN86">
        <v>25</v>
      </c>
      <c r="FO86">
        <v>0.13</v>
      </c>
      <c r="FP86">
        <v>0.08</v>
      </c>
      <c r="FQ86">
        <v>45.178928350585103</v>
      </c>
      <c r="FR86">
        <v>-5.7686652053247139E-4</v>
      </c>
      <c r="FS86">
        <v>0.19436496755567689</v>
      </c>
      <c r="FT86">
        <v>1</v>
      </c>
      <c r="FU86">
        <v>0.21517634265210189</v>
      </c>
      <c r="FV86">
        <v>-2.2845528016156538E-2</v>
      </c>
      <c r="FW86">
        <v>2.1008103761148058E-3</v>
      </c>
      <c r="FX86">
        <v>1</v>
      </c>
      <c r="FY86">
        <v>2</v>
      </c>
      <c r="FZ86">
        <v>2</v>
      </c>
      <c r="GA86" t="s">
        <v>415</v>
      </c>
      <c r="GB86">
        <v>2.91791</v>
      </c>
      <c r="GC86">
        <v>2.82958</v>
      </c>
      <c r="GD86">
        <v>0.21255599999999999</v>
      </c>
      <c r="GE86">
        <v>0.21423700000000001</v>
      </c>
      <c r="GF86">
        <v>0.13652300000000001</v>
      </c>
      <c r="GG86">
        <v>0.120045</v>
      </c>
      <c r="GH86">
        <v>20585.599999999999</v>
      </c>
      <c r="GI86">
        <v>25096.7</v>
      </c>
      <c r="GJ86">
        <v>23537.7</v>
      </c>
      <c r="GK86">
        <v>29244.7</v>
      </c>
      <c r="GL86">
        <v>27738.2</v>
      </c>
      <c r="GM86">
        <v>36455.599999999999</v>
      </c>
      <c r="GN86">
        <v>33291.800000000003</v>
      </c>
      <c r="GO86">
        <v>43195.6</v>
      </c>
      <c r="GP86">
        <v>1.9761</v>
      </c>
      <c r="GQ86">
        <v>1.8360000000000001</v>
      </c>
      <c r="GR86">
        <v>6.9648000000000002E-2</v>
      </c>
      <c r="GS86">
        <v>0</v>
      </c>
      <c r="GT86">
        <v>28.840499999999999</v>
      </c>
      <c r="GU86">
        <v>999.9</v>
      </c>
      <c r="GV86">
        <v>49.7</v>
      </c>
      <c r="GW86">
        <v>36</v>
      </c>
      <c r="GX86">
        <v>30.0411</v>
      </c>
      <c r="GY86">
        <v>61.3508</v>
      </c>
      <c r="GZ86">
        <v>36.582500000000003</v>
      </c>
      <c r="HA86">
        <v>1</v>
      </c>
      <c r="HB86">
        <v>0.39224599999999998</v>
      </c>
      <c r="HC86">
        <v>1.6333</v>
      </c>
      <c r="HD86">
        <v>20.314299999999999</v>
      </c>
      <c r="HE86">
        <v>5.2029100000000001</v>
      </c>
      <c r="HF86">
        <v>11.872199999999999</v>
      </c>
      <c r="HG86">
        <v>4.9808000000000003</v>
      </c>
      <c r="HH86">
        <v>3.2822</v>
      </c>
      <c r="HI86">
        <v>9999</v>
      </c>
      <c r="HJ86">
        <v>9999</v>
      </c>
      <c r="HK86">
        <v>9999</v>
      </c>
      <c r="HL86">
        <v>999.9</v>
      </c>
      <c r="HM86">
        <v>1.8545499999999999</v>
      </c>
      <c r="HN86">
        <v>1.86066</v>
      </c>
      <c r="HO86">
        <v>1.85806</v>
      </c>
      <c r="HP86">
        <v>1.85928</v>
      </c>
      <c r="HQ86">
        <v>1.85867</v>
      </c>
      <c r="HR86">
        <v>1.8591299999999999</v>
      </c>
      <c r="HS86">
        <v>1.8575600000000001</v>
      </c>
      <c r="HT86">
        <v>1.86094</v>
      </c>
      <c r="HU86">
        <v>5</v>
      </c>
      <c r="HV86">
        <v>0</v>
      </c>
      <c r="HW86">
        <v>0</v>
      </c>
      <c r="HX86">
        <v>0</v>
      </c>
      <c r="HY86" t="s">
        <v>416</v>
      </c>
      <c r="HZ86" t="s">
        <v>417</v>
      </c>
      <c r="IA86" t="s">
        <v>418</v>
      </c>
      <c r="IB86" t="s">
        <v>418</v>
      </c>
      <c r="IC86" t="s">
        <v>418</v>
      </c>
      <c r="ID86" t="s">
        <v>418</v>
      </c>
      <c r="IE86">
        <v>0</v>
      </c>
      <c r="IF86">
        <v>100</v>
      </c>
      <c r="IG86">
        <v>100</v>
      </c>
      <c r="IH86">
        <v>-0.13</v>
      </c>
      <c r="II86">
        <v>-0.23519999999999999</v>
      </c>
      <c r="IJ86">
        <v>-0.1219047619049434</v>
      </c>
      <c r="IK86">
        <v>0</v>
      </c>
      <c r="IL86">
        <v>0</v>
      </c>
      <c r="IM86">
        <v>0</v>
      </c>
      <c r="IN86">
        <v>-0.23518999999999929</v>
      </c>
      <c r="IO86">
        <v>0</v>
      </c>
      <c r="IP86">
        <v>0</v>
      </c>
      <c r="IQ86">
        <v>0</v>
      </c>
      <c r="IR86">
        <v>-1</v>
      </c>
      <c r="IS86">
        <v>-1</v>
      </c>
      <c r="IT86">
        <v>-1</v>
      </c>
      <c r="IU86">
        <v>-1</v>
      </c>
      <c r="IV86">
        <v>0.5</v>
      </c>
      <c r="IW86">
        <v>0.7</v>
      </c>
      <c r="IX86">
        <v>2.8491200000000001</v>
      </c>
      <c r="IY86">
        <v>2.4340799999999998</v>
      </c>
      <c r="IZ86">
        <v>1.49414</v>
      </c>
      <c r="JA86">
        <v>2.2949199999999998</v>
      </c>
      <c r="JB86">
        <v>1.54419</v>
      </c>
      <c r="JC86">
        <v>2.4890099999999999</v>
      </c>
      <c r="JD86">
        <v>38.895099999999999</v>
      </c>
      <c r="JE86">
        <v>15.9445</v>
      </c>
      <c r="JF86">
        <v>18</v>
      </c>
      <c r="JG86">
        <v>519.23800000000006</v>
      </c>
      <c r="JH86">
        <v>458.63499999999999</v>
      </c>
      <c r="JI86">
        <v>27.177700000000002</v>
      </c>
      <c r="JJ86">
        <v>32.347999999999999</v>
      </c>
      <c r="JK86">
        <v>29.999199999999998</v>
      </c>
      <c r="JL86">
        <v>32.427500000000002</v>
      </c>
      <c r="JM86">
        <v>32.4099</v>
      </c>
      <c r="JN86">
        <v>57.075299999999999</v>
      </c>
      <c r="JO86">
        <v>21.043500000000002</v>
      </c>
      <c r="JP86">
        <v>48.900700000000001</v>
      </c>
      <c r="JQ86">
        <v>27.232500000000002</v>
      </c>
      <c r="JR86">
        <v>1500</v>
      </c>
      <c r="JS86">
        <v>25.863800000000001</v>
      </c>
      <c r="JT86">
        <v>98.726299999999995</v>
      </c>
      <c r="JU86">
        <v>97.270899999999997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2023-08-29T22:04:26Z</dcterms:created>
  <dcterms:modified xsi:type="dcterms:W3CDTF">2023-08-29T23:04:40Z</dcterms:modified>
</cp:coreProperties>
</file>