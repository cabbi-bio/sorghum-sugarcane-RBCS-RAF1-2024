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14" i="1" l="1"/>
  <c r="V114" i="1" s="1"/>
  <c r="CY114" i="1"/>
  <c r="CW114" i="1"/>
  <c r="CX114" i="1" s="1"/>
  <c r="AY114" i="1" s="1"/>
  <c r="BA114" i="1" s="1"/>
  <c r="BL114" i="1"/>
  <c r="BK114" i="1"/>
  <c r="BJ114" i="1"/>
  <c r="BI114" i="1"/>
  <c r="BM114" i="1" s="1"/>
  <c r="BN114" i="1" s="1"/>
  <c r="BG114" i="1"/>
  <c r="BH114" i="1" s="1"/>
  <c r="BC114" i="1"/>
  <c r="AW114" i="1"/>
  <c r="AQ114" i="1"/>
  <c r="BD114" i="1" s="1"/>
  <c r="AL114" i="1"/>
  <c r="AJ114" i="1"/>
  <c r="N114" i="1" s="1"/>
  <c r="AB114" i="1"/>
  <c r="AA114" i="1"/>
  <c r="Z114" i="1"/>
  <c r="S114" i="1"/>
  <c r="Q114" i="1"/>
  <c r="CZ113" i="1"/>
  <c r="V113" i="1" s="1"/>
  <c r="CY113" i="1"/>
  <c r="CW113" i="1"/>
  <c r="CX113" i="1" s="1"/>
  <c r="BL113" i="1"/>
  <c r="BK113" i="1"/>
  <c r="BJ113" i="1"/>
  <c r="BI113" i="1"/>
  <c r="BM113" i="1" s="1"/>
  <c r="BN113" i="1" s="1"/>
  <c r="BG113" i="1"/>
  <c r="BH113" i="1" s="1"/>
  <c r="BC113" i="1"/>
  <c r="AZ113" i="1"/>
  <c r="AY113" i="1"/>
  <c r="BA113" i="1" s="1"/>
  <c r="AW113" i="1"/>
  <c r="AQ113" i="1"/>
  <c r="BD113" i="1" s="1"/>
  <c r="AL113" i="1"/>
  <c r="AJ113" i="1"/>
  <c r="L113" i="1" s="1"/>
  <c r="K113" i="1" s="1"/>
  <c r="AB113" i="1"/>
  <c r="AA113" i="1"/>
  <c r="Z113" i="1"/>
  <c r="S113" i="1"/>
  <c r="Q113" i="1"/>
  <c r="N113" i="1"/>
  <c r="M113" i="1"/>
  <c r="CZ112" i="1"/>
  <c r="CY112" i="1"/>
  <c r="CW112" i="1"/>
  <c r="BL112" i="1"/>
  <c r="BK112" i="1"/>
  <c r="BG112" i="1"/>
  <c r="BC112" i="1"/>
  <c r="AW112" i="1"/>
  <c r="AQ112" i="1"/>
  <c r="BD112" i="1" s="1"/>
  <c r="AL112" i="1"/>
  <c r="AJ112" i="1" s="1"/>
  <c r="AB112" i="1"/>
  <c r="AA112" i="1"/>
  <c r="Z112" i="1" s="1"/>
  <c r="S112" i="1"/>
  <c r="CZ111" i="1"/>
  <c r="CY111" i="1"/>
  <c r="CW111" i="1"/>
  <c r="CX111" i="1" s="1"/>
  <c r="AY111" i="1" s="1"/>
  <c r="BL111" i="1"/>
  <c r="BK111" i="1"/>
  <c r="BG111" i="1"/>
  <c r="BJ111" i="1" s="1"/>
  <c r="BC111" i="1"/>
  <c r="AW111" i="1"/>
  <c r="BA111" i="1" s="1"/>
  <c r="AQ111" i="1"/>
  <c r="BD111" i="1" s="1"/>
  <c r="AL111" i="1"/>
  <c r="AJ111" i="1" s="1"/>
  <c r="AK111" i="1" s="1"/>
  <c r="AB111" i="1"/>
  <c r="AA111" i="1"/>
  <c r="Z111" i="1" s="1"/>
  <c r="S111" i="1"/>
  <c r="CZ110" i="1"/>
  <c r="CY110" i="1"/>
  <c r="CW110" i="1"/>
  <c r="CX110" i="1" s="1"/>
  <c r="AY110" i="1" s="1"/>
  <c r="BL110" i="1"/>
  <c r="BK110" i="1"/>
  <c r="BG110" i="1"/>
  <c r="BJ110" i="1" s="1"/>
  <c r="BC110" i="1"/>
  <c r="BA110" i="1"/>
  <c r="AW110" i="1"/>
  <c r="AQ110" i="1"/>
  <c r="BD110" i="1" s="1"/>
  <c r="AL110" i="1"/>
  <c r="AJ110" i="1"/>
  <c r="N110" i="1" s="1"/>
  <c r="AB110" i="1"/>
  <c r="AA110" i="1"/>
  <c r="Z110" i="1" s="1"/>
  <c r="S110" i="1"/>
  <c r="Q110" i="1"/>
  <c r="CZ109" i="1"/>
  <c r="CY109" i="1"/>
  <c r="CW109" i="1"/>
  <c r="BL109" i="1"/>
  <c r="BK109" i="1"/>
  <c r="BJ109" i="1"/>
  <c r="BI109" i="1"/>
  <c r="BM109" i="1" s="1"/>
  <c r="BN109" i="1" s="1"/>
  <c r="BG109" i="1"/>
  <c r="BH109" i="1" s="1"/>
  <c r="BC109" i="1"/>
  <c r="AZ109" i="1"/>
  <c r="AW109" i="1"/>
  <c r="AQ109" i="1"/>
  <c r="BD109" i="1" s="1"/>
  <c r="AL109" i="1"/>
  <c r="AK109" i="1"/>
  <c r="AJ109" i="1"/>
  <c r="N109" i="1" s="1"/>
  <c r="AB109" i="1"/>
  <c r="AA109" i="1"/>
  <c r="Z109" i="1" s="1"/>
  <c r="S109" i="1"/>
  <c r="Q109" i="1"/>
  <c r="M109" i="1"/>
  <c r="CZ108" i="1"/>
  <c r="CY108" i="1"/>
  <c r="CW108" i="1"/>
  <c r="BL108" i="1"/>
  <c r="BK108" i="1"/>
  <c r="BG108" i="1"/>
  <c r="BC108" i="1"/>
  <c r="AW108" i="1"/>
  <c r="AQ108" i="1"/>
  <c r="BD108" i="1" s="1"/>
  <c r="AL108" i="1"/>
  <c r="AJ108" i="1" s="1"/>
  <c r="AB108" i="1"/>
  <c r="AA108" i="1"/>
  <c r="Z108" i="1" s="1"/>
  <c r="S108" i="1"/>
  <c r="M108" i="1"/>
  <c r="AZ108" i="1" s="1"/>
  <c r="CZ107" i="1"/>
  <c r="CY107" i="1"/>
  <c r="CW107" i="1"/>
  <c r="CX107" i="1" s="1"/>
  <c r="AY107" i="1" s="1"/>
  <c r="BA107" i="1" s="1"/>
  <c r="BL107" i="1"/>
  <c r="BK107" i="1"/>
  <c r="BG107" i="1"/>
  <c r="BJ107" i="1" s="1"/>
  <c r="BC107" i="1"/>
  <c r="AW107" i="1"/>
  <c r="AQ107" i="1"/>
  <c r="BD107" i="1" s="1"/>
  <c r="AL107" i="1"/>
  <c r="AJ107" i="1" s="1"/>
  <c r="AK107" i="1"/>
  <c r="AB107" i="1"/>
  <c r="AA107" i="1"/>
  <c r="Z107" i="1" s="1"/>
  <c r="S107" i="1"/>
  <c r="CZ106" i="1"/>
  <c r="CY106" i="1"/>
  <c r="CW106" i="1"/>
  <c r="CX106" i="1" s="1"/>
  <c r="AY106" i="1" s="1"/>
  <c r="BL106" i="1"/>
  <c r="BK106" i="1"/>
  <c r="BG106" i="1"/>
  <c r="BJ106" i="1" s="1"/>
  <c r="BC106" i="1"/>
  <c r="BA106" i="1"/>
  <c r="AW106" i="1"/>
  <c r="AQ106" i="1"/>
  <c r="BD106" i="1" s="1"/>
  <c r="AL106" i="1"/>
  <c r="AK106" i="1"/>
  <c r="AJ106" i="1"/>
  <c r="N106" i="1" s="1"/>
  <c r="AB106" i="1"/>
  <c r="AA106" i="1"/>
  <c r="Z106" i="1" s="1"/>
  <c r="S106" i="1"/>
  <c r="Q106" i="1"/>
  <c r="M106" i="1"/>
  <c r="AZ106" i="1" s="1"/>
  <c r="BB106" i="1" s="1"/>
  <c r="CZ105" i="1"/>
  <c r="CY105" i="1"/>
  <c r="CW105" i="1"/>
  <c r="CX105" i="1" s="1"/>
  <c r="AY105" i="1" s="1"/>
  <c r="BA105" i="1" s="1"/>
  <c r="BL105" i="1"/>
  <c r="BK105" i="1"/>
  <c r="BJ105" i="1"/>
  <c r="BI105" i="1"/>
  <c r="BM105" i="1" s="1"/>
  <c r="BN105" i="1" s="1"/>
  <c r="BG105" i="1"/>
  <c r="BH105" i="1" s="1"/>
  <c r="BC105" i="1"/>
  <c r="AW105" i="1"/>
  <c r="AQ105" i="1"/>
  <c r="BD105" i="1" s="1"/>
  <c r="AL105" i="1"/>
  <c r="AK105" i="1"/>
  <c r="AJ105" i="1"/>
  <c r="N105" i="1" s="1"/>
  <c r="AB105" i="1"/>
  <c r="AA105" i="1"/>
  <c r="Z105" i="1" s="1"/>
  <c r="S105" i="1"/>
  <c r="Q105" i="1"/>
  <c r="M105" i="1"/>
  <c r="AZ105" i="1" s="1"/>
  <c r="CZ104" i="1"/>
  <c r="CY104" i="1"/>
  <c r="CW104" i="1"/>
  <c r="BL104" i="1"/>
  <c r="BK104" i="1"/>
  <c r="BG104" i="1"/>
  <c r="BC104" i="1"/>
  <c r="AW104" i="1"/>
  <c r="AQ104" i="1"/>
  <c r="BD104" i="1" s="1"/>
  <c r="AL104" i="1"/>
  <c r="AJ104" i="1" s="1"/>
  <c r="AB104" i="1"/>
  <c r="AA104" i="1"/>
  <c r="Z104" i="1" s="1"/>
  <c r="S104" i="1"/>
  <c r="CZ103" i="1"/>
  <c r="CY103" i="1"/>
  <c r="CW103" i="1"/>
  <c r="CX103" i="1" s="1"/>
  <c r="AY103" i="1" s="1"/>
  <c r="BA103" i="1" s="1"/>
  <c r="BM103" i="1"/>
  <c r="BN103" i="1" s="1"/>
  <c r="BL103" i="1"/>
  <c r="BK103" i="1"/>
  <c r="BI103" i="1"/>
  <c r="BG103" i="1"/>
  <c r="BJ103" i="1" s="1"/>
  <c r="BC103" i="1"/>
  <c r="AW103" i="1"/>
  <c r="AQ103" i="1"/>
  <c r="BD103" i="1" s="1"/>
  <c r="AL103" i="1"/>
  <c r="AJ103" i="1" s="1"/>
  <c r="AK103" i="1"/>
  <c r="AB103" i="1"/>
  <c r="AA103" i="1"/>
  <c r="Z103" i="1" s="1"/>
  <c r="S103" i="1"/>
  <c r="CZ102" i="1"/>
  <c r="CY102" i="1"/>
  <c r="CW102" i="1"/>
  <c r="CX102" i="1" s="1"/>
  <c r="AY102" i="1" s="1"/>
  <c r="BA102" i="1" s="1"/>
  <c r="BL102" i="1"/>
  <c r="BK102" i="1"/>
  <c r="BG102" i="1"/>
  <c r="BJ102" i="1" s="1"/>
  <c r="BC102" i="1"/>
  <c r="AW102" i="1"/>
  <c r="AQ102" i="1"/>
  <c r="BD102" i="1" s="1"/>
  <c r="AL102" i="1"/>
  <c r="AK102" i="1"/>
  <c r="AJ102" i="1"/>
  <c r="N102" i="1" s="1"/>
  <c r="AB102" i="1"/>
  <c r="AA102" i="1"/>
  <c r="Z102" i="1" s="1"/>
  <c r="S102" i="1"/>
  <c r="Q102" i="1"/>
  <c r="M102" i="1"/>
  <c r="AZ102" i="1" s="1"/>
  <c r="BB102" i="1" s="1"/>
  <c r="CZ101" i="1"/>
  <c r="CY101" i="1"/>
  <c r="CW101" i="1"/>
  <c r="CX101" i="1" s="1"/>
  <c r="AY101" i="1" s="1"/>
  <c r="BA101" i="1" s="1"/>
  <c r="BL101" i="1"/>
  <c r="BK101" i="1"/>
  <c r="BI101" i="1"/>
  <c r="BM101" i="1" s="1"/>
  <c r="BN101" i="1" s="1"/>
  <c r="BG101" i="1"/>
  <c r="BH101" i="1" s="1"/>
  <c r="BC101" i="1"/>
  <c r="AW101" i="1"/>
  <c r="AQ101" i="1"/>
  <c r="BD101" i="1" s="1"/>
  <c r="AL101" i="1"/>
  <c r="AK101" i="1"/>
  <c r="AJ101" i="1"/>
  <c r="N101" i="1" s="1"/>
  <c r="AB101" i="1"/>
  <c r="AA101" i="1"/>
  <c r="Z101" i="1" s="1"/>
  <c r="S101" i="1"/>
  <c r="Q101" i="1"/>
  <c r="M101" i="1"/>
  <c r="AZ101" i="1" s="1"/>
  <c r="CZ100" i="1"/>
  <c r="CY100" i="1"/>
  <c r="CW100" i="1"/>
  <c r="BL100" i="1"/>
  <c r="BK100" i="1"/>
  <c r="BG100" i="1"/>
  <c r="BC100" i="1"/>
  <c r="AW100" i="1"/>
  <c r="AQ100" i="1"/>
  <c r="BD100" i="1" s="1"/>
  <c r="AL100" i="1"/>
  <c r="AJ100" i="1" s="1"/>
  <c r="AB100" i="1"/>
  <c r="AA100" i="1"/>
  <c r="Z100" i="1" s="1"/>
  <c r="S100" i="1"/>
  <c r="Q100" i="1"/>
  <c r="M100" i="1"/>
  <c r="AZ100" i="1" s="1"/>
  <c r="CZ99" i="1"/>
  <c r="CY99" i="1"/>
  <c r="CW99" i="1"/>
  <c r="BL99" i="1"/>
  <c r="BK99" i="1"/>
  <c r="BI99" i="1"/>
  <c r="BM99" i="1" s="1"/>
  <c r="BN99" i="1" s="1"/>
  <c r="BG99" i="1"/>
  <c r="BC99" i="1"/>
  <c r="AW99" i="1"/>
  <c r="AQ99" i="1"/>
  <c r="BD99" i="1" s="1"/>
  <c r="AL99" i="1"/>
  <c r="AJ99" i="1" s="1"/>
  <c r="AK99" i="1"/>
  <c r="AB99" i="1"/>
  <c r="AA99" i="1"/>
  <c r="Z99" i="1" s="1"/>
  <c r="S99" i="1"/>
  <c r="CZ98" i="1"/>
  <c r="CY98" i="1"/>
  <c r="CW98" i="1"/>
  <c r="BL98" i="1"/>
  <c r="BK98" i="1"/>
  <c r="BG98" i="1"/>
  <c r="BC98" i="1"/>
  <c r="AW98" i="1"/>
  <c r="AQ98" i="1"/>
  <c r="BD98" i="1" s="1"/>
  <c r="AL98" i="1"/>
  <c r="AK98" i="1"/>
  <c r="AJ98" i="1"/>
  <c r="N98" i="1" s="1"/>
  <c r="AB98" i="1"/>
  <c r="AA98" i="1"/>
  <c r="Z98" i="1" s="1"/>
  <c r="S98" i="1"/>
  <c r="Q98" i="1"/>
  <c r="M98" i="1"/>
  <c r="AZ98" i="1" s="1"/>
  <c r="CZ97" i="1"/>
  <c r="CY97" i="1"/>
  <c r="CW97" i="1"/>
  <c r="BL97" i="1"/>
  <c r="BK97" i="1"/>
  <c r="BG97" i="1"/>
  <c r="BH97" i="1" s="1"/>
  <c r="BC97" i="1"/>
  <c r="AZ97" i="1"/>
  <c r="AW97" i="1"/>
  <c r="AQ97" i="1"/>
  <c r="BD97" i="1" s="1"/>
  <c r="AL97" i="1"/>
  <c r="AJ97" i="1" s="1"/>
  <c r="AK97" i="1"/>
  <c r="AB97" i="1"/>
  <c r="AA97" i="1"/>
  <c r="Z97" i="1" s="1"/>
  <c r="S97" i="1"/>
  <c r="Q97" i="1"/>
  <c r="M97" i="1"/>
  <c r="CZ96" i="1"/>
  <c r="CY96" i="1"/>
  <c r="CX96" i="1"/>
  <c r="CW96" i="1"/>
  <c r="BM96" i="1"/>
  <c r="BN96" i="1" s="1"/>
  <c r="BL96" i="1"/>
  <c r="BK96" i="1"/>
  <c r="BI96" i="1"/>
  <c r="BG96" i="1"/>
  <c r="BJ96" i="1" s="1"/>
  <c r="BC96" i="1"/>
  <c r="AY96" i="1"/>
  <c r="BA96" i="1" s="1"/>
  <c r="AW96" i="1"/>
  <c r="AQ96" i="1"/>
  <c r="BD96" i="1" s="1"/>
  <c r="AL96" i="1"/>
  <c r="AK96" i="1"/>
  <c r="AJ96" i="1"/>
  <c r="L96" i="1" s="1"/>
  <c r="AD96" i="1"/>
  <c r="AB96" i="1"/>
  <c r="AA96" i="1"/>
  <c r="Z96" i="1" s="1"/>
  <c r="V96" i="1"/>
  <c r="S96" i="1"/>
  <c r="Q96" i="1"/>
  <c r="N96" i="1"/>
  <c r="M96" i="1"/>
  <c r="AZ96" i="1" s="1"/>
  <c r="K96" i="1"/>
  <c r="CZ95" i="1"/>
  <c r="CY95" i="1"/>
  <c r="CW95" i="1"/>
  <c r="BL95" i="1"/>
  <c r="BK95" i="1"/>
  <c r="BG95" i="1"/>
  <c r="BC95" i="1"/>
  <c r="AW95" i="1"/>
  <c r="AQ95" i="1"/>
  <c r="BD95" i="1" s="1"/>
  <c r="AL95" i="1"/>
  <c r="AJ95" i="1" s="1"/>
  <c r="L95" i="1" s="1"/>
  <c r="K95" i="1" s="1"/>
  <c r="AB95" i="1"/>
  <c r="AA95" i="1"/>
  <c r="Z95" i="1" s="1"/>
  <c r="S95" i="1"/>
  <c r="CZ94" i="1"/>
  <c r="CY94" i="1"/>
  <c r="CW94" i="1"/>
  <c r="CX94" i="1" s="1"/>
  <c r="AY94" i="1" s="1"/>
  <c r="BA94" i="1" s="1"/>
  <c r="BN94" i="1"/>
  <c r="BM94" i="1"/>
  <c r="BL94" i="1"/>
  <c r="BK94" i="1"/>
  <c r="BJ94" i="1"/>
  <c r="BI94" i="1"/>
  <c r="BG94" i="1"/>
  <c r="BH94" i="1" s="1"/>
  <c r="BD94" i="1"/>
  <c r="BC94" i="1"/>
  <c r="AW94" i="1"/>
  <c r="AQ94" i="1"/>
  <c r="AL94" i="1"/>
  <c r="AJ94" i="1"/>
  <c r="AB94" i="1"/>
  <c r="AA94" i="1"/>
  <c r="Z94" i="1"/>
  <c r="V94" i="1"/>
  <c r="S94" i="1"/>
  <c r="CZ93" i="1"/>
  <c r="CY93" i="1"/>
  <c r="CW93" i="1"/>
  <c r="CX93" i="1" s="1"/>
  <c r="AY93" i="1" s="1"/>
  <c r="BA93" i="1" s="1"/>
  <c r="BL93" i="1"/>
  <c r="BK93" i="1"/>
  <c r="BJ93" i="1"/>
  <c r="BG93" i="1"/>
  <c r="BI93" i="1" s="1"/>
  <c r="BM93" i="1" s="1"/>
  <c r="BN93" i="1" s="1"/>
  <c r="BC93" i="1"/>
  <c r="AW93" i="1"/>
  <c r="AQ93" i="1"/>
  <c r="BD93" i="1" s="1"/>
  <c r="AL93" i="1"/>
  <c r="AJ93" i="1"/>
  <c r="N93" i="1" s="1"/>
  <c r="AB93" i="1"/>
  <c r="AA93" i="1"/>
  <c r="Z93" i="1"/>
  <c r="S93" i="1"/>
  <c r="Q93" i="1"/>
  <c r="CZ92" i="1"/>
  <c r="CY92" i="1"/>
  <c r="CX92" i="1"/>
  <c r="AY92" i="1" s="1"/>
  <c r="CW92" i="1"/>
  <c r="BL92" i="1"/>
  <c r="BK92" i="1"/>
  <c r="BJ92" i="1"/>
  <c r="BI92" i="1"/>
  <c r="BM92" i="1" s="1"/>
  <c r="BN92" i="1" s="1"/>
  <c r="BH92" i="1"/>
  <c r="BG92" i="1"/>
  <c r="BC92" i="1"/>
  <c r="AW92" i="1"/>
  <c r="AQ92" i="1"/>
  <c r="BD92" i="1" s="1"/>
  <c r="AL92" i="1"/>
  <c r="AJ92" i="1" s="1"/>
  <c r="AB92" i="1"/>
  <c r="AA92" i="1"/>
  <c r="Z92" i="1" s="1"/>
  <c r="V92" i="1"/>
  <c r="S92" i="1"/>
  <c r="CZ91" i="1"/>
  <c r="CY91" i="1"/>
  <c r="CW91" i="1"/>
  <c r="CX91" i="1" s="1"/>
  <c r="AY91" i="1" s="1"/>
  <c r="BL91" i="1"/>
  <c r="BK91" i="1"/>
  <c r="BG91" i="1"/>
  <c r="BJ91" i="1" s="1"/>
  <c r="BD91" i="1"/>
  <c r="BC91" i="1"/>
  <c r="AW91" i="1"/>
  <c r="BA91" i="1" s="1"/>
  <c r="AQ91" i="1"/>
  <c r="AL91" i="1"/>
  <c r="AJ91" i="1" s="1"/>
  <c r="AB91" i="1"/>
  <c r="AA91" i="1"/>
  <c r="V91" i="1"/>
  <c r="S91" i="1"/>
  <c r="L91" i="1"/>
  <c r="K91" i="1" s="1"/>
  <c r="CZ90" i="1"/>
  <c r="CY90" i="1"/>
  <c r="CW90" i="1"/>
  <c r="CX90" i="1" s="1"/>
  <c r="AY90" i="1" s="1"/>
  <c r="BA90" i="1" s="1"/>
  <c r="BL90" i="1"/>
  <c r="BK90" i="1"/>
  <c r="BJ90" i="1"/>
  <c r="BI90" i="1"/>
  <c r="BM90" i="1" s="1"/>
  <c r="BN90" i="1" s="1"/>
  <c r="BG90" i="1"/>
  <c r="BH90" i="1" s="1"/>
  <c r="BD90" i="1"/>
  <c r="BC90" i="1"/>
  <c r="AW90" i="1"/>
  <c r="AQ90" i="1"/>
  <c r="AL90" i="1"/>
  <c r="AJ90" i="1"/>
  <c r="AB90" i="1"/>
  <c r="AA90" i="1"/>
  <c r="Z90" i="1"/>
  <c r="S90" i="1"/>
  <c r="CZ89" i="1"/>
  <c r="CY89" i="1"/>
  <c r="CW89" i="1"/>
  <c r="CX89" i="1" s="1"/>
  <c r="AY89" i="1" s="1"/>
  <c r="BA89" i="1" s="1"/>
  <c r="BL89" i="1"/>
  <c r="BK89" i="1"/>
  <c r="BJ89" i="1"/>
  <c r="BG89" i="1"/>
  <c r="BI89" i="1" s="1"/>
  <c r="BM89" i="1" s="1"/>
  <c r="BN89" i="1" s="1"/>
  <c r="BC89" i="1"/>
  <c r="AZ89" i="1"/>
  <c r="BB89" i="1" s="1"/>
  <c r="AW89" i="1"/>
  <c r="AQ89" i="1"/>
  <c r="BD89" i="1" s="1"/>
  <c r="AL89" i="1"/>
  <c r="AJ89" i="1"/>
  <c r="N89" i="1" s="1"/>
  <c r="AB89" i="1"/>
  <c r="AA89" i="1"/>
  <c r="Z89" i="1"/>
  <c r="S89" i="1"/>
  <c r="Q89" i="1"/>
  <c r="M89" i="1"/>
  <c r="CZ88" i="1"/>
  <c r="CY88" i="1"/>
  <c r="CX88" i="1"/>
  <c r="AY88" i="1" s="1"/>
  <c r="CW88" i="1"/>
  <c r="BM88" i="1"/>
  <c r="BN88" i="1" s="1"/>
  <c r="BL88" i="1"/>
  <c r="BK88" i="1"/>
  <c r="BJ88" i="1"/>
  <c r="BI88" i="1"/>
  <c r="BH88" i="1"/>
  <c r="BG88" i="1"/>
  <c r="BC88" i="1"/>
  <c r="AW88" i="1"/>
  <c r="AQ88" i="1"/>
  <c r="BD88" i="1" s="1"/>
  <c r="AL88" i="1"/>
  <c r="AJ88" i="1" s="1"/>
  <c r="AB88" i="1"/>
  <c r="AA88" i="1"/>
  <c r="Z88" i="1" s="1"/>
  <c r="V88" i="1"/>
  <c r="S88" i="1"/>
  <c r="N88" i="1"/>
  <c r="CZ87" i="1"/>
  <c r="CY87" i="1"/>
  <c r="CW87" i="1"/>
  <c r="CX87" i="1" s="1"/>
  <c r="AY87" i="1" s="1"/>
  <c r="BA87" i="1" s="1"/>
  <c r="BL87" i="1"/>
  <c r="BK87" i="1"/>
  <c r="BG87" i="1"/>
  <c r="BJ87" i="1" s="1"/>
  <c r="BD87" i="1"/>
  <c r="BC87" i="1"/>
  <c r="AW87" i="1"/>
  <c r="AQ87" i="1"/>
  <c r="AL87" i="1"/>
  <c r="AJ87" i="1" s="1"/>
  <c r="AB87" i="1"/>
  <c r="AA87" i="1"/>
  <c r="Z87" i="1" s="1"/>
  <c r="S87" i="1"/>
  <c r="L87" i="1"/>
  <c r="K87" i="1" s="1"/>
  <c r="CZ86" i="1"/>
  <c r="CY86" i="1"/>
  <c r="CX86" i="1" s="1"/>
  <c r="AY86" i="1" s="1"/>
  <c r="BA86" i="1" s="1"/>
  <c r="CW86" i="1"/>
  <c r="BL86" i="1"/>
  <c r="BK86" i="1"/>
  <c r="BI86" i="1"/>
  <c r="BM86" i="1" s="1"/>
  <c r="BN86" i="1" s="1"/>
  <c r="BH86" i="1"/>
  <c r="BG86" i="1"/>
  <c r="BJ86" i="1" s="1"/>
  <c r="BD86" i="1"/>
  <c r="BC86" i="1"/>
  <c r="AW86" i="1"/>
  <c r="AQ86" i="1"/>
  <c r="AL86" i="1"/>
  <c r="AJ86" i="1"/>
  <c r="AB86" i="1"/>
  <c r="AA86" i="1"/>
  <c r="Z86" i="1"/>
  <c r="V86" i="1"/>
  <c r="S86" i="1"/>
  <c r="CZ85" i="1"/>
  <c r="CY85" i="1"/>
  <c r="CW85" i="1"/>
  <c r="CX85" i="1" s="1"/>
  <c r="AY85" i="1" s="1"/>
  <c r="BA85" i="1" s="1"/>
  <c r="BL85" i="1"/>
  <c r="BK85" i="1"/>
  <c r="BJ85" i="1"/>
  <c r="BG85" i="1"/>
  <c r="BI85" i="1" s="1"/>
  <c r="BM85" i="1" s="1"/>
  <c r="BN85" i="1" s="1"/>
  <c r="BC85" i="1"/>
  <c r="AZ85" i="1"/>
  <c r="AW85" i="1"/>
  <c r="AQ85" i="1"/>
  <c r="BD85" i="1" s="1"/>
  <c r="AL85" i="1"/>
  <c r="AJ85" i="1"/>
  <c r="N85" i="1" s="1"/>
  <c r="AB85" i="1"/>
  <c r="AA85" i="1"/>
  <c r="Z85" i="1"/>
  <c r="S85" i="1"/>
  <c r="Q85" i="1"/>
  <c r="M85" i="1"/>
  <c r="CZ84" i="1"/>
  <c r="CY84" i="1"/>
  <c r="CX84" i="1"/>
  <c r="AY84" i="1" s="1"/>
  <c r="CW84" i="1"/>
  <c r="BM84" i="1"/>
  <c r="BN84" i="1" s="1"/>
  <c r="BL84" i="1"/>
  <c r="BK84" i="1"/>
  <c r="BJ84" i="1"/>
  <c r="BI84" i="1"/>
  <c r="BH84" i="1"/>
  <c r="BG84" i="1"/>
  <c r="BC84" i="1"/>
  <c r="AW84" i="1"/>
  <c r="BA84" i="1" s="1"/>
  <c r="AQ84" i="1"/>
  <c r="BD84" i="1" s="1"/>
  <c r="AL84" i="1"/>
  <c r="AK84" i="1"/>
  <c r="AJ84" i="1"/>
  <c r="L84" i="1" s="1"/>
  <c r="AB84" i="1"/>
  <c r="AA84" i="1"/>
  <c r="Z84" i="1" s="1"/>
  <c r="V84" i="1"/>
  <c r="S84" i="1"/>
  <c r="Q84" i="1"/>
  <c r="N84" i="1"/>
  <c r="M84" i="1"/>
  <c r="AZ84" i="1" s="1"/>
  <c r="K84" i="1"/>
  <c r="CZ83" i="1"/>
  <c r="CY83" i="1"/>
  <c r="CW83" i="1"/>
  <c r="CX83" i="1" s="1"/>
  <c r="AY83" i="1" s="1"/>
  <c r="BA83" i="1" s="1"/>
  <c r="BL83" i="1"/>
  <c r="BK83" i="1"/>
  <c r="BG83" i="1"/>
  <c r="BJ83" i="1" s="1"/>
  <c r="BD83" i="1"/>
  <c r="BC83" i="1"/>
  <c r="AW83" i="1"/>
  <c r="AQ83" i="1"/>
  <c r="AL83" i="1"/>
  <c r="AJ83" i="1" s="1"/>
  <c r="AB83" i="1"/>
  <c r="AA83" i="1"/>
  <c r="Z83" i="1" s="1"/>
  <c r="S83" i="1"/>
  <c r="L83" i="1"/>
  <c r="K83" i="1" s="1"/>
  <c r="AD83" i="1" s="1"/>
  <c r="CZ82" i="1"/>
  <c r="CY82" i="1"/>
  <c r="CW82" i="1"/>
  <c r="CX82" i="1" s="1"/>
  <c r="AY82" i="1" s="1"/>
  <c r="BA82" i="1" s="1"/>
  <c r="BL82" i="1"/>
  <c r="BK82" i="1"/>
  <c r="BI82" i="1"/>
  <c r="BM82" i="1" s="1"/>
  <c r="BN82" i="1" s="1"/>
  <c r="BG82" i="1"/>
  <c r="BJ82" i="1" s="1"/>
  <c r="BC82" i="1"/>
  <c r="AW82" i="1"/>
  <c r="AQ82" i="1"/>
  <c r="BD82" i="1" s="1"/>
  <c r="AL82" i="1"/>
  <c r="AJ82" i="1"/>
  <c r="AB82" i="1"/>
  <c r="AA82" i="1"/>
  <c r="Z82" i="1"/>
  <c r="S82" i="1"/>
  <c r="CZ81" i="1"/>
  <c r="CY81" i="1"/>
  <c r="CW81" i="1"/>
  <c r="BL81" i="1"/>
  <c r="BK81" i="1"/>
  <c r="BJ81" i="1"/>
  <c r="BI81" i="1"/>
  <c r="BM81" i="1" s="1"/>
  <c r="BN81" i="1" s="1"/>
  <c r="BG81" i="1"/>
  <c r="BH81" i="1" s="1"/>
  <c r="BC81" i="1"/>
  <c r="AW81" i="1"/>
  <c r="AQ81" i="1"/>
  <c r="BD81" i="1" s="1"/>
  <c r="AL81" i="1"/>
  <c r="AJ81" i="1"/>
  <c r="N81" i="1" s="1"/>
  <c r="AB81" i="1"/>
  <c r="AA81" i="1"/>
  <c r="Z81" i="1"/>
  <c r="S81" i="1"/>
  <c r="Q81" i="1"/>
  <c r="M81" i="1"/>
  <c r="AZ81" i="1" s="1"/>
  <c r="CZ80" i="1"/>
  <c r="CY80" i="1"/>
  <c r="CX80" i="1"/>
  <c r="AY80" i="1" s="1"/>
  <c r="CW80" i="1"/>
  <c r="BL80" i="1"/>
  <c r="BK80" i="1"/>
  <c r="BJ80" i="1"/>
  <c r="BG80" i="1"/>
  <c r="BI80" i="1" s="1"/>
  <c r="BM80" i="1" s="1"/>
  <c r="BN80" i="1" s="1"/>
  <c r="BC80" i="1"/>
  <c r="AW80" i="1"/>
  <c r="BA80" i="1" s="1"/>
  <c r="AQ80" i="1"/>
  <c r="BD80" i="1" s="1"/>
  <c r="AL80" i="1"/>
  <c r="AK80" i="1"/>
  <c r="AJ80" i="1"/>
  <c r="AB80" i="1"/>
  <c r="AA80" i="1"/>
  <c r="Z80" i="1" s="1"/>
  <c r="W80" i="1"/>
  <c r="X80" i="1" s="1"/>
  <c r="Y80" i="1" s="1"/>
  <c r="AC80" i="1" s="1"/>
  <c r="V80" i="1"/>
  <c r="S80" i="1"/>
  <c r="AE80" i="1" s="1"/>
  <c r="Q80" i="1"/>
  <c r="N80" i="1"/>
  <c r="M80" i="1"/>
  <c r="AZ80" i="1" s="1"/>
  <c r="BB80" i="1" s="1"/>
  <c r="L80" i="1"/>
  <c r="K80" i="1"/>
  <c r="CZ79" i="1"/>
  <c r="V79" i="1" s="1"/>
  <c r="CY79" i="1"/>
  <c r="CX79" i="1"/>
  <c r="AY79" i="1" s="1"/>
  <c r="BA79" i="1" s="1"/>
  <c r="CW79" i="1"/>
  <c r="BM79" i="1"/>
  <c r="BN79" i="1" s="1"/>
  <c r="BL79" i="1"/>
  <c r="BK79" i="1"/>
  <c r="BJ79" i="1"/>
  <c r="BI79" i="1"/>
  <c r="BH79" i="1"/>
  <c r="BG79" i="1"/>
  <c r="BD79" i="1"/>
  <c r="BC79" i="1"/>
  <c r="AW79" i="1"/>
  <c r="AQ79" i="1"/>
  <c r="AL79" i="1"/>
  <c r="AJ79" i="1" s="1"/>
  <c r="AK79" i="1"/>
  <c r="AB79" i="1"/>
  <c r="AA79" i="1"/>
  <c r="Z79" i="1" s="1"/>
  <c r="S79" i="1"/>
  <c r="CZ78" i="1"/>
  <c r="CY78" i="1"/>
  <c r="CX78" i="1" s="1"/>
  <c r="AY78" i="1" s="1"/>
  <c r="CW78" i="1"/>
  <c r="BL78" i="1"/>
  <c r="BK78" i="1"/>
  <c r="BJ78" i="1"/>
  <c r="BI78" i="1"/>
  <c r="BM78" i="1" s="1"/>
  <c r="BN78" i="1" s="1"/>
  <c r="BH78" i="1"/>
  <c r="BG78" i="1"/>
  <c r="BD78" i="1"/>
  <c r="BC78" i="1"/>
  <c r="BA78" i="1"/>
  <c r="AW78" i="1"/>
  <c r="AQ78" i="1"/>
  <c r="AL78" i="1"/>
  <c r="AJ78" i="1"/>
  <c r="N78" i="1" s="1"/>
  <c r="AB78" i="1"/>
  <c r="AA78" i="1"/>
  <c r="Z78" i="1"/>
  <c r="V78" i="1"/>
  <c r="S78" i="1"/>
  <c r="Q78" i="1"/>
  <c r="CZ77" i="1"/>
  <c r="CY77" i="1"/>
  <c r="CW77" i="1"/>
  <c r="CX77" i="1" s="1"/>
  <c r="AY77" i="1" s="1"/>
  <c r="BL77" i="1"/>
  <c r="BK77" i="1"/>
  <c r="BI77" i="1"/>
  <c r="BM77" i="1" s="1"/>
  <c r="BN77" i="1" s="1"/>
  <c r="BG77" i="1"/>
  <c r="BH77" i="1" s="1"/>
  <c r="BC77" i="1"/>
  <c r="AW77" i="1"/>
  <c r="AQ77" i="1"/>
  <c r="BD77" i="1" s="1"/>
  <c r="AL77" i="1"/>
  <c r="AJ77" i="1" s="1"/>
  <c r="AB77" i="1"/>
  <c r="Z77" i="1" s="1"/>
  <c r="AA77" i="1"/>
  <c r="S77" i="1"/>
  <c r="CZ76" i="1"/>
  <c r="CY76" i="1"/>
  <c r="CW76" i="1"/>
  <c r="BL76" i="1"/>
  <c r="BK76" i="1"/>
  <c r="BG76" i="1"/>
  <c r="BC76" i="1"/>
  <c r="AW76" i="1"/>
  <c r="AQ76" i="1"/>
  <c r="BD76" i="1" s="1"/>
  <c r="AL76" i="1"/>
  <c r="AK76" i="1"/>
  <c r="AJ76" i="1"/>
  <c r="L76" i="1" s="1"/>
  <c r="K76" i="1" s="1"/>
  <c r="AB76" i="1"/>
  <c r="AA76" i="1"/>
  <c r="Z76" i="1" s="1"/>
  <c r="S76" i="1"/>
  <c r="N76" i="1"/>
  <c r="M76" i="1"/>
  <c r="AZ76" i="1" s="1"/>
  <c r="CZ75" i="1"/>
  <c r="CY75" i="1"/>
  <c r="CX75" i="1"/>
  <c r="CW75" i="1"/>
  <c r="BM75" i="1"/>
  <c r="BN75" i="1" s="1"/>
  <c r="BL75" i="1"/>
  <c r="BK75" i="1"/>
  <c r="BJ75" i="1"/>
  <c r="BI75" i="1"/>
  <c r="BH75" i="1"/>
  <c r="BG75" i="1"/>
  <c r="BD75" i="1"/>
  <c r="BC75" i="1"/>
  <c r="BA75" i="1"/>
  <c r="AY75" i="1"/>
  <c r="AW75" i="1"/>
  <c r="AQ75" i="1"/>
  <c r="AL75" i="1"/>
  <c r="AJ75" i="1" s="1"/>
  <c r="AB75" i="1"/>
  <c r="AA75" i="1"/>
  <c r="Z75" i="1" s="1"/>
  <c r="V75" i="1"/>
  <c r="S75" i="1"/>
  <c r="CZ74" i="1"/>
  <c r="CY74" i="1"/>
  <c r="CX74" i="1" s="1"/>
  <c r="AY74" i="1" s="1"/>
  <c r="CW74" i="1"/>
  <c r="BL74" i="1"/>
  <c r="BK74" i="1"/>
  <c r="BI74" i="1"/>
  <c r="BM74" i="1" s="1"/>
  <c r="BN74" i="1" s="1"/>
  <c r="BH74" i="1"/>
  <c r="BG74" i="1"/>
  <c r="BJ74" i="1" s="1"/>
  <c r="BC74" i="1"/>
  <c r="BA74" i="1"/>
  <c r="AW74" i="1"/>
  <c r="AQ74" i="1"/>
  <c r="BD74" i="1" s="1"/>
  <c r="AL74" i="1"/>
  <c r="AJ74" i="1"/>
  <c r="N74" i="1" s="1"/>
  <c r="AB74" i="1"/>
  <c r="AA74" i="1"/>
  <c r="Z74" i="1"/>
  <c r="V74" i="1"/>
  <c r="S74" i="1"/>
  <c r="Q74" i="1"/>
  <c r="CZ73" i="1"/>
  <c r="CY73" i="1"/>
  <c r="CW73" i="1"/>
  <c r="CX73" i="1" s="1"/>
  <c r="AY73" i="1" s="1"/>
  <c r="BA73" i="1" s="1"/>
  <c r="BL73" i="1"/>
  <c r="BK73" i="1"/>
  <c r="BI73" i="1"/>
  <c r="BM73" i="1" s="1"/>
  <c r="BN73" i="1" s="1"/>
  <c r="BG73" i="1"/>
  <c r="BH73" i="1" s="1"/>
  <c r="BC73" i="1"/>
  <c r="AW73" i="1"/>
  <c r="AQ73" i="1"/>
  <c r="BD73" i="1" s="1"/>
  <c r="AL73" i="1"/>
  <c r="AJ73" i="1"/>
  <c r="N73" i="1" s="1"/>
  <c r="AB73" i="1"/>
  <c r="AA73" i="1"/>
  <c r="Z73" i="1"/>
  <c r="S73" i="1"/>
  <c r="M73" i="1"/>
  <c r="AZ73" i="1" s="1"/>
  <c r="L73" i="1"/>
  <c r="K73" i="1" s="1"/>
  <c r="CZ72" i="1"/>
  <c r="CY72" i="1"/>
  <c r="CW72" i="1"/>
  <c r="BL72" i="1"/>
  <c r="BK72" i="1"/>
  <c r="BG72" i="1"/>
  <c r="BC72" i="1"/>
  <c r="AW72" i="1"/>
  <c r="AQ72" i="1"/>
  <c r="BD72" i="1" s="1"/>
  <c r="AL72" i="1"/>
  <c r="AK72" i="1"/>
  <c r="AJ72" i="1"/>
  <c r="L72" i="1" s="1"/>
  <c r="K72" i="1" s="1"/>
  <c r="AB72" i="1"/>
  <c r="AA72" i="1"/>
  <c r="Z72" i="1" s="1"/>
  <c r="S72" i="1"/>
  <c r="Q72" i="1"/>
  <c r="N72" i="1"/>
  <c r="M72" i="1"/>
  <c r="AZ72" i="1" s="1"/>
  <c r="CZ71" i="1"/>
  <c r="CY71" i="1"/>
  <c r="CX71" i="1" s="1"/>
  <c r="AY71" i="1" s="1"/>
  <c r="BA71" i="1" s="1"/>
  <c r="CW71" i="1"/>
  <c r="BM71" i="1"/>
  <c r="BN71" i="1" s="1"/>
  <c r="BL71" i="1"/>
  <c r="BK71" i="1"/>
  <c r="BJ71" i="1"/>
  <c r="BI71" i="1"/>
  <c r="BH71" i="1"/>
  <c r="BG71" i="1"/>
  <c r="BD71" i="1"/>
  <c r="BC71" i="1"/>
  <c r="AW71" i="1"/>
  <c r="AQ71" i="1"/>
  <c r="AL71" i="1"/>
  <c r="AJ71" i="1" s="1"/>
  <c r="AK71" i="1" s="1"/>
  <c r="AB71" i="1"/>
  <c r="AA71" i="1"/>
  <c r="Z71" i="1" s="1"/>
  <c r="V71" i="1"/>
  <c r="S71" i="1"/>
  <c r="CZ70" i="1"/>
  <c r="CY70" i="1"/>
  <c r="CW70" i="1"/>
  <c r="CX70" i="1" s="1"/>
  <c r="AY70" i="1" s="1"/>
  <c r="BA70" i="1" s="1"/>
  <c r="BL70" i="1"/>
  <c r="BK70" i="1"/>
  <c r="BI70" i="1"/>
  <c r="BM70" i="1" s="1"/>
  <c r="BN70" i="1" s="1"/>
  <c r="BG70" i="1"/>
  <c r="BJ70" i="1" s="1"/>
  <c r="BC70" i="1"/>
  <c r="AW70" i="1"/>
  <c r="AQ70" i="1"/>
  <c r="BD70" i="1" s="1"/>
  <c r="AL70" i="1"/>
  <c r="AJ70" i="1"/>
  <c r="N70" i="1" s="1"/>
  <c r="AB70" i="1"/>
  <c r="AA70" i="1"/>
  <c r="Z70" i="1"/>
  <c r="S70" i="1"/>
  <c r="Q70" i="1"/>
  <c r="CZ69" i="1"/>
  <c r="CY69" i="1"/>
  <c r="CW69" i="1"/>
  <c r="CX69" i="1" s="1"/>
  <c r="BL69" i="1"/>
  <c r="BK69" i="1"/>
  <c r="BI69" i="1"/>
  <c r="BM69" i="1" s="1"/>
  <c r="BN69" i="1" s="1"/>
  <c r="BG69" i="1"/>
  <c r="BC69" i="1"/>
  <c r="AY69" i="1"/>
  <c r="AW69" i="1"/>
  <c r="AQ69" i="1"/>
  <c r="BD69" i="1" s="1"/>
  <c r="AL69" i="1"/>
  <c r="AJ69" i="1"/>
  <c r="N69" i="1" s="1"/>
  <c r="AB69" i="1"/>
  <c r="AA69" i="1"/>
  <c r="Z69" i="1"/>
  <c r="S69" i="1"/>
  <c r="M69" i="1"/>
  <c r="AZ69" i="1" s="1"/>
  <c r="CZ68" i="1"/>
  <c r="CY68" i="1"/>
  <c r="CW68" i="1"/>
  <c r="BL68" i="1"/>
  <c r="BK68" i="1"/>
  <c r="BG68" i="1"/>
  <c r="BC68" i="1"/>
  <c r="AW68" i="1"/>
  <c r="AQ68" i="1"/>
  <c r="BD68" i="1" s="1"/>
  <c r="AL68" i="1"/>
  <c r="AJ68" i="1" s="1"/>
  <c r="AK68" i="1"/>
  <c r="AB68" i="1"/>
  <c r="AA68" i="1"/>
  <c r="Z68" i="1" s="1"/>
  <c r="S68" i="1"/>
  <c r="M68" i="1"/>
  <c r="AZ68" i="1" s="1"/>
  <c r="CZ67" i="1"/>
  <c r="CY67" i="1"/>
  <c r="CX67" i="1"/>
  <c r="AY67" i="1" s="1"/>
  <c r="CW67" i="1"/>
  <c r="BM67" i="1"/>
  <c r="BN67" i="1" s="1"/>
  <c r="BL67" i="1"/>
  <c r="BK67" i="1"/>
  <c r="BI67" i="1"/>
  <c r="BH67" i="1"/>
  <c r="BG67" i="1"/>
  <c r="BJ67" i="1" s="1"/>
  <c r="BD67" i="1"/>
  <c r="BC67" i="1"/>
  <c r="BA67" i="1"/>
  <c r="AW67" i="1"/>
  <c r="AQ67" i="1"/>
  <c r="AL67" i="1"/>
  <c r="AJ67" i="1" s="1"/>
  <c r="AK67" i="1"/>
  <c r="AB67" i="1"/>
  <c r="AA67" i="1"/>
  <c r="Z67" i="1" s="1"/>
  <c r="V67" i="1"/>
  <c r="S67" i="1"/>
  <c r="Q67" i="1"/>
  <c r="CZ66" i="1"/>
  <c r="CY66" i="1"/>
  <c r="CW66" i="1"/>
  <c r="CX66" i="1" s="1"/>
  <c r="BL66" i="1"/>
  <c r="BK66" i="1"/>
  <c r="BI66" i="1"/>
  <c r="BM66" i="1" s="1"/>
  <c r="BN66" i="1" s="1"/>
  <c r="BG66" i="1"/>
  <c r="BJ66" i="1" s="1"/>
  <c r="BD66" i="1"/>
  <c r="BC66" i="1"/>
  <c r="AY66" i="1"/>
  <c r="BA66" i="1" s="1"/>
  <c r="AW66" i="1"/>
  <c r="AQ66" i="1"/>
  <c r="AL66" i="1"/>
  <c r="AJ66" i="1"/>
  <c r="N66" i="1" s="1"/>
  <c r="AB66" i="1"/>
  <c r="AA66" i="1"/>
  <c r="Z66" i="1"/>
  <c r="S66" i="1"/>
  <c r="Q66" i="1"/>
  <c r="CZ65" i="1"/>
  <c r="CY65" i="1"/>
  <c r="CW65" i="1"/>
  <c r="BL65" i="1"/>
  <c r="BK65" i="1"/>
  <c r="BJ65" i="1"/>
  <c r="BG65" i="1"/>
  <c r="BH65" i="1" s="1"/>
  <c r="BC65" i="1"/>
  <c r="AW65" i="1"/>
  <c r="AQ65" i="1"/>
  <c r="BD65" i="1" s="1"/>
  <c r="AL65" i="1"/>
  <c r="AJ65" i="1"/>
  <c r="N65" i="1" s="1"/>
  <c r="AB65" i="1"/>
  <c r="AA65" i="1"/>
  <c r="Z65" i="1"/>
  <c r="S65" i="1"/>
  <c r="M65" i="1"/>
  <c r="AZ65" i="1" s="1"/>
  <c r="CZ64" i="1"/>
  <c r="CY64" i="1"/>
  <c r="CW64" i="1"/>
  <c r="CX64" i="1" s="1"/>
  <c r="AY64" i="1" s="1"/>
  <c r="BM64" i="1"/>
  <c r="BN64" i="1" s="1"/>
  <c r="BL64" i="1"/>
  <c r="BK64" i="1"/>
  <c r="BJ64" i="1"/>
  <c r="BG64" i="1"/>
  <c r="BI64" i="1" s="1"/>
  <c r="BC64" i="1"/>
  <c r="AW64" i="1"/>
  <c r="AQ64" i="1"/>
  <c r="BD64" i="1" s="1"/>
  <c r="AL64" i="1"/>
  <c r="AJ64" i="1" s="1"/>
  <c r="AB64" i="1"/>
  <c r="AA64" i="1"/>
  <c r="Z64" i="1" s="1"/>
  <c r="V64" i="1"/>
  <c r="S64" i="1"/>
  <c r="CZ63" i="1"/>
  <c r="CY63" i="1"/>
  <c r="CX63" i="1"/>
  <c r="AY63" i="1" s="1"/>
  <c r="CW63" i="1"/>
  <c r="BL63" i="1"/>
  <c r="BK63" i="1"/>
  <c r="BI63" i="1"/>
  <c r="BM63" i="1" s="1"/>
  <c r="BN63" i="1" s="1"/>
  <c r="BH63" i="1"/>
  <c r="BG63" i="1"/>
  <c r="BJ63" i="1" s="1"/>
  <c r="BD63" i="1"/>
  <c r="BC63" i="1"/>
  <c r="AW63" i="1"/>
  <c r="BA63" i="1" s="1"/>
  <c r="AQ63" i="1"/>
  <c r="AL63" i="1"/>
  <c r="AJ63" i="1" s="1"/>
  <c r="AB63" i="1"/>
  <c r="AA63" i="1"/>
  <c r="Z63" i="1" s="1"/>
  <c r="V63" i="1"/>
  <c r="S63" i="1"/>
  <c r="CZ62" i="1"/>
  <c r="CY62" i="1"/>
  <c r="CX62" i="1"/>
  <c r="AY62" i="1" s="1"/>
  <c r="CW62" i="1"/>
  <c r="BL62" i="1"/>
  <c r="BK62" i="1"/>
  <c r="BH62" i="1"/>
  <c r="BG62" i="1"/>
  <c r="BJ62" i="1" s="1"/>
  <c r="BD62" i="1"/>
  <c r="BC62" i="1"/>
  <c r="AW62" i="1"/>
  <c r="AQ62" i="1"/>
  <c r="AL62" i="1"/>
  <c r="AJ62" i="1" s="1"/>
  <c r="AB62" i="1"/>
  <c r="AA62" i="1"/>
  <c r="Z62" i="1" s="1"/>
  <c r="V62" i="1"/>
  <c r="S62" i="1"/>
  <c r="CZ61" i="1"/>
  <c r="CY61" i="1"/>
  <c r="CW61" i="1"/>
  <c r="CX61" i="1" s="1"/>
  <c r="AY61" i="1" s="1"/>
  <c r="BA61" i="1" s="1"/>
  <c r="BL61" i="1"/>
  <c r="BK61" i="1"/>
  <c r="BI61" i="1"/>
  <c r="BM61" i="1" s="1"/>
  <c r="BN61" i="1" s="1"/>
  <c r="BG61" i="1"/>
  <c r="BJ61" i="1" s="1"/>
  <c r="BD61" i="1"/>
  <c r="BC61" i="1"/>
  <c r="AW61" i="1"/>
  <c r="AQ61" i="1"/>
  <c r="AL61" i="1"/>
  <c r="AJ61" i="1"/>
  <c r="AB61" i="1"/>
  <c r="AA61" i="1"/>
  <c r="Z61" i="1"/>
  <c r="S61" i="1"/>
  <c r="CZ60" i="1"/>
  <c r="CY60" i="1"/>
  <c r="CW60" i="1"/>
  <c r="CX60" i="1" s="1"/>
  <c r="AY60" i="1" s="1"/>
  <c r="BA60" i="1" s="1"/>
  <c r="BL60" i="1"/>
  <c r="BK60" i="1"/>
  <c r="BJ60" i="1"/>
  <c r="BI60" i="1"/>
  <c r="BM60" i="1" s="1"/>
  <c r="BN60" i="1" s="1"/>
  <c r="BG60" i="1"/>
  <c r="BH60" i="1" s="1"/>
  <c r="BC60" i="1"/>
  <c r="AW60" i="1"/>
  <c r="AQ60" i="1"/>
  <c r="BD60" i="1" s="1"/>
  <c r="AL60" i="1"/>
  <c r="AJ60" i="1"/>
  <c r="N60" i="1" s="1"/>
  <c r="AB60" i="1"/>
  <c r="AA60" i="1"/>
  <c r="Z60" i="1"/>
  <c r="S60" i="1"/>
  <c r="CZ59" i="1"/>
  <c r="CY59" i="1"/>
  <c r="CX59" i="1"/>
  <c r="AY59" i="1" s="1"/>
  <c r="CW59" i="1"/>
  <c r="BL59" i="1"/>
  <c r="BK59" i="1"/>
  <c r="BH59" i="1"/>
  <c r="BG59" i="1"/>
  <c r="BJ59" i="1" s="1"/>
  <c r="BC59" i="1"/>
  <c r="AW59" i="1"/>
  <c r="BA59" i="1" s="1"/>
  <c r="AQ59" i="1"/>
  <c r="BD59" i="1" s="1"/>
  <c r="AL59" i="1"/>
  <c r="AJ59" i="1" s="1"/>
  <c r="AB59" i="1"/>
  <c r="AA59" i="1"/>
  <c r="Z59" i="1" s="1"/>
  <c r="V59" i="1"/>
  <c r="S59" i="1"/>
  <c r="N59" i="1"/>
  <c r="CZ58" i="1"/>
  <c r="CY58" i="1"/>
  <c r="CX58" i="1"/>
  <c r="AY58" i="1" s="1"/>
  <c r="CW58" i="1"/>
  <c r="BN58" i="1"/>
  <c r="BM58" i="1"/>
  <c r="BL58" i="1"/>
  <c r="BK58" i="1"/>
  <c r="BI58" i="1"/>
  <c r="BH58" i="1"/>
  <c r="BG58" i="1"/>
  <c r="BJ58" i="1" s="1"/>
  <c r="BD58" i="1"/>
  <c r="BC58" i="1"/>
  <c r="AW58" i="1"/>
  <c r="AQ58" i="1"/>
  <c r="AL58" i="1"/>
  <c r="AJ58" i="1" s="1"/>
  <c r="AB58" i="1"/>
  <c r="AA58" i="1"/>
  <c r="Z58" i="1" s="1"/>
  <c r="V58" i="1"/>
  <c r="S58" i="1"/>
  <c r="CZ57" i="1"/>
  <c r="CY57" i="1"/>
  <c r="CW57" i="1"/>
  <c r="CX57" i="1" s="1"/>
  <c r="AY57" i="1" s="1"/>
  <c r="BA57" i="1" s="1"/>
  <c r="BL57" i="1"/>
  <c r="BK57" i="1"/>
  <c r="BG57" i="1"/>
  <c r="BJ57" i="1" s="1"/>
  <c r="BD57" i="1"/>
  <c r="BC57" i="1"/>
  <c r="AW57" i="1"/>
  <c r="AQ57" i="1"/>
  <c r="AL57" i="1"/>
  <c r="AJ57" i="1"/>
  <c r="AB57" i="1"/>
  <c r="AA57" i="1"/>
  <c r="Z57" i="1"/>
  <c r="S57" i="1"/>
  <c r="CZ56" i="1"/>
  <c r="CY56" i="1"/>
  <c r="CW56" i="1"/>
  <c r="CX56" i="1" s="1"/>
  <c r="AY56" i="1" s="1"/>
  <c r="BA56" i="1" s="1"/>
  <c r="BL56" i="1"/>
  <c r="BK56" i="1"/>
  <c r="BJ56" i="1"/>
  <c r="BI56" i="1"/>
  <c r="BM56" i="1" s="1"/>
  <c r="BN56" i="1" s="1"/>
  <c r="BG56" i="1"/>
  <c r="BH56" i="1" s="1"/>
  <c r="BC56" i="1"/>
  <c r="AW56" i="1"/>
  <c r="AQ56" i="1"/>
  <c r="BD56" i="1" s="1"/>
  <c r="AL56" i="1"/>
  <c r="AJ56" i="1"/>
  <c r="N56" i="1" s="1"/>
  <c r="AB56" i="1"/>
  <c r="AA56" i="1"/>
  <c r="Z56" i="1"/>
  <c r="S56" i="1"/>
  <c r="CZ55" i="1"/>
  <c r="CY55" i="1"/>
  <c r="CX55" i="1"/>
  <c r="AY55" i="1" s="1"/>
  <c r="CW55" i="1"/>
  <c r="BL55" i="1"/>
  <c r="BK55" i="1"/>
  <c r="BH55" i="1"/>
  <c r="BG55" i="1"/>
  <c r="BJ55" i="1" s="1"/>
  <c r="BC55" i="1"/>
  <c r="AW55" i="1"/>
  <c r="AQ55" i="1"/>
  <c r="BD55" i="1" s="1"/>
  <c r="AL55" i="1"/>
  <c r="AJ55" i="1" s="1"/>
  <c r="M55" i="1" s="1"/>
  <c r="AZ55" i="1" s="1"/>
  <c r="BB55" i="1" s="1"/>
  <c r="AB55" i="1"/>
  <c r="AA55" i="1"/>
  <c r="Z55" i="1" s="1"/>
  <c r="V55" i="1"/>
  <c r="S55" i="1"/>
  <c r="N55" i="1"/>
  <c r="CZ54" i="1"/>
  <c r="CY54" i="1"/>
  <c r="CX54" i="1"/>
  <c r="AY54" i="1" s="1"/>
  <c r="CW54" i="1"/>
  <c r="BM54" i="1"/>
  <c r="BN54" i="1" s="1"/>
  <c r="BL54" i="1"/>
  <c r="BK54" i="1"/>
  <c r="BI54" i="1"/>
  <c r="BH54" i="1"/>
  <c r="BG54" i="1"/>
  <c r="BJ54" i="1" s="1"/>
  <c r="BD54" i="1"/>
  <c r="BC54" i="1"/>
  <c r="AW54" i="1"/>
  <c r="BA54" i="1" s="1"/>
  <c r="AQ54" i="1"/>
  <c r="AL54" i="1"/>
  <c r="AJ54" i="1" s="1"/>
  <c r="AK54" i="1" s="1"/>
  <c r="AB54" i="1"/>
  <c r="AA54" i="1"/>
  <c r="V54" i="1"/>
  <c r="S54" i="1"/>
  <c r="L54" i="1"/>
  <c r="K54" i="1" s="1"/>
  <c r="CZ53" i="1"/>
  <c r="CY53" i="1"/>
  <c r="CW53" i="1"/>
  <c r="CX53" i="1" s="1"/>
  <c r="AY53" i="1" s="1"/>
  <c r="BL53" i="1"/>
  <c r="BK53" i="1"/>
  <c r="BG53" i="1"/>
  <c r="BJ53" i="1" s="1"/>
  <c r="BD53" i="1"/>
  <c r="BC53" i="1"/>
  <c r="BA53" i="1"/>
  <c r="AW53" i="1"/>
  <c r="AQ53" i="1"/>
  <c r="AL53" i="1"/>
  <c r="AJ53" i="1"/>
  <c r="AB53" i="1"/>
  <c r="AA53" i="1"/>
  <c r="Z53" i="1"/>
  <c r="S53" i="1"/>
  <c r="Q53" i="1"/>
  <c r="CZ52" i="1"/>
  <c r="CY52" i="1"/>
  <c r="CW52" i="1"/>
  <c r="BL52" i="1"/>
  <c r="BK52" i="1"/>
  <c r="BJ52" i="1"/>
  <c r="BI52" i="1"/>
  <c r="BM52" i="1" s="1"/>
  <c r="BN52" i="1" s="1"/>
  <c r="BG52" i="1"/>
  <c r="BH52" i="1" s="1"/>
  <c r="BC52" i="1"/>
  <c r="AW52" i="1"/>
  <c r="AQ52" i="1"/>
  <c r="BD52" i="1" s="1"/>
  <c r="AL52" i="1"/>
  <c r="AJ52" i="1"/>
  <c r="N52" i="1" s="1"/>
  <c r="AB52" i="1"/>
  <c r="AA52" i="1"/>
  <c r="Z52" i="1"/>
  <c r="S52" i="1"/>
  <c r="CZ51" i="1"/>
  <c r="CY51" i="1"/>
  <c r="CX51" i="1"/>
  <c r="AY51" i="1" s="1"/>
  <c r="CW51" i="1"/>
  <c r="BL51" i="1"/>
  <c r="BK51" i="1"/>
  <c r="BH51" i="1"/>
  <c r="BG51" i="1"/>
  <c r="BC51" i="1"/>
  <c r="AW51" i="1"/>
  <c r="AQ51" i="1"/>
  <c r="BD51" i="1" s="1"/>
  <c r="AL51" i="1"/>
  <c r="AK51" i="1"/>
  <c r="AJ51" i="1"/>
  <c r="L51" i="1" s="1"/>
  <c r="K51" i="1" s="1"/>
  <c r="AD51" i="1"/>
  <c r="AB51" i="1"/>
  <c r="AA51" i="1"/>
  <c r="Z51" i="1" s="1"/>
  <c r="V51" i="1"/>
  <c r="S51" i="1"/>
  <c r="Q51" i="1"/>
  <c r="N51" i="1"/>
  <c r="M51" i="1"/>
  <c r="AZ51" i="1" s="1"/>
  <c r="CZ50" i="1"/>
  <c r="CY50" i="1"/>
  <c r="CX50" i="1"/>
  <c r="AY50" i="1" s="1"/>
  <c r="CW50" i="1"/>
  <c r="BM50" i="1"/>
  <c r="BN50" i="1" s="1"/>
  <c r="BL50" i="1"/>
  <c r="BK50" i="1"/>
  <c r="BI50" i="1"/>
  <c r="BH50" i="1"/>
  <c r="BG50" i="1"/>
  <c r="BJ50" i="1" s="1"/>
  <c r="BD50" i="1"/>
  <c r="BC50" i="1"/>
  <c r="AW50" i="1"/>
  <c r="AQ50" i="1"/>
  <c r="AL50" i="1"/>
  <c r="AJ50" i="1" s="1"/>
  <c r="AK50" i="1" s="1"/>
  <c r="AB50" i="1"/>
  <c r="AA50" i="1"/>
  <c r="V50" i="1"/>
  <c r="S50" i="1"/>
  <c r="L50" i="1"/>
  <c r="K50" i="1" s="1"/>
  <c r="CZ49" i="1"/>
  <c r="CY49" i="1"/>
  <c r="CW49" i="1"/>
  <c r="BL49" i="1"/>
  <c r="BK49" i="1"/>
  <c r="BG49" i="1"/>
  <c r="BC49" i="1"/>
  <c r="AW49" i="1"/>
  <c r="AQ49" i="1"/>
  <c r="BD49" i="1" s="1"/>
  <c r="AL49" i="1"/>
  <c r="AJ49" i="1"/>
  <c r="AB49" i="1"/>
  <c r="AA49" i="1"/>
  <c r="Z49" i="1"/>
  <c r="S49" i="1"/>
  <c r="CZ48" i="1"/>
  <c r="CY48" i="1"/>
  <c r="CW48" i="1"/>
  <c r="CX48" i="1" s="1"/>
  <c r="AY48" i="1" s="1"/>
  <c r="BA48" i="1" s="1"/>
  <c r="BL48" i="1"/>
  <c r="BK48" i="1"/>
  <c r="BJ48" i="1"/>
  <c r="BI48" i="1"/>
  <c r="BM48" i="1" s="1"/>
  <c r="BN48" i="1" s="1"/>
  <c r="BG48" i="1"/>
  <c r="BH48" i="1" s="1"/>
  <c r="BC48" i="1"/>
  <c r="AW48" i="1"/>
  <c r="AQ48" i="1"/>
  <c r="BD48" i="1" s="1"/>
  <c r="AL48" i="1"/>
  <c r="AK48" i="1"/>
  <c r="AJ48" i="1"/>
  <c r="AB48" i="1"/>
  <c r="AA48" i="1"/>
  <c r="Z48" i="1"/>
  <c r="S48" i="1"/>
  <c r="CZ47" i="1"/>
  <c r="CY47" i="1"/>
  <c r="CW47" i="1"/>
  <c r="V47" i="1" s="1"/>
  <c r="BL47" i="1"/>
  <c r="BK47" i="1"/>
  <c r="BG47" i="1"/>
  <c r="BI47" i="1" s="1"/>
  <c r="BM47" i="1" s="1"/>
  <c r="BN47" i="1" s="1"/>
  <c r="BC47" i="1"/>
  <c r="AZ47" i="1"/>
  <c r="AW47" i="1"/>
  <c r="AQ47" i="1"/>
  <c r="BD47" i="1" s="1"/>
  <c r="AL47" i="1"/>
  <c r="AJ47" i="1" s="1"/>
  <c r="AB47" i="1"/>
  <c r="AA47" i="1"/>
  <c r="Z47" i="1" s="1"/>
  <c r="S47" i="1"/>
  <c r="Q47" i="1"/>
  <c r="N47" i="1"/>
  <c r="M47" i="1"/>
  <c r="CZ46" i="1"/>
  <c r="CY46" i="1"/>
  <c r="CX46" i="1"/>
  <c r="AY46" i="1" s="1"/>
  <c r="CW46" i="1"/>
  <c r="BM46" i="1"/>
  <c r="BN46" i="1" s="1"/>
  <c r="BL46" i="1"/>
  <c r="BK46" i="1"/>
  <c r="BI46" i="1"/>
  <c r="BH46" i="1"/>
  <c r="BG46" i="1"/>
  <c r="BJ46" i="1" s="1"/>
  <c r="BD46" i="1"/>
  <c r="BC46" i="1"/>
  <c r="AW46" i="1"/>
  <c r="AQ46" i="1"/>
  <c r="AL46" i="1"/>
  <c r="AJ46" i="1" s="1"/>
  <c r="AK46" i="1"/>
  <c r="AD46" i="1"/>
  <c r="AB46" i="1"/>
  <c r="AA46" i="1"/>
  <c r="Z46" i="1" s="1"/>
  <c r="W46" i="1"/>
  <c r="X46" i="1" s="1"/>
  <c r="V46" i="1"/>
  <c r="S46" i="1"/>
  <c r="N46" i="1"/>
  <c r="L46" i="1"/>
  <c r="K46" i="1"/>
  <c r="CZ45" i="1"/>
  <c r="CY45" i="1"/>
  <c r="CW45" i="1"/>
  <c r="BL45" i="1"/>
  <c r="BK45" i="1"/>
  <c r="BG45" i="1"/>
  <c r="BD45" i="1"/>
  <c r="BC45" i="1"/>
  <c r="AW45" i="1"/>
  <c r="AQ45" i="1"/>
  <c r="AL45" i="1"/>
  <c r="AJ45" i="1" s="1"/>
  <c r="AB45" i="1"/>
  <c r="Z45" i="1" s="1"/>
  <c r="AA45" i="1"/>
  <c r="S45" i="1"/>
  <c r="CZ44" i="1"/>
  <c r="CY44" i="1"/>
  <c r="CW44" i="1"/>
  <c r="BL44" i="1"/>
  <c r="BK44" i="1"/>
  <c r="BG44" i="1"/>
  <c r="BH44" i="1" s="1"/>
  <c r="BC44" i="1"/>
  <c r="AW44" i="1"/>
  <c r="AQ44" i="1"/>
  <c r="BD44" i="1" s="1"/>
  <c r="AL44" i="1"/>
  <c r="AK44" i="1"/>
  <c r="AJ44" i="1"/>
  <c r="M44" i="1" s="1"/>
  <c r="AZ44" i="1" s="1"/>
  <c r="AB44" i="1"/>
  <c r="AA44" i="1"/>
  <c r="Z44" i="1"/>
  <c r="S44" i="1"/>
  <c r="CZ43" i="1"/>
  <c r="V43" i="1" s="1"/>
  <c r="CY43" i="1"/>
  <c r="CW43" i="1"/>
  <c r="CX43" i="1" s="1"/>
  <c r="AY43" i="1" s="1"/>
  <c r="BA43" i="1" s="1"/>
  <c r="BL43" i="1"/>
  <c r="BK43" i="1"/>
  <c r="BJ43" i="1"/>
  <c r="BI43" i="1"/>
  <c r="BM43" i="1" s="1"/>
  <c r="BN43" i="1" s="1"/>
  <c r="BH43" i="1"/>
  <c r="BG43" i="1"/>
  <c r="BC43" i="1"/>
  <c r="AW43" i="1"/>
  <c r="AQ43" i="1"/>
  <c r="BD43" i="1" s="1"/>
  <c r="AL43" i="1"/>
  <c r="AJ43" i="1" s="1"/>
  <c r="L43" i="1" s="1"/>
  <c r="AB43" i="1"/>
  <c r="AA43" i="1"/>
  <c r="Z43" i="1" s="1"/>
  <c r="S43" i="1"/>
  <c r="Q43" i="1"/>
  <c r="N43" i="1"/>
  <c r="M43" i="1"/>
  <c r="AZ43" i="1" s="1"/>
  <c r="BB43" i="1" s="1"/>
  <c r="K43" i="1"/>
  <c r="AD43" i="1" s="1"/>
  <c r="CZ42" i="1"/>
  <c r="CY42" i="1"/>
  <c r="CX42" i="1"/>
  <c r="AY42" i="1" s="1"/>
  <c r="CW42" i="1"/>
  <c r="BL42" i="1"/>
  <c r="BK42" i="1"/>
  <c r="BI42" i="1"/>
  <c r="BM42" i="1" s="1"/>
  <c r="BN42" i="1" s="1"/>
  <c r="BH42" i="1"/>
  <c r="BG42" i="1"/>
  <c r="BJ42" i="1" s="1"/>
  <c r="BC42" i="1"/>
  <c r="AW42" i="1"/>
  <c r="BA42" i="1" s="1"/>
  <c r="AQ42" i="1"/>
  <c r="BD42" i="1" s="1"/>
  <c r="AL42" i="1"/>
  <c r="AJ42" i="1"/>
  <c r="L42" i="1" s="1"/>
  <c r="K42" i="1" s="1"/>
  <c r="AD42" i="1"/>
  <c r="AB42" i="1"/>
  <c r="AA42" i="1"/>
  <c r="Z42" i="1"/>
  <c r="V42" i="1"/>
  <c r="S42" i="1"/>
  <c r="N42" i="1"/>
  <c r="CZ41" i="1"/>
  <c r="CY41" i="1"/>
  <c r="CW41" i="1"/>
  <c r="CX41" i="1" s="1"/>
  <c r="AY41" i="1" s="1"/>
  <c r="BA41" i="1" s="1"/>
  <c r="BL41" i="1"/>
  <c r="BK41" i="1"/>
  <c r="BJ41" i="1"/>
  <c r="BI41" i="1"/>
  <c r="BM41" i="1" s="1"/>
  <c r="BN41" i="1" s="1"/>
  <c r="BG41" i="1"/>
  <c r="BH41" i="1" s="1"/>
  <c r="BD41" i="1"/>
  <c r="BC41" i="1"/>
  <c r="AW41" i="1"/>
  <c r="AQ41" i="1"/>
  <c r="AL41" i="1"/>
  <c r="AJ41" i="1" s="1"/>
  <c r="AB41" i="1"/>
  <c r="AA41" i="1"/>
  <c r="S41" i="1"/>
  <c r="CZ40" i="1"/>
  <c r="CY40" i="1"/>
  <c r="CX40" i="1"/>
  <c r="AY40" i="1" s="1"/>
  <c r="CW40" i="1"/>
  <c r="BL40" i="1"/>
  <c r="BK40" i="1"/>
  <c r="BH40" i="1"/>
  <c r="BG40" i="1"/>
  <c r="BJ40" i="1" s="1"/>
  <c r="BC40" i="1"/>
  <c r="AW40" i="1"/>
  <c r="BA40" i="1" s="1"/>
  <c r="AQ40" i="1"/>
  <c r="BD40" i="1" s="1"/>
  <c r="AL40" i="1"/>
  <c r="AJ40" i="1"/>
  <c r="AB40" i="1"/>
  <c r="AA40" i="1"/>
  <c r="Z40" i="1"/>
  <c r="V40" i="1"/>
  <c r="S40" i="1"/>
  <c r="CZ39" i="1"/>
  <c r="CY39" i="1"/>
  <c r="CW39" i="1"/>
  <c r="CX39" i="1" s="1"/>
  <c r="AY39" i="1" s="1"/>
  <c r="BA39" i="1" s="1"/>
  <c r="BL39" i="1"/>
  <c r="BK39" i="1"/>
  <c r="BJ39" i="1"/>
  <c r="BG39" i="1"/>
  <c r="BH39" i="1" s="1"/>
  <c r="BD39" i="1"/>
  <c r="BC39" i="1"/>
  <c r="AW39" i="1"/>
  <c r="AQ39" i="1"/>
  <c r="AL39" i="1"/>
  <c r="AJ39" i="1" s="1"/>
  <c r="AB39" i="1"/>
  <c r="AA39" i="1"/>
  <c r="Z39" i="1" s="1"/>
  <c r="S39" i="1"/>
  <c r="CZ38" i="1"/>
  <c r="CY38" i="1"/>
  <c r="CX38" i="1"/>
  <c r="AY38" i="1" s="1"/>
  <c r="CW38" i="1"/>
  <c r="BL38" i="1"/>
  <c r="BK38" i="1"/>
  <c r="BI38" i="1"/>
  <c r="BM38" i="1" s="1"/>
  <c r="BN38" i="1" s="1"/>
  <c r="BH38" i="1"/>
  <c r="BG38" i="1"/>
  <c r="BJ38" i="1" s="1"/>
  <c r="BC38" i="1"/>
  <c r="AW38" i="1"/>
  <c r="BA38" i="1" s="1"/>
  <c r="AQ38" i="1"/>
  <c r="BD38" i="1" s="1"/>
  <c r="AL38" i="1"/>
  <c r="AJ38" i="1"/>
  <c r="L38" i="1" s="1"/>
  <c r="K38" i="1" s="1"/>
  <c r="AD38" i="1" s="1"/>
  <c r="AB38" i="1"/>
  <c r="AA38" i="1"/>
  <c r="Z38" i="1"/>
  <c r="V38" i="1"/>
  <c r="S38" i="1"/>
  <c r="N38" i="1"/>
  <c r="CZ37" i="1"/>
  <c r="CY37" i="1"/>
  <c r="CW37" i="1"/>
  <c r="CX37" i="1" s="1"/>
  <c r="AY37" i="1" s="1"/>
  <c r="BA37" i="1" s="1"/>
  <c r="BN37" i="1"/>
  <c r="BL37" i="1"/>
  <c r="BK37" i="1"/>
  <c r="BJ37" i="1"/>
  <c r="BI37" i="1"/>
  <c r="BM37" i="1" s="1"/>
  <c r="BG37" i="1"/>
  <c r="BH37" i="1" s="1"/>
  <c r="BD37" i="1"/>
  <c r="BC37" i="1"/>
  <c r="AW37" i="1"/>
  <c r="AQ37" i="1"/>
  <c r="AL37" i="1"/>
  <c r="AJ37" i="1" s="1"/>
  <c r="AB37" i="1"/>
  <c r="AA37" i="1"/>
  <c r="S37" i="1"/>
  <c r="CZ36" i="1"/>
  <c r="CY36" i="1"/>
  <c r="CX36" i="1"/>
  <c r="AY36" i="1" s="1"/>
  <c r="CW36" i="1"/>
  <c r="BL36" i="1"/>
  <c r="BK36" i="1"/>
  <c r="BH36" i="1"/>
  <c r="BG36" i="1"/>
  <c r="BJ36" i="1" s="1"/>
  <c r="BC36" i="1"/>
  <c r="AW36" i="1"/>
  <c r="BA36" i="1" s="1"/>
  <c r="AQ36" i="1"/>
  <c r="BD36" i="1" s="1"/>
  <c r="AL36" i="1"/>
  <c r="AJ36" i="1"/>
  <c r="AB36" i="1"/>
  <c r="AA36" i="1"/>
  <c r="Z36" i="1"/>
  <c r="V36" i="1"/>
  <c r="S36" i="1"/>
  <c r="CZ35" i="1"/>
  <c r="CY35" i="1"/>
  <c r="CW35" i="1"/>
  <c r="CX35" i="1" s="1"/>
  <c r="AY35" i="1" s="1"/>
  <c r="BA35" i="1" s="1"/>
  <c r="BL35" i="1"/>
  <c r="BK35" i="1"/>
  <c r="BJ35" i="1"/>
  <c r="BG35" i="1"/>
  <c r="BH35" i="1" s="1"/>
  <c r="BD35" i="1"/>
  <c r="BC35" i="1"/>
  <c r="AW35" i="1"/>
  <c r="AQ35" i="1"/>
  <c r="AL35" i="1"/>
  <c r="AJ35" i="1" s="1"/>
  <c r="AB35" i="1"/>
  <c r="AA35" i="1"/>
  <c r="S35" i="1"/>
  <c r="L35" i="1"/>
  <c r="K35" i="1" s="1"/>
  <c r="CZ34" i="1"/>
  <c r="CY34" i="1"/>
  <c r="CX34" i="1"/>
  <c r="AY34" i="1" s="1"/>
  <c r="CW34" i="1"/>
  <c r="BL34" i="1"/>
  <c r="BK34" i="1"/>
  <c r="BI34" i="1"/>
  <c r="BM34" i="1" s="1"/>
  <c r="BN34" i="1" s="1"/>
  <c r="BH34" i="1"/>
  <c r="BG34" i="1"/>
  <c r="BJ34" i="1" s="1"/>
  <c r="BC34" i="1"/>
  <c r="BA34" i="1"/>
  <c r="AW34" i="1"/>
  <c r="AQ34" i="1"/>
  <c r="BD34" i="1" s="1"/>
  <c r="AL34" i="1"/>
  <c r="AJ34" i="1"/>
  <c r="AB34" i="1"/>
  <c r="AA34" i="1"/>
  <c r="Z34" i="1"/>
  <c r="V34" i="1"/>
  <c r="S34" i="1"/>
  <c r="Q34" i="1"/>
  <c r="N34" i="1"/>
  <c r="CZ33" i="1"/>
  <c r="CY33" i="1"/>
  <c r="CW33" i="1"/>
  <c r="BL33" i="1"/>
  <c r="BK33" i="1"/>
  <c r="BJ33" i="1"/>
  <c r="BI33" i="1"/>
  <c r="BM33" i="1" s="1"/>
  <c r="BN33" i="1" s="1"/>
  <c r="BG33" i="1"/>
  <c r="BH33" i="1" s="1"/>
  <c r="BD33" i="1"/>
  <c r="BC33" i="1"/>
  <c r="AW33" i="1"/>
  <c r="AQ33" i="1"/>
  <c r="AL33" i="1"/>
  <c r="AJ33" i="1" s="1"/>
  <c r="Q33" i="1" s="1"/>
  <c r="AB33" i="1"/>
  <c r="AA33" i="1"/>
  <c r="S33" i="1"/>
  <c r="CZ32" i="1"/>
  <c r="CY32" i="1"/>
  <c r="CX32" i="1" s="1"/>
  <c r="AY32" i="1" s="1"/>
  <c r="CW32" i="1"/>
  <c r="BL32" i="1"/>
  <c r="BK32" i="1"/>
  <c r="BG32" i="1"/>
  <c r="BJ32" i="1" s="1"/>
  <c r="BC32" i="1"/>
  <c r="AW32" i="1"/>
  <c r="AQ32" i="1"/>
  <c r="BD32" i="1" s="1"/>
  <c r="AL32" i="1"/>
  <c r="AJ32" i="1"/>
  <c r="AB32" i="1"/>
  <c r="AA32" i="1"/>
  <c r="Z32" i="1"/>
  <c r="V32" i="1"/>
  <c r="S32" i="1"/>
  <c r="CZ31" i="1"/>
  <c r="CY31" i="1"/>
  <c r="CW31" i="1"/>
  <c r="BL31" i="1"/>
  <c r="BK31" i="1"/>
  <c r="BG31" i="1"/>
  <c r="BC31" i="1"/>
  <c r="AW31" i="1"/>
  <c r="AQ31" i="1"/>
  <c r="BD31" i="1" s="1"/>
  <c r="AL31" i="1"/>
  <c r="AJ31" i="1" s="1"/>
  <c r="N31" i="1" s="1"/>
  <c r="AK31" i="1"/>
  <c r="AB31" i="1"/>
  <c r="AA31" i="1"/>
  <c r="S31" i="1"/>
  <c r="Q31" i="1"/>
  <c r="CZ30" i="1"/>
  <c r="CY30" i="1"/>
  <c r="CX30" i="1"/>
  <c r="AY30" i="1" s="1"/>
  <c r="BA30" i="1" s="1"/>
  <c r="CW30" i="1"/>
  <c r="BM30" i="1"/>
  <c r="BN30" i="1" s="1"/>
  <c r="BL30" i="1"/>
  <c r="BK30" i="1"/>
  <c r="BI30" i="1"/>
  <c r="BH30" i="1"/>
  <c r="BG30" i="1"/>
  <c r="BJ30" i="1" s="1"/>
  <c r="BC30" i="1"/>
  <c r="AW30" i="1"/>
  <c r="AQ30" i="1"/>
  <c r="BD30" i="1" s="1"/>
  <c r="AL30" i="1"/>
  <c r="AJ30" i="1"/>
  <c r="L30" i="1" s="1"/>
  <c r="AB30" i="1"/>
  <c r="AA30" i="1"/>
  <c r="Z30" i="1" s="1"/>
  <c r="W30" i="1"/>
  <c r="X30" i="1" s="1"/>
  <c r="AF30" i="1" s="1"/>
  <c r="V30" i="1"/>
  <c r="S30" i="1"/>
  <c r="Q30" i="1"/>
  <c r="N30" i="1"/>
  <c r="M30" i="1"/>
  <c r="AZ30" i="1" s="1"/>
  <c r="BB30" i="1" s="1"/>
  <c r="K30" i="1"/>
  <c r="CZ29" i="1"/>
  <c r="CY29" i="1"/>
  <c r="CW29" i="1"/>
  <c r="CX29" i="1" s="1"/>
  <c r="AY29" i="1" s="1"/>
  <c r="BA29" i="1" s="1"/>
  <c r="BL29" i="1"/>
  <c r="BK29" i="1"/>
  <c r="BG29" i="1"/>
  <c r="BJ29" i="1" s="1"/>
  <c r="BC29" i="1"/>
  <c r="AW29" i="1"/>
  <c r="AQ29" i="1"/>
  <c r="BD29" i="1" s="1"/>
  <c r="AL29" i="1"/>
  <c r="AJ29" i="1" s="1"/>
  <c r="L29" i="1" s="1"/>
  <c r="K29" i="1" s="1"/>
  <c r="AB29" i="1"/>
  <c r="AA29" i="1"/>
  <c r="Z29" i="1" s="1"/>
  <c r="V29" i="1"/>
  <c r="S29" i="1"/>
  <c r="Q29" i="1"/>
  <c r="N29" i="1"/>
  <c r="M29" i="1"/>
  <c r="AZ29" i="1" s="1"/>
  <c r="CZ28" i="1"/>
  <c r="CY28" i="1"/>
  <c r="CW28" i="1"/>
  <c r="CX28" i="1" s="1"/>
  <c r="AY28" i="1" s="1"/>
  <c r="BA28" i="1" s="1"/>
  <c r="BL28" i="1"/>
  <c r="BK28" i="1"/>
  <c r="BJ28" i="1"/>
  <c r="BI28" i="1"/>
  <c r="BM28" i="1" s="1"/>
  <c r="BN28" i="1" s="1"/>
  <c r="BG28" i="1"/>
  <c r="BH28" i="1" s="1"/>
  <c r="BD28" i="1"/>
  <c r="BC28" i="1"/>
  <c r="AW28" i="1"/>
  <c r="AQ28" i="1"/>
  <c r="AL28" i="1"/>
  <c r="AJ28" i="1" s="1"/>
  <c r="AB28" i="1"/>
  <c r="AA28" i="1"/>
  <c r="Z28" i="1" s="1"/>
  <c r="S28" i="1"/>
  <c r="CZ27" i="1"/>
  <c r="CY27" i="1"/>
  <c r="CW27" i="1"/>
  <c r="CX27" i="1" s="1"/>
  <c r="AY27" i="1" s="1"/>
  <c r="BA27" i="1" s="1"/>
  <c r="BL27" i="1"/>
  <c r="BK27" i="1"/>
  <c r="BG27" i="1"/>
  <c r="BJ27" i="1" s="1"/>
  <c r="BC27" i="1"/>
  <c r="AW27" i="1"/>
  <c r="AQ27" i="1"/>
  <c r="BD27" i="1" s="1"/>
  <c r="AL27" i="1"/>
  <c r="AJ27" i="1"/>
  <c r="N27" i="1" s="1"/>
  <c r="AB27" i="1"/>
  <c r="AA27" i="1"/>
  <c r="Z27" i="1"/>
  <c r="S27" i="1"/>
  <c r="CZ26" i="1"/>
  <c r="CY26" i="1"/>
  <c r="CW26" i="1"/>
  <c r="CX26" i="1" s="1"/>
  <c r="AY26" i="1" s="1"/>
  <c r="BA26" i="1" s="1"/>
  <c r="BL26" i="1"/>
  <c r="BK26" i="1"/>
  <c r="BJ26" i="1"/>
  <c r="BI26" i="1"/>
  <c r="BM26" i="1" s="1"/>
  <c r="BN26" i="1" s="1"/>
  <c r="BG26" i="1"/>
  <c r="BH26" i="1" s="1"/>
  <c r="BC26" i="1"/>
  <c r="AW26" i="1"/>
  <c r="AQ26" i="1"/>
  <c r="BD26" i="1" s="1"/>
  <c r="AL26" i="1"/>
  <c r="AJ26" i="1" s="1"/>
  <c r="AB26" i="1"/>
  <c r="AA26" i="1"/>
  <c r="Z26" i="1" s="1"/>
  <c r="S26" i="1"/>
  <c r="CZ25" i="1"/>
  <c r="CY25" i="1"/>
  <c r="CX25" i="1"/>
  <c r="AY25" i="1" s="1"/>
  <c r="CW25" i="1"/>
  <c r="BL25" i="1"/>
  <c r="BK25" i="1"/>
  <c r="BH25" i="1"/>
  <c r="BG25" i="1"/>
  <c r="BJ25" i="1" s="1"/>
  <c r="BC25" i="1"/>
  <c r="AW25" i="1"/>
  <c r="AQ25" i="1"/>
  <c r="BD25" i="1" s="1"/>
  <c r="AL25" i="1"/>
  <c r="AJ25" i="1"/>
  <c r="L25" i="1" s="1"/>
  <c r="K25" i="1" s="1"/>
  <c r="AB25" i="1"/>
  <c r="AA25" i="1"/>
  <c r="Z25" i="1" s="1"/>
  <c r="V25" i="1"/>
  <c r="S25" i="1"/>
  <c r="Q25" i="1"/>
  <c r="N25" i="1"/>
  <c r="M25" i="1"/>
  <c r="AZ25" i="1" s="1"/>
  <c r="BB25" i="1" s="1"/>
  <c r="CZ24" i="1"/>
  <c r="CY24" i="1"/>
  <c r="CW24" i="1"/>
  <c r="CX24" i="1" s="1"/>
  <c r="AY24" i="1" s="1"/>
  <c r="BA24" i="1" s="1"/>
  <c r="BL24" i="1"/>
  <c r="BK24" i="1"/>
  <c r="BJ24" i="1"/>
  <c r="BI24" i="1"/>
  <c r="BM24" i="1" s="1"/>
  <c r="BN24" i="1" s="1"/>
  <c r="BG24" i="1"/>
  <c r="BH24" i="1" s="1"/>
  <c r="BD24" i="1"/>
  <c r="BC24" i="1"/>
  <c r="AW24" i="1"/>
  <c r="AQ24" i="1"/>
  <c r="AL24" i="1"/>
  <c r="AJ24" i="1" s="1"/>
  <c r="AB24" i="1"/>
  <c r="AA24" i="1"/>
  <c r="Z24" i="1" s="1"/>
  <c r="S24" i="1"/>
  <c r="CZ23" i="1"/>
  <c r="CY23" i="1"/>
  <c r="CW23" i="1"/>
  <c r="CX23" i="1" s="1"/>
  <c r="AY23" i="1" s="1"/>
  <c r="BA23" i="1" s="1"/>
  <c r="BL23" i="1"/>
  <c r="BK23" i="1"/>
  <c r="BG23" i="1"/>
  <c r="BJ23" i="1" s="1"/>
  <c r="BC23" i="1"/>
  <c r="AW23" i="1"/>
  <c r="AQ23" i="1"/>
  <c r="BD23" i="1" s="1"/>
  <c r="AL23" i="1"/>
  <c r="AJ23" i="1"/>
  <c r="N23" i="1" s="1"/>
  <c r="AB23" i="1"/>
  <c r="AA23" i="1"/>
  <c r="Z23" i="1"/>
  <c r="S23" i="1"/>
  <c r="CZ22" i="1"/>
  <c r="CY22" i="1"/>
  <c r="CW22" i="1"/>
  <c r="CX22" i="1" s="1"/>
  <c r="AY22" i="1" s="1"/>
  <c r="BA22" i="1" s="1"/>
  <c r="BL22" i="1"/>
  <c r="BK22" i="1"/>
  <c r="BJ22" i="1"/>
  <c r="BI22" i="1"/>
  <c r="BM22" i="1" s="1"/>
  <c r="BN22" i="1" s="1"/>
  <c r="BG22" i="1"/>
  <c r="BH22" i="1" s="1"/>
  <c r="BC22" i="1"/>
  <c r="AW22" i="1"/>
  <c r="AQ22" i="1"/>
  <c r="BD22" i="1" s="1"/>
  <c r="AL22" i="1"/>
  <c r="AJ22" i="1" s="1"/>
  <c r="AB22" i="1"/>
  <c r="AA22" i="1"/>
  <c r="Z22" i="1" s="1"/>
  <c r="S22" i="1"/>
  <c r="CZ21" i="1"/>
  <c r="CY21" i="1"/>
  <c r="CX21" i="1"/>
  <c r="AY21" i="1" s="1"/>
  <c r="CW21" i="1"/>
  <c r="BL21" i="1"/>
  <c r="BK21" i="1"/>
  <c r="BH21" i="1"/>
  <c r="BG21" i="1"/>
  <c r="BJ21" i="1" s="1"/>
  <c r="BC21" i="1"/>
  <c r="AW21" i="1"/>
  <c r="BA21" i="1" s="1"/>
  <c r="AQ21" i="1"/>
  <c r="BD21" i="1" s="1"/>
  <c r="AL21" i="1"/>
  <c r="AK21" i="1"/>
  <c r="AJ21" i="1"/>
  <c r="L21" i="1" s="1"/>
  <c r="K21" i="1" s="1"/>
  <c r="AB21" i="1"/>
  <c r="AA21" i="1"/>
  <c r="Z21" i="1" s="1"/>
  <c r="V21" i="1"/>
  <c r="S21" i="1"/>
  <c r="Q21" i="1"/>
  <c r="N21" i="1"/>
  <c r="M21" i="1"/>
  <c r="AZ21" i="1" s="1"/>
  <c r="BB21" i="1" s="1"/>
  <c r="CZ20" i="1"/>
  <c r="CY20" i="1"/>
  <c r="CW20" i="1"/>
  <c r="CX20" i="1" s="1"/>
  <c r="AY20" i="1" s="1"/>
  <c r="BA20" i="1" s="1"/>
  <c r="BN20" i="1"/>
  <c r="BM20" i="1"/>
  <c r="BL20" i="1"/>
  <c r="BK20" i="1"/>
  <c r="BJ20" i="1"/>
  <c r="BI20" i="1"/>
  <c r="BG20" i="1"/>
  <c r="BH20" i="1" s="1"/>
  <c r="BD20" i="1"/>
  <c r="BC20" i="1"/>
  <c r="AW20" i="1"/>
  <c r="AQ20" i="1"/>
  <c r="AL20" i="1"/>
  <c r="AJ20" i="1" s="1"/>
  <c r="AB20" i="1"/>
  <c r="AA20" i="1"/>
  <c r="Z20" i="1" s="1"/>
  <c r="S20" i="1"/>
  <c r="CZ19" i="1"/>
  <c r="CY19" i="1"/>
  <c r="CW19" i="1"/>
  <c r="CX19" i="1" s="1"/>
  <c r="AY19" i="1" s="1"/>
  <c r="BA19" i="1" s="1"/>
  <c r="BL19" i="1"/>
  <c r="BK19" i="1"/>
  <c r="BG19" i="1"/>
  <c r="BJ19" i="1" s="1"/>
  <c r="BC19" i="1"/>
  <c r="AW19" i="1"/>
  <c r="AQ19" i="1"/>
  <c r="BD19" i="1" s="1"/>
  <c r="AL19" i="1"/>
  <c r="AJ19" i="1"/>
  <c r="N19" i="1" s="1"/>
  <c r="AB19" i="1"/>
  <c r="AA19" i="1"/>
  <c r="Z19" i="1"/>
  <c r="S19" i="1"/>
  <c r="CZ18" i="1"/>
  <c r="CY18" i="1"/>
  <c r="CW18" i="1"/>
  <c r="CX18" i="1" s="1"/>
  <c r="AY18" i="1" s="1"/>
  <c r="BA18" i="1" s="1"/>
  <c r="BL18" i="1"/>
  <c r="BK18" i="1"/>
  <c r="BJ18" i="1"/>
  <c r="BI18" i="1"/>
  <c r="BM18" i="1" s="1"/>
  <c r="BN18" i="1" s="1"/>
  <c r="BG18" i="1"/>
  <c r="BH18" i="1" s="1"/>
  <c r="BC18" i="1"/>
  <c r="AW18" i="1"/>
  <c r="AQ18" i="1"/>
  <c r="BD18" i="1" s="1"/>
  <c r="AL18" i="1"/>
  <c r="AJ18" i="1" s="1"/>
  <c r="AB18" i="1"/>
  <c r="AA18" i="1"/>
  <c r="Z18" i="1" s="1"/>
  <c r="S18" i="1"/>
  <c r="CZ17" i="1"/>
  <c r="CY17" i="1"/>
  <c r="CX17" i="1"/>
  <c r="AY17" i="1" s="1"/>
  <c r="CW17" i="1"/>
  <c r="BL17" i="1"/>
  <c r="BK17" i="1"/>
  <c r="BH17" i="1"/>
  <c r="BG17" i="1"/>
  <c r="BJ17" i="1" s="1"/>
  <c r="BC17" i="1"/>
  <c r="AW17" i="1"/>
  <c r="BA17" i="1" s="1"/>
  <c r="AQ17" i="1"/>
  <c r="BD17" i="1" s="1"/>
  <c r="AL17" i="1"/>
  <c r="AK17" i="1"/>
  <c r="AJ17" i="1"/>
  <c r="L17" i="1" s="1"/>
  <c r="K17" i="1" s="1"/>
  <c r="AB17" i="1"/>
  <c r="AA17" i="1"/>
  <c r="Z17" i="1" s="1"/>
  <c r="V17" i="1"/>
  <c r="S17" i="1"/>
  <c r="Q17" i="1"/>
  <c r="N17" i="1"/>
  <c r="M17" i="1"/>
  <c r="AZ17" i="1" s="1"/>
  <c r="BB17" i="1" s="1"/>
  <c r="AD21" i="1" l="1"/>
  <c r="Q24" i="1"/>
  <c r="L24" i="1"/>
  <c r="K24" i="1" s="1"/>
  <c r="N24" i="1"/>
  <c r="M24" i="1"/>
  <c r="AZ24" i="1" s="1"/>
  <c r="BB24" i="1" s="1"/>
  <c r="AK24" i="1"/>
  <c r="N22" i="1"/>
  <c r="M22" i="1"/>
  <c r="AZ22" i="1" s="1"/>
  <c r="BB22" i="1" s="1"/>
  <c r="L22" i="1"/>
  <c r="K22" i="1" s="1"/>
  <c r="AK22" i="1"/>
  <c r="Q22" i="1"/>
  <c r="Q28" i="1"/>
  <c r="L28" i="1"/>
  <c r="K28" i="1" s="1"/>
  <c r="N28" i="1"/>
  <c r="M28" i="1"/>
  <c r="AZ28" i="1" s="1"/>
  <c r="BB28" i="1" s="1"/>
  <c r="AK28" i="1"/>
  <c r="Q20" i="1"/>
  <c r="L20" i="1"/>
  <c r="K20" i="1" s="1"/>
  <c r="N20" i="1"/>
  <c r="M20" i="1"/>
  <c r="AZ20" i="1" s="1"/>
  <c r="BB20" i="1" s="1"/>
  <c r="AK20" i="1"/>
  <c r="AD17" i="1"/>
  <c r="AD25" i="1"/>
  <c r="N26" i="1"/>
  <c r="M26" i="1"/>
  <c r="AZ26" i="1" s="1"/>
  <c r="BB26" i="1" s="1"/>
  <c r="L26" i="1"/>
  <c r="K26" i="1" s="1"/>
  <c r="AK26" i="1"/>
  <c r="Q26" i="1"/>
  <c r="N18" i="1"/>
  <c r="M18" i="1"/>
  <c r="AZ18" i="1" s="1"/>
  <c r="BB18" i="1" s="1"/>
  <c r="L18" i="1"/>
  <c r="K18" i="1" s="1"/>
  <c r="AK18" i="1"/>
  <c r="Q18" i="1"/>
  <c r="AD35" i="1"/>
  <c r="AD29" i="1"/>
  <c r="W29" i="1"/>
  <c r="X29" i="1" s="1"/>
  <c r="BA25" i="1"/>
  <c r="BB29" i="1"/>
  <c r="Q19" i="1"/>
  <c r="Q23" i="1"/>
  <c r="Q27" i="1"/>
  <c r="T30" i="1"/>
  <c r="R30" i="1" s="1"/>
  <c r="U30" i="1" s="1"/>
  <c r="O30" i="1" s="1"/>
  <c r="P30" i="1" s="1"/>
  <c r="AE30" i="1"/>
  <c r="BA32" i="1"/>
  <c r="Z33" i="1"/>
  <c r="Z35" i="1"/>
  <c r="AE38" i="1"/>
  <c r="Q41" i="1"/>
  <c r="N41" i="1"/>
  <c r="M41" i="1"/>
  <c r="AZ41" i="1" s="1"/>
  <c r="BB41" i="1" s="1"/>
  <c r="AK41" i="1"/>
  <c r="W42" i="1"/>
  <c r="X42" i="1" s="1"/>
  <c r="N45" i="1"/>
  <c r="Q45" i="1"/>
  <c r="L45" i="1"/>
  <c r="K45" i="1" s="1"/>
  <c r="Y46" i="1"/>
  <c r="AC46" i="1" s="1"/>
  <c r="AF46" i="1"/>
  <c r="AE46" i="1"/>
  <c r="Q37" i="1"/>
  <c r="N37" i="1"/>
  <c r="M37" i="1"/>
  <c r="AZ37" i="1" s="1"/>
  <c r="BB37" i="1" s="1"/>
  <c r="AK37" i="1"/>
  <c r="W17" i="1"/>
  <c r="X17" i="1" s="1"/>
  <c r="T17" i="1" s="1"/>
  <c r="R17" i="1" s="1"/>
  <c r="U17" i="1" s="1"/>
  <c r="O17" i="1" s="1"/>
  <c r="P17" i="1" s="1"/>
  <c r="BI17" i="1"/>
  <c r="BM17" i="1" s="1"/>
  <c r="BN17" i="1" s="1"/>
  <c r="AK19" i="1"/>
  <c r="W21" i="1"/>
  <c r="X21" i="1" s="1"/>
  <c r="BI21" i="1"/>
  <c r="BM21" i="1" s="1"/>
  <c r="BN21" i="1" s="1"/>
  <c r="AK23" i="1"/>
  <c r="W25" i="1"/>
  <c r="X25" i="1" s="1"/>
  <c r="BI25" i="1"/>
  <c r="BM25" i="1" s="1"/>
  <c r="BN25" i="1" s="1"/>
  <c r="AK27" i="1"/>
  <c r="Y30" i="1"/>
  <c r="AC30" i="1" s="1"/>
  <c r="CX31" i="1"/>
  <c r="AY31" i="1" s="1"/>
  <c r="BA31" i="1" s="1"/>
  <c r="V31" i="1"/>
  <c r="L34" i="1"/>
  <c r="K34" i="1" s="1"/>
  <c r="AK34" i="1"/>
  <c r="M34" i="1"/>
  <c r="AZ34" i="1" s="1"/>
  <c r="BB34" i="1" s="1"/>
  <c r="W36" i="1"/>
  <c r="X36" i="1" s="1"/>
  <c r="N39" i="1"/>
  <c r="M39" i="1"/>
  <c r="AZ39" i="1" s="1"/>
  <c r="BB39" i="1" s="1"/>
  <c r="L39" i="1"/>
  <c r="K39" i="1" s="1"/>
  <c r="AK39" i="1"/>
  <c r="Q39" i="1"/>
  <c r="M45" i="1"/>
  <c r="AZ45" i="1" s="1"/>
  <c r="AD50" i="1"/>
  <c r="W51" i="1"/>
  <c r="X51" i="1" s="1"/>
  <c r="W38" i="1"/>
  <c r="X38" i="1" s="1"/>
  <c r="L19" i="1"/>
  <c r="K19" i="1" s="1"/>
  <c r="V20" i="1"/>
  <c r="L23" i="1"/>
  <c r="K23" i="1" s="1"/>
  <c r="V24" i="1"/>
  <c r="L27" i="1"/>
  <c r="K27" i="1" s="1"/>
  <c r="V28" i="1"/>
  <c r="AK29" i="1"/>
  <c r="AK30" i="1"/>
  <c r="CX33" i="1"/>
  <c r="AY33" i="1" s="1"/>
  <c r="BA33" i="1" s="1"/>
  <c r="N35" i="1"/>
  <c r="M35" i="1"/>
  <c r="AZ35" i="1" s="1"/>
  <c r="BB35" i="1" s="1"/>
  <c r="AK35" i="1"/>
  <c r="Q35" i="1"/>
  <c r="L41" i="1"/>
  <c r="K41" i="1" s="1"/>
  <c r="T46" i="1"/>
  <c r="R46" i="1" s="1"/>
  <c r="U46" i="1" s="1"/>
  <c r="M19" i="1"/>
  <c r="AZ19" i="1" s="1"/>
  <c r="BB19" i="1" s="1"/>
  <c r="M23" i="1"/>
  <c r="AZ23" i="1" s="1"/>
  <c r="BB23" i="1" s="1"/>
  <c r="M27" i="1"/>
  <c r="AZ27" i="1" s="1"/>
  <c r="BB27" i="1" s="1"/>
  <c r="BH31" i="1"/>
  <c r="BI31" i="1"/>
  <c r="BM31" i="1" s="1"/>
  <c r="BN31" i="1" s="1"/>
  <c r="L32" i="1"/>
  <c r="K32" i="1" s="1"/>
  <c r="Q32" i="1"/>
  <c r="L37" i="1"/>
  <c r="K37" i="1" s="1"/>
  <c r="BJ49" i="1"/>
  <c r="BI49" i="1"/>
  <c r="BM49" i="1" s="1"/>
  <c r="BN49" i="1" s="1"/>
  <c r="BH49" i="1"/>
  <c r="L63" i="1"/>
  <c r="K63" i="1" s="1"/>
  <c r="Q63" i="1"/>
  <c r="AK63" i="1"/>
  <c r="M63" i="1"/>
  <c r="AZ63" i="1" s="1"/>
  <c r="BB63" i="1" s="1"/>
  <c r="N63" i="1"/>
  <c r="V19" i="1"/>
  <c r="BH19" i="1"/>
  <c r="V23" i="1"/>
  <c r="BH23" i="1"/>
  <c r="V27" i="1"/>
  <c r="BH27" i="1"/>
  <c r="BH29" i="1"/>
  <c r="BJ31" i="1"/>
  <c r="W32" i="1"/>
  <c r="X32" i="1" s="1"/>
  <c r="AE32" i="1" s="1"/>
  <c r="AK32" i="1"/>
  <c r="BH32" i="1"/>
  <c r="N33" i="1"/>
  <c r="AK33" i="1"/>
  <c r="N40" i="1"/>
  <c r="M40" i="1"/>
  <c r="AZ40" i="1" s="1"/>
  <c r="BB40" i="1" s="1"/>
  <c r="L40" i="1"/>
  <c r="K40" i="1" s="1"/>
  <c r="AK40" i="1"/>
  <c r="Q40" i="1"/>
  <c r="T42" i="1"/>
  <c r="R42" i="1" s="1"/>
  <c r="U42" i="1" s="1"/>
  <c r="O42" i="1" s="1"/>
  <c r="P42" i="1" s="1"/>
  <c r="N61" i="1"/>
  <c r="M61" i="1"/>
  <c r="AZ61" i="1" s="1"/>
  <c r="BB61" i="1" s="1"/>
  <c r="L61" i="1"/>
  <c r="K61" i="1" s="1"/>
  <c r="AK61" i="1"/>
  <c r="Q61" i="1"/>
  <c r="BI19" i="1"/>
  <c r="BM19" i="1" s="1"/>
  <c r="BN19" i="1" s="1"/>
  <c r="BI23" i="1"/>
  <c r="BM23" i="1" s="1"/>
  <c r="BN23" i="1" s="1"/>
  <c r="AK25" i="1"/>
  <c r="BI27" i="1"/>
  <c r="BM27" i="1" s="1"/>
  <c r="BN27" i="1" s="1"/>
  <c r="BI29" i="1"/>
  <c r="BM29" i="1" s="1"/>
  <c r="BN29" i="1" s="1"/>
  <c r="L31" i="1"/>
  <c r="K31" i="1" s="1"/>
  <c r="M32" i="1"/>
  <c r="AZ32" i="1" s="1"/>
  <c r="BB32" i="1" s="1"/>
  <c r="BI32" i="1"/>
  <c r="BM32" i="1" s="1"/>
  <c r="BN32" i="1" s="1"/>
  <c r="L33" i="1"/>
  <c r="K33" i="1" s="1"/>
  <c r="N36" i="1"/>
  <c r="M36" i="1"/>
  <c r="AZ36" i="1" s="1"/>
  <c r="BB36" i="1" s="1"/>
  <c r="L36" i="1"/>
  <c r="K36" i="1" s="1"/>
  <c r="AK36" i="1"/>
  <c r="Q36" i="1"/>
  <c r="T38" i="1"/>
  <c r="R38" i="1" s="1"/>
  <c r="U38" i="1" s="1"/>
  <c r="O38" i="1" s="1"/>
  <c r="P38" i="1" s="1"/>
  <c r="Z41" i="1"/>
  <c r="W43" i="1"/>
  <c r="X43" i="1" s="1"/>
  <c r="V18" i="1"/>
  <c r="V22" i="1"/>
  <c r="V26" i="1"/>
  <c r="AD30" i="1"/>
  <c r="AG30" i="1" s="1"/>
  <c r="M31" i="1"/>
  <c r="AZ31" i="1" s="1"/>
  <c r="BB31" i="1" s="1"/>
  <c r="Z31" i="1"/>
  <c r="N32" i="1"/>
  <c r="M33" i="1"/>
  <c r="AZ33" i="1" s="1"/>
  <c r="BB33" i="1" s="1"/>
  <c r="Z37" i="1"/>
  <c r="AE42" i="1"/>
  <c r="AK45" i="1"/>
  <c r="BA46" i="1"/>
  <c r="N49" i="1"/>
  <c r="AK49" i="1"/>
  <c r="Q49" i="1"/>
  <c r="M49" i="1"/>
  <c r="AZ49" i="1" s="1"/>
  <c r="L49" i="1"/>
  <c r="K49" i="1" s="1"/>
  <c r="AD54" i="1"/>
  <c r="BI35" i="1"/>
  <c r="BM35" i="1" s="1"/>
  <c r="BN35" i="1" s="1"/>
  <c r="M38" i="1"/>
  <c r="AZ38" i="1" s="1"/>
  <c r="BB38" i="1" s="1"/>
  <c r="BI39" i="1"/>
  <c r="BM39" i="1" s="1"/>
  <c r="BN39" i="1" s="1"/>
  <c r="M42" i="1"/>
  <c r="AZ42" i="1" s="1"/>
  <c r="BB42" i="1" s="1"/>
  <c r="BJ44" i="1"/>
  <c r="AG46" i="1"/>
  <c r="Z50" i="1"/>
  <c r="Z54" i="1"/>
  <c r="BJ45" i="1"/>
  <c r="BH45" i="1"/>
  <c r="N48" i="1"/>
  <c r="M48" i="1"/>
  <c r="AZ48" i="1" s="1"/>
  <c r="BB48" i="1" s="1"/>
  <c r="L48" i="1"/>
  <c r="K48" i="1" s="1"/>
  <c r="Q48" i="1"/>
  <c r="N50" i="1"/>
  <c r="BA51" i="1"/>
  <c r="CX52" i="1"/>
  <c r="AY52" i="1" s="1"/>
  <c r="BA52" i="1" s="1"/>
  <c r="N57" i="1"/>
  <c r="M57" i="1"/>
  <c r="AZ57" i="1" s="1"/>
  <c r="BB57" i="1" s="1"/>
  <c r="L57" i="1"/>
  <c r="K57" i="1" s="1"/>
  <c r="AK57" i="1"/>
  <c r="Q57" i="1"/>
  <c r="AD87" i="1"/>
  <c r="AD91" i="1"/>
  <c r="V33" i="1"/>
  <c r="V37" i="1"/>
  <c r="V41" i="1"/>
  <c r="BI45" i="1"/>
  <c r="BM45" i="1" s="1"/>
  <c r="BN45" i="1" s="1"/>
  <c r="CX47" i="1"/>
  <c r="AY47" i="1" s="1"/>
  <c r="BB47" i="1" s="1"/>
  <c r="Q54" i="1"/>
  <c r="N54" i="1"/>
  <c r="M54" i="1"/>
  <c r="AZ54" i="1" s="1"/>
  <c r="BB54" i="1" s="1"/>
  <c r="L59" i="1"/>
  <c r="K59" i="1" s="1"/>
  <c r="AK59" i="1"/>
  <c r="Q59" i="1"/>
  <c r="M59" i="1"/>
  <c r="AZ59" i="1" s="1"/>
  <c r="BB59" i="1" s="1"/>
  <c r="L64" i="1"/>
  <c r="K64" i="1" s="1"/>
  <c r="Q64" i="1"/>
  <c r="N64" i="1"/>
  <c r="M64" i="1"/>
  <c r="AZ64" i="1" s="1"/>
  <c r="BB64" i="1" s="1"/>
  <c r="AK64" i="1"/>
  <c r="Q38" i="1"/>
  <c r="Q42" i="1"/>
  <c r="T43" i="1"/>
  <c r="R43" i="1" s="1"/>
  <c r="U43" i="1" s="1"/>
  <c r="O43" i="1" s="1"/>
  <c r="P43" i="1" s="1"/>
  <c r="N44" i="1"/>
  <c r="L44" i="1"/>
  <c r="K44" i="1" s="1"/>
  <c r="CX44" i="1"/>
  <c r="AY44" i="1" s="1"/>
  <c r="BA44" i="1" s="1"/>
  <c r="V44" i="1"/>
  <c r="Q50" i="1"/>
  <c r="M50" i="1"/>
  <c r="AZ50" i="1" s="1"/>
  <c r="BB50" i="1" s="1"/>
  <c r="BB51" i="1"/>
  <c r="BJ51" i="1"/>
  <c r="BI51" i="1"/>
  <c r="BM51" i="1" s="1"/>
  <c r="BN51" i="1" s="1"/>
  <c r="L55" i="1"/>
  <c r="K55" i="1" s="1"/>
  <c r="AK55" i="1"/>
  <c r="Q55" i="1"/>
  <c r="CX49" i="1"/>
  <c r="AY49" i="1" s="1"/>
  <c r="BA49" i="1" s="1"/>
  <c r="V49" i="1"/>
  <c r="N53" i="1"/>
  <c r="M53" i="1"/>
  <c r="AZ53" i="1" s="1"/>
  <c r="BB53" i="1" s="1"/>
  <c r="L53" i="1"/>
  <c r="K53" i="1" s="1"/>
  <c r="AK53" i="1"/>
  <c r="Q58" i="1"/>
  <c r="N58" i="1"/>
  <c r="M58" i="1"/>
  <c r="AZ58" i="1" s="1"/>
  <c r="BB58" i="1" s="1"/>
  <c r="AK58" i="1"/>
  <c r="Q62" i="1"/>
  <c r="N62" i="1"/>
  <c r="M62" i="1"/>
  <c r="AZ62" i="1" s="1"/>
  <c r="BB62" i="1" s="1"/>
  <c r="AK62" i="1"/>
  <c r="AD76" i="1"/>
  <c r="BI36" i="1"/>
  <c r="BM36" i="1" s="1"/>
  <c r="BN36" i="1" s="1"/>
  <c r="AK38" i="1"/>
  <c r="BI40" i="1"/>
  <c r="BM40" i="1" s="1"/>
  <c r="BN40" i="1" s="1"/>
  <c r="AK42" i="1"/>
  <c r="Q44" i="1"/>
  <c r="BH47" i="1"/>
  <c r="BA50" i="1"/>
  <c r="T51" i="1"/>
  <c r="R51" i="1" s="1"/>
  <c r="U51" i="1" s="1"/>
  <c r="O51" i="1" s="1"/>
  <c r="P51" i="1" s="1"/>
  <c r="BA55" i="1"/>
  <c r="V35" i="1"/>
  <c r="V39" i="1"/>
  <c r="AK43" i="1"/>
  <c r="BI44" i="1"/>
  <c r="BM44" i="1" s="1"/>
  <c r="BN44" i="1" s="1"/>
  <c r="CX45" i="1"/>
  <c r="AY45" i="1" s="1"/>
  <c r="BA45" i="1" s="1"/>
  <c r="V45" i="1"/>
  <c r="Q46" i="1"/>
  <c r="M46" i="1"/>
  <c r="AZ46" i="1" s="1"/>
  <c r="BB46" i="1" s="1"/>
  <c r="L47" i="1"/>
  <c r="K47" i="1" s="1"/>
  <c r="AK47" i="1"/>
  <c r="BJ47" i="1"/>
  <c r="W50" i="1"/>
  <c r="X50" i="1" s="1"/>
  <c r="T50" i="1" s="1"/>
  <c r="R50" i="1" s="1"/>
  <c r="U50" i="1" s="1"/>
  <c r="O50" i="1" s="1"/>
  <c r="P50" i="1" s="1"/>
  <c r="AE51" i="1"/>
  <c r="W55" i="1"/>
  <c r="X55" i="1" s="1"/>
  <c r="AE55" i="1" s="1"/>
  <c r="L58" i="1"/>
  <c r="K58" i="1" s="1"/>
  <c r="BA58" i="1"/>
  <c r="W59" i="1"/>
  <c r="X59" i="1" s="1"/>
  <c r="L62" i="1"/>
  <c r="K62" i="1" s="1"/>
  <c r="BA62" i="1"/>
  <c r="CX65" i="1"/>
  <c r="AY65" i="1" s="1"/>
  <c r="BA65" i="1" s="1"/>
  <c r="V65" i="1"/>
  <c r="BB68" i="1"/>
  <c r="BJ72" i="1"/>
  <c r="BI72" i="1"/>
  <c r="BM72" i="1" s="1"/>
  <c r="BN72" i="1" s="1"/>
  <c r="BH72" i="1"/>
  <c r="Q75" i="1"/>
  <c r="N75" i="1"/>
  <c r="M75" i="1"/>
  <c r="AZ75" i="1" s="1"/>
  <c r="BB75" i="1" s="1"/>
  <c r="L75" i="1"/>
  <c r="K75" i="1" s="1"/>
  <c r="W75" i="1" s="1"/>
  <c r="X75" i="1" s="1"/>
  <c r="Q52" i="1"/>
  <c r="BI55" i="1"/>
  <c r="BM55" i="1" s="1"/>
  <c r="BN55" i="1" s="1"/>
  <c r="Q56" i="1"/>
  <c r="BI59" i="1"/>
  <c r="BM59" i="1" s="1"/>
  <c r="BN59" i="1" s="1"/>
  <c r="Q60" i="1"/>
  <c r="BB69" i="1"/>
  <c r="BH69" i="1"/>
  <c r="BJ69" i="1"/>
  <c r="AD72" i="1"/>
  <c r="CX76" i="1"/>
  <c r="AY76" i="1" s="1"/>
  <c r="BB76" i="1" s="1"/>
  <c r="V76" i="1"/>
  <c r="BA64" i="1"/>
  <c r="BJ68" i="1"/>
  <c r="BI68" i="1"/>
  <c r="BM68" i="1" s="1"/>
  <c r="BN68" i="1" s="1"/>
  <c r="BH68" i="1"/>
  <c r="Q71" i="1"/>
  <c r="N71" i="1"/>
  <c r="M71" i="1"/>
  <c r="AZ71" i="1" s="1"/>
  <c r="BB71" i="1" s="1"/>
  <c r="L71" i="1"/>
  <c r="K71" i="1" s="1"/>
  <c r="CX72" i="1"/>
  <c r="AY72" i="1" s="1"/>
  <c r="BB72" i="1" s="1"/>
  <c r="V72" i="1"/>
  <c r="N77" i="1"/>
  <c r="M77" i="1"/>
  <c r="AZ77" i="1" s="1"/>
  <c r="BB77" i="1" s="1"/>
  <c r="L77" i="1"/>
  <c r="K77" i="1" s="1"/>
  <c r="AK77" i="1"/>
  <c r="Q77" i="1"/>
  <c r="AK52" i="1"/>
  <c r="W54" i="1"/>
  <c r="X54" i="1" s="1"/>
  <c r="AK56" i="1"/>
  <c r="W58" i="1"/>
  <c r="X58" i="1" s="1"/>
  <c r="AK60" i="1"/>
  <c r="W62" i="1"/>
  <c r="X62" i="1" s="1"/>
  <c r="AE62" i="1" s="1"/>
  <c r="BI62" i="1"/>
  <c r="BM62" i="1" s="1"/>
  <c r="BN62" i="1" s="1"/>
  <c r="Q79" i="1"/>
  <c r="N79" i="1"/>
  <c r="M79" i="1"/>
  <c r="AZ79" i="1" s="1"/>
  <c r="BB79" i="1" s="1"/>
  <c r="L79" i="1"/>
  <c r="K79" i="1" s="1"/>
  <c r="W79" i="1" s="1"/>
  <c r="X79" i="1" s="1"/>
  <c r="AD95" i="1"/>
  <c r="L52" i="1"/>
  <c r="K52" i="1" s="1"/>
  <c r="V53" i="1"/>
  <c r="BH53" i="1"/>
  <c r="L56" i="1"/>
  <c r="K56" i="1" s="1"/>
  <c r="V57" i="1"/>
  <c r="BH57" i="1"/>
  <c r="L60" i="1"/>
  <c r="K60" i="1" s="1"/>
  <c r="V61" i="1"/>
  <c r="BH61" i="1"/>
  <c r="BI65" i="1"/>
  <c r="BM65" i="1" s="1"/>
  <c r="BN65" i="1" s="1"/>
  <c r="BA76" i="1"/>
  <c r="BA77" i="1"/>
  <c r="M92" i="1"/>
  <c r="AZ92" i="1" s="1"/>
  <c r="BB92" i="1" s="1"/>
  <c r="L92" i="1"/>
  <c r="K92" i="1" s="1"/>
  <c r="AK92" i="1"/>
  <c r="Q92" i="1"/>
  <c r="N92" i="1"/>
  <c r="M52" i="1"/>
  <c r="AZ52" i="1" s="1"/>
  <c r="BI53" i="1"/>
  <c r="BM53" i="1" s="1"/>
  <c r="BN53" i="1" s="1"/>
  <c r="M56" i="1"/>
  <c r="AZ56" i="1" s="1"/>
  <c r="BB56" i="1" s="1"/>
  <c r="BI57" i="1"/>
  <c r="BM57" i="1" s="1"/>
  <c r="BN57" i="1" s="1"/>
  <c r="M60" i="1"/>
  <c r="AZ60" i="1" s="1"/>
  <c r="BB60" i="1" s="1"/>
  <c r="AD73" i="1"/>
  <c r="AF80" i="1"/>
  <c r="AG80" i="1" s="1"/>
  <c r="V48" i="1"/>
  <c r="V52" i="1"/>
  <c r="V56" i="1"/>
  <c r="V60" i="1"/>
  <c r="BH64" i="1"/>
  <c r="N67" i="1"/>
  <c r="M67" i="1"/>
  <c r="AZ67" i="1" s="1"/>
  <c r="BB67" i="1" s="1"/>
  <c r="L67" i="1"/>
  <c r="K67" i="1" s="1"/>
  <c r="W67" i="1" s="1"/>
  <c r="X67" i="1" s="1"/>
  <c r="L68" i="1"/>
  <c r="K68" i="1" s="1"/>
  <c r="Q68" i="1"/>
  <c r="N68" i="1"/>
  <c r="CX68" i="1"/>
  <c r="AY68" i="1" s="1"/>
  <c r="BA68" i="1" s="1"/>
  <c r="V68" i="1"/>
  <c r="BA69" i="1"/>
  <c r="BB73" i="1"/>
  <c r="AK75" i="1"/>
  <c r="BJ76" i="1"/>
  <c r="BI76" i="1"/>
  <c r="BM76" i="1" s="1"/>
  <c r="BN76" i="1" s="1"/>
  <c r="BH76" i="1"/>
  <c r="Q82" i="1"/>
  <c r="N82" i="1"/>
  <c r="M82" i="1"/>
  <c r="AZ82" i="1" s="1"/>
  <c r="BB82" i="1" s="1"/>
  <c r="L82" i="1"/>
  <c r="K82" i="1" s="1"/>
  <c r="AK82" i="1"/>
  <c r="W84" i="1"/>
  <c r="X84" i="1" s="1"/>
  <c r="BJ73" i="1"/>
  <c r="BJ77" i="1"/>
  <c r="Q86" i="1"/>
  <c r="N86" i="1"/>
  <c r="M86" i="1"/>
  <c r="AZ86" i="1" s="1"/>
  <c r="BB86" i="1" s="1"/>
  <c r="L86" i="1"/>
  <c r="K86" i="1" s="1"/>
  <c r="AK86" i="1"/>
  <c r="BA88" i="1"/>
  <c r="Q90" i="1"/>
  <c r="N90" i="1"/>
  <c r="M90" i="1"/>
  <c r="AZ90" i="1" s="1"/>
  <c r="BB90" i="1" s="1"/>
  <c r="L90" i="1"/>
  <c r="K90" i="1" s="1"/>
  <c r="AK90" i="1"/>
  <c r="Q94" i="1"/>
  <c r="N94" i="1"/>
  <c r="M94" i="1"/>
  <c r="AZ94" i="1" s="1"/>
  <c r="BB94" i="1" s="1"/>
  <c r="L94" i="1"/>
  <c r="K94" i="1" s="1"/>
  <c r="AK94" i="1"/>
  <c r="BA95" i="1"/>
  <c r="Q65" i="1"/>
  <c r="AK66" i="1"/>
  <c r="Q69" i="1"/>
  <c r="AK70" i="1"/>
  <c r="Q73" i="1"/>
  <c r="AK74" i="1"/>
  <c r="AK78" i="1"/>
  <c r="BB85" i="1"/>
  <c r="BA92" i="1"/>
  <c r="L66" i="1"/>
  <c r="K66" i="1" s="1"/>
  <c r="L70" i="1"/>
  <c r="K70" i="1" s="1"/>
  <c r="L74" i="1"/>
  <c r="K74" i="1" s="1"/>
  <c r="L78" i="1"/>
  <c r="K78" i="1" s="1"/>
  <c r="T84" i="1"/>
  <c r="R84" i="1" s="1"/>
  <c r="U84" i="1" s="1"/>
  <c r="O84" i="1" s="1"/>
  <c r="P84" i="1" s="1"/>
  <c r="AD84" i="1"/>
  <c r="BJ95" i="1"/>
  <c r="BI95" i="1"/>
  <c r="BM95" i="1" s="1"/>
  <c r="BN95" i="1" s="1"/>
  <c r="BH95" i="1"/>
  <c r="AK65" i="1"/>
  <c r="M66" i="1"/>
  <c r="AZ66" i="1" s="1"/>
  <c r="BB66" i="1" s="1"/>
  <c r="AK69" i="1"/>
  <c r="M70" i="1"/>
  <c r="AZ70" i="1" s="1"/>
  <c r="BB70" i="1" s="1"/>
  <c r="AK73" i="1"/>
  <c r="M74" i="1"/>
  <c r="AZ74" i="1" s="1"/>
  <c r="BB74" i="1" s="1"/>
  <c r="Q76" i="1"/>
  <c r="M78" i="1"/>
  <c r="AZ78" i="1" s="1"/>
  <c r="BB78" i="1" s="1"/>
  <c r="BH80" i="1"/>
  <c r="CX81" i="1"/>
  <c r="AY81" i="1" s="1"/>
  <c r="BA81" i="1" s="1"/>
  <c r="V81" i="1"/>
  <c r="BB84" i="1"/>
  <c r="Z91" i="1"/>
  <c r="W92" i="1"/>
  <c r="X92" i="1" s="1"/>
  <c r="AE92" i="1" s="1"/>
  <c r="L65" i="1"/>
  <c r="K65" i="1" s="1"/>
  <c r="V66" i="1"/>
  <c r="BH66" i="1"/>
  <c r="L69" i="1"/>
  <c r="K69" i="1" s="1"/>
  <c r="V70" i="1"/>
  <c r="BH70" i="1"/>
  <c r="AK87" i="1"/>
  <c r="Q87" i="1"/>
  <c r="N87" i="1"/>
  <c r="M87" i="1"/>
  <c r="AZ87" i="1" s="1"/>
  <c r="BB87" i="1" s="1"/>
  <c r="AE96" i="1"/>
  <c r="CX98" i="1"/>
  <c r="AY98" i="1" s="1"/>
  <c r="BA98" i="1" s="1"/>
  <c r="V98" i="1"/>
  <c r="T80" i="1"/>
  <c r="R80" i="1" s="1"/>
  <c r="U80" i="1" s="1"/>
  <c r="O80" i="1" s="1"/>
  <c r="P80" i="1" s="1"/>
  <c r="AD80" i="1"/>
  <c r="AK83" i="1"/>
  <c r="N83" i="1"/>
  <c r="M83" i="1"/>
  <c r="AZ83" i="1" s="1"/>
  <c r="BB83" i="1" s="1"/>
  <c r="AK91" i="1"/>
  <c r="Q91" i="1"/>
  <c r="N91" i="1"/>
  <c r="M91" i="1"/>
  <c r="AZ91" i="1" s="1"/>
  <c r="BB91" i="1" s="1"/>
  <c r="CX95" i="1"/>
  <c r="AY95" i="1" s="1"/>
  <c r="V95" i="1"/>
  <c r="W96" i="1"/>
  <c r="X96" i="1" s="1"/>
  <c r="L112" i="1"/>
  <c r="K112" i="1" s="1"/>
  <c r="AK112" i="1"/>
  <c r="Q112" i="1"/>
  <c r="N112" i="1"/>
  <c r="M112" i="1"/>
  <c r="AZ112" i="1" s="1"/>
  <c r="V69" i="1"/>
  <c r="V73" i="1"/>
  <c r="V77" i="1"/>
  <c r="Q83" i="1"/>
  <c r="M88" i="1"/>
  <c r="AZ88" i="1" s="1"/>
  <c r="BB88" i="1" s="1"/>
  <c r="L88" i="1"/>
  <c r="K88" i="1" s="1"/>
  <c r="W88" i="1" s="1"/>
  <c r="X88" i="1" s="1"/>
  <c r="AK88" i="1"/>
  <c r="Q88" i="1"/>
  <c r="AK95" i="1"/>
  <c r="Q95" i="1"/>
  <c r="N95" i="1"/>
  <c r="M95" i="1"/>
  <c r="AZ95" i="1" s="1"/>
  <c r="N99" i="1"/>
  <c r="L99" i="1"/>
  <c r="K99" i="1" s="1"/>
  <c r="Q103" i="1"/>
  <c r="N103" i="1"/>
  <c r="M103" i="1"/>
  <c r="AZ103" i="1" s="1"/>
  <c r="BB103" i="1" s="1"/>
  <c r="L103" i="1"/>
  <c r="K103" i="1" s="1"/>
  <c r="BB113" i="1"/>
  <c r="V83" i="1"/>
  <c r="BH83" i="1"/>
  <c r="V87" i="1"/>
  <c r="BH87" i="1"/>
  <c r="BH91" i="1"/>
  <c r="BJ100" i="1"/>
  <c r="BH100" i="1"/>
  <c r="BB101" i="1"/>
  <c r="CX104" i="1"/>
  <c r="AY104" i="1" s="1"/>
  <c r="BA104" i="1" s="1"/>
  <c r="V104" i="1"/>
  <c r="BJ108" i="1"/>
  <c r="BI108" i="1"/>
  <c r="BM108" i="1" s="1"/>
  <c r="BN108" i="1" s="1"/>
  <c r="BH108" i="1"/>
  <c r="BA112" i="1"/>
  <c r="AK81" i="1"/>
  <c r="BI83" i="1"/>
  <c r="BM83" i="1" s="1"/>
  <c r="BN83" i="1" s="1"/>
  <c r="AK85" i="1"/>
  <c r="BI87" i="1"/>
  <c r="BM87" i="1" s="1"/>
  <c r="BN87" i="1" s="1"/>
  <c r="AK89" i="1"/>
  <c r="W91" i="1"/>
  <c r="X91" i="1" s="1"/>
  <c r="T91" i="1" s="1"/>
  <c r="R91" i="1" s="1"/>
  <c r="U91" i="1" s="1"/>
  <c r="O91" i="1" s="1"/>
  <c r="P91" i="1" s="1"/>
  <c r="BI91" i="1"/>
  <c r="BM91" i="1" s="1"/>
  <c r="BN91" i="1" s="1"/>
  <c r="AK93" i="1"/>
  <c r="T96" i="1"/>
  <c r="R96" i="1" s="1"/>
  <c r="U96" i="1" s="1"/>
  <c r="O96" i="1" s="1"/>
  <c r="P96" i="1" s="1"/>
  <c r="CX97" i="1"/>
  <c r="AY97" i="1" s="1"/>
  <c r="BA97" i="1" s="1"/>
  <c r="V97" i="1"/>
  <c r="BJ98" i="1"/>
  <c r="BH98" i="1"/>
  <c r="BI100" i="1"/>
  <c r="BM100" i="1" s="1"/>
  <c r="BN100" i="1" s="1"/>
  <c r="L104" i="1"/>
  <c r="K104" i="1" s="1"/>
  <c r="AK104" i="1"/>
  <c r="Q104" i="1"/>
  <c r="N104" i="1"/>
  <c r="L81" i="1"/>
  <c r="K81" i="1" s="1"/>
  <c r="V82" i="1"/>
  <c r="BH82" i="1"/>
  <c r="L85" i="1"/>
  <c r="K85" i="1" s="1"/>
  <c r="L89" i="1"/>
  <c r="K89" i="1" s="1"/>
  <c r="V90" i="1"/>
  <c r="L93" i="1"/>
  <c r="K93" i="1" s="1"/>
  <c r="BB96" i="1"/>
  <c r="BH96" i="1"/>
  <c r="BI98" i="1"/>
  <c r="BM98" i="1" s="1"/>
  <c r="BN98" i="1" s="1"/>
  <c r="M99" i="1"/>
  <c r="AZ99" i="1" s="1"/>
  <c r="BB99" i="1" s="1"/>
  <c r="CX99" i="1"/>
  <c r="AY99" i="1" s="1"/>
  <c r="BA99" i="1" s="1"/>
  <c r="V99" i="1"/>
  <c r="L100" i="1"/>
  <c r="K100" i="1" s="1"/>
  <c r="AK100" i="1"/>
  <c r="N100" i="1"/>
  <c r="BJ112" i="1"/>
  <c r="BI112" i="1"/>
  <c r="BM112" i="1" s="1"/>
  <c r="BN112" i="1" s="1"/>
  <c r="BH112" i="1"/>
  <c r="AD113" i="1"/>
  <c r="M93" i="1"/>
  <c r="AZ93" i="1" s="1"/>
  <c r="BB93" i="1" s="1"/>
  <c r="M104" i="1"/>
  <c r="AZ104" i="1" s="1"/>
  <c r="BB104" i="1" s="1"/>
  <c r="BB105" i="1"/>
  <c r="Q107" i="1"/>
  <c r="N107" i="1"/>
  <c r="M107" i="1"/>
  <c r="AZ107" i="1" s="1"/>
  <c r="BB107" i="1" s="1"/>
  <c r="L107" i="1"/>
  <c r="K107" i="1" s="1"/>
  <c r="CX108" i="1"/>
  <c r="AY108" i="1" s="1"/>
  <c r="BA108" i="1" s="1"/>
  <c r="V108" i="1"/>
  <c r="CX109" i="1"/>
  <c r="AY109" i="1" s="1"/>
  <c r="BA109" i="1" s="1"/>
  <c r="V85" i="1"/>
  <c r="BH85" i="1"/>
  <c r="V89" i="1"/>
  <c r="BH89" i="1"/>
  <c r="V93" i="1"/>
  <c r="BH93" i="1"/>
  <c r="N97" i="1"/>
  <c r="L97" i="1"/>
  <c r="K97" i="1" s="1"/>
  <c r="BI97" i="1"/>
  <c r="BM97" i="1" s="1"/>
  <c r="BN97" i="1" s="1"/>
  <c r="Q99" i="1"/>
  <c r="CX100" i="1"/>
  <c r="AY100" i="1" s="1"/>
  <c r="BA100" i="1" s="1"/>
  <c r="V100" i="1"/>
  <c r="L108" i="1"/>
  <c r="K108" i="1" s="1"/>
  <c r="AK108" i="1"/>
  <c r="Q108" i="1"/>
  <c r="N108" i="1"/>
  <c r="BJ97" i="1"/>
  <c r="BJ99" i="1"/>
  <c r="BH99" i="1"/>
  <c r="BJ104" i="1"/>
  <c r="BI104" i="1"/>
  <c r="BM104" i="1" s="1"/>
  <c r="BN104" i="1" s="1"/>
  <c r="BH104" i="1"/>
  <c r="Q111" i="1"/>
  <c r="N111" i="1"/>
  <c r="M111" i="1"/>
  <c r="AZ111" i="1" s="1"/>
  <c r="BB111" i="1" s="1"/>
  <c r="L111" i="1"/>
  <c r="K111" i="1" s="1"/>
  <c r="CX112" i="1"/>
  <c r="AY112" i="1" s="1"/>
  <c r="V112" i="1"/>
  <c r="W113" i="1"/>
  <c r="X113" i="1" s="1"/>
  <c r="T113" i="1" s="1"/>
  <c r="R113" i="1" s="1"/>
  <c r="U113" i="1" s="1"/>
  <c r="O113" i="1" s="1"/>
  <c r="P113" i="1" s="1"/>
  <c r="BJ101" i="1"/>
  <c r="AK110" i="1"/>
  <c r="AK114" i="1"/>
  <c r="L98" i="1"/>
  <c r="K98" i="1" s="1"/>
  <c r="L102" i="1"/>
  <c r="K102" i="1" s="1"/>
  <c r="V103" i="1"/>
  <c r="BH103" i="1"/>
  <c r="L106" i="1"/>
  <c r="K106" i="1" s="1"/>
  <c r="V107" i="1"/>
  <c r="BH107" i="1"/>
  <c r="L110" i="1"/>
  <c r="K110" i="1" s="1"/>
  <c r="V111" i="1"/>
  <c r="BH111" i="1"/>
  <c r="L114" i="1"/>
  <c r="K114" i="1" s="1"/>
  <c r="BI107" i="1"/>
  <c r="BM107" i="1" s="1"/>
  <c r="BN107" i="1" s="1"/>
  <c r="M110" i="1"/>
  <c r="AZ110" i="1" s="1"/>
  <c r="BB110" i="1" s="1"/>
  <c r="BI111" i="1"/>
  <c r="BM111" i="1" s="1"/>
  <c r="BN111" i="1" s="1"/>
  <c r="AK113" i="1"/>
  <c r="M114" i="1"/>
  <c r="AZ114" i="1" s="1"/>
  <c r="BB114" i="1" s="1"/>
  <c r="L101" i="1"/>
  <c r="K101" i="1" s="1"/>
  <c r="V102" i="1"/>
  <c r="BH102" i="1"/>
  <c r="L105" i="1"/>
  <c r="K105" i="1" s="1"/>
  <c r="V106" i="1"/>
  <c r="BH106" i="1"/>
  <c r="L109" i="1"/>
  <c r="K109" i="1" s="1"/>
  <c r="V110" i="1"/>
  <c r="BH110" i="1"/>
  <c r="BI102" i="1"/>
  <c r="BM102" i="1" s="1"/>
  <c r="BN102" i="1" s="1"/>
  <c r="BI106" i="1"/>
  <c r="BM106" i="1" s="1"/>
  <c r="BN106" i="1" s="1"/>
  <c r="BI110" i="1"/>
  <c r="BM110" i="1" s="1"/>
  <c r="BN110" i="1" s="1"/>
  <c r="V101" i="1"/>
  <c r="V105" i="1"/>
  <c r="V109" i="1"/>
  <c r="Y75" i="1" l="1"/>
  <c r="AC75" i="1" s="1"/>
  <c r="AF75" i="1"/>
  <c r="AE75" i="1"/>
  <c r="Y88" i="1"/>
  <c r="AC88" i="1" s="1"/>
  <c r="AF88" i="1"/>
  <c r="AE88" i="1"/>
  <c r="AF67" i="1"/>
  <c r="Y67" i="1"/>
  <c r="AC67" i="1" s="1"/>
  <c r="AE67" i="1"/>
  <c r="Y79" i="1"/>
  <c r="AC79" i="1" s="1"/>
  <c r="AF79" i="1"/>
  <c r="AE79" i="1"/>
  <c r="AD97" i="1"/>
  <c r="AD69" i="1"/>
  <c r="T69" i="1"/>
  <c r="R69" i="1" s="1"/>
  <c r="U69" i="1" s="1"/>
  <c r="O69" i="1" s="1"/>
  <c r="P69" i="1" s="1"/>
  <c r="AD56" i="1"/>
  <c r="AD77" i="1"/>
  <c r="AD47" i="1"/>
  <c r="W35" i="1"/>
  <c r="X35" i="1" s="1"/>
  <c r="AD64" i="1"/>
  <c r="W23" i="1"/>
  <c r="X23" i="1" s="1"/>
  <c r="AD41" i="1"/>
  <c r="Y25" i="1"/>
  <c r="AC25" i="1" s="1"/>
  <c r="AF25" i="1"/>
  <c r="AG25" i="1" s="1"/>
  <c r="AD18" i="1"/>
  <c r="AD114" i="1"/>
  <c r="W103" i="1"/>
  <c r="X103" i="1" s="1"/>
  <c r="W112" i="1"/>
  <c r="X112" i="1" s="1"/>
  <c r="W108" i="1"/>
  <c r="X108" i="1" s="1"/>
  <c r="T108" i="1" s="1"/>
  <c r="R108" i="1" s="1"/>
  <c r="U108" i="1" s="1"/>
  <c r="O108" i="1" s="1"/>
  <c r="P108" i="1" s="1"/>
  <c r="W97" i="1"/>
  <c r="X97" i="1" s="1"/>
  <c r="T97" i="1" s="1"/>
  <c r="R97" i="1" s="1"/>
  <c r="U97" i="1" s="1"/>
  <c r="O97" i="1" s="1"/>
  <c r="P97" i="1" s="1"/>
  <c r="W104" i="1"/>
  <c r="X104" i="1" s="1"/>
  <c r="AD103" i="1"/>
  <c r="T103" i="1"/>
  <c r="R103" i="1" s="1"/>
  <c r="U103" i="1" s="1"/>
  <c r="O103" i="1" s="1"/>
  <c r="P103" i="1" s="1"/>
  <c r="W77" i="1"/>
  <c r="X77" i="1" s="1"/>
  <c r="T77" i="1" s="1"/>
  <c r="R77" i="1" s="1"/>
  <c r="U77" i="1" s="1"/>
  <c r="O77" i="1" s="1"/>
  <c r="P77" i="1" s="1"/>
  <c r="AF96" i="1"/>
  <c r="AG96" i="1" s="1"/>
  <c r="Y96" i="1"/>
  <c r="AC96" i="1" s="1"/>
  <c r="AD70" i="1"/>
  <c r="W68" i="1"/>
  <c r="X68" i="1" s="1"/>
  <c r="T68" i="1" s="1"/>
  <c r="R68" i="1" s="1"/>
  <c r="U68" i="1" s="1"/>
  <c r="O68" i="1" s="1"/>
  <c r="P68" i="1" s="1"/>
  <c r="BB52" i="1"/>
  <c r="BB65" i="1"/>
  <c r="AD40" i="1"/>
  <c r="W28" i="1"/>
  <c r="X28" i="1" s="1"/>
  <c r="Y51" i="1"/>
  <c r="AC51" i="1" s="1"/>
  <c r="AF51" i="1"/>
  <c r="AG51" i="1" s="1"/>
  <c r="T25" i="1"/>
  <c r="R25" i="1" s="1"/>
  <c r="U25" i="1" s="1"/>
  <c r="O25" i="1" s="1"/>
  <c r="P25" i="1" s="1"/>
  <c r="AD22" i="1"/>
  <c r="AD105" i="1"/>
  <c r="AD81" i="1"/>
  <c r="Y58" i="1"/>
  <c r="AC58" i="1" s="1"/>
  <c r="AF58" i="1"/>
  <c r="AD63" i="1"/>
  <c r="W63" i="1"/>
  <c r="X63" i="1" s="1"/>
  <c r="AD34" i="1"/>
  <c r="AD20" i="1"/>
  <c r="W102" i="1"/>
  <c r="X102" i="1" s="1"/>
  <c r="AD102" i="1"/>
  <c r="T102" i="1"/>
  <c r="R102" i="1" s="1"/>
  <c r="U102" i="1" s="1"/>
  <c r="O102" i="1" s="1"/>
  <c r="P102" i="1" s="1"/>
  <c r="AD108" i="1"/>
  <c r="AD93" i="1"/>
  <c r="T93" i="1"/>
  <c r="R93" i="1" s="1"/>
  <c r="U93" i="1" s="1"/>
  <c r="O93" i="1" s="1"/>
  <c r="P93" i="1" s="1"/>
  <c r="W73" i="1"/>
  <c r="X73" i="1" s="1"/>
  <c r="W95" i="1"/>
  <c r="X95" i="1" s="1"/>
  <c r="W66" i="1"/>
  <c r="X66" i="1" s="1"/>
  <c r="W81" i="1"/>
  <c r="X81" i="1" s="1"/>
  <c r="T81" i="1" s="1"/>
  <c r="R81" i="1" s="1"/>
  <c r="U81" i="1" s="1"/>
  <c r="O81" i="1" s="1"/>
  <c r="P81" i="1" s="1"/>
  <c r="AD66" i="1"/>
  <c r="W53" i="1"/>
  <c r="X53" i="1" s="1"/>
  <c r="Y54" i="1"/>
  <c r="AC54" i="1" s="1"/>
  <c r="AF54" i="1"/>
  <c r="AG54" i="1" s="1"/>
  <c r="AE54" i="1"/>
  <c r="AE50" i="1"/>
  <c r="W41" i="1"/>
  <c r="X41" i="1" s="1"/>
  <c r="T41" i="1" s="1"/>
  <c r="R41" i="1" s="1"/>
  <c r="U41" i="1" s="1"/>
  <c r="O41" i="1" s="1"/>
  <c r="P41" i="1" s="1"/>
  <c r="T54" i="1"/>
  <c r="R54" i="1" s="1"/>
  <c r="U54" i="1" s="1"/>
  <c r="O54" i="1" s="1"/>
  <c r="P54" i="1" s="1"/>
  <c r="W26" i="1"/>
  <c r="X26" i="1" s="1"/>
  <c r="AD31" i="1"/>
  <c r="AD61" i="1"/>
  <c r="AF32" i="1"/>
  <c r="Y32" i="1"/>
  <c r="AC32" i="1" s="1"/>
  <c r="W19" i="1"/>
  <c r="X19" i="1" s="1"/>
  <c r="AD27" i="1"/>
  <c r="AD39" i="1"/>
  <c r="W31" i="1"/>
  <c r="X31" i="1" s="1"/>
  <c r="T31" i="1" s="1"/>
  <c r="R31" i="1" s="1"/>
  <c r="U31" i="1" s="1"/>
  <c r="O31" i="1" s="1"/>
  <c r="P31" i="1" s="1"/>
  <c r="Y42" i="1"/>
  <c r="AC42" i="1" s="1"/>
  <c r="AF42" i="1"/>
  <c r="AG42" i="1" s="1"/>
  <c r="AD112" i="1"/>
  <c r="W74" i="1"/>
  <c r="X74" i="1" s="1"/>
  <c r="AD74" i="1"/>
  <c r="AD101" i="1"/>
  <c r="W111" i="1"/>
  <c r="X111" i="1" s="1"/>
  <c r="AD98" i="1"/>
  <c r="T98" i="1"/>
  <c r="R98" i="1" s="1"/>
  <c r="U98" i="1" s="1"/>
  <c r="O98" i="1" s="1"/>
  <c r="P98" i="1" s="1"/>
  <c r="AD111" i="1"/>
  <c r="AD107" i="1"/>
  <c r="AD100" i="1"/>
  <c r="W90" i="1"/>
  <c r="X90" i="1" s="1"/>
  <c r="W87" i="1"/>
  <c r="X87" i="1" s="1"/>
  <c r="W69" i="1"/>
  <c r="X69" i="1" s="1"/>
  <c r="AD65" i="1"/>
  <c r="AE91" i="1"/>
  <c r="Y84" i="1"/>
  <c r="AC84" i="1" s="1"/>
  <c r="AF84" i="1"/>
  <c r="W60" i="1"/>
  <c r="X60" i="1" s="1"/>
  <c r="BA72" i="1"/>
  <c r="AD52" i="1"/>
  <c r="AD62" i="1"/>
  <c r="T62" i="1"/>
  <c r="R62" i="1" s="1"/>
  <c r="U62" i="1" s="1"/>
  <c r="O62" i="1" s="1"/>
  <c r="P62" i="1" s="1"/>
  <c r="W45" i="1"/>
  <c r="X45" i="1" s="1"/>
  <c r="W37" i="1"/>
  <c r="X37" i="1" s="1"/>
  <c r="W64" i="1"/>
  <c r="X64" i="1" s="1"/>
  <c r="W22" i="1"/>
  <c r="X22" i="1" s="1"/>
  <c r="BB100" i="1"/>
  <c r="W24" i="1"/>
  <c r="X24" i="1" s="1"/>
  <c r="Y21" i="1"/>
  <c r="AC21" i="1" s="1"/>
  <c r="AF21" i="1"/>
  <c r="W93" i="1"/>
  <c r="X93" i="1" s="1"/>
  <c r="W110" i="1"/>
  <c r="X110" i="1" s="1"/>
  <c r="AD110" i="1"/>
  <c r="T110" i="1"/>
  <c r="R110" i="1" s="1"/>
  <c r="U110" i="1" s="1"/>
  <c r="O110" i="1" s="1"/>
  <c r="P110" i="1" s="1"/>
  <c r="BB98" i="1"/>
  <c r="W100" i="1"/>
  <c r="X100" i="1" s="1"/>
  <c r="T100" i="1" s="1"/>
  <c r="R100" i="1" s="1"/>
  <c r="U100" i="1" s="1"/>
  <c r="O100" i="1" s="1"/>
  <c r="P100" i="1" s="1"/>
  <c r="W99" i="1"/>
  <c r="X99" i="1" s="1"/>
  <c r="AD89" i="1"/>
  <c r="BB112" i="1"/>
  <c r="BB108" i="1"/>
  <c r="W86" i="1"/>
  <c r="X86" i="1" s="1"/>
  <c r="T86" i="1" s="1"/>
  <c r="R86" i="1" s="1"/>
  <c r="U86" i="1" s="1"/>
  <c r="O86" i="1" s="1"/>
  <c r="P86" i="1" s="1"/>
  <c r="AD86" i="1"/>
  <c r="W56" i="1"/>
  <c r="X56" i="1" s="1"/>
  <c r="W61" i="1"/>
  <c r="X61" i="1" s="1"/>
  <c r="W72" i="1"/>
  <c r="X72" i="1" s="1"/>
  <c r="Y59" i="1"/>
  <c r="AC59" i="1" s="1"/>
  <c r="AF59" i="1"/>
  <c r="AE59" i="1"/>
  <c r="AD53" i="1"/>
  <c r="T53" i="1"/>
  <c r="R53" i="1" s="1"/>
  <c r="U53" i="1" s="1"/>
  <c r="O53" i="1" s="1"/>
  <c r="P53" i="1" s="1"/>
  <c r="T55" i="1"/>
  <c r="R55" i="1" s="1"/>
  <c r="U55" i="1" s="1"/>
  <c r="O55" i="1" s="1"/>
  <c r="P55" i="1" s="1"/>
  <c r="AD55" i="1"/>
  <c r="W44" i="1"/>
  <c r="X44" i="1" s="1"/>
  <c r="T59" i="1"/>
  <c r="R59" i="1" s="1"/>
  <c r="U59" i="1" s="1"/>
  <c r="O59" i="1" s="1"/>
  <c r="P59" i="1" s="1"/>
  <c r="AD59" i="1"/>
  <c r="W33" i="1"/>
  <c r="X33" i="1" s="1"/>
  <c r="AD48" i="1"/>
  <c r="AD49" i="1"/>
  <c r="W18" i="1"/>
  <c r="X18" i="1" s="1"/>
  <c r="AD36" i="1"/>
  <c r="T36" i="1"/>
  <c r="R36" i="1" s="1"/>
  <c r="U36" i="1" s="1"/>
  <c r="O36" i="1" s="1"/>
  <c r="P36" i="1" s="1"/>
  <c r="BA47" i="1"/>
  <c r="AD23" i="1"/>
  <c r="T23" i="1"/>
  <c r="R23" i="1" s="1"/>
  <c r="U23" i="1" s="1"/>
  <c r="O23" i="1" s="1"/>
  <c r="P23" i="1" s="1"/>
  <c r="T21" i="1"/>
  <c r="R21" i="1" s="1"/>
  <c r="U21" i="1" s="1"/>
  <c r="O21" i="1" s="1"/>
  <c r="P21" i="1" s="1"/>
  <c r="Y113" i="1"/>
  <c r="AC113" i="1" s="1"/>
  <c r="AF113" i="1"/>
  <c r="AE113" i="1"/>
  <c r="W109" i="1"/>
  <c r="X109" i="1" s="1"/>
  <c r="T109" i="1" s="1"/>
  <c r="R109" i="1" s="1"/>
  <c r="U109" i="1" s="1"/>
  <c r="O109" i="1" s="1"/>
  <c r="P109" i="1" s="1"/>
  <c r="AD109" i="1"/>
  <c r="W89" i="1"/>
  <c r="X89" i="1" s="1"/>
  <c r="AD85" i="1"/>
  <c r="T104" i="1"/>
  <c r="R104" i="1" s="1"/>
  <c r="U104" i="1" s="1"/>
  <c r="O104" i="1" s="1"/>
  <c r="P104" i="1" s="1"/>
  <c r="AD104" i="1"/>
  <c r="W83" i="1"/>
  <c r="X83" i="1" s="1"/>
  <c r="AD99" i="1"/>
  <c r="T99" i="1"/>
  <c r="R99" i="1" s="1"/>
  <c r="U99" i="1" s="1"/>
  <c r="O99" i="1" s="1"/>
  <c r="P99" i="1" s="1"/>
  <c r="T88" i="1"/>
  <c r="R88" i="1" s="1"/>
  <c r="U88" i="1" s="1"/>
  <c r="O88" i="1" s="1"/>
  <c r="P88" i="1" s="1"/>
  <c r="AD88" i="1"/>
  <c r="W98" i="1"/>
  <c r="X98" i="1" s="1"/>
  <c r="AD90" i="1"/>
  <c r="AD68" i="1"/>
  <c r="W52" i="1"/>
  <c r="X52" i="1" s="1"/>
  <c r="T52" i="1" s="1"/>
  <c r="R52" i="1" s="1"/>
  <c r="U52" i="1" s="1"/>
  <c r="O52" i="1" s="1"/>
  <c r="P52" i="1" s="1"/>
  <c r="T92" i="1"/>
  <c r="R92" i="1" s="1"/>
  <c r="U92" i="1" s="1"/>
  <c r="O92" i="1" s="1"/>
  <c r="P92" i="1" s="1"/>
  <c r="AD92" i="1"/>
  <c r="AD60" i="1"/>
  <c r="T60" i="1"/>
  <c r="R60" i="1" s="1"/>
  <c r="U60" i="1" s="1"/>
  <c r="O60" i="1" s="1"/>
  <c r="P60" i="1" s="1"/>
  <c r="Y50" i="1"/>
  <c r="AC50" i="1" s="1"/>
  <c r="AF50" i="1"/>
  <c r="AD57" i="1"/>
  <c r="T57" i="1"/>
  <c r="R57" i="1" s="1"/>
  <c r="U57" i="1" s="1"/>
  <c r="O57" i="1" s="1"/>
  <c r="P57" i="1" s="1"/>
  <c r="BB49" i="1"/>
  <c r="BB44" i="1"/>
  <c r="AD37" i="1"/>
  <c r="T37" i="1"/>
  <c r="R37" i="1" s="1"/>
  <c r="U37" i="1" s="1"/>
  <c r="O37" i="1" s="1"/>
  <c r="P37" i="1" s="1"/>
  <c r="W34" i="1"/>
  <c r="X34" i="1" s="1"/>
  <c r="W20" i="1"/>
  <c r="X20" i="1" s="1"/>
  <c r="AF36" i="1"/>
  <c r="AG36" i="1" s="1"/>
  <c r="AE36" i="1"/>
  <c r="Y36" i="1"/>
  <c r="AC36" i="1" s="1"/>
  <c r="AE21" i="1"/>
  <c r="AD26" i="1"/>
  <c r="T26" i="1"/>
  <c r="R26" i="1" s="1"/>
  <c r="U26" i="1" s="1"/>
  <c r="O26" i="1" s="1"/>
  <c r="P26" i="1" s="1"/>
  <c r="T28" i="1"/>
  <c r="R28" i="1" s="1"/>
  <c r="U28" i="1" s="1"/>
  <c r="O28" i="1" s="1"/>
  <c r="P28" i="1" s="1"/>
  <c r="AD28" i="1"/>
  <c r="W105" i="1"/>
  <c r="X105" i="1" s="1"/>
  <c r="T105" i="1" s="1"/>
  <c r="R105" i="1" s="1"/>
  <c r="U105" i="1" s="1"/>
  <c r="O105" i="1" s="1"/>
  <c r="P105" i="1" s="1"/>
  <c r="W107" i="1"/>
  <c r="X107" i="1" s="1"/>
  <c r="T107" i="1" s="1"/>
  <c r="R107" i="1" s="1"/>
  <c r="U107" i="1" s="1"/>
  <c r="O107" i="1" s="1"/>
  <c r="P107" i="1" s="1"/>
  <c r="BB109" i="1"/>
  <c r="Y92" i="1"/>
  <c r="AC92" i="1" s="1"/>
  <c r="AF92" i="1"/>
  <c r="AD82" i="1"/>
  <c r="T82" i="1"/>
  <c r="R82" i="1" s="1"/>
  <c r="U82" i="1" s="1"/>
  <c r="O82" i="1" s="1"/>
  <c r="P82" i="1" s="1"/>
  <c r="AD67" i="1"/>
  <c r="T67" i="1"/>
  <c r="R67" i="1" s="1"/>
  <c r="U67" i="1" s="1"/>
  <c r="O67" i="1" s="1"/>
  <c r="P67" i="1" s="1"/>
  <c r="W48" i="1"/>
  <c r="X48" i="1" s="1"/>
  <c r="Y62" i="1"/>
  <c r="AC62" i="1" s="1"/>
  <c r="AF62" i="1"/>
  <c r="AG62" i="1" s="1"/>
  <c r="AD71" i="1"/>
  <c r="T71" i="1"/>
  <c r="R71" i="1" s="1"/>
  <c r="U71" i="1" s="1"/>
  <c r="O71" i="1" s="1"/>
  <c r="P71" i="1" s="1"/>
  <c r="AD75" i="1"/>
  <c r="T75" i="1"/>
  <c r="R75" i="1" s="1"/>
  <c r="U75" i="1" s="1"/>
  <c r="O75" i="1" s="1"/>
  <c r="P75" i="1" s="1"/>
  <c r="AD44" i="1"/>
  <c r="T44" i="1"/>
  <c r="R44" i="1" s="1"/>
  <c r="U44" i="1" s="1"/>
  <c r="O44" i="1" s="1"/>
  <c r="P44" i="1" s="1"/>
  <c r="AE58" i="1"/>
  <c r="Y43" i="1"/>
  <c r="AC43" i="1" s="1"/>
  <c r="AF43" i="1"/>
  <c r="AE43" i="1"/>
  <c r="W27" i="1"/>
  <c r="X27" i="1" s="1"/>
  <c r="T27" i="1" s="1"/>
  <c r="R27" i="1" s="1"/>
  <c r="U27" i="1" s="1"/>
  <c r="O27" i="1" s="1"/>
  <c r="P27" i="1" s="1"/>
  <c r="O46" i="1"/>
  <c r="P46" i="1" s="1"/>
  <c r="AD19" i="1"/>
  <c r="T19" i="1"/>
  <c r="R19" i="1" s="1"/>
  <c r="U19" i="1" s="1"/>
  <c r="O19" i="1" s="1"/>
  <c r="P19" i="1" s="1"/>
  <c r="W47" i="1"/>
  <c r="X47" i="1" s="1"/>
  <c r="Y17" i="1"/>
  <c r="AC17" i="1" s="1"/>
  <c r="AF17" i="1"/>
  <c r="AG17" i="1" s="1"/>
  <c r="AF29" i="1"/>
  <c r="AG29" i="1" s="1"/>
  <c r="Y29" i="1"/>
  <c r="AC29" i="1" s="1"/>
  <c r="AE29" i="1"/>
  <c r="AE25" i="1"/>
  <c r="Y55" i="1"/>
  <c r="AC55" i="1" s="1"/>
  <c r="AF55" i="1"/>
  <c r="AG55" i="1" s="1"/>
  <c r="Y91" i="1"/>
  <c r="AC91" i="1" s="1"/>
  <c r="AF91" i="1"/>
  <c r="AG91" i="1" s="1"/>
  <c r="W101" i="1"/>
  <c r="X101" i="1" s="1"/>
  <c r="T101" i="1" s="1"/>
  <c r="R101" i="1" s="1"/>
  <c r="U101" i="1" s="1"/>
  <c r="O101" i="1" s="1"/>
  <c r="P101" i="1" s="1"/>
  <c r="W106" i="1"/>
  <c r="X106" i="1" s="1"/>
  <c r="AD106" i="1"/>
  <c r="T106" i="1"/>
  <c r="R106" i="1" s="1"/>
  <c r="U106" i="1" s="1"/>
  <c r="O106" i="1" s="1"/>
  <c r="P106" i="1" s="1"/>
  <c r="W114" i="1"/>
  <c r="X114" i="1" s="1"/>
  <c r="W85" i="1"/>
  <c r="X85" i="1" s="1"/>
  <c r="T85" i="1" s="1"/>
  <c r="R85" i="1" s="1"/>
  <c r="U85" i="1" s="1"/>
  <c r="O85" i="1" s="1"/>
  <c r="P85" i="1" s="1"/>
  <c r="W82" i="1"/>
  <c r="X82" i="1" s="1"/>
  <c r="BB97" i="1"/>
  <c r="BB95" i="1"/>
  <c r="AE84" i="1"/>
  <c r="W70" i="1"/>
  <c r="X70" i="1" s="1"/>
  <c r="W78" i="1"/>
  <c r="X78" i="1" s="1"/>
  <c r="T78" i="1" s="1"/>
  <c r="R78" i="1" s="1"/>
  <c r="U78" i="1" s="1"/>
  <c r="O78" i="1" s="1"/>
  <c r="P78" i="1" s="1"/>
  <c r="AD78" i="1"/>
  <c r="W94" i="1"/>
  <c r="X94" i="1" s="1"/>
  <c r="T94" i="1" s="1"/>
  <c r="R94" i="1" s="1"/>
  <c r="U94" i="1" s="1"/>
  <c r="O94" i="1" s="1"/>
  <c r="P94" i="1" s="1"/>
  <c r="AD94" i="1"/>
  <c r="W71" i="1"/>
  <c r="X71" i="1" s="1"/>
  <c r="BB81" i="1"/>
  <c r="W57" i="1"/>
  <c r="X57" i="1" s="1"/>
  <c r="AD79" i="1"/>
  <c r="T79" i="1"/>
  <c r="R79" i="1" s="1"/>
  <c r="U79" i="1" s="1"/>
  <c r="O79" i="1" s="1"/>
  <c r="P79" i="1" s="1"/>
  <c r="W76" i="1"/>
  <c r="X76" i="1" s="1"/>
  <c r="W65" i="1"/>
  <c r="X65" i="1" s="1"/>
  <c r="AD58" i="1"/>
  <c r="T58" i="1"/>
  <c r="R58" i="1" s="1"/>
  <c r="U58" i="1" s="1"/>
  <c r="O58" i="1" s="1"/>
  <c r="P58" i="1" s="1"/>
  <c r="W39" i="1"/>
  <c r="X39" i="1" s="1"/>
  <c r="W49" i="1"/>
  <c r="X49" i="1" s="1"/>
  <c r="AD33" i="1"/>
  <c r="T33" i="1"/>
  <c r="R33" i="1" s="1"/>
  <c r="U33" i="1" s="1"/>
  <c r="O33" i="1" s="1"/>
  <c r="P33" i="1" s="1"/>
  <c r="T32" i="1"/>
  <c r="R32" i="1" s="1"/>
  <c r="U32" i="1" s="1"/>
  <c r="O32" i="1" s="1"/>
  <c r="P32" i="1" s="1"/>
  <c r="AD32" i="1"/>
  <c r="Y38" i="1"/>
  <c r="AC38" i="1" s="1"/>
  <c r="AF38" i="1"/>
  <c r="AG38" i="1" s="1"/>
  <c r="BB45" i="1"/>
  <c r="W40" i="1"/>
  <c r="X40" i="1" s="1"/>
  <c r="AD45" i="1"/>
  <c r="T45" i="1"/>
  <c r="R45" i="1" s="1"/>
  <c r="U45" i="1" s="1"/>
  <c r="O45" i="1" s="1"/>
  <c r="P45" i="1" s="1"/>
  <c r="T29" i="1"/>
  <c r="R29" i="1" s="1"/>
  <c r="U29" i="1" s="1"/>
  <c r="O29" i="1" s="1"/>
  <c r="P29" i="1" s="1"/>
  <c r="T24" i="1"/>
  <c r="R24" i="1" s="1"/>
  <c r="U24" i="1" s="1"/>
  <c r="O24" i="1" s="1"/>
  <c r="P24" i="1" s="1"/>
  <c r="AD24" i="1"/>
  <c r="AE17" i="1"/>
  <c r="Y33" i="1" l="1"/>
  <c r="AC33" i="1" s="1"/>
  <c r="AF33" i="1"/>
  <c r="AG33" i="1" s="1"/>
  <c r="AE33" i="1"/>
  <c r="Y90" i="1"/>
  <c r="AC90" i="1" s="1"/>
  <c r="AF90" i="1"/>
  <c r="AG90" i="1" s="1"/>
  <c r="AE90" i="1"/>
  <c r="Y112" i="1"/>
  <c r="AC112" i="1" s="1"/>
  <c r="AF112" i="1"/>
  <c r="AG112" i="1" s="1"/>
  <c r="AE112" i="1"/>
  <c r="Y71" i="1"/>
  <c r="AC71" i="1" s="1"/>
  <c r="AF71" i="1"/>
  <c r="AE71" i="1"/>
  <c r="AF70" i="1"/>
  <c r="AG70" i="1" s="1"/>
  <c r="AE70" i="1"/>
  <c r="Y70" i="1"/>
  <c r="AC70" i="1" s="1"/>
  <c r="AF114" i="1"/>
  <c r="AG114" i="1" s="1"/>
  <c r="Y114" i="1"/>
  <c r="AC114" i="1" s="1"/>
  <c r="AE114" i="1"/>
  <c r="AG43" i="1"/>
  <c r="Y20" i="1"/>
  <c r="AC20" i="1" s="1"/>
  <c r="AF20" i="1"/>
  <c r="AG20" i="1" s="1"/>
  <c r="AE20" i="1"/>
  <c r="AG113" i="1"/>
  <c r="AF18" i="1"/>
  <c r="AG18" i="1" s="1"/>
  <c r="Y18" i="1"/>
  <c r="AC18" i="1" s="1"/>
  <c r="AE18" i="1"/>
  <c r="AF99" i="1"/>
  <c r="Y99" i="1"/>
  <c r="AC99" i="1" s="1"/>
  <c r="AE99" i="1"/>
  <c r="AF110" i="1"/>
  <c r="Y110" i="1"/>
  <c r="AC110" i="1" s="1"/>
  <c r="AE110" i="1"/>
  <c r="AF22" i="1"/>
  <c r="AG22" i="1" s="1"/>
  <c r="Y22" i="1"/>
  <c r="AC22" i="1" s="1"/>
  <c r="AE22" i="1"/>
  <c r="T20" i="1"/>
  <c r="R20" i="1" s="1"/>
  <c r="U20" i="1" s="1"/>
  <c r="O20" i="1" s="1"/>
  <c r="P20" i="1" s="1"/>
  <c r="AG67" i="1"/>
  <c r="Y65" i="1"/>
  <c r="AC65" i="1" s="1"/>
  <c r="AF65" i="1"/>
  <c r="AE65" i="1"/>
  <c r="AF74" i="1"/>
  <c r="AG74" i="1" s="1"/>
  <c r="AE74" i="1"/>
  <c r="Y74" i="1"/>
  <c r="AC74" i="1" s="1"/>
  <c r="AF40" i="1"/>
  <c r="AE40" i="1"/>
  <c r="Y40" i="1"/>
  <c r="AC40" i="1" s="1"/>
  <c r="Y76" i="1"/>
  <c r="AC76" i="1" s="1"/>
  <c r="AF76" i="1"/>
  <c r="AG76" i="1" s="1"/>
  <c r="T76" i="1"/>
  <c r="R76" i="1" s="1"/>
  <c r="U76" i="1" s="1"/>
  <c r="O76" i="1" s="1"/>
  <c r="P76" i="1" s="1"/>
  <c r="AE76" i="1"/>
  <c r="AF47" i="1"/>
  <c r="Y47" i="1"/>
  <c r="AC47" i="1" s="1"/>
  <c r="AE47" i="1"/>
  <c r="AG92" i="1"/>
  <c r="AG50" i="1"/>
  <c r="AG59" i="1"/>
  <c r="T65" i="1"/>
  <c r="R65" i="1" s="1"/>
  <c r="U65" i="1" s="1"/>
  <c r="O65" i="1" s="1"/>
  <c r="P65" i="1" s="1"/>
  <c r="Y111" i="1"/>
  <c r="AC111" i="1" s="1"/>
  <c r="AF111" i="1"/>
  <c r="AE111" i="1"/>
  <c r="T112" i="1"/>
  <c r="R112" i="1" s="1"/>
  <c r="U112" i="1" s="1"/>
  <c r="O112" i="1" s="1"/>
  <c r="P112" i="1" s="1"/>
  <c r="AF66" i="1"/>
  <c r="AE66" i="1"/>
  <c r="Y66" i="1"/>
  <c r="AC66" i="1" s="1"/>
  <c r="Y28" i="1"/>
  <c r="AC28" i="1" s="1"/>
  <c r="AF28" i="1"/>
  <c r="AG28" i="1" s="1"/>
  <c r="AE28" i="1"/>
  <c r="T70" i="1"/>
  <c r="R70" i="1" s="1"/>
  <c r="U70" i="1" s="1"/>
  <c r="O70" i="1" s="1"/>
  <c r="P70" i="1" s="1"/>
  <c r="Y104" i="1"/>
  <c r="AC104" i="1" s="1"/>
  <c r="AF104" i="1"/>
  <c r="AG104" i="1" s="1"/>
  <c r="AE104" i="1"/>
  <c r="Y103" i="1"/>
  <c r="AC103" i="1" s="1"/>
  <c r="AF103" i="1"/>
  <c r="AG103" i="1" s="1"/>
  <c r="AE103" i="1"/>
  <c r="Y81" i="1"/>
  <c r="AC81" i="1" s="1"/>
  <c r="AF81" i="1"/>
  <c r="AE81" i="1"/>
  <c r="Y35" i="1"/>
  <c r="AC35" i="1" s="1"/>
  <c r="AF35" i="1"/>
  <c r="AE35" i="1"/>
  <c r="T35" i="1"/>
  <c r="R35" i="1" s="1"/>
  <c r="U35" i="1" s="1"/>
  <c r="O35" i="1" s="1"/>
  <c r="P35" i="1" s="1"/>
  <c r="AF49" i="1"/>
  <c r="Y49" i="1"/>
  <c r="AC49" i="1" s="1"/>
  <c r="AE49" i="1"/>
  <c r="AF34" i="1"/>
  <c r="AG34" i="1" s="1"/>
  <c r="Y34" i="1"/>
  <c r="AC34" i="1" s="1"/>
  <c r="AE34" i="1"/>
  <c r="AE89" i="1"/>
  <c r="Y89" i="1"/>
  <c r="AC89" i="1" s="1"/>
  <c r="AF89" i="1"/>
  <c r="T49" i="1"/>
  <c r="R49" i="1" s="1"/>
  <c r="U49" i="1" s="1"/>
  <c r="O49" i="1" s="1"/>
  <c r="P49" i="1" s="1"/>
  <c r="Y44" i="1"/>
  <c r="AC44" i="1" s="1"/>
  <c r="AF44" i="1"/>
  <c r="AG44" i="1" s="1"/>
  <c r="AE44" i="1"/>
  <c r="AE93" i="1"/>
  <c r="Y93" i="1"/>
  <c r="AC93" i="1" s="1"/>
  <c r="AF93" i="1"/>
  <c r="AG93" i="1" s="1"/>
  <c r="Y64" i="1"/>
  <c r="AC64" i="1" s="1"/>
  <c r="AF64" i="1"/>
  <c r="AE64" i="1"/>
  <c r="AF26" i="1"/>
  <c r="AG26" i="1" s="1"/>
  <c r="Y26" i="1"/>
  <c r="AC26" i="1" s="1"/>
  <c r="AE26" i="1"/>
  <c r="T34" i="1"/>
  <c r="R34" i="1" s="1"/>
  <c r="U34" i="1" s="1"/>
  <c r="O34" i="1" s="1"/>
  <c r="P34" i="1" s="1"/>
  <c r="T47" i="1"/>
  <c r="R47" i="1" s="1"/>
  <c r="U47" i="1" s="1"/>
  <c r="O47" i="1" s="1"/>
  <c r="P47" i="1" s="1"/>
  <c r="AG88" i="1"/>
  <c r="Y52" i="1"/>
  <c r="AC52" i="1" s="1"/>
  <c r="AF52" i="1"/>
  <c r="AE52" i="1"/>
  <c r="Y56" i="1"/>
  <c r="AC56" i="1" s="1"/>
  <c r="AE56" i="1"/>
  <c r="AF56" i="1"/>
  <c r="AG56" i="1" s="1"/>
  <c r="Y68" i="1"/>
  <c r="AC68" i="1" s="1"/>
  <c r="AF68" i="1"/>
  <c r="AE68" i="1"/>
  <c r="Y39" i="1"/>
  <c r="AC39" i="1" s="1"/>
  <c r="AF39" i="1"/>
  <c r="AG39" i="1" s="1"/>
  <c r="AE39" i="1"/>
  <c r="Y94" i="1"/>
  <c r="AC94" i="1" s="1"/>
  <c r="AF94" i="1"/>
  <c r="AG94" i="1" s="1"/>
  <c r="AE94" i="1"/>
  <c r="Y48" i="1"/>
  <c r="AC48" i="1" s="1"/>
  <c r="AF48" i="1"/>
  <c r="AE48" i="1"/>
  <c r="T90" i="1"/>
  <c r="R90" i="1" s="1"/>
  <c r="U90" i="1" s="1"/>
  <c r="O90" i="1" s="1"/>
  <c r="P90" i="1" s="1"/>
  <c r="Y72" i="1"/>
  <c r="AC72" i="1" s="1"/>
  <c r="AF72" i="1"/>
  <c r="T72" i="1"/>
  <c r="R72" i="1" s="1"/>
  <c r="U72" i="1" s="1"/>
  <c r="O72" i="1" s="1"/>
  <c r="P72" i="1" s="1"/>
  <c r="AE72" i="1"/>
  <c r="Y86" i="1"/>
  <c r="AC86" i="1" s="1"/>
  <c r="AF86" i="1"/>
  <c r="AE86" i="1"/>
  <c r="AF100" i="1"/>
  <c r="AG100" i="1" s="1"/>
  <c r="Y100" i="1"/>
  <c r="AC100" i="1" s="1"/>
  <c r="AE100" i="1"/>
  <c r="AG21" i="1"/>
  <c r="Y37" i="1"/>
  <c r="AC37" i="1" s="1"/>
  <c r="AF37" i="1"/>
  <c r="AE37" i="1"/>
  <c r="Y69" i="1"/>
  <c r="AC69" i="1" s="1"/>
  <c r="AF69" i="1"/>
  <c r="AG69" i="1" s="1"/>
  <c r="AE69" i="1"/>
  <c r="AF19" i="1"/>
  <c r="AE19" i="1"/>
  <c r="Y19" i="1"/>
  <c r="AC19" i="1" s="1"/>
  <c r="Y95" i="1"/>
  <c r="AC95" i="1" s="1"/>
  <c r="AF95" i="1"/>
  <c r="T95" i="1"/>
  <c r="R95" i="1" s="1"/>
  <c r="U95" i="1" s="1"/>
  <c r="O95" i="1" s="1"/>
  <c r="P95" i="1" s="1"/>
  <c r="AE95" i="1"/>
  <c r="AF63" i="1"/>
  <c r="Y63" i="1"/>
  <c r="AC63" i="1" s="1"/>
  <c r="AE63" i="1"/>
  <c r="T40" i="1"/>
  <c r="R40" i="1" s="1"/>
  <c r="U40" i="1" s="1"/>
  <c r="O40" i="1" s="1"/>
  <c r="P40" i="1" s="1"/>
  <c r="Y97" i="1"/>
  <c r="AC97" i="1" s="1"/>
  <c r="AF97" i="1"/>
  <c r="AE97" i="1"/>
  <c r="T114" i="1"/>
  <c r="R114" i="1" s="1"/>
  <c r="U114" i="1" s="1"/>
  <c r="O114" i="1" s="1"/>
  <c r="P114" i="1" s="1"/>
  <c r="AE85" i="1"/>
  <c r="Y85" i="1"/>
  <c r="AC85" i="1" s="1"/>
  <c r="AF85" i="1"/>
  <c r="AG85" i="1" s="1"/>
  <c r="Y82" i="1"/>
  <c r="AC82" i="1" s="1"/>
  <c r="AF82" i="1"/>
  <c r="AG82" i="1" s="1"/>
  <c r="AE82" i="1"/>
  <c r="AF106" i="1"/>
  <c r="AG106" i="1" s="1"/>
  <c r="Y106" i="1"/>
  <c r="AC106" i="1" s="1"/>
  <c r="AE106" i="1"/>
  <c r="Y107" i="1"/>
  <c r="AC107" i="1" s="1"/>
  <c r="AF107" i="1"/>
  <c r="AG107" i="1" s="1"/>
  <c r="AE107" i="1"/>
  <c r="AF83" i="1"/>
  <c r="Y83" i="1"/>
  <c r="AC83" i="1" s="1"/>
  <c r="AE83" i="1"/>
  <c r="T83" i="1"/>
  <c r="R83" i="1" s="1"/>
  <c r="U83" i="1" s="1"/>
  <c r="O83" i="1" s="1"/>
  <c r="P83" i="1" s="1"/>
  <c r="T48" i="1"/>
  <c r="R48" i="1" s="1"/>
  <c r="U48" i="1" s="1"/>
  <c r="O48" i="1" s="1"/>
  <c r="P48" i="1" s="1"/>
  <c r="Y60" i="1"/>
  <c r="AC60" i="1" s="1"/>
  <c r="AE60" i="1"/>
  <c r="AF60" i="1"/>
  <c r="AF53" i="1"/>
  <c r="Y53" i="1"/>
  <c r="AC53" i="1" s="1"/>
  <c r="AE53" i="1"/>
  <c r="T22" i="1"/>
  <c r="R22" i="1" s="1"/>
  <c r="U22" i="1" s="1"/>
  <c r="O22" i="1" s="1"/>
  <c r="P22" i="1" s="1"/>
  <c r="AF23" i="1"/>
  <c r="AG23" i="1" s="1"/>
  <c r="AE23" i="1"/>
  <c r="Y23" i="1"/>
  <c r="AC23" i="1" s="1"/>
  <c r="AG79" i="1"/>
  <c r="Y101" i="1"/>
  <c r="AC101" i="1" s="1"/>
  <c r="AF101" i="1"/>
  <c r="AE101" i="1"/>
  <c r="Y109" i="1"/>
  <c r="AC109" i="1" s="1"/>
  <c r="AF109" i="1"/>
  <c r="AG109" i="1" s="1"/>
  <c r="AE109" i="1"/>
  <c r="Y24" i="1"/>
  <c r="AC24" i="1" s="1"/>
  <c r="AF24" i="1"/>
  <c r="AG24" i="1" s="1"/>
  <c r="AE24" i="1"/>
  <c r="AF45" i="1"/>
  <c r="Y45" i="1"/>
  <c r="AC45" i="1" s="1"/>
  <c r="AE45" i="1"/>
  <c r="Y87" i="1"/>
  <c r="AC87" i="1" s="1"/>
  <c r="AF87" i="1"/>
  <c r="T87" i="1"/>
  <c r="R87" i="1" s="1"/>
  <c r="U87" i="1" s="1"/>
  <c r="O87" i="1" s="1"/>
  <c r="P87" i="1" s="1"/>
  <c r="AE87" i="1"/>
  <c r="T111" i="1"/>
  <c r="R111" i="1" s="1"/>
  <c r="U111" i="1" s="1"/>
  <c r="O111" i="1" s="1"/>
  <c r="P111" i="1" s="1"/>
  <c r="T74" i="1"/>
  <c r="R74" i="1" s="1"/>
  <c r="U74" i="1" s="1"/>
  <c r="O74" i="1" s="1"/>
  <c r="P74" i="1" s="1"/>
  <c r="Y31" i="1"/>
  <c r="AC31" i="1" s="1"/>
  <c r="AF31" i="1"/>
  <c r="AG31" i="1" s="1"/>
  <c r="AE31" i="1"/>
  <c r="AG32" i="1"/>
  <c r="Y41" i="1"/>
  <c r="AC41" i="1" s="1"/>
  <c r="AF41" i="1"/>
  <c r="AG41" i="1" s="1"/>
  <c r="AE41" i="1"/>
  <c r="T66" i="1"/>
  <c r="R66" i="1" s="1"/>
  <c r="U66" i="1" s="1"/>
  <c r="O66" i="1" s="1"/>
  <c r="P66" i="1" s="1"/>
  <c r="Y73" i="1"/>
  <c r="AC73" i="1" s="1"/>
  <c r="AF73" i="1"/>
  <c r="AG73" i="1" s="1"/>
  <c r="AE73" i="1"/>
  <c r="T73" i="1"/>
  <c r="R73" i="1" s="1"/>
  <c r="U73" i="1" s="1"/>
  <c r="O73" i="1" s="1"/>
  <c r="P73" i="1" s="1"/>
  <c r="T63" i="1"/>
  <c r="R63" i="1" s="1"/>
  <c r="U63" i="1" s="1"/>
  <c r="O63" i="1" s="1"/>
  <c r="P63" i="1" s="1"/>
  <c r="Y77" i="1"/>
  <c r="AC77" i="1" s="1"/>
  <c r="AF77" i="1"/>
  <c r="AE77" i="1"/>
  <c r="Y108" i="1"/>
  <c r="AC108" i="1" s="1"/>
  <c r="AF108" i="1"/>
  <c r="AG108" i="1" s="1"/>
  <c r="AE108" i="1"/>
  <c r="T18" i="1"/>
  <c r="R18" i="1" s="1"/>
  <c r="U18" i="1" s="1"/>
  <c r="O18" i="1" s="1"/>
  <c r="P18" i="1" s="1"/>
  <c r="T56" i="1"/>
  <c r="R56" i="1" s="1"/>
  <c r="U56" i="1" s="1"/>
  <c r="O56" i="1" s="1"/>
  <c r="P56" i="1" s="1"/>
  <c r="AG75" i="1"/>
  <c r="AF57" i="1"/>
  <c r="Y57" i="1"/>
  <c r="AC57" i="1" s="1"/>
  <c r="AE57" i="1"/>
  <c r="AF78" i="1"/>
  <c r="AG78" i="1" s="1"/>
  <c r="AE78" i="1"/>
  <c r="Y78" i="1"/>
  <c r="AC78" i="1" s="1"/>
  <c r="AF27" i="1"/>
  <c r="AG27" i="1" s="1"/>
  <c r="AE27" i="1"/>
  <c r="Y27" i="1"/>
  <c r="AC27" i="1" s="1"/>
  <c r="Y105" i="1"/>
  <c r="AC105" i="1" s="1"/>
  <c r="AF105" i="1"/>
  <c r="AE105" i="1"/>
  <c r="AF98" i="1"/>
  <c r="Y98" i="1"/>
  <c r="AC98" i="1" s="1"/>
  <c r="AE98" i="1"/>
  <c r="AF61" i="1"/>
  <c r="AG61" i="1" s="1"/>
  <c r="Y61" i="1"/>
  <c r="AC61" i="1" s="1"/>
  <c r="AE61" i="1"/>
  <c r="T89" i="1"/>
  <c r="R89" i="1" s="1"/>
  <c r="U89" i="1" s="1"/>
  <c r="O89" i="1" s="1"/>
  <c r="P89" i="1" s="1"/>
  <c r="AG84" i="1"/>
  <c r="T39" i="1"/>
  <c r="R39" i="1" s="1"/>
  <c r="U39" i="1" s="1"/>
  <c r="O39" i="1" s="1"/>
  <c r="P39" i="1" s="1"/>
  <c r="T61" i="1"/>
  <c r="R61" i="1" s="1"/>
  <c r="U61" i="1" s="1"/>
  <c r="O61" i="1" s="1"/>
  <c r="P61" i="1" s="1"/>
  <c r="AF102" i="1"/>
  <c r="AG102" i="1" s="1"/>
  <c r="Y102" i="1"/>
  <c r="AC102" i="1" s="1"/>
  <c r="AE102" i="1"/>
  <c r="AG58" i="1"/>
  <c r="T64" i="1"/>
  <c r="R64" i="1" s="1"/>
  <c r="U64" i="1" s="1"/>
  <c r="O64" i="1" s="1"/>
  <c r="P64" i="1" s="1"/>
  <c r="AG87" i="1" l="1"/>
  <c r="AG19" i="1"/>
  <c r="AG72" i="1"/>
  <c r="AG35" i="1"/>
  <c r="AG65" i="1"/>
  <c r="AG98" i="1"/>
  <c r="AG63" i="1"/>
  <c r="AG66" i="1"/>
  <c r="AG110" i="1"/>
  <c r="AG105" i="1"/>
  <c r="AG52" i="1"/>
  <c r="AG81" i="1"/>
  <c r="AG40" i="1"/>
  <c r="AG45" i="1"/>
  <c r="AG101" i="1"/>
  <c r="AG97" i="1"/>
  <c r="AG95" i="1"/>
  <c r="AG86" i="1"/>
  <c r="AG48" i="1"/>
  <c r="AG64" i="1"/>
  <c r="AG111" i="1"/>
  <c r="AG47" i="1"/>
  <c r="AG99" i="1"/>
  <c r="AG71" i="1"/>
  <c r="AG57" i="1"/>
  <c r="AG77" i="1"/>
  <c r="AG53" i="1"/>
  <c r="AG83" i="1"/>
  <c r="AG37" i="1"/>
  <c r="AG68" i="1"/>
  <c r="AG89" i="1"/>
  <c r="AG49" i="1"/>
  <c r="AG60" i="1"/>
</calcChain>
</file>

<file path=xl/sharedStrings.xml><?xml version="1.0" encoding="utf-8"?>
<sst xmlns="http://schemas.openxmlformats.org/spreadsheetml/2006/main" count="2604" uniqueCount="918">
  <si>
    <t>File opened</t>
  </si>
  <si>
    <t>2023-08-29 09:31:12</t>
  </si>
  <si>
    <t>Console s/n</t>
  </si>
  <si>
    <t>68C-812062</t>
  </si>
  <si>
    <t>Console ver</t>
  </si>
  <si>
    <t>Bluestem v.2.1.08</t>
  </si>
  <si>
    <t>Scripts ver</t>
  </si>
  <si>
    <t>2022.05  2.1.08, Aug 2022</t>
  </si>
  <si>
    <t>Head s/n</t>
  </si>
  <si>
    <t>68H-712052</t>
  </si>
  <si>
    <t>Head ver</t>
  </si>
  <si>
    <t>1.4.22</t>
  </si>
  <si>
    <t>Head cal</t>
  </si>
  <si>
    <t>{"oxygen": "21", "co2azero": "0.88426", "co2aspan1": "0.998745", "co2aspan2": "-0.0206825", "co2aspan2a": "0.292025", "co2aspan2b": "0.289895", "co2aspanconc1": "2490", "co2aspanconc2": "303.6", "co2bzero": "0.888078", "co2bspan1": "0.998975", "co2bspan2": "-0.0218624", "co2bspan2a": "0.292018", "co2bspan2b": "0.289854", "co2bspanconc1": "2490", "co2bspanconc2": "303.6", "h2oazero": "1.01698", "h2oaspan1": "1.01138", "h2oaspan2": "0", "h2oaspan2a": "0.0735416", "h2oaspan2b": "0.0743788", "h2oaspanconc1": "12.1", "h2oaspanconc2": "0", "h2obzero": "1.02048", "h2obspan1": "1.02006", "h2obspan2": "0", "h2obspan2a": "0.0734461", "h2obspan2b": "0.0749195", "h2obspanconc1": "12.1", "h2obspanconc2": "0", "tazero": "-0.14447", "tbzero": "-0.109222", "flowmeterzero": "0.995458", "flowazero": "0.33092", "flowbzero": "0.27125", "chamberpressurezero": "2.66957", "ssa_ref": "29140.5", "ssb_ref": "29296.1"}</t>
  </si>
  <si>
    <t>CO2 rangematch</t>
  </si>
  <si>
    <t>Sat Aug 26 10:18</t>
  </si>
  <si>
    <t>H2O rangematch</t>
  </si>
  <si>
    <t>Sat Aug 26 10:25</t>
  </si>
  <si>
    <t>Chamber type</t>
  </si>
  <si>
    <t>6800-01A</t>
  </si>
  <si>
    <t>Chamber s/n</t>
  </si>
  <si>
    <t>MPF-281815</t>
  </si>
  <si>
    <t>Chamber rev</t>
  </si>
  <si>
    <t>0</t>
  </si>
  <si>
    <t>Chamber cal</t>
  </si>
  <si>
    <t>Fluorometer</t>
  </si>
  <si>
    <t>Flr. Version</t>
  </si>
  <si>
    <t>09:31:12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</si>
  <si>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</si>
  <si>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</si>
  <si>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</si>
  <si>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</si>
  <si>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</si>
  <si>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</si>
  <si>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</si>
  <si>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</si>
  <si>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</si>
  <si>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</si>
  <si>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</si>
  <si>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</si>
  <si>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</si>
  <si>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</si>
  <si>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</si>
  <si>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</si>
  <si>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</si>
  <si>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</si>
  <si>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</si>
  <si>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</si>
  <si>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</si>
  <si>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</si>
  <si>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</si>
  <si>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</si>
  <si>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</si>
  <si>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</si>
  <si>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</si>
  <si>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</si>
  <si>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</si>
  <si>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</si>
  <si>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</si>
  <si>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</si>
  <si>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</si>
  <si>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</si>
  <si>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</si>
  <si>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</si>
  <si>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</si>
  <si>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</si>
  <si>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</si>
  <si>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</si>
  <si>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</si>
  <si>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</si>
  <si>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</si>
  <si>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</si>
  <si>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</si>
  <si>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</si>
  <si>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</si>
  <si>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</si>
  <si>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</si>
  <si>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</si>
  <si>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</si>
  <si>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</si>
  <si>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</si>
  <si>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2.33856 62.411 366.858 613.158 855.128 1035.88 1223.55 1384.74</t>
  </si>
  <si>
    <t>Fs_true</t>
  </si>
  <si>
    <t>0.347913 101.257 401.593 600.407 800.68 1000.49 1201.07 1401.47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</si>
  <si>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</si>
  <si>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</si>
  <si>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</si>
  <si>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</si>
  <si>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</si>
  <si>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</si>
  <si>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</si>
  <si>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</si>
  <si>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</si>
  <si>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</si>
  <si>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</si>
  <si>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</si>
  <si>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</si>
  <si>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</si>
  <si>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</si>
  <si>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</si>
  <si>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</si>
  <si>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</si>
  <si>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</si>
  <si>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</si>
  <si>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</si>
  <si>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</si>
  <si>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</si>
  <si>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</si>
  <si>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</si>
  <si>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</si>
  <si>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</si>
  <si>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</si>
  <si>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</si>
  <si>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</si>
  <si>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</si>
  <si>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</si>
  <si>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</si>
  <si>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</si>
  <si>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</si>
  <si>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</si>
  <si>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</si>
  <si>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</si>
  <si>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</si>
  <si>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</si>
  <si>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</si>
  <si>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</si>
  <si>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</si>
  <si>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</si>
  <si>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</si>
  <si>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</si>
  <si>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</si>
  <si>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</si>
  <si>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</si>
  <si>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</si>
  <si>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</si>
  <si>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</si>
  <si>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</si>
  <si>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</si>
  <si>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</si>
  <si>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</si>
  <si>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</si>
  <si>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</si>
  <si>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</si>
  <si>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</si>
  <si>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</si>
  <si>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</si>
  <si>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</si>
  <si>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</si>
  <si>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</si>
  <si>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</si>
  <si>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</si>
  <si>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</si>
  <si>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</si>
  <si>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</si>
  <si>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</si>
  <si>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</si>
  <si>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</si>
  <si>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</si>
  <si>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</si>
  <si>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</si>
  <si>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</si>
  <si>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</si>
  <si>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</si>
  <si>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</si>
  <si>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</si>
  <si>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</si>
  <si>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</si>
  <si>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</si>
  <si>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</si>
  <si>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</si>
  <si>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</si>
  <si>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</si>
  <si>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</si>
  <si>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</si>
  <si>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</si>
  <si>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</si>
  <si>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</si>
  <si>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</si>
  <si>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</si>
  <si>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</si>
  <si>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</si>
  <si>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</si>
  <si>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</si>
  <si>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</si>
  <si>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</si>
  <si>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</si>
  <si>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</si>
  <si>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</si>
  <si>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</si>
  <si>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</si>
  <si>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</si>
  <si>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</si>
  <si>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</si>
  <si>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</si>
  <si>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</si>
  <si>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</si>
  <si>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</si>
  <si>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</si>
  <si>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</si>
  <si>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</si>
  <si>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</si>
  <si>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</si>
  <si>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</si>
  <si>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</si>
  <si>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</si>
  <si>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</si>
  <si>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</si>
  <si>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</si>
  <si>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</si>
  <si>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</si>
  <si>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</si>
  <si>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</si>
  <si>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</si>
  <si>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</si>
  <si>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</si>
  <si>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</si>
  <si>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</si>
  <si>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</si>
  <si>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</si>
  <si>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</si>
  <si>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</si>
  <si>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</si>
  <si>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</si>
  <si>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</si>
  <si>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</si>
  <si>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</si>
  <si>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</si>
  <si>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</si>
  <si>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</si>
  <si>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</si>
  <si>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</si>
  <si>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</si>
  <si>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</si>
  <si>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</si>
  <si>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</si>
  <si>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</si>
  <si>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</si>
  <si>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</si>
  <si>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</si>
  <si>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</si>
  <si>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</si>
  <si>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</si>
  <si>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</si>
  <si>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</si>
  <si>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</si>
  <si>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</si>
  <si>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</si>
  <si>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</si>
  <si>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</si>
  <si>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</si>
  <si>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</si>
  <si>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</si>
  <si>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</si>
  <si>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</si>
  <si>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</si>
  <si>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</si>
  <si>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</si>
  <si>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</si>
  <si>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</si>
  <si>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</si>
  <si>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</si>
  <si>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</si>
  <si>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</si>
  <si>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</si>
  <si>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</si>
  <si>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</si>
  <si>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</si>
  <si>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</si>
  <si>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</si>
  <si>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</si>
  <si>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</si>
  <si>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</si>
  <si>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</si>
  <si>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</si>
  <si>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</si>
  <si>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</si>
  <si>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</si>
  <si>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</si>
  <si>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</si>
  <si>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</si>
  <si>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</si>
  <si>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</si>
  <si>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</si>
  <si>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</si>
  <si>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</si>
  <si>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</si>
  <si>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</si>
  <si>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</si>
  <si>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</si>
  <si>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</si>
  <si>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</si>
  <si>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</si>
  <si>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</si>
  <si>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</si>
  <si>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</si>
  <si>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</si>
  <si>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</si>
  <si>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</si>
  <si>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</si>
  <si>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</si>
  <si>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</si>
  <si>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</si>
  <si>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</si>
  <si>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</si>
  <si>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</si>
  <si>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</si>
  <si>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</si>
  <si>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</si>
  <si>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</si>
  <si>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</si>
  <si>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</si>
  <si>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</si>
  <si>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</si>
  <si>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</si>
  <si>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</si>
  <si>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</si>
  <si>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</si>
  <si>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</si>
  <si>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</si>
  <si>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</si>
  <si>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</si>
  <si>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</si>
  <si>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</si>
  <si>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</si>
  <si>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</si>
  <si>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</si>
  <si>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</si>
  <si>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</si>
  <si>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</si>
  <si>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</si>
  <si>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</si>
  <si>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</si>
  <si>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</si>
  <si>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</si>
  <si>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</si>
  <si>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</si>
  <si>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</si>
  <si>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</si>
  <si>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</si>
  <si>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</si>
  <si>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</si>
  <si>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</si>
  <si>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</si>
  <si>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</si>
  <si>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</si>
  <si>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</si>
  <si>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</si>
  <si>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</si>
  <si>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</si>
  <si>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</si>
  <si>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</si>
  <si>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</si>
  <si>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</si>
  <si>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</si>
  <si>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</si>
  <si>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</si>
  <si>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</si>
  <si>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</si>
  <si>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</si>
  <si>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</si>
  <si>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</si>
  <si>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</si>
  <si>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</si>
  <si>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</si>
  <si>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</si>
  <si>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</si>
  <si>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</si>
  <si>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</si>
  <si>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</si>
  <si>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</si>
  <si>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</si>
  <si>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</si>
  <si>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</si>
  <si>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</si>
  <si>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</si>
  <si>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</si>
  <si>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</si>
  <si>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</si>
  <si>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</si>
  <si>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</si>
  <si>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</si>
  <si>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</si>
  <si>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</si>
  <si>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</si>
  <si>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</si>
  <si>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</si>
  <si>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</si>
  <si>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</si>
  <si>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</si>
  <si>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</si>
  <si>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</si>
  <si>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</si>
  <si>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</si>
  <si>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</si>
  <si>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</si>
  <si>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</si>
  <si>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</si>
  <si>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</si>
  <si>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</si>
  <si>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</si>
  <si>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</si>
  <si>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</si>
  <si>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</si>
  <si>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</si>
  <si>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</si>
  <si>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</si>
  <si>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</si>
  <si>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</si>
  <si>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</si>
  <si>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</si>
  <si>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</si>
  <si>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20230829 10:25:13</t>
  </si>
  <si>
    <t>10:25:13</t>
  </si>
  <si>
    <t>none</t>
  </si>
  <si>
    <t>hn1a</t>
  </si>
  <si>
    <t>2</t>
  </si>
  <si>
    <t>MPF-918-20220629-11_33_48</t>
  </si>
  <si>
    <t>MPF-7548-20230829-10_25_04</t>
  </si>
  <si>
    <t>DARK-7549-20230829-10_25_11</t>
  </si>
  <si>
    <t>0: Broadleaf</t>
  </si>
  <si>
    <t>10:24:44</t>
  </si>
  <si>
    <t>2/2</t>
  </si>
  <si>
    <t>11111111</t>
  </si>
  <si>
    <t>oooooooo</t>
  </si>
  <si>
    <t>off</t>
  </si>
  <si>
    <t>20230829 10:26:52</t>
  </si>
  <si>
    <t>10:26:52</t>
  </si>
  <si>
    <t>MPF-7550-20230829-10_26_44</t>
  </si>
  <si>
    <t>DARK-7551-20230829-10_26_51</t>
  </si>
  <si>
    <t>10:26:22</t>
  </si>
  <si>
    <t>20230829 10:28:35</t>
  </si>
  <si>
    <t>10:28:35</t>
  </si>
  <si>
    <t>MPF-7552-20230829-10_28_27</t>
  </si>
  <si>
    <t>DARK-7553-20230829-10_28_34</t>
  </si>
  <si>
    <t>10:28:07</t>
  </si>
  <si>
    <t>20230829 10:30:15</t>
  </si>
  <si>
    <t>10:30:15</t>
  </si>
  <si>
    <t>MPF-7554-20230829-10_30_06</t>
  </si>
  <si>
    <t>DARK-7555-20230829-10_30_13</t>
  </si>
  <si>
    <t>10:29:42</t>
  </si>
  <si>
    <t>20230829 10:32:00</t>
  </si>
  <si>
    <t>10:32:00</t>
  </si>
  <si>
    <t>MPF-7556-20230829-10_31_51</t>
  </si>
  <si>
    <t>DARK-7557-20230829-10_31_58</t>
  </si>
  <si>
    <t>10:31:33</t>
  </si>
  <si>
    <t>20230829 10:34:20</t>
  </si>
  <si>
    <t>10:34:20</t>
  </si>
  <si>
    <t>MPF-7558-20230829-10_34_11</t>
  </si>
  <si>
    <t>DARK-7559-20230829-10_34_18</t>
  </si>
  <si>
    <t>10:33:52</t>
  </si>
  <si>
    <t>20230829 10:35:59</t>
  </si>
  <si>
    <t>10:35:59</t>
  </si>
  <si>
    <t>MPF-7560-20230829-10_35_51</t>
  </si>
  <si>
    <t>DARK-7561-20230829-10_35_58</t>
  </si>
  <si>
    <t>10:35:27</t>
  </si>
  <si>
    <t>20230829 10:39:09</t>
  </si>
  <si>
    <t>10:39:09</t>
  </si>
  <si>
    <t>MPF-7562-20230829-10_39_01</t>
  </si>
  <si>
    <t>DARK-7563-20230829-10_39_08</t>
  </si>
  <si>
    <t>10:37:43</t>
  </si>
  <si>
    <t>1/2</t>
  </si>
  <si>
    <t>20230829 10:41:19</t>
  </si>
  <si>
    <t>10:41:19</t>
  </si>
  <si>
    <t>MPF-7564-20230829-10_41_10</t>
  </si>
  <si>
    <t>DARK-7565-20230829-10_41_17</t>
  </si>
  <si>
    <t>10:40:19</t>
  </si>
  <si>
    <t>20230829 10:42:58</t>
  </si>
  <si>
    <t>10:42:58</t>
  </si>
  <si>
    <t>MPF-7566-20230829-10_42_50</t>
  </si>
  <si>
    <t>DARK-7567-20230829-10_42_57</t>
  </si>
  <si>
    <t>10:42:22</t>
  </si>
  <si>
    <t>20230829 10:44:48</t>
  </si>
  <si>
    <t>10:44:48</t>
  </si>
  <si>
    <t>MPF-7568-20230829-10_44_40</t>
  </si>
  <si>
    <t>DARK-7569-20230829-10_44_47</t>
  </si>
  <si>
    <t>10:44:04</t>
  </si>
  <si>
    <t>20230829 10:46:32</t>
  </si>
  <si>
    <t>10:46:32</t>
  </si>
  <si>
    <t>MPF-7570-20230829-10_46_23</t>
  </si>
  <si>
    <t>DARK-7571-20230829-10_46_30</t>
  </si>
  <si>
    <t>10:45:55</t>
  </si>
  <si>
    <t>20230829 10:48:15</t>
  </si>
  <si>
    <t>10:48:15</t>
  </si>
  <si>
    <t>MPF-7572-20230829-10_48_06</t>
  </si>
  <si>
    <t>DARK-7573-20230829-10_48_13</t>
  </si>
  <si>
    <t>10:47:46</t>
  </si>
  <si>
    <t>20230829 10:50:51</t>
  </si>
  <si>
    <t>10:50:51</t>
  </si>
  <si>
    <t>MPF-7574-20230829-10_50_43</t>
  </si>
  <si>
    <t>DARK-7575-20230829-10_50_50</t>
  </si>
  <si>
    <t>10:49:27</t>
  </si>
  <si>
    <t>20230829 11:20:07</t>
  </si>
  <si>
    <t>11:20:07</t>
  </si>
  <si>
    <t>zg12a</t>
  </si>
  <si>
    <t>MPF-7576-20230829-11_19_59</t>
  </si>
  <si>
    <t>DARK-7577-20230829-11_20_06</t>
  </si>
  <si>
    <t>11:19:39</t>
  </si>
  <si>
    <t>20230829 11:21:48</t>
  </si>
  <si>
    <t>11:21:48</t>
  </si>
  <si>
    <t>MPF-7578-20230829-11_21_40</t>
  </si>
  <si>
    <t>DARK-7579-20230829-11_21_47</t>
  </si>
  <si>
    <t>11:21:20</t>
  </si>
  <si>
    <t>20230829 11:23:38</t>
  </si>
  <si>
    <t>11:23:38</t>
  </si>
  <si>
    <t>MPF-7580-20230829-11_23_30</t>
  </si>
  <si>
    <t>DARK-7581-20230829-11_23_37</t>
  </si>
  <si>
    <t>11:23:10</t>
  </si>
  <si>
    <t>20230829 11:25:19</t>
  </si>
  <si>
    <t>11:25:19</t>
  </si>
  <si>
    <t>MPF-7582-20230829-11_25_11</t>
  </si>
  <si>
    <t>DARK-7583-20230829-11_25_18</t>
  </si>
  <si>
    <t>11:24:47</t>
  </si>
  <si>
    <t>20230829 11:27:00</t>
  </si>
  <si>
    <t>11:27:00</t>
  </si>
  <si>
    <t>MPF-7584-20230829-11_26_52</t>
  </si>
  <si>
    <t>DARK-7585-20230829-11_26_59</t>
  </si>
  <si>
    <t>11:26:32</t>
  </si>
  <si>
    <t>20230829 11:28:54</t>
  </si>
  <si>
    <t>11:28:54</t>
  </si>
  <si>
    <t>MPF-7586-20230829-11_28_45</t>
  </si>
  <si>
    <t>DARK-7587-20230829-11_28_53</t>
  </si>
  <si>
    <t>11:28:26</t>
  </si>
  <si>
    <t>20230829 11:30:33</t>
  </si>
  <si>
    <t>11:30:33</t>
  </si>
  <si>
    <t>MPF-7588-20230829-11_30_25</t>
  </si>
  <si>
    <t>DARK-7589-20230829-11_30_32</t>
  </si>
  <si>
    <t>11:30:05</t>
  </si>
  <si>
    <t>20230829 11:33:43</t>
  </si>
  <si>
    <t>11:33:43</t>
  </si>
  <si>
    <t>MPF-7590-20230829-11_33_34</t>
  </si>
  <si>
    <t>DARK-7591-20230829-11_33_42</t>
  </si>
  <si>
    <t>11:31:48</t>
  </si>
  <si>
    <t>20230829 11:36:18</t>
  </si>
  <si>
    <t>11:36:18</t>
  </si>
  <si>
    <t>MPF-7592-20230829-11_36_09</t>
  </si>
  <si>
    <t>DARK-7593-20230829-11_36_17</t>
  </si>
  <si>
    <t>11:34:55</t>
  </si>
  <si>
    <t>20230829 11:38:11</t>
  </si>
  <si>
    <t>11:38:11</t>
  </si>
  <si>
    <t>MPF-7594-20230829-11_38_03</t>
  </si>
  <si>
    <t>DARK-7595-20230829-11_38_10</t>
  </si>
  <si>
    <t>11:37:42</t>
  </si>
  <si>
    <t>20230829 11:39:51</t>
  </si>
  <si>
    <t>11:39:51</t>
  </si>
  <si>
    <t>MPF-7596-20230829-11_39_42</t>
  </si>
  <si>
    <t>DARK-7597-20230829-11_39_50</t>
  </si>
  <si>
    <t>11:39:23</t>
  </si>
  <si>
    <t>20230829 11:41:33</t>
  </si>
  <si>
    <t>11:41:33</t>
  </si>
  <si>
    <t>MPF-7598-20230829-11_41_25</t>
  </si>
  <si>
    <t>DARK-7599-20230829-11_41_32</t>
  </si>
  <si>
    <t>11:41:04</t>
  </si>
  <si>
    <t>20230829 11:43:23</t>
  </si>
  <si>
    <t>11:43:23</t>
  </si>
  <si>
    <t>MPF-7600-20230829-11_43_14</t>
  </si>
  <si>
    <t>DARK-7601-20230829-11_43_22</t>
  </si>
  <si>
    <t>11:42:47</t>
  </si>
  <si>
    <t>20230829 11:45:13</t>
  </si>
  <si>
    <t>11:45:13</t>
  </si>
  <si>
    <t>MPF-7602-20230829-11_45_04</t>
  </si>
  <si>
    <t>DARK-7603-20230829-11_45_12</t>
  </si>
  <si>
    <t>11:44:32</t>
  </si>
  <si>
    <t>20230829 12:06:08</t>
  </si>
  <si>
    <t>12:06:08</t>
  </si>
  <si>
    <t>wt</t>
  </si>
  <si>
    <t>3</t>
  </si>
  <si>
    <t>MPF-7604-20230829-12_06_00</t>
  </si>
  <si>
    <t>DARK-7605-20230829-12_06_07</t>
  </si>
  <si>
    <t>12:05:23</t>
  </si>
  <si>
    <t>20230829 12:07:48</t>
  </si>
  <si>
    <t>12:07:48</t>
  </si>
  <si>
    <t>MPF-7606-20230829-12_07_40</t>
  </si>
  <si>
    <t>DARK-7607-20230829-12_07_47</t>
  </si>
  <si>
    <t>12:07:22</t>
  </si>
  <si>
    <t>20230829 12:10:24</t>
  </si>
  <si>
    <t>12:10:24</t>
  </si>
  <si>
    <t>MPF-7608-20230829-12_10_16</t>
  </si>
  <si>
    <t>DARK-7609-20230829-12_10_23</t>
  </si>
  <si>
    <t>12:09:02</t>
  </si>
  <si>
    <t>20230829 12:12:43</t>
  </si>
  <si>
    <t>12:12:43</t>
  </si>
  <si>
    <t>MPF-7610-20230829-12_12_35</t>
  </si>
  <si>
    <t>DARK-7611-20230829-12_12_42</t>
  </si>
  <si>
    <t>12:12:16</t>
  </si>
  <si>
    <t>20230829 12:14:24</t>
  </si>
  <si>
    <t>12:14:24</t>
  </si>
  <si>
    <t>MPF-7612-20230829-12_14_16</t>
  </si>
  <si>
    <t>DARK-7613-20230829-12_14_23</t>
  </si>
  <si>
    <t>12:13:56</t>
  </si>
  <si>
    <t>20230829 12:16:14</t>
  </si>
  <si>
    <t>12:16:14</t>
  </si>
  <si>
    <t>MPF-7614-20230829-12_16_05</t>
  </si>
  <si>
    <t>DARK-7615-20230829-12_16_13</t>
  </si>
  <si>
    <t>12:15:46</t>
  </si>
  <si>
    <t>20230829 12:18:06</t>
  </si>
  <si>
    <t>12:18:06</t>
  </si>
  <si>
    <t>MPF-7616-20230829-12_17_57</t>
  </si>
  <si>
    <t>DARK-7617-20230829-12_18_05</t>
  </si>
  <si>
    <t>12:17:39</t>
  </si>
  <si>
    <t>20230829 12:21:15</t>
  </si>
  <si>
    <t>12:21:15</t>
  </si>
  <si>
    <t>MPF-7618-20230829-12_21_07</t>
  </si>
  <si>
    <t>DARK-7619-20230829-12_21_14</t>
  </si>
  <si>
    <t>12:20:03</t>
  </si>
  <si>
    <t>20230829 12:23:44</t>
  </si>
  <si>
    <t>12:23:44</t>
  </si>
  <si>
    <t>MPF-7620-20230829-12_23_36</t>
  </si>
  <si>
    <t>DARK-7621-20230829-12_23_43</t>
  </si>
  <si>
    <t>12:22:31</t>
  </si>
  <si>
    <t>20230829 12:25:35</t>
  </si>
  <si>
    <t>12:25:35</t>
  </si>
  <si>
    <t>MPF-7622-20230829-12_25_26</t>
  </si>
  <si>
    <t>DARK-7623-20230829-12_25_34</t>
  </si>
  <si>
    <t>12:25:07</t>
  </si>
  <si>
    <t>20230829 12:28:04</t>
  </si>
  <si>
    <t>12:28:04</t>
  </si>
  <si>
    <t>MPF-7624-20230829-12_27_55</t>
  </si>
  <si>
    <t>DARK-7625-20230829-12_28_03</t>
  </si>
  <si>
    <t>12:26:47</t>
  </si>
  <si>
    <t>20230829 12:30:20</t>
  </si>
  <si>
    <t>12:30:20</t>
  </si>
  <si>
    <t>MPF-7626-20230829-12_30_12</t>
  </si>
  <si>
    <t>DARK-7627-20230829-12_30_19</t>
  </si>
  <si>
    <t>12:29:10</t>
  </si>
  <si>
    <t>20230829 12:33:30</t>
  </si>
  <si>
    <t>12:33:30</t>
  </si>
  <si>
    <t>MPF-7628-20230829-12_33_22</t>
  </si>
  <si>
    <t>DARK-7629-20230829-12_33_29</t>
  </si>
  <si>
    <t>12:31:36</t>
  </si>
  <si>
    <t>20230829 12:36:40</t>
  </si>
  <si>
    <t>12:36:40</t>
  </si>
  <si>
    <t>MPF-7630-20230829-12_36_31</t>
  </si>
  <si>
    <t>DARK-7631-20230829-12_36_39</t>
  </si>
  <si>
    <t>12:34:41</t>
  </si>
  <si>
    <t>20230829 13:18:01</t>
  </si>
  <si>
    <t>13:18:01</t>
  </si>
  <si>
    <t>zg5b</t>
  </si>
  <si>
    <t>6</t>
  </si>
  <si>
    <t>MPF-7632-20230829-13_17_53</t>
  </si>
  <si>
    <t>DARK-7633-20230829-13_18_00</t>
  </si>
  <si>
    <t>13:17:26</t>
  </si>
  <si>
    <t>20230829 13:19:41</t>
  </si>
  <si>
    <t>13:19:41</t>
  </si>
  <si>
    <t>MPF-7634-20230829-13_19_32</t>
  </si>
  <si>
    <t>DARK-7635-20230829-13_19_40</t>
  </si>
  <si>
    <t>13:19:09</t>
  </si>
  <si>
    <t>20230829 13:21:20</t>
  </si>
  <si>
    <t>13:21:20</t>
  </si>
  <si>
    <t>MPF-7636-20230829-13_21_12</t>
  </si>
  <si>
    <t>DARK-7637-20230829-13_21_19</t>
  </si>
  <si>
    <t>13:20:50</t>
  </si>
  <si>
    <t>20230829 13:23:10</t>
  </si>
  <si>
    <t>13:23:10</t>
  </si>
  <si>
    <t>MPF-7638-20230829-13_23_02</t>
  </si>
  <si>
    <t>DARK-7639-20230829-13_23_09</t>
  </si>
  <si>
    <t>13:22:40</t>
  </si>
  <si>
    <t>20230829 13:24:57</t>
  </si>
  <si>
    <t>13:24:57</t>
  </si>
  <si>
    <t>MPF-7640-20230829-13_24_48</t>
  </si>
  <si>
    <t>DARK-7641-20230829-13_24_56</t>
  </si>
  <si>
    <t>13:24:27</t>
  </si>
  <si>
    <t>20230829 13:26:44</t>
  </si>
  <si>
    <t>13:26:44</t>
  </si>
  <si>
    <t>MPF-7642-20230829-13_26_35</t>
  </si>
  <si>
    <t>DARK-7643-20230829-13_26_43</t>
  </si>
  <si>
    <t>13:26:17</t>
  </si>
  <si>
    <t>20230829 13:28:33</t>
  </si>
  <si>
    <t>13:28:33</t>
  </si>
  <si>
    <t>MPF-7644-20230829-13_28_25</t>
  </si>
  <si>
    <t>DARK-7645-20230829-13_28_32</t>
  </si>
  <si>
    <t>13:27:53</t>
  </si>
  <si>
    <t>20230829 13:31:43</t>
  </si>
  <si>
    <t>13:31:43</t>
  </si>
  <si>
    <t>MPF-7646-20230829-13_31_34</t>
  </si>
  <si>
    <t>DARK-7647-20230829-13_31_42</t>
  </si>
  <si>
    <t>13:29:57</t>
  </si>
  <si>
    <t>20230829 13:33:26</t>
  </si>
  <si>
    <t>13:33:26</t>
  </si>
  <si>
    <t>MPF-7648-20230829-13_33_17</t>
  </si>
  <si>
    <t>DARK-7649-20230829-13_33_25</t>
  </si>
  <si>
    <t>13:33:00</t>
  </si>
  <si>
    <t>20230829 13:35:08</t>
  </si>
  <si>
    <t>13:35:08</t>
  </si>
  <si>
    <t>MPF-7650-20230829-13_35_00</t>
  </si>
  <si>
    <t>DARK-7651-20230829-13_35_07</t>
  </si>
  <si>
    <t>13:34:39</t>
  </si>
  <si>
    <t>20230829 13:38:18</t>
  </si>
  <si>
    <t>13:38:18</t>
  </si>
  <si>
    <t>MPF-7652-20230829-13_38_09</t>
  </si>
  <si>
    <t>DARK-7653-20230829-13_38_17</t>
  </si>
  <si>
    <t>13:36:33</t>
  </si>
  <si>
    <t>20230829 13:41:27</t>
  </si>
  <si>
    <t>13:41:27</t>
  </si>
  <si>
    <t>MPF-7654-20230829-13_41_19</t>
  </si>
  <si>
    <t>DARK-7655-20230829-13_41_26</t>
  </si>
  <si>
    <t>13:39:59</t>
  </si>
  <si>
    <t>20230829 13:44:37</t>
  </si>
  <si>
    <t>13:44:37</t>
  </si>
  <si>
    <t>MPF-7656-20230829-13_44_28</t>
  </si>
  <si>
    <t>DARK-7657-20230829-13_44_36</t>
  </si>
  <si>
    <t>13:42:44</t>
  </si>
  <si>
    <t>20230829 13:47:46</t>
  </si>
  <si>
    <t>13:47:46</t>
  </si>
  <si>
    <t>MPF-7658-20230829-13_47_38</t>
  </si>
  <si>
    <t>DARK-7659-20230829-13_47_45</t>
  </si>
  <si>
    <t>13:46:07</t>
  </si>
  <si>
    <t>20230829 14:03:07</t>
  </si>
  <si>
    <t>14:03:07</t>
  </si>
  <si>
    <t>5</t>
  </si>
  <si>
    <t>MPF-7660-20230829-14_02_59</t>
  </si>
  <si>
    <t>DARK-7661-20230829-14_03_06</t>
  </si>
  <si>
    <t>14:02:35</t>
  </si>
  <si>
    <t>20230829 14:05:44</t>
  </si>
  <si>
    <t>14:05:44</t>
  </si>
  <si>
    <t>MPF-7662-20230829-14_05_36</t>
  </si>
  <si>
    <t>DARK-7663-20230829-14_05_43</t>
  </si>
  <si>
    <t>14:05:14</t>
  </si>
  <si>
    <t>20230829 14:07:49</t>
  </si>
  <si>
    <t>14:07:49</t>
  </si>
  <si>
    <t>MPF-7664-20230829-14_07_41</t>
  </si>
  <si>
    <t>DARK-7665-20230829-14_07_48</t>
  </si>
  <si>
    <t>14:07:18</t>
  </si>
  <si>
    <t>20230829 14:09:42</t>
  </si>
  <si>
    <t>14:09:42</t>
  </si>
  <si>
    <t>MPF-7666-20230829-14_09_34</t>
  </si>
  <si>
    <t>DARK-7667-20230829-14_09_41</t>
  </si>
  <si>
    <t>14:09:09</t>
  </si>
  <si>
    <t>20230829 14:11:37</t>
  </si>
  <si>
    <t>14:11:37</t>
  </si>
  <si>
    <t>MPF-7668-20230829-14_11_29</t>
  </si>
  <si>
    <t>DARK-7669-20230829-14_11_36</t>
  </si>
  <si>
    <t>14:11:08</t>
  </si>
  <si>
    <t>20230829 14:13:22</t>
  </si>
  <si>
    <t>14:13:22</t>
  </si>
  <si>
    <t>MPF-7670-20230829-14_13_14</t>
  </si>
  <si>
    <t>DARK-7671-20230829-14_13_21</t>
  </si>
  <si>
    <t>14:12:49</t>
  </si>
  <si>
    <t>20230829 14:15:02</t>
  </si>
  <si>
    <t>14:15:02</t>
  </si>
  <si>
    <t>MPF-7672-20230829-14_14_54</t>
  </si>
  <si>
    <t>DARK-7673-20230829-14_15_01</t>
  </si>
  <si>
    <t>14:14:34</t>
  </si>
  <si>
    <t>20230829 14:18:09</t>
  </si>
  <si>
    <t>14:18:09</t>
  </si>
  <si>
    <t>MPF-7674-20230829-14_18_01</t>
  </si>
  <si>
    <t>DARK-7675-20230829-14_18_08</t>
  </si>
  <si>
    <t>14:16:34</t>
  </si>
  <si>
    <t>20230829 14:20:00</t>
  </si>
  <si>
    <t>14:20:00</t>
  </si>
  <si>
    <t>MPF-7676-20230829-14_19_52</t>
  </si>
  <si>
    <t>DARK-7677-20230829-14_19_59</t>
  </si>
  <si>
    <t>14:19:31</t>
  </si>
  <si>
    <t>20230829 14:21:39</t>
  </si>
  <si>
    <t>14:21:39</t>
  </si>
  <si>
    <t>MPF-7678-20230829-14_21_31</t>
  </si>
  <si>
    <t>DARK-7679-20230829-14_21_38</t>
  </si>
  <si>
    <t>14:22:10</t>
  </si>
  <si>
    <t>20230829 14:23:46</t>
  </si>
  <si>
    <t>14:23:46</t>
  </si>
  <si>
    <t>MPF-7680-20230829-14_23_38</t>
  </si>
  <si>
    <t>DARK-7681-20230829-14_23_45</t>
  </si>
  <si>
    <t>14:23:14</t>
  </si>
  <si>
    <t>20230829 14:25:34</t>
  </si>
  <si>
    <t>14:25:34</t>
  </si>
  <si>
    <t>MPF-7682-20230829-14_25_26</t>
  </si>
  <si>
    <t>DARK-7683-20230829-14_25_33</t>
  </si>
  <si>
    <t>14:25:02</t>
  </si>
  <si>
    <t>20230829 14:28:01</t>
  </si>
  <si>
    <t>14:28:01</t>
  </si>
  <si>
    <t>MPF-7684-20230829-14_27_53</t>
  </si>
  <si>
    <t>DARK-7685-20230829-14_28_00</t>
  </si>
  <si>
    <t>14:27:08</t>
  </si>
  <si>
    <t>20230829 14:31:11</t>
  </si>
  <si>
    <t>14:31:11</t>
  </si>
  <si>
    <t>MPF-7686-20230829-14_31_03</t>
  </si>
  <si>
    <t>DARK-7687-20230829-14_31_10</t>
  </si>
  <si>
    <t>14:29:11</t>
  </si>
  <si>
    <t>20230829 15:11:56</t>
  </si>
  <si>
    <t>15:11:56</t>
  </si>
  <si>
    <t>4</t>
  </si>
  <si>
    <t>MPF-7688-20230829-15_11_48</t>
  </si>
  <si>
    <t>DARK-7689-20230829-15_11_55</t>
  </si>
  <si>
    <t>15:11:21</t>
  </si>
  <si>
    <t>20230829 15:13:35</t>
  </si>
  <si>
    <t>15:13:35</t>
  </si>
  <si>
    <t>MPF-7690-20230829-15_13_27</t>
  </si>
  <si>
    <t>DARK-7691-20230829-15_13_35</t>
  </si>
  <si>
    <t>15:13:08</t>
  </si>
  <si>
    <t>20230829 15:15:15</t>
  </si>
  <si>
    <t>15:15:15</t>
  </si>
  <si>
    <t>MPF-7692-20230829-15_15_07</t>
  </si>
  <si>
    <t>DARK-7693-20230829-15_15_14</t>
  </si>
  <si>
    <t>15:14:42</t>
  </si>
  <si>
    <t>20230829 15:16:54</t>
  </si>
  <si>
    <t>15:16:54</t>
  </si>
  <si>
    <t>MPF-7694-20230829-15_16_46</t>
  </si>
  <si>
    <t>DARK-7695-20230829-15_16_53</t>
  </si>
  <si>
    <t>15:16:26</t>
  </si>
  <si>
    <t>20230829 15:18:49</t>
  </si>
  <si>
    <t>15:18:49</t>
  </si>
  <si>
    <t>MPF-7696-20230829-15_18_41</t>
  </si>
  <si>
    <t>DARK-7697-20230829-15_18_48</t>
  </si>
  <si>
    <t>15:18:21</t>
  </si>
  <si>
    <t>20230829 15:20:38</t>
  </si>
  <si>
    <t>15:20:38</t>
  </si>
  <si>
    <t>MPF-7698-20230829-15_20_30</t>
  </si>
  <si>
    <t>DARK-7699-20230829-15_20_38</t>
  </si>
  <si>
    <t>15:20:10</t>
  </si>
  <si>
    <t>20230829 15:22:18</t>
  </si>
  <si>
    <t>15:22:18</t>
  </si>
  <si>
    <t>MPF-7700-20230829-15_22_10</t>
  </si>
  <si>
    <t>DARK-7701-20230829-15_22_17</t>
  </si>
  <si>
    <t>15:21:50</t>
  </si>
  <si>
    <t>20230829 15:25:28</t>
  </si>
  <si>
    <t>15:25:28</t>
  </si>
  <si>
    <t>MPF-7702-20230829-15_25_20</t>
  </si>
  <si>
    <t>DARK-7703-20230829-15_25_27</t>
  </si>
  <si>
    <t>15:23:32</t>
  </si>
  <si>
    <t>20230829 15:27:44</t>
  </si>
  <si>
    <t>15:27:44</t>
  </si>
  <si>
    <t>MPF-7704-20230829-15_27_36</t>
  </si>
  <si>
    <t>DARK-7705-20230829-15_27_43</t>
  </si>
  <si>
    <t>15:26:35</t>
  </si>
  <si>
    <t>20230829 15:29:24</t>
  </si>
  <si>
    <t>15:29:24</t>
  </si>
  <si>
    <t>MPF-7706-20230829-15_29_16</t>
  </si>
  <si>
    <t>DARK-7707-20230829-15_29_23</t>
  </si>
  <si>
    <t>15:28:50</t>
  </si>
  <si>
    <t>20230829 15:31:04</t>
  </si>
  <si>
    <t>15:31:04</t>
  </si>
  <si>
    <t>MPF-7708-20230829-15_30_56</t>
  </si>
  <si>
    <t>DARK-7709-20230829-15_31_03</t>
  </si>
  <si>
    <t>15:30:36</t>
  </si>
  <si>
    <t>20230829 15:32:49</t>
  </si>
  <si>
    <t>15:32:49</t>
  </si>
  <si>
    <t>MPF-7710-20230829-15_32_41</t>
  </si>
  <si>
    <t>DARK-7711-20230829-15_32_48</t>
  </si>
  <si>
    <t>15:32:16</t>
  </si>
  <si>
    <t>20230829 15:34:38</t>
  </si>
  <si>
    <t>15:34:38</t>
  </si>
  <si>
    <t>MPF-7712-20230829-15_34_30</t>
  </si>
  <si>
    <t>DARK-7713-20230829-15_34_37</t>
  </si>
  <si>
    <t>15:34:07</t>
  </si>
  <si>
    <t>20230829 15:36:34</t>
  </si>
  <si>
    <t>15:36:34</t>
  </si>
  <si>
    <t>MPF-7714-20230829-15_36_26</t>
  </si>
  <si>
    <t>DARK-7715-20230829-15_36_34</t>
  </si>
  <si>
    <t>15:35:57</t>
  </si>
  <si>
    <t>20230829 16:43:00</t>
  </si>
  <si>
    <t>16:43:00</t>
  </si>
  <si>
    <t>MPF-7716-20230829-16_42_52</t>
  </si>
  <si>
    <t>DARK-7717-20230829-16_42_59</t>
  </si>
  <si>
    <t>16:42:28</t>
  </si>
  <si>
    <t>20230829 16:44:46</t>
  </si>
  <si>
    <t>16:44:46</t>
  </si>
  <si>
    <t>MPF-7718-20230829-16_44_38</t>
  </si>
  <si>
    <t>DARK-7719-20230829-16_44_46</t>
  </si>
  <si>
    <t>16:44:20</t>
  </si>
  <si>
    <t>20230829 16:46:26</t>
  </si>
  <si>
    <t>16:46:26</t>
  </si>
  <si>
    <t>MPF-7720-20230829-16_46_18</t>
  </si>
  <si>
    <t>DARK-7721-20230829-16_46_25</t>
  </si>
  <si>
    <t>16:45:57</t>
  </si>
  <si>
    <t>20230829 16:48:31</t>
  </si>
  <si>
    <t>16:48:31</t>
  </si>
  <si>
    <t>MPF-7722-20230829-16_48_23</t>
  </si>
  <si>
    <t>DARK-7723-20230829-16_48_31</t>
  </si>
  <si>
    <t>16:48:04</t>
  </si>
  <si>
    <t>20230829 16:50:37</t>
  </si>
  <si>
    <t>16:50:37</t>
  </si>
  <si>
    <t>MPF-7724-20230829-16_50_29</t>
  </si>
  <si>
    <t>DARK-7725-20230829-16_50_36</t>
  </si>
  <si>
    <t>16:50:09</t>
  </si>
  <si>
    <t>20230829 16:52:26</t>
  </si>
  <si>
    <t>16:52:26</t>
  </si>
  <si>
    <t>MPF-7726-20230829-16_52_18</t>
  </si>
  <si>
    <t>DARK-7727-20230829-16_52_26</t>
  </si>
  <si>
    <t>16:51:52</t>
  </si>
  <si>
    <t>20230829 16:54:06</t>
  </si>
  <si>
    <t>16:54:06</t>
  </si>
  <si>
    <t>MPF-7728-20230829-16_53_58</t>
  </si>
  <si>
    <t>DARK-7729-20230829-16_54_05</t>
  </si>
  <si>
    <t>16:53:32</t>
  </si>
  <si>
    <t>20230829 16:57:13</t>
  </si>
  <si>
    <t>16:57:13</t>
  </si>
  <si>
    <t>MPF-7730-20230829-16_57_05</t>
  </si>
  <si>
    <t>DARK-7731-20230829-16_57_12</t>
  </si>
  <si>
    <t>16:55:59</t>
  </si>
  <si>
    <t>20230829 17:00:22</t>
  </si>
  <si>
    <t>17:00:22</t>
  </si>
  <si>
    <t>MPF-7732-20230829-17_00_14</t>
  </si>
  <si>
    <t>DARK-7733-20230829-17_00_22</t>
  </si>
  <si>
    <t>16:58:55</t>
  </si>
  <si>
    <t>20230829 17:02:02</t>
  </si>
  <si>
    <t>17:02:02</t>
  </si>
  <si>
    <t>MPF-7734-20230829-17_01_54</t>
  </si>
  <si>
    <t>DARK-7735-20230829-17_02_01</t>
  </si>
  <si>
    <t>17:01:32</t>
  </si>
  <si>
    <t>20230829 17:03:41</t>
  </si>
  <si>
    <t>17:03:41</t>
  </si>
  <si>
    <t>MPF-7736-20230829-17_03_33</t>
  </si>
  <si>
    <t>DARK-7737-20230829-17_03_41</t>
  </si>
  <si>
    <t>17:03:09</t>
  </si>
  <si>
    <t>20230829 17:05:40</t>
  </si>
  <si>
    <t>17:05:40</t>
  </si>
  <si>
    <t>MPF-7738-20230829-17_05_32</t>
  </si>
  <si>
    <t>DARK-7739-20230829-17_05_39</t>
  </si>
  <si>
    <t>17:05:07</t>
  </si>
  <si>
    <t>20230829 17:07:23</t>
  </si>
  <si>
    <t>17:07:23</t>
  </si>
  <si>
    <t>MPF-7740-20230829-17_07_15</t>
  </si>
  <si>
    <t>DARK-7741-20230829-17_07_22</t>
  </si>
  <si>
    <t>17:06:55</t>
  </si>
  <si>
    <t>20230829 17:09:12</t>
  </si>
  <si>
    <t>17:09:12</t>
  </si>
  <si>
    <t>MPF-7742-20230829-17_09_04</t>
  </si>
  <si>
    <t>DARK-7743-20230829-17_09_11</t>
  </si>
  <si>
    <t>17:08:41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</si>
</sst>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14"/>
  <sheetViews>
    <sheetView tabSelected="1" workbookViewId="0"/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1693322713.0999999</v>
      </c>
      <c r="C17">
        <v>0</v>
      </c>
      <c r="D17" t="s">
        <v>411</v>
      </c>
      <c r="E17" t="s">
        <v>412</v>
      </c>
      <c r="F17" t="s">
        <v>413</v>
      </c>
      <c r="G17" t="s">
        <v>414</v>
      </c>
      <c r="H17" t="s">
        <v>31</v>
      </c>
      <c r="I17" t="s">
        <v>415</v>
      </c>
      <c r="J17">
        <v>1693322713.0999999</v>
      </c>
      <c r="K17">
        <f t="shared" ref="K17:K48" si="0">(L17)/1000</f>
        <v>4.0597240358674815E-3</v>
      </c>
      <c r="L17">
        <f t="shared" ref="L17:L48" si="1">1000*DL17*AJ17*(DH17-DI17)/(100*DA17*(1000-AJ17*DH17))</f>
        <v>4.0597240358674815</v>
      </c>
      <c r="M17">
        <f t="shared" ref="M17:M48" si="2">DL17*AJ17*(DG17-DF17*(1000-AJ17*DI17)/(1000-AJ17*DH17))/(100*DA17)</f>
        <v>37.000401975133755</v>
      </c>
      <c r="N17">
        <f t="shared" ref="N17:N48" si="3">DF17 - IF(AJ17&gt;1, M17*DA17*100/(AL17*DT17), 0)</f>
        <v>354.03199999999998</v>
      </c>
      <c r="O17">
        <f t="shared" ref="O17:O48" si="4">((U17-K17/2)*N17-M17)/(U17+K17/2)</f>
        <v>142.423659532881</v>
      </c>
      <c r="P17">
        <f t="shared" ref="P17:P48" si="5">O17*(DM17+DN17)/1000</f>
        <v>14.129704751038563</v>
      </c>
      <c r="Q17">
        <f t="shared" ref="Q17:Q48" si="6">(DF17 - IF(AJ17&gt;1, M17*DA17*100/(AL17*DT17), 0))*(DM17+DN17)/1000</f>
        <v>35.123150527281602</v>
      </c>
      <c r="R17">
        <f t="shared" ref="R17:R48" si="7">2/((1/T17-1/S17)+SIGN(T17)*SQRT((1/T17-1/S17)*(1/T17-1/S17) + 4*DB17/((DB17+1)*(DB17+1))*(2*1/T17*1/S17-1/S17*1/S17)))</f>
        <v>0.30143777667475963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2.9213077581611988</v>
      </c>
      <c r="T17">
        <f t="shared" ref="T17:T48" si="9">K17*(1000-(1000*0.61365*EXP(17.502*X17/(240.97+X17))/(DM17+DN17)+DH17)/2)/(1000*0.61365*EXP(17.502*X17/(240.97+X17))/(DM17+DN17)-DH17)</f>
        <v>0.2851623812640145</v>
      </c>
      <c r="U17">
        <f t="shared" ref="U17:U48" si="10">1/((DB17+1)/(R17/1.6)+1/(S17/1.37)) + DB17/((DB17+1)/(R17/1.6) + DB17/(S17/1.37))</f>
        <v>0.1796155027637662</v>
      </c>
      <c r="V17">
        <f t="shared" ref="V17:V48" si="11">(CW17*CZ17)</f>
        <v>344.38589864458856</v>
      </c>
      <c r="W17">
        <f t="shared" ref="W17:W48" si="12">(DO17+(V17+2*0.95*0.0000000567*(((DO17+$B$7)+273)^4-(DO17+273)^4)-44100*K17)/(1.84*29.3*S17+8*0.95*0.0000000567*(DO17+273)^3))</f>
        <v>31.59751232260956</v>
      </c>
      <c r="X17">
        <f t="shared" ref="X17:X48" si="13">($C$7*DP17+$D$7*DQ17+$E$7*W17)</f>
        <v>29.952999999999999</v>
      </c>
      <c r="Y17">
        <f t="shared" ref="Y17:Y48" si="14">0.61365*EXP(17.502*X17/(240.97+X17))</f>
        <v>4.2489616068031024</v>
      </c>
      <c r="Z17">
        <f t="shared" ref="Z17:Z48" si="15">(AA17/AB17*100)</f>
        <v>65.397125419868189</v>
      </c>
      <c r="AA17">
        <f t="shared" ref="AA17:AA48" si="16">DH17*(DM17+DN17)/1000</f>
        <v>2.88736797981807</v>
      </c>
      <c r="AB17">
        <f t="shared" ref="AB17:AB48" si="17">0.61365*EXP(17.502*DO17/(240.97+DO17))</f>
        <v>4.415129810798784</v>
      </c>
      <c r="AC17">
        <f t="shared" ref="AC17:AC48" si="18">(Y17-DH17*(DM17+DN17)/1000)</f>
        <v>1.3615936269850324</v>
      </c>
      <c r="AD17">
        <f t="shared" ref="AD17:AD48" si="19">(-K17*44100)</f>
        <v>-179.03382998175593</v>
      </c>
      <c r="AE17">
        <f t="shared" ref="AE17:AE48" si="20">2*29.3*S17*0.92*(DO17-X17)</f>
        <v>105.41042890415038</v>
      </c>
      <c r="AF17">
        <f t="shared" ref="AF17:AF48" si="21">2*0.95*0.0000000567*(((DO17+$B$7)+273)^4-(X17+273)^4)</f>
        <v>8.046039920331328</v>
      </c>
      <c r="AG17">
        <f t="shared" ref="AG17:AG48" si="22">V17+AF17+AD17+AE17</f>
        <v>278.80853748731437</v>
      </c>
      <c r="AH17">
        <v>0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51992.127003971036</v>
      </c>
      <c r="AM17" t="s">
        <v>416</v>
      </c>
      <c r="AN17">
        <v>10366.9</v>
      </c>
      <c r="AO17">
        <v>993.59653846153856</v>
      </c>
      <c r="AP17">
        <v>3431.87</v>
      </c>
      <c r="AQ17">
        <f t="shared" ref="AQ17:AQ48" si="26">1-AO17/AP17</f>
        <v>0.71047955241266758</v>
      </c>
      <c r="AR17">
        <v>-3.9894345373445681</v>
      </c>
      <c r="AS17" t="s">
        <v>417</v>
      </c>
      <c r="AT17">
        <v>10411.299999999999</v>
      </c>
      <c r="AU17">
        <v>821.69924000000003</v>
      </c>
      <c r="AV17">
        <v>1104.1107457118119</v>
      </c>
      <c r="AW17">
        <f t="shared" ref="AW17:AW48" si="27">1-AU17/AV17</f>
        <v>0.25578186500643396</v>
      </c>
      <c r="AX17">
        <v>0.5</v>
      </c>
      <c r="AY17">
        <f t="shared" ref="AY17:AY48" si="28">CX17</f>
        <v>1513.2599993222943</v>
      </c>
      <c r="AZ17">
        <f t="shared" ref="AZ17:AZ48" si="29">M17</f>
        <v>37.000401975133755</v>
      </c>
      <c r="BA17">
        <f t="shared" ref="BA17:BA48" si="30">AW17*AX17*AY17</f>
        <v>193.53223243314571</v>
      </c>
      <c r="BB17">
        <f t="shared" ref="BB17:BB48" si="31">(AZ17-AR17)/AY17</f>
        <v>2.7087107655548556E-2</v>
      </c>
      <c r="BC17">
        <f t="shared" ref="BC17:BC48" si="32">(AP17-AV17)/AV17</f>
        <v>2.1082660986036315</v>
      </c>
      <c r="BD17">
        <f t="shared" ref="BD17:BD48" si="33">AO17/(AQ17+AO17/AV17)</f>
        <v>616.99272677825093</v>
      </c>
      <c r="BE17" t="s">
        <v>418</v>
      </c>
      <c r="BF17">
        <v>619.1</v>
      </c>
      <c r="BG17">
        <f t="shared" ref="BG17:BG48" si="34">IF(BF17&lt;&gt;0, BF17, BD17)</f>
        <v>619.1</v>
      </c>
      <c r="BH17">
        <f t="shared" ref="BH17:BH48" si="35">1-BG17/AV17</f>
        <v>0.43927726235390374</v>
      </c>
      <c r="BI17">
        <f t="shared" ref="BI17:BI48" si="36">(AV17-AU17)/(AV17-BG17)</f>
        <v>0.58227886332155143</v>
      </c>
      <c r="BJ17">
        <f t="shared" ref="BJ17:BJ48" si="37">(AP17-AV17)/(AP17-BG17)</f>
        <v>0.82756828830234541</v>
      </c>
      <c r="BK17">
        <f t="shared" ref="BK17:BK48" si="38">(AV17-AU17)/(AV17-AO17)</f>
        <v>2.555431674700932</v>
      </c>
      <c r="BL17">
        <f t="shared" ref="BL17:BL48" si="39">(AP17-AV17)/(AP17-AO17)</f>
        <v>0.95467522039937924</v>
      </c>
      <c r="BM17">
        <f t="shared" ref="BM17:BM48" si="40">(BI17*BG17/AU17)</f>
        <v>0.43871142473293817</v>
      </c>
      <c r="BN17">
        <f t="shared" ref="BN17:BN48" si="41">(1-BM17)</f>
        <v>0.56128857526706177</v>
      </c>
      <c r="BO17">
        <v>7548</v>
      </c>
      <c r="BP17">
        <v>290.00000000000011</v>
      </c>
      <c r="BQ17">
        <v>1032.3499999999999</v>
      </c>
      <c r="BR17">
        <v>195</v>
      </c>
      <c r="BS17">
        <v>10411.299999999999</v>
      </c>
      <c r="BT17">
        <v>1029.76</v>
      </c>
      <c r="BU17">
        <v>2.59</v>
      </c>
      <c r="BV17">
        <v>300.00000000000011</v>
      </c>
      <c r="BW17">
        <v>38.200000000000003</v>
      </c>
      <c r="BX17">
        <v>1104.1107457118119</v>
      </c>
      <c r="BY17">
        <v>1.4865218289013289</v>
      </c>
      <c r="BZ17">
        <v>-77.403913583127405</v>
      </c>
      <c r="CA17">
        <v>1.2672174257461659</v>
      </c>
      <c r="CB17">
        <v>0.9925511817782402</v>
      </c>
      <c r="CC17">
        <v>-1.130888676307009E-2</v>
      </c>
      <c r="CD17">
        <v>289.99999999999989</v>
      </c>
      <c r="CE17">
        <v>1024.28</v>
      </c>
      <c r="CF17">
        <v>685</v>
      </c>
      <c r="CG17">
        <v>10389.200000000001</v>
      </c>
      <c r="CH17">
        <v>1029.6099999999999</v>
      </c>
      <c r="CI17">
        <v>-5.33</v>
      </c>
      <c r="CW17">
        <f t="shared" ref="CW17:CW48" si="42">$B$11*DU17+$C$11*DV17+$F$11*EG17*(1-EJ17)</f>
        <v>1800.09</v>
      </c>
      <c r="CX17">
        <f t="shared" ref="CX17:CX48" si="43">CW17*CY17</f>
        <v>1513.2599993222943</v>
      </c>
      <c r="CY17">
        <f t="shared" ref="CY17:CY48" si="44">($B$11*$D$9+$C$11*$D$9+$F$11*((ET17+EL17)/MAX(ET17+EL17+EU17, 0.1)*$I$9+EU17/MAX(ET17+EL17+EU17, 0.1)*$J$9))/($B$11+$C$11+$F$11)</f>
        <v>0.84065796672516058</v>
      </c>
      <c r="CZ17">
        <f t="shared" ref="CZ17:CZ48" si="45">($B$11*$K$9+$C$11*$K$9+$F$11*((ET17+EL17)/MAX(ET17+EL17+EU17, 0.1)*$P$9+EU17/MAX(ET17+EL17+EU17, 0.1)*$Q$9))/($B$11+$C$11+$F$11)</f>
        <v>0.19131593345032114</v>
      </c>
      <c r="DA17">
        <v>6</v>
      </c>
      <c r="DB17">
        <v>0.5</v>
      </c>
      <c r="DC17" t="s">
        <v>419</v>
      </c>
      <c r="DD17">
        <v>2</v>
      </c>
      <c r="DE17">
        <v>1693322713.0999999</v>
      </c>
      <c r="DF17">
        <v>354.03199999999998</v>
      </c>
      <c r="DG17">
        <v>400.09300000000002</v>
      </c>
      <c r="DH17">
        <v>29.103899999999999</v>
      </c>
      <c r="DI17">
        <v>24.380600000000001</v>
      </c>
      <c r="DJ17">
        <v>352.10700000000003</v>
      </c>
      <c r="DK17">
        <v>28.815899999999999</v>
      </c>
      <c r="DL17">
        <v>500.697</v>
      </c>
      <c r="DM17">
        <v>99.109700000000004</v>
      </c>
      <c r="DN17">
        <v>9.9271300000000007E-2</v>
      </c>
      <c r="DO17">
        <v>30.622299999999999</v>
      </c>
      <c r="DP17">
        <v>29.952999999999999</v>
      </c>
      <c r="DQ17">
        <v>999.9</v>
      </c>
      <c r="DR17">
        <v>0</v>
      </c>
      <c r="DS17">
        <v>0</v>
      </c>
      <c r="DT17">
        <v>10042.5</v>
      </c>
      <c r="DU17">
        <v>0</v>
      </c>
      <c r="DV17">
        <v>1238.02</v>
      </c>
      <c r="DW17">
        <v>-46.061500000000002</v>
      </c>
      <c r="DX17">
        <v>364.64499999999998</v>
      </c>
      <c r="DY17">
        <v>410.09199999999998</v>
      </c>
      <c r="DZ17">
        <v>4.7232599999999998</v>
      </c>
      <c r="EA17">
        <v>400.09300000000002</v>
      </c>
      <c r="EB17">
        <v>24.380600000000001</v>
      </c>
      <c r="EC17">
        <v>2.8844799999999999</v>
      </c>
      <c r="ED17">
        <v>2.4163600000000001</v>
      </c>
      <c r="EE17">
        <v>23.375699999999998</v>
      </c>
      <c r="EF17">
        <v>20.473800000000001</v>
      </c>
      <c r="EG17">
        <v>1800.09</v>
      </c>
      <c r="EH17">
        <v>0.97800699999999996</v>
      </c>
      <c r="EI17">
        <v>2.1993200000000001E-2</v>
      </c>
      <c r="EJ17">
        <v>0</v>
      </c>
      <c r="EK17">
        <v>822</v>
      </c>
      <c r="EL17">
        <v>5.0010300000000001</v>
      </c>
      <c r="EM17">
        <v>16218.6</v>
      </c>
      <c r="EN17">
        <v>14701.9</v>
      </c>
      <c r="EO17">
        <v>49.186999999999998</v>
      </c>
      <c r="EP17">
        <v>51.25</v>
      </c>
      <c r="EQ17">
        <v>50.625</v>
      </c>
      <c r="ER17">
        <v>50</v>
      </c>
      <c r="ES17">
        <v>50.875</v>
      </c>
      <c r="ET17">
        <v>1755.61</v>
      </c>
      <c r="EU17">
        <v>39.479999999999997</v>
      </c>
      <c r="EV17">
        <v>0</v>
      </c>
      <c r="EW17">
        <v>1693322711.8</v>
      </c>
      <c r="EX17">
        <v>0</v>
      </c>
      <c r="EY17">
        <v>821.69924000000003</v>
      </c>
      <c r="EZ17">
        <v>1.1023076921487041</v>
      </c>
      <c r="FA17">
        <v>77.130769527064743</v>
      </c>
      <c r="FB17">
        <v>16208.343999999999</v>
      </c>
      <c r="FC17">
        <v>15</v>
      </c>
      <c r="FD17">
        <v>1693322684.0999999</v>
      </c>
      <c r="FE17" t="s">
        <v>420</v>
      </c>
      <c r="FF17">
        <v>1693322680.0999999</v>
      </c>
      <c r="FG17">
        <v>1693322684.0999999</v>
      </c>
      <c r="FH17">
        <v>3</v>
      </c>
      <c r="FI17">
        <v>-0.83</v>
      </c>
      <c r="FJ17">
        <v>-0.05</v>
      </c>
      <c r="FK17">
        <v>1.9630000000000001</v>
      </c>
      <c r="FL17">
        <v>0.17599999999999999</v>
      </c>
      <c r="FM17">
        <v>400</v>
      </c>
      <c r="FN17">
        <v>24</v>
      </c>
      <c r="FO17">
        <v>0.15</v>
      </c>
      <c r="FP17">
        <v>0.08</v>
      </c>
      <c r="FQ17">
        <v>36.925580298325343</v>
      </c>
      <c r="FR17">
        <v>-0.26245758053404822</v>
      </c>
      <c r="FS17">
        <v>7.0620484410136519E-2</v>
      </c>
      <c r="FT17">
        <v>1</v>
      </c>
      <c r="FU17">
        <v>0.30333135592693161</v>
      </c>
      <c r="FV17">
        <v>-3.740320298470665E-3</v>
      </c>
      <c r="FW17">
        <v>1.7543257989755679E-3</v>
      </c>
      <c r="FX17">
        <v>1</v>
      </c>
      <c r="FY17">
        <v>2</v>
      </c>
      <c r="FZ17">
        <v>2</v>
      </c>
      <c r="GA17" t="s">
        <v>421</v>
      </c>
      <c r="GB17">
        <v>2.9011</v>
      </c>
      <c r="GC17">
        <v>2.81765</v>
      </c>
      <c r="GD17">
        <v>8.1851800000000002E-2</v>
      </c>
      <c r="GE17">
        <v>9.0411099999999994E-2</v>
      </c>
      <c r="GF17">
        <v>0.135544</v>
      </c>
      <c r="GG17">
        <v>0.119922</v>
      </c>
      <c r="GH17">
        <v>25457</v>
      </c>
      <c r="GI17">
        <v>25369.1</v>
      </c>
      <c r="GJ17">
        <v>24601.200000000001</v>
      </c>
      <c r="GK17">
        <v>24909.7</v>
      </c>
      <c r="GL17">
        <v>28268.1</v>
      </c>
      <c r="GM17">
        <v>28723.1</v>
      </c>
      <c r="GN17">
        <v>33289.4</v>
      </c>
      <c r="GO17">
        <v>33334.9</v>
      </c>
      <c r="GP17">
        <v>1.9518</v>
      </c>
      <c r="GQ17">
        <v>1.8422000000000001</v>
      </c>
      <c r="GR17">
        <v>4.3958400000000002E-2</v>
      </c>
      <c r="GS17">
        <v>0</v>
      </c>
      <c r="GT17">
        <v>29.237200000000001</v>
      </c>
      <c r="GU17">
        <v>999.9</v>
      </c>
      <c r="GV17">
        <v>57.2</v>
      </c>
      <c r="GW17">
        <v>33.799999999999997</v>
      </c>
      <c r="GX17">
        <v>30.496099999999998</v>
      </c>
      <c r="GY17">
        <v>62.170299999999997</v>
      </c>
      <c r="GZ17">
        <v>24.523199999999999</v>
      </c>
      <c r="HA17">
        <v>1</v>
      </c>
      <c r="HB17">
        <v>0.48091499999999998</v>
      </c>
      <c r="HC17">
        <v>1.91185</v>
      </c>
      <c r="HD17">
        <v>20.1584</v>
      </c>
      <c r="HE17">
        <v>5.2346599999999999</v>
      </c>
      <c r="HF17">
        <v>11.9201</v>
      </c>
      <c r="HG17">
        <v>4.9611999999999998</v>
      </c>
      <c r="HH17">
        <v>3.2890000000000001</v>
      </c>
      <c r="HI17">
        <v>9999</v>
      </c>
      <c r="HJ17">
        <v>9999</v>
      </c>
      <c r="HK17">
        <v>9999</v>
      </c>
      <c r="HL17">
        <v>875.6</v>
      </c>
      <c r="HM17">
        <v>1.8811</v>
      </c>
      <c r="HN17">
        <v>1.8781699999999999</v>
      </c>
      <c r="HO17">
        <v>1.8861399999999999</v>
      </c>
      <c r="HP17">
        <v>1.8838600000000001</v>
      </c>
      <c r="HQ17">
        <v>1.88141</v>
      </c>
      <c r="HR17">
        <v>1.88049</v>
      </c>
      <c r="HS17">
        <v>1.8815999999999999</v>
      </c>
      <c r="HT17">
        <v>1.8810199999999999</v>
      </c>
      <c r="HU17">
        <v>5</v>
      </c>
      <c r="HV17">
        <v>0</v>
      </c>
      <c r="HW17">
        <v>0</v>
      </c>
      <c r="HX17">
        <v>0</v>
      </c>
      <c r="HY17" t="s">
        <v>422</v>
      </c>
      <c r="HZ17" t="s">
        <v>423</v>
      </c>
      <c r="IA17" t="s">
        <v>424</v>
      </c>
      <c r="IB17" t="s">
        <v>424</v>
      </c>
      <c r="IC17" t="s">
        <v>424</v>
      </c>
      <c r="ID17" t="s">
        <v>424</v>
      </c>
      <c r="IE17">
        <v>0</v>
      </c>
      <c r="IF17">
        <v>100</v>
      </c>
      <c r="IG17">
        <v>100</v>
      </c>
      <c r="IH17">
        <v>1.925</v>
      </c>
      <c r="II17">
        <v>0.28799999999999998</v>
      </c>
      <c r="IJ17">
        <v>1.3958244336640699</v>
      </c>
      <c r="IK17">
        <v>2.2153513873161218E-3</v>
      </c>
      <c r="IL17">
        <v>-2.2967369670569612E-6</v>
      </c>
      <c r="IM17">
        <v>7.7859689150384122E-10</v>
      </c>
      <c r="IN17">
        <v>-0.1115618947434916</v>
      </c>
      <c r="IO17">
        <v>-4.1434251034592161E-3</v>
      </c>
      <c r="IP17">
        <v>8.3987709687394815E-4</v>
      </c>
      <c r="IQ17">
        <v>-7.4586254598011197E-6</v>
      </c>
      <c r="IR17">
        <v>2</v>
      </c>
      <c r="IS17">
        <v>1930</v>
      </c>
      <c r="IT17">
        <v>2</v>
      </c>
      <c r="IU17">
        <v>41</v>
      </c>
      <c r="IV17">
        <v>0.6</v>
      </c>
      <c r="IW17">
        <v>0.5</v>
      </c>
      <c r="IX17">
        <v>0.98754900000000001</v>
      </c>
      <c r="IY17">
        <v>2.50244</v>
      </c>
      <c r="IZ17">
        <v>1.24512</v>
      </c>
      <c r="JA17">
        <v>2.2668499999999998</v>
      </c>
      <c r="JB17">
        <v>1.4501999999999999</v>
      </c>
      <c r="JC17">
        <v>2.2753899999999998</v>
      </c>
      <c r="JD17">
        <v>37.578099999999999</v>
      </c>
      <c r="JE17">
        <v>23.754799999999999</v>
      </c>
      <c r="JF17">
        <v>18</v>
      </c>
      <c r="JG17">
        <v>494.38600000000002</v>
      </c>
      <c r="JH17">
        <v>469.767</v>
      </c>
      <c r="JI17">
        <v>26.778400000000001</v>
      </c>
      <c r="JJ17">
        <v>33.505899999999997</v>
      </c>
      <c r="JK17">
        <v>30.0002</v>
      </c>
      <c r="JL17">
        <v>33.304400000000001</v>
      </c>
      <c r="JM17">
        <v>33.270800000000001</v>
      </c>
      <c r="JN17">
        <v>19.8657</v>
      </c>
      <c r="JO17">
        <v>28.340699999999998</v>
      </c>
      <c r="JP17">
        <v>34.862200000000001</v>
      </c>
      <c r="JQ17">
        <v>26.781400000000001</v>
      </c>
      <c r="JR17">
        <v>400</v>
      </c>
      <c r="JS17">
        <v>24.366700000000002</v>
      </c>
      <c r="JT17">
        <v>99.330200000000005</v>
      </c>
      <c r="JU17">
        <v>99.406599999999997</v>
      </c>
    </row>
    <row r="18" spans="1:281" x14ac:dyDescent="0.25">
      <c r="A18">
        <v>2</v>
      </c>
      <c r="B18">
        <v>1693322812.5999999</v>
      </c>
      <c r="C18">
        <v>99.5</v>
      </c>
      <c r="D18" t="s">
        <v>425</v>
      </c>
      <c r="E18" t="s">
        <v>426</v>
      </c>
      <c r="F18" t="s">
        <v>413</v>
      </c>
      <c r="G18" t="s">
        <v>414</v>
      </c>
      <c r="H18" t="s">
        <v>31</v>
      </c>
      <c r="I18" t="s">
        <v>415</v>
      </c>
      <c r="J18">
        <v>1693322812.5999999</v>
      </c>
      <c r="K18">
        <f t="shared" si="0"/>
        <v>4.1263909928472278E-3</v>
      </c>
      <c r="L18">
        <f t="shared" si="1"/>
        <v>4.1263909928472282</v>
      </c>
      <c r="M18">
        <f t="shared" si="2"/>
        <v>29.6594694673513</v>
      </c>
      <c r="N18">
        <f t="shared" si="3"/>
        <v>263.06700000000001</v>
      </c>
      <c r="O18">
        <f t="shared" si="4"/>
        <v>96.51249586022098</v>
      </c>
      <c r="P18">
        <f t="shared" si="5"/>
        <v>9.5751621261732733</v>
      </c>
      <c r="Q18">
        <f t="shared" si="6"/>
        <v>26.099306132277004</v>
      </c>
      <c r="R18">
        <f t="shared" si="7"/>
        <v>0.30661379703820191</v>
      </c>
      <c r="S18">
        <f t="shared" si="8"/>
        <v>2.9134788882166918</v>
      </c>
      <c r="T18">
        <f t="shared" si="9"/>
        <v>0.28974888174407415</v>
      </c>
      <c r="U18">
        <f t="shared" si="10"/>
        <v>0.1825309523800232</v>
      </c>
      <c r="V18">
        <f t="shared" si="11"/>
        <v>344.35739864447561</v>
      </c>
      <c r="W18">
        <f t="shared" si="12"/>
        <v>31.594586340095141</v>
      </c>
      <c r="X18">
        <f t="shared" si="13"/>
        <v>29.9664</v>
      </c>
      <c r="Y18">
        <f t="shared" si="14"/>
        <v>4.2522342015270036</v>
      </c>
      <c r="Z18">
        <f t="shared" si="15"/>
        <v>65.415478395163234</v>
      </c>
      <c r="AA18">
        <f t="shared" si="16"/>
        <v>2.8901935496396005</v>
      </c>
      <c r="AB18">
        <f t="shared" si="17"/>
        <v>4.4182105222566079</v>
      </c>
      <c r="AC18">
        <f t="shared" si="18"/>
        <v>1.3620406518874031</v>
      </c>
      <c r="AD18">
        <f t="shared" si="19"/>
        <v>-181.97384278456275</v>
      </c>
      <c r="AE18">
        <f t="shared" si="20"/>
        <v>104.93945166016958</v>
      </c>
      <c r="AF18">
        <f t="shared" si="21"/>
        <v>8.0326309403268663</v>
      </c>
      <c r="AG18">
        <f t="shared" si="22"/>
        <v>275.3556384604093</v>
      </c>
      <c r="AH18">
        <v>0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51767.62615757504</v>
      </c>
      <c r="AM18" t="s">
        <v>416</v>
      </c>
      <c r="AN18">
        <v>10366.9</v>
      </c>
      <c r="AO18">
        <v>993.59653846153856</v>
      </c>
      <c r="AP18">
        <v>3431.87</v>
      </c>
      <c r="AQ18">
        <f t="shared" si="26"/>
        <v>0.71047955241266758</v>
      </c>
      <c r="AR18">
        <v>-3.9894345373445681</v>
      </c>
      <c r="AS18" t="s">
        <v>427</v>
      </c>
      <c r="AT18">
        <v>10404.700000000001</v>
      </c>
      <c r="AU18">
        <v>804.90861538461536</v>
      </c>
      <c r="AV18">
        <v>1035.337872798199</v>
      </c>
      <c r="AW18">
        <f t="shared" si="27"/>
        <v>0.22256430820095896</v>
      </c>
      <c r="AX18">
        <v>0.5</v>
      </c>
      <c r="AY18">
        <f t="shared" si="28"/>
        <v>1513.1339993222377</v>
      </c>
      <c r="AZ18">
        <f t="shared" si="29"/>
        <v>29.6594694673513</v>
      </c>
      <c r="BA18">
        <f t="shared" si="30"/>
        <v>168.38481088725209</v>
      </c>
      <c r="BB18">
        <f t="shared" si="31"/>
        <v>2.2237887734838993E-2</v>
      </c>
      <c r="BC18">
        <f t="shared" si="32"/>
        <v>2.3147343395491884</v>
      </c>
      <c r="BD18">
        <f t="shared" si="33"/>
        <v>594.9099488166413</v>
      </c>
      <c r="BE18" t="s">
        <v>428</v>
      </c>
      <c r="BF18">
        <v>614.07000000000005</v>
      </c>
      <c r="BG18">
        <f t="shared" si="34"/>
        <v>614.07000000000005</v>
      </c>
      <c r="BH18">
        <f t="shared" si="35"/>
        <v>0.40688927147969756</v>
      </c>
      <c r="BI18">
        <f t="shared" si="36"/>
        <v>0.54698986628863289</v>
      </c>
      <c r="BJ18">
        <f t="shared" si="37"/>
        <v>0.8504975964233803</v>
      </c>
      <c r="BK18">
        <f t="shared" si="38"/>
        <v>5.5204094712229415</v>
      </c>
      <c r="BL18">
        <f t="shared" si="39"/>
        <v>0.98288078224403774</v>
      </c>
      <c r="BM18">
        <f t="shared" si="40"/>
        <v>0.41730211451564603</v>
      </c>
      <c r="BN18">
        <f t="shared" si="41"/>
        <v>0.58269788548435397</v>
      </c>
      <c r="BO18">
        <v>7550</v>
      </c>
      <c r="BP18">
        <v>290.00000000000011</v>
      </c>
      <c r="BQ18">
        <v>973.51</v>
      </c>
      <c r="BR18">
        <v>235</v>
      </c>
      <c r="BS18">
        <v>10404.700000000001</v>
      </c>
      <c r="BT18">
        <v>972.98</v>
      </c>
      <c r="BU18">
        <v>0.53</v>
      </c>
      <c r="BV18">
        <v>300.00000000000011</v>
      </c>
      <c r="BW18">
        <v>38.200000000000003</v>
      </c>
      <c r="BX18">
        <v>1035.337872798199</v>
      </c>
      <c r="BY18">
        <v>0.95674111448208654</v>
      </c>
      <c r="BZ18">
        <v>-64.882401626698879</v>
      </c>
      <c r="CA18">
        <v>0.81549226010398168</v>
      </c>
      <c r="CB18">
        <v>0.99559620476902333</v>
      </c>
      <c r="CC18">
        <v>-1.1307503003337049E-2</v>
      </c>
      <c r="CD18">
        <v>289.99999999999989</v>
      </c>
      <c r="CE18">
        <v>970.12</v>
      </c>
      <c r="CF18">
        <v>675</v>
      </c>
      <c r="CG18">
        <v>10388.700000000001</v>
      </c>
      <c r="CH18">
        <v>972.88</v>
      </c>
      <c r="CI18">
        <v>-2.76</v>
      </c>
      <c r="CW18">
        <f t="shared" si="42"/>
        <v>1799.94</v>
      </c>
      <c r="CX18">
        <f t="shared" si="43"/>
        <v>1513.1339993222377</v>
      </c>
      <c r="CY18">
        <f t="shared" si="44"/>
        <v>0.84065802155751734</v>
      </c>
      <c r="CZ18">
        <f t="shared" si="45"/>
        <v>0.19131604311503472</v>
      </c>
      <c r="DA18">
        <v>6</v>
      </c>
      <c r="DB18">
        <v>0.5</v>
      </c>
      <c r="DC18" t="s">
        <v>419</v>
      </c>
      <c r="DD18">
        <v>2</v>
      </c>
      <c r="DE18">
        <v>1693322812.5999999</v>
      </c>
      <c r="DF18">
        <v>263.06700000000001</v>
      </c>
      <c r="DG18">
        <v>299.95699999999999</v>
      </c>
      <c r="DH18">
        <v>29.131599999999999</v>
      </c>
      <c r="DI18">
        <v>24.3247</v>
      </c>
      <c r="DJ18">
        <v>261.40899999999999</v>
      </c>
      <c r="DK18">
        <v>28.846900000000002</v>
      </c>
      <c r="DL18">
        <v>500.05399999999997</v>
      </c>
      <c r="DM18">
        <v>99.111500000000007</v>
      </c>
      <c r="DN18">
        <v>0.100131</v>
      </c>
      <c r="DO18">
        <v>30.634499999999999</v>
      </c>
      <c r="DP18">
        <v>29.9664</v>
      </c>
      <c r="DQ18">
        <v>999.9</v>
      </c>
      <c r="DR18">
        <v>0</v>
      </c>
      <c r="DS18">
        <v>0</v>
      </c>
      <c r="DT18">
        <v>9997.5</v>
      </c>
      <c r="DU18">
        <v>0</v>
      </c>
      <c r="DV18">
        <v>1242.56</v>
      </c>
      <c r="DW18">
        <v>-36.890099999999997</v>
      </c>
      <c r="DX18">
        <v>270.96100000000001</v>
      </c>
      <c r="DY18">
        <v>307.43599999999998</v>
      </c>
      <c r="DZ18">
        <v>4.8069100000000002</v>
      </c>
      <c r="EA18">
        <v>299.95699999999999</v>
      </c>
      <c r="EB18">
        <v>24.3247</v>
      </c>
      <c r="EC18">
        <v>2.8872800000000001</v>
      </c>
      <c r="ED18">
        <v>2.41086</v>
      </c>
      <c r="EE18">
        <v>23.3917</v>
      </c>
      <c r="EF18">
        <v>20.436900000000001</v>
      </c>
      <c r="EG18">
        <v>1799.94</v>
      </c>
      <c r="EH18">
        <v>0.97800699999999996</v>
      </c>
      <c r="EI18">
        <v>2.1993200000000001E-2</v>
      </c>
      <c r="EJ18">
        <v>0</v>
      </c>
      <c r="EK18">
        <v>804.39200000000005</v>
      </c>
      <c r="EL18">
        <v>5.0010300000000001</v>
      </c>
      <c r="EM18">
        <v>15896</v>
      </c>
      <c r="EN18">
        <v>14700.7</v>
      </c>
      <c r="EO18">
        <v>49.375</v>
      </c>
      <c r="EP18">
        <v>51.311999999999998</v>
      </c>
      <c r="EQ18">
        <v>50.75</v>
      </c>
      <c r="ER18">
        <v>50.125</v>
      </c>
      <c r="ES18">
        <v>51</v>
      </c>
      <c r="ET18">
        <v>1755.46</v>
      </c>
      <c r="EU18">
        <v>39.479999999999997</v>
      </c>
      <c r="EV18">
        <v>0</v>
      </c>
      <c r="EW18">
        <v>97.400000095367432</v>
      </c>
      <c r="EX18">
        <v>0</v>
      </c>
      <c r="EY18">
        <v>804.90861538461536</v>
      </c>
      <c r="EZ18">
        <v>-2.9513846144586688</v>
      </c>
      <c r="FA18">
        <v>-135.408546795223</v>
      </c>
      <c r="FB18">
        <v>15912.196153846149</v>
      </c>
      <c r="FC18">
        <v>15</v>
      </c>
      <c r="FD18">
        <v>1693322782.5999999</v>
      </c>
      <c r="FE18" t="s">
        <v>429</v>
      </c>
      <c r="FF18">
        <v>1693322782.5999999</v>
      </c>
      <c r="FG18">
        <v>1693322782.0999999</v>
      </c>
      <c r="FH18">
        <v>4</v>
      </c>
      <c r="FI18">
        <v>-0.17299999999999999</v>
      </c>
      <c r="FJ18">
        <v>-4.0000000000000001E-3</v>
      </c>
      <c r="FK18">
        <v>1.7</v>
      </c>
      <c r="FL18">
        <v>0.17</v>
      </c>
      <c r="FM18">
        <v>300</v>
      </c>
      <c r="FN18">
        <v>24</v>
      </c>
      <c r="FO18">
        <v>0.08</v>
      </c>
      <c r="FP18">
        <v>0.06</v>
      </c>
      <c r="FQ18">
        <v>29.640409006663809</v>
      </c>
      <c r="FR18">
        <v>0.22055292205666269</v>
      </c>
      <c r="FS18">
        <v>5.7432621919607248E-2</v>
      </c>
      <c r="FT18">
        <v>1</v>
      </c>
      <c r="FU18">
        <v>0.30734515908716681</v>
      </c>
      <c r="FV18">
        <v>1.324977768212892E-2</v>
      </c>
      <c r="FW18">
        <v>2.1205719568910082E-3</v>
      </c>
      <c r="FX18">
        <v>1</v>
      </c>
      <c r="FY18">
        <v>2</v>
      </c>
      <c r="FZ18">
        <v>2</v>
      </c>
      <c r="GA18" t="s">
        <v>421</v>
      </c>
      <c r="GB18">
        <v>2.89927</v>
      </c>
      <c r="GC18">
        <v>2.8181099999999999</v>
      </c>
      <c r="GD18">
        <v>6.4190399999999995E-2</v>
      </c>
      <c r="GE18">
        <v>7.1957099999999996E-2</v>
      </c>
      <c r="GF18">
        <v>0.13562199999999999</v>
      </c>
      <c r="GG18">
        <v>0.119714</v>
      </c>
      <c r="GH18">
        <v>25942.5</v>
      </c>
      <c r="GI18">
        <v>25880.2</v>
      </c>
      <c r="GJ18">
        <v>24597.7</v>
      </c>
      <c r="GK18">
        <v>24906.9</v>
      </c>
      <c r="GL18">
        <v>28262.1</v>
      </c>
      <c r="GM18">
        <v>28726.400000000001</v>
      </c>
      <c r="GN18">
        <v>33285</v>
      </c>
      <c r="GO18">
        <v>33330.6</v>
      </c>
      <c r="GP18">
        <v>1.9509000000000001</v>
      </c>
      <c r="GQ18">
        <v>1.8407</v>
      </c>
      <c r="GR18">
        <v>4.0605700000000002E-2</v>
      </c>
      <c r="GS18">
        <v>0</v>
      </c>
      <c r="GT18">
        <v>29.305199999999999</v>
      </c>
      <c r="GU18">
        <v>999.9</v>
      </c>
      <c r="GV18">
        <v>57</v>
      </c>
      <c r="GW18">
        <v>33.799999999999997</v>
      </c>
      <c r="GX18">
        <v>30.388100000000001</v>
      </c>
      <c r="GY18">
        <v>62.140300000000003</v>
      </c>
      <c r="GZ18">
        <v>25.3325</v>
      </c>
      <c r="HA18">
        <v>1</v>
      </c>
      <c r="HB18">
        <v>0.488232</v>
      </c>
      <c r="HC18">
        <v>1.2411000000000001</v>
      </c>
      <c r="HD18">
        <v>20.164300000000001</v>
      </c>
      <c r="HE18">
        <v>5.2352600000000002</v>
      </c>
      <c r="HF18">
        <v>11.9201</v>
      </c>
      <c r="HG18">
        <v>4.96</v>
      </c>
      <c r="HH18">
        <v>3.2890000000000001</v>
      </c>
      <c r="HI18">
        <v>9999</v>
      </c>
      <c r="HJ18">
        <v>9999</v>
      </c>
      <c r="HK18">
        <v>9999</v>
      </c>
      <c r="HL18">
        <v>875.6</v>
      </c>
      <c r="HM18">
        <v>1.88107</v>
      </c>
      <c r="HN18">
        <v>1.87815</v>
      </c>
      <c r="HO18">
        <v>1.8861399999999999</v>
      </c>
      <c r="HP18">
        <v>1.88391</v>
      </c>
      <c r="HQ18">
        <v>1.88141</v>
      </c>
      <c r="HR18">
        <v>1.88049</v>
      </c>
      <c r="HS18">
        <v>1.8815599999999999</v>
      </c>
      <c r="HT18">
        <v>1.8810199999999999</v>
      </c>
      <c r="HU18">
        <v>5</v>
      </c>
      <c r="HV18">
        <v>0</v>
      </c>
      <c r="HW18">
        <v>0</v>
      </c>
      <c r="HX18">
        <v>0</v>
      </c>
      <c r="HY18" t="s">
        <v>422</v>
      </c>
      <c r="HZ18" t="s">
        <v>423</v>
      </c>
      <c r="IA18" t="s">
        <v>424</v>
      </c>
      <c r="IB18" t="s">
        <v>424</v>
      </c>
      <c r="IC18" t="s">
        <v>424</v>
      </c>
      <c r="ID18" t="s">
        <v>424</v>
      </c>
      <c r="IE18">
        <v>0</v>
      </c>
      <c r="IF18">
        <v>100</v>
      </c>
      <c r="IG18">
        <v>100</v>
      </c>
      <c r="IH18">
        <v>1.6579999999999999</v>
      </c>
      <c r="II18">
        <v>0.28470000000000001</v>
      </c>
      <c r="IJ18">
        <v>1.222591064269644</v>
      </c>
      <c r="IK18">
        <v>2.2153513873161218E-3</v>
      </c>
      <c r="IL18">
        <v>-2.2967369670569612E-6</v>
      </c>
      <c r="IM18">
        <v>7.7859689150384122E-10</v>
      </c>
      <c r="IN18">
        <v>-0.115642560428839</v>
      </c>
      <c r="IO18">
        <v>-4.1434251034592161E-3</v>
      </c>
      <c r="IP18">
        <v>8.3987709687394815E-4</v>
      </c>
      <c r="IQ18">
        <v>-7.4586254598011197E-6</v>
      </c>
      <c r="IR18">
        <v>2</v>
      </c>
      <c r="IS18">
        <v>1930</v>
      </c>
      <c r="IT18">
        <v>2</v>
      </c>
      <c r="IU18">
        <v>41</v>
      </c>
      <c r="IV18">
        <v>0.5</v>
      </c>
      <c r="IW18">
        <v>0.5</v>
      </c>
      <c r="IX18">
        <v>0.787354</v>
      </c>
      <c r="IY18">
        <v>2.4902299999999999</v>
      </c>
      <c r="IZ18">
        <v>1.24512</v>
      </c>
      <c r="JA18">
        <v>2.2668499999999998</v>
      </c>
      <c r="JB18">
        <v>1.4501999999999999</v>
      </c>
      <c r="JC18">
        <v>2.18994</v>
      </c>
      <c r="JD18">
        <v>37.626300000000001</v>
      </c>
      <c r="JE18">
        <v>23.754799999999999</v>
      </c>
      <c r="JF18">
        <v>18</v>
      </c>
      <c r="JG18">
        <v>494.38600000000002</v>
      </c>
      <c r="JH18">
        <v>469.327</v>
      </c>
      <c r="JI18">
        <v>26.601299999999998</v>
      </c>
      <c r="JJ18">
        <v>33.581099999999999</v>
      </c>
      <c r="JK18">
        <v>29.998799999999999</v>
      </c>
      <c r="JL18">
        <v>33.3795</v>
      </c>
      <c r="JM18">
        <v>33.345700000000001</v>
      </c>
      <c r="JN18">
        <v>15.855</v>
      </c>
      <c r="JO18">
        <v>28.1661</v>
      </c>
      <c r="JP18">
        <v>34.406199999999998</v>
      </c>
      <c r="JQ18">
        <v>26.750900000000001</v>
      </c>
      <c r="JR18">
        <v>300</v>
      </c>
      <c r="JS18">
        <v>24.3401</v>
      </c>
      <c r="JT18">
        <v>99.316699999999997</v>
      </c>
      <c r="JU18">
        <v>99.3947</v>
      </c>
    </row>
    <row r="19" spans="1:281" x14ac:dyDescent="0.25">
      <c r="A19">
        <v>3</v>
      </c>
      <c r="B19">
        <v>1693322915.5999999</v>
      </c>
      <c r="C19">
        <v>202.5</v>
      </c>
      <c r="D19" t="s">
        <v>430</v>
      </c>
      <c r="E19" t="s">
        <v>431</v>
      </c>
      <c r="F19" t="s">
        <v>413</v>
      </c>
      <c r="G19" t="s">
        <v>414</v>
      </c>
      <c r="H19" t="s">
        <v>31</v>
      </c>
      <c r="I19" t="s">
        <v>415</v>
      </c>
      <c r="J19">
        <v>1693322915.5999999</v>
      </c>
      <c r="K19">
        <f t="shared" si="0"/>
        <v>4.3424603580646945E-3</v>
      </c>
      <c r="L19">
        <f t="shared" si="1"/>
        <v>4.3424603580646943</v>
      </c>
      <c r="M19">
        <f t="shared" si="2"/>
        <v>20.714956118799037</v>
      </c>
      <c r="N19">
        <f t="shared" si="3"/>
        <v>174.21700000000001</v>
      </c>
      <c r="O19">
        <f t="shared" si="4"/>
        <v>63.314942633111549</v>
      </c>
      <c r="P19">
        <f t="shared" si="5"/>
        <v>6.2817717725625197</v>
      </c>
      <c r="Q19">
        <f t="shared" si="6"/>
        <v>17.284883905560001</v>
      </c>
      <c r="R19">
        <f t="shared" si="7"/>
        <v>0.32235391612596187</v>
      </c>
      <c r="S19">
        <f t="shared" si="8"/>
        <v>2.913530064028242</v>
      </c>
      <c r="T19">
        <f t="shared" si="9"/>
        <v>0.30376966466082245</v>
      </c>
      <c r="U19">
        <f t="shared" si="10"/>
        <v>0.19143641827033395</v>
      </c>
      <c r="V19">
        <f t="shared" si="11"/>
        <v>344.34789864443798</v>
      </c>
      <c r="W19">
        <f t="shared" si="12"/>
        <v>31.563761308869282</v>
      </c>
      <c r="X19">
        <f t="shared" si="13"/>
        <v>29.996500000000001</v>
      </c>
      <c r="Y19">
        <f t="shared" si="14"/>
        <v>4.2595933388490739</v>
      </c>
      <c r="Z19">
        <f t="shared" si="15"/>
        <v>65.370033500442574</v>
      </c>
      <c r="AA19">
        <f t="shared" si="16"/>
        <v>2.8924154875079999</v>
      </c>
      <c r="AB19">
        <f t="shared" si="17"/>
        <v>4.4246810543372561</v>
      </c>
      <c r="AC19">
        <f t="shared" si="18"/>
        <v>1.3671778513410739</v>
      </c>
      <c r="AD19">
        <f t="shared" si="19"/>
        <v>-191.50250179065301</v>
      </c>
      <c r="AE19">
        <f t="shared" si="20"/>
        <v>104.23446089397042</v>
      </c>
      <c r="AF19">
        <f t="shared" si="21"/>
        <v>7.9807249152638722</v>
      </c>
      <c r="AG19">
        <f t="shared" si="22"/>
        <v>265.06058266301926</v>
      </c>
      <c r="AH19">
        <v>0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51764.776490629709</v>
      </c>
      <c r="AM19" t="s">
        <v>416</v>
      </c>
      <c r="AN19">
        <v>10366.9</v>
      </c>
      <c r="AO19">
        <v>993.59653846153856</v>
      </c>
      <c r="AP19">
        <v>3431.87</v>
      </c>
      <c r="AQ19">
        <f t="shared" si="26"/>
        <v>0.71047955241266758</v>
      </c>
      <c r="AR19">
        <v>-3.9894345373445681</v>
      </c>
      <c r="AS19" t="s">
        <v>432</v>
      </c>
      <c r="AT19">
        <v>10410.799999999999</v>
      </c>
      <c r="AU19">
        <v>803.66346153846155</v>
      </c>
      <c r="AV19">
        <v>972.55282431944943</v>
      </c>
      <c r="AW19">
        <f t="shared" si="27"/>
        <v>0.17365572188756884</v>
      </c>
      <c r="AX19">
        <v>0.5</v>
      </c>
      <c r="AY19">
        <f t="shared" si="28"/>
        <v>1513.0919993222192</v>
      </c>
      <c r="AZ19">
        <f t="shared" si="29"/>
        <v>20.714956118799037</v>
      </c>
      <c r="BA19">
        <f t="shared" si="30"/>
        <v>131.37854171230239</v>
      </c>
      <c r="BB19">
        <f t="shared" si="31"/>
        <v>1.6327090928515777E-2</v>
      </c>
      <c r="BC19">
        <f t="shared" si="32"/>
        <v>2.5287234936585317</v>
      </c>
      <c r="BD19">
        <f t="shared" si="33"/>
        <v>573.63125469869783</v>
      </c>
      <c r="BE19" t="s">
        <v>433</v>
      </c>
      <c r="BF19">
        <v>601.37</v>
      </c>
      <c r="BG19">
        <f t="shared" si="34"/>
        <v>601.37</v>
      </c>
      <c r="BH19">
        <f t="shared" si="35"/>
        <v>0.38165826579053652</v>
      </c>
      <c r="BI19">
        <f t="shared" si="36"/>
        <v>0.45500317287212994</v>
      </c>
      <c r="BJ19">
        <f t="shared" si="37"/>
        <v>0.86886316045947731</v>
      </c>
      <c r="BK19">
        <f t="shared" si="38"/>
        <v>-8.0256442204370906</v>
      </c>
      <c r="BL19">
        <f t="shared" si="39"/>
        <v>1.0086305799878621</v>
      </c>
      <c r="BM19">
        <f t="shared" si="40"/>
        <v>0.34047243798580695</v>
      </c>
      <c r="BN19">
        <f t="shared" si="41"/>
        <v>0.65952756201419305</v>
      </c>
      <c r="BO19">
        <v>7552</v>
      </c>
      <c r="BP19">
        <v>290.00000000000011</v>
      </c>
      <c r="BQ19">
        <v>929.41</v>
      </c>
      <c r="BR19">
        <v>185</v>
      </c>
      <c r="BS19">
        <v>10410.799999999999</v>
      </c>
      <c r="BT19">
        <v>927.87</v>
      </c>
      <c r="BU19">
        <v>1.54</v>
      </c>
      <c r="BV19">
        <v>300.00000000000011</v>
      </c>
      <c r="BW19">
        <v>38.299999999999997</v>
      </c>
      <c r="BX19">
        <v>972.55282431944943</v>
      </c>
      <c r="BY19">
        <v>1.1276736227896109</v>
      </c>
      <c r="BZ19">
        <v>-46.517712918918377</v>
      </c>
      <c r="CA19">
        <v>0.9611221874368806</v>
      </c>
      <c r="CB19">
        <v>0.98818814334499672</v>
      </c>
      <c r="CC19">
        <v>-1.130622135706342E-2</v>
      </c>
      <c r="CD19">
        <v>289.99999999999989</v>
      </c>
      <c r="CE19">
        <v>925.84</v>
      </c>
      <c r="CF19">
        <v>705</v>
      </c>
      <c r="CG19">
        <v>10385.700000000001</v>
      </c>
      <c r="CH19">
        <v>927.76</v>
      </c>
      <c r="CI19">
        <v>-1.92</v>
      </c>
      <c r="CW19">
        <f t="shared" si="42"/>
        <v>1799.89</v>
      </c>
      <c r="CX19">
        <f t="shared" si="43"/>
        <v>1513.0919993222192</v>
      </c>
      <c r="CY19">
        <f t="shared" si="44"/>
        <v>0.8406580398370006</v>
      </c>
      <c r="CZ19">
        <f t="shared" si="45"/>
        <v>0.19131607967400116</v>
      </c>
      <c r="DA19">
        <v>6</v>
      </c>
      <c r="DB19">
        <v>0.5</v>
      </c>
      <c r="DC19" t="s">
        <v>419</v>
      </c>
      <c r="DD19">
        <v>2</v>
      </c>
      <c r="DE19">
        <v>1693322915.5999999</v>
      </c>
      <c r="DF19">
        <v>174.21700000000001</v>
      </c>
      <c r="DG19">
        <v>199.95</v>
      </c>
      <c r="DH19">
        <v>29.153099999999998</v>
      </c>
      <c r="DI19">
        <v>24.1005</v>
      </c>
      <c r="DJ19">
        <v>172.83500000000001</v>
      </c>
      <c r="DK19">
        <v>28.869299999999999</v>
      </c>
      <c r="DL19">
        <v>500.637</v>
      </c>
      <c r="DM19">
        <v>99.114400000000003</v>
      </c>
      <c r="DN19">
        <v>0.10027999999999999</v>
      </c>
      <c r="DO19">
        <v>30.6601</v>
      </c>
      <c r="DP19">
        <v>29.996500000000001</v>
      </c>
      <c r="DQ19">
        <v>999.9</v>
      </c>
      <c r="DR19">
        <v>0</v>
      </c>
      <c r="DS19">
        <v>0</v>
      </c>
      <c r="DT19">
        <v>9997.5</v>
      </c>
      <c r="DU19">
        <v>0</v>
      </c>
      <c r="DV19">
        <v>1286.78</v>
      </c>
      <c r="DW19">
        <v>-25.732700000000001</v>
      </c>
      <c r="DX19">
        <v>179.44900000000001</v>
      </c>
      <c r="DY19">
        <v>204.88800000000001</v>
      </c>
      <c r="DZ19">
        <v>5.0525799999999998</v>
      </c>
      <c r="EA19">
        <v>199.95</v>
      </c>
      <c r="EB19">
        <v>24.1005</v>
      </c>
      <c r="EC19">
        <v>2.8894899999999999</v>
      </c>
      <c r="ED19">
        <v>2.3887100000000001</v>
      </c>
      <c r="EE19">
        <v>23.404499999999999</v>
      </c>
      <c r="EF19">
        <v>20.287400000000002</v>
      </c>
      <c r="EG19">
        <v>1799.89</v>
      </c>
      <c r="EH19">
        <v>0.97800699999999996</v>
      </c>
      <c r="EI19">
        <v>2.1993100000000002E-2</v>
      </c>
      <c r="EJ19">
        <v>0</v>
      </c>
      <c r="EK19">
        <v>802.98299999999995</v>
      </c>
      <c r="EL19">
        <v>5.0010300000000001</v>
      </c>
      <c r="EM19">
        <v>15929.6</v>
      </c>
      <c r="EN19">
        <v>14700.3</v>
      </c>
      <c r="EO19">
        <v>49.311999999999998</v>
      </c>
      <c r="EP19">
        <v>51.311999999999998</v>
      </c>
      <c r="EQ19">
        <v>50.875</v>
      </c>
      <c r="ER19">
        <v>50.186999999999998</v>
      </c>
      <c r="ES19">
        <v>50.936999999999998</v>
      </c>
      <c r="ET19">
        <v>1755.41</v>
      </c>
      <c r="EU19">
        <v>39.479999999999997</v>
      </c>
      <c r="EV19">
        <v>0</v>
      </c>
      <c r="EW19">
        <v>101</v>
      </c>
      <c r="EX19">
        <v>0</v>
      </c>
      <c r="EY19">
        <v>803.66346153846155</v>
      </c>
      <c r="EZ19">
        <v>-2.4123760685033431</v>
      </c>
      <c r="FA19">
        <v>-169.4358971020178</v>
      </c>
      <c r="FB19">
        <v>15932.607692307691</v>
      </c>
      <c r="FC19">
        <v>15</v>
      </c>
      <c r="FD19">
        <v>1693322887.0999999</v>
      </c>
      <c r="FE19" t="s">
        <v>434</v>
      </c>
      <c r="FF19">
        <v>1693322880.0999999</v>
      </c>
      <c r="FG19">
        <v>1693322887.0999999</v>
      </c>
      <c r="FH19">
        <v>5</v>
      </c>
      <c r="FI19">
        <v>-0.158</v>
      </c>
      <c r="FJ19">
        <v>-1E-3</v>
      </c>
      <c r="FK19">
        <v>1.419</v>
      </c>
      <c r="FL19">
        <v>0.16200000000000001</v>
      </c>
      <c r="FM19">
        <v>200</v>
      </c>
      <c r="FN19">
        <v>24</v>
      </c>
      <c r="FO19">
        <v>0.17</v>
      </c>
      <c r="FP19">
        <v>0.06</v>
      </c>
      <c r="FQ19">
        <v>20.677567621259058</v>
      </c>
      <c r="FR19">
        <v>0.24928171830862719</v>
      </c>
      <c r="FS19">
        <v>5.0163298477233678E-2</v>
      </c>
      <c r="FT19">
        <v>1</v>
      </c>
      <c r="FU19">
        <v>0.32448178421474622</v>
      </c>
      <c r="FV19">
        <v>2.7062276763577049E-2</v>
      </c>
      <c r="FW19">
        <v>2.5173701308334249E-3</v>
      </c>
      <c r="FX19">
        <v>1</v>
      </c>
      <c r="FY19">
        <v>2</v>
      </c>
      <c r="FZ19">
        <v>2</v>
      </c>
      <c r="GA19" t="s">
        <v>421</v>
      </c>
      <c r="GB19">
        <v>2.9006599999999998</v>
      </c>
      <c r="GC19">
        <v>2.8182700000000001</v>
      </c>
      <c r="GD19">
        <v>4.4712599999999998E-2</v>
      </c>
      <c r="GE19">
        <v>5.0960100000000001E-2</v>
      </c>
      <c r="GF19">
        <v>0.13568</v>
      </c>
      <c r="GG19">
        <v>0.118946</v>
      </c>
      <c r="GH19">
        <v>26480.799999999999</v>
      </c>
      <c r="GI19">
        <v>26463.5</v>
      </c>
      <c r="GJ19">
        <v>24596.9</v>
      </c>
      <c r="GK19">
        <v>24905.599999999999</v>
      </c>
      <c r="GL19">
        <v>28259.599999999999</v>
      </c>
      <c r="GM19">
        <v>28749.4</v>
      </c>
      <c r="GN19">
        <v>33284</v>
      </c>
      <c r="GO19">
        <v>33327.800000000003</v>
      </c>
      <c r="GP19">
        <v>1.95</v>
      </c>
      <c r="GQ19">
        <v>1.8386</v>
      </c>
      <c r="GR19">
        <v>5.0485099999999998E-2</v>
      </c>
      <c r="GS19">
        <v>0</v>
      </c>
      <c r="GT19">
        <v>29.174399999999999</v>
      </c>
      <c r="GU19">
        <v>999.9</v>
      </c>
      <c r="GV19">
        <v>56.9</v>
      </c>
      <c r="GW19">
        <v>33.799999999999997</v>
      </c>
      <c r="GX19">
        <v>30.332699999999999</v>
      </c>
      <c r="GY19">
        <v>62.220300000000002</v>
      </c>
      <c r="GZ19">
        <v>24.7837</v>
      </c>
      <c r="HA19">
        <v>1</v>
      </c>
      <c r="HB19">
        <v>0.49294700000000002</v>
      </c>
      <c r="HC19">
        <v>1.8005899999999999</v>
      </c>
      <c r="HD19">
        <v>20.159400000000002</v>
      </c>
      <c r="HE19">
        <v>5.2310699999999999</v>
      </c>
      <c r="HF19">
        <v>11.9201</v>
      </c>
      <c r="HG19">
        <v>4.9598000000000004</v>
      </c>
      <c r="HH19">
        <v>3.2890000000000001</v>
      </c>
      <c r="HI19">
        <v>9999</v>
      </c>
      <c r="HJ19">
        <v>9999</v>
      </c>
      <c r="HK19">
        <v>9999</v>
      </c>
      <c r="HL19">
        <v>875.6</v>
      </c>
      <c r="HM19">
        <v>1.8811</v>
      </c>
      <c r="HN19">
        <v>1.87819</v>
      </c>
      <c r="HO19">
        <v>1.8861399999999999</v>
      </c>
      <c r="HP19">
        <v>1.8839600000000001</v>
      </c>
      <c r="HQ19">
        <v>1.88141</v>
      </c>
      <c r="HR19">
        <v>1.88049</v>
      </c>
      <c r="HS19">
        <v>1.8815999999999999</v>
      </c>
      <c r="HT19">
        <v>1.88106</v>
      </c>
      <c r="HU19">
        <v>5</v>
      </c>
      <c r="HV19">
        <v>0</v>
      </c>
      <c r="HW19">
        <v>0</v>
      </c>
      <c r="HX19">
        <v>0</v>
      </c>
      <c r="HY19" t="s">
        <v>422</v>
      </c>
      <c r="HZ19" t="s">
        <v>423</v>
      </c>
      <c r="IA19" t="s">
        <v>424</v>
      </c>
      <c r="IB19" t="s">
        <v>424</v>
      </c>
      <c r="IC19" t="s">
        <v>424</v>
      </c>
      <c r="ID19" t="s">
        <v>424</v>
      </c>
      <c r="IE19">
        <v>0</v>
      </c>
      <c r="IF19">
        <v>100</v>
      </c>
      <c r="IG19">
        <v>100</v>
      </c>
      <c r="IH19">
        <v>1.3819999999999999</v>
      </c>
      <c r="II19">
        <v>0.2838</v>
      </c>
      <c r="IJ19">
        <v>1.064139023393037</v>
      </c>
      <c r="IK19">
        <v>2.2153513873161218E-3</v>
      </c>
      <c r="IL19">
        <v>-2.2967369670569612E-6</v>
      </c>
      <c r="IM19">
        <v>7.7859689150384122E-10</v>
      </c>
      <c r="IN19">
        <v>-0.1170542250826786</v>
      </c>
      <c r="IO19">
        <v>-4.1434251034592161E-3</v>
      </c>
      <c r="IP19">
        <v>8.3987709687394815E-4</v>
      </c>
      <c r="IQ19">
        <v>-7.4586254598011197E-6</v>
      </c>
      <c r="IR19">
        <v>2</v>
      </c>
      <c r="IS19">
        <v>1930</v>
      </c>
      <c r="IT19">
        <v>2</v>
      </c>
      <c r="IU19">
        <v>41</v>
      </c>
      <c r="IV19">
        <v>0.6</v>
      </c>
      <c r="IW19">
        <v>0.5</v>
      </c>
      <c r="IX19">
        <v>0.57983399999999996</v>
      </c>
      <c r="IY19">
        <v>2.5</v>
      </c>
      <c r="IZ19">
        <v>1.24512</v>
      </c>
      <c r="JA19">
        <v>2.2668499999999998</v>
      </c>
      <c r="JB19">
        <v>1.4501999999999999</v>
      </c>
      <c r="JC19">
        <v>2.4145500000000002</v>
      </c>
      <c r="JD19">
        <v>37.650399999999998</v>
      </c>
      <c r="JE19">
        <v>23.754799999999999</v>
      </c>
      <c r="JF19">
        <v>18</v>
      </c>
      <c r="JG19">
        <v>494.26299999999998</v>
      </c>
      <c r="JH19">
        <v>468.30399999999997</v>
      </c>
      <c r="JI19">
        <v>26.951599999999999</v>
      </c>
      <c r="JJ19">
        <v>33.629399999999997</v>
      </c>
      <c r="JK19">
        <v>30.0002</v>
      </c>
      <c r="JL19">
        <v>33.439700000000002</v>
      </c>
      <c r="JM19">
        <v>33.4009</v>
      </c>
      <c r="JN19">
        <v>11.6778</v>
      </c>
      <c r="JO19">
        <v>28.997599999999998</v>
      </c>
      <c r="JP19">
        <v>33.829300000000003</v>
      </c>
      <c r="JQ19">
        <v>26.957599999999999</v>
      </c>
      <c r="JR19">
        <v>200</v>
      </c>
      <c r="JS19">
        <v>24.004899999999999</v>
      </c>
      <c r="JT19">
        <v>99.313599999999994</v>
      </c>
      <c r="JU19">
        <v>99.387699999999995</v>
      </c>
    </row>
    <row r="20" spans="1:281" x14ac:dyDescent="0.25">
      <c r="A20">
        <v>4</v>
      </c>
      <c r="B20">
        <v>1693323015.0999999</v>
      </c>
      <c r="C20">
        <v>302</v>
      </c>
      <c r="D20" t="s">
        <v>435</v>
      </c>
      <c r="E20" t="s">
        <v>436</v>
      </c>
      <c r="F20" t="s">
        <v>413</v>
      </c>
      <c r="G20" t="s">
        <v>414</v>
      </c>
      <c r="H20" t="s">
        <v>31</v>
      </c>
      <c r="I20" t="s">
        <v>415</v>
      </c>
      <c r="J20">
        <v>1693323015.0999999</v>
      </c>
      <c r="K20">
        <f t="shared" si="0"/>
        <v>4.7055135598744599E-3</v>
      </c>
      <c r="L20">
        <f t="shared" si="1"/>
        <v>4.7055135598744595</v>
      </c>
      <c r="M20">
        <f t="shared" si="2"/>
        <v>13.180409675197017</v>
      </c>
      <c r="N20">
        <f t="shared" si="3"/>
        <v>103.6</v>
      </c>
      <c r="O20">
        <f t="shared" si="4"/>
        <v>38.234975263509817</v>
      </c>
      <c r="P20">
        <f t="shared" si="5"/>
        <v>3.7935732288407982</v>
      </c>
      <c r="Q20">
        <f t="shared" si="6"/>
        <v>10.2789182888</v>
      </c>
      <c r="R20">
        <f t="shared" si="7"/>
        <v>0.34956066842497474</v>
      </c>
      <c r="S20">
        <f t="shared" si="8"/>
        <v>2.9188191349273889</v>
      </c>
      <c r="T20">
        <f t="shared" si="9"/>
        <v>0.32785728964859279</v>
      </c>
      <c r="U20">
        <f t="shared" si="10"/>
        <v>0.20674837849998068</v>
      </c>
      <c r="V20">
        <f t="shared" si="11"/>
        <v>344.3377986447436</v>
      </c>
      <c r="W20">
        <f t="shared" si="12"/>
        <v>31.55443174668132</v>
      </c>
      <c r="X20">
        <f t="shared" si="13"/>
        <v>30.0533</v>
      </c>
      <c r="Y20">
        <f t="shared" si="14"/>
        <v>4.2735105884590894</v>
      </c>
      <c r="Z20">
        <f t="shared" si="15"/>
        <v>65.239580598190258</v>
      </c>
      <c r="AA20">
        <f t="shared" si="16"/>
        <v>2.9009964870904001</v>
      </c>
      <c r="AB20">
        <f t="shared" si="17"/>
        <v>4.4466816930623763</v>
      </c>
      <c r="AC20">
        <f t="shared" si="18"/>
        <v>1.3725141013686892</v>
      </c>
      <c r="AD20">
        <f t="shared" si="19"/>
        <v>-207.51314799046369</v>
      </c>
      <c r="AE20">
        <f t="shared" si="20"/>
        <v>109.14446402744966</v>
      </c>
      <c r="AF20">
        <f t="shared" si="21"/>
        <v>8.347442993582483</v>
      </c>
      <c r="AG20">
        <f t="shared" si="22"/>
        <v>254.31655767531205</v>
      </c>
      <c r="AH20">
        <v>0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51900.231250326629</v>
      </c>
      <c r="AM20" t="s">
        <v>416</v>
      </c>
      <c r="AN20">
        <v>10366.9</v>
      </c>
      <c r="AO20">
        <v>993.59653846153856</v>
      </c>
      <c r="AP20">
        <v>3431.87</v>
      </c>
      <c r="AQ20">
        <f t="shared" si="26"/>
        <v>0.71047955241266758</v>
      </c>
      <c r="AR20">
        <v>-3.9894345373445681</v>
      </c>
      <c r="AS20" t="s">
        <v>437</v>
      </c>
      <c r="AT20">
        <v>10398.799999999999</v>
      </c>
      <c r="AU20">
        <v>810.21442307692291</v>
      </c>
      <c r="AV20">
        <v>931.86769236537793</v>
      </c>
      <c r="AW20">
        <f t="shared" si="27"/>
        <v>0.13054779158579921</v>
      </c>
      <c r="AX20">
        <v>0.5</v>
      </c>
      <c r="AY20">
        <f t="shared" si="28"/>
        <v>1513.0496993223717</v>
      </c>
      <c r="AZ20">
        <f t="shared" si="29"/>
        <v>13.180409675197017</v>
      </c>
      <c r="BA20">
        <f t="shared" si="30"/>
        <v>98.762648403046569</v>
      </c>
      <c r="BB20">
        <f t="shared" si="31"/>
        <v>1.1347838884757851E-2</v>
      </c>
      <c r="BC20">
        <f t="shared" si="32"/>
        <v>2.6827867605204956</v>
      </c>
      <c r="BD20">
        <f t="shared" si="33"/>
        <v>559.23028414519388</v>
      </c>
      <c r="BE20" t="s">
        <v>438</v>
      </c>
      <c r="BF20">
        <v>605.92999999999995</v>
      </c>
      <c r="BG20">
        <f t="shared" si="34"/>
        <v>605.92999999999995</v>
      </c>
      <c r="BH20">
        <f t="shared" si="35"/>
        <v>0.34976820747808524</v>
      </c>
      <c r="BI20">
        <f t="shared" si="36"/>
        <v>0.37324087436957437</v>
      </c>
      <c r="BJ20">
        <f t="shared" si="37"/>
        <v>0.88466220359760717</v>
      </c>
      <c r="BK20">
        <f t="shared" si="38"/>
        <v>-1.9707685625444009</v>
      </c>
      <c r="BL20">
        <f t="shared" si="39"/>
        <v>1.0253166214002969</v>
      </c>
      <c r="BM20">
        <f t="shared" si="40"/>
        <v>0.27913332145814496</v>
      </c>
      <c r="BN20">
        <f t="shared" si="41"/>
        <v>0.72086667854185504</v>
      </c>
      <c r="BO20">
        <v>7554</v>
      </c>
      <c r="BP20">
        <v>290.00000000000011</v>
      </c>
      <c r="BQ20">
        <v>899.29</v>
      </c>
      <c r="BR20">
        <v>275</v>
      </c>
      <c r="BS20">
        <v>10398.799999999999</v>
      </c>
      <c r="BT20">
        <v>898.85</v>
      </c>
      <c r="BU20">
        <v>0.44</v>
      </c>
      <c r="BV20">
        <v>300.00000000000011</v>
      </c>
      <c r="BW20">
        <v>38.299999999999997</v>
      </c>
      <c r="BX20">
        <v>931.86769236537793</v>
      </c>
      <c r="BY20">
        <v>1.013017084755701</v>
      </c>
      <c r="BZ20">
        <v>-34.332427344166007</v>
      </c>
      <c r="CA20">
        <v>0.86335816134376486</v>
      </c>
      <c r="CB20">
        <v>0.98260163286154656</v>
      </c>
      <c r="CC20">
        <v>-1.1305883203559519E-2</v>
      </c>
      <c r="CD20">
        <v>289.99999999999989</v>
      </c>
      <c r="CE20">
        <v>896.71</v>
      </c>
      <c r="CF20">
        <v>815</v>
      </c>
      <c r="CG20">
        <v>10378.5</v>
      </c>
      <c r="CH20">
        <v>898.79</v>
      </c>
      <c r="CI20">
        <v>-2.08</v>
      </c>
      <c r="CW20">
        <f t="shared" si="42"/>
        <v>1799.84</v>
      </c>
      <c r="CX20">
        <f t="shared" si="43"/>
        <v>1513.0496993223717</v>
      </c>
      <c r="CY20">
        <f t="shared" si="44"/>
        <v>0.84065789143611191</v>
      </c>
      <c r="CZ20">
        <f t="shared" si="45"/>
        <v>0.19131578287222398</v>
      </c>
      <c r="DA20">
        <v>6</v>
      </c>
      <c r="DB20">
        <v>0.5</v>
      </c>
      <c r="DC20" t="s">
        <v>419</v>
      </c>
      <c r="DD20">
        <v>2</v>
      </c>
      <c r="DE20">
        <v>1693323015.0999999</v>
      </c>
      <c r="DF20">
        <v>103.6</v>
      </c>
      <c r="DG20">
        <v>119.976</v>
      </c>
      <c r="DH20">
        <v>29.238800000000001</v>
      </c>
      <c r="DI20">
        <v>23.765799999999999</v>
      </c>
      <c r="DJ20">
        <v>102.486</v>
      </c>
      <c r="DK20">
        <v>28.956800000000001</v>
      </c>
      <c r="DL20">
        <v>500.77800000000002</v>
      </c>
      <c r="DM20">
        <v>99.117000000000004</v>
      </c>
      <c r="DN20">
        <v>0.100358</v>
      </c>
      <c r="DO20">
        <v>30.7469</v>
      </c>
      <c r="DP20">
        <v>30.0533</v>
      </c>
      <c r="DQ20">
        <v>999.9</v>
      </c>
      <c r="DR20">
        <v>0</v>
      </c>
      <c r="DS20">
        <v>0</v>
      </c>
      <c r="DT20">
        <v>10027.5</v>
      </c>
      <c r="DU20">
        <v>0</v>
      </c>
      <c r="DV20">
        <v>1294.26</v>
      </c>
      <c r="DW20">
        <v>-16.376300000000001</v>
      </c>
      <c r="DX20">
        <v>106.72</v>
      </c>
      <c r="DY20">
        <v>122.89700000000001</v>
      </c>
      <c r="DZ20">
        <v>5.4730299999999996</v>
      </c>
      <c r="EA20">
        <v>119.976</v>
      </c>
      <c r="EB20">
        <v>23.765799999999999</v>
      </c>
      <c r="EC20">
        <v>2.8980600000000001</v>
      </c>
      <c r="ED20">
        <v>2.3555899999999999</v>
      </c>
      <c r="EE20">
        <v>23.453499999999998</v>
      </c>
      <c r="EF20">
        <v>20.061699999999998</v>
      </c>
      <c r="EG20">
        <v>1799.84</v>
      </c>
      <c r="EH20">
        <v>0.97800699999999996</v>
      </c>
      <c r="EI20">
        <v>2.1993100000000002E-2</v>
      </c>
      <c r="EJ20">
        <v>0</v>
      </c>
      <c r="EK20">
        <v>810.10299999999995</v>
      </c>
      <c r="EL20">
        <v>5.0010300000000001</v>
      </c>
      <c r="EM20">
        <v>16016.9</v>
      </c>
      <c r="EN20">
        <v>14699.8</v>
      </c>
      <c r="EO20">
        <v>49.436999999999998</v>
      </c>
      <c r="EP20">
        <v>51.311999999999998</v>
      </c>
      <c r="EQ20">
        <v>50.875</v>
      </c>
      <c r="ER20">
        <v>50.186999999999998</v>
      </c>
      <c r="ES20">
        <v>51</v>
      </c>
      <c r="ET20">
        <v>1755.37</v>
      </c>
      <c r="EU20">
        <v>39.47</v>
      </c>
      <c r="EV20">
        <v>0</v>
      </c>
      <c r="EW20">
        <v>97.400000095367432</v>
      </c>
      <c r="EX20">
        <v>0</v>
      </c>
      <c r="EY20">
        <v>810.21442307692291</v>
      </c>
      <c r="EZ20">
        <v>-3.489264972156628</v>
      </c>
      <c r="FA20">
        <v>-220.1264959664218</v>
      </c>
      <c r="FB20">
        <v>16037.42692307693</v>
      </c>
      <c r="FC20">
        <v>15</v>
      </c>
      <c r="FD20">
        <v>1693322982.0999999</v>
      </c>
      <c r="FE20" t="s">
        <v>439</v>
      </c>
      <c r="FF20">
        <v>1693322979.0999999</v>
      </c>
      <c r="FG20">
        <v>1693322982.0999999</v>
      </c>
      <c r="FH20">
        <v>6</v>
      </c>
      <c r="FI20">
        <v>-0.155</v>
      </c>
      <c r="FJ20">
        <v>-4.0000000000000001E-3</v>
      </c>
      <c r="FK20">
        <v>1.1419999999999999</v>
      </c>
      <c r="FL20">
        <v>0.154</v>
      </c>
      <c r="FM20">
        <v>120</v>
      </c>
      <c r="FN20">
        <v>24</v>
      </c>
      <c r="FO20">
        <v>0.28999999999999998</v>
      </c>
      <c r="FP20">
        <v>0.05</v>
      </c>
      <c r="FQ20">
        <v>13.0957089527018</v>
      </c>
      <c r="FR20">
        <v>0.48019859040133772</v>
      </c>
      <c r="FS20">
        <v>7.6459796209739819E-2</v>
      </c>
      <c r="FT20">
        <v>1</v>
      </c>
      <c r="FU20">
        <v>0.35175952460848547</v>
      </c>
      <c r="FV20">
        <v>-4.5132156845062998E-3</v>
      </c>
      <c r="FW20">
        <v>1.613337338586116E-3</v>
      </c>
      <c r="FX20">
        <v>1</v>
      </c>
      <c r="FY20">
        <v>2</v>
      </c>
      <c r="FZ20">
        <v>2</v>
      </c>
      <c r="GA20" t="s">
        <v>421</v>
      </c>
      <c r="GB20">
        <v>2.90096</v>
      </c>
      <c r="GC20">
        <v>2.8186100000000001</v>
      </c>
      <c r="GD20">
        <v>2.74573E-2</v>
      </c>
      <c r="GE20">
        <v>3.19324E-2</v>
      </c>
      <c r="GF20">
        <v>0.13595299999999999</v>
      </c>
      <c r="GG20">
        <v>0.1178</v>
      </c>
      <c r="GH20">
        <v>26957.200000000001</v>
      </c>
      <c r="GI20">
        <v>26990.5</v>
      </c>
      <c r="GJ20">
        <v>24595.8</v>
      </c>
      <c r="GK20">
        <v>24903.3</v>
      </c>
      <c r="GL20">
        <v>28249.4</v>
      </c>
      <c r="GM20">
        <v>28783.7</v>
      </c>
      <c r="GN20">
        <v>33282.400000000001</v>
      </c>
      <c r="GO20">
        <v>33324</v>
      </c>
      <c r="GP20">
        <v>1.9502999999999999</v>
      </c>
      <c r="GQ20">
        <v>1.8379000000000001</v>
      </c>
      <c r="GR20">
        <v>5.2139199999999997E-2</v>
      </c>
      <c r="GS20">
        <v>0</v>
      </c>
      <c r="GT20">
        <v>29.2042</v>
      </c>
      <c r="GU20">
        <v>999.9</v>
      </c>
      <c r="GV20">
        <v>56.7</v>
      </c>
      <c r="GW20">
        <v>33.799999999999997</v>
      </c>
      <c r="GX20">
        <v>30.226500000000001</v>
      </c>
      <c r="GY20">
        <v>62.060299999999998</v>
      </c>
      <c r="GZ20">
        <v>24.435099999999998</v>
      </c>
      <c r="HA20">
        <v>1</v>
      </c>
      <c r="HB20">
        <v>0.49710399999999999</v>
      </c>
      <c r="HC20">
        <v>2.17563</v>
      </c>
      <c r="HD20">
        <v>20.154399999999999</v>
      </c>
      <c r="HE20">
        <v>5.2328599999999996</v>
      </c>
      <c r="HF20">
        <v>11.9201</v>
      </c>
      <c r="HG20">
        <v>4.9603999999999999</v>
      </c>
      <c r="HH20">
        <v>3.2887</v>
      </c>
      <c r="HI20">
        <v>9999</v>
      </c>
      <c r="HJ20">
        <v>9999</v>
      </c>
      <c r="HK20">
        <v>9999</v>
      </c>
      <c r="HL20">
        <v>875.6</v>
      </c>
      <c r="HM20">
        <v>1.8810899999999999</v>
      </c>
      <c r="HN20">
        <v>1.8782000000000001</v>
      </c>
      <c r="HO20">
        <v>1.8861399999999999</v>
      </c>
      <c r="HP20">
        <v>1.88391</v>
      </c>
      <c r="HQ20">
        <v>1.88141</v>
      </c>
      <c r="HR20">
        <v>1.88049</v>
      </c>
      <c r="HS20">
        <v>1.8816600000000001</v>
      </c>
      <c r="HT20">
        <v>1.8810899999999999</v>
      </c>
      <c r="HU20">
        <v>5</v>
      </c>
      <c r="HV20">
        <v>0</v>
      </c>
      <c r="HW20">
        <v>0</v>
      </c>
      <c r="HX20">
        <v>0</v>
      </c>
      <c r="HY20" t="s">
        <v>422</v>
      </c>
      <c r="HZ20" t="s">
        <v>423</v>
      </c>
      <c r="IA20" t="s">
        <v>424</v>
      </c>
      <c r="IB20" t="s">
        <v>424</v>
      </c>
      <c r="IC20" t="s">
        <v>424</v>
      </c>
      <c r="ID20" t="s">
        <v>424</v>
      </c>
      <c r="IE20">
        <v>0</v>
      </c>
      <c r="IF20">
        <v>100</v>
      </c>
      <c r="IG20">
        <v>100</v>
      </c>
      <c r="IH20">
        <v>1.1140000000000001</v>
      </c>
      <c r="II20">
        <v>0.28199999999999997</v>
      </c>
      <c r="IJ20">
        <v>0.90961992861822161</v>
      </c>
      <c r="IK20">
        <v>2.2153513873161218E-3</v>
      </c>
      <c r="IL20">
        <v>-2.2967369670569612E-6</v>
      </c>
      <c r="IM20">
        <v>7.7859689150384122E-10</v>
      </c>
      <c r="IN20">
        <v>-0.12122140899030159</v>
      </c>
      <c r="IO20">
        <v>-4.1434251034592161E-3</v>
      </c>
      <c r="IP20">
        <v>8.3987709687394815E-4</v>
      </c>
      <c r="IQ20">
        <v>-7.4586254598011197E-6</v>
      </c>
      <c r="IR20">
        <v>2</v>
      </c>
      <c r="IS20">
        <v>1930</v>
      </c>
      <c r="IT20">
        <v>2</v>
      </c>
      <c r="IU20">
        <v>41</v>
      </c>
      <c r="IV20">
        <v>0.6</v>
      </c>
      <c r="IW20">
        <v>0.6</v>
      </c>
      <c r="IX20">
        <v>0.40771499999999999</v>
      </c>
      <c r="IY20">
        <v>2.51831</v>
      </c>
      <c r="IZ20">
        <v>1.24512</v>
      </c>
      <c r="JA20">
        <v>2.2668499999999998</v>
      </c>
      <c r="JB20">
        <v>1.4501999999999999</v>
      </c>
      <c r="JC20">
        <v>2.3132299999999999</v>
      </c>
      <c r="JD20">
        <v>37.698700000000002</v>
      </c>
      <c r="JE20">
        <v>23.754799999999999</v>
      </c>
      <c r="JF20">
        <v>18</v>
      </c>
      <c r="JG20">
        <v>494.78399999999999</v>
      </c>
      <c r="JH20">
        <v>468.173</v>
      </c>
      <c r="JI20">
        <v>26.9864</v>
      </c>
      <c r="JJ20">
        <v>33.6599</v>
      </c>
      <c r="JK20">
        <v>30.000499999999999</v>
      </c>
      <c r="JL20">
        <v>33.479199999999999</v>
      </c>
      <c r="JM20">
        <v>33.444800000000001</v>
      </c>
      <c r="JN20">
        <v>8.2353699999999996</v>
      </c>
      <c r="JO20">
        <v>29.5243</v>
      </c>
      <c r="JP20">
        <v>33.209899999999998</v>
      </c>
      <c r="JQ20">
        <v>26.971800000000002</v>
      </c>
      <c r="JR20">
        <v>120</v>
      </c>
      <c r="JS20">
        <v>23.703700000000001</v>
      </c>
      <c r="JT20">
        <v>99.308999999999997</v>
      </c>
      <c r="JU20">
        <v>99.377099999999999</v>
      </c>
    </row>
    <row r="21" spans="1:281" x14ac:dyDescent="0.25">
      <c r="A21">
        <v>5</v>
      </c>
      <c r="B21">
        <v>1693323120.0999999</v>
      </c>
      <c r="C21">
        <v>407</v>
      </c>
      <c r="D21" t="s">
        <v>440</v>
      </c>
      <c r="E21" t="s">
        <v>441</v>
      </c>
      <c r="F21" t="s">
        <v>413</v>
      </c>
      <c r="G21" t="s">
        <v>414</v>
      </c>
      <c r="H21" t="s">
        <v>31</v>
      </c>
      <c r="I21" t="s">
        <v>415</v>
      </c>
      <c r="J21">
        <v>1693323120.0999999</v>
      </c>
      <c r="K21">
        <f t="shared" si="0"/>
        <v>5.1490403804866575E-3</v>
      </c>
      <c r="L21">
        <f t="shared" si="1"/>
        <v>5.1490403804866576</v>
      </c>
      <c r="M21">
        <f t="shared" si="2"/>
        <v>8.2060052576712117</v>
      </c>
      <c r="N21">
        <f t="shared" si="3"/>
        <v>59.802700000000002</v>
      </c>
      <c r="O21">
        <f t="shared" si="4"/>
        <v>23.354738794353334</v>
      </c>
      <c r="P21">
        <f t="shared" si="5"/>
        <v>2.3172827799694566</v>
      </c>
      <c r="Q21">
        <f t="shared" si="6"/>
        <v>5.9336894377592007</v>
      </c>
      <c r="R21">
        <f t="shared" si="7"/>
        <v>0.39326466215186601</v>
      </c>
      <c r="S21">
        <f t="shared" si="8"/>
        <v>2.9110174109599307</v>
      </c>
      <c r="T21">
        <f t="shared" si="9"/>
        <v>0.36595429352839376</v>
      </c>
      <c r="U21">
        <f t="shared" si="10"/>
        <v>0.23101692068064761</v>
      </c>
      <c r="V21">
        <f t="shared" si="11"/>
        <v>344.416298644709</v>
      </c>
      <c r="W21">
        <f t="shared" si="12"/>
        <v>31.418690236444533</v>
      </c>
      <c r="X21">
        <f t="shared" si="13"/>
        <v>29.968699999999998</v>
      </c>
      <c r="Y21">
        <f t="shared" si="14"/>
        <v>4.252796136374986</v>
      </c>
      <c r="Z21">
        <f t="shared" si="15"/>
        <v>65.461124449980232</v>
      </c>
      <c r="AA21">
        <f t="shared" si="16"/>
        <v>2.9071086580328003</v>
      </c>
      <c r="AB21">
        <f t="shared" si="17"/>
        <v>4.4409696326774268</v>
      </c>
      <c r="AC21">
        <f t="shared" si="18"/>
        <v>1.3456874783421857</v>
      </c>
      <c r="AD21">
        <f t="shared" si="19"/>
        <v>-227.07268077946159</v>
      </c>
      <c r="AE21">
        <f t="shared" si="20"/>
        <v>118.59862898751413</v>
      </c>
      <c r="AF21">
        <f t="shared" si="21"/>
        <v>9.0900009220162996</v>
      </c>
      <c r="AG21">
        <f t="shared" si="22"/>
        <v>245.03224777477786</v>
      </c>
      <c r="AH21">
        <v>0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51682.657301295541</v>
      </c>
      <c r="AM21" t="s">
        <v>416</v>
      </c>
      <c r="AN21">
        <v>10366.9</v>
      </c>
      <c r="AO21">
        <v>993.59653846153856</v>
      </c>
      <c r="AP21">
        <v>3431.87</v>
      </c>
      <c r="AQ21">
        <f t="shared" si="26"/>
        <v>0.71047955241266758</v>
      </c>
      <c r="AR21">
        <v>-3.9894345373445681</v>
      </c>
      <c r="AS21" t="s">
        <v>442</v>
      </c>
      <c r="AT21">
        <v>10405</v>
      </c>
      <c r="AU21">
        <v>815.93915384615377</v>
      </c>
      <c r="AV21">
        <v>903.45985651115154</v>
      </c>
      <c r="AW21">
        <f t="shared" si="27"/>
        <v>9.6872818459220023E-2</v>
      </c>
      <c r="AX21">
        <v>0.5</v>
      </c>
      <c r="AY21">
        <f t="shared" si="28"/>
        <v>1513.3943993223543</v>
      </c>
      <c r="AZ21">
        <f t="shared" si="29"/>
        <v>8.2060052576712117</v>
      </c>
      <c r="BA21">
        <f t="shared" si="30"/>
        <v>73.303390451377382</v>
      </c>
      <c r="BB21">
        <f t="shared" si="31"/>
        <v>8.058335487746272E-3</v>
      </c>
      <c r="BC21">
        <f t="shared" si="32"/>
        <v>2.7985860415012693</v>
      </c>
      <c r="BD21">
        <f t="shared" si="33"/>
        <v>548.87319444031084</v>
      </c>
      <c r="BE21" t="s">
        <v>443</v>
      </c>
      <c r="BF21">
        <v>612.26</v>
      </c>
      <c r="BG21">
        <f t="shared" si="34"/>
        <v>612.26</v>
      </c>
      <c r="BH21">
        <f t="shared" si="35"/>
        <v>0.32231632032403112</v>
      </c>
      <c r="BI21">
        <f t="shared" si="36"/>
        <v>0.30055201164443618</v>
      </c>
      <c r="BJ21">
        <f t="shared" si="37"/>
        <v>0.89672335659500735</v>
      </c>
      <c r="BK21">
        <f t="shared" si="38"/>
        <v>-0.97097763941622428</v>
      </c>
      <c r="BL21">
        <f t="shared" si="39"/>
        <v>1.0369674211577211</v>
      </c>
      <c r="BM21">
        <f t="shared" si="40"/>
        <v>0.22552658955267996</v>
      </c>
      <c r="BN21">
        <f t="shared" si="41"/>
        <v>0.7744734104473201</v>
      </c>
      <c r="BO21">
        <v>7556</v>
      </c>
      <c r="BP21">
        <v>290.00000000000011</v>
      </c>
      <c r="BQ21">
        <v>879.93</v>
      </c>
      <c r="BR21">
        <v>225</v>
      </c>
      <c r="BS21">
        <v>10405</v>
      </c>
      <c r="BT21">
        <v>880.28</v>
      </c>
      <c r="BU21">
        <v>-0.35</v>
      </c>
      <c r="BV21">
        <v>300.00000000000011</v>
      </c>
      <c r="BW21">
        <v>38.299999999999997</v>
      </c>
      <c r="BX21">
        <v>903.45985651115154</v>
      </c>
      <c r="BY21">
        <v>1.058711297997877</v>
      </c>
      <c r="BZ21">
        <v>-24.118884863234172</v>
      </c>
      <c r="CA21">
        <v>0.90232981303606818</v>
      </c>
      <c r="CB21">
        <v>0.96228802498284338</v>
      </c>
      <c r="CC21">
        <v>-1.1306041601779761E-2</v>
      </c>
      <c r="CD21">
        <v>289.99999999999989</v>
      </c>
      <c r="CE21">
        <v>878.74</v>
      </c>
      <c r="CF21">
        <v>655</v>
      </c>
      <c r="CG21">
        <v>10389.5</v>
      </c>
      <c r="CH21">
        <v>880.25</v>
      </c>
      <c r="CI21">
        <v>-1.51</v>
      </c>
      <c r="CW21">
        <f t="shared" si="42"/>
        <v>1800.25</v>
      </c>
      <c r="CX21">
        <f t="shared" si="43"/>
        <v>1513.3943993223543</v>
      </c>
      <c r="CY21">
        <f t="shared" si="44"/>
        <v>0.84065790824738473</v>
      </c>
      <c r="CZ21">
        <f t="shared" si="45"/>
        <v>0.19131581649476961</v>
      </c>
      <c r="DA21">
        <v>6</v>
      </c>
      <c r="DB21">
        <v>0.5</v>
      </c>
      <c r="DC21" t="s">
        <v>419</v>
      </c>
      <c r="DD21">
        <v>2</v>
      </c>
      <c r="DE21">
        <v>1693323120.0999999</v>
      </c>
      <c r="DF21">
        <v>59.802700000000002</v>
      </c>
      <c r="DG21">
        <v>70.001000000000005</v>
      </c>
      <c r="DH21">
        <v>29.299299999999999</v>
      </c>
      <c r="DI21">
        <v>23.3123</v>
      </c>
      <c r="DJ21">
        <v>58.759</v>
      </c>
      <c r="DK21">
        <v>29.014700000000001</v>
      </c>
      <c r="DL21">
        <v>500.90300000000002</v>
      </c>
      <c r="DM21">
        <v>99.120800000000003</v>
      </c>
      <c r="DN21">
        <v>0.100296</v>
      </c>
      <c r="DO21">
        <v>30.724399999999999</v>
      </c>
      <c r="DP21">
        <v>29.968699999999998</v>
      </c>
      <c r="DQ21">
        <v>999.9</v>
      </c>
      <c r="DR21">
        <v>0</v>
      </c>
      <c r="DS21">
        <v>0</v>
      </c>
      <c r="DT21">
        <v>9982.5</v>
      </c>
      <c r="DU21">
        <v>0</v>
      </c>
      <c r="DV21">
        <v>1299.98</v>
      </c>
      <c r="DW21">
        <v>-10.1983</v>
      </c>
      <c r="DX21">
        <v>61.607799999999997</v>
      </c>
      <c r="DY21">
        <v>71.671800000000005</v>
      </c>
      <c r="DZ21">
        <v>5.98698</v>
      </c>
      <c r="EA21">
        <v>70.001000000000005</v>
      </c>
      <c r="EB21">
        <v>23.3123</v>
      </c>
      <c r="EC21">
        <v>2.9041700000000001</v>
      </c>
      <c r="ED21">
        <v>2.31074</v>
      </c>
      <c r="EE21">
        <v>23.488499999999998</v>
      </c>
      <c r="EF21">
        <v>19.7514</v>
      </c>
      <c r="EG21">
        <v>1800.25</v>
      </c>
      <c r="EH21">
        <v>0.97801000000000005</v>
      </c>
      <c r="EI21">
        <v>2.1989499999999999E-2</v>
      </c>
      <c r="EJ21">
        <v>0</v>
      </c>
      <c r="EK21">
        <v>815.31299999999999</v>
      </c>
      <c r="EL21">
        <v>5.0010300000000001</v>
      </c>
      <c r="EM21">
        <v>16179</v>
      </c>
      <c r="EN21">
        <v>14703.2</v>
      </c>
      <c r="EO21">
        <v>49.436999999999998</v>
      </c>
      <c r="EP21">
        <v>51.311999999999998</v>
      </c>
      <c r="EQ21">
        <v>50.875</v>
      </c>
      <c r="ER21">
        <v>50.25</v>
      </c>
      <c r="ES21">
        <v>51.061999999999998</v>
      </c>
      <c r="ET21">
        <v>1755.77</v>
      </c>
      <c r="EU21">
        <v>39.479999999999997</v>
      </c>
      <c r="EV21">
        <v>0</v>
      </c>
      <c r="EW21">
        <v>102.7999999523163</v>
      </c>
      <c r="EX21">
        <v>0</v>
      </c>
      <c r="EY21">
        <v>815.93915384615377</v>
      </c>
      <c r="EZ21">
        <v>-1.5289572622725409</v>
      </c>
      <c r="FA21">
        <v>-191.20000274474191</v>
      </c>
      <c r="FB21">
        <v>16136.553846153851</v>
      </c>
      <c r="FC21">
        <v>15</v>
      </c>
      <c r="FD21">
        <v>1693323093.0999999</v>
      </c>
      <c r="FE21" t="s">
        <v>444</v>
      </c>
      <c r="FF21">
        <v>1693323091.5999999</v>
      </c>
      <c r="FG21">
        <v>1693323093.0999999</v>
      </c>
      <c r="FH21">
        <v>7</v>
      </c>
      <c r="FI21">
        <v>1.2E-2</v>
      </c>
      <c r="FJ21">
        <v>1E-3</v>
      </c>
      <c r="FK21">
        <v>1.0629999999999999</v>
      </c>
      <c r="FL21">
        <v>0.14699999999999999</v>
      </c>
      <c r="FM21">
        <v>70</v>
      </c>
      <c r="FN21">
        <v>24</v>
      </c>
      <c r="FO21">
        <v>0.52</v>
      </c>
      <c r="FP21">
        <v>0.04</v>
      </c>
      <c r="FQ21">
        <v>8.1883771368104252</v>
      </c>
      <c r="FR21">
        <v>-0.13454029029997899</v>
      </c>
      <c r="FS21">
        <v>5.0178228121486618E-2</v>
      </c>
      <c r="FT21">
        <v>1</v>
      </c>
      <c r="FU21">
        <v>0.39750605228285119</v>
      </c>
      <c r="FV21">
        <v>2.6619820188182718E-2</v>
      </c>
      <c r="FW21">
        <v>5.1368192918134848E-3</v>
      </c>
      <c r="FX21">
        <v>1</v>
      </c>
      <c r="FY21">
        <v>2</v>
      </c>
      <c r="FZ21">
        <v>2</v>
      </c>
      <c r="GA21" t="s">
        <v>421</v>
      </c>
      <c r="GB21">
        <v>2.9012099999999998</v>
      </c>
      <c r="GC21">
        <v>2.8181600000000002</v>
      </c>
      <c r="GD21">
        <v>1.59848E-2</v>
      </c>
      <c r="GE21">
        <v>1.90163E-2</v>
      </c>
      <c r="GF21">
        <v>0.136127</v>
      </c>
      <c r="GG21">
        <v>0.11623799999999999</v>
      </c>
      <c r="GH21">
        <v>27274</v>
      </c>
      <c r="GI21">
        <v>27348.5</v>
      </c>
      <c r="GJ21">
        <v>24595.4</v>
      </c>
      <c r="GK21">
        <v>24902.1</v>
      </c>
      <c r="GL21">
        <v>28243.8</v>
      </c>
      <c r="GM21">
        <v>28833.4</v>
      </c>
      <c r="GN21">
        <v>33282.400000000001</v>
      </c>
      <c r="GO21">
        <v>33322.1</v>
      </c>
      <c r="GP21">
        <v>1.9499</v>
      </c>
      <c r="GQ21">
        <v>1.8352999999999999</v>
      </c>
      <c r="GR21">
        <v>4.5537899999999999E-2</v>
      </c>
      <c r="GS21">
        <v>0</v>
      </c>
      <c r="GT21">
        <v>29.2271</v>
      </c>
      <c r="GU21">
        <v>999.9</v>
      </c>
      <c r="GV21">
        <v>56.6</v>
      </c>
      <c r="GW21">
        <v>33.799999999999997</v>
      </c>
      <c r="GX21">
        <v>30.1708</v>
      </c>
      <c r="GY21">
        <v>62.180300000000003</v>
      </c>
      <c r="GZ21">
        <v>24.7636</v>
      </c>
      <c r="HA21">
        <v>1</v>
      </c>
      <c r="HB21">
        <v>0.49886200000000003</v>
      </c>
      <c r="HC21">
        <v>1.4822500000000001</v>
      </c>
      <c r="HD21">
        <v>20.162299999999998</v>
      </c>
      <c r="HE21">
        <v>5.23346</v>
      </c>
      <c r="HF21">
        <v>11.9201</v>
      </c>
      <c r="HG21">
        <v>4.9606000000000003</v>
      </c>
      <c r="HH21">
        <v>3.2890000000000001</v>
      </c>
      <c r="HI21">
        <v>9999</v>
      </c>
      <c r="HJ21">
        <v>9999</v>
      </c>
      <c r="HK21">
        <v>9999</v>
      </c>
      <c r="HL21">
        <v>875.7</v>
      </c>
      <c r="HM21">
        <v>1.8811</v>
      </c>
      <c r="HN21">
        <v>1.8782000000000001</v>
      </c>
      <c r="HO21">
        <v>1.8861399999999999</v>
      </c>
      <c r="HP21">
        <v>1.88392</v>
      </c>
      <c r="HQ21">
        <v>1.88141</v>
      </c>
      <c r="HR21">
        <v>1.88049</v>
      </c>
      <c r="HS21">
        <v>1.88164</v>
      </c>
      <c r="HT21">
        <v>1.8810899999999999</v>
      </c>
      <c r="HU21">
        <v>5</v>
      </c>
      <c r="HV21">
        <v>0</v>
      </c>
      <c r="HW21">
        <v>0</v>
      </c>
      <c r="HX21">
        <v>0</v>
      </c>
      <c r="HY21" t="s">
        <v>422</v>
      </c>
      <c r="HZ21" t="s">
        <v>423</v>
      </c>
      <c r="IA21" t="s">
        <v>424</v>
      </c>
      <c r="IB21" t="s">
        <v>424</v>
      </c>
      <c r="IC21" t="s">
        <v>424</v>
      </c>
      <c r="ID21" t="s">
        <v>424</v>
      </c>
      <c r="IE21">
        <v>0</v>
      </c>
      <c r="IF21">
        <v>100</v>
      </c>
      <c r="IG21">
        <v>100</v>
      </c>
      <c r="IH21">
        <v>1.044</v>
      </c>
      <c r="II21">
        <v>0.28460000000000002</v>
      </c>
      <c r="IJ21">
        <v>0.9212584421926715</v>
      </c>
      <c r="IK21">
        <v>2.2153513873161218E-3</v>
      </c>
      <c r="IL21">
        <v>-2.2967369670569612E-6</v>
      </c>
      <c r="IM21">
        <v>7.7859689150384122E-10</v>
      </c>
      <c r="IN21">
        <v>-0.1200406330909265</v>
      </c>
      <c r="IO21">
        <v>-4.1434251034592161E-3</v>
      </c>
      <c r="IP21">
        <v>8.3987709687394815E-4</v>
      </c>
      <c r="IQ21">
        <v>-7.4586254598011197E-6</v>
      </c>
      <c r="IR21">
        <v>2</v>
      </c>
      <c r="IS21">
        <v>1930</v>
      </c>
      <c r="IT21">
        <v>2</v>
      </c>
      <c r="IU21">
        <v>41</v>
      </c>
      <c r="IV21">
        <v>0.5</v>
      </c>
      <c r="IW21">
        <v>0.5</v>
      </c>
      <c r="IX21">
        <v>0.299072</v>
      </c>
      <c r="IY21">
        <v>2.5329600000000001</v>
      </c>
      <c r="IZ21">
        <v>1.24512</v>
      </c>
      <c r="JA21">
        <v>2.2668499999999998</v>
      </c>
      <c r="JB21">
        <v>1.4501999999999999</v>
      </c>
      <c r="JC21">
        <v>2.4218799999999998</v>
      </c>
      <c r="JD21">
        <v>37.722799999999999</v>
      </c>
      <c r="JE21">
        <v>23.763500000000001</v>
      </c>
      <c r="JF21">
        <v>18</v>
      </c>
      <c r="JG21">
        <v>494.95100000000002</v>
      </c>
      <c r="JH21">
        <v>466.79599999999999</v>
      </c>
      <c r="JI21">
        <v>27.404699999999998</v>
      </c>
      <c r="JJ21">
        <v>33.707999999999998</v>
      </c>
      <c r="JK21">
        <v>30</v>
      </c>
      <c r="JL21">
        <v>33.533299999999997</v>
      </c>
      <c r="JM21">
        <v>33.499000000000002</v>
      </c>
      <c r="JN21">
        <v>6.0619699999999996</v>
      </c>
      <c r="JO21">
        <v>31.314399999999999</v>
      </c>
      <c r="JP21">
        <v>32.1798</v>
      </c>
      <c r="JQ21">
        <v>27.407499999999999</v>
      </c>
      <c r="JR21">
        <v>70</v>
      </c>
      <c r="JS21">
        <v>23.188199999999998</v>
      </c>
      <c r="JT21">
        <v>99.308099999999996</v>
      </c>
      <c r="JU21">
        <v>99.371899999999997</v>
      </c>
    </row>
    <row r="22" spans="1:281" x14ac:dyDescent="0.25">
      <c r="A22">
        <v>6</v>
      </c>
      <c r="B22">
        <v>1693323260.0999999</v>
      </c>
      <c r="C22">
        <v>547</v>
      </c>
      <c r="D22" t="s">
        <v>445</v>
      </c>
      <c r="E22" t="s">
        <v>446</v>
      </c>
      <c r="F22" t="s">
        <v>413</v>
      </c>
      <c r="G22" t="s">
        <v>414</v>
      </c>
      <c r="H22" t="s">
        <v>31</v>
      </c>
      <c r="I22" t="s">
        <v>415</v>
      </c>
      <c r="J22">
        <v>1693323260.0999999</v>
      </c>
      <c r="K22">
        <f t="shared" si="0"/>
        <v>5.6014175256528078E-3</v>
      </c>
      <c r="L22">
        <f t="shared" si="1"/>
        <v>5.601417525652808</v>
      </c>
      <c r="M22">
        <f t="shared" si="2"/>
        <v>3.5631469985992963</v>
      </c>
      <c r="N22">
        <f t="shared" si="3"/>
        <v>25.554200000000002</v>
      </c>
      <c r="O22">
        <f t="shared" si="4"/>
        <v>10.903352180127962</v>
      </c>
      <c r="P22">
        <f t="shared" si="5"/>
        <v>1.0819275809975921</v>
      </c>
      <c r="Q22">
        <f t="shared" si="6"/>
        <v>2.5357150107210602</v>
      </c>
      <c r="R22">
        <f t="shared" si="7"/>
        <v>0.42805205759694143</v>
      </c>
      <c r="S22">
        <f t="shared" si="8"/>
        <v>2.9190328566611417</v>
      </c>
      <c r="T22">
        <f t="shared" si="9"/>
        <v>0.39598914783434247</v>
      </c>
      <c r="U22">
        <f t="shared" si="10"/>
        <v>0.25017350733040333</v>
      </c>
      <c r="V22">
        <f t="shared" si="11"/>
        <v>344.39159864461112</v>
      </c>
      <c r="W22">
        <f t="shared" si="12"/>
        <v>31.458472610138795</v>
      </c>
      <c r="X22">
        <f t="shared" si="13"/>
        <v>30.069800000000001</v>
      </c>
      <c r="Y22">
        <f t="shared" si="14"/>
        <v>4.2775608718574532</v>
      </c>
      <c r="Z22">
        <f t="shared" si="15"/>
        <v>65.263986283777939</v>
      </c>
      <c r="AA22">
        <f t="shared" si="16"/>
        <v>2.9248708883868</v>
      </c>
      <c r="AB22">
        <f t="shared" si="17"/>
        <v>4.481600121189361</v>
      </c>
      <c r="AC22">
        <f t="shared" si="18"/>
        <v>1.3526899834706532</v>
      </c>
      <c r="AD22">
        <f t="shared" si="19"/>
        <v>-247.02251288128883</v>
      </c>
      <c r="AE22">
        <f t="shared" si="20"/>
        <v>128.1156491757456</v>
      </c>
      <c r="AF22">
        <f t="shared" si="21"/>
        <v>9.8050968987851981</v>
      </c>
      <c r="AG22">
        <f t="shared" si="22"/>
        <v>235.28983183785311</v>
      </c>
      <c r="AH22">
        <v>0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51883.166082767522</v>
      </c>
      <c r="AM22" t="s">
        <v>416</v>
      </c>
      <c r="AN22">
        <v>10366.9</v>
      </c>
      <c r="AO22">
        <v>993.59653846153856</v>
      </c>
      <c r="AP22">
        <v>3431.87</v>
      </c>
      <c r="AQ22">
        <f t="shared" si="26"/>
        <v>0.71047955241266758</v>
      </c>
      <c r="AR22">
        <v>-3.9894345373445681</v>
      </c>
      <c r="AS22" t="s">
        <v>447</v>
      </c>
      <c r="AT22">
        <v>10407.299999999999</v>
      </c>
      <c r="AU22">
        <v>819.72391999999979</v>
      </c>
      <c r="AV22">
        <v>878.75348959054634</v>
      </c>
      <c r="AW22">
        <f t="shared" si="27"/>
        <v>6.7174207886276815E-2</v>
      </c>
      <c r="AX22">
        <v>0.5</v>
      </c>
      <c r="AY22">
        <f t="shared" si="28"/>
        <v>1513.2851993223055</v>
      </c>
      <c r="AZ22">
        <f t="shared" si="29"/>
        <v>3.5631469985992963</v>
      </c>
      <c r="BA22">
        <f t="shared" si="30"/>
        <v>50.826867285251197</v>
      </c>
      <c r="BB22">
        <f t="shared" si="31"/>
        <v>4.9908513869864959E-3</v>
      </c>
      <c r="BC22">
        <f t="shared" si="32"/>
        <v>2.9053842068941016</v>
      </c>
      <c r="BD22">
        <f t="shared" si="33"/>
        <v>539.65551490797509</v>
      </c>
      <c r="BE22" t="s">
        <v>448</v>
      </c>
      <c r="BF22">
        <v>626.87</v>
      </c>
      <c r="BG22">
        <f t="shared" si="34"/>
        <v>626.87</v>
      </c>
      <c r="BH22">
        <f t="shared" si="35"/>
        <v>0.28663725672134854</v>
      </c>
      <c r="BI22">
        <f t="shared" si="36"/>
        <v>0.23435267506617088</v>
      </c>
      <c r="BJ22">
        <f t="shared" si="37"/>
        <v>0.91020196449534885</v>
      </c>
      <c r="BK22">
        <f t="shared" si="38"/>
        <v>-0.51400211132374951</v>
      </c>
      <c r="BL22">
        <f t="shared" si="39"/>
        <v>1.0471001512679099</v>
      </c>
      <c r="BM22">
        <f t="shared" si="40"/>
        <v>0.1792172435552821</v>
      </c>
      <c r="BN22">
        <f t="shared" si="41"/>
        <v>0.82078275644471788</v>
      </c>
      <c r="BO22">
        <v>7558</v>
      </c>
      <c r="BP22">
        <v>290.00000000000011</v>
      </c>
      <c r="BQ22">
        <v>862.63</v>
      </c>
      <c r="BR22">
        <v>215</v>
      </c>
      <c r="BS22">
        <v>10407.299999999999</v>
      </c>
      <c r="BT22">
        <v>862.46</v>
      </c>
      <c r="BU22">
        <v>0.17</v>
      </c>
      <c r="BV22">
        <v>300.00000000000011</v>
      </c>
      <c r="BW22">
        <v>38.299999999999997</v>
      </c>
      <c r="BX22">
        <v>878.75348959054634</v>
      </c>
      <c r="BY22">
        <v>0.68731877644496708</v>
      </c>
      <c r="BZ22">
        <v>-16.960624020813839</v>
      </c>
      <c r="CA22">
        <v>0.58585189312167663</v>
      </c>
      <c r="CB22">
        <v>0.96767204393441841</v>
      </c>
      <c r="CC22">
        <v>-1.130705094549499E-2</v>
      </c>
      <c r="CD22">
        <v>289.99999999999989</v>
      </c>
      <c r="CE22">
        <v>860.01</v>
      </c>
      <c r="CF22">
        <v>635</v>
      </c>
      <c r="CG22">
        <v>10392.200000000001</v>
      </c>
      <c r="CH22">
        <v>862.43</v>
      </c>
      <c r="CI22">
        <v>-2.42</v>
      </c>
      <c r="CW22">
        <f t="shared" si="42"/>
        <v>1800.12</v>
      </c>
      <c r="CX22">
        <f t="shared" si="43"/>
        <v>1513.2851993223055</v>
      </c>
      <c r="CY22">
        <f t="shared" si="44"/>
        <v>0.84065795575978575</v>
      </c>
      <c r="CZ22">
        <f t="shared" si="45"/>
        <v>0.19131591151957156</v>
      </c>
      <c r="DA22">
        <v>6</v>
      </c>
      <c r="DB22">
        <v>0.5</v>
      </c>
      <c r="DC22" t="s">
        <v>419</v>
      </c>
      <c r="DD22">
        <v>2</v>
      </c>
      <c r="DE22">
        <v>1693323260.0999999</v>
      </c>
      <c r="DF22">
        <v>25.554200000000002</v>
      </c>
      <c r="DG22">
        <v>29.994399999999999</v>
      </c>
      <c r="DH22">
        <v>29.475999999999999</v>
      </c>
      <c r="DI22">
        <v>22.963200000000001</v>
      </c>
      <c r="DJ22">
        <v>24.485399999999998</v>
      </c>
      <c r="DK22">
        <v>29.185500000000001</v>
      </c>
      <c r="DL22">
        <v>500.827</v>
      </c>
      <c r="DM22">
        <v>99.129099999999994</v>
      </c>
      <c r="DN22">
        <v>9.9794300000000002E-2</v>
      </c>
      <c r="DO22">
        <v>30.883900000000001</v>
      </c>
      <c r="DP22">
        <v>30.069800000000001</v>
      </c>
      <c r="DQ22">
        <v>999.9</v>
      </c>
      <c r="DR22">
        <v>0</v>
      </c>
      <c r="DS22">
        <v>0</v>
      </c>
      <c r="DT22">
        <v>10027.5</v>
      </c>
      <c r="DU22">
        <v>0</v>
      </c>
      <c r="DV22">
        <v>1307.81</v>
      </c>
      <c r="DW22">
        <v>-4.4401900000000003</v>
      </c>
      <c r="DX22">
        <v>26.330300000000001</v>
      </c>
      <c r="DY22">
        <v>30.699300000000001</v>
      </c>
      <c r="DZ22">
        <v>6.5127600000000001</v>
      </c>
      <c r="EA22">
        <v>29.994399999999999</v>
      </c>
      <c r="EB22">
        <v>22.963200000000001</v>
      </c>
      <c r="EC22">
        <v>2.9219200000000001</v>
      </c>
      <c r="ED22">
        <v>2.2763200000000001</v>
      </c>
      <c r="EE22">
        <v>23.589600000000001</v>
      </c>
      <c r="EF22">
        <v>19.509799999999998</v>
      </c>
      <c r="EG22">
        <v>1800.12</v>
      </c>
      <c r="EH22">
        <v>0.97800699999999996</v>
      </c>
      <c r="EI22">
        <v>2.1993200000000001E-2</v>
      </c>
      <c r="EJ22">
        <v>0</v>
      </c>
      <c r="EK22">
        <v>819.51199999999994</v>
      </c>
      <c r="EL22">
        <v>5.0010300000000001</v>
      </c>
      <c r="EM22">
        <v>16223.2</v>
      </c>
      <c r="EN22">
        <v>14702.1</v>
      </c>
      <c r="EO22">
        <v>49.375</v>
      </c>
      <c r="EP22">
        <v>51.186999999999998</v>
      </c>
      <c r="EQ22">
        <v>50.811999999999998</v>
      </c>
      <c r="ER22">
        <v>50.125</v>
      </c>
      <c r="ES22">
        <v>51</v>
      </c>
      <c r="ET22">
        <v>1755.64</v>
      </c>
      <c r="EU22">
        <v>39.479999999999997</v>
      </c>
      <c r="EV22">
        <v>0</v>
      </c>
      <c r="EW22">
        <v>138</v>
      </c>
      <c r="EX22">
        <v>0</v>
      </c>
      <c r="EY22">
        <v>819.72391999999979</v>
      </c>
      <c r="EZ22">
        <v>-2.0390769226458669</v>
      </c>
      <c r="FA22">
        <v>-111.9000002943372</v>
      </c>
      <c r="FB22">
        <v>16239.691999999999</v>
      </c>
      <c r="FC22">
        <v>15</v>
      </c>
      <c r="FD22">
        <v>1693323232.5999999</v>
      </c>
      <c r="FE22" t="s">
        <v>449</v>
      </c>
      <c r="FF22">
        <v>1693323215.5999999</v>
      </c>
      <c r="FG22">
        <v>1693323232.5999999</v>
      </c>
      <c r="FH22">
        <v>8</v>
      </c>
      <c r="FI22">
        <v>9.5000000000000001E-2</v>
      </c>
      <c r="FJ22">
        <v>1E-3</v>
      </c>
      <c r="FK22">
        <v>1.0780000000000001</v>
      </c>
      <c r="FL22">
        <v>0.13300000000000001</v>
      </c>
      <c r="FM22">
        <v>30</v>
      </c>
      <c r="FN22">
        <v>23</v>
      </c>
      <c r="FO22">
        <v>0.99</v>
      </c>
      <c r="FP22">
        <v>0.03</v>
      </c>
      <c r="FQ22">
        <v>3.5768326303382612</v>
      </c>
      <c r="FR22">
        <v>4.5541711273092818E-2</v>
      </c>
      <c r="FS22">
        <v>5.2305235692706301E-2</v>
      </c>
      <c r="FT22">
        <v>1</v>
      </c>
      <c r="FU22">
        <v>0.4336479896900523</v>
      </c>
      <c r="FV22">
        <v>1.5175449842847339E-2</v>
      </c>
      <c r="FW22">
        <v>4.4323985632292832E-3</v>
      </c>
      <c r="FX22">
        <v>1</v>
      </c>
      <c r="FY22">
        <v>2</v>
      </c>
      <c r="FZ22">
        <v>2</v>
      </c>
      <c r="GA22" t="s">
        <v>421</v>
      </c>
      <c r="GB22">
        <v>2.9009399999999999</v>
      </c>
      <c r="GC22">
        <v>2.8180499999999999</v>
      </c>
      <c r="GD22">
        <v>6.7066000000000001E-3</v>
      </c>
      <c r="GE22">
        <v>8.2315600000000006E-3</v>
      </c>
      <c r="GF22">
        <v>0.13667099999999999</v>
      </c>
      <c r="GG22">
        <v>0.115033</v>
      </c>
      <c r="GH22">
        <v>27528.1</v>
      </c>
      <c r="GI22">
        <v>27647.200000000001</v>
      </c>
      <c r="GJ22">
        <v>24593.200000000001</v>
      </c>
      <c r="GK22">
        <v>24901.1</v>
      </c>
      <c r="GL22">
        <v>28222.6</v>
      </c>
      <c r="GM22">
        <v>28870.799999999999</v>
      </c>
      <c r="GN22">
        <v>33278.300000000003</v>
      </c>
      <c r="GO22">
        <v>33319.599999999999</v>
      </c>
      <c r="GP22">
        <v>1.9498</v>
      </c>
      <c r="GQ22">
        <v>1.8351</v>
      </c>
      <c r="GR22">
        <v>5.6385999999999999E-2</v>
      </c>
      <c r="GS22">
        <v>0</v>
      </c>
      <c r="GT22">
        <v>29.151599999999998</v>
      </c>
      <c r="GU22">
        <v>999.9</v>
      </c>
      <c r="GV22">
        <v>56.4</v>
      </c>
      <c r="GW22">
        <v>33.799999999999997</v>
      </c>
      <c r="GX22">
        <v>30.060400000000001</v>
      </c>
      <c r="GY22">
        <v>62.040300000000002</v>
      </c>
      <c r="GZ22">
        <v>24.4832</v>
      </c>
      <c r="HA22">
        <v>1</v>
      </c>
      <c r="HB22">
        <v>0.50270300000000001</v>
      </c>
      <c r="HC22">
        <v>1.71339</v>
      </c>
      <c r="HD22">
        <v>20.159700000000001</v>
      </c>
      <c r="HE22">
        <v>5.2352600000000002</v>
      </c>
      <c r="HF22">
        <v>11.9201</v>
      </c>
      <c r="HG22">
        <v>4.9603999999999999</v>
      </c>
      <c r="HH22">
        <v>3.2890000000000001</v>
      </c>
      <c r="HI22">
        <v>9999</v>
      </c>
      <c r="HJ22">
        <v>9999</v>
      </c>
      <c r="HK22">
        <v>9999</v>
      </c>
      <c r="HL22">
        <v>875.7</v>
      </c>
      <c r="HM22">
        <v>1.88107</v>
      </c>
      <c r="HN22">
        <v>1.87819</v>
      </c>
      <c r="HO22">
        <v>1.8861399999999999</v>
      </c>
      <c r="HP22">
        <v>1.8839399999999999</v>
      </c>
      <c r="HQ22">
        <v>1.88141</v>
      </c>
      <c r="HR22">
        <v>1.88049</v>
      </c>
      <c r="HS22">
        <v>1.8816600000000001</v>
      </c>
      <c r="HT22">
        <v>1.88106</v>
      </c>
      <c r="HU22">
        <v>5</v>
      </c>
      <c r="HV22">
        <v>0</v>
      </c>
      <c r="HW22">
        <v>0</v>
      </c>
      <c r="HX22">
        <v>0</v>
      </c>
      <c r="HY22" t="s">
        <v>422</v>
      </c>
      <c r="HZ22" t="s">
        <v>423</v>
      </c>
      <c r="IA22" t="s">
        <v>424</v>
      </c>
      <c r="IB22" t="s">
        <v>424</v>
      </c>
      <c r="IC22" t="s">
        <v>424</v>
      </c>
      <c r="ID22" t="s">
        <v>424</v>
      </c>
      <c r="IE22">
        <v>0</v>
      </c>
      <c r="IF22">
        <v>100</v>
      </c>
      <c r="IG22">
        <v>100</v>
      </c>
      <c r="IH22">
        <v>1.069</v>
      </c>
      <c r="II22">
        <v>0.29049999999999998</v>
      </c>
      <c r="IJ22">
        <v>1.015922545244665</v>
      </c>
      <c r="IK22">
        <v>2.2153513873161218E-3</v>
      </c>
      <c r="IL22">
        <v>-2.2967369670569612E-6</v>
      </c>
      <c r="IM22">
        <v>7.7859689150384122E-10</v>
      </c>
      <c r="IN22">
        <v>-0.11859325639159431</v>
      </c>
      <c r="IO22">
        <v>-4.1434251034592161E-3</v>
      </c>
      <c r="IP22">
        <v>8.3987709687394815E-4</v>
      </c>
      <c r="IQ22">
        <v>-7.4586254598011197E-6</v>
      </c>
      <c r="IR22">
        <v>2</v>
      </c>
      <c r="IS22">
        <v>1930</v>
      </c>
      <c r="IT22">
        <v>2</v>
      </c>
      <c r="IU22">
        <v>41</v>
      </c>
      <c r="IV22">
        <v>0.7</v>
      </c>
      <c r="IW22">
        <v>0.5</v>
      </c>
      <c r="IX22">
        <v>0.21362300000000001</v>
      </c>
      <c r="IY22">
        <v>2.5585900000000001</v>
      </c>
      <c r="IZ22">
        <v>1.24512</v>
      </c>
      <c r="JA22">
        <v>2.2656200000000002</v>
      </c>
      <c r="JB22">
        <v>1.4501999999999999</v>
      </c>
      <c r="JC22">
        <v>2.3901400000000002</v>
      </c>
      <c r="JD22">
        <v>37.747</v>
      </c>
      <c r="JE22">
        <v>23.754799999999999</v>
      </c>
      <c r="JF22">
        <v>18</v>
      </c>
      <c r="JG22">
        <v>495.22899999999998</v>
      </c>
      <c r="JH22">
        <v>467.02300000000002</v>
      </c>
      <c r="JI22">
        <v>27.664200000000001</v>
      </c>
      <c r="JJ22">
        <v>33.732300000000002</v>
      </c>
      <c r="JK22">
        <v>30.0002</v>
      </c>
      <c r="JL22">
        <v>33.575699999999998</v>
      </c>
      <c r="JM22">
        <v>33.5443</v>
      </c>
      <c r="JN22">
        <v>4.3539700000000003</v>
      </c>
      <c r="JO22">
        <v>31.616499999999998</v>
      </c>
      <c r="JP22">
        <v>29.973800000000001</v>
      </c>
      <c r="JQ22">
        <v>27.656099999999999</v>
      </c>
      <c r="JR22">
        <v>30</v>
      </c>
      <c r="JS22">
        <v>22.8748</v>
      </c>
      <c r="JT22">
        <v>99.297399999999996</v>
      </c>
      <c r="JU22">
        <v>99.366100000000003</v>
      </c>
    </row>
    <row r="23" spans="1:281" x14ac:dyDescent="0.25">
      <c r="A23">
        <v>7</v>
      </c>
      <c r="B23">
        <v>1693323359.5999999</v>
      </c>
      <c r="C23">
        <v>646.5</v>
      </c>
      <c r="D23" t="s">
        <v>450</v>
      </c>
      <c r="E23" t="s">
        <v>451</v>
      </c>
      <c r="F23" t="s">
        <v>413</v>
      </c>
      <c r="G23" t="s">
        <v>414</v>
      </c>
      <c r="H23" t="s">
        <v>31</v>
      </c>
      <c r="I23" t="s">
        <v>415</v>
      </c>
      <c r="J23">
        <v>1693323359.5999999</v>
      </c>
      <c r="K23">
        <f t="shared" si="0"/>
        <v>5.6697183799659387E-3</v>
      </c>
      <c r="L23">
        <f t="shared" si="1"/>
        <v>5.6697183799659383</v>
      </c>
      <c r="M23">
        <f t="shared" si="2"/>
        <v>1.0203161487852035</v>
      </c>
      <c r="N23">
        <f t="shared" si="3"/>
        <v>8.7995699999999992</v>
      </c>
      <c r="O23">
        <f t="shared" si="4"/>
        <v>4.6626467045462245</v>
      </c>
      <c r="P23">
        <f t="shared" si="5"/>
        <v>0.4626451575985227</v>
      </c>
      <c r="Q23">
        <f t="shared" si="6"/>
        <v>0.87312608211979792</v>
      </c>
      <c r="R23">
        <f t="shared" si="7"/>
        <v>0.43847313960479456</v>
      </c>
      <c r="S23">
        <f t="shared" si="8"/>
        <v>2.9189604405230054</v>
      </c>
      <c r="T23">
        <f t="shared" si="9"/>
        <v>0.40489489104847209</v>
      </c>
      <c r="U23">
        <f t="shared" si="10"/>
        <v>0.25586155747456896</v>
      </c>
      <c r="V23">
        <f t="shared" si="11"/>
        <v>344.38969864460358</v>
      </c>
      <c r="W23">
        <f t="shared" si="12"/>
        <v>31.385421776143993</v>
      </c>
      <c r="X23">
        <f t="shared" si="13"/>
        <v>30.0428</v>
      </c>
      <c r="Y23">
        <f t="shared" si="14"/>
        <v>4.2709348758889529</v>
      </c>
      <c r="Z23">
        <f t="shared" si="15"/>
        <v>65.628588945258912</v>
      </c>
      <c r="AA23">
        <f t="shared" si="16"/>
        <v>2.93194189890432</v>
      </c>
      <c r="AB23">
        <f t="shared" si="17"/>
        <v>4.4674766683615053</v>
      </c>
      <c r="AC23">
        <f t="shared" si="18"/>
        <v>1.3389929769846329</v>
      </c>
      <c r="AD23">
        <f t="shared" si="19"/>
        <v>-250.0345805564979</v>
      </c>
      <c r="AE23">
        <f t="shared" si="20"/>
        <v>123.65898488275474</v>
      </c>
      <c r="AF23">
        <f t="shared" si="21"/>
        <v>9.4603984832602155</v>
      </c>
      <c r="AG23">
        <f t="shared" si="22"/>
        <v>227.47450145412066</v>
      </c>
      <c r="AH23">
        <v>0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51890.463075538319</v>
      </c>
      <c r="AM23" t="s">
        <v>416</v>
      </c>
      <c r="AN23">
        <v>10366.9</v>
      </c>
      <c r="AO23">
        <v>993.59653846153856</v>
      </c>
      <c r="AP23">
        <v>3431.87</v>
      </c>
      <c r="AQ23">
        <f t="shared" si="26"/>
        <v>0.71047955241266758</v>
      </c>
      <c r="AR23">
        <v>-3.9894345373445681</v>
      </c>
      <c r="AS23" t="s">
        <v>452</v>
      </c>
      <c r="AT23">
        <v>10421.4</v>
      </c>
      <c r="AU23">
        <v>820.80920000000015</v>
      </c>
      <c r="AV23">
        <v>869.78610603599327</v>
      </c>
      <c r="AW23">
        <f t="shared" si="27"/>
        <v>5.6309138184792218E-2</v>
      </c>
      <c r="AX23">
        <v>0.5</v>
      </c>
      <c r="AY23">
        <f t="shared" si="28"/>
        <v>1513.2767993223017</v>
      </c>
      <c r="AZ23">
        <f t="shared" si="29"/>
        <v>1.0203161487852035</v>
      </c>
      <c r="BA23">
        <f t="shared" si="30"/>
        <v>42.605656202439782</v>
      </c>
      <c r="BB23">
        <f t="shared" si="31"/>
        <v>3.310531614819783E-3</v>
      </c>
      <c r="BC23">
        <f t="shared" si="32"/>
        <v>2.9456482187794144</v>
      </c>
      <c r="BD23">
        <f t="shared" si="33"/>
        <v>536.26021287787637</v>
      </c>
      <c r="BE23" t="s">
        <v>453</v>
      </c>
      <c r="BF23">
        <v>636.27</v>
      </c>
      <c r="BG23">
        <f t="shared" si="34"/>
        <v>636.27</v>
      </c>
      <c r="BH23">
        <f t="shared" si="35"/>
        <v>0.26847532331854695</v>
      </c>
      <c r="BI23">
        <f t="shared" si="36"/>
        <v>0.20973673665337675</v>
      </c>
      <c r="BJ23">
        <f t="shared" si="37"/>
        <v>0.91647012947632234</v>
      </c>
      <c r="BK23">
        <f t="shared" si="38"/>
        <v>-0.39557979950878458</v>
      </c>
      <c r="BL23">
        <f t="shared" si="39"/>
        <v>1.0507779108367219</v>
      </c>
      <c r="BM23">
        <f t="shared" si="40"/>
        <v>0.1625824776701382</v>
      </c>
      <c r="BN23">
        <f t="shared" si="41"/>
        <v>0.83741752232986177</v>
      </c>
      <c r="BO23">
        <v>7560</v>
      </c>
      <c r="BP23">
        <v>290.00000000000011</v>
      </c>
      <c r="BQ23">
        <v>854.48</v>
      </c>
      <c r="BR23">
        <v>125</v>
      </c>
      <c r="BS23">
        <v>10421.4</v>
      </c>
      <c r="BT23">
        <v>853.93</v>
      </c>
      <c r="BU23">
        <v>0.55000000000000004</v>
      </c>
      <c r="BV23">
        <v>300.00000000000011</v>
      </c>
      <c r="BW23">
        <v>38.299999999999997</v>
      </c>
      <c r="BX23">
        <v>869.78610603599327</v>
      </c>
      <c r="BY23">
        <v>1.122027708109014</v>
      </c>
      <c r="BZ23">
        <v>-16.524457873661792</v>
      </c>
      <c r="CA23">
        <v>0.95636629519126282</v>
      </c>
      <c r="CB23">
        <v>0.91425307679958068</v>
      </c>
      <c r="CC23">
        <v>-1.1306882981090109E-2</v>
      </c>
      <c r="CD23">
        <v>289.99999999999989</v>
      </c>
      <c r="CE23">
        <v>851.9</v>
      </c>
      <c r="CF23">
        <v>625</v>
      </c>
      <c r="CG23">
        <v>10393</v>
      </c>
      <c r="CH23">
        <v>853.89</v>
      </c>
      <c r="CI23">
        <v>-1.99</v>
      </c>
      <c r="CW23">
        <f t="shared" si="42"/>
        <v>1800.11</v>
      </c>
      <c r="CX23">
        <f t="shared" si="43"/>
        <v>1513.2767993223017</v>
      </c>
      <c r="CY23">
        <f t="shared" si="44"/>
        <v>0.84065795941487009</v>
      </c>
      <c r="CZ23">
        <f t="shared" si="45"/>
        <v>0.19131591882974019</v>
      </c>
      <c r="DA23">
        <v>6</v>
      </c>
      <c r="DB23">
        <v>0.5</v>
      </c>
      <c r="DC23" t="s">
        <v>419</v>
      </c>
      <c r="DD23">
        <v>2</v>
      </c>
      <c r="DE23">
        <v>1693323359.5999999</v>
      </c>
      <c r="DF23">
        <v>8.7995699999999992</v>
      </c>
      <c r="DG23">
        <v>10.0822</v>
      </c>
      <c r="DH23">
        <v>29.5488</v>
      </c>
      <c r="DI23">
        <v>22.954499999999999</v>
      </c>
      <c r="DJ23">
        <v>7.6912500000000001</v>
      </c>
      <c r="DK23">
        <v>29.2593</v>
      </c>
      <c r="DL23">
        <v>500.63099999999997</v>
      </c>
      <c r="DM23">
        <v>99.125</v>
      </c>
      <c r="DN23">
        <v>9.8721400000000001E-2</v>
      </c>
      <c r="DO23">
        <v>30.828600000000002</v>
      </c>
      <c r="DP23">
        <v>30.0428</v>
      </c>
      <c r="DQ23">
        <v>999.9</v>
      </c>
      <c r="DR23">
        <v>0</v>
      </c>
      <c r="DS23">
        <v>0</v>
      </c>
      <c r="DT23">
        <v>10027.5</v>
      </c>
      <c r="DU23">
        <v>0</v>
      </c>
      <c r="DV23">
        <v>1309.72</v>
      </c>
      <c r="DW23">
        <v>-1.28267</v>
      </c>
      <c r="DX23">
        <v>9.0675100000000004</v>
      </c>
      <c r="DY23">
        <v>10.319100000000001</v>
      </c>
      <c r="DZ23">
        <v>6.5942699999999999</v>
      </c>
      <c r="EA23">
        <v>10.0822</v>
      </c>
      <c r="EB23">
        <v>22.954499999999999</v>
      </c>
      <c r="EC23">
        <v>2.92903</v>
      </c>
      <c r="ED23">
        <v>2.2753700000000001</v>
      </c>
      <c r="EE23">
        <v>23.629899999999999</v>
      </c>
      <c r="EF23">
        <v>19.5031</v>
      </c>
      <c r="EG23">
        <v>1800.11</v>
      </c>
      <c r="EH23">
        <v>0.97800699999999996</v>
      </c>
      <c r="EI23">
        <v>2.1993200000000001E-2</v>
      </c>
      <c r="EJ23">
        <v>0</v>
      </c>
      <c r="EK23">
        <v>820.75</v>
      </c>
      <c r="EL23">
        <v>5.0010300000000001</v>
      </c>
      <c r="EM23">
        <v>16261</v>
      </c>
      <c r="EN23">
        <v>14702</v>
      </c>
      <c r="EO23">
        <v>49.561999999999998</v>
      </c>
      <c r="EP23">
        <v>51.375</v>
      </c>
      <c r="EQ23">
        <v>50.936999999999998</v>
      </c>
      <c r="ER23">
        <v>50.25</v>
      </c>
      <c r="ES23">
        <v>51.125</v>
      </c>
      <c r="ET23">
        <v>1755.63</v>
      </c>
      <c r="EU23">
        <v>39.479999999999997</v>
      </c>
      <c r="EV23">
        <v>0</v>
      </c>
      <c r="EW23">
        <v>97.400000095367432</v>
      </c>
      <c r="EX23">
        <v>0</v>
      </c>
      <c r="EY23">
        <v>820.80920000000015</v>
      </c>
      <c r="EZ23">
        <v>-0.93815385922256123</v>
      </c>
      <c r="FA23">
        <v>-32.515384469288193</v>
      </c>
      <c r="FB23">
        <v>16264.636</v>
      </c>
      <c r="FC23">
        <v>15</v>
      </c>
      <c r="FD23">
        <v>1693323327.5999999</v>
      </c>
      <c r="FE23" t="s">
        <v>454</v>
      </c>
      <c r="FF23">
        <v>1693323313.5999999</v>
      </c>
      <c r="FG23">
        <v>1693323327.5999999</v>
      </c>
      <c r="FH23">
        <v>9</v>
      </c>
      <c r="FI23">
        <v>7.4999999999999997E-2</v>
      </c>
      <c r="FJ23">
        <v>-3.0000000000000001E-3</v>
      </c>
      <c r="FK23">
        <v>1.111</v>
      </c>
      <c r="FL23">
        <v>0.13200000000000001</v>
      </c>
      <c r="FM23">
        <v>10</v>
      </c>
      <c r="FN23">
        <v>23</v>
      </c>
      <c r="FO23">
        <v>0.59</v>
      </c>
      <c r="FP23">
        <v>0.04</v>
      </c>
      <c r="FQ23">
        <v>0.91926958939671999</v>
      </c>
      <c r="FR23">
        <v>0.43035529478437112</v>
      </c>
      <c r="FS23">
        <v>5.3678275943660751E-2</v>
      </c>
      <c r="FT23">
        <v>1</v>
      </c>
      <c r="FU23">
        <v>0.44403374947599877</v>
      </c>
      <c r="FV23">
        <v>-3.4291965036347551E-2</v>
      </c>
      <c r="FW23">
        <v>2.9706801083186499E-3</v>
      </c>
      <c r="FX23">
        <v>1</v>
      </c>
      <c r="FY23">
        <v>2</v>
      </c>
      <c r="FZ23">
        <v>2</v>
      </c>
      <c r="GA23" t="s">
        <v>421</v>
      </c>
      <c r="GB23">
        <v>2.9003700000000001</v>
      </c>
      <c r="GC23">
        <v>2.81697</v>
      </c>
      <c r="GD23">
        <v>2.1091399999999998E-3</v>
      </c>
      <c r="GE23">
        <v>2.7731800000000001E-3</v>
      </c>
      <c r="GF23">
        <v>0.13688900000000001</v>
      </c>
      <c r="GG23">
        <v>0.11498800000000001</v>
      </c>
      <c r="GH23">
        <v>27654.400000000001</v>
      </c>
      <c r="GI23">
        <v>27798.5</v>
      </c>
      <c r="GJ23">
        <v>24592.6</v>
      </c>
      <c r="GK23">
        <v>24900.799999999999</v>
      </c>
      <c r="GL23">
        <v>28214.9</v>
      </c>
      <c r="GM23">
        <v>28870.3</v>
      </c>
      <c r="GN23">
        <v>33277.5</v>
      </c>
      <c r="GO23">
        <v>33317.1</v>
      </c>
      <c r="GP23">
        <v>1.9492</v>
      </c>
      <c r="GQ23">
        <v>1.8346</v>
      </c>
      <c r="GR23">
        <v>4.0575899999999998E-2</v>
      </c>
      <c r="GS23">
        <v>0</v>
      </c>
      <c r="GT23">
        <v>29.382200000000001</v>
      </c>
      <c r="GU23">
        <v>999.9</v>
      </c>
      <c r="GV23">
        <v>56.3</v>
      </c>
      <c r="GW23">
        <v>33.9</v>
      </c>
      <c r="GX23">
        <v>30.177600000000002</v>
      </c>
      <c r="GY23">
        <v>62.040300000000002</v>
      </c>
      <c r="GZ23">
        <v>24.487200000000001</v>
      </c>
      <c r="HA23">
        <v>1</v>
      </c>
      <c r="HB23">
        <v>0.51175800000000005</v>
      </c>
      <c r="HC23">
        <v>3.01824</v>
      </c>
      <c r="HD23">
        <v>20.139900000000001</v>
      </c>
      <c r="HE23">
        <v>5.2244799999999998</v>
      </c>
      <c r="HF23">
        <v>11.9201</v>
      </c>
      <c r="HG23">
        <v>4.9580000000000002</v>
      </c>
      <c r="HH23">
        <v>3.2866</v>
      </c>
      <c r="HI23">
        <v>9999</v>
      </c>
      <c r="HJ23">
        <v>9999</v>
      </c>
      <c r="HK23">
        <v>9999</v>
      </c>
      <c r="HL23">
        <v>875.7</v>
      </c>
      <c r="HM23">
        <v>1.8811</v>
      </c>
      <c r="HN23">
        <v>1.8782000000000001</v>
      </c>
      <c r="HO23">
        <v>1.8861399999999999</v>
      </c>
      <c r="HP23">
        <v>1.88391</v>
      </c>
      <c r="HQ23">
        <v>1.88141</v>
      </c>
      <c r="HR23">
        <v>1.8805099999999999</v>
      </c>
      <c r="HS23">
        <v>1.88165</v>
      </c>
      <c r="HT23">
        <v>1.88104</v>
      </c>
      <c r="HU23">
        <v>5</v>
      </c>
      <c r="HV23">
        <v>0</v>
      </c>
      <c r="HW23">
        <v>0</v>
      </c>
      <c r="HX23">
        <v>0</v>
      </c>
      <c r="HY23" t="s">
        <v>422</v>
      </c>
      <c r="HZ23" t="s">
        <v>423</v>
      </c>
      <c r="IA23" t="s">
        <v>424</v>
      </c>
      <c r="IB23" t="s">
        <v>424</v>
      </c>
      <c r="IC23" t="s">
        <v>424</v>
      </c>
      <c r="ID23" t="s">
        <v>424</v>
      </c>
      <c r="IE23">
        <v>0</v>
      </c>
      <c r="IF23">
        <v>100</v>
      </c>
      <c r="IG23">
        <v>100</v>
      </c>
      <c r="IH23">
        <v>1.1080000000000001</v>
      </c>
      <c r="II23">
        <v>0.28949999999999998</v>
      </c>
      <c r="IJ23">
        <v>1.09142202632735</v>
      </c>
      <c r="IK23">
        <v>2.2153513873161218E-3</v>
      </c>
      <c r="IL23">
        <v>-2.2967369670569612E-6</v>
      </c>
      <c r="IM23">
        <v>7.7859689150384122E-10</v>
      </c>
      <c r="IN23">
        <v>-0.12147999367656891</v>
      </c>
      <c r="IO23">
        <v>-4.1434251034592161E-3</v>
      </c>
      <c r="IP23">
        <v>8.3987709687394815E-4</v>
      </c>
      <c r="IQ23">
        <v>-7.4586254598011197E-6</v>
      </c>
      <c r="IR23">
        <v>2</v>
      </c>
      <c r="IS23">
        <v>1930</v>
      </c>
      <c r="IT23">
        <v>2</v>
      </c>
      <c r="IU23">
        <v>41</v>
      </c>
      <c r="IV23">
        <v>0.8</v>
      </c>
      <c r="IW23">
        <v>0.5</v>
      </c>
      <c r="IX23">
        <v>0.17211899999999999</v>
      </c>
      <c r="IY23">
        <v>2.5756800000000002</v>
      </c>
      <c r="IZ23">
        <v>1.24512</v>
      </c>
      <c r="JA23">
        <v>2.2668499999999998</v>
      </c>
      <c r="JB23">
        <v>1.4501999999999999</v>
      </c>
      <c r="JC23">
        <v>2.3754900000000001</v>
      </c>
      <c r="JD23">
        <v>37.771099999999997</v>
      </c>
      <c r="JE23">
        <v>23.745999999999999</v>
      </c>
      <c r="JF23">
        <v>18</v>
      </c>
      <c r="JG23">
        <v>495.12599999999998</v>
      </c>
      <c r="JH23">
        <v>467.017</v>
      </c>
      <c r="JI23">
        <v>26.0352</v>
      </c>
      <c r="JJ23">
        <v>33.774700000000003</v>
      </c>
      <c r="JK23">
        <v>30.0001</v>
      </c>
      <c r="JL23">
        <v>33.613900000000001</v>
      </c>
      <c r="JM23">
        <v>33.5867</v>
      </c>
      <c r="JN23">
        <v>3.51633</v>
      </c>
      <c r="JO23">
        <v>31.308199999999999</v>
      </c>
      <c r="JP23">
        <v>28.9053</v>
      </c>
      <c r="JQ23">
        <v>26.038599999999999</v>
      </c>
      <c r="JR23">
        <v>10</v>
      </c>
      <c r="JS23">
        <v>22.938700000000001</v>
      </c>
      <c r="JT23">
        <v>99.294799999999995</v>
      </c>
      <c r="JU23">
        <v>99.361199999999997</v>
      </c>
    </row>
    <row r="24" spans="1:281" x14ac:dyDescent="0.25">
      <c r="A24">
        <v>8</v>
      </c>
      <c r="B24">
        <v>1693323549.5</v>
      </c>
      <c r="C24">
        <v>836.40000009536743</v>
      </c>
      <c r="D24" t="s">
        <v>455</v>
      </c>
      <c r="E24" t="s">
        <v>456</v>
      </c>
      <c r="F24" t="s">
        <v>413</v>
      </c>
      <c r="G24" t="s">
        <v>414</v>
      </c>
      <c r="H24" t="s">
        <v>31</v>
      </c>
      <c r="I24" t="s">
        <v>415</v>
      </c>
      <c r="J24">
        <v>1693323549.5</v>
      </c>
      <c r="K24">
        <f t="shared" si="0"/>
        <v>5.6627144624698455E-3</v>
      </c>
      <c r="L24">
        <f t="shared" si="1"/>
        <v>5.6627144624698458</v>
      </c>
      <c r="M24">
        <f t="shared" si="2"/>
        <v>35.17326526472548</v>
      </c>
      <c r="N24">
        <f t="shared" si="3"/>
        <v>355.553</v>
      </c>
      <c r="O24">
        <f t="shared" si="4"/>
        <v>209.05439069447505</v>
      </c>
      <c r="P24">
        <f t="shared" si="5"/>
        <v>20.742715103764347</v>
      </c>
      <c r="Q24">
        <f t="shared" si="6"/>
        <v>35.278544300306997</v>
      </c>
      <c r="R24">
        <f t="shared" si="7"/>
        <v>0.42965495658980313</v>
      </c>
      <c r="S24">
        <f t="shared" si="8"/>
        <v>2.9110279932283261</v>
      </c>
      <c r="T24">
        <f t="shared" si="9"/>
        <v>0.39727953997596344</v>
      </c>
      <c r="U24">
        <f t="shared" si="10"/>
        <v>0.2510049116335889</v>
      </c>
      <c r="V24">
        <f t="shared" si="11"/>
        <v>344.35359864446053</v>
      </c>
      <c r="W24">
        <f t="shared" si="12"/>
        <v>31.301378819105977</v>
      </c>
      <c r="X24">
        <f t="shared" si="13"/>
        <v>29.922699999999999</v>
      </c>
      <c r="Y24">
        <f t="shared" si="14"/>
        <v>4.2415697274231778</v>
      </c>
      <c r="Z24">
        <f t="shared" si="15"/>
        <v>64.743112708816668</v>
      </c>
      <c r="AA24">
        <f t="shared" si="16"/>
        <v>2.8780322028758998</v>
      </c>
      <c r="AB24">
        <f t="shared" si="17"/>
        <v>4.4453102151882975</v>
      </c>
      <c r="AC24">
        <f t="shared" si="18"/>
        <v>1.3635375245472781</v>
      </c>
      <c r="AD24">
        <f t="shared" si="19"/>
        <v>-249.7257077949202</v>
      </c>
      <c r="AE24">
        <f t="shared" si="20"/>
        <v>128.50193255075376</v>
      </c>
      <c r="AF24">
        <f t="shared" si="21"/>
        <v>9.8475998181743574</v>
      </c>
      <c r="AG24">
        <f t="shared" si="22"/>
        <v>232.97742321846843</v>
      </c>
      <c r="AH24">
        <v>0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51680.060506562731</v>
      </c>
      <c r="AM24" t="s">
        <v>416</v>
      </c>
      <c r="AN24">
        <v>10366.9</v>
      </c>
      <c r="AO24">
        <v>993.59653846153856</v>
      </c>
      <c r="AP24">
        <v>3431.87</v>
      </c>
      <c r="AQ24">
        <f t="shared" si="26"/>
        <v>0.71047955241266758</v>
      </c>
      <c r="AR24">
        <v>-3.9894345373445681</v>
      </c>
      <c r="AS24" t="s">
        <v>457</v>
      </c>
      <c r="AT24">
        <v>10414.5</v>
      </c>
      <c r="AU24">
        <v>808.53842307692321</v>
      </c>
      <c r="AV24">
        <v>1081.837607056508</v>
      </c>
      <c r="AW24">
        <f t="shared" si="27"/>
        <v>0.2526249616365106</v>
      </c>
      <c r="AX24">
        <v>0.5</v>
      </c>
      <c r="AY24">
        <f t="shared" si="28"/>
        <v>1513.1171993222301</v>
      </c>
      <c r="AZ24">
        <f t="shared" si="29"/>
        <v>35.17326526472548</v>
      </c>
      <c r="BA24">
        <f t="shared" si="30"/>
        <v>191.12558721516137</v>
      </c>
      <c r="BB24">
        <f t="shared" si="31"/>
        <v>2.5882132474346457E-2</v>
      </c>
      <c r="BC24">
        <f t="shared" si="32"/>
        <v>2.1722598452992599</v>
      </c>
      <c r="BD24">
        <f t="shared" si="33"/>
        <v>609.97496271350315</v>
      </c>
      <c r="BE24" t="s">
        <v>458</v>
      </c>
      <c r="BF24">
        <v>618.87</v>
      </c>
      <c r="BG24">
        <f t="shared" si="34"/>
        <v>618.87</v>
      </c>
      <c r="BH24">
        <f t="shared" si="35"/>
        <v>0.42794556598578815</v>
      </c>
      <c r="BI24">
        <f t="shared" si="36"/>
        <v>0.5903203157499245</v>
      </c>
      <c r="BJ24">
        <f t="shared" si="37"/>
        <v>0.83541855419249611</v>
      </c>
      <c r="BK24">
        <f t="shared" si="38"/>
        <v>3.0971880591569061</v>
      </c>
      <c r="BL24">
        <f t="shared" si="39"/>
        <v>0.96381001967708213</v>
      </c>
      <c r="BM24">
        <f t="shared" si="40"/>
        <v>0.4518418956737677</v>
      </c>
      <c r="BN24">
        <f t="shared" si="41"/>
        <v>0.54815810432623224</v>
      </c>
      <c r="BO24">
        <v>7562</v>
      </c>
      <c r="BP24">
        <v>290.00000000000011</v>
      </c>
      <c r="BQ24">
        <v>995.65</v>
      </c>
      <c r="BR24">
        <v>175</v>
      </c>
      <c r="BS24">
        <v>10414.5</v>
      </c>
      <c r="BT24">
        <v>995.65</v>
      </c>
      <c r="BU24">
        <v>0</v>
      </c>
      <c r="BV24">
        <v>300.00000000000011</v>
      </c>
      <c r="BW24">
        <v>38.299999999999997</v>
      </c>
      <c r="BX24">
        <v>1081.837607056508</v>
      </c>
      <c r="BY24">
        <v>1.1634617332738679</v>
      </c>
      <c r="BZ24">
        <v>-89.764794756120082</v>
      </c>
      <c r="CA24">
        <v>0.99180549778081217</v>
      </c>
      <c r="CB24">
        <v>0.99659343256497412</v>
      </c>
      <c r="CC24">
        <v>-1.1309047608453851E-2</v>
      </c>
      <c r="CD24">
        <v>289.99999999999989</v>
      </c>
      <c r="CE24">
        <v>978.84</v>
      </c>
      <c r="CF24">
        <v>625</v>
      </c>
      <c r="CG24">
        <v>10394.4</v>
      </c>
      <c r="CH24">
        <v>995.48</v>
      </c>
      <c r="CI24">
        <v>-16.64</v>
      </c>
      <c r="CW24">
        <f t="shared" si="42"/>
        <v>1799.92</v>
      </c>
      <c r="CX24">
        <f t="shared" si="43"/>
        <v>1513.1171993222301</v>
      </c>
      <c r="CY24">
        <f t="shared" si="44"/>
        <v>0.84065802886918872</v>
      </c>
      <c r="CZ24">
        <f t="shared" si="45"/>
        <v>0.19131605773837757</v>
      </c>
      <c r="DA24">
        <v>6</v>
      </c>
      <c r="DB24">
        <v>0.5</v>
      </c>
      <c r="DC24" t="s">
        <v>419</v>
      </c>
      <c r="DD24">
        <v>2</v>
      </c>
      <c r="DE24">
        <v>1693323549.5</v>
      </c>
      <c r="DF24">
        <v>355.553</v>
      </c>
      <c r="DG24">
        <v>400.10899999999998</v>
      </c>
      <c r="DH24">
        <v>29.0061</v>
      </c>
      <c r="DI24">
        <v>22.417999999999999</v>
      </c>
      <c r="DJ24">
        <v>353.76100000000002</v>
      </c>
      <c r="DK24">
        <v>28.7333</v>
      </c>
      <c r="DL24">
        <v>500.76299999999998</v>
      </c>
      <c r="DM24">
        <v>99.121399999999994</v>
      </c>
      <c r="DN24">
        <v>0.100219</v>
      </c>
      <c r="DO24">
        <v>30.741499999999998</v>
      </c>
      <c r="DP24">
        <v>29.922699999999999</v>
      </c>
      <c r="DQ24">
        <v>999.9</v>
      </c>
      <c r="DR24">
        <v>0</v>
      </c>
      <c r="DS24">
        <v>0</v>
      </c>
      <c r="DT24">
        <v>9982.5</v>
      </c>
      <c r="DU24">
        <v>0</v>
      </c>
      <c r="DV24">
        <v>1322.24</v>
      </c>
      <c r="DW24">
        <v>-44.556100000000001</v>
      </c>
      <c r="DX24">
        <v>366.17399999999998</v>
      </c>
      <c r="DY24">
        <v>409.28399999999999</v>
      </c>
      <c r="DZ24">
        <v>6.5880400000000003</v>
      </c>
      <c r="EA24">
        <v>400.10899999999998</v>
      </c>
      <c r="EB24">
        <v>22.417999999999999</v>
      </c>
      <c r="EC24">
        <v>2.8751199999999999</v>
      </c>
      <c r="ED24">
        <v>2.2221099999999998</v>
      </c>
      <c r="EE24">
        <v>23.321899999999999</v>
      </c>
      <c r="EF24">
        <v>19.122599999999998</v>
      </c>
      <c r="EG24">
        <v>1799.92</v>
      </c>
      <c r="EH24">
        <v>0.97800299999999996</v>
      </c>
      <c r="EI24">
        <v>2.1996700000000001E-2</v>
      </c>
      <c r="EJ24">
        <v>0</v>
      </c>
      <c r="EK24">
        <v>808.43299999999999</v>
      </c>
      <c r="EL24">
        <v>5.0010300000000001</v>
      </c>
      <c r="EM24">
        <v>16033.5</v>
      </c>
      <c r="EN24">
        <v>14700.5</v>
      </c>
      <c r="EO24">
        <v>49.686999999999998</v>
      </c>
      <c r="EP24">
        <v>51.561999999999998</v>
      </c>
      <c r="EQ24">
        <v>51</v>
      </c>
      <c r="ER24">
        <v>50.375</v>
      </c>
      <c r="ES24">
        <v>51.186999999999998</v>
      </c>
      <c r="ET24">
        <v>1755.44</v>
      </c>
      <c r="EU24">
        <v>39.479999999999997</v>
      </c>
      <c r="EV24">
        <v>0</v>
      </c>
      <c r="EW24">
        <v>188</v>
      </c>
      <c r="EX24">
        <v>0</v>
      </c>
      <c r="EY24">
        <v>808.53842307692321</v>
      </c>
      <c r="EZ24">
        <v>-4.4900170978238352</v>
      </c>
      <c r="FA24">
        <v>-161.19316242853131</v>
      </c>
      <c r="FB24">
        <v>16066.70384615385</v>
      </c>
      <c r="FC24">
        <v>15</v>
      </c>
      <c r="FD24">
        <v>1693323463.5</v>
      </c>
      <c r="FE24" t="s">
        <v>459</v>
      </c>
      <c r="FF24">
        <v>1693323463.5</v>
      </c>
      <c r="FG24">
        <v>1693323459</v>
      </c>
      <c r="FH24">
        <v>10</v>
      </c>
      <c r="FI24">
        <v>0.17</v>
      </c>
      <c r="FJ24">
        <v>-3.0000000000000001E-3</v>
      </c>
      <c r="FK24">
        <v>1.8280000000000001</v>
      </c>
      <c r="FL24">
        <v>0.11899999999999999</v>
      </c>
      <c r="FM24">
        <v>400</v>
      </c>
      <c r="FN24">
        <v>22</v>
      </c>
      <c r="FO24">
        <v>0.27</v>
      </c>
      <c r="FP24">
        <v>0.04</v>
      </c>
      <c r="FQ24">
        <v>34.696840344273369</v>
      </c>
      <c r="FR24">
        <v>3.0535115262039429</v>
      </c>
      <c r="FS24">
        <v>0.24428464993228591</v>
      </c>
      <c r="FT24">
        <v>0</v>
      </c>
      <c r="FU24">
        <v>0.43059372269959911</v>
      </c>
      <c r="FV24">
        <v>1.031623284422721E-3</v>
      </c>
      <c r="FW24">
        <v>9.3819348273113364E-4</v>
      </c>
      <c r="FX24">
        <v>1</v>
      </c>
      <c r="FY24">
        <v>1</v>
      </c>
      <c r="FZ24">
        <v>2</v>
      </c>
      <c r="GA24" t="s">
        <v>460</v>
      </c>
      <c r="GB24">
        <v>2.90042</v>
      </c>
      <c r="GC24">
        <v>2.8180800000000001</v>
      </c>
      <c r="GD24">
        <v>8.2073099999999996E-2</v>
      </c>
      <c r="GE24">
        <v>9.0309799999999996E-2</v>
      </c>
      <c r="GF24">
        <v>0.13516500000000001</v>
      </c>
      <c r="GG24">
        <v>0.113091</v>
      </c>
      <c r="GH24">
        <v>25436.5</v>
      </c>
      <c r="GI24">
        <v>25354.7</v>
      </c>
      <c r="GJ24">
        <v>24588.2</v>
      </c>
      <c r="GK24">
        <v>24894.5</v>
      </c>
      <c r="GL24">
        <v>28267.3</v>
      </c>
      <c r="GM24">
        <v>28925.3</v>
      </c>
      <c r="GN24">
        <v>33271.599999999999</v>
      </c>
      <c r="GO24">
        <v>33308.5</v>
      </c>
      <c r="GP24">
        <v>1.948</v>
      </c>
      <c r="GQ24">
        <v>1.8326</v>
      </c>
      <c r="GR24">
        <v>3.32743E-2</v>
      </c>
      <c r="GS24">
        <v>0</v>
      </c>
      <c r="GT24">
        <v>29.3809</v>
      </c>
      <c r="GU24">
        <v>999.9</v>
      </c>
      <c r="GV24">
        <v>55.9</v>
      </c>
      <c r="GW24">
        <v>33.9</v>
      </c>
      <c r="GX24">
        <v>29.965900000000001</v>
      </c>
      <c r="GY24">
        <v>62.090400000000002</v>
      </c>
      <c r="GZ24">
        <v>24.443100000000001</v>
      </c>
      <c r="HA24">
        <v>1</v>
      </c>
      <c r="HB24">
        <v>0.51832299999999998</v>
      </c>
      <c r="HC24">
        <v>1.5209900000000001</v>
      </c>
      <c r="HD24">
        <v>20.161899999999999</v>
      </c>
      <c r="HE24">
        <v>5.2352600000000002</v>
      </c>
      <c r="HF24">
        <v>11.9201</v>
      </c>
      <c r="HG24">
        <v>4.9602000000000004</v>
      </c>
      <c r="HH24">
        <v>3.2890000000000001</v>
      </c>
      <c r="HI24">
        <v>9999</v>
      </c>
      <c r="HJ24">
        <v>9999</v>
      </c>
      <c r="HK24">
        <v>9999</v>
      </c>
      <c r="HL24">
        <v>875.8</v>
      </c>
      <c r="HM24">
        <v>1.8811</v>
      </c>
      <c r="HN24">
        <v>1.87819</v>
      </c>
      <c r="HO24">
        <v>1.8861399999999999</v>
      </c>
      <c r="HP24">
        <v>1.88391</v>
      </c>
      <c r="HQ24">
        <v>1.88141</v>
      </c>
      <c r="HR24">
        <v>1.88049</v>
      </c>
      <c r="HS24">
        <v>1.88164</v>
      </c>
      <c r="HT24">
        <v>1.88107</v>
      </c>
      <c r="HU24">
        <v>5</v>
      </c>
      <c r="HV24">
        <v>0</v>
      </c>
      <c r="HW24">
        <v>0</v>
      </c>
      <c r="HX24">
        <v>0</v>
      </c>
      <c r="HY24" t="s">
        <v>422</v>
      </c>
      <c r="HZ24" t="s">
        <v>423</v>
      </c>
      <c r="IA24" t="s">
        <v>424</v>
      </c>
      <c r="IB24" t="s">
        <v>424</v>
      </c>
      <c r="IC24" t="s">
        <v>424</v>
      </c>
      <c r="ID24" t="s">
        <v>424</v>
      </c>
      <c r="IE24">
        <v>0</v>
      </c>
      <c r="IF24">
        <v>100</v>
      </c>
      <c r="IG24">
        <v>100</v>
      </c>
      <c r="IH24">
        <v>1.792</v>
      </c>
      <c r="II24">
        <v>0.27279999999999999</v>
      </c>
      <c r="IJ24">
        <v>1.261023692860241</v>
      </c>
      <c r="IK24">
        <v>2.2153513873161218E-3</v>
      </c>
      <c r="IL24">
        <v>-2.2967369670569612E-6</v>
      </c>
      <c r="IM24">
        <v>7.7859689150384122E-10</v>
      </c>
      <c r="IN24">
        <v>-0.1245829320629821</v>
      </c>
      <c r="IO24">
        <v>-4.1434251034592161E-3</v>
      </c>
      <c r="IP24">
        <v>8.3987709687394815E-4</v>
      </c>
      <c r="IQ24">
        <v>-7.4586254598011197E-6</v>
      </c>
      <c r="IR24">
        <v>2</v>
      </c>
      <c r="IS24">
        <v>1930</v>
      </c>
      <c r="IT24">
        <v>2</v>
      </c>
      <c r="IU24">
        <v>41</v>
      </c>
      <c r="IV24">
        <v>1.4</v>
      </c>
      <c r="IW24">
        <v>1.5</v>
      </c>
      <c r="IX24">
        <v>0.98632799999999998</v>
      </c>
      <c r="IY24">
        <v>2.50244</v>
      </c>
      <c r="IZ24">
        <v>1.24512</v>
      </c>
      <c r="JA24">
        <v>2.2656200000000002</v>
      </c>
      <c r="JB24">
        <v>1.4501999999999999</v>
      </c>
      <c r="JC24">
        <v>2.4267599999999998</v>
      </c>
      <c r="JD24">
        <v>37.819499999999998</v>
      </c>
      <c r="JE24">
        <v>23.763500000000001</v>
      </c>
      <c r="JF24">
        <v>18</v>
      </c>
      <c r="JG24">
        <v>495.28199999999998</v>
      </c>
      <c r="JH24">
        <v>466.55</v>
      </c>
      <c r="JI24">
        <v>27.160799999999998</v>
      </c>
      <c r="JJ24">
        <v>33.914900000000003</v>
      </c>
      <c r="JK24">
        <v>30</v>
      </c>
      <c r="JL24">
        <v>33.733800000000002</v>
      </c>
      <c r="JM24">
        <v>33.701999999999998</v>
      </c>
      <c r="JN24">
        <v>19.848800000000001</v>
      </c>
      <c r="JO24">
        <v>32.220700000000001</v>
      </c>
      <c r="JP24">
        <v>25.6112</v>
      </c>
      <c r="JQ24">
        <v>27.185400000000001</v>
      </c>
      <c r="JR24">
        <v>400</v>
      </c>
      <c r="JS24">
        <v>22.4924</v>
      </c>
      <c r="JT24">
        <v>99.277299999999997</v>
      </c>
      <c r="JU24">
        <v>99.335700000000003</v>
      </c>
    </row>
    <row r="25" spans="1:281" x14ac:dyDescent="0.25">
      <c r="A25">
        <v>9</v>
      </c>
      <c r="B25">
        <v>1693323679</v>
      </c>
      <c r="C25">
        <v>965.90000009536743</v>
      </c>
      <c r="D25" t="s">
        <v>461</v>
      </c>
      <c r="E25" t="s">
        <v>462</v>
      </c>
      <c r="F25" t="s">
        <v>413</v>
      </c>
      <c r="G25" t="s">
        <v>414</v>
      </c>
      <c r="H25" t="s">
        <v>31</v>
      </c>
      <c r="I25" t="s">
        <v>415</v>
      </c>
      <c r="J25">
        <v>1693323679</v>
      </c>
      <c r="K25">
        <f t="shared" si="0"/>
        <v>5.4350875830425846E-3</v>
      </c>
      <c r="L25">
        <f t="shared" si="1"/>
        <v>5.4350875830425842</v>
      </c>
      <c r="M25">
        <f t="shared" si="2"/>
        <v>38.760520677339869</v>
      </c>
      <c r="N25">
        <f t="shared" si="3"/>
        <v>351.29700000000003</v>
      </c>
      <c r="O25">
        <f t="shared" si="4"/>
        <v>184.05175520610354</v>
      </c>
      <c r="P25">
        <f t="shared" si="5"/>
        <v>18.263117013872073</v>
      </c>
      <c r="Q25">
        <f t="shared" si="6"/>
        <v>34.858554923520003</v>
      </c>
      <c r="R25">
        <f t="shared" si="7"/>
        <v>0.41041346509917842</v>
      </c>
      <c r="S25">
        <f t="shared" si="8"/>
        <v>2.9098252892099263</v>
      </c>
      <c r="T25">
        <f t="shared" si="9"/>
        <v>0.38075438524157029</v>
      </c>
      <c r="U25">
        <f t="shared" si="10"/>
        <v>0.24045738587610055</v>
      </c>
      <c r="V25">
        <f t="shared" si="11"/>
        <v>344.37259864453586</v>
      </c>
      <c r="W25">
        <f t="shared" si="12"/>
        <v>31.423195015755237</v>
      </c>
      <c r="X25">
        <f t="shared" si="13"/>
        <v>29.998699999999999</v>
      </c>
      <c r="Y25">
        <f t="shared" si="14"/>
        <v>4.260131651006982</v>
      </c>
      <c r="Z25">
        <f t="shared" si="15"/>
        <v>64.888936778651413</v>
      </c>
      <c r="AA25">
        <f t="shared" si="16"/>
        <v>2.8947632660479998</v>
      </c>
      <c r="AB25">
        <f t="shared" si="17"/>
        <v>4.4611044806028977</v>
      </c>
      <c r="AC25">
        <f t="shared" si="18"/>
        <v>1.3653683849589822</v>
      </c>
      <c r="AD25">
        <f t="shared" si="19"/>
        <v>-239.68736241217798</v>
      </c>
      <c r="AE25">
        <f t="shared" si="20"/>
        <v>126.26828584836868</v>
      </c>
      <c r="AF25">
        <f t="shared" si="21"/>
        <v>9.6870381581458531</v>
      </c>
      <c r="AG25">
        <f t="shared" si="22"/>
        <v>240.64056023887241</v>
      </c>
      <c r="AH25">
        <v>0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51635.524503200577</v>
      </c>
      <c r="AM25" t="s">
        <v>416</v>
      </c>
      <c r="AN25">
        <v>10366.9</v>
      </c>
      <c r="AO25">
        <v>993.59653846153856</v>
      </c>
      <c r="AP25">
        <v>3431.87</v>
      </c>
      <c r="AQ25">
        <f t="shared" si="26"/>
        <v>0.71047955241266758</v>
      </c>
      <c r="AR25">
        <v>-3.9894345373445681</v>
      </c>
      <c r="AS25" t="s">
        <v>463</v>
      </c>
      <c r="AT25">
        <v>10416.9</v>
      </c>
      <c r="AU25">
        <v>813.24055999999996</v>
      </c>
      <c r="AV25">
        <v>1097.0635902172551</v>
      </c>
      <c r="AW25">
        <f t="shared" si="27"/>
        <v>0.25871155760537878</v>
      </c>
      <c r="AX25">
        <v>0.5</v>
      </c>
      <c r="AY25">
        <f t="shared" si="28"/>
        <v>1513.2011993222679</v>
      </c>
      <c r="AZ25">
        <f t="shared" si="29"/>
        <v>38.760520677339869</v>
      </c>
      <c r="BA25">
        <f t="shared" si="30"/>
        <v>195.7413196234956</v>
      </c>
      <c r="BB25">
        <f t="shared" si="31"/>
        <v>2.8251335799780803E-2</v>
      </c>
      <c r="BC25">
        <f t="shared" si="32"/>
        <v>2.1282325205236057</v>
      </c>
      <c r="BD25">
        <f t="shared" si="33"/>
        <v>614.78587410813441</v>
      </c>
      <c r="BE25" t="s">
        <v>464</v>
      </c>
      <c r="BF25">
        <v>622.94000000000005</v>
      </c>
      <c r="BG25">
        <f t="shared" si="34"/>
        <v>622.94000000000005</v>
      </c>
      <c r="BH25">
        <f t="shared" si="35"/>
        <v>0.43217512133764535</v>
      </c>
      <c r="BI25">
        <f t="shared" si="36"/>
        <v>0.59862667893660482</v>
      </c>
      <c r="BJ25">
        <f t="shared" si="37"/>
        <v>0.8312084707638655</v>
      </c>
      <c r="BK25">
        <f t="shared" si="38"/>
        <v>2.7431247474544378</v>
      </c>
      <c r="BL25">
        <f t="shared" si="39"/>
        <v>0.95756544399641175</v>
      </c>
      <c r="BM25">
        <f t="shared" si="40"/>
        <v>0.45854636588313874</v>
      </c>
      <c r="BN25">
        <f t="shared" si="41"/>
        <v>0.5414536341168612</v>
      </c>
      <c r="BO25">
        <v>7564</v>
      </c>
      <c r="BP25">
        <v>290.00000000000011</v>
      </c>
      <c r="BQ25">
        <v>1021.85</v>
      </c>
      <c r="BR25">
        <v>155</v>
      </c>
      <c r="BS25">
        <v>10416.9</v>
      </c>
      <c r="BT25">
        <v>1018.43</v>
      </c>
      <c r="BU25">
        <v>3.42</v>
      </c>
      <c r="BV25">
        <v>300.00000000000011</v>
      </c>
      <c r="BW25">
        <v>38.299999999999997</v>
      </c>
      <c r="BX25">
        <v>1097.0635902172551</v>
      </c>
      <c r="BY25">
        <v>1.1802706511662711</v>
      </c>
      <c r="BZ25">
        <v>-81.916395082544057</v>
      </c>
      <c r="CA25">
        <v>1.0060507041752511</v>
      </c>
      <c r="CB25">
        <v>0.99579442100400395</v>
      </c>
      <c r="CC25">
        <v>-1.1308044048943269E-2</v>
      </c>
      <c r="CD25">
        <v>289.99999999999989</v>
      </c>
      <c r="CE25">
        <v>1010.18</v>
      </c>
      <c r="CF25">
        <v>665</v>
      </c>
      <c r="CG25">
        <v>10389.799999999999</v>
      </c>
      <c r="CH25">
        <v>1018.22</v>
      </c>
      <c r="CI25">
        <v>-8.0399999999999991</v>
      </c>
      <c r="CW25">
        <f t="shared" si="42"/>
        <v>1800.02</v>
      </c>
      <c r="CX25">
        <f t="shared" si="43"/>
        <v>1513.2011993222679</v>
      </c>
      <c r="CY25">
        <f t="shared" si="44"/>
        <v>0.84065799231245653</v>
      </c>
      <c r="CZ25">
        <f t="shared" si="45"/>
        <v>0.19131598462491298</v>
      </c>
      <c r="DA25">
        <v>6</v>
      </c>
      <c r="DB25">
        <v>0.5</v>
      </c>
      <c r="DC25" t="s">
        <v>419</v>
      </c>
      <c r="DD25">
        <v>2</v>
      </c>
      <c r="DE25">
        <v>1693323679</v>
      </c>
      <c r="DF25">
        <v>351.29700000000003</v>
      </c>
      <c r="DG25">
        <v>400.02499999999998</v>
      </c>
      <c r="DH25">
        <v>29.172799999999999</v>
      </c>
      <c r="DI25">
        <v>22.8508</v>
      </c>
      <c r="DJ25">
        <v>349.48</v>
      </c>
      <c r="DK25">
        <v>28.8949</v>
      </c>
      <c r="DL25">
        <v>500.77800000000002</v>
      </c>
      <c r="DM25">
        <v>99.127700000000004</v>
      </c>
      <c r="DN25">
        <v>0.10045999999999999</v>
      </c>
      <c r="DO25">
        <v>30.803599999999999</v>
      </c>
      <c r="DP25">
        <v>29.998699999999999</v>
      </c>
      <c r="DQ25">
        <v>999.9</v>
      </c>
      <c r="DR25">
        <v>0</v>
      </c>
      <c r="DS25">
        <v>0</v>
      </c>
      <c r="DT25">
        <v>9975</v>
      </c>
      <c r="DU25">
        <v>0</v>
      </c>
      <c r="DV25">
        <v>1315.88</v>
      </c>
      <c r="DW25">
        <v>-48.7288</v>
      </c>
      <c r="DX25">
        <v>361.85300000000001</v>
      </c>
      <c r="DY25">
        <v>409.38</v>
      </c>
      <c r="DZ25">
        <v>6.3219500000000002</v>
      </c>
      <c r="EA25">
        <v>400.02499999999998</v>
      </c>
      <c r="EB25">
        <v>22.8508</v>
      </c>
      <c r="EC25">
        <v>2.8918300000000001</v>
      </c>
      <c r="ED25">
        <v>2.2651500000000002</v>
      </c>
      <c r="EE25">
        <v>23.417899999999999</v>
      </c>
      <c r="EF25">
        <v>19.430700000000002</v>
      </c>
      <c r="EG25">
        <v>1800.02</v>
      </c>
      <c r="EH25">
        <v>0.97800699999999996</v>
      </c>
      <c r="EI25">
        <v>2.1993200000000001E-2</v>
      </c>
      <c r="EJ25">
        <v>0</v>
      </c>
      <c r="EK25">
        <v>814.46</v>
      </c>
      <c r="EL25">
        <v>5.0010300000000001</v>
      </c>
      <c r="EM25">
        <v>16176.1</v>
      </c>
      <c r="EN25">
        <v>14701.3</v>
      </c>
      <c r="EO25">
        <v>49.75</v>
      </c>
      <c r="EP25">
        <v>51.686999999999998</v>
      </c>
      <c r="EQ25">
        <v>51.186999999999998</v>
      </c>
      <c r="ER25">
        <v>50.561999999999998</v>
      </c>
      <c r="ES25">
        <v>51.375</v>
      </c>
      <c r="ET25">
        <v>1755.54</v>
      </c>
      <c r="EU25">
        <v>39.479999999999997</v>
      </c>
      <c r="EV25">
        <v>0</v>
      </c>
      <c r="EW25">
        <v>127.4000000953674</v>
      </c>
      <c r="EX25">
        <v>0</v>
      </c>
      <c r="EY25">
        <v>813.24055999999996</v>
      </c>
      <c r="EZ25">
        <v>8.1421538481034368</v>
      </c>
      <c r="FA25">
        <v>156.36153841936829</v>
      </c>
      <c r="FB25">
        <v>16153.644</v>
      </c>
      <c r="FC25">
        <v>15</v>
      </c>
      <c r="FD25">
        <v>1693323619</v>
      </c>
      <c r="FE25" t="s">
        <v>465</v>
      </c>
      <c r="FF25">
        <v>1693323611</v>
      </c>
      <c r="FG25">
        <v>1693323619</v>
      </c>
      <c r="FH25">
        <v>11</v>
      </c>
      <c r="FI25">
        <v>2.8000000000000001E-2</v>
      </c>
      <c r="FJ25">
        <v>1E-3</v>
      </c>
      <c r="FK25">
        <v>1.857</v>
      </c>
      <c r="FL25">
        <v>0.124</v>
      </c>
      <c r="FM25">
        <v>400</v>
      </c>
      <c r="FN25">
        <v>23</v>
      </c>
      <c r="FO25">
        <v>0.1</v>
      </c>
      <c r="FP25">
        <v>0.04</v>
      </c>
      <c r="FQ25">
        <v>38.566439371154523</v>
      </c>
      <c r="FR25">
        <v>0.69251402430148912</v>
      </c>
      <c r="FS25">
        <v>8.230845209635218E-2</v>
      </c>
      <c r="FT25">
        <v>1</v>
      </c>
      <c r="FU25">
        <v>0.41306301924378303</v>
      </c>
      <c r="FV25">
        <v>-3.5069350560774488E-2</v>
      </c>
      <c r="FW25">
        <v>2.676282423609253E-3</v>
      </c>
      <c r="FX25">
        <v>1</v>
      </c>
      <c r="FY25">
        <v>2</v>
      </c>
      <c r="FZ25">
        <v>2</v>
      </c>
      <c r="GA25" t="s">
        <v>421</v>
      </c>
      <c r="GB25">
        <v>2.9003299999999999</v>
      </c>
      <c r="GC25">
        <v>2.8182499999999999</v>
      </c>
      <c r="GD25">
        <v>8.1280199999999997E-2</v>
      </c>
      <c r="GE25">
        <v>9.0290200000000001E-2</v>
      </c>
      <c r="GF25">
        <v>0.13567199999999999</v>
      </c>
      <c r="GG25">
        <v>0.11458599999999999</v>
      </c>
      <c r="GH25">
        <v>25455.599999999999</v>
      </c>
      <c r="GI25">
        <v>25352.5</v>
      </c>
      <c r="GJ25">
        <v>24585.599999999999</v>
      </c>
      <c r="GK25">
        <v>24892</v>
      </c>
      <c r="GL25">
        <v>28247.599999999999</v>
      </c>
      <c r="GM25">
        <v>28873.3</v>
      </c>
      <c r="GN25">
        <v>33267.599999999999</v>
      </c>
      <c r="GO25">
        <v>33304.800000000003</v>
      </c>
      <c r="GP25">
        <v>1.9473</v>
      </c>
      <c r="GQ25">
        <v>1.8327</v>
      </c>
      <c r="GR25">
        <v>3.6716499999999999E-2</v>
      </c>
      <c r="GS25">
        <v>0</v>
      </c>
      <c r="GT25">
        <v>29.4009</v>
      </c>
      <c r="GU25">
        <v>999.9</v>
      </c>
      <c r="GV25">
        <v>55.7</v>
      </c>
      <c r="GW25">
        <v>33.9</v>
      </c>
      <c r="GX25">
        <v>29.857900000000001</v>
      </c>
      <c r="GY25">
        <v>62.260399999999997</v>
      </c>
      <c r="GZ25">
        <v>24.463100000000001</v>
      </c>
      <c r="HA25">
        <v>1</v>
      </c>
      <c r="HB25">
        <v>0.52495899999999995</v>
      </c>
      <c r="HC25">
        <v>1.8637999999999999</v>
      </c>
      <c r="HD25">
        <v>20.158000000000001</v>
      </c>
      <c r="HE25">
        <v>5.23346</v>
      </c>
      <c r="HF25">
        <v>11.9201</v>
      </c>
      <c r="HG25">
        <v>4.9598000000000004</v>
      </c>
      <c r="HH25">
        <v>3.2890000000000001</v>
      </c>
      <c r="HI25">
        <v>9999</v>
      </c>
      <c r="HJ25">
        <v>9999</v>
      </c>
      <c r="HK25">
        <v>9999</v>
      </c>
      <c r="HL25">
        <v>875.8</v>
      </c>
      <c r="HM25">
        <v>1.8811</v>
      </c>
      <c r="HN25">
        <v>1.8782000000000001</v>
      </c>
      <c r="HO25">
        <v>1.8861399999999999</v>
      </c>
      <c r="HP25">
        <v>1.88392</v>
      </c>
      <c r="HQ25">
        <v>1.88141</v>
      </c>
      <c r="HR25">
        <v>1.88049</v>
      </c>
      <c r="HS25">
        <v>1.8815599999999999</v>
      </c>
      <c r="HT25">
        <v>1.88107</v>
      </c>
      <c r="HU25">
        <v>5</v>
      </c>
      <c r="HV25">
        <v>0</v>
      </c>
      <c r="HW25">
        <v>0</v>
      </c>
      <c r="HX25">
        <v>0</v>
      </c>
      <c r="HY25" t="s">
        <v>422</v>
      </c>
      <c r="HZ25" t="s">
        <v>423</v>
      </c>
      <c r="IA25" t="s">
        <v>424</v>
      </c>
      <c r="IB25" t="s">
        <v>424</v>
      </c>
      <c r="IC25" t="s">
        <v>424</v>
      </c>
      <c r="ID25" t="s">
        <v>424</v>
      </c>
      <c r="IE25">
        <v>0</v>
      </c>
      <c r="IF25">
        <v>100</v>
      </c>
      <c r="IG25">
        <v>100</v>
      </c>
      <c r="IH25">
        <v>1.8169999999999999</v>
      </c>
      <c r="II25">
        <v>0.27789999999999998</v>
      </c>
      <c r="IJ25">
        <v>1.289594983643698</v>
      </c>
      <c r="IK25">
        <v>2.2153513873161218E-3</v>
      </c>
      <c r="IL25">
        <v>-2.2967369670569612E-6</v>
      </c>
      <c r="IM25">
        <v>7.7859689150384122E-10</v>
      </c>
      <c r="IN25">
        <v>-0.12370054844268601</v>
      </c>
      <c r="IO25">
        <v>-4.1434251034592161E-3</v>
      </c>
      <c r="IP25">
        <v>8.3987709687394815E-4</v>
      </c>
      <c r="IQ25">
        <v>-7.4586254598011197E-6</v>
      </c>
      <c r="IR25">
        <v>2</v>
      </c>
      <c r="IS25">
        <v>1930</v>
      </c>
      <c r="IT25">
        <v>2</v>
      </c>
      <c r="IU25">
        <v>41</v>
      </c>
      <c r="IV25">
        <v>1.1000000000000001</v>
      </c>
      <c r="IW25">
        <v>1</v>
      </c>
      <c r="IX25">
        <v>0.98632799999999998</v>
      </c>
      <c r="IY25">
        <v>2.50366</v>
      </c>
      <c r="IZ25">
        <v>1.24512</v>
      </c>
      <c r="JA25">
        <v>2.2656200000000002</v>
      </c>
      <c r="JB25">
        <v>1.4501999999999999</v>
      </c>
      <c r="JC25">
        <v>2.3852500000000001</v>
      </c>
      <c r="JD25">
        <v>37.843699999999998</v>
      </c>
      <c r="JE25">
        <v>23.745999999999999</v>
      </c>
      <c r="JF25">
        <v>18</v>
      </c>
      <c r="JG25">
        <v>495.32299999999998</v>
      </c>
      <c r="JH25">
        <v>467.137</v>
      </c>
      <c r="JI25">
        <v>27.185700000000001</v>
      </c>
      <c r="JJ25">
        <v>33.97</v>
      </c>
      <c r="JK25">
        <v>30.000599999999999</v>
      </c>
      <c r="JL25">
        <v>33.798000000000002</v>
      </c>
      <c r="JM25">
        <v>33.765999999999998</v>
      </c>
      <c r="JN25">
        <v>19.854500000000002</v>
      </c>
      <c r="JO25">
        <v>30.6904</v>
      </c>
      <c r="JP25">
        <v>23.7774</v>
      </c>
      <c r="JQ25">
        <v>27.1813</v>
      </c>
      <c r="JR25">
        <v>400</v>
      </c>
      <c r="JS25">
        <v>22.908899999999999</v>
      </c>
      <c r="JT25">
        <v>99.266000000000005</v>
      </c>
      <c r="JU25">
        <v>99.325100000000006</v>
      </c>
    </row>
    <row r="26" spans="1:281" x14ac:dyDescent="0.25">
      <c r="A26">
        <v>10</v>
      </c>
      <c r="B26">
        <v>1693323778.5</v>
      </c>
      <c r="C26">
        <v>1065.400000095367</v>
      </c>
      <c r="D26" t="s">
        <v>466</v>
      </c>
      <c r="E26" t="s">
        <v>467</v>
      </c>
      <c r="F26" t="s">
        <v>413</v>
      </c>
      <c r="G26" t="s">
        <v>414</v>
      </c>
      <c r="H26" t="s">
        <v>31</v>
      </c>
      <c r="I26" t="s">
        <v>415</v>
      </c>
      <c r="J26">
        <v>1693323778.5</v>
      </c>
      <c r="K26">
        <f t="shared" si="0"/>
        <v>5.3175782442809712E-3</v>
      </c>
      <c r="L26">
        <f t="shared" si="1"/>
        <v>5.3175782442809716</v>
      </c>
      <c r="M26">
        <f t="shared" si="2"/>
        <v>41.40287832543811</v>
      </c>
      <c r="N26">
        <f t="shared" si="3"/>
        <v>447.59899999999999</v>
      </c>
      <c r="O26">
        <f t="shared" si="4"/>
        <v>267.17218674793395</v>
      </c>
      <c r="P26">
        <f t="shared" si="5"/>
        <v>26.510620834913698</v>
      </c>
      <c r="Q26">
        <f t="shared" si="6"/>
        <v>44.413782435675998</v>
      </c>
      <c r="R26">
        <f t="shared" si="7"/>
        <v>0.40952893142563579</v>
      </c>
      <c r="S26">
        <f t="shared" si="8"/>
        <v>2.9163683431396654</v>
      </c>
      <c r="T26">
        <f t="shared" si="9"/>
        <v>0.38005378284447838</v>
      </c>
      <c r="U26">
        <f t="shared" si="10"/>
        <v>0.24000481636333013</v>
      </c>
      <c r="V26">
        <f t="shared" si="11"/>
        <v>344.35169864445299</v>
      </c>
      <c r="W26">
        <f t="shared" si="12"/>
        <v>31.438794384920083</v>
      </c>
      <c r="X26">
        <f t="shared" si="13"/>
        <v>29.972999999999999</v>
      </c>
      <c r="Y26">
        <f t="shared" si="14"/>
        <v>4.2538468838259158</v>
      </c>
      <c r="Z26">
        <f t="shared" si="15"/>
        <v>65.408093483074097</v>
      </c>
      <c r="AA26">
        <f t="shared" si="16"/>
        <v>2.9156582126711998</v>
      </c>
      <c r="AB26">
        <f t="shared" si="17"/>
        <v>4.4576413367341088</v>
      </c>
      <c r="AC26">
        <f t="shared" si="18"/>
        <v>1.338188671154716</v>
      </c>
      <c r="AD26">
        <f t="shared" si="19"/>
        <v>-234.50520057279084</v>
      </c>
      <c r="AE26">
        <f t="shared" si="20"/>
        <v>128.45466334423742</v>
      </c>
      <c r="AF26">
        <f t="shared" si="21"/>
        <v>9.8307528511935924</v>
      </c>
      <c r="AG26">
        <f t="shared" si="22"/>
        <v>248.13191426709318</v>
      </c>
      <c r="AH26">
        <v>0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51823.468803501841</v>
      </c>
      <c r="AM26" t="s">
        <v>416</v>
      </c>
      <c r="AN26">
        <v>10366.9</v>
      </c>
      <c r="AO26">
        <v>993.59653846153856</v>
      </c>
      <c r="AP26">
        <v>3431.87</v>
      </c>
      <c r="AQ26">
        <f t="shared" si="26"/>
        <v>0.71047955241266758</v>
      </c>
      <c r="AR26">
        <v>-3.9894345373445681</v>
      </c>
      <c r="AS26" t="s">
        <v>468</v>
      </c>
      <c r="AT26">
        <v>10419.9</v>
      </c>
      <c r="AU26">
        <v>832.93907692307687</v>
      </c>
      <c r="AV26">
        <v>1143.090701978567</v>
      </c>
      <c r="AW26">
        <f t="shared" si="27"/>
        <v>0.27132722234434337</v>
      </c>
      <c r="AX26">
        <v>0.5</v>
      </c>
      <c r="AY26">
        <f t="shared" si="28"/>
        <v>1513.1087993222263</v>
      </c>
      <c r="AZ26">
        <f t="shared" si="29"/>
        <v>41.40287832543811</v>
      </c>
      <c r="BA26">
        <f t="shared" si="30"/>
        <v>205.27380381244205</v>
      </c>
      <c r="BB26">
        <f t="shared" si="31"/>
        <v>2.9999371415403479E-2</v>
      </c>
      <c r="BC26">
        <f t="shared" si="32"/>
        <v>2.0022726928491341</v>
      </c>
      <c r="BD26">
        <f t="shared" si="33"/>
        <v>628.9784383121081</v>
      </c>
      <c r="BE26" t="s">
        <v>469</v>
      </c>
      <c r="BF26">
        <v>632.08000000000004</v>
      </c>
      <c r="BG26">
        <f t="shared" si="34"/>
        <v>632.08000000000004</v>
      </c>
      <c r="BH26">
        <f t="shared" si="35"/>
        <v>0.44704300463127067</v>
      </c>
      <c r="BI26">
        <f t="shared" si="36"/>
        <v>0.60693763135414469</v>
      </c>
      <c r="BJ26">
        <f t="shared" si="37"/>
        <v>0.81748248905147625</v>
      </c>
      <c r="BK26">
        <f t="shared" si="38"/>
        <v>2.0746738050423059</v>
      </c>
      <c r="BL26">
        <f t="shared" si="39"/>
        <v>0.93868851633126349</v>
      </c>
      <c r="BM26">
        <f t="shared" si="40"/>
        <v>0.46057766846945142</v>
      </c>
      <c r="BN26">
        <f t="shared" si="41"/>
        <v>0.53942233153054864</v>
      </c>
      <c r="BO26">
        <v>7566</v>
      </c>
      <c r="BP26">
        <v>290.00000000000011</v>
      </c>
      <c r="BQ26">
        <v>1065.43</v>
      </c>
      <c r="BR26">
        <v>135</v>
      </c>
      <c r="BS26">
        <v>10419.9</v>
      </c>
      <c r="BT26">
        <v>1059.67</v>
      </c>
      <c r="BU26">
        <v>5.76</v>
      </c>
      <c r="BV26">
        <v>300.00000000000011</v>
      </c>
      <c r="BW26">
        <v>38.299999999999997</v>
      </c>
      <c r="BX26">
        <v>1143.090701978567</v>
      </c>
      <c r="BY26">
        <v>1.272076435610735</v>
      </c>
      <c r="BZ26">
        <v>-86.926304202664511</v>
      </c>
      <c r="CA26">
        <v>1.0842517090601329</v>
      </c>
      <c r="CB26">
        <v>0.99566261441553272</v>
      </c>
      <c r="CC26">
        <v>-1.1307510567297001E-2</v>
      </c>
      <c r="CD26">
        <v>289.99999999999989</v>
      </c>
      <c r="CE26">
        <v>1051.69</v>
      </c>
      <c r="CF26">
        <v>655</v>
      </c>
      <c r="CG26">
        <v>10390.1</v>
      </c>
      <c r="CH26">
        <v>1059.43</v>
      </c>
      <c r="CI26">
        <v>-7.74</v>
      </c>
      <c r="CW26">
        <f t="shared" si="42"/>
        <v>1799.91</v>
      </c>
      <c r="CX26">
        <f t="shared" si="43"/>
        <v>1513.1087993222263</v>
      </c>
      <c r="CY26">
        <f t="shared" si="44"/>
        <v>0.84065803252508531</v>
      </c>
      <c r="CZ26">
        <f t="shared" si="45"/>
        <v>0.19131606505017082</v>
      </c>
      <c r="DA26">
        <v>6</v>
      </c>
      <c r="DB26">
        <v>0.5</v>
      </c>
      <c r="DC26" t="s">
        <v>419</v>
      </c>
      <c r="DD26">
        <v>2</v>
      </c>
      <c r="DE26">
        <v>1693323778.5</v>
      </c>
      <c r="DF26">
        <v>447.59899999999999</v>
      </c>
      <c r="DG26">
        <v>500.08100000000002</v>
      </c>
      <c r="DH26">
        <v>29.383800000000001</v>
      </c>
      <c r="DI26">
        <v>23.196999999999999</v>
      </c>
      <c r="DJ26">
        <v>445.71600000000001</v>
      </c>
      <c r="DK26">
        <v>29.105</v>
      </c>
      <c r="DL26">
        <v>500.54899999999998</v>
      </c>
      <c r="DM26">
        <v>99.126599999999996</v>
      </c>
      <c r="DN26">
        <v>0.100124</v>
      </c>
      <c r="DO26">
        <v>30.79</v>
      </c>
      <c r="DP26">
        <v>29.972999999999999</v>
      </c>
      <c r="DQ26">
        <v>999.9</v>
      </c>
      <c r="DR26">
        <v>0</v>
      </c>
      <c r="DS26">
        <v>0</v>
      </c>
      <c r="DT26">
        <v>10012.5</v>
      </c>
      <c r="DU26">
        <v>0</v>
      </c>
      <c r="DV26">
        <v>1298.8900000000001</v>
      </c>
      <c r="DW26">
        <v>-52.481900000000003</v>
      </c>
      <c r="DX26">
        <v>461.15</v>
      </c>
      <c r="DY26">
        <v>511.95699999999999</v>
      </c>
      <c r="DZ26">
        <v>6.1867900000000002</v>
      </c>
      <c r="EA26">
        <v>500.08100000000002</v>
      </c>
      <c r="EB26">
        <v>23.196999999999999</v>
      </c>
      <c r="EC26">
        <v>2.9127200000000002</v>
      </c>
      <c r="ED26">
        <v>2.2994400000000002</v>
      </c>
      <c r="EE26">
        <v>23.537199999999999</v>
      </c>
      <c r="EF26">
        <v>19.672499999999999</v>
      </c>
      <c r="EG26">
        <v>1799.91</v>
      </c>
      <c r="EH26">
        <v>0.97800699999999996</v>
      </c>
      <c r="EI26">
        <v>2.1993200000000001E-2</v>
      </c>
      <c r="EJ26">
        <v>0</v>
      </c>
      <c r="EK26">
        <v>833.23</v>
      </c>
      <c r="EL26">
        <v>5.0010300000000001</v>
      </c>
      <c r="EM26">
        <v>16507.900000000001</v>
      </c>
      <c r="EN26">
        <v>14700.4</v>
      </c>
      <c r="EO26">
        <v>49.811999999999998</v>
      </c>
      <c r="EP26">
        <v>51.686999999999998</v>
      </c>
      <c r="EQ26">
        <v>51.186999999999998</v>
      </c>
      <c r="ER26">
        <v>50.561999999999998</v>
      </c>
      <c r="ES26">
        <v>51.375</v>
      </c>
      <c r="ET26">
        <v>1755.43</v>
      </c>
      <c r="EU26">
        <v>39.479999999999997</v>
      </c>
      <c r="EV26">
        <v>0</v>
      </c>
      <c r="EW26">
        <v>97.399999856948853</v>
      </c>
      <c r="EX26">
        <v>0</v>
      </c>
      <c r="EY26">
        <v>832.93907692307687</v>
      </c>
      <c r="EZ26">
        <v>2.8491623739693148</v>
      </c>
      <c r="FA26">
        <v>6.1470084851706313</v>
      </c>
      <c r="FB26">
        <v>16500.86153846154</v>
      </c>
      <c r="FC26">
        <v>15</v>
      </c>
      <c r="FD26">
        <v>1693323742</v>
      </c>
      <c r="FE26" t="s">
        <v>470</v>
      </c>
      <c r="FF26">
        <v>1693323741.5</v>
      </c>
      <c r="FG26">
        <v>1693323742</v>
      </c>
      <c r="FH26">
        <v>12</v>
      </c>
      <c r="FI26">
        <v>-7.0000000000000001E-3</v>
      </c>
      <c r="FJ26">
        <v>-4.0000000000000001E-3</v>
      </c>
      <c r="FK26">
        <v>1.913</v>
      </c>
      <c r="FL26">
        <v>0.125</v>
      </c>
      <c r="FM26">
        <v>500</v>
      </c>
      <c r="FN26">
        <v>23</v>
      </c>
      <c r="FO26">
        <v>0.17</v>
      </c>
      <c r="FP26">
        <v>0.04</v>
      </c>
      <c r="FQ26">
        <v>41.377492977261312</v>
      </c>
      <c r="FR26">
        <v>0.14778911372325951</v>
      </c>
      <c r="FS26">
        <v>9.3880621600038031E-2</v>
      </c>
      <c r="FT26">
        <v>1</v>
      </c>
      <c r="FU26">
        <v>0.40812541305741928</v>
      </c>
      <c r="FV26">
        <v>-2.9288962612885602E-2</v>
      </c>
      <c r="FW26">
        <v>2.3294395032965481E-3</v>
      </c>
      <c r="FX26">
        <v>1</v>
      </c>
      <c r="FY26">
        <v>2</v>
      </c>
      <c r="FZ26">
        <v>2</v>
      </c>
      <c r="GA26" t="s">
        <v>421</v>
      </c>
      <c r="GB26">
        <v>2.8997099999999998</v>
      </c>
      <c r="GC26">
        <v>2.8182499999999999</v>
      </c>
      <c r="GD26">
        <v>9.8018300000000003E-2</v>
      </c>
      <c r="GE26">
        <v>0.106707</v>
      </c>
      <c r="GF26">
        <v>0.13633200000000001</v>
      </c>
      <c r="GG26">
        <v>0.115769</v>
      </c>
      <c r="GH26">
        <v>24991.5</v>
      </c>
      <c r="GI26">
        <v>24894.400000000001</v>
      </c>
      <c r="GJ26">
        <v>24585</v>
      </c>
      <c r="GK26">
        <v>24891.3</v>
      </c>
      <c r="GL26">
        <v>28224.9</v>
      </c>
      <c r="GM26">
        <v>28833.599999999999</v>
      </c>
      <c r="GN26">
        <v>33266.300000000003</v>
      </c>
      <c r="GO26">
        <v>33303.599999999999</v>
      </c>
      <c r="GP26">
        <v>1.9467000000000001</v>
      </c>
      <c r="GQ26">
        <v>1.8331999999999999</v>
      </c>
      <c r="GR26">
        <v>3.6984700000000002E-2</v>
      </c>
      <c r="GS26">
        <v>0</v>
      </c>
      <c r="GT26">
        <v>29.370799999999999</v>
      </c>
      <c r="GU26">
        <v>999.9</v>
      </c>
      <c r="GV26">
        <v>55.5</v>
      </c>
      <c r="GW26">
        <v>33.9</v>
      </c>
      <c r="GX26">
        <v>29.747299999999999</v>
      </c>
      <c r="GY26">
        <v>62.320399999999999</v>
      </c>
      <c r="GZ26">
        <v>25.220400000000001</v>
      </c>
      <c r="HA26">
        <v>1</v>
      </c>
      <c r="HB26">
        <v>0.52524400000000004</v>
      </c>
      <c r="HC26">
        <v>1.7751699999999999</v>
      </c>
      <c r="HD26">
        <v>20.203900000000001</v>
      </c>
      <c r="HE26">
        <v>5.2316700000000003</v>
      </c>
      <c r="HF26">
        <v>11.9201</v>
      </c>
      <c r="HG26">
        <v>4.9602000000000004</v>
      </c>
      <c r="HH26">
        <v>3.2890000000000001</v>
      </c>
      <c r="HI26">
        <v>9999</v>
      </c>
      <c r="HJ26">
        <v>9999</v>
      </c>
      <c r="HK26">
        <v>9999</v>
      </c>
      <c r="HL26">
        <v>875.8</v>
      </c>
      <c r="HM26">
        <v>1.8808</v>
      </c>
      <c r="HN26">
        <v>1.8778999999999999</v>
      </c>
      <c r="HO26">
        <v>1.8858299999999999</v>
      </c>
      <c r="HP26">
        <v>1.88367</v>
      </c>
      <c r="HQ26">
        <v>1.8811199999999999</v>
      </c>
      <c r="HR26">
        <v>1.8802000000000001</v>
      </c>
      <c r="HS26">
        <v>1.8813500000000001</v>
      </c>
      <c r="HT26">
        <v>1.8807799999999999</v>
      </c>
      <c r="HU26">
        <v>5</v>
      </c>
      <c r="HV26">
        <v>0</v>
      </c>
      <c r="HW26">
        <v>0</v>
      </c>
      <c r="HX26">
        <v>0</v>
      </c>
      <c r="HY26" t="s">
        <v>422</v>
      </c>
      <c r="HZ26" t="s">
        <v>423</v>
      </c>
      <c r="IA26" t="s">
        <v>424</v>
      </c>
      <c r="IB26" t="s">
        <v>424</v>
      </c>
      <c r="IC26" t="s">
        <v>424</v>
      </c>
      <c r="ID26" t="s">
        <v>424</v>
      </c>
      <c r="IE26">
        <v>0</v>
      </c>
      <c r="IF26">
        <v>100</v>
      </c>
      <c r="IG26">
        <v>100</v>
      </c>
      <c r="IH26">
        <v>1.883</v>
      </c>
      <c r="II26">
        <v>0.27879999999999999</v>
      </c>
      <c r="IJ26">
        <v>1.283132688569083</v>
      </c>
      <c r="IK26">
        <v>2.2153513873161218E-3</v>
      </c>
      <c r="IL26">
        <v>-2.2967369670569612E-6</v>
      </c>
      <c r="IM26">
        <v>7.7859689150384122E-10</v>
      </c>
      <c r="IN26">
        <v>-0.12815387122767791</v>
      </c>
      <c r="IO26">
        <v>-4.1434251034592161E-3</v>
      </c>
      <c r="IP26">
        <v>8.3987709687394815E-4</v>
      </c>
      <c r="IQ26">
        <v>-7.4586254598011197E-6</v>
      </c>
      <c r="IR26">
        <v>2</v>
      </c>
      <c r="IS26">
        <v>1930</v>
      </c>
      <c r="IT26">
        <v>2</v>
      </c>
      <c r="IU26">
        <v>41</v>
      </c>
      <c r="IV26">
        <v>0.6</v>
      </c>
      <c r="IW26">
        <v>0.6</v>
      </c>
      <c r="IX26">
        <v>1.1792</v>
      </c>
      <c r="IY26">
        <v>2.49878</v>
      </c>
      <c r="IZ26">
        <v>1.24512</v>
      </c>
      <c r="JA26">
        <v>2.2656200000000002</v>
      </c>
      <c r="JB26">
        <v>1.4501999999999999</v>
      </c>
      <c r="JC26">
        <v>2.20825</v>
      </c>
      <c r="JD26">
        <v>37.843699999999998</v>
      </c>
      <c r="JE26">
        <v>15.997</v>
      </c>
      <c r="JF26">
        <v>18</v>
      </c>
      <c r="JG26">
        <v>495.21300000000002</v>
      </c>
      <c r="JH26">
        <v>467.80599999999998</v>
      </c>
      <c r="JI26">
        <v>27.189900000000002</v>
      </c>
      <c r="JJ26">
        <v>34</v>
      </c>
      <c r="JK26">
        <v>30.0002</v>
      </c>
      <c r="JL26">
        <v>33.834699999999998</v>
      </c>
      <c r="JM26">
        <v>33.805700000000002</v>
      </c>
      <c r="JN26">
        <v>23.707999999999998</v>
      </c>
      <c r="JO26">
        <v>29.574400000000001</v>
      </c>
      <c r="JP26">
        <v>23.111999999999998</v>
      </c>
      <c r="JQ26">
        <v>27.174499999999998</v>
      </c>
      <c r="JR26">
        <v>500</v>
      </c>
      <c r="JS26">
        <v>23.182600000000001</v>
      </c>
      <c r="JT26">
        <v>99.262699999999995</v>
      </c>
      <c r="JU26">
        <v>99.321899999999999</v>
      </c>
    </row>
    <row r="27" spans="1:281" x14ac:dyDescent="0.25">
      <c r="A27">
        <v>11</v>
      </c>
      <c r="B27">
        <v>1693323888.5</v>
      </c>
      <c r="C27">
        <v>1175.400000095367</v>
      </c>
      <c r="D27" t="s">
        <v>471</v>
      </c>
      <c r="E27" t="s">
        <v>472</v>
      </c>
      <c r="F27" t="s">
        <v>413</v>
      </c>
      <c r="G27" t="s">
        <v>414</v>
      </c>
      <c r="H27" t="s">
        <v>31</v>
      </c>
      <c r="I27" t="s">
        <v>415</v>
      </c>
      <c r="J27">
        <v>1693323888.5</v>
      </c>
      <c r="K27">
        <f t="shared" si="0"/>
        <v>5.1552565295008004E-3</v>
      </c>
      <c r="L27">
        <f t="shared" si="1"/>
        <v>5.1552565295008002</v>
      </c>
      <c r="M27">
        <f t="shared" si="2"/>
        <v>42.472518023227806</v>
      </c>
      <c r="N27">
        <f t="shared" si="3"/>
        <v>644.89700000000005</v>
      </c>
      <c r="O27">
        <f t="shared" si="4"/>
        <v>445.33645893816947</v>
      </c>
      <c r="P27">
        <f t="shared" si="5"/>
        <v>44.190132944196236</v>
      </c>
      <c r="Q27">
        <f t="shared" si="6"/>
        <v>63.992254829668006</v>
      </c>
      <c r="R27">
        <f t="shared" si="7"/>
        <v>0.38586163449707023</v>
      </c>
      <c r="S27">
        <f t="shared" si="8"/>
        <v>2.9085213901484184</v>
      </c>
      <c r="T27">
        <f t="shared" si="9"/>
        <v>0.35951195837857503</v>
      </c>
      <c r="U27">
        <f t="shared" si="10"/>
        <v>0.22691226612846926</v>
      </c>
      <c r="V27">
        <f t="shared" si="11"/>
        <v>344.39671180060537</v>
      </c>
      <c r="W27">
        <f t="shared" si="12"/>
        <v>31.521653207916543</v>
      </c>
      <c r="X27">
        <f t="shared" si="13"/>
        <v>30.055099999999999</v>
      </c>
      <c r="Y27">
        <f t="shared" si="14"/>
        <v>4.2739522750822321</v>
      </c>
      <c r="Z27">
        <f t="shared" si="15"/>
        <v>64.969724802509717</v>
      </c>
      <c r="AA27">
        <f t="shared" si="16"/>
        <v>2.9025072970507999</v>
      </c>
      <c r="AB27">
        <f t="shared" si="17"/>
        <v>4.4674766683615053</v>
      </c>
      <c r="AC27">
        <f t="shared" si="18"/>
        <v>1.3714449780314322</v>
      </c>
      <c r="AD27">
        <f t="shared" si="19"/>
        <v>-227.34681295098531</v>
      </c>
      <c r="AE27">
        <f t="shared" si="20"/>
        <v>121.28805271112499</v>
      </c>
      <c r="AF27">
        <f t="shared" si="21"/>
        <v>9.3128821483625206</v>
      </c>
      <c r="AG27">
        <f t="shared" si="22"/>
        <v>247.65083370910759</v>
      </c>
      <c r="AH27">
        <v>0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51594.326761102013</v>
      </c>
      <c r="AM27" t="s">
        <v>416</v>
      </c>
      <c r="AN27">
        <v>10366.9</v>
      </c>
      <c r="AO27">
        <v>993.59653846153856</v>
      </c>
      <c r="AP27">
        <v>3431.87</v>
      </c>
      <c r="AQ27">
        <f t="shared" si="26"/>
        <v>0.71047955241266758</v>
      </c>
      <c r="AR27">
        <v>-3.9894345373445681</v>
      </c>
      <c r="AS27" t="s">
        <v>473</v>
      </c>
      <c r="AT27">
        <v>10416.200000000001</v>
      </c>
      <c r="AU27">
        <v>839.97364000000005</v>
      </c>
      <c r="AV27">
        <v>1167.8835656961551</v>
      </c>
      <c r="AW27">
        <f t="shared" si="27"/>
        <v>0.28077278876742617</v>
      </c>
      <c r="AX27">
        <v>0.5</v>
      </c>
      <c r="AY27">
        <f t="shared" si="28"/>
        <v>1513.3101059003027</v>
      </c>
      <c r="AZ27">
        <f t="shared" si="29"/>
        <v>42.472518023227806</v>
      </c>
      <c r="BA27">
        <f t="shared" si="30"/>
        <v>212.44814935177851</v>
      </c>
      <c r="BB27">
        <f t="shared" si="31"/>
        <v>3.0702202000383191E-2</v>
      </c>
      <c r="BC27">
        <f t="shared" si="32"/>
        <v>1.9385377967488753</v>
      </c>
      <c r="BD27">
        <f t="shared" si="33"/>
        <v>636.41240911202851</v>
      </c>
      <c r="BE27" t="s">
        <v>474</v>
      </c>
      <c r="BF27">
        <v>632.11</v>
      </c>
      <c r="BG27">
        <f t="shared" si="34"/>
        <v>632.11</v>
      </c>
      <c r="BH27">
        <f t="shared" si="35"/>
        <v>0.4587559765658572</v>
      </c>
      <c r="BI27">
        <f t="shared" si="36"/>
        <v>0.61203080310632108</v>
      </c>
      <c r="BJ27">
        <f t="shared" si="37"/>
        <v>0.80863589532811564</v>
      </c>
      <c r="BK27">
        <f t="shared" si="38"/>
        <v>1.8814362198899579</v>
      </c>
      <c r="BL27">
        <f t="shared" si="39"/>
        <v>0.92852031161236193</v>
      </c>
      <c r="BM27">
        <f t="shared" si="40"/>
        <v>0.46057491869808748</v>
      </c>
      <c r="BN27">
        <f t="shared" si="41"/>
        <v>0.53942508130191258</v>
      </c>
      <c r="BO27">
        <v>7568</v>
      </c>
      <c r="BP27">
        <v>290.00000000000011</v>
      </c>
      <c r="BQ27">
        <v>1083.1600000000001</v>
      </c>
      <c r="BR27">
        <v>155</v>
      </c>
      <c r="BS27">
        <v>10416.200000000001</v>
      </c>
      <c r="BT27">
        <v>1078.43</v>
      </c>
      <c r="BU27">
        <v>4.7300000000000004</v>
      </c>
      <c r="BV27">
        <v>300.00000000000011</v>
      </c>
      <c r="BW27">
        <v>38.299999999999997</v>
      </c>
      <c r="BX27">
        <v>1167.8835656961551</v>
      </c>
      <c r="BY27">
        <v>1.501669659161776</v>
      </c>
      <c r="BZ27">
        <v>-93.172811906809272</v>
      </c>
      <c r="CA27">
        <v>1.279915379810364</v>
      </c>
      <c r="CB27">
        <v>0.99474402271060836</v>
      </c>
      <c r="CC27">
        <v>-1.1307601334816481E-2</v>
      </c>
      <c r="CD27">
        <v>289.99999999999989</v>
      </c>
      <c r="CE27">
        <v>1069.49</v>
      </c>
      <c r="CF27">
        <v>695</v>
      </c>
      <c r="CG27">
        <v>10386.700000000001</v>
      </c>
      <c r="CH27">
        <v>1078.18</v>
      </c>
      <c r="CI27">
        <v>-8.69</v>
      </c>
      <c r="CW27">
        <f t="shared" si="42"/>
        <v>1800.15</v>
      </c>
      <c r="CX27">
        <f t="shared" si="43"/>
        <v>1513.3101059003027</v>
      </c>
      <c r="CY27">
        <f t="shared" si="44"/>
        <v>0.8406577817961296</v>
      </c>
      <c r="CZ27">
        <f t="shared" si="45"/>
        <v>0.19131556359225918</v>
      </c>
      <c r="DA27">
        <v>6</v>
      </c>
      <c r="DB27">
        <v>0.5</v>
      </c>
      <c r="DC27" t="s">
        <v>419</v>
      </c>
      <c r="DD27">
        <v>2</v>
      </c>
      <c r="DE27">
        <v>1693323888.5</v>
      </c>
      <c r="DF27">
        <v>644.89700000000005</v>
      </c>
      <c r="DG27">
        <v>699.78899999999999</v>
      </c>
      <c r="DH27">
        <v>29.250699999999998</v>
      </c>
      <c r="DI27">
        <v>23.252400000000002</v>
      </c>
      <c r="DJ27">
        <v>642.69100000000003</v>
      </c>
      <c r="DK27">
        <v>28.973099999999999</v>
      </c>
      <c r="DL27">
        <v>500.58800000000002</v>
      </c>
      <c r="DM27">
        <v>99.128299999999996</v>
      </c>
      <c r="DN27">
        <v>0.100344</v>
      </c>
      <c r="DO27">
        <v>30.828600000000002</v>
      </c>
      <c r="DP27">
        <v>30.055099999999999</v>
      </c>
      <c r="DQ27">
        <v>999.9</v>
      </c>
      <c r="DR27">
        <v>0</v>
      </c>
      <c r="DS27">
        <v>0</v>
      </c>
      <c r="DT27">
        <v>9967.5</v>
      </c>
      <c r="DU27">
        <v>0</v>
      </c>
      <c r="DV27">
        <v>1302.6400000000001</v>
      </c>
      <c r="DW27">
        <v>-54.892800000000001</v>
      </c>
      <c r="DX27">
        <v>664.32899999999995</v>
      </c>
      <c r="DY27">
        <v>716.44899999999996</v>
      </c>
      <c r="DZ27">
        <v>5.99824</v>
      </c>
      <c r="EA27">
        <v>699.78899999999999</v>
      </c>
      <c r="EB27">
        <v>23.252400000000002</v>
      </c>
      <c r="EC27">
        <v>2.8995700000000002</v>
      </c>
      <c r="ED27">
        <v>2.30498</v>
      </c>
      <c r="EE27">
        <v>23.462199999999999</v>
      </c>
      <c r="EF27">
        <v>19.711200000000002</v>
      </c>
      <c r="EG27">
        <v>1800.15</v>
      </c>
      <c r="EH27">
        <v>0.97801000000000005</v>
      </c>
      <c r="EI27">
        <v>2.1989600000000002E-2</v>
      </c>
      <c r="EJ27">
        <v>0</v>
      </c>
      <c r="EK27">
        <v>840.33</v>
      </c>
      <c r="EL27">
        <v>5.0010300000000001</v>
      </c>
      <c r="EM27">
        <v>16630</v>
      </c>
      <c r="EN27">
        <v>14702.4</v>
      </c>
      <c r="EO27">
        <v>49.75</v>
      </c>
      <c r="EP27">
        <v>51.625</v>
      </c>
      <c r="EQ27">
        <v>51.25</v>
      </c>
      <c r="ER27">
        <v>50.5</v>
      </c>
      <c r="ES27">
        <v>51.375</v>
      </c>
      <c r="ET27">
        <v>1755.67</v>
      </c>
      <c r="EU27">
        <v>39.47</v>
      </c>
      <c r="EV27">
        <v>0</v>
      </c>
      <c r="EW27">
        <v>108.2000000476837</v>
      </c>
      <c r="EX27">
        <v>0</v>
      </c>
      <c r="EY27">
        <v>839.97364000000005</v>
      </c>
      <c r="EZ27">
        <v>-1.904846141545635</v>
      </c>
      <c r="FA27">
        <v>-66.476922968537352</v>
      </c>
      <c r="FB27">
        <v>16636.016</v>
      </c>
      <c r="FC27">
        <v>15</v>
      </c>
      <c r="FD27">
        <v>1693323844</v>
      </c>
      <c r="FE27" t="s">
        <v>475</v>
      </c>
      <c r="FF27">
        <v>1693323844</v>
      </c>
      <c r="FG27">
        <v>1693323842.5</v>
      </c>
      <c r="FH27">
        <v>13</v>
      </c>
      <c r="FI27">
        <v>0.24</v>
      </c>
      <c r="FJ27">
        <v>2E-3</v>
      </c>
      <c r="FK27">
        <v>2.2160000000000002</v>
      </c>
      <c r="FL27">
        <v>0.13200000000000001</v>
      </c>
      <c r="FM27">
        <v>700</v>
      </c>
      <c r="FN27">
        <v>23</v>
      </c>
      <c r="FO27">
        <v>0.15</v>
      </c>
      <c r="FP27">
        <v>0.05</v>
      </c>
      <c r="FQ27">
        <v>42.520870734205737</v>
      </c>
      <c r="FR27">
        <v>0.18758452624438221</v>
      </c>
      <c r="FS27">
        <v>0.11029499273801111</v>
      </c>
      <c r="FT27">
        <v>1</v>
      </c>
      <c r="FU27">
        <v>0.39104734763103788</v>
      </c>
      <c r="FV27">
        <v>-4.6464529084983983E-2</v>
      </c>
      <c r="FW27">
        <v>3.5658610482125811E-3</v>
      </c>
      <c r="FX27">
        <v>1</v>
      </c>
      <c r="FY27">
        <v>2</v>
      </c>
      <c r="FZ27">
        <v>2</v>
      </c>
      <c r="GA27" t="s">
        <v>421</v>
      </c>
      <c r="GB27">
        <v>2.8997199999999999</v>
      </c>
      <c r="GC27">
        <v>2.8180700000000001</v>
      </c>
      <c r="GD27">
        <v>0.12758</v>
      </c>
      <c r="GE27">
        <v>0.135218</v>
      </c>
      <c r="GF27">
        <v>0.135902</v>
      </c>
      <c r="GG27">
        <v>0.115952</v>
      </c>
      <c r="GH27">
        <v>24170.6</v>
      </c>
      <c r="GI27">
        <v>24097.7</v>
      </c>
      <c r="GJ27">
        <v>24583.3</v>
      </c>
      <c r="GK27">
        <v>24889.3</v>
      </c>
      <c r="GL27">
        <v>28237.7</v>
      </c>
      <c r="GM27">
        <v>28824.5</v>
      </c>
      <c r="GN27">
        <v>33264.6</v>
      </c>
      <c r="GO27">
        <v>33299.9</v>
      </c>
      <c r="GP27">
        <v>1.9457</v>
      </c>
      <c r="GQ27">
        <v>1.8334999999999999</v>
      </c>
      <c r="GR27">
        <v>4.3272999999999999E-2</v>
      </c>
      <c r="GS27">
        <v>0</v>
      </c>
      <c r="GT27">
        <v>29.3506</v>
      </c>
      <c r="GU27">
        <v>999.9</v>
      </c>
      <c r="GV27">
        <v>55.3</v>
      </c>
      <c r="GW27">
        <v>33.9</v>
      </c>
      <c r="GX27">
        <v>29.642900000000001</v>
      </c>
      <c r="GY27">
        <v>62.180399999999999</v>
      </c>
      <c r="GZ27">
        <v>24.2788</v>
      </c>
      <c r="HA27">
        <v>1</v>
      </c>
      <c r="HB27">
        <v>0.53073199999999998</v>
      </c>
      <c r="HC27">
        <v>2.2116899999999999</v>
      </c>
      <c r="HD27">
        <v>20.198499999999999</v>
      </c>
      <c r="HE27">
        <v>5.2352600000000002</v>
      </c>
      <c r="HF27">
        <v>11.9201</v>
      </c>
      <c r="HG27">
        <v>4.9596</v>
      </c>
      <c r="HH27">
        <v>3.2890000000000001</v>
      </c>
      <c r="HI27">
        <v>9999</v>
      </c>
      <c r="HJ27">
        <v>9999</v>
      </c>
      <c r="HK27">
        <v>9999</v>
      </c>
      <c r="HL27">
        <v>875.9</v>
      </c>
      <c r="HM27">
        <v>1.8805700000000001</v>
      </c>
      <c r="HN27">
        <v>1.87775</v>
      </c>
      <c r="HO27">
        <v>1.88568</v>
      </c>
      <c r="HP27">
        <v>1.8834200000000001</v>
      </c>
      <c r="HQ27">
        <v>1.8809499999999999</v>
      </c>
      <c r="HR27">
        <v>1.8800399999999999</v>
      </c>
      <c r="HS27">
        <v>1.8811</v>
      </c>
      <c r="HT27">
        <v>1.8805499999999999</v>
      </c>
      <c r="HU27">
        <v>5</v>
      </c>
      <c r="HV27">
        <v>0</v>
      </c>
      <c r="HW27">
        <v>0</v>
      </c>
      <c r="HX27">
        <v>0</v>
      </c>
      <c r="HY27" t="s">
        <v>422</v>
      </c>
      <c r="HZ27" t="s">
        <v>423</v>
      </c>
      <c r="IA27" t="s">
        <v>424</v>
      </c>
      <c r="IB27" t="s">
        <v>424</v>
      </c>
      <c r="IC27" t="s">
        <v>424</v>
      </c>
      <c r="ID27" t="s">
        <v>424</v>
      </c>
      <c r="IE27">
        <v>0</v>
      </c>
      <c r="IF27">
        <v>100</v>
      </c>
      <c r="IG27">
        <v>100</v>
      </c>
      <c r="IH27">
        <v>2.206</v>
      </c>
      <c r="II27">
        <v>0.27760000000000001</v>
      </c>
      <c r="IJ27">
        <v>1.523694683929318</v>
      </c>
      <c r="IK27">
        <v>2.2153513873161218E-3</v>
      </c>
      <c r="IL27">
        <v>-2.2967369670569612E-6</v>
      </c>
      <c r="IM27">
        <v>7.7859689150384122E-10</v>
      </c>
      <c r="IN27">
        <v>-0.12598619322535309</v>
      </c>
      <c r="IO27">
        <v>-4.1434251034592161E-3</v>
      </c>
      <c r="IP27">
        <v>8.3987709687394815E-4</v>
      </c>
      <c r="IQ27">
        <v>-7.4586254598011197E-6</v>
      </c>
      <c r="IR27">
        <v>2</v>
      </c>
      <c r="IS27">
        <v>1930</v>
      </c>
      <c r="IT27">
        <v>2</v>
      </c>
      <c r="IU27">
        <v>41</v>
      </c>
      <c r="IV27">
        <v>0.7</v>
      </c>
      <c r="IW27">
        <v>0.8</v>
      </c>
      <c r="IX27">
        <v>1.5466299999999999</v>
      </c>
      <c r="IY27">
        <v>2.4877899999999999</v>
      </c>
      <c r="IZ27">
        <v>1.24512</v>
      </c>
      <c r="JA27">
        <v>2.2656200000000002</v>
      </c>
      <c r="JB27">
        <v>1.4501999999999999</v>
      </c>
      <c r="JC27">
        <v>2.4401899999999999</v>
      </c>
      <c r="JD27">
        <v>37.457799999999999</v>
      </c>
      <c r="JE27">
        <v>15.9358</v>
      </c>
      <c r="JF27">
        <v>18</v>
      </c>
      <c r="JG27">
        <v>494.79899999999998</v>
      </c>
      <c r="JH27">
        <v>468.31299999999999</v>
      </c>
      <c r="JI27">
        <v>27.088100000000001</v>
      </c>
      <c r="JJ27">
        <v>34.028300000000002</v>
      </c>
      <c r="JK27">
        <v>30.000900000000001</v>
      </c>
      <c r="JL27">
        <v>33.868400000000001</v>
      </c>
      <c r="JM27">
        <v>33.842399999999998</v>
      </c>
      <c r="JN27">
        <v>31.056899999999999</v>
      </c>
      <c r="JO27">
        <v>28.934999999999999</v>
      </c>
      <c r="JP27">
        <v>22.229500000000002</v>
      </c>
      <c r="JQ27">
        <v>27.063700000000001</v>
      </c>
      <c r="JR27">
        <v>700</v>
      </c>
      <c r="JS27">
        <v>23.322800000000001</v>
      </c>
      <c r="JT27">
        <v>99.256799999999998</v>
      </c>
      <c r="JU27">
        <v>99.312200000000004</v>
      </c>
    </row>
    <row r="28" spans="1:281" x14ac:dyDescent="0.25">
      <c r="A28">
        <v>12</v>
      </c>
      <c r="B28">
        <v>1693323992</v>
      </c>
      <c r="C28">
        <v>1278.900000095367</v>
      </c>
      <c r="D28" t="s">
        <v>476</v>
      </c>
      <c r="E28" t="s">
        <v>477</v>
      </c>
      <c r="F28" t="s">
        <v>413</v>
      </c>
      <c r="G28" t="s">
        <v>414</v>
      </c>
      <c r="H28" t="s">
        <v>31</v>
      </c>
      <c r="I28" t="s">
        <v>415</v>
      </c>
      <c r="J28">
        <v>1693323992</v>
      </c>
      <c r="K28">
        <f t="shared" si="0"/>
        <v>4.9471580872309136E-3</v>
      </c>
      <c r="L28">
        <f t="shared" si="1"/>
        <v>4.947158087230914</v>
      </c>
      <c r="M28">
        <f t="shared" si="2"/>
        <v>42.808050972086455</v>
      </c>
      <c r="N28">
        <f t="shared" si="3"/>
        <v>843.86900000000003</v>
      </c>
      <c r="O28">
        <f t="shared" si="4"/>
        <v>634.03635444872043</v>
      </c>
      <c r="P28">
        <f t="shared" si="5"/>
        <v>62.913454964847837</v>
      </c>
      <c r="Q28">
        <f t="shared" si="6"/>
        <v>83.734495593540998</v>
      </c>
      <c r="R28">
        <f t="shared" si="7"/>
        <v>0.37599682661607936</v>
      </c>
      <c r="S28">
        <f t="shared" si="8"/>
        <v>2.9058569772082348</v>
      </c>
      <c r="T28">
        <f t="shared" si="9"/>
        <v>0.35090895992037063</v>
      </c>
      <c r="U28">
        <f t="shared" si="10"/>
        <v>0.22143249713707155</v>
      </c>
      <c r="V28">
        <f t="shared" si="11"/>
        <v>344.32449864469089</v>
      </c>
      <c r="W28">
        <f t="shared" si="12"/>
        <v>31.506536235378466</v>
      </c>
      <c r="X28">
        <f t="shared" si="13"/>
        <v>29.9618</v>
      </c>
      <c r="Y28">
        <f t="shared" si="14"/>
        <v>4.2511105259588096</v>
      </c>
      <c r="Z28">
        <f t="shared" si="15"/>
        <v>65.231467170414732</v>
      </c>
      <c r="AA28">
        <f t="shared" si="16"/>
        <v>2.9026246477836004</v>
      </c>
      <c r="AB28">
        <f t="shared" si="17"/>
        <v>4.449730741454279</v>
      </c>
      <c r="AC28">
        <f t="shared" si="18"/>
        <v>1.3484858781752092</v>
      </c>
      <c r="AD28">
        <f t="shared" si="19"/>
        <v>-218.1696716468833</v>
      </c>
      <c r="AE28">
        <f t="shared" si="20"/>
        <v>124.87413345627013</v>
      </c>
      <c r="AF28">
        <f t="shared" si="21"/>
        <v>9.5892945768696194</v>
      </c>
      <c r="AG28">
        <f t="shared" si="22"/>
        <v>260.61825503094735</v>
      </c>
      <c r="AH28">
        <v>0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51530.613165544317</v>
      </c>
      <c r="AM28" t="s">
        <v>416</v>
      </c>
      <c r="AN28">
        <v>10366.9</v>
      </c>
      <c r="AO28">
        <v>993.59653846153856</v>
      </c>
      <c r="AP28">
        <v>3431.87</v>
      </c>
      <c r="AQ28">
        <f t="shared" si="26"/>
        <v>0.71047955241266758</v>
      </c>
      <c r="AR28">
        <v>-3.9894345373445681</v>
      </c>
      <c r="AS28" t="s">
        <v>478</v>
      </c>
      <c r="AT28">
        <v>10415.700000000001</v>
      </c>
      <c r="AU28">
        <v>838.03488461538461</v>
      </c>
      <c r="AV28">
        <v>1169.5021605902909</v>
      </c>
      <c r="AW28">
        <f t="shared" si="27"/>
        <v>0.28342596289655642</v>
      </c>
      <c r="AX28">
        <v>0.5</v>
      </c>
      <c r="AY28">
        <f t="shared" si="28"/>
        <v>1512.9908993223453</v>
      </c>
      <c r="AZ28">
        <f t="shared" si="29"/>
        <v>42.808050972086455</v>
      </c>
      <c r="BA28">
        <f t="shared" si="30"/>
        <v>214.41045124708128</v>
      </c>
      <c r="BB28">
        <f t="shared" si="31"/>
        <v>3.0930447453709861E-2</v>
      </c>
      <c r="BC28">
        <f t="shared" si="32"/>
        <v>1.9344708506291328</v>
      </c>
      <c r="BD28">
        <f t="shared" si="33"/>
        <v>636.89274222790766</v>
      </c>
      <c r="BE28" t="s">
        <v>479</v>
      </c>
      <c r="BF28">
        <v>632.03</v>
      </c>
      <c r="BG28">
        <f t="shared" si="34"/>
        <v>632.03</v>
      </c>
      <c r="BH28">
        <f t="shared" si="35"/>
        <v>0.45957346527603582</v>
      </c>
      <c r="BI28">
        <f t="shared" si="36"/>
        <v>0.61671524644339693</v>
      </c>
      <c r="BJ28">
        <f t="shared" si="37"/>
        <v>0.80803468748560936</v>
      </c>
      <c r="BK28">
        <f t="shared" si="38"/>
        <v>1.8843472537352566</v>
      </c>
      <c r="BL28">
        <f t="shared" si="39"/>
        <v>0.92785648332580262</v>
      </c>
      <c r="BM28">
        <f t="shared" si="40"/>
        <v>0.46511493061355141</v>
      </c>
      <c r="BN28">
        <f t="shared" si="41"/>
        <v>0.53488506938644864</v>
      </c>
      <c r="BO28">
        <v>7570</v>
      </c>
      <c r="BP28">
        <v>290.00000000000011</v>
      </c>
      <c r="BQ28">
        <v>1083.3599999999999</v>
      </c>
      <c r="BR28">
        <v>155</v>
      </c>
      <c r="BS28">
        <v>10415.700000000001</v>
      </c>
      <c r="BT28">
        <v>1078.5999999999999</v>
      </c>
      <c r="BU28">
        <v>4.76</v>
      </c>
      <c r="BV28">
        <v>300.00000000000011</v>
      </c>
      <c r="BW28">
        <v>38.299999999999997</v>
      </c>
      <c r="BX28">
        <v>1169.5021605902909</v>
      </c>
      <c r="BY28">
        <v>1.7059315066524789</v>
      </c>
      <c r="BZ28">
        <v>-94.682941204571861</v>
      </c>
      <c r="CA28">
        <v>1.453935972601115</v>
      </c>
      <c r="CB28">
        <v>0.99344085651679193</v>
      </c>
      <c r="CC28">
        <v>-1.1306837597330361E-2</v>
      </c>
      <c r="CD28">
        <v>289.99999999999989</v>
      </c>
      <c r="CE28">
        <v>1069.4000000000001</v>
      </c>
      <c r="CF28">
        <v>675</v>
      </c>
      <c r="CG28">
        <v>10387.700000000001</v>
      </c>
      <c r="CH28">
        <v>1078.3499999999999</v>
      </c>
      <c r="CI28">
        <v>-8.9499999999999993</v>
      </c>
      <c r="CW28">
        <f t="shared" si="42"/>
        <v>1799.77</v>
      </c>
      <c r="CX28">
        <f t="shared" si="43"/>
        <v>1512.9908993223453</v>
      </c>
      <c r="CY28">
        <f t="shared" si="44"/>
        <v>0.84065791702403381</v>
      </c>
      <c r="CZ28">
        <f t="shared" si="45"/>
        <v>0.19131583404806776</v>
      </c>
      <c r="DA28">
        <v>6</v>
      </c>
      <c r="DB28">
        <v>0.5</v>
      </c>
      <c r="DC28" t="s">
        <v>419</v>
      </c>
      <c r="DD28">
        <v>2</v>
      </c>
      <c r="DE28">
        <v>1693323992</v>
      </c>
      <c r="DF28">
        <v>843.86900000000003</v>
      </c>
      <c r="DG28">
        <v>900.16099999999994</v>
      </c>
      <c r="DH28">
        <v>29.252400000000002</v>
      </c>
      <c r="DI28">
        <v>23.4984</v>
      </c>
      <c r="DJ28">
        <v>841.46500000000003</v>
      </c>
      <c r="DK28">
        <v>28.9709</v>
      </c>
      <c r="DL28">
        <v>500.77600000000001</v>
      </c>
      <c r="DM28">
        <v>99.126400000000004</v>
      </c>
      <c r="DN28">
        <v>0.10048899999999999</v>
      </c>
      <c r="DO28">
        <v>30.758900000000001</v>
      </c>
      <c r="DP28">
        <v>29.9618</v>
      </c>
      <c r="DQ28">
        <v>999.9</v>
      </c>
      <c r="DR28">
        <v>0</v>
      </c>
      <c r="DS28">
        <v>0</v>
      </c>
      <c r="DT28">
        <v>9952.5</v>
      </c>
      <c r="DU28">
        <v>0</v>
      </c>
      <c r="DV28">
        <v>1304.95</v>
      </c>
      <c r="DW28">
        <v>-56.292700000000004</v>
      </c>
      <c r="DX28">
        <v>869.298</v>
      </c>
      <c r="DY28">
        <v>921.82299999999998</v>
      </c>
      <c r="DZ28">
        <v>5.7539999999999996</v>
      </c>
      <c r="EA28">
        <v>900.16099999999994</v>
      </c>
      <c r="EB28">
        <v>23.4984</v>
      </c>
      <c r="EC28">
        <v>2.8996900000000001</v>
      </c>
      <c r="ED28">
        <v>2.3293200000000001</v>
      </c>
      <c r="EE28">
        <v>23.462900000000001</v>
      </c>
      <c r="EF28">
        <v>19.880600000000001</v>
      </c>
      <c r="EG28">
        <v>1799.77</v>
      </c>
      <c r="EH28">
        <v>0.97800699999999996</v>
      </c>
      <c r="EI28">
        <v>2.1993200000000001E-2</v>
      </c>
      <c r="EJ28">
        <v>0</v>
      </c>
      <c r="EK28">
        <v>837.50900000000001</v>
      </c>
      <c r="EL28">
        <v>5.0010300000000001</v>
      </c>
      <c r="EM28">
        <v>16592.5</v>
      </c>
      <c r="EN28">
        <v>14699.2</v>
      </c>
      <c r="EO28">
        <v>49.686999999999998</v>
      </c>
      <c r="EP28">
        <v>51.625</v>
      </c>
      <c r="EQ28">
        <v>51.186999999999998</v>
      </c>
      <c r="ER28">
        <v>50.561999999999998</v>
      </c>
      <c r="ES28">
        <v>51.436999999999998</v>
      </c>
      <c r="ET28">
        <v>1755.3</v>
      </c>
      <c r="EU28">
        <v>39.47</v>
      </c>
      <c r="EV28">
        <v>0</v>
      </c>
      <c r="EW28">
        <v>101.4000000953674</v>
      </c>
      <c r="EX28">
        <v>0</v>
      </c>
      <c r="EY28">
        <v>838.03488461538461</v>
      </c>
      <c r="EZ28">
        <v>-2.2258119546426709</v>
      </c>
      <c r="FA28">
        <v>-69.26837623853983</v>
      </c>
      <c r="FB28">
        <v>16603.596153846149</v>
      </c>
      <c r="FC28">
        <v>15</v>
      </c>
      <c r="FD28">
        <v>1693323955</v>
      </c>
      <c r="FE28" t="s">
        <v>480</v>
      </c>
      <c r="FF28">
        <v>1693323952.5</v>
      </c>
      <c r="FG28">
        <v>1693323955</v>
      </c>
      <c r="FH28">
        <v>14</v>
      </c>
      <c r="FI28">
        <v>0.17899999999999999</v>
      </c>
      <c r="FJ28">
        <v>4.0000000000000001E-3</v>
      </c>
      <c r="FK28">
        <v>2.4039999999999999</v>
      </c>
      <c r="FL28">
        <v>0.14000000000000001</v>
      </c>
      <c r="FM28">
        <v>900</v>
      </c>
      <c r="FN28">
        <v>23</v>
      </c>
      <c r="FO28">
        <v>0.14000000000000001</v>
      </c>
      <c r="FP28">
        <v>0.04</v>
      </c>
      <c r="FQ28">
        <v>42.57476077911862</v>
      </c>
      <c r="FR28">
        <v>0.22981051735587571</v>
      </c>
      <c r="FS28">
        <v>0.13982681184575341</v>
      </c>
      <c r="FT28">
        <v>1</v>
      </c>
      <c r="FU28">
        <v>0.37945000885044938</v>
      </c>
      <c r="FV28">
        <v>-4.0131671887290638E-2</v>
      </c>
      <c r="FW28">
        <v>3.0993768704314678E-3</v>
      </c>
      <c r="FX28">
        <v>1</v>
      </c>
      <c r="FY28">
        <v>2</v>
      </c>
      <c r="FZ28">
        <v>2</v>
      </c>
      <c r="GA28" t="s">
        <v>421</v>
      </c>
      <c r="GB28">
        <v>2.90015</v>
      </c>
      <c r="GC28">
        <v>2.8180900000000002</v>
      </c>
      <c r="GD28">
        <v>0.15301100000000001</v>
      </c>
      <c r="GE28">
        <v>0.15984400000000001</v>
      </c>
      <c r="GF28">
        <v>0.13588500000000001</v>
      </c>
      <c r="GG28">
        <v>0.116787</v>
      </c>
      <c r="GH28">
        <v>23465.7</v>
      </c>
      <c r="GI28">
        <v>23409.599999999999</v>
      </c>
      <c r="GJ28">
        <v>24583.5</v>
      </c>
      <c r="GK28">
        <v>24888</v>
      </c>
      <c r="GL28">
        <v>28238.2</v>
      </c>
      <c r="GM28">
        <v>28794.400000000001</v>
      </c>
      <c r="GN28">
        <v>33264.300000000003</v>
      </c>
      <c r="GO28">
        <v>33296.699999999997</v>
      </c>
      <c r="GP28">
        <v>1.9452</v>
      </c>
      <c r="GQ28">
        <v>1.8344</v>
      </c>
      <c r="GR28">
        <v>4.0173500000000001E-2</v>
      </c>
      <c r="GS28">
        <v>0</v>
      </c>
      <c r="GT28">
        <v>29.307700000000001</v>
      </c>
      <c r="GU28">
        <v>999.9</v>
      </c>
      <c r="GV28">
        <v>55.2</v>
      </c>
      <c r="GW28">
        <v>33.9</v>
      </c>
      <c r="GX28">
        <v>29.5886</v>
      </c>
      <c r="GY28">
        <v>62.490400000000001</v>
      </c>
      <c r="GZ28">
        <v>24.595400000000001</v>
      </c>
      <c r="HA28">
        <v>1</v>
      </c>
      <c r="HB28">
        <v>0.53026399999999996</v>
      </c>
      <c r="HC28">
        <v>1.7830900000000001</v>
      </c>
      <c r="HD28">
        <v>20.203900000000001</v>
      </c>
      <c r="HE28">
        <v>5.2346599999999999</v>
      </c>
      <c r="HF28">
        <v>11.9201</v>
      </c>
      <c r="HG28">
        <v>4.9603999999999999</v>
      </c>
      <c r="HH28">
        <v>3.2890000000000001</v>
      </c>
      <c r="HI28">
        <v>9999</v>
      </c>
      <c r="HJ28">
        <v>9999</v>
      </c>
      <c r="HK28">
        <v>9999</v>
      </c>
      <c r="HL28">
        <v>875.9</v>
      </c>
      <c r="HM28">
        <v>1.8805099999999999</v>
      </c>
      <c r="HN28">
        <v>1.87761</v>
      </c>
      <c r="HO28">
        <v>1.8856200000000001</v>
      </c>
      <c r="HP28">
        <v>1.8833899999999999</v>
      </c>
      <c r="HQ28">
        <v>1.8809499999999999</v>
      </c>
      <c r="HR28">
        <v>1.8800399999999999</v>
      </c>
      <c r="HS28">
        <v>1.8811199999999999</v>
      </c>
      <c r="HT28">
        <v>1.88049</v>
      </c>
      <c r="HU28">
        <v>5</v>
      </c>
      <c r="HV28">
        <v>0</v>
      </c>
      <c r="HW28">
        <v>0</v>
      </c>
      <c r="HX28">
        <v>0</v>
      </c>
      <c r="HY28" t="s">
        <v>422</v>
      </c>
      <c r="HZ28" t="s">
        <v>423</v>
      </c>
      <c r="IA28" t="s">
        <v>424</v>
      </c>
      <c r="IB28" t="s">
        <v>424</v>
      </c>
      <c r="IC28" t="s">
        <v>424</v>
      </c>
      <c r="ID28" t="s">
        <v>424</v>
      </c>
      <c r="IE28">
        <v>0</v>
      </c>
      <c r="IF28">
        <v>100</v>
      </c>
      <c r="IG28">
        <v>100</v>
      </c>
      <c r="IH28">
        <v>2.4039999999999999</v>
      </c>
      <c r="II28">
        <v>0.28149999999999997</v>
      </c>
      <c r="IJ28">
        <v>1.702507751037132</v>
      </c>
      <c r="IK28">
        <v>2.2153513873161218E-3</v>
      </c>
      <c r="IL28">
        <v>-2.2967369670569612E-6</v>
      </c>
      <c r="IM28">
        <v>7.7859689150384122E-10</v>
      </c>
      <c r="IN28">
        <v>-0.1219810821328372</v>
      </c>
      <c r="IO28">
        <v>-4.1434251034592161E-3</v>
      </c>
      <c r="IP28">
        <v>8.3987709687394815E-4</v>
      </c>
      <c r="IQ28">
        <v>-7.4586254598011197E-6</v>
      </c>
      <c r="IR28">
        <v>2</v>
      </c>
      <c r="IS28">
        <v>1930</v>
      </c>
      <c r="IT28">
        <v>2</v>
      </c>
      <c r="IU28">
        <v>41</v>
      </c>
      <c r="IV28">
        <v>0.7</v>
      </c>
      <c r="IW28">
        <v>0.6</v>
      </c>
      <c r="IX28">
        <v>1.89575</v>
      </c>
      <c r="IY28">
        <v>2.4890099999999999</v>
      </c>
      <c r="IZ28">
        <v>1.24512</v>
      </c>
      <c r="JA28">
        <v>2.2656200000000002</v>
      </c>
      <c r="JB28">
        <v>1.4501999999999999</v>
      </c>
      <c r="JC28">
        <v>2.3083499999999999</v>
      </c>
      <c r="JD28">
        <v>37.122500000000002</v>
      </c>
      <c r="JE28">
        <v>15.900700000000001</v>
      </c>
      <c r="JF28">
        <v>18</v>
      </c>
      <c r="JG28">
        <v>494.65600000000001</v>
      </c>
      <c r="JH28">
        <v>469.14299999999997</v>
      </c>
      <c r="JI28">
        <v>26.999400000000001</v>
      </c>
      <c r="JJ28">
        <v>34.040599999999998</v>
      </c>
      <c r="JK28">
        <v>29.999600000000001</v>
      </c>
      <c r="JL28">
        <v>33.893000000000001</v>
      </c>
      <c r="JM28">
        <v>33.866900000000001</v>
      </c>
      <c r="JN28">
        <v>38.049300000000002</v>
      </c>
      <c r="JO28">
        <v>27.9801</v>
      </c>
      <c r="JP28">
        <v>21.466999999999999</v>
      </c>
      <c r="JQ28">
        <v>27.029199999999999</v>
      </c>
      <c r="JR28">
        <v>900</v>
      </c>
      <c r="JS28">
        <v>23.475300000000001</v>
      </c>
      <c r="JT28">
        <v>99.256799999999998</v>
      </c>
      <c r="JU28">
        <v>99.304400000000001</v>
      </c>
    </row>
    <row r="29" spans="1:281" x14ac:dyDescent="0.25">
      <c r="A29">
        <v>13</v>
      </c>
      <c r="B29">
        <v>1693324095</v>
      </c>
      <c r="C29">
        <v>1381.900000095367</v>
      </c>
      <c r="D29" t="s">
        <v>481</v>
      </c>
      <c r="E29" t="s">
        <v>482</v>
      </c>
      <c r="F29" t="s">
        <v>413</v>
      </c>
      <c r="G29" t="s">
        <v>414</v>
      </c>
      <c r="H29" t="s">
        <v>31</v>
      </c>
      <c r="I29" t="s">
        <v>415</v>
      </c>
      <c r="J29">
        <v>1693324095</v>
      </c>
      <c r="K29">
        <f t="shared" si="0"/>
        <v>4.7661324650572342E-3</v>
      </c>
      <c r="L29">
        <f t="shared" si="1"/>
        <v>4.7661324650572343</v>
      </c>
      <c r="M29">
        <f t="shared" si="2"/>
        <v>42.366117250984622</v>
      </c>
      <c r="N29">
        <f t="shared" si="3"/>
        <v>1142.8599999999999</v>
      </c>
      <c r="O29">
        <f t="shared" si="4"/>
        <v>919.15662059576607</v>
      </c>
      <c r="P29">
        <f t="shared" si="5"/>
        <v>91.203296008663202</v>
      </c>
      <c r="Q29">
        <f t="shared" si="6"/>
        <v>113.40025904279599</v>
      </c>
      <c r="R29">
        <f t="shared" si="7"/>
        <v>0.35782005840404885</v>
      </c>
      <c r="S29">
        <f t="shared" si="8"/>
        <v>2.9150289344676641</v>
      </c>
      <c r="T29">
        <f t="shared" si="9"/>
        <v>0.33508717448759789</v>
      </c>
      <c r="U29">
        <f t="shared" si="10"/>
        <v>0.21135147603203502</v>
      </c>
      <c r="V29">
        <f t="shared" si="11"/>
        <v>344.37249864349832</v>
      </c>
      <c r="W29">
        <f t="shared" si="12"/>
        <v>31.586888829468325</v>
      </c>
      <c r="X29">
        <f t="shared" si="13"/>
        <v>30.033300000000001</v>
      </c>
      <c r="Y29">
        <f t="shared" si="14"/>
        <v>4.2686056351540174</v>
      </c>
      <c r="Z29">
        <f t="shared" si="15"/>
        <v>65.228434296432098</v>
      </c>
      <c r="AA29">
        <f t="shared" si="16"/>
        <v>2.90831389025958</v>
      </c>
      <c r="AB29">
        <f t="shared" si="17"/>
        <v>4.4586596652660422</v>
      </c>
      <c r="AC29">
        <f t="shared" si="18"/>
        <v>1.3602917448944374</v>
      </c>
      <c r="AD29">
        <f t="shared" si="19"/>
        <v>-210.18644170902402</v>
      </c>
      <c r="AE29">
        <f t="shared" si="20"/>
        <v>119.54783886335625</v>
      </c>
      <c r="AF29">
        <f t="shared" si="21"/>
        <v>9.1562173796465824</v>
      </c>
      <c r="AG29">
        <f t="shared" si="22"/>
        <v>262.89011317747713</v>
      </c>
      <c r="AH29">
        <v>0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51784.72623800009</v>
      </c>
      <c r="AM29" t="s">
        <v>416</v>
      </c>
      <c r="AN29">
        <v>10366.9</v>
      </c>
      <c r="AO29">
        <v>993.59653846153856</v>
      </c>
      <c r="AP29">
        <v>3431.87</v>
      </c>
      <c r="AQ29">
        <f t="shared" si="26"/>
        <v>0.71047955241266758</v>
      </c>
      <c r="AR29">
        <v>-3.9894345373445681</v>
      </c>
      <c r="AS29" t="s">
        <v>483</v>
      </c>
      <c r="AT29">
        <v>10418.700000000001</v>
      </c>
      <c r="AU29">
        <v>833.35263999999995</v>
      </c>
      <c r="AV29">
        <v>1164.777024029491</v>
      </c>
      <c r="AW29">
        <f t="shared" si="27"/>
        <v>0.28453890932956771</v>
      </c>
      <c r="AX29">
        <v>0.5</v>
      </c>
      <c r="AY29">
        <f t="shared" si="28"/>
        <v>1513.1936993217491</v>
      </c>
      <c r="AZ29">
        <f t="shared" si="29"/>
        <v>42.366117250984622</v>
      </c>
      <c r="BA29">
        <f t="shared" si="30"/>
        <v>215.28124240469216</v>
      </c>
      <c r="BB29">
        <f t="shared" si="31"/>
        <v>3.063424848326219E-2</v>
      </c>
      <c r="BC29">
        <f t="shared" si="32"/>
        <v>1.9463750822690575</v>
      </c>
      <c r="BD29">
        <f t="shared" si="33"/>
        <v>635.48881450055171</v>
      </c>
      <c r="BE29" t="s">
        <v>484</v>
      </c>
      <c r="BF29">
        <v>629.89</v>
      </c>
      <c r="BG29">
        <f t="shared" si="34"/>
        <v>629.89</v>
      </c>
      <c r="BH29">
        <f t="shared" si="35"/>
        <v>0.45921838514557467</v>
      </c>
      <c r="BI29">
        <f t="shared" si="36"/>
        <v>0.61961567422734476</v>
      </c>
      <c r="BJ29">
        <f t="shared" si="37"/>
        <v>0.80910391079540489</v>
      </c>
      <c r="BK29">
        <f t="shared" si="38"/>
        <v>1.9361107834802089</v>
      </c>
      <c r="BL29">
        <f t="shared" si="39"/>
        <v>0.92979438595868391</v>
      </c>
      <c r="BM29">
        <f t="shared" si="40"/>
        <v>0.4683368100196601</v>
      </c>
      <c r="BN29">
        <f t="shared" si="41"/>
        <v>0.5316631899803399</v>
      </c>
      <c r="BO29">
        <v>7572</v>
      </c>
      <c r="BP29">
        <v>290.00000000000011</v>
      </c>
      <c r="BQ29">
        <v>1079.6099999999999</v>
      </c>
      <c r="BR29">
        <v>135</v>
      </c>
      <c r="BS29">
        <v>10418.700000000001</v>
      </c>
      <c r="BT29">
        <v>1074.97</v>
      </c>
      <c r="BU29">
        <v>4.6399999999999997</v>
      </c>
      <c r="BV29">
        <v>300.00000000000011</v>
      </c>
      <c r="BW29">
        <v>38.299999999999997</v>
      </c>
      <c r="BX29">
        <v>1164.777024029491</v>
      </c>
      <c r="BY29">
        <v>1.376665917173908</v>
      </c>
      <c r="BZ29">
        <v>-93.56904405346225</v>
      </c>
      <c r="CA29">
        <v>1.173264809218834</v>
      </c>
      <c r="CB29">
        <v>0.99561693399932372</v>
      </c>
      <c r="CC29">
        <v>-1.1306394660734151E-2</v>
      </c>
      <c r="CD29">
        <v>289.99999999999989</v>
      </c>
      <c r="CE29">
        <v>1067.27</v>
      </c>
      <c r="CF29">
        <v>685</v>
      </c>
      <c r="CG29">
        <v>10386.5</v>
      </c>
      <c r="CH29">
        <v>1074.69</v>
      </c>
      <c r="CI29">
        <v>-7.42</v>
      </c>
      <c r="CW29">
        <f t="shared" si="42"/>
        <v>1800.01</v>
      </c>
      <c r="CX29">
        <f t="shared" si="43"/>
        <v>1513.1936993217491</v>
      </c>
      <c r="CY29">
        <f t="shared" si="44"/>
        <v>0.84065849596488307</v>
      </c>
      <c r="CZ29">
        <f t="shared" si="45"/>
        <v>0.19131699192976612</v>
      </c>
      <c r="DA29">
        <v>6</v>
      </c>
      <c r="DB29">
        <v>0.5</v>
      </c>
      <c r="DC29" t="s">
        <v>419</v>
      </c>
      <c r="DD29">
        <v>2</v>
      </c>
      <c r="DE29">
        <v>1693324095</v>
      </c>
      <c r="DF29">
        <v>1142.8599999999999</v>
      </c>
      <c r="DG29">
        <v>1200.25</v>
      </c>
      <c r="DH29">
        <v>29.310300000000002</v>
      </c>
      <c r="DI29">
        <v>23.757200000000001</v>
      </c>
      <c r="DJ29">
        <v>1140.21</v>
      </c>
      <c r="DK29">
        <v>29.029499999999999</v>
      </c>
      <c r="DL29">
        <v>499.87599999999998</v>
      </c>
      <c r="DM29">
        <v>99.125</v>
      </c>
      <c r="DN29">
        <v>9.9978600000000001E-2</v>
      </c>
      <c r="DO29">
        <v>30.794</v>
      </c>
      <c r="DP29">
        <v>30.033300000000001</v>
      </c>
      <c r="DQ29">
        <v>999.9</v>
      </c>
      <c r="DR29">
        <v>0</v>
      </c>
      <c r="DS29">
        <v>0</v>
      </c>
      <c r="DT29">
        <v>10005</v>
      </c>
      <c r="DU29">
        <v>0</v>
      </c>
      <c r="DV29">
        <v>1314.68</v>
      </c>
      <c r="DW29">
        <v>-57.388199999999998</v>
      </c>
      <c r="DX29">
        <v>1177.3699999999999</v>
      </c>
      <c r="DY29">
        <v>1229.46</v>
      </c>
      <c r="DZ29">
        <v>5.55307</v>
      </c>
      <c r="EA29">
        <v>1200.25</v>
      </c>
      <c r="EB29">
        <v>23.757200000000001</v>
      </c>
      <c r="EC29">
        <v>2.9053800000000001</v>
      </c>
      <c r="ED29">
        <v>2.35493</v>
      </c>
      <c r="EE29">
        <v>23.4954</v>
      </c>
      <c r="EF29">
        <v>20.057099999999998</v>
      </c>
      <c r="EG29">
        <v>1800.01</v>
      </c>
      <c r="EH29">
        <v>0.97799100000000005</v>
      </c>
      <c r="EI29">
        <v>2.20086E-2</v>
      </c>
      <c r="EJ29">
        <v>0</v>
      </c>
      <c r="EK29">
        <v>833.13499999999999</v>
      </c>
      <c r="EL29">
        <v>5.0010300000000001</v>
      </c>
      <c r="EM29">
        <v>16522.2</v>
      </c>
      <c r="EN29">
        <v>14701.1</v>
      </c>
      <c r="EO29">
        <v>49.75</v>
      </c>
      <c r="EP29">
        <v>51.625</v>
      </c>
      <c r="EQ29">
        <v>51.186999999999998</v>
      </c>
      <c r="ER29">
        <v>50.5</v>
      </c>
      <c r="ES29">
        <v>51.311999999999998</v>
      </c>
      <c r="ET29">
        <v>1755.5</v>
      </c>
      <c r="EU29">
        <v>39.51</v>
      </c>
      <c r="EV29">
        <v>0</v>
      </c>
      <c r="EW29">
        <v>101</v>
      </c>
      <c r="EX29">
        <v>0</v>
      </c>
      <c r="EY29">
        <v>833.35263999999995</v>
      </c>
      <c r="EZ29">
        <v>-2.1072307720596828</v>
      </c>
      <c r="FA29">
        <v>-41.284615443534342</v>
      </c>
      <c r="FB29">
        <v>16523.907999999999</v>
      </c>
      <c r="FC29">
        <v>15</v>
      </c>
      <c r="FD29">
        <v>1693324066</v>
      </c>
      <c r="FE29" t="s">
        <v>485</v>
      </c>
      <c r="FF29">
        <v>1693324066</v>
      </c>
      <c r="FG29">
        <v>1693324061.5</v>
      </c>
      <c r="FH29">
        <v>15</v>
      </c>
      <c r="FI29">
        <v>0.252</v>
      </c>
      <c r="FJ29">
        <v>-2E-3</v>
      </c>
      <c r="FK29">
        <v>2.65</v>
      </c>
      <c r="FL29">
        <v>0.14099999999999999</v>
      </c>
      <c r="FM29">
        <v>1200</v>
      </c>
      <c r="FN29">
        <v>23</v>
      </c>
      <c r="FO29">
        <v>0.21</v>
      </c>
      <c r="FP29">
        <v>0.05</v>
      </c>
      <c r="FQ29">
        <v>42.237080197449679</v>
      </c>
      <c r="FR29">
        <v>-0.42210866039495121</v>
      </c>
      <c r="FS29">
        <v>0.11325465967246549</v>
      </c>
      <c r="FT29">
        <v>1</v>
      </c>
      <c r="FU29">
        <v>0.36145381233156931</v>
      </c>
      <c r="FV29">
        <v>4.2507576623641219E-3</v>
      </c>
      <c r="FW29">
        <v>1.805125604809311E-3</v>
      </c>
      <c r="FX29">
        <v>1</v>
      </c>
      <c r="FY29">
        <v>2</v>
      </c>
      <c r="FZ29">
        <v>2</v>
      </c>
      <c r="GA29" t="s">
        <v>421</v>
      </c>
      <c r="GB29">
        <v>2.8978199999999998</v>
      </c>
      <c r="GC29">
        <v>2.8180299999999998</v>
      </c>
      <c r="GD29">
        <v>0.18584500000000001</v>
      </c>
      <c r="GE29">
        <v>0.19175900000000001</v>
      </c>
      <c r="GF29">
        <v>0.13606499999999999</v>
      </c>
      <c r="GG29">
        <v>0.117663</v>
      </c>
      <c r="GH29">
        <v>22553.8</v>
      </c>
      <c r="GI29">
        <v>22518.3</v>
      </c>
      <c r="GJ29">
        <v>24582.6</v>
      </c>
      <c r="GK29">
        <v>24887.200000000001</v>
      </c>
      <c r="GL29">
        <v>28231.200000000001</v>
      </c>
      <c r="GM29">
        <v>28764.3</v>
      </c>
      <c r="GN29">
        <v>33263</v>
      </c>
      <c r="GO29">
        <v>33294.9</v>
      </c>
      <c r="GP29">
        <v>1.9453</v>
      </c>
      <c r="GQ29">
        <v>1.8363</v>
      </c>
      <c r="GR29">
        <v>4.3168699999999997E-2</v>
      </c>
      <c r="GS29">
        <v>0</v>
      </c>
      <c r="GT29">
        <v>29.330400000000001</v>
      </c>
      <c r="GU29">
        <v>999.9</v>
      </c>
      <c r="GV29">
        <v>55.1</v>
      </c>
      <c r="GW29">
        <v>33.9</v>
      </c>
      <c r="GX29">
        <v>29.5336</v>
      </c>
      <c r="GY29">
        <v>62.180399999999999</v>
      </c>
      <c r="GZ29">
        <v>25.432700000000001</v>
      </c>
      <c r="HA29">
        <v>1</v>
      </c>
      <c r="HB29">
        <v>0.53365899999999999</v>
      </c>
      <c r="HC29">
        <v>2.5677300000000001</v>
      </c>
      <c r="HD29">
        <v>20.1935</v>
      </c>
      <c r="HE29">
        <v>5.2340600000000004</v>
      </c>
      <c r="HF29">
        <v>11.9201</v>
      </c>
      <c r="HG29">
        <v>4.9598000000000004</v>
      </c>
      <c r="HH29">
        <v>3.2890000000000001</v>
      </c>
      <c r="HI29">
        <v>9999</v>
      </c>
      <c r="HJ29">
        <v>9999</v>
      </c>
      <c r="HK29">
        <v>9999</v>
      </c>
      <c r="HL29">
        <v>875.9</v>
      </c>
      <c r="HM29">
        <v>1.88049</v>
      </c>
      <c r="HN29">
        <v>1.8775900000000001</v>
      </c>
      <c r="HO29">
        <v>1.8855299999999999</v>
      </c>
      <c r="HP29">
        <v>1.8833899999999999</v>
      </c>
      <c r="HQ29">
        <v>1.8808100000000001</v>
      </c>
      <c r="HR29">
        <v>1.8799600000000001</v>
      </c>
      <c r="HS29">
        <v>1.8811</v>
      </c>
      <c r="HT29">
        <v>1.88049</v>
      </c>
      <c r="HU29">
        <v>5</v>
      </c>
      <c r="HV29">
        <v>0</v>
      </c>
      <c r="HW29">
        <v>0</v>
      </c>
      <c r="HX29">
        <v>0</v>
      </c>
      <c r="HY29" t="s">
        <v>422</v>
      </c>
      <c r="HZ29" t="s">
        <v>423</v>
      </c>
      <c r="IA29" t="s">
        <v>424</v>
      </c>
      <c r="IB29" t="s">
        <v>424</v>
      </c>
      <c r="IC29" t="s">
        <v>424</v>
      </c>
      <c r="ID29" t="s">
        <v>424</v>
      </c>
      <c r="IE29">
        <v>0</v>
      </c>
      <c r="IF29">
        <v>100</v>
      </c>
      <c r="IG29">
        <v>100</v>
      </c>
      <c r="IH29">
        <v>2.65</v>
      </c>
      <c r="II29">
        <v>0.28079999999999999</v>
      </c>
      <c r="IJ29">
        <v>1.954101381591135</v>
      </c>
      <c r="IK29">
        <v>2.2153513873161218E-3</v>
      </c>
      <c r="IL29">
        <v>-2.2967369670569612E-6</v>
      </c>
      <c r="IM29">
        <v>7.7859689150384122E-10</v>
      </c>
      <c r="IN29">
        <v>-0.12428988975089229</v>
      </c>
      <c r="IO29">
        <v>-4.1434251034592161E-3</v>
      </c>
      <c r="IP29">
        <v>8.3987709687394815E-4</v>
      </c>
      <c r="IQ29">
        <v>-7.4586254598011197E-6</v>
      </c>
      <c r="IR29">
        <v>2</v>
      </c>
      <c r="IS29">
        <v>1930</v>
      </c>
      <c r="IT29">
        <v>2</v>
      </c>
      <c r="IU29">
        <v>41</v>
      </c>
      <c r="IV29">
        <v>0.5</v>
      </c>
      <c r="IW29">
        <v>0.6</v>
      </c>
      <c r="IX29">
        <v>2.3938000000000001</v>
      </c>
      <c r="IY29">
        <v>2.47559</v>
      </c>
      <c r="IZ29">
        <v>1.24512</v>
      </c>
      <c r="JA29">
        <v>2.2656200000000002</v>
      </c>
      <c r="JB29">
        <v>1.4501999999999999</v>
      </c>
      <c r="JC29">
        <v>2.36572</v>
      </c>
      <c r="JD29">
        <v>36.860399999999998</v>
      </c>
      <c r="JE29">
        <v>15.874499999999999</v>
      </c>
      <c r="JF29">
        <v>18</v>
      </c>
      <c r="JG29">
        <v>494.84699999999998</v>
      </c>
      <c r="JH29">
        <v>470.62700000000001</v>
      </c>
      <c r="JI29">
        <v>26.753299999999999</v>
      </c>
      <c r="JJ29">
        <v>34.043599999999998</v>
      </c>
      <c r="JK29">
        <v>30.0001</v>
      </c>
      <c r="JL29">
        <v>33.9084</v>
      </c>
      <c r="JM29">
        <v>33.885300000000001</v>
      </c>
      <c r="JN29">
        <v>48.007199999999997</v>
      </c>
      <c r="JO29">
        <v>27.164999999999999</v>
      </c>
      <c r="JP29">
        <v>21.182200000000002</v>
      </c>
      <c r="JQ29">
        <v>26.726600000000001</v>
      </c>
      <c r="JR29">
        <v>1200</v>
      </c>
      <c r="JS29">
        <v>23.743400000000001</v>
      </c>
      <c r="JT29">
        <v>99.253</v>
      </c>
      <c r="JU29">
        <v>99.3</v>
      </c>
    </row>
    <row r="30" spans="1:281" x14ac:dyDescent="0.25">
      <c r="A30">
        <v>14</v>
      </c>
      <c r="B30">
        <v>1693324251.5</v>
      </c>
      <c r="C30">
        <v>1538.400000095367</v>
      </c>
      <c r="D30" t="s">
        <v>486</v>
      </c>
      <c r="E30" t="s">
        <v>487</v>
      </c>
      <c r="F30" t="s">
        <v>413</v>
      </c>
      <c r="G30" t="s">
        <v>414</v>
      </c>
      <c r="H30" t="s">
        <v>31</v>
      </c>
      <c r="I30" t="s">
        <v>415</v>
      </c>
      <c r="J30">
        <v>1693324251.5</v>
      </c>
      <c r="K30">
        <f t="shared" si="0"/>
        <v>4.5117742577635558E-3</v>
      </c>
      <c r="L30">
        <f t="shared" si="1"/>
        <v>4.5117742577635562</v>
      </c>
      <c r="M30">
        <f t="shared" si="2"/>
        <v>41.875374884819912</v>
      </c>
      <c r="N30">
        <f t="shared" si="3"/>
        <v>1442.02</v>
      </c>
      <c r="O30">
        <f t="shared" si="4"/>
        <v>1196.8293950027323</v>
      </c>
      <c r="P30">
        <f t="shared" si="5"/>
        <v>118.7573279230579</v>
      </c>
      <c r="Q30">
        <f t="shared" si="6"/>
        <v>143.08676134347201</v>
      </c>
      <c r="R30">
        <f t="shared" si="7"/>
        <v>0.32879741950987951</v>
      </c>
      <c r="S30">
        <f t="shared" si="8"/>
        <v>2.9124363827136026</v>
      </c>
      <c r="T30">
        <f t="shared" si="9"/>
        <v>0.30947987519481257</v>
      </c>
      <c r="U30">
        <f t="shared" si="10"/>
        <v>0.19506588056502833</v>
      </c>
      <c r="V30">
        <f t="shared" si="11"/>
        <v>344.36809864382661</v>
      </c>
      <c r="W30">
        <f t="shared" si="12"/>
        <v>31.492351998312675</v>
      </c>
      <c r="X30">
        <f t="shared" si="13"/>
        <v>30.001999999999999</v>
      </c>
      <c r="Y30">
        <f t="shared" si="14"/>
        <v>4.2609392304091465</v>
      </c>
      <c r="Z30">
        <f t="shared" si="15"/>
        <v>64.882687457579038</v>
      </c>
      <c r="AA30">
        <f t="shared" si="16"/>
        <v>2.8663095737564004</v>
      </c>
      <c r="AB30">
        <f t="shared" si="17"/>
        <v>4.4176801024624988</v>
      </c>
      <c r="AC30">
        <f t="shared" si="18"/>
        <v>1.3946296566527461</v>
      </c>
      <c r="AD30">
        <f t="shared" si="19"/>
        <v>-198.9692447673728</v>
      </c>
      <c r="AE30">
        <f t="shared" si="20"/>
        <v>98.982426374965328</v>
      </c>
      <c r="AF30">
        <f t="shared" si="21"/>
        <v>7.5806149806339276</v>
      </c>
      <c r="AG30">
        <f t="shared" si="22"/>
        <v>251.96189523205305</v>
      </c>
      <c r="AH30">
        <v>0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51738.715157927974</v>
      </c>
      <c r="AM30" t="s">
        <v>416</v>
      </c>
      <c r="AN30">
        <v>10366.9</v>
      </c>
      <c r="AO30">
        <v>993.59653846153856</v>
      </c>
      <c r="AP30">
        <v>3431.87</v>
      </c>
      <c r="AQ30">
        <f t="shared" si="26"/>
        <v>0.71047955241266758</v>
      </c>
      <c r="AR30">
        <v>-3.9894345373445681</v>
      </c>
      <c r="AS30" t="s">
        <v>488</v>
      </c>
      <c r="AT30">
        <v>10401.6</v>
      </c>
      <c r="AU30">
        <v>825.34804000000008</v>
      </c>
      <c r="AV30">
        <v>1157.865005368127</v>
      </c>
      <c r="AW30">
        <f t="shared" si="27"/>
        <v>0.287181116819752</v>
      </c>
      <c r="AX30">
        <v>0.5</v>
      </c>
      <c r="AY30">
        <f t="shared" si="28"/>
        <v>1513.1765993219133</v>
      </c>
      <c r="AZ30">
        <f t="shared" si="29"/>
        <v>41.875374884819912</v>
      </c>
      <c r="BA30">
        <f t="shared" si="30"/>
        <v>217.27787286939073</v>
      </c>
      <c r="BB30">
        <f t="shared" si="31"/>
        <v>3.0310281987388308E-2</v>
      </c>
      <c r="BC30">
        <f t="shared" si="32"/>
        <v>1.9639638335117358</v>
      </c>
      <c r="BD30">
        <f t="shared" si="33"/>
        <v>633.4257736872795</v>
      </c>
      <c r="BE30" t="s">
        <v>489</v>
      </c>
      <c r="BF30">
        <v>626.19000000000005</v>
      </c>
      <c r="BG30">
        <f t="shared" si="34"/>
        <v>626.19000000000005</v>
      </c>
      <c r="BH30">
        <f t="shared" si="35"/>
        <v>0.45918565886624085</v>
      </c>
      <c r="BI30">
        <f t="shared" si="36"/>
        <v>0.62541395027192448</v>
      </c>
      <c r="BJ30">
        <f t="shared" si="37"/>
        <v>0.81050048281766751</v>
      </c>
      <c r="BK30">
        <f t="shared" si="38"/>
        <v>2.0242288226699854</v>
      </c>
      <c r="BL30">
        <f t="shared" si="39"/>
        <v>0.93262918639038095</v>
      </c>
      <c r="BM30">
        <f t="shared" si="40"/>
        <v>0.47450038352399354</v>
      </c>
      <c r="BN30">
        <f t="shared" si="41"/>
        <v>0.5254996164760064</v>
      </c>
      <c r="BO30">
        <v>7574</v>
      </c>
      <c r="BP30">
        <v>290.00000000000011</v>
      </c>
      <c r="BQ30">
        <v>1068.7</v>
      </c>
      <c r="BR30">
        <v>235</v>
      </c>
      <c r="BS30">
        <v>10401.6</v>
      </c>
      <c r="BT30">
        <v>1066.27</v>
      </c>
      <c r="BU30">
        <v>2.4300000000000002</v>
      </c>
      <c r="BV30">
        <v>300.00000000000011</v>
      </c>
      <c r="BW30">
        <v>38.299999999999997</v>
      </c>
      <c r="BX30">
        <v>1157.865005368127</v>
      </c>
      <c r="BY30">
        <v>1.211939768823195</v>
      </c>
      <c r="BZ30">
        <v>-95.270446258005578</v>
      </c>
      <c r="CA30">
        <v>1.032676989394371</v>
      </c>
      <c r="CB30">
        <v>0.99672097874708609</v>
      </c>
      <c r="CC30">
        <v>-1.1304356840934371E-2</v>
      </c>
      <c r="CD30">
        <v>289.99999999999989</v>
      </c>
      <c r="CE30">
        <v>1057.8900000000001</v>
      </c>
      <c r="CF30">
        <v>665</v>
      </c>
      <c r="CG30">
        <v>10386.1</v>
      </c>
      <c r="CH30">
        <v>1066.1400000000001</v>
      </c>
      <c r="CI30">
        <v>-8.25</v>
      </c>
      <c r="CW30">
        <f t="shared" si="42"/>
        <v>1799.99</v>
      </c>
      <c r="CX30">
        <f t="shared" si="43"/>
        <v>1513.1765993219133</v>
      </c>
      <c r="CY30">
        <f t="shared" si="44"/>
        <v>0.8406583366140441</v>
      </c>
      <c r="CZ30">
        <f t="shared" si="45"/>
        <v>0.19131667322808826</v>
      </c>
      <c r="DA30">
        <v>6</v>
      </c>
      <c r="DB30">
        <v>0.5</v>
      </c>
      <c r="DC30" t="s">
        <v>419</v>
      </c>
      <c r="DD30">
        <v>2</v>
      </c>
      <c r="DE30">
        <v>1693324251.5</v>
      </c>
      <c r="DF30">
        <v>1442.02</v>
      </c>
      <c r="DG30">
        <v>1500.01</v>
      </c>
      <c r="DH30">
        <v>28.886500000000002</v>
      </c>
      <c r="DI30">
        <v>23.634899999999998</v>
      </c>
      <c r="DJ30">
        <v>1439.24</v>
      </c>
      <c r="DK30">
        <v>28.613199999999999</v>
      </c>
      <c r="DL30">
        <v>500.584</v>
      </c>
      <c r="DM30">
        <v>99.126800000000003</v>
      </c>
      <c r="DN30">
        <v>9.9813600000000002E-2</v>
      </c>
      <c r="DO30">
        <v>30.632400000000001</v>
      </c>
      <c r="DP30">
        <v>30.001999999999999</v>
      </c>
      <c r="DQ30">
        <v>999.9</v>
      </c>
      <c r="DR30">
        <v>0</v>
      </c>
      <c r="DS30">
        <v>0</v>
      </c>
      <c r="DT30">
        <v>9990</v>
      </c>
      <c r="DU30">
        <v>0</v>
      </c>
      <c r="DV30">
        <v>1325.02</v>
      </c>
      <c r="DW30">
        <v>-57.993299999999998</v>
      </c>
      <c r="DX30">
        <v>1484.91</v>
      </c>
      <c r="DY30">
        <v>1536.32</v>
      </c>
      <c r="DZ30">
        <v>5.2515200000000002</v>
      </c>
      <c r="EA30">
        <v>1500.01</v>
      </c>
      <c r="EB30">
        <v>23.634899999999998</v>
      </c>
      <c r="EC30">
        <v>2.8634200000000001</v>
      </c>
      <c r="ED30">
        <v>2.3428599999999999</v>
      </c>
      <c r="EE30">
        <v>23.254300000000001</v>
      </c>
      <c r="EF30">
        <v>19.9741</v>
      </c>
      <c r="EG30">
        <v>1799.99</v>
      </c>
      <c r="EH30">
        <v>0.97799499999999995</v>
      </c>
      <c r="EI30">
        <v>2.2004900000000001E-2</v>
      </c>
      <c r="EJ30">
        <v>0</v>
      </c>
      <c r="EK30">
        <v>825.07600000000002</v>
      </c>
      <c r="EL30">
        <v>5.0010300000000001</v>
      </c>
      <c r="EM30">
        <v>16379.8</v>
      </c>
      <c r="EN30">
        <v>14701</v>
      </c>
      <c r="EO30">
        <v>49.936999999999998</v>
      </c>
      <c r="EP30">
        <v>51.936999999999998</v>
      </c>
      <c r="EQ30">
        <v>51.375</v>
      </c>
      <c r="ER30">
        <v>50.811999999999998</v>
      </c>
      <c r="ES30">
        <v>51.561999999999998</v>
      </c>
      <c r="ET30">
        <v>1755.49</v>
      </c>
      <c r="EU30">
        <v>39.5</v>
      </c>
      <c r="EV30">
        <v>0</v>
      </c>
      <c r="EW30">
        <v>154.39999985694891</v>
      </c>
      <c r="EX30">
        <v>0</v>
      </c>
      <c r="EY30">
        <v>825.34804000000008</v>
      </c>
      <c r="EZ30">
        <v>-2.0200769279744271</v>
      </c>
      <c r="FA30">
        <v>-59.892307857629561</v>
      </c>
      <c r="FB30">
        <v>16389.223999999998</v>
      </c>
      <c r="FC30">
        <v>15</v>
      </c>
      <c r="FD30">
        <v>1693324167</v>
      </c>
      <c r="FE30" t="s">
        <v>490</v>
      </c>
      <c r="FF30">
        <v>1693324167</v>
      </c>
      <c r="FG30">
        <v>1693324159</v>
      </c>
      <c r="FH30">
        <v>16</v>
      </c>
      <c r="FI30">
        <v>7.8E-2</v>
      </c>
      <c r="FJ30">
        <v>3.0000000000000001E-3</v>
      </c>
      <c r="FK30">
        <v>2.8109999999999999</v>
      </c>
      <c r="FL30">
        <v>0.15</v>
      </c>
      <c r="FM30">
        <v>1500</v>
      </c>
      <c r="FN30">
        <v>24</v>
      </c>
      <c r="FO30">
        <v>0.16</v>
      </c>
      <c r="FP30">
        <v>7.0000000000000007E-2</v>
      </c>
      <c r="FQ30">
        <v>41.691005931029103</v>
      </c>
      <c r="FR30">
        <v>-0.35601368261862348</v>
      </c>
      <c r="FS30">
        <v>0.1959635729920963</v>
      </c>
      <c r="FT30">
        <v>1</v>
      </c>
      <c r="FU30">
        <v>0.33086134565557762</v>
      </c>
      <c r="FV30">
        <v>-2.1859629467593351E-2</v>
      </c>
      <c r="FW30">
        <v>1.777865656763213E-3</v>
      </c>
      <c r="FX30">
        <v>1</v>
      </c>
      <c r="FY30">
        <v>2</v>
      </c>
      <c r="FZ30">
        <v>2</v>
      </c>
      <c r="GA30" t="s">
        <v>421</v>
      </c>
      <c r="GB30">
        <v>2.8995199999999999</v>
      </c>
      <c r="GC30">
        <v>2.8177400000000001</v>
      </c>
      <c r="GD30">
        <v>0.21420400000000001</v>
      </c>
      <c r="GE30">
        <v>0.21940499999999999</v>
      </c>
      <c r="GF30">
        <v>0.134714</v>
      </c>
      <c r="GG30">
        <v>0.117231</v>
      </c>
      <c r="GH30">
        <v>21763.9</v>
      </c>
      <c r="GI30">
        <v>21743.200000000001</v>
      </c>
      <c r="GJ30">
        <v>24580</v>
      </c>
      <c r="GK30">
        <v>24884.1</v>
      </c>
      <c r="GL30">
        <v>28273.599999999999</v>
      </c>
      <c r="GM30">
        <v>28774.9</v>
      </c>
      <c r="GN30">
        <v>33260.199999999997</v>
      </c>
      <c r="GO30">
        <v>33290.6</v>
      </c>
      <c r="GP30">
        <v>1.9449000000000001</v>
      </c>
      <c r="GQ30">
        <v>1.8369</v>
      </c>
      <c r="GR30">
        <v>3.0204700000000001E-2</v>
      </c>
      <c r="GS30">
        <v>0</v>
      </c>
      <c r="GT30">
        <v>29.510300000000001</v>
      </c>
      <c r="GU30">
        <v>999.9</v>
      </c>
      <c r="GV30">
        <v>55.1</v>
      </c>
      <c r="GW30">
        <v>33.9</v>
      </c>
      <c r="GX30">
        <v>29.533300000000001</v>
      </c>
      <c r="GY30">
        <v>62.240499999999997</v>
      </c>
      <c r="GZ30">
        <v>24.314900000000002</v>
      </c>
      <c r="HA30">
        <v>1</v>
      </c>
      <c r="HB30">
        <v>0.54194100000000001</v>
      </c>
      <c r="HC30">
        <v>2.6087699999999998</v>
      </c>
      <c r="HD30">
        <v>20.1936</v>
      </c>
      <c r="HE30">
        <v>5.23346</v>
      </c>
      <c r="HF30">
        <v>11.9201</v>
      </c>
      <c r="HG30">
        <v>4.9602000000000004</v>
      </c>
      <c r="HH30">
        <v>3.2890000000000001</v>
      </c>
      <c r="HI30">
        <v>9999</v>
      </c>
      <c r="HJ30">
        <v>9999</v>
      </c>
      <c r="HK30">
        <v>9999</v>
      </c>
      <c r="HL30">
        <v>876</v>
      </c>
      <c r="HM30">
        <v>1.88049</v>
      </c>
      <c r="HN30">
        <v>1.8775900000000001</v>
      </c>
      <c r="HO30">
        <v>1.8855500000000001</v>
      </c>
      <c r="HP30">
        <v>1.88337</v>
      </c>
      <c r="HQ30">
        <v>1.8808</v>
      </c>
      <c r="HR30">
        <v>1.87991</v>
      </c>
      <c r="HS30">
        <v>1.8810199999999999</v>
      </c>
      <c r="HT30">
        <v>1.88043</v>
      </c>
      <c r="HU30">
        <v>5</v>
      </c>
      <c r="HV30">
        <v>0</v>
      </c>
      <c r="HW30">
        <v>0</v>
      </c>
      <c r="HX30">
        <v>0</v>
      </c>
      <c r="HY30" t="s">
        <v>422</v>
      </c>
      <c r="HZ30" t="s">
        <v>423</v>
      </c>
      <c r="IA30" t="s">
        <v>424</v>
      </c>
      <c r="IB30" t="s">
        <v>424</v>
      </c>
      <c r="IC30" t="s">
        <v>424</v>
      </c>
      <c r="ID30" t="s">
        <v>424</v>
      </c>
      <c r="IE30">
        <v>0</v>
      </c>
      <c r="IF30">
        <v>100</v>
      </c>
      <c r="IG30">
        <v>100</v>
      </c>
      <c r="IH30">
        <v>2.78</v>
      </c>
      <c r="II30">
        <v>0.27329999999999999</v>
      </c>
      <c r="IJ30">
        <v>2.0294337564463159</v>
      </c>
      <c r="IK30">
        <v>2.2153513873161218E-3</v>
      </c>
      <c r="IL30">
        <v>-2.2967369670569612E-6</v>
      </c>
      <c r="IM30">
        <v>7.7859689150384122E-10</v>
      </c>
      <c r="IN30">
        <v>-0.1210868235525058</v>
      </c>
      <c r="IO30">
        <v>-4.1434251034592161E-3</v>
      </c>
      <c r="IP30">
        <v>8.3987709687394815E-4</v>
      </c>
      <c r="IQ30">
        <v>-7.4586254598011197E-6</v>
      </c>
      <c r="IR30">
        <v>2</v>
      </c>
      <c r="IS30">
        <v>1930</v>
      </c>
      <c r="IT30">
        <v>2</v>
      </c>
      <c r="IU30">
        <v>41</v>
      </c>
      <c r="IV30">
        <v>1.4</v>
      </c>
      <c r="IW30">
        <v>1.5</v>
      </c>
      <c r="IX30">
        <v>2.8625500000000001</v>
      </c>
      <c r="IY30">
        <v>2.4572799999999999</v>
      </c>
      <c r="IZ30">
        <v>1.24512</v>
      </c>
      <c r="JA30">
        <v>2.2656200000000002</v>
      </c>
      <c r="JB30">
        <v>1.4501999999999999</v>
      </c>
      <c r="JC30">
        <v>2.4450699999999999</v>
      </c>
      <c r="JD30">
        <v>36.575899999999997</v>
      </c>
      <c r="JE30">
        <v>15.839399999999999</v>
      </c>
      <c r="JF30">
        <v>18</v>
      </c>
      <c r="JG30">
        <v>495.09500000000003</v>
      </c>
      <c r="JH30">
        <v>471.59699999999998</v>
      </c>
      <c r="JI30">
        <v>26.215599999999998</v>
      </c>
      <c r="JJ30">
        <v>34.132899999999999</v>
      </c>
      <c r="JK30">
        <v>30.000299999999999</v>
      </c>
      <c r="JL30">
        <v>33.972999999999999</v>
      </c>
      <c r="JM30">
        <v>33.952800000000003</v>
      </c>
      <c r="JN30">
        <v>57.414400000000001</v>
      </c>
      <c r="JO30">
        <v>27.103400000000001</v>
      </c>
      <c r="JP30">
        <v>20.302800000000001</v>
      </c>
      <c r="JQ30">
        <v>26.226199999999999</v>
      </c>
      <c r="JR30">
        <v>1500</v>
      </c>
      <c r="JS30">
        <v>23.737200000000001</v>
      </c>
      <c r="JT30">
        <v>99.243700000000004</v>
      </c>
      <c r="JU30">
        <v>99.287300000000002</v>
      </c>
    </row>
    <row r="31" spans="1:281" x14ac:dyDescent="0.25">
      <c r="A31">
        <v>15</v>
      </c>
      <c r="B31">
        <v>1693326007.5999999</v>
      </c>
      <c r="C31">
        <v>3294.5</v>
      </c>
      <c r="D31" t="s">
        <v>491</v>
      </c>
      <c r="E31" t="s">
        <v>492</v>
      </c>
      <c r="F31" t="s">
        <v>413</v>
      </c>
      <c r="G31" t="s">
        <v>493</v>
      </c>
      <c r="H31" t="s">
        <v>415</v>
      </c>
      <c r="I31" t="s">
        <v>415</v>
      </c>
      <c r="J31">
        <v>1693326007.5999999</v>
      </c>
      <c r="K31">
        <f t="shared" si="0"/>
        <v>4.5069519318721579E-3</v>
      </c>
      <c r="L31">
        <f t="shared" si="1"/>
        <v>4.506951931872158</v>
      </c>
      <c r="M31">
        <f t="shared" si="2"/>
        <v>41.395274930046646</v>
      </c>
      <c r="N31">
        <f t="shared" si="3"/>
        <v>348.541</v>
      </c>
      <c r="O31">
        <f t="shared" si="4"/>
        <v>125.44722431354992</v>
      </c>
      <c r="P31">
        <f t="shared" si="5"/>
        <v>12.444672424124283</v>
      </c>
      <c r="Q31">
        <f t="shared" si="6"/>
        <v>34.576122310489403</v>
      </c>
      <c r="R31">
        <f t="shared" si="7"/>
        <v>0.32035874366704159</v>
      </c>
      <c r="S31">
        <f t="shared" si="8"/>
        <v>2.9224918088084126</v>
      </c>
      <c r="T31">
        <f t="shared" si="9"/>
        <v>0.30204964974146242</v>
      </c>
      <c r="U31">
        <f t="shared" si="10"/>
        <v>0.19033877512277467</v>
      </c>
      <c r="V31">
        <f t="shared" si="11"/>
        <v>344.33009864367585</v>
      </c>
      <c r="W31">
        <f t="shared" si="12"/>
        <v>31.196110897422521</v>
      </c>
      <c r="X31">
        <f t="shared" si="13"/>
        <v>30.006399999999999</v>
      </c>
      <c r="Y31">
        <f t="shared" si="14"/>
        <v>4.2620162104827797</v>
      </c>
      <c r="Z31">
        <f t="shared" si="15"/>
        <v>65.259560646482385</v>
      </c>
      <c r="AA31">
        <f t="shared" si="16"/>
        <v>2.8347398666410197</v>
      </c>
      <c r="AB31">
        <f t="shared" si="17"/>
        <v>4.3437924475113938</v>
      </c>
      <c r="AC31">
        <f t="shared" si="18"/>
        <v>1.4272763438417599</v>
      </c>
      <c r="AD31">
        <f t="shared" si="19"/>
        <v>-198.75658019556215</v>
      </c>
      <c r="AE31">
        <f t="shared" si="20"/>
        <v>52.19875946275392</v>
      </c>
      <c r="AF31">
        <f t="shared" si="21"/>
        <v>3.9781916166726869</v>
      </c>
      <c r="AG31">
        <f t="shared" si="22"/>
        <v>201.7504695275403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52074.46249057052</v>
      </c>
      <c r="AM31" t="s">
        <v>416</v>
      </c>
      <c r="AN31">
        <v>10366.9</v>
      </c>
      <c r="AO31">
        <v>993.59653846153856</v>
      </c>
      <c r="AP31">
        <v>3431.87</v>
      </c>
      <c r="AQ31">
        <f t="shared" si="26"/>
        <v>0.71047955241266758</v>
      </c>
      <c r="AR31">
        <v>-3.9894345373445681</v>
      </c>
      <c r="AS31" t="s">
        <v>494</v>
      </c>
      <c r="AT31">
        <v>10457.200000000001</v>
      </c>
      <c r="AU31">
        <v>805.56138461538455</v>
      </c>
      <c r="AV31">
        <v>1145.6215709340031</v>
      </c>
      <c r="AW31">
        <f t="shared" si="27"/>
        <v>0.29683465722574864</v>
      </c>
      <c r="AX31">
        <v>0.5</v>
      </c>
      <c r="AY31">
        <f t="shared" si="28"/>
        <v>1513.0085993218379</v>
      </c>
      <c r="AZ31">
        <f t="shared" si="29"/>
        <v>41.395274930046646</v>
      </c>
      <c r="BA31">
        <f t="shared" si="30"/>
        <v>224.55669447965391</v>
      </c>
      <c r="BB31">
        <f t="shared" si="31"/>
        <v>2.9996332795288537E-2</v>
      </c>
      <c r="BC31">
        <f t="shared" si="32"/>
        <v>1.9956401721748855</v>
      </c>
      <c r="BD31">
        <f t="shared" si="33"/>
        <v>629.74394244654047</v>
      </c>
      <c r="BE31" t="s">
        <v>495</v>
      </c>
      <c r="BF31">
        <v>614.44000000000005</v>
      </c>
      <c r="BG31">
        <f t="shared" si="34"/>
        <v>614.44000000000005</v>
      </c>
      <c r="BH31">
        <f t="shared" si="35"/>
        <v>0.46366233354085762</v>
      </c>
      <c r="BI31">
        <f t="shared" si="36"/>
        <v>0.64019575400681494</v>
      </c>
      <c r="BJ31">
        <f t="shared" si="37"/>
        <v>0.81146592073840229</v>
      </c>
      <c r="BK31">
        <f t="shared" si="38"/>
        <v>2.2368696838148137</v>
      </c>
      <c r="BL31">
        <f t="shared" si="39"/>
        <v>0.93765054048673335</v>
      </c>
      <c r="BM31">
        <f t="shared" si="40"/>
        <v>0.4883077647518545</v>
      </c>
      <c r="BN31">
        <f t="shared" si="41"/>
        <v>0.51169223524814544</v>
      </c>
      <c r="BO31">
        <v>7576</v>
      </c>
      <c r="BP31">
        <v>290.00000000000011</v>
      </c>
      <c r="BQ31">
        <v>1053.82</v>
      </c>
      <c r="BR31">
        <v>255</v>
      </c>
      <c r="BS31">
        <v>10457.200000000001</v>
      </c>
      <c r="BT31">
        <v>1052.05</v>
      </c>
      <c r="BU31">
        <v>1.77</v>
      </c>
      <c r="BV31">
        <v>300.00000000000011</v>
      </c>
      <c r="BW31">
        <v>38.200000000000003</v>
      </c>
      <c r="BX31">
        <v>1145.6215709340031</v>
      </c>
      <c r="BY31">
        <v>1.3830858283804759</v>
      </c>
      <c r="BZ31">
        <v>-97.850836275683335</v>
      </c>
      <c r="CA31">
        <v>1.185205735184681</v>
      </c>
      <c r="CB31">
        <v>0.99590893794863355</v>
      </c>
      <c r="CC31">
        <v>-1.1366764627363749E-2</v>
      </c>
      <c r="CD31">
        <v>289.99999999999989</v>
      </c>
      <c r="CE31">
        <v>1045.43</v>
      </c>
      <c r="CF31">
        <v>655</v>
      </c>
      <c r="CG31">
        <v>10446.4</v>
      </c>
      <c r="CH31">
        <v>1051.95</v>
      </c>
      <c r="CI31">
        <v>-6.52</v>
      </c>
      <c r="CW31">
        <f t="shared" si="42"/>
        <v>1799.79</v>
      </c>
      <c r="CX31">
        <f t="shared" si="43"/>
        <v>1513.0085993218379</v>
      </c>
      <c r="CY31">
        <f t="shared" si="44"/>
        <v>0.84065840977104989</v>
      </c>
      <c r="CZ31">
        <f t="shared" si="45"/>
        <v>0.19131681954209984</v>
      </c>
      <c r="DA31">
        <v>6</v>
      </c>
      <c r="DB31">
        <v>0.5</v>
      </c>
      <c r="DC31" t="s">
        <v>419</v>
      </c>
      <c r="DD31">
        <v>2</v>
      </c>
      <c r="DE31">
        <v>1693326007.5999999</v>
      </c>
      <c r="DF31">
        <v>348.541</v>
      </c>
      <c r="DG31">
        <v>400.06799999999998</v>
      </c>
      <c r="DH31">
        <v>28.575299999999999</v>
      </c>
      <c r="DI31">
        <v>23.3248</v>
      </c>
      <c r="DJ31">
        <v>347.072</v>
      </c>
      <c r="DK31">
        <v>28.306100000000001</v>
      </c>
      <c r="DL31">
        <v>500.31400000000002</v>
      </c>
      <c r="DM31">
        <v>99.102699999999999</v>
      </c>
      <c r="DN31">
        <v>9.9753400000000006E-2</v>
      </c>
      <c r="DO31">
        <v>30.337700000000002</v>
      </c>
      <c r="DP31">
        <v>30.006399999999999</v>
      </c>
      <c r="DQ31">
        <v>999.9</v>
      </c>
      <c r="DR31">
        <v>0</v>
      </c>
      <c r="DS31">
        <v>0</v>
      </c>
      <c r="DT31">
        <v>10050</v>
      </c>
      <c r="DU31">
        <v>0</v>
      </c>
      <c r="DV31">
        <v>1674.14</v>
      </c>
      <c r="DW31">
        <v>-51.527299999999997</v>
      </c>
      <c r="DX31">
        <v>358.79300000000001</v>
      </c>
      <c r="DY31">
        <v>409.62200000000001</v>
      </c>
      <c r="DZ31">
        <v>5.2505300000000004</v>
      </c>
      <c r="EA31">
        <v>400.06799999999998</v>
      </c>
      <c r="EB31">
        <v>23.3248</v>
      </c>
      <c r="EC31">
        <v>2.83189</v>
      </c>
      <c r="ED31">
        <v>2.31155</v>
      </c>
      <c r="EE31">
        <v>23.071200000000001</v>
      </c>
      <c r="EF31">
        <v>19.757100000000001</v>
      </c>
      <c r="EG31">
        <v>1799.79</v>
      </c>
      <c r="EH31">
        <v>0.97799199999999997</v>
      </c>
      <c r="EI31">
        <v>2.2007599999999999E-2</v>
      </c>
      <c r="EJ31">
        <v>0</v>
      </c>
      <c r="EK31">
        <v>804.91399999999999</v>
      </c>
      <c r="EL31">
        <v>5.0010300000000001</v>
      </c>
      <c r="EM31">
        <v>15497.9</v>
      </c>
      <c r="EN31">
        <v>14699.4</v>
      </c>
      <c r="EO31">
        <v>46.186999999999998</v>
      </c>
      <c r="EP31">
        <v>48.811999999999998</v>
      </c>
      <c r="EQ31">
        <v>47.811999999999998</v>
      </c>
      <c r="ER31">
        <v>47.125</v>
      </c>
      <c r="ES31">
        <v>47.936999999999998</v>
      </c>
      <c r="ET31">
        <v>1755.29</v>
      </c>
      <c r="EU31">
        <v>39.5</v>
      </c>
      <c r="EV31">
        <v>0</v>
      </c>
      <c r="EW31">
        <v>1754</v>
      </c>
      <c r="EX31">
        <v>0</v>
      </c>
      <c r="EY31">
        <v>805.56138461538455</v>
      </c>
      <c r="EZ31">
        <v>-0.71794872319245207</v>
      </c>
      <c r="FA31">
        <v>-1.1384615613034721</v>
      </c>
      <c r="FB31">
        <v>15500.38846153846</v>
      </c>
      <c r="FC31">
        <v>15</v>
      </c>
      <c r="FD31">
        <v>1693325979.5999999</v>
      </c>
      <c r="FE31" t="s">
        <v>496</v>
      </c>
      <c r="FF31">
        <v>1693325972.0999999</v>
      </c>
      <c r="FG31">
        <v>1693325979.5999999</v>
      </c>
      <c r="FH31">
        <v>18</v>
      </c>
      <c r="FI31">
        <v>3.0000000000000001E-3</v>
      </c>
      <c r="FJ31">
        <v>8.9999999999999993E-3</v>
      </c>
      <c r="FK31">
        <v>1.5109999999999999</v>
      </c>
      <c r="FL31">
        <v>0.14299999999999999</v>
      </c>
      <c r="FM31">
        <v>400</v>
      </c>
      <c r="FN31">
        <v>23</v>
      </c>
      <c r="FO31">
        <v>0.1</v>
      </c>
      <c r="FP31">
        <v>0.05</v>
      </c>
      <c r="FQ31">
        <v>41.330539372944763</v>
      </c>
      <c r="FR31">
        <v>-0.50150317185029591</v>
      </c>
      <c r="FS31">
        <v>9.3412594070115193E-2</v>
      </c>
      <c r="FT31">
        <v>1</v>
      </c>
      <c r="FU31">
        <v>0.32165044606431459</v>
      </c>
      <c r="FV31">
        <v>4.1259554766595999E-2</v>
      </c>
      <c r="FW31">
        <v>4.359454717228913E-3</v>
      </c>
      <c r="FX31">
        <v>1</v>
      </c>
      <c r="FY31">
        <v>2</v>
      </c>
      <c r="FZ31">
        <v>2</v>
      </c>
      <c r="GA31" t="s">
        <v>421</v>
      </c>
      <c r="GB31">
        <v>2.9010199999999999</v>
      </c>
      <c r="GC31">
        <v>2.8182</v>
      </c>
      <c r="GD31">
        <v>8.0964400000000006E-2</v>
      </c>
      <c r="GE31">
        <v>9.0443200000000001E-2</v>
      </c>
      <c r="GF31">
        <v>0.133961</v>
      </c>
      <c r="GG31">
        <v>0.11638</v>
      </c>
      <c r="GH31">
        <v>25499.4</v>
      </c>
      <c r="GI31">
        <v>25364.9</v>
      </c>
      <c r="GJ31">
        <v>24617.7</v>
      </c>
      <c r="GK31">
        <v>24905.200000000001</v>
      </c>
      <c r="GL31">
        <v>28331.8</v>
      </c>
      <c r="GM31">
        <v>28814.5</v>
      </c>
      <c r="GN31">
        <v>33305.1</v>
      </c>
      <c r="GO31">
        <v>33307.4</v>
      </c>
      <c r="GP31">
        <v>1.9569000000000001</v>
      </c>
      <c r="GQ31">
        <v>1.8380000000000001</v>
      </c>
      <c r="GR31">
        <v>1.8238999999999998E-2</v>
      </c>
      <c r="GS31">
        <v>0</v>
      </c>
      <c r="GT31">
        <v>29.709499999999998</v>
      </c>
      <c r="GU31">
        <v>999.9</v>
      </c>
      <c r="GV31">
        <v>53.6</v>
      </c>
      <c r="GW31">
        <v>34.700000000000003</v>
      </c>
      <c r="GX31">
        <v>30.046199999999999</v>
      </c>
      <c r="GY31">
        <v>61.968800000000002</v>
      </c>
      <c r="GZ31">
        <v>25.989599999999999</v>
      </c>
      <c r="HA31">
        <v>1</v>
      </c>
      <c r="HB31">
        <v>0.463476</v>
      </c>
      <c r="HC31">
        <v>2.2992900000000001</v>
      </c>
      <c r="HD31">
        <v>20.152100000000001</v>
      </c>
      <c r="HE31">
        <v>5.2340600000000004</v>
      </c>
      <c r="HF31">
        <v>11.9201</v>
      </c>
      <c r="HG31">
        <v>4.9607999999999999</v>
      </c>
      <c r="HH31">
        <v>3.2890000000000001</v>
      </c>
      <c r="HI31">
        <v>9999</v>
      </c>
      <c r="HJ31">
        <v>9999</v>
      </c>
      <c r="HK31">
        <v>9999</v>
      </c>
      <c r="HL31">
        <v>876.5</v>
      </c>
      <c r="HM31">
        <v>1.8811</v>
      </c>
      <c r="HN31">
        <v>1.8782000000000001</v>
      </c>
      <c r="HO31">
        <v>1.88619</v>
      </c>
      <c r="HP31">
        <v>1.88398</v>
      </c>
      <c r="HQ31">
        <v>1.8814299999999999</v>
      </c>
      <c r="HR31">
        <v>1.8805099999999999</v>
      </c>
      <c r="HS31">
        <v>1.8816600000000001</v>
      </c>
      <c r="HT31">
        <v>1.8811</v>
      </c>
      <c r="HU31">
        <v>5</v>
      </c>
      <c r="HV31">
        <v>0</v>
      </c>
      <c r="HW31">
        <v>0</v>
      </c>
      <c r="HX31">
        <v>0</v>
      </c>
      <c r="HY31" t="s">
        <v>422</v>
      </c>
      <c r="HZ31" t="s">
        <v>423</v>
      </c>
      <c r="IA31" t="s">
        <v>424</v>
      </c>
      <c r="IB31" t="s">
        <v>424</v>
      </c>
      <c r="IC31" t="s">
        <v>424</v>
      </c>
      <c r="ID31" t="s">
        <v>424</v>
      </c>
      <c r="IE31">
        <v>0</v>
      </c>
      <c r="IF31">
        <v>100</v>
      </c>
      <c r="IG31">
        <v>100</v>
      </c>
      <c r="IH31">
        <v>1.4690000000000001</v>
      </c>
      <c r="II31">
        <v>0.26919999999999999</v>
      </c>
      <c r="IJ31">
        <v>0.94353614947440212</v>
      </c>
      <c r="IK31">
        <v>2.2153513873161218E-3</v>
      </c>
      <c r="IL31">
        <v>-2.2967369670569612E-6</v>
      </c>
      <c r="IM31">
        <v>7.7859689150384122E-10</v>
      </c>
      <c r="IN31">
        <v>-0.11724674575841119</v>
      </c>
      <c r="IO31">
        <v>-4.1434251034592161E-3</v>
      </c>
      <c r="IP31">
        <v>8.3987709687394815E-4</v>
      </c>
      <c r="IQ31">
        <v>-7.4586254598011197E-6</v>
      </c>
      <c r="IR31">
        <v>2</v>
      </c>
      <c r="IS31">
        <v>1930</v>
      </c>
      <c r="IT31">
        <v>2</v>
      </c>
      <c r="IU31">
        <v>41</v>
      </c>
      <c r="IV31">
        <v>0.6</v>
      </c>
      <c r="IW31">
        <v>0.5</v>
      </c>
      <c r="IX31">
        <v>0.98510699999999995</v>
      </c>
      <c r="IY31">
        <v>2.48169</v>
      </c>
      <c r="IZ31">
        <v>1.24512</v>
      </c>
      <c r="JA31">
        <v>2.2680699999999998</v>
      </c>
      <c r="JB31">
        <v>1.4501999999999999</v>
      </c>
      <c r="JC31">
        <v>2.4279799999999998</v>
      </c>
      <c r="JD31">
        <v>38.969299999999997</v>
      </c>
      <c r="JE31">
        <v>23.9649</v>
      </c>
      <c r="JF31">
        <v>18</v>
      </c>
      <c r="JG31">
        <v>495.95499999999998</v>
      </c>
      <c r="JH31">
        <v>464.96899999999999</v>
      </c>
      <c r="JI31">
        <v>26.173200000000001</v>
      </c>
      <c r="JJ31">
        <v>33.159999999999997</v>
      </c>
      <c r="JK31">
        <v>30</v>
      </c>
      <c r="JL31">
        <v>33.071800000000003</v>
      </c>
      <c r="JM31">
        <v>33.041800000000002</v>
      </c>
      <c r="JN31">
        <v>19.820699999999999</v>
      </c>
      <c r="JO31">
        <v>29.771100000000001</v>
      </c>
      <c r="JP31">
        <v>2.9240900000000001</v>
      </c>
      <c r="JQ31">
        <v>26.165700000000001</v>
      </c>
      <c r="JR31">
        <v>400</v>
      </c>
      <c r="JS31">
        <v>23.2715</v>
      </c>
      <c r="JT31">
        <v>99.385300000000001</v>
      </c>
      <c r="JU31">
        <v>99.352199999999996</v>
      </c>
    </row>
    <row r="32" spans="1:281" x14ac:dyDescent="0.25">
      <c r="A32">
        <v>16</v>
      </c>
      <c r="B32">
        <v>1693326108.5999999</v>
      </c>
      <c r="C32">
        <v>3395.5</v>
      </c>
      <c r="D32" t="s">
        <v>497</v>
      </c>
      <c r="E32" t="s">
        <v>498</v>
      </c>
      <c r="F32" t="s">
        <v>413</v>
      </c>
      <c r="G32" t="s">
        <v>493</v>
      </c>
      <c r="H32" t="s">
        <v>415</v>
      </c>
      <c r="I32" t="s">
        <v>415</v>
      </c>
      <c r="J32">
        <v>1693326108.5999999</v>
      </c>
      <c r="K32">
        <f t="shared" si="0"/>
        <v>4.4942875907211148E-3</v>
      </c>
      <c r="L32">
        <f t="shared" si="1"/>
        <v>4.4942875907211146</v>
      </c>
      <c r="M32">
        <f t="shared" si="2"/>
        <v>31.971833617548334</v>
      </c>
      <c r="N32">
        <f t="shared" si="3"/>
        <v>260.15600000000001</v>
      </c>
      <c r="O32">
        <f t="shared" si="4"/>
        <v>87.475938379489335</v>
      </c>
      <c r="P32">
        <f t="shared" si="5"/>
        <v>8.6782596219059052</v>
      </c>
      <c r="Q32">
        <f t="shared" si="6"/>
        <v>25.809398012995999</v>
      </c>
      <c r="R32">
        <f t="shared" si="7"/>
        <v>0.31925434468465225</v>
      </c>
      <c r="S32">
        <f t="shared" si="8"/>
        <v>2.9099035548384817</v>
      </c>
      <c r="T32">
        <f t="shared" si="9"/>
        <v>0.30099357757451983</v>
      </c>
      <c r="U32">
        <f t="shared" si="10"/>
        <v>0.18967454762048</v>
      </c>
      <c r="V32">
        <f t="shared" si="11"/>
        <v>344.38079864422264</v>
      </c>
      <c r="W32">
        <f t="shared" si="12"/>
        <v>31.186376914263082</v>
      </c>
      <c r="X32">
        <f t="shared" si="13"/>
        <v>30.0075</v>
      </c>
      <c r="Y32">
        <f t="shared" si="14"/>
        <v>4.2622854925660194</v>
      </c>
      <c r="Z32">
        <f t="shared" si="15"/>
        <v>65.304174225571771</v>
      </c>
      <c r="AA32">
        <f t="shared" si="16"/>
        <v>2.8339484105668999</v>
      </c>
      <c r="AB32">
        <f t="shared" si="17"/>
        <v>4.3396129637562808</v>
      </c>
      <c r="AC32">
        <f t="shared" si="18"/>
        <v>1.4283370819991195</v>
      </c>
      <c r="AD32">
        <f t="shared" si="19"/>
        <v>-198.19808275080118</v>
      </c>
      <c r="AE32">
        <f t="shared" si="20"/>
        <v>49.165790988545162</v>
      </c>
      <c r="AF32">
        <f t="shared" si="21"/>
        <v>3.7629591578600254</v>
      </c>
      <c r="AG32">
        <f t="shared" si="22"/>
        <v>199.11146603982667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51719.490038658747</v>
      </c>
      <c r="AM32" t="s">
        <v>416</v>
      </c>
      <c r="AN32">
        <v>10366.9</v>
      </c>
      <c r="AO32">
        <v>993.59653846153856</v>
      </c>
      <c r="AP32">
        <v>3431.87</v>
      </c>
      <c r="AQ32">
        <f t="shared" si="26"/>
        <v>0.71047955241266758</v>
      </c>
      <c r="AR32">
        <v>-3.9894345373445681</v>
      </c>
      <c r="AS32" t="s">
        <v>499</v>
      </c>
      <c r="AT32">
        <v>10449.5</v>
      </c>
      <c r="AU32">
        <v>778.05667999999991</v>
      </c>
      <c r="AV32">
        <v>1043.7744715103099</v>
      </c>
      <c r="AW32">
        <f t="shared" si="27"/>
        <v>0.25457395133052496</v>
      </c>
      <c r="AX32">
        <v>0.5</v>
      </c>
      <c r="AY32">
        <f t="shared" si="28"/>
        <v>1513.235099322111</v>
      </c>
      <c r="AZ32">
        <f t="shared" si="29"/>
        <v>31.971833617548334</v>
      </c>
      <c r="BA32">
        <f t="shared" si="30"/>
        <v>192.61511926323459</v>
      </c>
      <c r="BB32">
        <f t="shared" si="31"/>
        <v>2.3764495134300411E-2</v>
      </c>
      <c r="BC32">
        <f t="shared" si="32"/>
        <v>2.2879420733812244</v>
      </c>
      <c r="BD32">
        <f t="shared" si="33"/>
        <v>597.68584245269324</v>
      </c>
      <c r="BE32" t="s">
        <v>500</v>
      </c>
      <c r="BF32">
        <v>596.41</v>
      </c>
      <c r="BG32">
        <f t="shared" si="34"/>
        <v>596.41</v>
      </c>
      <c r="BH32">
        <f t="shared" si="35"/>
        <v>0.42860261840183456</v>
      </c>
      <c r="BI32">
        <f t="shared" si="36"/>
        <v>0.59396266005041098</v>
      </c>
      <c r="BJ32">
        <f t="shared" si="37"/>
        <v>0.84222508111195005</v>
      </c>
      <c r="BK32">
        <f t="shared" si="38"/>
        <v>5.2955109022135431</v>
      </c>
      <c r="BL32">
        <f t="shared" si="39"/>
        <v>0.97942071148282472</v>
      </c>
      <c r="BM32">
        <f t="shared" si="40"/>
        <v>0.45529494082701744</v>
      </c>
      <c r="BN32">
        <f t="shared" si="41"/>
        <v>0.54470505917298251</v>
      </c>
      <c r="BO32">
        <v>7578</v>
      </c>
      <c r="BP32">
        <v>290.00000000000011</v>
      </c>
      <c r="BQ32">
        <v>970.96</v>
      </c>
      <c r="BR32">
        <v>295</v>
      </c>
      <c r="BS32">
        <v>10449.5</v>
      </c>
      <c r="BT32">
        <v>970.16</v>
      </c>
      <c r="BU32">
        <v>0.8</v>
      </c>
      <c r="BV32">
        <v>300.00000000000011</v>
      </c>
      <c r="BW32">
        <v>38.200000000000003</v>
      </c>
      <c r="BX32">
        <v>1043.7744715103099</v>
      </c>
      <c r="BY32">
        <v>1.1909828097149029</v>
      </c>
      <c r="BZ32">
        <v>-76.919660032366579</v>
      </c>
      <c r="CA32">
        <v>1.020130110384154</v>
      </c>
      <c r="CB32">
        <v>0.99509926906170321</v>
      </c>
      <c r="CC32">
        <v>-1.1361731034482771E-2</v>
      </c>
      <c r="CD32">
        <v>289.99999999999989</v>
      </c>
      <c r="CE32">
        <v>965.74</v>
      </c>
      <c r="CF32">
        <v>685</v>
      </c>
      <c r="CG32">
        <v>10439.200000000001</v>
      </c>
      <c r="CH32">
        <v>970.09</v>
      </c>
      <c r="CI32">
        <v>-4.3499999999999996</v>
      </c>
      <c r="CW32">
        <f t="shared" si="42"/>
        <v>1800.06</v>
      </c>
      <c r="CX32">
        <f t="shared" si="43"/>
        <v>1513.235099322111</v>
      </c>
      <c r="CY32">
        <f t="shared" si="44"/>
        <v>0.84065814435191666</v>
      </c>
      <c r="CZ32">
        <f t="shared" si="45"/>
        <v>0.19131628870383358</v>
      </c>
      <c r="DA32">
        <v>6</v>
      </c>
      <c r="DB32">
        <v>0.5</v>
      </c>
      <c r="DC32" t="s">
        <v>419</v>
      </c>
      <c r="DD32">
        <v>2</v>
      </c>
      <c r="DE32">
        <v>1693326108.5999999</v>
      </c>
      <c r="DF32">
        <v>260.15600000000001</v>
      </c>
      <c r="DG32">
        <v>299.93599999999998</v>
      </c>
      <c r="DH32">
        <v>28.565899999999999</v>
      </c>
      <c r="DI32">
        <v>23.325399999999998</v>
      </c>
      <c r="DJ32">
        <v>258.83100000000002</v>
      </c>
      <c r="DK32">
        <v>28.296299999999999</v>
      </c>
      <c r="DL32">
        <v>499.86500000000001</v>
      </c>
      <c r="DM32">
        <v>99.107299999999995</v>
      </c>
      <c r="DN32">
        <v>0.100091</v>
      </c>
      <c r="DO32">
        <v>30.320900000000002</v>
      </c>
      <c r="DP32">
        <v>30.0075</v>
      </c>
      <c r="DQ32">
        <v>999.9</v>
      </c>
      <c r="DR32">
        <v>0</v>
      </c>
      <c r="DS32">
        <v>0</v>
      </c>
      <c r="DT32">
        <v>9977.5</v>
      </c>
      <c r="DU32">
        <v>0</v>
      </c>
      <c r="DV32">
        <v>1673.45</v>
      </c>
      <c r="DW32">
        <v>-39.779699999999998</v>
      </c>
      <c r="DX32">
        <v>267.80599999999998</v>
      </c>
      <c r="DY32">
        <v>307.09899999999999</v>
      </c>
      <c r="DZ32">
        <v>5.2405200000000001</v>
      </c>
      <c r="EA32">
        <v>299.93599999999998</v>
      </c>
      <c r="EB32">
        <v>23.325399999999998</v>
      </c>
      <c r="EC32">
        <v>2.8310900000000001</v>
      </c>
      <c r="ED32">
        <v>2.3117200000000002</v>
      </c>
      <c r="EE32">
        <v>23.066500000000001</v>
      </c>
      <c r="EF32">
        <v>19.758299999999998</v>
      </c>
      <c r="EG32">
        <v>1800.06</v>
      </c>
      <c r="EH32">
        <v>0.97800299999999996</v>
      </c>
      <c r="EI32">
        <v>2.1996499999999999E-2</v>
      </c>
      <c r="EJ32">
        <v>0</v>
      </c>
      <c r="EK32">
        <v>777.04700000000003</v>
      </c>
      <c r="EL32">
        <v>5.0010300000000001</v>
      </c>
      <c r="EM32">
        <v>15023.3</v>
      </c>
      <c r="EN32">
        <v>14701.6</v>
      </c>
      <c r="EO32">
        <v>46.811999999999998</v>
      </c>
      <c r="EP32">
        <v>49.311999999999998</v>
      </c>
      <c r="EQ32">
        <v>48.436999999999998</v>
      </c>
      <c r="ER32">
        <v>47.686999999999998</v>
      </c>
      <c r="ES32">
        <v>48.5</v>
      </c>
      <c r="ET32">
        <v>1755.57</v>
      </c>
      <c r="EU32">
        <v>39.49</v>
      </c>
      <c r="EV32">
        <v>0</v>
      </c>
      <c r="EW32">
        <v>99.200000047683716</v>
      </c>
      <c r="EX32">
        <v>0</v>
      </c>
      <c r="EY32">
        <v>778.05667999999991</v>
      </c>
      <c r="EZ32">
        <v>-8.0127692263319634</v>
      </c>
      <c r="FA32">
        <v>-116.330769035431</v>
      </c>
      <c r="FB32">
        <v>15031.691999999999</v>
      </c>
      <c r="FC32">
        <v>15</v>
      </c>
      <c r="FD32">
        <v>1693326080.0999999</v>
      </c>
      <c r="FE32" t="s">
        <v>501</v>
      </c>
      <c r="FF32">
        <v>1693326080.0999999</v>
      </c>
      <c r="FG32">
        <v>1693326076.5999999</v>
      </c>
      <c r="FH32">
        <v>19</v>
      </c>
      <c r="FI32">
        <v>-5.0999999999999997E-2</v>
      </c>
      <c r="FJ32">
        <v>1E-3</v>
      </c>
      <c r="FK32">
        <v>1.37</v>
      </c>
      <c r="FL32">
        <v>0.14299999999999999</v>
      </c>
      <c r="FM32">
        <v>300</v>
      </c>
      <c r="FN32">
        <v>23</v>
      </c>
      <c r="FO32">
        <v>0.19</v>
      </c>
      <c r="FP32">
        <v>0.05</v>
      </c>
      <c r="FQ32">
        <v>32.064553071840031</v>
      </c>
      <c r="FR32">
        <v>-0.26524259240633707</v>
      </c>
      <c r="FS32">
        <v>9.5540589510043405E-2</v>
      </c>
      <c r="FT32">
        <v>1</v>
      </c>
      <c r="FU32">
        <v>0.32107308935533407</v>
      </c>
      <c r="FV32">
        <v>2.456987152224157E-2</v>
      </c>
      <c r="FW32">
        <v>3.6090618871506821E-3</v>
      </c>
      <c r="FX32">
        <v>1</v>
      </c>
      <c r="FY32">
        <v>2</v>
      </c>
      <c r="FZ32">
        <v>2</v>
      </c>
      <c r="GA32" t="s">
        <v>421</v>
      </c>
      <c r="GB32">
        <v>2.8997999999999999</v>
      </c>
      <c r="GC32">
        <v>2.8178999999999998</v>
      </c>
      <c r="GD32">
        <v>6.3704999999999998E-2</v>
      </c>
      <c r="GE32">
        <v>7.2002200000000002E-2</v>
      </c>
      <c r="GF32">
        <v>0.133933</v>
      </c>
      <c r="GG32">
        <v>0.116386</v>
      </c>
      <c r="GH32">
        <v>25976.6</v>
      </c>
      <c r="GI32">
        <v>25877.8</v>
      </c>
      <c r="GJ32">
        <v>24616.400000000001</v>
      </c>
      <c r="GK32">
        <v>24904.3</v>
      </c>
      <c r="GL32">
        <v>28331.599999999999</v>
      </c>
      <c r="GM32">
        <v>28812.6</v>
      </c>
      <c r="GN32">
        <v>33303.599999999999</v>
      </c>
      <c r="GO32">
        <v>33305.300000000003</v>
      </c>
      <c r="GP32">
        <v>1.9565999999999999</v>
      </c>
      <c r="GQ32">
        <v>1.8365</v>
      </c>
      <c r="GR32">
        <v>1.5467399999999999E-2</v>
      </c>
      <c r="GS32">
        <v>0</v>
      </c>
      <c r="GT32">
        <v>29.755700000000001</v>
      </c>
      <c r="GU32">
        <v>999.9</v>
      </c>
      <c r="GV32">
        <v>53.5</v>
      </c>
      <c r="GW32">
        <v>34.799999999999997</v>
      </c>
      <c r="GX32">
        <v>30.155799999999999</v>
      </c>
      <c r="GY32">
        <v>62.128900000000002</v>
      </c>
      <c r="GZ32">
        <v>26.234000000000002</v>
      </c>
      <c r="HA32">
        <v>1</v>
      </c>
      <c r="HB32">
        <v>0.46623999999999999</v>
      </c>
      <c r="HC32">
        <v>2.4718</v>
      </c>
      <c r="HD32">
        <v>20.1493</v>
      </c>
      <c r="HE32">
        <v>5.2328599999999996</v>
      </c>
      <c r="HF32">
        <v>11.9201</v>
      </c>
      <c r="HG32">
        <v>4.9598000000000004</v>
      </c>
      <c r="HH32">
        <v>3.2890000000000001</v>
      </c>
      <c r="HI32">
        <v>9999</v>
      </c>
      <c r="HJ32">
        <v>9999</v>
      </c>
      <c r="HK32">
        <v>9999</v>
      </c>
      <c r="HL32">
        <v>876.5</v>
      </c>
      <c r="HM32">
        <v>1.8811</v>
      </c>
      <c r="HN32">
        <v>1.87822</v>
      </c>
      <c r="HO32">
        <v>1.8861699999999999</v>
      </c>
      <c r="HP32">
        <v>1.8839699999999999</v>
      </c>
      <c r="HQ32">
        <v>1.8814599999999999</v>
      </c>
      <c r="HR32">
        <v>1.88052</v>
      </c>
      <c r="HS32">
        <v>1.88171</v>
      </c>
      <c r="HT32">
        <v>1.8811199999999999</v>
      </c>
      <c r="HU32">
        <v>5</v>
      </c>
      <c r="HV32">
        <v>0</v>
      </c>
      <c r="HW32">
        <v>0</v>
      </c>
      <c r="HX32">
        <v>0</v>
      </c>
      <c r="HY32" t="s">
        <v>422</v>
      </c>
      <c r="HZ32" t="s">
        <v>423</v>
      </c>
      <c r="IA32" t="s">
        <v>424</v>
      </c>
      <c r="IB32" t="s">
        <v>424</v>
      </c>
      <c r="IC32" t="s">
        <v>424</v>
      </c>
      <c r="ID32" t="s">
        <v>424</v>
      </c>
      <c r="IE32">
        <v>0</v>
      </c>
      <c r="IF32">
        <v>100</v>
      </c>
      <c r="IG32">
        <v>100</v>
      </c>
      <c r="IH32">
        <v>1.325</v>
      </c>
      <c r="II32">
        <v>0.26960000000000001</v>
      </c>
      <c r="IJ32">
        <v>0.89221222872530381</v>
      </c>
      <c r="IK32">
        <v>2.2153513873161218E-3</v>
      </c>
      <c r="IL32">
        <v>-2.2967369670569612E-6</v>
      </c>
      <c r="IM32">
        <v>7.7859689150384122E-10</v>
      </c>
      <c r="IN32">
        <v>-0.1166170419661771</v>
      </c>
      <c r="IO32">
        <v>-4.1434251034592161E-3</v>
      </c>
      <c r="IP32">
        <v>8.3987709687394815E-4</v>
      </c>
      <c r="IQ32">
        <v>-7.4586254598011197E-6</v>
      </c>
      <c r="IR32">
        <v>2</v>
      </c>
      <c r="IS32">
        <v>1930</v>
      </c>
      <c r="IT32">
        <v>2</v>
      </c>
      <c r="IU32">
        <v>41</v>
      </c>
      <c r="IV32">
        <v>0.5</v>
      </c>
      <c r="IW32">
        <v>0.5</v>
      </c>
      <c r="IX32">
        <v>0.78613299999999997</v>
      </c>
      <c r="IY32">
        <v>2.49634</v>
      </c>
      <c r="IZ32">
        <v>1.24512</v>
      </c>
      <c r="JA32">
        <v>2.2680699999999998</v>
      </c>
      <c r="JB32">
        <v>1.4501999999999999</v>
      </c>
      <c r="JC32">
        <v>2.2668499999999998</v>
      </c>
      <c r="JD32">
        <v>39.0931</v>
      </c>
      <c r="JE32">
        <v>23.947399999999998</v>
      </c>
      <c r="JF32">
        <v>18</v>
      </c>
      <c r="JG32">
        <v>495.82499999999999</v>
      </c>
      <c r="JH32">
        <v>463.976</v>
      </c>
      <c r="JI32">
        <v>25.943100000000001</v>
      </c>
      <c r="JJ32">
        <v>33.180700000000002</v>
      </c>
      <c r="JK32">
        <v>30.000399999999999</v>
      </c>
      <c r="JL32">
        <v>33.0807</v>
      </c>
      <c r="JM32">
        <v>33.047800000000002</v>
      </c>
      <c r="JN32">
        <v>15.817</v>
      </c>
      <c r="JO32">
        <v>30.210100000000001</v>
      </c>
      <c r="JP32">
        <v>1.8968700000000001</v>
      </c>
      <c r="JQ32">
        <v>25.941299999999998</v>
      </c>
      <c r="JR32">
        <v>300</v>
      </c>
      <c r="JS32">
        <v>23.275600000000001</v>
      </c>
      <c r="JT32">
        <v>99.380700000000004</v>
      </c>
      <c r="JU32">
        <v>99.346999999999994</v>
      </c>
    </row>
    <row r="33" spans="1:281" x14ac:dyDescent="0.25">
      <c r="A33">
        <v>17</v>
      </c>
      <c r="B33">
        <v>1693326218.5999999</v>
      </c>
      <c r="C33">
        <v>3505.5</v>
      </c>
      <c r="D33" t="s">
        <v>502</v>
      </c>
      <c r="E33" t="s">
        <v>503</v>
      </c>
      <c r="F33" t="s">
        <v>413</v>
      </c>
      <c r="G33" t="s">
        <v>493</v>
      </c>
      <c r="H33" t="s">
        <v>415</v>
      </c>
      <c r="I33" t="s">
        <v>415</v>
      </c>
      <c r="J33">
        <v>1693326218.5999999</v>
      </c>
      <c r="K33">
        <f t="shared" si="0"/>
        <v>4.6226085648237514E-3</v>
      </c>
      <c r="L33">
        <f t="shared" si="1"/>
        <v>4.6226085648237518</v>
      </c>
      <c r="M33">
        <f t="shared" si="2"/>
        <v>21.751060159438513</v>
      </c>
      <c r="N33">
        <f t="shared" si="3"/>
        <v>172.95099999999999</v>
      </c>
      <c r="O33">
        <f t="shared" si="4"/>
        <v>60.232963665082764</v>
      </c>
      <c r="P33">
        <f t="shared" si="5"/>
        <v>5.9755501118184151</v>
      </c>
      <c r="Q33">
        <f t="shared" si="6"/>
        <v>17.158002935661901</v>
      </c>
      <c r="R33">
        <f t="shared" si="7"/>
        <v>0.3334879678807659</v>
      </c>
      <c r="S33">
        <f t="shared" si="8"/>
        <v>2.9251973297078737</v>
      </c>
      <c r="T33">
        <f t="shared" si="9"/>
        <v>0.31371429556377095</v>
      </c>
      <c r="U33">
        <f t="shared" si="10"/>
        <v>0.19775024457503351</v>
      </c>
      <c r="V33">
        <f t="shared" si="11"/>
        <v>344.40109864464881</v>
      </c>
      <c r="W33">
        <f t="shared" si="12"/>
        <v>31.090684809456764</v>
      </c>
      <c r="X33">
        <f t="shared" si="13"/>
        <v>29.899699999999999</v>
      </c>
      <c r="Y33">
        <f t="shared" si="14"/>
        <v>4.2359662149187454</v>
      </c>
      <c r="Z33">
        <f t="shared" si="15"/>
        <v>65.342868805377194</v>
      </c>
      <c r="AA33">
        <f t="shared" si="16"/>
        <v>2.8261681553137499</v>
      </c>
      <c r="AB33">
        <f t="shared" si="17"/>
        <v>4.3251363262477067</v>
      </c>
      <c r="AC33">
        <f t="shared" si="18"/>
        <v>1.4097980596049955</v>
      </c>
      <c r="AD33">
        <f t="shared" si="19"/>
        <v>-203.85703770872743</v>
      </c>
      <c r="AE33">
        <f t="shared" si="20"/>
        <v>57.230505229589596</v>
      </c>
      <c r="AF33">
        <f t="shared" si="21"/>
        <v>4.3537205963638774</v>
      </c>
      <c r="AG33">
        <f t="shared" si="22"/>
        <v>202.12828676187485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52164.550378615328</v>
      </c>
      <c r="AM33" t="s">
        <v>416</v>
      </c>
      <c r="AN33">
        <v>10366.9</v>
      </c>
      <c r="AO33">
        <v>993.59653846153856</v>
      </c>
      <c r="AP33">
        <v>3431.87</v>
      </c>
      <c r="AQ33">
        <f t="shared" si="26"/>
        <v>0.71047955241266758</v>
      </c>
      <c r="AR33">
        <v>-3.9894345373445681</v>
      </c>
      <c r="AS33" t="s">
        <v>504</v>
      </c>
      <c r="AT33">
        <v>10447</v>
      </c>
      <c r="AU33">
        <v>772.78264000000013</v>
      </c>
      <c r="AV33">
        <v>959.6559188538713</v>
      </c>
      <c r="AW33">
        <f t="shared" si="27"/>
        <v>0.19472945998921798</v>
      </c>
      <c r="AX33">
        <v>0.5</v>
      </c>
      <c r="AY33">
        <f t="shared" si="28"/>
        <v>1513.3271993223245</v>
      </c>
      <c r="AZ33">
        <f t="shared" si="29"/>
        <v>21.751060159438513</v>
      </c>
      <c r="BA33">
        <f t="shared" si="30"/>
        <v>147.34469415551595</v>
      </c>
      <c r="BB33">
        <f t="shared" si="31"/>
        <v>1.700920640844214E-2</v>
      </c>
      <c r="BC33">
        <f t="shared" si="32"/>
        <v>2.5761463380528347</v>
      </c>
      <c r="BD33">
        <f t="shared" si="33"/>
        <v>569.12004042546141</v>
      </c>
      <c r="BE33" t="s">
        <v>505</v>
      </c>
      <c r="BF33">
        <v>587.85</v>
      </c>
      <c r="BG33">
        <f t="shared" si="34"/>
        <v>587.85</v>
      </c>
      <c r="BH33">
        <f t="shared" si="35"/>
        <v>0.38743669637126144</v>
      </c>
      <c r="BI33">
        <f t="shared" si="36"/>
        <v>0.50260974712271023</v>
      </c>
      <c r="BJ33">
        <f t="shared" si="37"/>
        <v>0.86926747390880821</v>
      </c>
      <c r="BK33">
        <f t="shared" si="38"/>
        <v>-5.5058888439283562</v>
      </c>
      <c r="BL33">
        <f t="shared" si="39"/>
        <v>1.0139199397208924</v>
      </c>
      <c r="BM33">
        <f t="shared" si="40"/>
        <v>0.38233149213352563</v>
      </c>
      <c r="BN33">
        <f t="shared" si="41"/>
        <v>0.61766850786647431</v>
      </c>
      <c r="BO33">
        <v>7580</v>
      </c>
      <c r="BP33">
        <v>290.00000000000011</v>
      </c>
      <c r="BQ33">
        <v>911.41</v>
      </c>
      <c r="BR33">
        <v>285</v>
      </c>
      <c r="BS33">
        <v>10447</v>
      </c>
      <c r="BT33">
        <v>910.23</v>
      </c>
      <c r="BU33">
        <v>1.18</v>
      </c>
      <c r="BV33">
        <v>300.00000000000011</v>
      </c>
      <c r="BW33">
        <v>38.200000000000003</v>
      </c>
      <c r="BX33">
        <v>959.6559188538713</v>
      </c>
      <c r="BY33">
        <v>1.231788091360998</v>
      </c>
      <c r="BZ33">
        <v>-51.63671564818727</v>
      </c>
      <c r="CA33">
        <v>1.054830030137786</v>
      </c>
      <c r="CB33">
        <v>0.98845056514297991</v>
      </c>
      <c r="CC33">
        <v>-1.135873793103449E-2</v>
      </c>
      <c r="CD33">
        <v>289.99999999999989</v>
      </c>
      <c r="CE33">
        <v>909.42</v>
      </c>
      <c r="CF33">
        <v>685</v>
      </c>
      <c r="CG33">
        <v>10436.700000000001</v>
      </c>
      <c r="CH33">
        <v>910.18</v>
      </c>
      <c r="CI33">
        <v>-0.76</v>
      </c>
      <c r="CW33">
        <f t="shared" si="42"/>
        <v>1800.17</v>
      </c>
      <c r="CX33">
        <f t="shared" si="43"/>
        <v>1513.3271993223245</v>
      </c>
      <c r="CY33">
        <f t="shared" si="44"/>
        <v>0.84065793748497331</v>
      </c>
      <c r="CZ33">
        <f t="shared" si="45"/>
        <v>0.19131587496994662</v>
      </c>
      <c r="DA33">
        <v>6</v>
      </c>
      <c r="DB33">
        <v>0.5</v>
      </c>
      <c r="DC33" t="s">
        <v>419</v>
      </c>
      <c r="DD33">
        <v>2</v>
      </c>
      <c r="DE33">
        <v>1693326218.5999999</v>
      </c>
      <c r="DF33">
        <v>172.95099999999999</v>
      </c>
      <c r="DG33">
        <v>199.983</v>
      </c>
      <c r="DH33">
        <v>28.487500000000001</v>
      </c>
      <c r="DI33">
        <v>23.104099999999999</v>
      </c>
      <c r="DJ33">
        <v>171.9</v>
      </c>
      <c r="DK33">
        <v>28.222899999999999</v>
      </c>
      <c r="DL33">
        <v>500.53</v>
      </c>
      <c r="DM33">
        <v>99.107900000000001</v>
      </c>
      <c r="DN33">
        <v>9.9406900000000006E-2</v>
      </c>
      <c r="DO33">
        <v>30.262599999999999</v>
      </c>
      <c r="DP33">
        <v>29.899699999999999</v>
      </c>
      <c r="DQ33">
        <v>999.9</v>
      </c>
      <c r="DR33">
        <v>0</v>
      </c>
      <c r="DS33">
        <v>0</v>
      </c>
      <c r="DT33">
        <v>10065</v>
      </c>
      <c r="DU33">
        <v>0</v>
      </c>
      <c r="DV33">
        <v>1696.31</v>
      </c>
      <c r="DW33">
        <v>-27.032</v>
      </c>
      <c r="DX33">
        <v>178.02199999999999</v>
      </c>
      <c r="DY33">
        <v>204.71299999999999</v>
      </c>
      <c r="DZ33">
        <v>5.3834200000000001</v>
      </c>
      <c r="EA33">
        <v>199.983</v>
      </c>
      <c r="EB33">
        <v>23.104099999999999</v>
      </c>
      <c r="EC33">
        <v>2.8233299999999999</v>
      </c>
      <c r="ED33">
        <v>2.28979</v>
      </c>
      <c r="EE33">
        <v>23.021100000000001</v>
      </c>
      <c r="EF33">
        <v>19.604800000000001</v>
      </c>
      <c r="EG33">
        <v>1800.17</v>
      </c>
      <c r="EH33">
        <v>0.97800699999999996</v>
      </c>
      <c r="EI33">
        <v>2.1992899999999999E-2</v>
      </c>
      <c r="EJ33">
        <v>0</v>
      </c>
      <c r="EK33">
        <v>773.02599999999995</v>
      </c>
      <c r="EL33">
        <v>5.0010300000000001</v>
      </c>
      <c r="EM33">
        <v>14959.7</v>
      </c>
      <c r="EN33">
        <v>14702.5</v>
      </c>
      <c r="EO33">
        <v>47</v>
      </c>
      <c r="EP33">
        <v>49.5</v>
      </c>
      <c r="EQ33">
        <v>48.75</v>
      </c>
      <c r="ER33">
        <v>47.686999999999998</v>
      </c>
      <c r="ES33">
        <v>48.686999999999998</v>
      </c>
      <c r="ET33">
        <v>1755.69</v>
      </c>
      <c r="EU33">
        <v>39.479999999999997</v>
      </c>
      <c r="EV33">
        <v>0</v>
      </c>
      <c r="EW33">
        <v>108.19999980926509</v>
      </c>
      <c r="EX33">
        <v>0</v>
      </c>
      <c r="EY33">
        <v>772.78264000000013</v>
      </c>
      <c r="EZ33">
        <v>-1.0730000163011939</v>
      </c>
      <c r="FA33">
        <v>-3.1307692843847699</v>
      </c>
      <c r="FB33">
        <v>14958.768</v>
      </c>
      <c r="FC33">
        <v>15</v>
      </c>
      <c r="FD33">
        <v>1693326190.5999999</v>
      </c>
      <c r="FE33" t="s">
        <v>506</v>
      </c>
      <c r="FF33">
        <v>1693326186.5999999</v>
      </c>
      <c r="FG33">
        <v>1693326190.5999999</v>
      </c>
      <c r="FH33">
        <v>20</v>
      </c>
      <c r="FI33">
        <v>-0.159</v>
      </c>
      <c r="FJ33">
        <v>-3.0000000000000001E-3</v>
      </c>
      <c r="FK33">
        <v>1.089</v>
      </c>
      <c r="FL33">
        <v>0.13700000000000001</v>
      </c>
      <c r="FM33">
        <v>200</v>
      </c>
      <c r="FN33">
        <v>23</v>
      </c>
      <c r="FO33">
        <v>0.2</v>
      </c>
      <c r="FP33">
        <v>7.0000000000000007E-2</v>
      </c>
      <c r="FQ33">
        <v>21.799792600305199</v>
      </c>
      <c r="FR33">
        <v>-0.18648786013208529</v>
      </c>
      <c r="FS33">
        <v>6.7576218217913819E-2</v>
      </c>
      <c r="FT33">
        <v>1</v>
      </c>
      <c r="FU33">
        <v>0.33279552235699461</v>
      </c>
      <c r="FV33">
        <v>3.6756612814472338E-2</v>
      </c>
      <c r="FW33">
        <v>3.6583943482859801E-3</v>
      </c>
      <c r="FX33">
        <v>1</v>
      </c>
      <c r="FY33">
        <v>2</v>
      </c>
      <c r="FZ33">
        <v>2</v>
      </c>
      <c r="GA33" t="s">
        <v>421</v>
      </c>
      <c r="GB33">
        <v>2.9016099999999998</v>
      </c>
      <c r="GC33">
        <v>2.8179799999999999</v>
      </c>
      <c r="GD33">
        <v>4.4539599999999999E-2</v>
      </c>
      <c r="GE33">
        <v>5.1016699999999998E-2</v>
      </c>
      <c r="GF33">
        <v>0.13370199999999999</v>
      </c>
      <c r="GG33">
        <v>0.11563</v>
      </c>
      <c r="GH33">
        <v>26507.8</v>
      </c>
      <c r="GI33">
        <v>26462.799999999999</v>
      </c>
      <c r="GJ33">
        <v>24616.400000000001</v>
      </c>
      <c r="GK33">
        <v>24904.6</v>
      </c>
      <c r="GL33">
        <v>28338.6</v>
      </c>
      <c r="GM33">
        <v>28837.5</v>
      </c>
      <c r="GN33">
        <v>33303.1</v>
      </c>
      <c r="GO33">
        <v>33305.5</v>
      </c>
      <c r="GP33">
        <v>1.9563999999999999</v>
      </c>
      <c r="GQ33">
        <v>1.8347</v>
      </c>
      <c r="GR33">
        <v>2.4169699999999999E-2</v>
      </c>
      <c r="GS33">
        <v>0</v>
      </c>
      <c r="GT33">
        <v>29.5062</v>
      </c>
      <c r="GU33">
        <v>999.9</v>
      </c>
      <c r="GV33">
        <v>53.3</v>
      </c>
      <c r="GW33">
        <v>34.9</v>
      </c>
      <c r="GX33">
        <v>30.208100000000002</v>
      </c>
      <c r="GY33">
        <v>61.748899999999999</v>
      </c>
      <c r="GZ33">
        <v>25.520800000000001</v>
      </c>
      <c r="HA33">
        <v>1</v>
      </c>
      <c r="HB33">
        <v>0.46463399999999999</v>
      </c>
      <c r="HC33">
        <v>1.9875499999999999</v>
      </c>
      <c r="HD33">
        <v>20.1557</v>
      </c>
      <c r="HE33">
        <v>5.2352600000000002</v>
      </c>
      <c r="HF33">
        <v>11.9201</v>
      </c>
      <c r="HG33">
        <v>4.9610000000000003</v>
      </c>
      <c r="HH33">
        <v>3.2890000000000001</v>
      </c>
      <c r="HI33">
        <v>9999</v>
      </c>
      <c r="HJ33">
        <v>9999</v>
      </c>
      <c r="HK33">
        <v>9999</v>
      </c>
      <c r="HL33">
        <v>876.5</v>
      </c>
      <c r="HM33">
        <v>1.8811</v>
      </c>
      <c r="HN33">
        <v>1.87822</v>
      </c>
      <c r="HO33">
        <v>1.8861399999999999</v>
      </c>
      <c r="HP33">
        <v>1.8839699999999999</v>
      </c>
      <c r="HQ33">
        <v>1.8814599999999999</v>
      </c>
      <c r="HR33">
        <v>1.88052</v>
      </c>
      <c r="HS33">
        <v>1.88171</v>
      </c>
      <c r="HT33">
        <v>1.8811</v>
      </c>
      <c r="HU33">
        <v>5</v>
      </c>
      <c r="HV33">
        <v>0</v>
      </c>
      <c r="HW33">
        <v>0</v>
      </c>
      <c r="HX33">
        <v>0</v>
      </c>
      <c r="HY33" t="s">
        <v>422</v>
      </c>
      <c r="HZ33" t="s">
        <v>423</v>
      </c>
      <c r="IA33" t="s">
        <v>424</v>
      </c>
      <c r="IB33" t="s">
        <v>424</v>
      </c>
      <c r="IC33" t="s">
        <v>424</v>
      </c>
      <c r="ID33" t="s">
        <v>424</v>
      </c>
      <c r="IE33">
        <v>0</v>
      </c>
      <c r="IF33">
        <v>100</v>
      </c>
      <c r="IG33">
        <v>100</v>
      </c>
      <c r="IH33">
        <v>1.0509999999999999</v>
      </c>
      <c r="II33">
        <v>0.2646</v>
      </c>
      <c r="IJ33">
        <v>0.73352968047097145</v>
      </c>
      <c r="IK33">
        <v>2.2153513873161218E-3</v>
      </c>
      <c r="IL33">
        <v>-2.2967369670569612E-6</v>
      </c>
      <c r="IM33">
        <v>7.7859689150384122E-10</v>
      </c>
      <c r="IN33">
        <v>-0.1198092380952422</v>
      </c>
      <c r="IO33">
        <v>-4.1434251034592161E-3</v>
      </c>
      <c r="IP33">
        <v>8.3987709687394815E-4</v>
      </c>
      <c r="IQ33">
        <v>-7.4586254598011197E-6</v>
      </c>
      <c r="IR33">
        <v>2</v>
      </c>
      <c r="IS33">
        <v>1930</v>
      </c>
      <c r="IT33">
        <v>2</v>
      </c>
      <c r="IU33">
        <v>41</v>
      </c>
      <c r="IV33">
        <v>0.5</v>
      </c>
      <c r="IW33">
        <v>0.5</v>
      </c>
      <c r="IX33">
        <v>0.57739300000000005</v>
      </c>
      <c r="IY33">
        <v>2.50732</v>
      </c>
      <c r="IZ33">
        <v>1.24512</v>
      </c>
      <c r="JA33">
        <v>2.2680699999999998</v>
      </c>
      <c r="JB33">
        <v>1.4501999999999999</v>
      </c>
      <c r="JC33">
        <v>2.2741699999999998</v>
      </c>
      <c r="JD33">
        <v>39.1676</v>
      </c>
      <c r="JE33">
        <v>23.956199999999999</v>
      </c>
      <c r="JF33">
        <v>18</v>
      </c>
      <c r="JG33">
        <v>495.54399999999998</v>
      </c>
      <c r="JH33">
        <v>462.56099999999998</v>
      </c>
      <c r="JI33">
        <v>26.4636</v>
      </c>
      <c r="JJ33">
        <v>33.148699999999998</v>
      </c>
      <c r="JK33">
        <v>29.9984</v>
      </c>
      <c r="JL33">
        <v>33.062899999999999</v>
      </c>
      <c r="JM33">
        <v>33.027099999999997</v>
      </c>
      <c r="JN33">
        <v>11.651300000000001</v>
      </c>
      <c r="JO33">
        <v>30.930700000000002</v>
      </c>
      <c r="JP33">
        <v>0.22615299999999999</v>
      </c>
      <c r="JQ33">
        <v>26.5594</v>
      </c>
      <c r="JR33">
        <v>200</v>
      </c>
      <c r="JS33">
        <v>23.159400000000002</v>
      </c>
      <c r="JT33">
        <v>99.379800000000003</v>
      </c>
      <c r="JU33">
        <v>99.347800000000007</v>
      </c>
    </row>
    <row r="34" spans="1:281" x14ac:dyDescent="0.25">
      <c r="A34">
        <v>18</v>
      </c>
      <c r="B34">
        <v>1693326319.5999999</v>
      </c>
      <c r="C34">
        <v>3606.5</v>
      </c>
      <c r="D34" t="s">
        <v>507</v>
      </c>
      <c r="E34" t="s">
        <v>508</v>
      </c>
      <c r="F34" t="s">
        <v>413</v>
      </c>
      <c r="G34" t="s">
        <v>493</v>
      </c>
      <c r="H34" t="s">
        <v>415</v>
      </c>
      <c r="I34" t="s">
        <v>415</v>
      </c>
      <c r="J34">
        <v>1693326319.5999999</v>
      </c>
      <c r="K34">
        <f t="shared" si="0"/>
        <v>4.778323382283991E-3</v>
      </c>
      <c r="L34">
        <f t="shared" si="1"/>
        <v>4.7783233822839914</v>
      </c>
      <c r="M34">
        <f t="shared" si="2"/>
        <v>13.467466573261834</v>
      </c>
      <c r="N34">
        <f t="shared" si="3"/>
        <v>103.33199999999999</v>
      </c>
      <c r="O34">
        <f t="shared" si="4"/>
        <v>36.203057968700939</v>
      </c>
      <c r="P34">
        <f t="shared" si="5"/>
        <v>3.5915844266581467</v>
      </c>
      <c r="Q34">
        <f t="shared" si="6"/>
        <v>10.251222487788</v>
      </c>
      <c r="R34">
        <f t="shared" si="7"/>
        <v>0.3474703957521163</v>
      </c>
      <c r="S34">
        <f t="shared" si="8"/>
        <v>2.9212830156394216</v>
      </c>
      <c r="T34">
        <f t="shared" si="9"/>
        <v>0.3260341521255864</v>
      </c>
      <c r="U34">
        <f t="shared" si="10"/>
        <v>0.20558700868393331</v>
      </c>
      <c r="V34">
        <f t="shared" si="11"/>
        <v>344.34351180244118</v>
      </c>
      <c r="W34">
        <f t="shared" si="12"/>
        <v>31.164302386709267</v>
      </c>
      <c r="X34">
        <f t="shared" si="13"/>
        <v>29.952100000000002</v>
      </c>
      <c r="Y34">
        <f t="shared" si="14"/>
        <v>4.2487418843521718</v>
      </c>
      <c r="Z34">
        <f t="shared" si="15"/>
        <v>65.392606990400012</v>
      </c>
      <c r="AA34">
        <f t="shared" si="16"/>
        <v>2.8467747626686002</v>
      </c>
      <c r="AB34">
        <f t="shared" si="17"/>
        <v>4.3533587261424245</v>
      </c>
      <c r="AC34">
        <f t="shared" si="18"/>
        <v>1.4019671216835716</v>
      </c>
      <c r="AD34">
        <f t="shared" si="19"/>
        <v>-210.724061158724</v>
      </c>
      <c r="AE34">
        <f t="shared" si="20"/>
        <v>66.776697014200579</v>
      </c>
      <c r="AF34">
        <f t="shared" si="21"/>
        <v>5.0909172241154366</v>
      </c>
      <c r="AG34">
        <f t="shared" si="22"/>
        <v>205.48706488203322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52033.585354942625</v>
      </c>
      <c r="AM34" t="s">
        <v>416</v>
      </c>
      <c r="AN34">
        <v>10366.9</v>
      </c>
      <c r="AO34">
        <v>993.59653846153856</v>
      </c>
      <c r="AP34">
        <v>3431.87</v>
      </c>
      <c r="AQ34">
        <f t="shared" si="26"/>
        <v>0.71047955241266758</v>
      </c>
      <c r="AR34">
        <v>-3.9894345373445681</v>
      </c>
      <c r="AS34" t="s">
        <v>509</v>
      </c>
      <c r="AT34">
        <v>10445</v>
      </c>
      <c r="AU34">
        <v>780.68024000000003</v>
      </c>
      <c r="AV34">
        <v>909.65410347944669</v>
      </c>
      <c r="AW34">
        <f t="shared" si="27"/>
        <v>0.14178341304251674</v>
      </c>
      <c r="AX34">
        <v>0.5</v>
      </c>
      <c r="AY34">
        <f t="shared" si="28"/>
        <v>1513.0749059012205</v>
      </c>
      <c r="AZ34">
        <f t="shared" si="29"/>
        <v>13.467466573261834</v>
      </c>
      <c r="BA34">
        <f t="shared" si="30"/>
        <v>107.26446217382994</v>
      </c>
      <c r="BB34">
        <f t="shared" si="31"/>
        <v>1.1537367411568227E-2</v>
      </c>
      <c r="BC34">
        <f t="shared" si="32"/>
        <v>2.7727197479492727</v>
      </c>
      <c r="BD34">
        <f t="shared" si="33"/>
        <v>551.15326232526093</v>
      </c>
      <c r="BE34" t="s">
        <v>510</v>
      </c>
      <c r="BF34">
        <v>592.16999999999996</v>
      </c>
      <c r="BG34">
        <f t="shared" si="34"/>
        <v>592.16999999999996</v>
      </c>
      <c r="BH34">
        <f t="shared" si="35"/>
        <v>0.34901629340764051</v>
      </c>
      <c r="BI34">
        <f t="shared" si="36"/>
        <v>0.40623723224553876</v>
      </c>
      <c r="BJ34">
        <f t="shared" si="37"/>
        <v>0.88819801264941833</v>
      </c>
      <c r="BK34">
        <f t="shared" si="38"/>
        <v>-1.5364560666719012</v>
      </c>
      <c r="BL34">
        <f t="shared" si="39"/>
        <v>1.0344269977532081</v>
      </c>
      <c r="BM34">
        <f t="shared" si="40"/>
        <v>0.30814344912693148</v>
      </c>
      <c r="BN34">
        <f t="shared" si="41"/>
        <v>0.69185655087306852</v>
      </c>
      <c r="BO34">
        <v>7582</v>
      </c>
      <c r="BP34">
        <v>290.00000000000011</v>
      </c>
      <c r="BQ34">
        <v>877.43</v>
      </c>
      <c r="BR34">
        <v>285</v>
      </c>
      <c r="BS34">
        <v>10445</v>
      </c>
      <c r="BT34">
        <v>876.85</v>
      </c>
      <c r="BU34">
        <v>0.57999999999999996</v>
      </c>
      <c r="BV34">
        <v>300.00000000000011</v>
      </c>
      <c r="BW34">
        <v>38.200000000000003</v>
      </c>
      <c r="BX34">
        <v>909.65410347944669</v>
      </c>
      <c r="BY34">
        <v>1.091543788807311</v>
      </c>
      <c r="BZ34">
        <v>-34.266843547129497</v>
      </c>
      <c r="CA34">
        <v>0.93455415408164422</v>
      </c>
      <c r="CB34">
        <v>0.97959827983971548</v>
      </c>
      <c r="CC34">
        <v>-1.1356508787541721E-2</v>
      </c>
      <c r="CD34">
        <v>289.99999999999989</v>
      </c>
      <c r="CE34">
        <v>874.89</v>
      </c>
      <c r="CF34">
        <v>675</v>
      </c>
      <c r="CG34">
        <v>10435.4</v>
      </c>
      <c r="CH34">
        <v>876.82</v>
      </c>
      <c r="CI34">
        <v>-1.93</v>
      </c>
      <c r="CW34">
        <f t="shared" si="42"/>
        <v>1799.87</v>
      </c>
      <c r="CX34">
        <f t="shared" si="43"/>
        <v>1513.0749059012205</v>
      </c>
      <c r="CY34">
        <f t="shared" si="44"/>
        <v>0.84065788412564268</v>
      </c>
      <c r="CZ34">
        <f t="shared" si="45"/>
        <v>0.19131576825128549</v>
      </c>
      <c r="DA34">
        <v>6</v>
      </c>
      <c r="DB34">
        <v>0.5</v>
      </c>
      <c r="DC34" t="s">
        <v>419</v>
      </c>
      <c r="DD34">
        <v>2</v>
      </c>
      <c r="DE34">
        <v>1693326319.5999999</v>
      </c>
      <c r="DF34">
        <v>103.33199999999999</v>
      </c>
      <c r="DG34">
        <v>120.07899999999999</v>
      </c>
      <c r="DH34">
        <v>28.695399999999999</v>
      </c>
      <c r="DI34">
        <v>23.1281</v>
      </c>
      <c r="DJ34">
        <v>102.511</v>
      </c>
      <c r="DK34">
        <v>28.427</v>
      </c>
      <c r="DL34">
        <v>500.19299999999998</v>
      </c>
      <c r="DM34">
        <v>99.1083</v>
      </c>
      <c r="DN34">
        <v>9.8359000000000002E-2</v>
      </c>
      <c r="DO34">
        <v>30.376100000000001</v>
      </c>
      <c r="DP34">
        <v>29.952100000000002</v>
      </c>
      <c r="DQ34">
        <v>999.9</v>
      </c>
      <c r="DR34">
        <v>0</v>
      </c>
      <c r="DS34">
        <v>0</v>
      </c>
      <c r="DT34">
        <v>10042.5</v>
      </c>
      <c r="DU34">
        <v>0</v>
      </c>
      <c r="DV34">
        <v>1695.35</v>
      </c>
      <c r="DW34">
        <v>-16.746600000000001</v>
      </c>
      <c r="DX34">
        <v>106.38500000000001</v>
      </c>
      <c r="DY34">
        <v>122.922</v>
      </c>
      <c r="DZ34">
        <v>5.5673000000000004</v>
      </c>
      <c r="EA34">
        <v>120.07899999999999</v>
      </c>
      <c r="EB34">
        <v>23.1281</v>
      </c>
      <c r="EC34">
        <v>2.84395</v>
      </c>
      <c r="ED34">
        <v>2.2921900000000002</v>
      </c>
      <c r="EE34">
        <v>23.141400000000001</v>
      </c>
      <c r="EF34">
        <v>19.621600000000001</v>
      </c>
      <c r="EG34">
        <v>1799.87</v>
      </c>
      <c r="EH34">
        <v>0.97800699999999996</v>
      </c>
      <c r="EI34">
        <v>2.1992899999999999E-2</v>
      </c>
      <c r="EJ34">
        <v>0</v>
      </c>
      <c r="EK34">
        <v>780.125</v>
      </c>
      <c r="EL34">
        <v>5.0010300000000001</v>
      </c>
      <c r="EM34">
        <v>15101.6</v>
      </c>
      <c r="EN34">
        <v>14700.1</v>
      </c>
      <c r="EO34">
        <v>47.25</v>
      </c>
      <c r="EP34">
        <v>49.625</v>
      </c>
      <c r="EQ34">
        <v>48.875</v>
      </c>
      <c r="ER34">
        <v>47.686999999999998</v>
      </c>
      <c r="ES34">
        <v>48.936999999999998</v>
      </c>
      <c r="ET34">
        <v>1755.39</v>
      </c>
      <c r="EU34">
        <v>39.47</v>
      </c>
      <c r="EV34">
        <v>0</v>
      </c>
      <c r="EW34">
        <v>99</v>
      </c>
      <c r="EX34">
        <v>0</v>
      </c>
      <c r="EY34">
        <v>780.68024000000003</v>
      </c>
      <c r="EZ34">
        <v>-4.9071538526633391</v>
      </c>
      <c r="FA34">
        <v>-37.684615469224518</v>
      </c>
      <c r="FB34">
        <v>15109.175999999999</v>
      </c>
      <c r="FC34">
        <v>15</v>
      </c>
      <c r="FD34">
        <v>1693326287.5999999</v>
      </c>
      <c r="FE34" t="s">
        <v>511</v>
      </c>
      <c r="FF34">
        <v>1693326284.5999999</v>
      </c>
      <c r="FG34">
        <v>1693326287.5999999</v>
      </c>
      <c r="FH34">
        <v>21</v>
      </c>
      <c r="FI34">
        <v>-0.11600000000000001</v>
      </c>
      <c r="FJ34">
        <v>-1E-3</v>
      </c>
      <c r="FK34">
        <v>0.85</v>
      </c>
      <c r="FL34">
        <v>0.13300000000000001</v>
      </c>
      <c r="FM34">
        <v>120</v>
      </c>
      <c r="FN34">
        <v>23</v>
      </c>
      <c r="FO34">
        <v>0.31</v>
      </c>
      <c r="FP34">
        <v>0.06</v>
      </c>
      <c r="FQ34">
        <v>13.354821446390179</v>
      </c>
      <c r="FR34">
        <v>0.22169753833956871</v>
      </c>
      <c r="FS34">
        <v>5.9727681723547303E-2</v>
      </c>
      <c r="FT34">
        <v>1</v>
      </c>
      <c r="FU34">
        <v>0.34787754020741057</v>
      </c>
      <c r="FV34">
        <v>4.0839203608553573E-2</v>
      </c>
      <c r="FW34">
        <v>3.6141212489755308E-3</v>
      </c>
      <c r="FX34">
        <v>1</v>
      </c>
      <c r="FY34">
        <v>2</v>
      </c>
      <c r="FZ34">
        <v>2</v>
      </c>
      <c r="GA34" t="s">
        <v>421</v>
      </c>
      <c r="GB34">
        <v>2.9009</v>
      </c>
      <c r="GC34">
        <v>2.8167399999999998</v>
      </c>
      <c r="GD34">
        <v>2.75012E-2</v>
      </c>
      <c r="GE34">
        <v>3.2000399999999998E-2</v>
      </c>
      <c r="GF34">
        <v>0.134377</v>
      </c>
      <c r="GG34">
        <v>0.11572499999999999</v>
      </c>
      <c r="GH34">
        <v>26984.400000000001</v>
      </c>
      <c r="GI34">
        <v>26995.4</v>
      </c>
      <c r="GJ34">
        <v>24620.400000000001</v>
      </c>
      <c r="GK34">
        <v>24907.200000000001</v>
      </c>
      <c r="GL34">
        <v>28320.9</v>
      </c>
      <c r="GM34">
        <v>28836.400000000001</v>
      </c>
      <c r="GN34">
        <v>33308.9</v>
      </c>
      <c r="GO34">
        <v>33308.1</v>
      </c>
      <c r="GP34">
        <v>1.9581999999999999</v>
      </c>
      <c r="GQ34">
        <v>1.8357000000000001</v>
      </c>
      <c r="GR34">
        <v>3.3527599999999998E-2</v>
      </c>
      <c r="GS34">
        <v>0</v>
      </c>
      <c r="GT34">
        <v>29.406199999999998</v>
      </c>
      <c r="GU34">
        <v>999.9</v>
      </c>
      <c r="GV34">
        <v>53.2</v>
      </c>
      <c r="GW34">
        <v>35</v>
      </c>
      <c r="GX34">
        <v>30.320799999999998</v>
      </c>
      <c r="GY34">
        <v>61.788899999999998</v>
      </c>
      <c r="GZ34">
        <v>25.0962</v>
      </c>
      <c r="HA34">
        <v>1</v>
      </c>
      <c r="HB34">
        <v>0.455457</v>
      </c>
      <c r="HC34">
        <v>1.37324</v>
      </c>
      <c r="HD34">
        <v>20.160399999999999</v>
      </c>
      <c r="HE34">
        <v>5.2256799999999997</v>
      </c>
      <c r="HF34">
        <v>11.9201</v>
      </c>
      <c r="HG34">
        <v>4.9580000000000002</v>
      </c>
      <c r="HH34">
        <v>3.2866</v>
      </c>
      <c r="HI34">
        <v>9999</v>
      </c>
      <c r="HJ34">
        <v>9999</v>
      </c>
      <c r="HK34">
        <v>9999</v>
      </c>
      <c r="HL34">
        <v>876.6</v>
      </c>
      <c r="HM34">
        <v>1.8811</v>
      </c>
      <c r="HN34">
        <v>1.87822</v>
      </c>
      <c r="HO34">
        <v>1.88615</v>
      </c>
      <c r="HP34">
        <v>1.8839999999999999</v>
      </c>
      <c r="HQ34">
        <v>1.88147</v>
      </c>
      <c r="HR34">
        <v>1.8805400000000001</v>
      </c>
      <c r="HS34">
        <v>1.8816999999999999</v>
      </c>
      <c r="HT34">
        <v>1.8811199999999999</v>
      </c>
      <c r="HU34">
        <v>5</v>
      </c>
      <c r="HV34">
        <v>0</v>
      </c>
      <c r="HW34">
        <v>0</v>
      </c>
      <c r="HX34">
        <v>0</v>
      </c>
      <c r="HY34" t="s">
        <v>422</v>
      </c>
      <c r="HZ34" t="s">
        <v>423</v>
      </c>
      <c r="IA34" t="s">
        <v>424</v>
      </c>
      <c r="IB34" t="s">
        <v>424</v>
      </c>
      <c r="IC34" t="s">
        <v>424</v>
      </c>
      <c r="ID34" t="s">
        <v>424</v>
      </c>
      <c r="IE34">
        <v>0</v>
      </c>
      <c r="IF34">
        <v>100</v>
      </c>
      <c r="IG34">
        <v>100</v>
      </c>
      <c r="IH34">
        <v>0.82099999999999995</v>
      </c>
      <c r="II34">
        <v>0.26840000000000003</v>
      </c>
      <c r="IJ34">
        <v>0.61701179383249993</v>
      </c>
      <c r="IK34">
        <v>2.2153513873161218E-3</v>
      </c>
      <c r="IL34">
        <v>-2.2967369670569612E-6</v>
      </c>
      <c r="IM34">
        <v>7.7859689150384122E-10</v>
      </c>
      <c r="IN34">
        <v>-0.1211365478180696</v>
      </c>
      <c r="IO34">
        <v>-4.1434251034592161E-3</v>
      </c>
      <c r="IP34">
        <v>8.3987709687394815E-4</v>
      </c>
      <c r="IQ34">
        <v>-7.4586254598011197E-6</v>
      </c>
      <c r="IR34">
        <v>2</v>
      </c>
      <c r="IS34">
        <v>1930</v>
      </c>
      <c r="IT34">
        <v>2</v>
      </c>
      <c r="IU34">
        <v>41</v>
      </c>
      <c r="IV34">
        <v>0.6</v>
      </c>
      <c r="IW34">
        <v>0.5</v>
      </c>
      <c r="IX34">
        <v>0.40649400000000002</v>
      </c>
      <c r="IY34">
        <v>2.52563</v>
      </c>
      <c r="IZ34">
        <v>1.24512</v>
      </c>
      <c r="JA34">
        <v>2.2668499999999998</v>
      </c>
      <c r="JB34">
        <v>1.4501999999999999</v>
      </c>
      <c r="JC34">
        <v>2.2766099999999998</v>
      </c>
      <c r="JD34">
        <v>39.217300000000002</v>
      </c>
      <c r="JE34">
        <v>23.956199999999999</v>
      </c>
      <c r="JF34">
        <v>18</v>
      </c>
      <c r="JG34">
        <v>496.35300000000001</v>
      </c>
      <c r="JH34">
        <v>462.89499999999998</v>
      </c>
      <c r="JI34">
        <v>26.935500000000001</v>
      </c>
      <c r="JJ34">
        <v>33.077199999999998</v>
      </c>
      <c r="JK34">
        <v>29.999400000000001</v>
      </c>
      <c r="JL34">
        <v>33.012500000000003</v>
      </c>
      <c r="JM34">
        <v>32.982799999999997</v>
      </c>
      <c r="JN34">
        <v>8.2202699999999993</v>
      </c>
      <c r="JO34">
        <v>30.960699999999999</v>
      </c>
      <c r="JP34">
        <v>0</v>
      </c>
      <c r="JQ34">
        <v>26.940200000000001</v>
      </c>
      <c r="JR34">
        <v>120</v>
      </c>
      <c r="JS34">
        <v>23.091999999999999</v>
      </c>
      <c r="JT34">
        <v>99.396500000000003</v>
      </c>
      <c r="JU34">
        <v>99.356700000000004</v>
      </c>
    </row>
    <row r="35" spans="1:281" x14ac:dyDescent="0.25">
      <c r="A35">
        <v>19</v>
      </c>
      <c r="B35">
        <v>1693326420.5999999</v>
      </c>
      <c r="C35">
        <v>3707.5</v>
      </c>
      <c r="D35" t="s">
        <v>512</v>
      </c>
      <c r="E35" t="s">
        <v>513</v>
      </c>
      <c r="F35" t="s">
        <v>413</v>
      </c>
      <c r="G35" t="s">
        <v>493</v>
      </c>
      <c r="H35" t="s">
        <v>415</v>
      </c>
      <c r="I35" t="s">
        <v>415</v>
      </c>
      <c r="J35">
        <v>1693326420.5999999</v>
      </c>
      <c r="K35">
        <f t="shared" si="0"/>
        <v>5.030469084989787E-3</v>
      </c>
      <c r="L35">
        <f t="shared" si="1"/>
        <v>5.0304690849897868</v>
      </c>
      <c r="M35">
        <f t="shared" si="2"/>
        <v>8.0419879717601894</v>
      </c>
      <c r="N35">
        <f t="shared" si="3"/>
        <v>60.030500000000004</v>
      </c>
      <c r="O35">
        <f t="shared" si="4"/>
        <v>22.066550239818977</v>
      </c>
      <c r="P35">
        <f t="shared" si="5"/>
        <v>2.1891965983288348</v>
      </c>
      <c r="Q35">
        <f t="shared" si="6"/>
        <v>5.9555555792692507</v>
      </c>
      <c r="R35">
        <f t="shared" si="7"/>
        <v>0.36841220654181761</v>
      </c>
      <c r="S35">
        <f t="shared" si="8"/>
        <v>2.9186848874907443</v>
      </c>
      <c r="T35">
        <f t="shared" si="9"/>
        <v>0.34439006178257825</v>
      </c>
      <c r="U35">
        <f t="shared" si="10"/>
        <v>0.21727142092606616</v>
      </c>
      <c r="V35">
        <f t="shared" si="11"/>
        <v>344.37249864349832</v>
      </c>
      <c r="W35">
        <f t="shared" si="12"/>
        <v>31.192330743998177</v>
      </c>
      <c r="X35">
        <f t="shared" si="13"/>
        <v>30.023</v>
      </c>
      <c r="Y35">
        <f t="shared" si="14"/>
        <v>4.2660814987132705</v>
      </c>
      <c r="Z35">
        <f t="shared" si="15"/>
        <v>65.554863302738369</v>
      </c>
      <c r="AA35">
        <f t="shared" si="16"/>
        <v>2.8690597949229</v>
      </c>
      <c r="AB35">
        <f t="shared" si="17"/>
        <v>4.3765781063005482</v>
      </c>
      <c r="AC35">
        <f t="shared" si="18"/>
        <v>1.3970217037903705</v>
      </c>
      <c r="AD35">
        <f t="shared" si="19"/>
        <v>-221.84368664804961</v>
      </c>
      <c r="AE35">
        <f t="shared" si="20"/>
        <v>70.179054285863089</v>
      </c>
      <c r="AF35">
        <f t="shared" si="21"/>
        <v>5.359410066453953</v>
      </c>
      <c r="AG35">
        <f t="shared" si="22"/>
        <v>198.06727634776576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51943.775388749105</v>
      </c>
      <c r="AM35" t="s">
        <v>416</v>
      </c>
      <c r="AN35">
        <v>10366.9</v>
      </c>
      <c r="AO35">
        <v>993.59653846153856</v>
      </c>
      <c r="AP35">
        <v>3431.87</v>
      </c>
      <c r="AQ35">
        <f t="shared" si="26"/>
        <v>0.71047955241266758</v>
      </c>
      <c r="AR35">
        <v>-3.9894345373445681</v>
      </c>
      <c r="AS35" t="s">
        <v>514</v>
      </c>
      <c r="AT35">
        <v>10449</v>
      </c>
      <c r="AU35">
        <v>784.90926923076927</v>
      </c>
      <c r="AV35">
        <v>869.04095553702393</v>
      </c>
      <c r="AW35">
        <f t="shared" si="27"/>
        <v>9.6809805993856135E-2</v>
      </c>
      <c r="AX35">
        <v>0.5</v>
      </c>
      <c r="AY35">
        <f t="shared" si="28"/>
        <v>1513.1936993217491</v>
      </c>
      <c r="AZ35">
        <f t="shared" si="29"/>
        <v>8.0419879717601894</v>
      </c>
      <c r="BA35">
        <f t="shared" si="30"/>
        <v>73.245994231232004</v>
      </c>
      <c r="BB35">
        <f t="shared" si="31"/>
        <v>7.9510128243975228E-3</v>
      </c>
      <c r="BC35">
        <f t="shared" si="32"/>
        <v>2.9490313754882536</v>
      </c>
      <c r="BD35">
        <f t="shared" si="33"/>
        <v>535.97686960199769</v>
      </c>
      <c r="BE35" t="s">
        <v>515</v>
      </c>
      <c r="BF35">
        <v>597.80999999999995</v>
      </c>
      <c r="BG35">
        <f t="shared" si="34"/>
        <v>597.80999999999995</v>
      </c>
      <c r="BH35">
        <f t="shared" si="35"/>
        <v>0.3121037665818831</v>
      </c>
      <c r="BI35">
        <f t="shared" si="36"/>
        <v>0.31018467689161089</v>
      </c>
      <c r="BJ35">
        <f t="shared" si="37"/>
        <v>0.90429597272569251</v>
      </c>
      <c r="BK35">
        <f t="shared" si="38"/>
        <v>-0.67545496019429041</v>
      </c>
      <c r="BL35">
        <f t="shared" si="39"/>
        <v>1.0510835166314465</v>
      </c>
      <c r="BM35">
        <f t="shared" si="40"/>
        <v>0.2362457789220675</v>
      </c>
      <c r="BN35">
        <f t="shared" si="41"/>
        <v>0.76375422107793245</v>
      </c>
      <c r="BO35">
        <v>7584</v>
      </c>
      <c r="BP35">
        <v>290.00000000000011</v>
      </c>
      <c r="BQ35">
        <v>850.21</v>
      </c>
      <c r="BR35">
        <v>235</v>
      </c>
      <c r="BS35">
        <v>10449</v>
      </c>
      <c r="BT35">
        <v>848.63</v>
      </c>
      <c r="BU35">
        <v>1.58</v>
      </c>
      <c r="BV35">
        <v>300.00000000000011</v>
      </c>
      <c r="BW35">
        <v>38.200000000000003</v>
      </c>
      <c r="BX35">
        <v>869.04095553702393</v>
      </c>
      <c r="BY35">
        <v>1.098365170963131</v>
      </c>
      <c r="BZ35">
        <v>-21.32777808847019</v>
      </c>
      <c r="CA35">
        <v>0.94025552954521874</v>
      </c>
      <c r="CB35">
        <v>0.94838868091147854</v>
      </c>
      <c r="CC35">
        <v>-1.1354823359288091E-2</v>
      </c>
      <c r="CD35">
        <v>289.99999999999989</v>
      </c>
      <c r="CE35">
        <v>847.55</v>
      </c>
      <c r="CF35">
        <v>675</v>
      </c>
      <c r="CG35">
        <v>10433.799999999999</v>
      </c>
      <c r="CH35">
        <v>848.6</v>
      </c>
      <c r="CI35">
        <v>-1.05</v>
      </c>
      <c r="CW35">
        <f t="shared" si="42"/>
        <v>1800.01</v>
      </c>
      <c r="CX35">
        <f t="shared" si="43"/>
        <v>1513.1936993217491</v>
      </c>
      <c r="CY35">
        <f t="shared" si="44"/>
        <v>0.84065849596488307</v>
      </c>
      <c r="CZ35">
        <f t="shared" si="45"/>
        <v>0.19131699192976612</v>
      </c>
      <c r="DA35">
        <v>6</v>
      </c>
      <c r="DB35">
        <v>0.5</v>
      </c>
      <c r="DC35" t="s">
        <v>419</v>
      </c>
      <c r="DD35">
        <v>2</v>
      </c>
      <c r="DE35">
        <v>1693326420.5999999</v>
      </c>
      <c r="DF35">
        <v>60.030500000000004</v>
      </c>
      <c r="DG35">
        <v>70.034400000000005</v>
      </c>
      <c r="DH35">
        <v>28.9194</v>
      </c>
      <c r="DI35">
        <v>23.0626</v>
      </c>
      <c r="DJ35">
        <v>59.243699999999997</v>
      </c>
      <c r="DK35">
        <v>28.6449</v>
      </c>
      <c r="DL35">
        <v>500.44299999999998</v>
      </c>
      <c r="DM35">
        <v>99.109399999999994</v>
      </c>
      <c r="DN35">
        <v>9.9428500000000003E-2</v>
      </c>
      <c r="DO35">
        <v>30.469000000000001</v>
      </c>
      <c r="DP35">
        <v>30.023</v>
      </c>
      <c r="DQ35">
        <v>999.9</v>
      </c>
      <c r="DR35">
        <v>0</v>
      </c>
      <c r="DS35">
        <v>0</v>
      </c>
      <c r="DT35">
        <v>10027.5</v>
      </c>
      <c r="DU35">
        <v>0</v>
      </c>
      <c r="DV35">
        <v>1703.93</v>
      </c>
      <c r="DW35">
        <v>-10.0039</v>
      </c>
      <c r="DX35">
        <v>61.818199999999997</v>
      </c>
      <c r="DY35">
        <v>71.687700000000007</v>
      </c>
      <c r="DZ35">
        <v>5.8567299999999998</v>
      </c>
      <c r="EA35">
        <v>70.034400000000005</v>
      </c>
      <c r="EB35">
        <v>23.0626</v>
      </c>
      <c r="EC35">
        <v>2.8661799999999999</v>
      </c>
      <c r="ED35">
        <v>2.28572</v>
      </c>
      <c r="EE35">
        <v>23.270299999999999</v>
      </c>
      <c r="EF35">
        <v>19.5761</v>
      </c>
      <c r="EG35">
        <v>1800.01</v>
      </c>
      <c r="EH35">
        <v>0.97799199999999997</v>
      </c>
      <c r="EI35">
        <v>2.2008300000000001E-2</v>
      </c>
      <c r="EJ35">
        <v>0</v>
      </c>
      <c r="EK35">
        <v>784.31600000000003</v>
      </c>
      <c r="EL35">
        <v>5.0010300000000001</v>
      </c>
      <c r="EM35">
        <v>15192.2</v>
      </c>
      <c r="EN35">
        <v>14701.1</v>
      </c>
      <c r="EO35">
        <v>47.5</v>
      </c>
      <c r="EP35">
        <v>49.811999999999998</v>
      </c>
      <c r="EQ35">
        <v>49.125</v>
      </c>
      <c r="ER35">
        <v>47.936999999999998</v>
      </c>
      <c r="ES35">
        <v>49.061999999999998</v>
      </c>
      <c r="ET35">
        <v>1755.5</v>
      </c>
      <c r="EU35">
        <v>39.51</v>
      </c>
      <c r="EV35">
        <v>0</v>
      </c>
      <c r="EW35">
        <v>99.199999809265137</v>
      </c>
      <c r="EX35">
        <v>0</v>
      </c>
      <c r="EY35">
        <v>784.90926923076927</v>
      </c>
      <c r="EZ35">
        <v>-2.8839316273204281</v>
      </c>
      <c r="FA35">
        <v>-12.711110994593961</v>
      </c>
      <c r="FB35">
        <v>15196.976923076931</v>
      </c>
      <c r="FC35">
        <v>15</v>
      </c>
      <c r="FD35">
        <v>1693326392.0999999</v>
      </c>
      <c r="FE35" t="s">
        <v>516</v>
      </c>
      <c r="FF35">
        <v>1693326382.0999999</v>
      </c>
      <c r="FG35">
        <v>1693326392.0999999</v>
      </c>
      <c r="FH35">
        <v>22</v>
      </c>
      <c r="FI35">
        <v>4.5999999999999999E-2</v>
      </c>
      <c r="FJ35">
        <v>0</v>
      </c>
      <c r="FK35">
        <v>0.80600000000000005</v>
      </c>
      <c r="FL35">
        <v>0.13400000000000001</v>
      </c>
      <c r="FM35">
        <v>70</v>
      </c>
      <c r="FN35">
        <v>23</v>
      </c>
      <c r="FO35">
        <v>0.37</v>
      </c>
      <c r="FP35">
        <v>0.03</v>
      </c>
      <c r="FQ35">
        <v>7.9828526193569873</v>
      </c>
      <c r="FR35">
        <v>-3.8035907369405257E-2</v>
      </c>
      <c r="FS35">
        <v>5.3697139616110091E-2</v>
      </c>
      <c r="FT35">
        <v>1</v>
      </c>
      <c r="FU35">
        <v>0.36257625656631493</v>
      </c>
      <c r="FV35">
        <v>3.3355873463635943E-2</v>
      </c>
      <c r="FW35">
        <v>3.6324070852245382E-3</v>
      </c>
      <c r="FX35">
        <v>1</v>
      </c>
      <c r="FY35">
        <v>2</v>
      </c>
      <c r="FZ35">
        <v>2</v>
      </c>
      <c r="GA35" t="s">
        <v>421</v>
      </c>
      <c r="GB35">
        <v>2.9016799999999998</v>
      </c>
      <c r="GC35">
        <v>2.8176800000000002</v>
      </c>
      <c r="GD35">
        <v>1.6142400000000001E-2</v>
      </c>
      <c r="GE35">
        <v>1.9057500000000002E-2</v>
      </c>
      <c r="GF35">
        <v>0.135098</v>
      </c>
      <c r="GG35">
        <v>0.115513</v>
      </c>
      <c r="GH35">
        <v>27302.7</v>
      </c>
      <c r="GI35">
        <v>27357.4</v>
      </c>
      <c r="GJ35">
        <v>24623.5</v>
      </c>
      <c r="GK35">
        <v>24908.400000000001</v>
      </c>
      <c r="GL35">
        <v>28299.7</v>
      </c>
      <c r="GM35">
        <v>28843.7</v>
      </c>
      <c r="GN35">
        <v>33312.300000000003</v>
      </c>
      <c r="GO35">
        <v>33308.800000000003</v>
      </c>
      <c r="GP35">
        <v>1.9591000000000001</v>
      </c>
      <c r="GQ35">
        <v>1.8351</v>
      </c>
      <c r="GR35">
        <v>3.16501E-2</v>
      </c>
      <c r="GS35">
        <v>0</v>
      </c>
      <c r="GT35">
        <v>29.5077</v>
      </c>
      <c r="GU35">
        <v>999.9</v>
      </c>
      <c r="GV35">
        <v>53</v>
      </c>
      <c r="GW35">
        <v>35.1</v>
      </c>
      <c r="GX35">
        <v>30.373899999999999</v>
      </c>
      <c r="GY35">
        <v>62.008899999999997</v>
      </c>
      <c r="GZ35">
        <v>25.188300000000002</v>
      </c>
      <c r="HA35">
        <v>1</v>
      </c>
      <c r="HB35">
        <v>0.45307900000000001</v>
      </c>
      <c r="HC35">
        <v>2.21041</v>
      </c>
      <c r="HD35">
        <v>20.1525</v>
      </c>
      <c r="HE35">
        <v>5.2346599999999999</v>
      </c>
      <c r="HF35">
        <v>11.9201</v>
      </c>
      <c r="HG35">
        <v>4.9603999999999999</v>
      </c>
      <c r="HH35">
        <v>3.2890000000000001</v>
      </c>
      <c r="HI35">
        <v>9999</v>
      </c>
      <c r="HJ35">
        <v>9999</v>
      </c>
      <c r="HK35">
        <v>9999</v>
      </c>
      <c r="HL35">
        <v>876.6</v>
      </c>
      <c r="HM35">
        <v>1.8811</v>
      </c>
      <c r="HN35">
        <v>1.8782000000000001</v>
      </c>
      <c r="HO35">
        <v>1.88615</v>
      </c>
      <c r="HP35">
        <v>1.8839999999999999</v>
      </c>
      <c r="HQ35">
        <v>1.88144</v>
      </c>
      <c r="HR35">
        <v>1.88052</v>
      </c>
      <c r="HS35">
        <v>1.88168</v>
      </c>
      <c r="HT35">
        <v>1.8811</v>
      </c>
      <c r="HU35">
        <v>5</v>
      </c>
      <c r="HV35">
        <v>0</v>
      </c>
      <c r="HW35">
        <v>0</v>
      </c>
      <c r="HX35">
        <v>0</v>
      </c>
      <c r="HY35" t="s">
        <v>422</v>
      </c>
      <c r="HZ35" t="s">
        <v>423</v>
      </c>
      <c r="IA35" t="s">
        <v>424</v>
      </c>
      <c r="IB35" t="s">
        <v>424</v>
      </c>
      <c r="IC35" t="s">
        <v>424</v>
      </c>
      <c r="ID35" t="s">
        <v>424</v>
      </c>
      <c r="IE35">
        <v>0</v>
      </c>
      <c r="IF35">
        <v>100</v>
      </c>
      <c r="IG35">
        <v>100</v>
      </c>
      <c r="IH35">
        <v>0.78700000000000003</v>
      </c>
      <c r="II35">
        <v>0.27450000000000002</v>
      </c>
      <c r="IJ35">
        <v>0.66342776132177916</v>
      </c>
      <c r="IK35">
        <v>2.2153513873161218E-3</v>
      </c>
      <c r="IL35">
        <v>-2.2967369670569612E-6</v>
      </c>
      <c r="IM35">
        <v>7.7859689150384122E-10</v>
      </c>
      <c r="IN35">
        <v>-0.12070216883068351</v>
      </c>
      <c r="IO35">
        <v>-4.1434251034592161E-3</v>
      </c>
      <c r="IP35">
        <v>8.3987709687394815E-4</v>
      </c>
      <c r="IQ35">
        <v>-7.4586254598011197E-6</v>
      </c>
      <c r="IR35">
        <v>2</v>
      </c>
      <c r="IS35">
        <v>1930</v>
      </c>
      <c r="IT35">
        <v>2</v>
      </c>
      <c r="IU35">
        <v>41</v>
      </c>
      <c r="IV35">
        <v>0.6</v>
      </c>
      <c r="IW35">
        <v>0.5</v>
      </c>
      <c r="IX35">
        <v>0.299072</v>
      </c>
      <c r="IY35">
        <v>2.5390600000000001</v>
      </c>
      <c r="IZ35">
        <v>1.24512</v>
      </c>
      <c r="JA35">
        <v>2.2680699999999998</v>
      </c>
      <c r="JB35">
        <v>1.4501999999999999</v>
      </c>
      <c r="JC35">
        <v>2.4279799999999998</v>
      </c>
      <c r="JD35">
        <v>39.267099999999999</v>
      </c>
      <c r="JE35">
        <v>23.973700000000001</v>
      </c>
      <c r="JF35">
        <v>18</v>
      </c>
      <c r="JG35">
        <v>496.529</v>
      </c>
      <c r="JH35">
        <v>462.06700000000001</v>
      </c>
      <c r="JI35">
        <v>26.447199999999999</v>
      </c>
      <c r="JJ35">
        <v>33.0154</v>
      </c>
      <c r="JK35">
        <v>29.9999</v>
      </c>
      <c r="JL35">
        <v>32.959400000000002</v>
      </c>
      <c r="JM35">
        <v>32.931399999999996</v>
      </c>
      <c r="JN35">
        <v>6.0563500000000001</v>
      </c>
      <c r="JO35">
        <v>31.291</v>
      </c>
      <c r="JP35">
        <v>0</v>
      </c>
      <c r="JQ35">
        <v>26.456399999999999</v>
      </c>
      <c r="JR35">
        <v>70</v>
      </c>
      <c r="JS35">
        <v>23.078199999999999</v>
      </c>
      <c r="JT35">
        <v>99.407600000000002</v>
      </c>
      <c r="JU35">
        <v>99.36</v>
      </c>
    </row>
    <row r="36" spans="1:281" x14ac:dyDescent="0.25">
      <c r="A36">
        <v>20</v>
      </c>
      <c r="B36">
        <v>1693326534.0999999</v>
      </c>
      <c r="C36">
        <v>3821</v>
      </c>
      <c r="D36" t="s">
        <v>517</v>
      </c>
      <c r="E36" t="s">
        <v>518</v>
      </c>
      <c r="F36" t="s">
        <v>413</v>
      </c>
      <c r="G36" t="s">
        <v>493</v>
      </c>
      <c r="H36" t="s">
        <v>415</v>
      </c>
      <c r="I36" t="s">
        <v>415</v>
      </c>
      <c r="J36">
        <v>1693326534.0999999</v>
      </c>
      <c r="K36">
        <f t="shared" si="0"/>
        <v>5.1469155017515927E-3</v>
      </c>
      <c r="L36">
        <f t="shared" si="1"/>
        <v>5.1469155017515931</v>
      </c>
      <c r="M36">
        <f t="shared" si="2"/>
        <v>3.259939073572609</v>
      </c>
      <c r="N36">
        <f t="shared" si="3"/>
        <v>25.8582</v>
      </c>
      <c r="O36">
        <f t="shared" si="4"/>
        <v>10.792272736984456</v>
      </c>
      <c r="P36">
        <f t="shared" si="5"/>
        <v>1.0707211604721547</v>
      </c>
      <c r="Q36">
        <f t="shared" si="6"/>
        <v>2.5654394200806001</v>
      </c>
      <c r="R36">
        <f t="shared" si="7"/>
        <v>0.37813062406836795</v>
      </c>
      <c r="S36">
        <f t="shared" si="8"/>
        <v>2.9108586717912246</v>
      </c>
      <c r="T36">
        <f t="shared" si="9"/>
        <v>0.35280795003755877</v>
      </c>
      <c r="U36">
        <f t="shared" si="10"/>
        <v>0.22263863738045736</v>
      </c>
      <c r="V36">
        <f t="shared" si="11"/>
        <v>344.36619864381913</v>
      </c>
      <c r="W36">
        <f t="shared" si="12"/>
        <v>31.113033326250452</v>
      </c>
      <c r="X36">
        <f t="shared" si="13"/>
        <v>29.956800000000001</v>
      </c>
      <c r="Y36">
        <f t="shared" si="14"/>
        <v>4.2498894329995398</v>
      </c>
      <c r="Z36">
        <f t="shared" si="15"/>
        <v>65.408666722293745</v>
      </c>
      <c r="AA36">
        <f t="shared" si="16"/>
        <v>2.8543641201431997</v>
      </c>
      <c r="AB36">
        <f t="shared" si="17"/>
        <v>4.3638928343578742</v>
      </c>
      <c r="AC36">
        <f t="shared" si="18"/>
        <v>1.3955253128563401</v>
      </c>
      <c r="AD36">
        <f t="shared" si="19"/>
        <v>-226.97897362724524</v>
      </c>
      <c r="AE36">
        <f t="shared" si="20"/>
        <v>72.423293167329916</v>
      </c>
      <c r="AF36">
        <f t="shared" si="21"/>
        <v>5.5424616767065586</v>
      </c>
      <c r="AG36">
        <f t="shared" si="22"/>
        <v>195.35297986061039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51730.099313567829</v>
      </c>
      <c r="AM36" t="s">
        <v>416</v>
      </c>
      <c r="AN36">
        <v>10366.9</v>
      </c>
      <c r="AO36">
        <v>993.59653846153856</v>
      </c>
      <c r="AP36">
        <v>3431.87</v>
      </c>
      <c r="AQ36">
        <f t="shared" si="26"/>
        <v>0.71047955241266758</v>
      </c>
      <c r="AR36">
        <v>-3.9894345373445681</v>
      </c>
      <c r="AS36" t="s">
        <v>519</v>
      </c>
      <c r="AT36">
        <v>10457.9</v>
      </c>
      <c r="AU36">
        <v>789.05565384615386</v>
      </c>
      <c r="AV36">
        <v>847.0840940587907</v>
      </c>
      <c r="AW36">
        <f t="shared" si="27"/>
        <v>6.8503753782690469E-2</v>
      </c>
      <c r="AX36">
        <v>0.5</v>
      </c>
      <c r="AY36">
        <f t="shared" si="28"/>
        <v>1513.1681993219095</v>
      </c>
      <c r="AZ36">
        <f t="shared" si="29"/>
        <v>3.259939073572609</v>
      </c>
      <c r="BA36">
        <f t="shared" si="30"/>
        <v>51.82885087907259</v>
      </c>
      <c r="BB36">
        <f t="shared" si="31"/>
        <v>4.7908577606678568E-3</v>
      </c>
      <c r="BC36">
        <f t="shared" si="32"/>
        <v>3.0513923281881574</v>
      </c>
      <c r="BD36">
        <f t="shared" si="33"/>
        <v>527.5433723044813</v>
      </c>
      <c r="BE36" t="s">
        <v>520</v>
      </c>
      <c r="BF36">
        <v>607.37</v>
      </c>
      <c r="BG36">
        <f t="shared" si="34"/>
        <v>607.37</v>
      </c>
      <c r="BH36">
        <f t="shared" si="35"/>
        <v>0.28298736304940419</v>
      </c>
      <c r="BI36">
        <f t="shared" si="36"/>
        <v>0.24207354365407135</v>
      </c>
      <c r="BJ36">
        <f t="shared" si="37"/>
        <v>0.91513043226808621</v>
      </c>
      <c r="BK36">
        <f t="shared" si="38"/>
        <v>-0.39606492437681634</v>
      </c>
      <c r="BL36">
        <f t="shared" si="39"/>
        <v>1.0600886023302341</v>
      </c>
      <c r="BM36">
        <f t="shared" si="40"/>
        <v>0.1863343954162201</v>
      </c>
      <c r="BN36">
        <f t="shared" si="41"/>
        <v>0.8136656045837799</v>
      </c>
      <c r="BO36">
        <v>7586</v>
      </c>
      <c r="BP36">
        <v>290.00000000000011</v>
      </c>
      <c r="BQ36">
        <v>832.84</v>
      </c>
      <c r="BR36">
        <v>165</v>
      </c>
      <c r="BS36">
        <v>10457.9</v>
      </c>
      <c r="BT36">
        <v>831.39</v>
      </c>
      <c r="BU36">
        <v>1.45</v>
      </c>
      <c r="BV36">
        <v>300.00000000000011</v>
      </c>
      <c r="BW36">
        <v>38.200000000000003</v>
      </c>
      <c r="BX36">
        <v>847.0840940587907</v>
      </c>
      <c r="BY36">
        <v>1.093966208414098</v>
      </c>
      <c r="BZ36">
        <v>-16.414597892037801</v>
      </c>
      <c r="CA36">
        <v>0.93642870308704618</v>
      </c>
      <c r="CB36">
        <v>0.91648361742902273</v>
      </c>
      <c r="CC36">
        <v>-1.1353975973303671E-2</v>
      </c>
      <c r="CD36">
        <v>289.99999999999989</v>
      </c>
      <c r="CE36">
        <v>829.67</v>
      </c>
      <c r="CF36">
        <v>635</v>
      </c>
      <c r="CG36">
        <v>10436.5</v>
      </c>
      <c r="CH36">
        <v>831.36</v>
      </c>
      <c r="CI36">
        <v>-1.69</v>
      </c>
      <c r="CW36">
        <f t="shared" si="42"/>
        <v>1799.98</v>
      </c>
      <c r="CX36">
        <f t="shared" si="43"/>
        <v>1513.1681993219095</v>
      </c>
      <c r="CY36">
        <f t="shared" si="44"/>
        <v>0.84065834027150832</v>
      </c>
      <c r="CZ36">
        <f t="shared" si="45"/>
        <v>0.19131668054301665</v>
      </c>
      <c r="DA36">
        <v>6</v>
      </c>
      <c r="DB36">
        <v>0.5</v>
      </c>
      <c r="DC36" t="s">
        <v>419</v>
      </c>
      <c r="DD36">
        <v>2</v>
      </c>
      <c r="DE36">
        <v>1693326534.0999999</v>
      </c>
      <c r="DF36">
        <v>25.8582</v>
      </c>
      <c r="DG36">
        <v>29.9299</v>
      </c>
      <c r="DH36">
        <v>28.770399999999999</v>
      </c>
      <c r="DI36">
        <v>22.771699999999999</v>
      </c>
      <c r="DJ36">
        <v>25.0383</v>
      </c>
      <c r="DK36">
        <v>28.498699999999999</v>
      </c>
      <c r="DL36">
        <v>499.99200000000002</v>
      </c>
      <c r="DM36">
        <v>99.111800000000002</v>
      </c>
      <c r="DN36">
        <v>0.100033</v>
      </c>
      <c r="DO36">
        <v>30.418299999999999</v>
      </c>
      <c r="DP36">
        <v>29.956800000000001</v>
      </c>
      <c r="DQ36">
        <v>999.9</v>
      </c>
      <c r="DR36">
        <v>0</v>
      </c>
      <c r="DS36">
        <v>0</v>
      </c>
      <c r="DT36">
        <v>9982.5</v>
      </c>
      <c r="DU36">
        <v>0</v>
      </c>
      <c r="DV36">
        <v>1695.63</v>
      </c>
      <c r="DW36">
        <v>-4.0717400000000001</v>
      </c>
      <c r="DX36">
        <v>26.624199999999998</v>
      </c>
      <c r="DY36">
        <v>30.627400000000002</v>
      </c>
      <c r="DZ36">
        <v>5.99871</v>
      </c>
      <c r="EA36">
        <v>29.9299</v>
      </c>
      <c r="EB36">
        <v>22.771699999999999</v>
      </c>
      <c r="EC36">
        <v>2.8514900000000001</v>
      </c>
      <c r="ED36">
        <v>2.2569499999999998</v>
      </c>
      <c r="EE36">
        <v>23.185199999999998</v>
      </c>
      <c r="EF36">
        <v>19.372399999999999</v>
      </c>
      <c r="EG36">
        <v>1799.98</v>
      </c>
      <c r="EH36">
        <v>0.97799199999999997</v>
      </c>
      <c r="EI36">
        <v>2.2008300000000001E-2</v>
      </c>
      <c r="EJ36">
        <v>0</v>
      </c>
      <c r="EK36">
        <v>788.55600000000004</v>
      </c>
      <c r="EL36">
        <v>5.0010300000000001</v>
      </c>
      <c r="EM36">
        <v>15270.2</v>
      </c>
      <c r="EN36">
        <v>14700.9</v>
      </c>
      <c r="EO36">
        <v>47.625</v>
      </c>
      <c r="EP36">
        <v>49.875</v>
      </c>
      <c r="EQ36">
        <v>49.25</v>
      </c>
      <c r="ER36">
        <v>48.061999999999998</v>
      </c>
      <c r="ES36">
        <v>49.186999999999998</v>
      </c>
      <c r="ET36">
        <v>1755.48</v>
      </c>
      <c r="EU36">
        <v>39.5</v>
      </c>
      <c r="EV36">
        <v>0</v>
      </c>
      <c r="EW36">
        <v>111.6000001430511</v>
      </c>
      <c r="EX36">
        <v>0</v>
      </c>
      <c r="EY36">
        <v>789.05565384615386</v>
      </c>
      <c r="EZ36">
        <v>-1.556683757581715</v>
      </c>
      <c r="FA36">
        <v>-21.128205035831549</v>
      </c>
      <c r="FB36">
        <v>15273.8</v>
      </c>
      <c r="FC36">
        <v>15</v>
      </c>
      <c r="FD36">
        <v>1693326506.0999999</v>
      </c>
      <c r="FE36" t="s">
        <v>521</v>
      </c>
      <c r="FF36">
        <v>1693326506.0999999</v>
      </c>
      <c r="FG36">
        <v>1693326502.5999999</v>
      </c>
      <c r="FH36">
        <v>23</v>
      </c>
      <c r="FI36">
        <v>0.10199999999999999</v>
      </c>
      <c r="FJ36">
        <v>1E-3</v>
      </c>
      <c r="FK36">
        <v>0.82799999999999996</v>
      </c>
      <c r="FL36">
        <v>0.128</v>
      </c>
      <c r="FM36">
        <v>30</v>
      </c>
      <c r="FN36">
        <v>23</v>
      </c>
      <c r="FO36">
        <v>1.1100000000000001</v>
      </c>
      <c r="FP36">
        <v>0.05</v>
      </c>
      <c r="FQ36">
        <v>3.3496567830613362</v>
      </c>
      <c r="FR36">
        <v>0.1328025444185964</v>
      </c>
      <c r="FS36">
        <v>5.5144095674285902E-2</v>
      </c>
      <c r="FT36">
        <v>1</v>
      </c>
      <c r="FU36">
        <v>0.38047014973972659</v>
      </c>
      <c r="FV36">
        <v>2.4788305646866689E-2</v>
      </c>
      <c r="FW36">
        <v>4.1901085459206634E-3</v>
      </c>
      <c r="FX36">
        <v>1</v>
      </c>
      <c r="FY36">
        <v>2</v>
      </c>
      <c r="FZ36">
        <v>2</v>
      </c>
      <c r="GA36" t="s">
        <v>421</v>
      </c>
      <c r="GB36">
        <v>2.9006500000000002</v>
      </c>
      <c r="GC36">
        <v>2.8178899999999998</v>
      </c>
      <c r="GD36">
        <v>6.87164E-3</v>
      </c>
      <c r="GE36">
        <v>8.2306299999999992E-3</v>
      </c>
      <c r="GF36">
        <v>0.13464899999999999</v>
      </c>
      <c r="GG36">
        <v>0.114525</v>
      </c>
      <c r="GH36">
        <v>27563.1</v>
      </c>
      <c r="GI36">
        <v>27662.799999999999</v>
      </c>
      <c r="GJ36">
        <v>24626.5</v>
      </c>
      <c r="GK36">
        <v>24911.7</v>
      </c>
      <c r="GL36">
        <v>28317.7</v>
      </c>
      <c r="GM36">
        <v>28879.7</v>
      </c>
      <c r="GN36">
        <v>33316.5</v>
      </c>
      <c r="GO36">
        <v>33313.1</v>
      </c>
      <c r="GP36">
        <v>1.9598</v>
      </c>
      <c r="GQ36">
        <v>1.8351999999999999</v>
      </c>
      <c r="GR36">
        <v>3.1635200000000002E-2</v>
      </c>
      <c r="GS36">
        <v>0</v>
      </c>
      <c r="GT36">
        <v>29.441700000000001</v>
      </c>
      <c r="GU36">
        <v>999.9</v>
      </c>
      <c r="GV36">
        <v>52.9</v>
      </c>
      <c r="GW36">
        <v>35.200000000000003</v>
      </c>
      <c r="GX36">
        <v>30.481100000000001</v>
      </c>
      <c r="GY36">
        <v>61.948900000000002</v>
      </c>
      <c r="GZ36">
        <v>26.398199999999999</v>
      </c>
      <c r="HA36">
        <v>1</v>
      </c>
      <c r="HB36">
        <v>0.44701200000000002</v>
      </c>
      <c r="HC36">
        <v>2.0313400000000001</v>
      </c>
      <c r="HD36">
        <v>20.155100000000001</v>
      </c>
      <c r="HE36">
        <v>5.2310699999999999</v>
      </c>
      <c r="HF36">
        <v>11.9201</v>
      </c>
      <c r="HG36">
        <v>4.9602000000000004</v>
      </c>
      <c r="HH36">
        <v>3.2890000000000001</v>
      </c>
      <c r="HI36">
        <v>9999</v>
      </c>
      <c r="HJ36">
        <v>9999</v>
      </c>
      <c r="HK36">
        <v>9999</v>
      </c>
      <c r="HL36">
        <v>876.6</v>
      </c>
      <c r="HM36">
        <v>1.8810899999999999</v>
      </c>
      <c r="HN36">
        <v>1.8782000000000001</v>
      </c>
      <c r="HO36">
        <v>1.8861399999999999</v>
      </c>
      <c r="HP36">
        <v>1.8839699999999999</v>
      </c>
      <c r="HQ36">
        <v>1.8814299999999999</v>
      </c>
      <c r="HR36">
        <v>1.88049</v>
      </c>
      <c r="HS36">
        <v>1.88171</v>
      </c>
      <c r="HT36">
        <v>1.8811</v>
      </c>
      <c r="HU36">
        <v>5</v>
      </c>
      <c r="HV36">
        <v>0</v>
      </c>
      <c r="HW36">
        <v>0</v>
      </c>
      <c r="HX36">
        <v>0</v>
      </c>
      <c r="HY36" t="s">
        <v>422</v>
      </c>
      <c r="HZ36" t="s">
        <v>423</v>
      </c>
      <c r="IA36" t="s">
        <v>424</v>
      </c>
      <c r="IB36" t="s">
        <v>424</v>
      </c>
      <c r="IC36" t="s">
        <v>424</v>
      </c>
      <c r="ID36" t="s">
        <v>424</v>
      </c>
      <c r="IE36">
        <v>0</v>
      </c>
      <c r="IF36">
        <v>100</v>
      </c>
      <c r="IG36">
        <v>100</v>
      </c>
      <c r="IH36">
        <v>0.82</v>
      </c>
      <c r="II36">
        <v>0.2717</v>
      </c>
      <c r="IJ36">
        <v>0.76582892613479281</v>
      </c>
      <c r="IK36">
        <v>2.2153513873161218E-3</v>
      </c>
      <c r="IL36">
        <v>-2.2967369670569612E-6</v>
      </c>
      <c r="IM36">
        <v>7.7859689150384122E-10</v>
      </c>
      <c r="IN36">
        <v>-0.11969647824989781</v>
      </c>
      <c r="IO36">
        <v>-4.1434251034592161E-3</v>
      </c>
      <c r="IP36">
        <v>8.3987709687394815E-4</v>
      </c>
      <c r="IQ36">
        <v>-7.4586254598011197E-6</v>
      </c>
      <c r="IR36">
        <v>2</v>
      </c>
      <c r="IS36">
        <v>1930</v>
      </c>
      <c r="IT36">
        <v>2</v>
      </c>
      <c r="IU36">
        <v>41</v>
      </c>
      <c r="IV36">
        <v>0.5</v>
      </c>
      <c r="IW36">
        <v>0.5</v>
      </c>
      <c r="IX36">
        <v>0.21362300000000001</v>
      </c>
      <c r="IY36">
        <v>2.5720200000000002</v>
      </c>
      <c r="IZ36">
        <v>1.24512</v>
      </c>
      <c r="JA36">
        <v>2.2668499999999998</v>
      </c>
      <c r="JB36">
        <v>1.4501999999999999</v>
      </c>
      <c r="JC36">
        <v>2.3083499999999999</v>
      </c>
      <c r="JD36">
        <v>39.292000000000002</v>
      </c>
      <c r="JE36">
        <v>23.973700000000001</v>
      </c>
      <c r="JF36">
        <v>18</v>
      </c>
      <c r="JG36">
        <v>496.471</v>
      </c>
      <c r="JH36">
        <v>461.61900000000003</v>
      </c>
      <c r="JI36">
        <v>26.6708</v>
      </c>
      <c r="JJ36">
        <v>32.941899999999997</v>
      </c>
      <c r="JK36">
        <v>30</v>
      </c>
      <c r="JL36">
        <v>32.894100000000002</v>
      </c>
      <c r="JM36">
        <v>32.867899999999999</v>
      </c>
      <c r="JN36">
        <v>4.3524000000000003</v>
      </c>
      <c r="JO36">
        <v>32.534799999999997</v>
      </c>
      <c r="JP36">
        <v>0</v>
      </c>
      <c r="JQ36">
        <v>26.6921</v>
      </c>
      <c r="JR36">
        <v>30</v>
      </c>
      <c r="JS36">
        <v>22.7196</v>
      </c>
      <c r="JT36">
        <v>99.420100000000005</v>
      </c>
      <c r="JU36">
        <v>99.373000000000005</v>
      </c>
    </row>
    <row r="37" spans="1:281" x14ac:dyDescent="0.25">
      <c r="A37">
        <v>21</v>
      </c>
      <c r="B37">
        <v>1693326633.5999999</v>
      </c>
      <c r="C37">
        <v>3920.5</v>
      </c>
      <c r="D37" t="s">
        <v>522</v>
      </c>
      <c r="E37" t="s">
        <v>523</v>
      </c>
      <c r="F37" t="s">
        <v>413</v>
      </c>
      <c r="G37" t="s">
        <v>493</v>
      </c>
      <c r="H37" t="s">
        <v>415</v>
      </c>
      <c r="I37" t="s">
        <v>415</v>
      </c>
      <c r="J37">
        <v>1693326633.5999999</v>
      </c>
      <c r="K37">
        <f t="shared" si="0"/>
        <v>5.2003982012707442E-3</v>
      </c>
      <c r="L37">
        <f t="shared" si="1"/>
        <v>5.2003982012707439</v>
      </c>
      <c r="M37">
        <f t="shared" si="2"/>
        <v>0.84354703820078769</v>
      </c>
      <c r="N37">
        <f t="shared" si="3"/>
        <v>8.8918999999999997</v>
      </c>
      <c r="O37">
        <f t="shared" si="4"/>
        <v>4.9756130484636278</v>
      </c>
      <c r="P37">
        <f t="shared" si="5"/>
        <v>0.49362891365893136</v>
      </c>
      <c r="Q37">
        <f t="shared" si="6"/>
        <v>0.88216243799729988</v>
      </c>
      <c r="R37">
        <f t="shared" si="7"/>
        <v>0.3816926602321023</v>
      </c>
      <c r="S37">
        <f t="shared" si="8"/>
        <v>2.9081829210068797</v>
      </c>
      <c r="T37">
        <f t="shared" si="9"/>
        <v>0.35588609134219679</v>
      </c>
      <c r="U37">
        <f t="shared" si="10"/>
        <v>0.22460185988475123</v>
      </c>
      <c r="V37">
        <f t="shared" si="11"/>
        <v>344.362398643804</v>
      </c>
      <c r="W37">
        <f t="shared" si="12"/>
        <v>31.194188236909795</v>
      </c>
      <c r="X37">
        <f t="shared" si="13"/>
        <v>30.013000000000002</v>
      </c>
      <c r="Y37">
        <f t="shared" si="14"/>
        <v>4.2636321254055831</v>
      </c>
      <c r="Z37">
        <f t="shared" si="15"/>
        <v>65.3210489053629</v>
      </c>
      <c r="AA37">
        <f t="shared" si="16"/>
        <v>2.8660184651294998</v>
      </c>
      <c r="AB37">
        <f t="shared" si="17"/>
        <v>4.3875879416477002</v>
      </c>
      <c r="AC37">
        <f t="shared" si="18"/>
        <v>1.3976136602760834</v>
      </c>
      <c r="AD37">
        <f t="shared" si="19"/>
        <v>-229.33756067603983</v>
      </c>
      <c r="AE37">
        <f t="shared" si="20"/>
        <v>78.37730022289719</v>
      </c>
      <c r="AF37">
        <f t="shared" si="21"/>
        <v>6.0081137819036554</v>
      </c>
      <c r="AG37">
        <f t="shared" si="22"/>
        <v>199.41025197256502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51637.989163638078</v>
      </c>
      <c r="AM37" t="s">
        <v>416</v>
      </c>
      <c r="AN37">
        <v>10366.9</v>
      </c>
      <c r="AO37">
        <v>993.59653846153856</v>
      </c>
      <c r="AP37">
        <v>3431.87</v>
      </c>
      <c r="AQ37">
        <f t="shared" si="26"/>
        <v>0.71047955241266758</v>
      </c>
      <c r="AR37">
        <v>-3.9894345373445681</v>
      </c>
      <c r="AS37" t="s">
        <v>524</v>
      </c>
      <c r="AT37">
        <v>10472.299999999999</v>
      </c>
      <c r="AU37">
        <v>790.63830769230776</v>
      </c>
      <c r="AV37">
        <v>839.11496351052097</v>
      </c>
      <c r="AW37">
        <f t="shared" si="27"/>
        <v>5.7771173112449725E-2</v>
      </c>
      <c r="AX37">
        <v>0.5</v>
      </c>
      <c r="AY37">
        <f t="shared" si="28"/>
        <v>1513.1513993219019</v>
      </c>
      <c r="AZ37">
        <f t="shared" si="29"/>
        <v>0.84354703820078769</v>
      </c>
      <c r="BA37">
        <f t="shared" si="30"/>
        <v>43.708265717785565</v>
      </c>
      <c r="BB37">
        <f t="shared" si="31"/>
        <v>3.1939841431010739E-3</v>
      </c>
      <c r="BC37">
        <f t="shared" si="32"/>
        <v>3.0898686702504148</v>
      </c>
      <c r="BD37">
        <f t="shared" si="33"/>
        <v>524.44154078619079</v>
      </c>
      <c r="BE37" t="s">
        <v>525</v>
      </c>
      <c r="BF37">
        <v>616.15</v>
      </c>
      <c r="BG37">
        <f t="shared" si="34"/>
        <v>616.15</v>
      </c>
      <c r="BH37">
        <f t="shared" si="35"/>
        <v>0.26571444105551978</v>
      </c>
      <c r="BI37">
        <f t="shared" si="36"/>
        <v>0.21741826632741673</v>
      </c>
      <c r="BJ37">
        <f t="shared" si="37"/>
        <v>0.9208142274407537</v>
      </c>
      <c r="BK37">
        <f t="shared" si="38"/>
        <v>-0.3138021853647206</v>
      </c>
      <c r="BL37">
        <f t="shared" si="39"/>
        <v>1.0633569521170709</v>
      </c>
      <c r="BM37">
        <f t="shared" si="40"/>
        <v>0.1694355857720112</v>
      </c>
      <c r="BN37">
        <f t="shared" si="41"/>
        <v>0.83056441422798877</v>
      </c>
      <c r="BO37">
        <v>7588</v>
      </c>
      <c r="BP37">
        <v>290.00000000000011</v>
      </c>
      <c r="BQ37">
        <v>827.06</v>
      </c>
      <c r="BR37">
        <v>85</v>
      </c>
      <c r="BS37">
        <v>10472.299999999999</v>
      </c>
      <c r="BT37">
        <v>825.08</v>
      </c>
      <c r="BU37">
        <v>1.98</v>
      </c>
      <c r="BV37">
        <v>300.00000000000011</v>
      </c>
      <c r="BW37">
        <v>38.200000000000003</v>
      </c>
      <c r="BX37">
        <v>839.11496351052097</v>
      </c>
      <c r="BY37">
        <v>1.261267439340213</v>
      </c>
      <c r="BZ37">
        <v>-14.692986881522501</v>
      </c>
      <c r="CA37">
        <v>1.0796314080838449</v>
      </c>
      <c r="CB37">
        <v>0.86867531946955234</v>
      </c>
      <c r="CC37">
        <v>-1.13540703003337E-2</v>
      </c>
      <c r="CD37">
        <v>289.99999999999989</v>
      </c>
      <c r="CE37">
        <v>823.45</v>
      </c>
      <c r="CF37">
        <v>665</v>
      </c>
      <c r="CG37">
        <v>10433.799999999999</v>
      </c>
      <c r="CH37">
        <v>825.03</v>
      </c>
      <c r="CI37">
        <v>-1.58</v>
      </c>
      <c r="CW37">
        <f t="shared" si="42"/>
        <v>1799.96</v>
      </c>
      <c r="CX37">
        <f t="shared" si="43"/>
        <v>1513.1513993219019</v>
      </c>
      <c r="CY37">
        <f t="shared" si="44"/>
        <v>0.84065834758655855</v>
      </c>
      <c r="CZ37">
        <f t="shared" si="45"/>
        <v>0.19131669517311717</v>
      </c>
      <c r="DA37">
        <v>6</v>
      </c>
      <c r="DB37">
        <v>0.5</v>
      </c>
      <c r="DC37" t="s">
        <v>419</v>
      </c>
      <c r="DD37">
        <v>2</v>
      </c>
      <c r="DE37">
        <v>1693326633.5999999</v>
      </c>
      <c r="DF37">
        <v>8.8918999999999997</v>
      </c>
      <c r="DG37">
        <v>9.9583600000000008</v>
      </c>
      <c r="DH37">
        <v>28.888500000000001</v>
      </c>
      <c r="DI37">
        <v>22.835599999999999</v>
      </c>
      <c r="DJ37">
        <v>8.0345200000000006</v>
      </c>
      <c r="DK37">
        <v>28.6129</v>
      </c>
      <c r="DL37">
        <v>500.60300000000001</v>
      </c>
      <c r="DM37">
        <v>99.109099999999998</v>
      </c>
      <c r="DN37">
        <v>0.100567</v>
      </c>
      <c r="DO37">
        <v>30.512899999999998</v>
      </c>
      <c r="DP37">
        <v>30.013000000000002</v>
      </c>
      <c r="DQ37">
        <v>999.9</v>
      </c>
      <c r="DR37">
        <v>0</v>
      </c>
      <c r="DS37">
        <v>0</v>
      </c>
      <c r="DT37">
        <v>9967.5</v>
      </c>
      <c r="DU37">
        <v>0</v>
      </c>
      <c r="DV37">
        <v>1695.98</v>
      </c>
      <c r="DW37">
        <v>-1.06646</v>
      </c>
      <c r="DX37">
        <v>9.1564200000000007</v>
      </c>
      <c r="DY37">
        <v>10.1911</v>
      </c>
      <c r="DZ37">
        <v>6.0529400000000004</v>
      </c>
      <c r="EA37">
        <v>9.9583600000000008</v>
      </c>
      <c r="EB37">
        <v>22.835599999999999</v>
      </c>
      <c r="EC37">
        <v>2.8631199999999999</v>
      </c>
      <c r="ED37">
        <v>2.26322</v>
      </c>
      <c r="EE37">
        <v>23.252600000000001</v>
      </c>
      <c r="EF37">
        <v>19.417000000000002</v>
      </c>
      <c r="EG37">
        <v>1799.96</v>
      </c>
      <c r="EH37">
        <v>0.97799199999999997</v>
      </c>
      <c r="EI37">
        <v>2.2008300000000001E-2</v>
      </c>
      <c r="EJ37">
        <v>0</v>
      </c>
      <c r="EK37">
        <v>790.21400000000006</v>
      </c>
      <c r="EL37">
        <v>5.0010300000000001</v>
      </c>
      <c r="EM37">
        <v>15296.2</v>
      </c>
      <c r="EN37">
        <v>14700.7</v>
      </c>
      <c r="EO37">
        <v>47.625</v>
      </c>
      <c r="EP37">
        <v>49.875</v>
      </c>
      <c r="EQ37">
        <v>49.311999999999998</v>
      </c>
      <c r="ER37">
        <v>48.061999999999998</v>
      </c>
      <c r="ES37">
        <v>49.25</v>
      </c>
      <c r="ET37">
        <v>1755.46</v>
      </c>
      <c r="EU37">
        <v>39.5</v>
      </c>
      <c r="EV37">
        <v>0</v>
      </c>
      <c r="EW37">
        <v>97.400000095367432</v>
      </c>
      <c r="EX37">
        <v>0</v>
      </c>
      <c r="EY37">
        <v>790.63830769230776</v>
      </c>
      <c r="EZ37">
        <v>-2.3708718029269469</v>
      </c>
      <c r="FA37">
        <v>-26.605128214707069</v>
      </c>
      <c r="FB37">
        <v>15299.90769230769</v>
      </c>
      <c r="FC37">
        <v>15</v>
      </c>
      <c r="FD37">
        <v>1693326605.5999999</v>
      </c>
      <c r="FE37" t="s">
        <v>526</v>
      </c>
      <c r="FF37">
        <v>1693326587.5999999</v>
      </c>
      <c r="FG37">
        <v>1693326605.5999999</v>
      </c>
      <c r="FH37">
        <v>24</v>
      </c>
      <c r="FI37">
        <v>7.3999999999999996E-2</v>
      </c>
      <c r="FJ37">
        <v>1E-3</v>
      </c>
      <c r="FK37">
        <v>0.86</v>
      </c>
      <c r="FL37">
        <v>0.126</v>
      </c>
      <c r="FM37">
        <v>10</v>
      </c>
      <c r="FN37">
        <v>23</v>
      </c>
      <c r="FO37">
        <v>0.57999999999999996</v>
      </c>
      <c r="FP37">
        <v>0.04</v>
      </c>
      <c r="FQ37">
        <v>0.87014421246657692</v>
      </c>
      <c r="FR37">
        <v>-5.9455740387101491E-3</v>
      </c>
      <c r="FS37">
        <v>4.4320344936806977E-2</v>
      </c>
      <c r="FT37">
        <v>1</v>
      </c>
      <c r="FU37">
        <v>0.38302129861687401</v>
      </c>
      <c r="FV37">
        <v>4.3720654515328389E-2</v>
      </c>
      <c r="FW37">
        <v>5.1403110885704746E-3</v>
      </c>
      <c r="FX37">
        <v>1</v>
      </c>
      <c r="FY37">
        <v>2</v>
      </c>
      <c r="FZ37">
        <v>2</v>
      </c>
      <c r="GA37" t="s">
        <v>421</v>
      </c>
      <c r="GB37">
        <v>2.9024100000000002</v>
      </c>
      <c r="GC37">
        <v>2.8182999999999998</v>
      </c>
      <c r="GD37">
        <v>2.2085899999999999E-3</v>
      </c>
      <c r="GE37">
        <v>2.74574E-3</v>
      </c>
      <c r="GF37">
        <v>0.13503499999999999</v>
      </c>
      <c r="GG37">
        <v>0.114761</v>
      </c>
      <c r="GH37">
        <v>27696.7</v>
      </c>
      <c r="GI37">
        <v>27818</v>
      </c>
      <c r="GJ37">
        <v>24630.3</v>
      </c>
      <c r="GK37">
        <v>24913.7</v>
      </c>
      <c r="GL37">
        <v>28308.799999999999</v>
      </c>
      <c r="GM37">
        <v>28873.7</v>
      </c>
      <c r="GN37">
        <v>33321.5</v>
      </c>
      <c r="GO37">
        <v>33315.4</v>
      </c>
      <c r="GP37">
        <v>1.9610000000000001</v>
      </c>
      <c r="GQ37">
        <v>1.8358000000000001</v>
      </c>
      <c r="GR37">
        <v>3.9756300000000001E-2</v>
      </c>
      <c r="GS37">
        <v>0</v>
      </c>
      <c r="GT37">
        <v>29.3657</v>
      </c>
      <c r="GU37">
        <v>999.9</v>
      </c>
      <c r="GV37">
        <v>52.7</v>
      </c>
      <c r="GW37">
        <v>35.200000000000003</v>
      </c>
      <c r="GX37">
        <v>30.3691</v>
      </c>
      <c r="GY37">
        <v>62.068899999999999</v>
      </c>
      <c r="GZ37">
        <v>25.0321</v>
      </c>
      <c r="HA37">
        <v>1</v>
      </c>
      <c r="HB37">
        <v>0.43834299999999998</v>
      </c>
      <c r="HC37">
        <v>1.6309800000000001</v>
      </c>
      <c r="HD37">
        <v>20.159700000000001</v>
      </c>
      <c r="HE37">
        <v>5.2352600000000002</v>
      </c>
      <c r="HF37">
        <v>11.9201</v>
      </c>
      <c r="HG37">
        <v>4.9611999999999998</v>
      </c>
      <c r="HH37">
        <v>3.2890000000000001</v>
      </c>
      <c r="HI37">
        <v>9999</v>
      </c>
      <c r="HJ37">
        <v>9999</v>
      </c>
      <c r="HK37">
        <v>9999</v>
      </c>
      <c r="HL37">
        <v>876.6</v>
      </c>
      <c r="HM37">
        <v>1.8811</v>
      </c>
      <c r="HN37">
        <v>1.8782000000000001</v>
      </c>
      <c r="HO37">
        <v>1.8861399999999999</v>
      </c>
      <c r="HP37">
        <v>1.88391</v>
      </c>
      <c r="HQ37">
        <v>1.88141</v>
      </c>
      <c r="HR37">
        <v>1.88049</v>
      </c>
      <c r="HS37">
        <v>1.8815999999999999</v>
      </c>
      <c r="HT37">
        <v>1.8810899999999999</v>
      </c>
      <c r="HU37">
        <v>5</v>
      </c>
      <c r="HV37">
        <v>0</v>
      </c>
      <c r="HW37">
        <v>0</v>
      </c>
      <c r="HX37">
        <v>0</v>
      </c>
      <c r="HY37" t="s">
        <v>422</v>
      </c>
      <c r="HZ37" t="s">
        <v>423</v>
      </c>
      <c r="IA37" t="s">
        <v>424</v>
      </c>
      <c r="IB37" t="s">
        <v>424</v>
      </c>
      <c r="IC37" t="s">
        <v>424</v>
      </c>
      <c r="ID37" t="s">
        <v>424</v>
      </c>
      <c r="IE37">
        <v>0</v>
      </c>
      <c r="IF37">
        <v>100</v>
      </c>
      <c r="IG37">
        <v>100</v>
      </c>
      <c r="IH37">
        <v>0.85699999999999998</v>
      </c>
      <c r="II37">
        <v>0.27560000000000001</v>
      </c>
      <c r="IJ37">
        <v>0.83973002189644719</v>
      </c>
      <c r="IK37">
        <v>2.2153513873161218E-3</v>
      </c>
      <c r="IL37">
        <v>-2.2967369670569612E-6</v>
      </c>
      <c r="IM37">
        <v>7.7859689150384122E-10</v>
      </c>
      <c r="IN37">
        <v>-0.11864358456839171</v>
      </c>
      <c r="IO37">
        <v>-4.1434251034592161E-3</v>
      </c>
      <c r="IP37">
        <v>8.3987709687394815E-4</v>
      </c>
      <c r="IQ37">
        <v>-7.4586254598011197E-6</v>
      </c>
      <c r="IR37">
        <v>2</v>
      </c>
      <c r="IS37">
        <v>1930</v>
      </c>
      <c r="IT37">
        <v>2</v>
      </c>
      <c r="IU37">
        <v>41</v>
      </c>
      <c r="IV37">
        <v>0.8</v>
      </c>
      <c r="IW37">
        <v>0.5</v>
      </c>
      <c r="IX37">
        <v>0.17211899999999999</v>
      </c>
      <c r="IY37">
        <v>2.5830099999999998</v>
      </c>
      <c r="IZ37">
        <v>1.24512</v>
      </c>
      <c r="JA37">
        <v>2.2668499999999998</v>
      </c>
      <c r="JB37">
        <v>1.4501999999999999</v>
      </c>
      <c r="JC37">
        <v>2.4279799999999998</v>
      </c>
      <c r="JD37">
        <v>39.267099999999999</v>
      </c>
      <c r="JE37">
        <v>23.9999</v>
      </c>
      <c r="JF37">
        <v>18</v>
      </c>
      <c r="JG37">
        <v>496.70800000000003</v>
      </c>
      <c r="JH37">
        <v>461.48700000000002</v>
      </c>
      <c r="JI37">
        <v>26.968299999999999</v>
      </c>
      <c r="JJ37">
        <v>32.8628</v>
      </c>
      <c r="JK37">
        <v>29.999300000000002</v>
      </c>
      <c r="JL37">
        <v>32.823799999999999</v>
      </c>
      <c r="JM37">
        <v>32.800400000000003</v>
      </c>
      <c r="JN37">
        <v>3.5176400000000001</v>
      </c>
      <c r="JO37">
        <v>32.075699999999998</v>
      </c>
      <c r="JP37">
        <v>0</v>
      </c>
      <c r="JQ37">
        <v>26.987100000000002</v>
      </c>
      <c r="JR37">
        <v>10</v>
      </c>
      <c r="JS37">
        <v>22.761299999999999</v>
      </c>
      <c r="JT37">
        <v>99.435100000000006</v>
      </c>
      <c r="JU37">
        <v>99.380200000000002</v>
      </c>
    </row>
    <row r="38" spans="1:281" x14ac:dyDescent="0.25">
      <c r="A38">
        <v>22</v>
      </c>
      <c r="B38">
        <v>1693326823.0999999</v>
      </c>
      <c r="C38">
        <v>4110</v>
      </c>
      <c r="D38" t="s">
        <v>527</v>
      </c>
      <c r="E38" t="s">
        <v>528</v>
      </c>
      <c r="F38" t="s">
        <v>413</v>
      </c>
      <c r="G38" t="s">
        <v>493</v>
      </c>
      <c r="H38" t="s">
        <v>415</v>
      </c>
      <c r="I38" t="s">
        <v>415</v>
      </c>
      <c r="J38">
        <v>1693326823.0999999</v>
      </c>
      <c r="K38">
        <f t="shared" si="0"/>
        <v>5.1847294235395245E-3</v>
      </c>
      <c r="L38">
        <f t="shared" si="1"/>
        <v>5.1847294235395243</v>
      </c>
      <c r="M38">
        <f t="shared" si="2"/>
        <v>38.614078468307994</v>
      </c>
      <c r="N38">
        <f t="shared" si="3"/>
        <v>351.52100000000002</v>
      </c>
      <c r="O38">
        <f t="shared" si="4"/>
        <v>171.23029703833089</v>
      </c>
      <c r="P38">
        <f t="shared" si="5"/>
        <v>16.987142881176144</v>
      </c>
      <c r="Q38">
        <f t="shared" si="6"/>
        <v>34.873136098088999</v>
      </c>
      <c r="R38">
        <f t="shared" si="7"/>
        <v>0.37640734132218517</v>
      </c>
      <c r="S38">
        <f t="shared" si="8"/>
        <v>2.9133835926503764</v>
      </c>
      <c r="T38">
        <f t="shared" si="9"/>
        <v>0.3513269359986434</v>
      </c>
      <c r="U38">
        <f t="shared" si="10"/>
        <v>0.22169329769755092</v>
      </c>
      <c r="V38">
        <f t="shared" si="11"/>
        <v>344.36049864379646</v>
      </c>
      <c r="W38">
        <f t="shared" si="12"/>
        <v>31.264500942976653</v>
      </c>
      <c r="X38">
        <f t="shared" si="13"/>
        <v>30.007300000000001</v>
      </c>
      <c r="Y38">
        <f t="shared" si="14"/>
        <v>4.2622365310844108</v>
      </c>
      <c r="Z38">
        <f t="shared" si="15"/>
        <v>64.721341247409285</v>
      </c>
      <c r="AA38">
        <f t="shared" si="16"/>
        <v>2.8506763213331996</v>
      </c>
      <c r="AB38">
        <f t="shared" si="17"/>
        <v>4.4045383893327594</v>
      </c>
      <c r="AC38">
        <f t="shared" si="18"/>
        <v>1.4115602097512112</v>
      </c>
      <c r="AD38">
        <f t="shared" si="19"/>
        <v>-228.64656757809303</v>
      </c>
      <c r="AE38">
        <f t="shared" si="20"/>
        <v>89.999010669512231</v>
      </c>
      <c r="AF38">
        <f t="shared" si="21"/>
        <v>6.888779090950595</v>
      </c>
      <c r="AG38">
        <f t="shared" si="22"/>
        <v>212.60172082616629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51774.047524732247</v>
      </c>
      <c r="AM38" t="s">
        <v>416</v>
      </c>
      <c r="AN38">
        <v>10366.9</v>
      </c>
      <c r="AO38">
        <v>993.59653846153856</v>
      </c>
      <c r="AP38">
        <v>3431.87</v>
      </c>
      <c r="AQ38">
        <f t="shared" si="26"/>
        <v>0.71047955241266758</v>
      </c>
      <c r="AR38">
        <v>-3.9894345373445681</v>
      </c>
      <c r="AS38" t="s">
        <v>529</v>
      </c>
      <c r="AT38">
        <v>10451.9</v>
      </c>
      <c r="AU38">
        <v>770.55199999999991</v>
      </c>
      <c r="AV38">
        <v>1077.423119066864</v>
      </c>
      <c r="AW38">
        <f t="shared" si="27"/>
        <v>0.28481950464608508</v>
      </c>
      <c r="AX38">
        <v>0.5</v>
      </c>
      <c r="AY38">
        <f t="shared" si="28"/>
        <v>1513.1429993218981</v>
      </c>
      <c r="AZ38">
        <f t="shared" si="29"/>
        <v>38.614078468307994</v>
      </c>
      <c r="BA38">
        <f t="shared" si="30"/>
        <v>215.48631976277721</v>
      </c>
      <c r="BB38">
        <f t="shared" si="31"/>
        <v>2.8155642278849358E-2</v>
      </c>
      <c r="BC38">
        <f t="shared" si="32"/>
        <v>2.18525743439799</v>
      </c>
      <c r="BD38">
        <f t="shared" si="33"/>
        <v>608.56906457432046</v>
      </c>
      <c r="BE38" t="s">
        <v>530</v>
      </c>
      <c r="BF38">
        <v>600.67999999999995</v>
      </c>
      <c r="BG38">
        <f t="shared" si="34"/>
        <v>600.67999999999995</v>
      </c>
      <c r="BH38">
        <f t="shared" si="35"/>
        <v>0.44248458254707057</v>
      </c>
      <c r="BI38">
        <f t="shared" si="36"/>
        <v>0.64368232449271057</v>
      </c>
      <c r="BJ38">
        <f t="shared" si="37"/>
        <v>0.83161034085777907</v>
      </c>
      <c r="BK38">
        <f t="shared" si="38"/>
        <v>3.6607853600957769</v>
      </c>
      <c r="BL38">
        <f t="shared" si="39"/>
        <v>0.96562051717019692</v>
      </c>
      <c r="BM38">
        <f t="shared" si="40"/>
        <v>0.50177937202976752</v>
      </c>
      <c r="BN38">
        <f t="shared" si="41"/>
        <v>0.49822062797023248</v>
      </c>
      <c r="BO38">
        <v>7590</v>
      </c>
      <c r="BP38">
        <v>290.00000000000011</v>
      </c>
      <c r="BQ38">
        <v>982.94</v>
      </c>
      <c r="BR38">
        <v>215</v>
      </c>
      <c r="BS38">
        <v>10451.9</v>
      </c>
      <c r="BT38">
        <v>982.33</v>
      </c>
      <c r="BU38">
        <v>0.61</v>
      </c>
      <c r="BV38">
        <v>300.00000000000011</v>
      </c>
      <c r="BW38">
        <v>38.200000000000003</v>
      </c>
      <c r="BX38">
        <v>1077.423119066864</v>
      </c>
      <c r="BY38">
        <v>1.1655859494226459</v>
      </c>
      <c r="BZ38">
        <v>-99.39364344824871</v>
      </c>
      <c r="CA38">
        <v>0.99782179139393168</v>
      </c>
      <c r="CB38">
        <v>0.99718600737940832</v>
      </c>
      <c r="CC38">
        <v>-1.1355940378198009E-2</v>
      </c>
      <c r="CD38">
        <v>289.99999999999989</v>
      </c>
      <c r="CE38">
        <v>964.36</v>
      </c>
      <c r="CF38">
        <v>635</v>
      </c>
      <c r="CG38">
        <v>10437.4</v>
      </c>
      <c r="CH38">
        <v>982.19</v>
      </c>
      <c r="CI38">
        <v>-17.829999999999998</v>
      </c>
      <c r="CW38">
        <f t="shared" si="42"/>
        <v>1799.95</v>
      </c>
      <c r="CX38">
        <f t="shared" si="43"/>
        <v>1513.1429993218981</v>
      </c>
      <c r="CY38">
        <f t="shared" si="44"/>
        <v>0.84065835124414456</v>
      </c>
      <c r="CZ38">
        <f t="shared" si="45"/>
        <v>0.19131670248828936</v>
      </c>
      <c r="DA38">
        <v>6</v>
      </c>
      <c r="DB38">
        <v>0.5</v>
      </c>
      <c r="DC38" t="s">
        <v>419</v>
      </c>
      <c r="DD38">
        <v>2</v>
      </c>
      <c r="DE38">
        <v>1693326823.0999999</v>
      </c>
      <c r="DF38">
        <v>351.52100000000002</v>
      </c>
      <c r="DG38">
        <v>400.053</v>
      </c>
      <c r="DH38">
        <v>28.7348</v>
      </c>
      <c r="DI38">
        <v>22.690899999999999</v>
      </c>
      <c r="DJ38">
        <v>350.05500000000001</v>
      </c>
      <c r="DK38">
        <v>28.4587</v>
      </c>
      <c r="DL38">
        <v>499.91699999999997</v>
      </c>
      <c r="DM38">
        <v>99.106099999999998</v>
      </c>
      <c r="DN38">
        <v>0.100309</v>
      </c>
      <c r="DO38">
        <v>30.580300000000001</v>
      </c>
      <c r="DP38">
        <v>30.007300000000001</v>
      </c>
      <c r="DQ38">
        <v>999.9</v>
      </c>
      <c r="DR38">
        <v>0</v>
      </c>
      <c r="DS38">
        <v>0</v>
      </c>
      <c r="DT38">
        <v>9997.5</v>
      </c>
      <c r="DU38">
        <v>0</v>
      </c>
      <c r="DV38">
        <v>1709.57</v>
      </c>
      <c r="DW38">
        <v>-48.532400000000003</v>
      </c>
      <c r="DX38">
        <v>361.92099999999999</v>
      </c>
      <c r="DY38">
        <v>409.34199999999998</v>
      </c>
      <c r="DZ38">
        <v>6.0439699999999998</v>
      </c>
      <c r="EA38">
        <v>400.053</v>
      </c>
      <c r="EB38">
        <v>22.690899999999999</v>
      </c>
      <c r="EC38">
        <v>2.8477999999999999</v>
      </c>
      <c r="ED38">
        <v>2.2488000000000001</v>
      </c>
      <c r="EE38">
        <v>23.163799999999998</v>
      </c>
      <c r="EF38">
        <v>19.314299999999999</v>
      </c>
      <c r="EG38">
        <v>1799.95</v>
      </c>
      <c r="EH38">
        <v>0.97799199999999997</v>
      </c>
      <c r="EI38">
        <v>2.2008300000000001E-2</v>
      </c>
      <c r="EJ38">
        <v>0</v>
      </c>
      <c r="EK38">
        <v>769.47900000000004</v>
      </c>
      <c r="EL38">
        <v>5.0010300000000001</v>
      </c>
      <c r="EM38">
        <v>14959.2</v>
      </c>
      <c r="EN38">
        <v>14700.6</v>
      </c>
      <c r="EO38">
        <v>47.686999999999998</v>
      </c>
      <c r="EP38">
        <v>50</v>
      </c>
      <c r="EQ38">
        <v>49.561999999999998</v>
      </c>
      <c r="ER38">
        <v>48</v>
      </c>
      <c r="ES38">
        <v>49.311999999999998</v>
      </c>
      <c r="ET38">
        <v>1755.45</v>
      </c>
      <c r="EU38">
        <v>39.5</v>
      </c>
      <c r="EV38">
        <v>0</v>
      </c>
      <c r="EW38">
        <v>187.4000000953674</v>
      </c>
      <c r="EX38">
        <v>0</v>
      </c>
      <c r="EY38">
        <v>770.55199999999991</v>
      </c>
      <c r="EZ38">
        <v>-7.1617777953498782</v>
      </c>
      <c r="FA38">
        <v>-104.61880346955181</v>
      </c>
      <c r="FB38">
        <v>14972.188461538461</v>
      </c>
      <c r="FC38">
        <v>15</v>
      </c>
      <c r="FD38">
        <v>1693326708.0999999</v>
      </c>
      <c r="FE38" t="s">
        <v>531</v>
      </c>
      <c r="FF38">
        <v>1693326707.5999999</v>
      </c>
      <c r="FG38">
        <v>1693326708.0999999</v>
      </c>
      <c r="FH38">
        <v>25</v>
      </c>
      <c r="FI38">
        <v>9.9000000000000005E-2</v>
      </c>
      <c r="FJ38">
        <v>4.0000000000000001E-3</v>
      </c>
      <c r="FK38">
        <v>1.506</v>
      </c>
      <c r="FL38">
        <v>0.13400000000000001</v>
      </c>
      <c r="FM38">
        <v>400</v>
      </c>
      <c r="FN38">
        <v>23</v>
      </c>
      <c r="FO38">
        <v>0.23</v>
      </c>
      <c r="FP38">
        <v>0.03</v>
      </c>
      <c r="FQ38">
        <v>38.150658505854317</v>
      </c>
      <c r="FR38">
        <v>3.3795950827798542</v>
      </c>
      <c r="FS38">
        <v>0.26184975368353691</v>
      </c>
      <c r="FT38">
        <v>0</v>
      </c>
      <c r="FU38">
        <v>0.37792504701283791</v>
      </c>
      <c r="FV38">
        <v>-9.7820025246057249E-3</v>
      </c>
      <c r="FW38">
        <v>9.1097292600087387E-4</v>
      </c>
      <c r="FX38">
        <v>1</v>
      </c>
      <c r="FY38">
        <v>1</v>
      </c>
      <c r="FZ38">
        <v>2</v>
      </c>
      <c r="GA38" t="s">
        <v>460</v>
      </c>
      <c r="GB38">
        <v>2.9008099999999999</v>
      </c>
      <c r="GC38">
        <v>2.8182900000000002</v>
      </c>
      <c r="GD38">
        <v>8.15916E-2</v>
      </c>
      <c r="GE38">
        <v>9.0514300000000006E-2</v>
      </c>
      <c r="GF38">
        <v>0.13456299999999999</v>
      </c>
      <c r="GG38">
        <v>0.11427900000000001</v>
      </c>
      <c r="GH38">
        <v>25499.4</v>
      </c>
      <c r="GI38">
        <v>25375.599999999999</v>
      </c>
      <c r="GJ38">
        <v>24633.599999999999</v>
      </c>
      <c r="GK38">
        <v>24916.2</v>
      </c>
      <c r="GL38">
        <v>28327.3</v>
      </c>
      <c r="GM38">
        <v>28891.3</v>
      </c>
      <c r="GN38">
        <v>33325.4</v>
      </c>
      <c r="GO38">
        <v>33317.699999999997</v>
      </c>
      <c r="GP38">
        <v>1.9629000000000001</v>
      </c>
      <c r="GQ38">
        <v>1.8376999999999999</v>
      </c>
      <c r="GR38">
        <v>4.4047799999999998E-2</v>
      </c>
      <c r="GS38">
        <v>0</v>
      </c>
      <c r="GT38">
        <v>29.29</v>
      </c>
      <c r="GU38">
        <v>999.9</v>
      </c>
      <c r="GV38">
        <v>52.4</v>
      </c>
      <c r="GW38">
        <v>35.4</v>
      </c>
      <c r="GX38">
        <v>30.532599999999999</v>
      </c>
      <c r="GY38">
        <v>61.759</v>
      </c>
      <c r="GZ38">
        <v>26.097799999999999</v>
      </c>
      <c r="HA38">
        <v>1</v>
      </c>
      <c r="HB38">
        <v>0.43083300000000002</v>
      </c>
      <c r="HC38">
        <v>2.6979600000000001</v>
      </c>
      <c r="HD38">
        <v>20.1447</v>
      </c>
      <c r="HE38">
        <v>5.23346</v>
      </c>
      <c r="HF38">
        <v>11.9201</v>
      </c>
      <c r="HG38">
        <v>4.9611999999999998</v>
      </c>
      <c r="HH38">
        <v>3.2890000000000001</v>
      </c>
      <c r="HI38">
        <v>9999</v>
      </c>
      <c r="HJ38">
        <v>9999</v>
      </c>
      <c r="HK38">
        <v>9999</v>
      </c>
      <c r="HL38">
        <v>876.7</v>
      </c>
      <c r="HM38">
        <v>1.8810899999999999</v>
      </c>
      <c r="HN38">
        <v>1.8782000000000001</v>
      </c>
      <c r="HO38">
        <v>1.8861399999999999</v>
      </c>
      <c r="HP38">
        <v>1.88385</v>
      </c>
      <c r="HQ38">
        <v>1.8813899999999999</v>
      </c>
      <c r="HR38">
        <v>1.88049</v>
      </c>
      <c r="HS38">
        <v>1.88157</v>
      </c>
      <c r="HT38">
        <v>1.88106</v>
      </c>
      <c r="HU38">
        <v>5</v>
      </c>
      <c r="HV38">
        <v>0</v>
      </c>
      <c r="HW38">
        <v>0</v>
      </c>
      <c r="HX38">
        <v>0</v>
      </c>
      <c r="HY38" t="s">
        <v>422</v>
      </c>
      <c r="HZ38" t="s">
        <v>423</v>
      </c>
      <c r="IA38" t="s">
        <v>424</v>
      </c>
      <c r="IB38" t="s">
        <v>424</v>
      </c>
      <c r="IC38" t="s">
        <v>424</v>
      </c>
      <c r="ID38" t="s">
        <v>424</v>
      </c>
      <c r="IE38">
        <v>0</v>
      </c>
      <c r="IF38">
        <v>100</v>
      </c>
      <c r="IG38">
        <v>100</v>
      </c>
      <c r="IH38">
        <v>1.466</v>
      </c>
      <c r="II38">
        <v>0.27610000000000001</v>
      </c>
      <c r="IJ38">
        <v>0.93833199986791604</v>
      </c>
      <c r="IK38">
        <v>2.2153513873161218E-3</v>
      </c>
      <c r="IL38">
        <v>-2.2967369670569612E-6</v>
      </c>
      <c r="IM38">
        <v>7.7859689150384122E-10</v>
      </c>
      <c r="IN38">
        <v>-0.1142476524474631</v>
      </c>
      <c r="IO38">
        <v>-4.1434251034592161E-3</v>
      </c>
      <c r="IP38">
        <v>8.3987709687394815E-4</v>
      </c>
      <c r="IQ38">
        <v>-7.4586254598011197E-6</v>
      </c>
      <c r="IR38">
        <v>2</v>
      </c>
      <c r="IS38">
        <v>1930</v>
      </c>
      <c r="IT38">
        <v>2</v>
      </c>
      <c r="IU38">
        <v>41</v>
      </c>
      <c r="IV38">
        <v>1.9</v>
      </c>
      <c r="IW38">
        <v>1.9</v>
      </c>
      <c r="IX38">
        <v>0.98388699999999996</v>
      </c>
      <c r="IY38">
        <v>2.5109900000000001</v>
      </c>
      <c r="IZ38">
        <v>1.24512</v>
      </c>
      <c r="JA38">
        <v>2.2668499999999998</v>
      </c>
      <c r="JB38">
        <v>1.4501999999999999</v>
      </c>
      <c r="JC38">
        <v>2.3828100000000001</v>
      </c>
      <c r="JD38">
        <v>39.217300000000002</v>
      </c>
      <c r="JE38">
        <v>24.017499999999998</v>
      </c>
      <c r="JF38">
        <v>18</v>
      </c>
      <c r="JG38">
        <v>497.15199999999999</v>
      </c>
      <c r="JH38">
        <v>462.01499999999999</v>
      </c>
      <c r="JI38">
        <v>27.680700000000002</v>
      </c>
      <c r="JJ38">
        <v>32.763599999999997</v>
      </c>
      <c r="JK38">
        <v>30.0016</v>
      </c>
      <c r="JL38">
        <v>32.721299999999999</v>
      </c>
      <c r="JM38">
        <v>32.703899999999997</v>
      </c>
      <c r="JN38">
        <v>19.8078</v>
      </c>
      <c r="JO38">
        <v>32.7592</v>
      </c>
      <c r="JP38">
        <v>0</v>
      </c>
      <c r="JQ38">
        <v>27.395600000000002</v>
      </c>
      <c r="JR38">
        <v>400</v>
      </c>
      <c r="JS38">
        <v>22.755800000000001</v>
      </c>
      <c r="JT38">
        <v>99.447500000000005</v>
      </c>
      <c r="JU38">
        <v>99.388400000000004</v>
      </c>
    </row>
    <row r="39" spans="1:281" x14ac:dyDescent="0.25">
      <c r="A39">
        <v>23</v>
      </c>
      <c r="B39">
        <v>1693326978</v>
      </c>
      <c r="C39">
        <v>4264.9000000953674</v>
      </c>
      <c r="D39" t="s">
        <v>532</v>
      </c>
      <c r="E39" t="s">
        <v>533</v>
      </c>
      <c r="F39" t="s">
        <v>413</v>
      </c>
      <c r="G39" t="s">
        <v>493</v>
      </c>
      <c r="H39" t="s">
        <v>415</v>
      </c>
      <c r="I39" t="s">
        <v>415</v>
      </c>
      <c r="J39">
        <v>1693326978</v>
      </c>
      <c r="K39">
        <f t="shared" si="0"/>
        <v>5.2384404485775003E-3</v>
      </c>
      <c r="L39">
        <f t="shared" si="1"/>
        <v>5.2384404485775002</v>
      </c>
      <c r="M39">
        <f t="shared" si="2"/>
        <v>42.844634545304963</v>
      </c>
      <c r="N39">
        <f t="shared" si="3"/>
        <v>346.46199999999999</v>
      </c>
      <c r="O39">
        <f t="shared" si="4"/>
        <v>149.9828543185557</v>
      </c>
      <c r="P39">
        <f t="shared" si="5"/>
        <v>14.879522198584551</v>
      </c>
      <c r="Q39">
        <f t="shared" si="6"/>
        <v>34.371855659025201</v>
      </c>
      <c r="R39">
        <f t="shared" si="7"/>
        <v>0.38184446843983449</v>
      </c>
      <c r="S39">
        <f t="shared" si="8"/>
        <v>2.9068520045000277</v>
      </c>
      <c r="T39">
        <f t="shared" si="9"/>
        <v>0.35600714550532486</v>
      </c>
      <c r="U39">
        <f t="shared" si="10"/>
        <v>0.2246799923466346</v>
      </c>
      <c r="V39">
        <f t="shared" si="11"/>
        <v>344.35669864378139</v>
      </c>
      <c r="W39">
        <f t="shared" si="12"/>
        <v>31.282956463085068</v>
      </c>
      <c r="X39">
        <f t="shared" si="13"/>
        <v>30.066500000000001</v>
      </c>
      <c r="Y39">
        <f t="shared" si="14"/>
        <v>4.2767505476593577</v>
      </c>
      <c r="Z39">
        <f t="shared" si="15"/>
        <v>65.033769224856101</v>
      </c>
      <c r="AA39">
        <f t="shared" si="16"/>
        <v>2.8695363469122399</v>
      </c>
      <c r="AB39">
        <f t="shared" si="17"/>
        <v>4.4123789549868109</v>
      </c>
      <c r="AC39">
        <f t="shared" si="18"/>
        <v>1.4072142007471178</v>
      </c>
      <c r="AD39">
        <f t="shared" si="19"/>
        <v>-231.01522378226775</v>
      </c>
      <c r="AE39">
        <f t="shared" si="20"/>
        <v>85.39357044977308</v>
      </c>
      <c r="AF39">
        <f t="shared" si="21"/>
        <v>6.5538779104976337</v>
      </c>
      <c r="AG39">
        <f t="shared" si="22"/>
        <v>205.28892322178436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51583.478813180089</v>
      </c>
      <c r="AM39" t="s">
        <v>416</v>
      </c>
      <c r="AN39">
        <v>10366.9</v>
      </c>
      <c r="AO39">
        <v>993.59653846153856</v>
      </c>
      <c r="AP39">
        <v>3431.87</v>
      </c>
      <c r="AQ39">
        <f t="shared" si="26"/>
        <v>0.71047955241266758</v>
      </c>
      <c r="AR39">
        <v>-3.9894345373445681</v>
      </c>
      <c r="AS39" t="s">
        <v>534</v>
      </c>
      <c r="AT39">
        <v>10456</v>
      </c>
      <c r="AU39">
        <v>777.61187999999993</v>
      </c>
      <c r="AV39">
        <v>1105.785558485343</v>
      </c>
      <c r="AW39">
        <f t="shared" si="27"/>
        <v>0.29677877050127255</v>
      </c>
      <c r="AX39">
        <v>0.5</v>
      </c>
      <c r="AY39">
        <f t="shared" si="28"/>
        <v>1513.1261993218907</v>
      </c>
      <c r="AZ39">
        <f t="shared" si="29"/>
        <v>42.844634545304963</v>
      </c>
      <c r="BA39">
        <f t="shared" si="30"/>
        <v>224.53186652400709</v>
      </c>
      <c r="BB39">
        <f t="shared" si="31"/>
        <v>3.0951859206217087E-2</v>
      </c>
      <c r="BC39">
        <f t="shared" si="32"/>
        <v>2.1035583469735544</v>
      </c>
      <c r="BD39">
        <f t="shared" si="33"/>
        <v>617.5153762727906</v>
      </c>
      <c r="BE39" t="s">
        <v>535</v>
      </c>
      <c r="BF39">
        <v>609</v>
      </c>
      <c r="BG39">
        <f t="shared" si="34"/>
        <v>609</v>
      </c>
      <c r="BH39">
        <f t="shared" si="35"/>
        <v>0.44926030609932932</v>
      </c>
      <c r="BI39">
        <f t="shared" si="36"/>
        <v>0.66059424006993428</v>
      </c>
      <c r="BJ39">
        <f t="shared" si="37"/>
        <v>0.82401401464277724</v>
      </c>
      <c r="BK39">
        <f t="shared" si="38"/>
        <v>2.9251853560688081</v>
      </c>
      <c r="BL39">
        <f t="shared" si="39"/>
        <v>0.95398833568363672</v>
      </c>
      <c r="BM39">
        <f t="shared" si="40"/>
        <v>0.51735564045470861</v>
      </c>
      <c r="BN39">
        <f t="shared" si="41"/>
        <v>0.48264435954529139</v>
      </c>
      <c r="BO39">
        <v>7592</v>
      </c>
      <c r="BP39">
        <v>290.00000000000011</v>
      </c>
      <c r="BQ39">
        <v>1013.28</v>
      </c>
      <c r="BR39">
        <v>175</v>
      </c>
      <c r="BS39">
        <v>10456</v>
      </c>
      <c r="BT39">
        <v>1010.22</v>
      </c>
      <c r="BU39">
        <v>3.06</v>
      </c>
      <c r="BV39">
        <v>300.00000000000011</v>
      </c>
      <c r="BW39">
        <v>38.200000000000003</v>
      </c>
      <c r="BX39">
        <v>1105.785558485343</v>
      </c>
      <c r="BY39">
        <v>1.126411851167338</v>
      </c>
      <c r="BZ39">
        <v>-99.921950884693018</v>
      </c>
      <c r="CA39">
        <v>0.96413571444318924</v>
      </c>
      <c r="CB39">
        <v>0.99739994877070315</v>
      </c>
      <c r="CC39">
        <v>-1.13542382647386E-2</v>
      </c>
      <c r="CD39">
        <v>289.99999999999989</v>
      </c>
      <c r="CE39">
        <v>1000.11</v>
      </c>
      <c r="CF39">
        <v>655</v>
      </c>
      <c r="CG39">
        <v>10434</v>
      </c>
      <c r="CH39">
        <v>1010.02</v>
      </c>
      <c r="CI39">
        <v>-9.91</v>
      </c>
      <c r="CW39">
        <f t="shared" si="42"/>
        <v>1799.93</v>
      </c>
      <c r="CX39">
        <f t="shared" si="43"/>
        <v>1513.1261993218907</v>
      </c>
      <c r="CY39">
        <f t="shared" si="44"/>
        <v>0.84065835855943871</v>
      </c>
      <c r="CZ39">
        <f t="shared" si="45"/>
        <v>0.1913167171188776</v>
      </c>
      <c r="DA39">
        <v>6</v>
      </c>
      <c r="DB39">
        <v>0.5</v>
      </c>
      <c r="DC39" t="s">
        <v>419</v>
      </c>
      <c r="DD39">
        <v>2</v>
      </c>
      <c r="DE39">
        <v>1693326978</v>
      </c>
      <c r="DF39">
        <v>346.46199999999999</v>
      </c>
      <c r="DG39">
        <v>400.04199999999997</v>
      </c>
      <c r="DH39">
        <v>28.924399999999999</v>
      </c>
      <c r="DI39">
        <v>22.821400000000001</v>
      </c>
      <c r="DJ39">
        <v>345.02100000000002</v>
      </c>
      <c r="DK39">
        <v>28.645399999999999</v>
      </c>
      <c r="DL39">
        <v>500.10700000000003</v>
      </c>
      <c r="DM39">
        <v>99.108199999999997</v>
      </c>
      <c r="DN39">
        <v>9.9954600000000005E-2</v>
      </c>
      <c r="DO39">
        <v>30.6114</v>
      </c>
      <c r="DP39">
        <v>30.066500000000001</v>
      </c>
      <c r="DQ39">
        <v>999.9</v>
      </c>
      <c r="DR39">
        <v>0</v>
      </c>
      <c r="DS39">
        <v>0</v>
      </c>
      <c r="DT39">
        <v>9960</v>
      </c>
      <c r="DU39">
        <v>0</v>
      </c>
      <c r="DV39">
        <v>1708</v>
      </c>
      <c r="DW39">
        <v>-53.579900000000002</v>
      </c>
      <c r="DX39">
        <v>356.78199999999998</v>
      </c>
      <c r="DY39">
        <v>409.38499999999999</v>
      </c>
      <c r="DZ39">
        <v>6.1030199999999999</v>
      </c>
      <c r="EA39">
        <v>400.04199999999997</v>
      </c>
      <c r="EB39">
        <v>22.821400000000001</v>
      </c>
      <c r="EC39">
        <v>2.8666499999999999</v>
      </c>
      <c r="ED39">
        <v>2.26179</v>
      </c>
      <c r="EE39">
        <v>23.273</v>
      </c>
      <c r="EF39">
        <v>19.4068</v>
      </c>
      <c r="EG39">
        <v>1799.93</v>
      </c>
      <c r="EH39">
        <v>0.97799499999999995</v>
      </c>
      <c r="EI39">
        <v>2.2004699999999999E-2</v>
      </c>
      <c r="EJ39">
        <v>0</v>
      </c>
      <c r="EK39">
        <v>778.18200000000002</v>
      </c>
      <c r="EL39">
        <v>5.0010300000000001</v>
      </c>
      <c r="EM39">
        <v>15135.1</v>
      </c>
      <c r="EN39">
        <v>14700.5</v>
      </c>
      <c r="EO39">
        <v>48.061999999999998</v>
      </c>
      <c r="EP39">
        <v>50.311999999999998</v>
      </c>
      <c r="EQ39">
        <v>49.75</v>
      </c>
      <c r="ER39">
        <v>48.375</v>
      </c>
      <c r="ES39">
        <v>49.686999999999998</v>
      </c>
      <c r="ET39">
        <v>1755.43</v>
      </c>
      <c r="EU39">
        <v>39.5</v>
      </c>
      <c r="EV39">
        <v>0</v>
      </c>
      <c r="EW39">
        <v>153.20000004768369</v>
      </c>
      <c r="EX39">
        <v>0</v>
      </c>
      <c r="EY39">
        <v>777.61187999999993</v>
      </c>
      <c r="EZ39">
        <v>7.8000769164464696</v>
      </c>
      <c r="FA39">
        <v>150.22307670045049</v>
      </c>
      <c r="FB39">
        <v>15121.04</v>
      </c>
      <c r="FC39">
        <v>15</v>
      </c>
      <c r="FD39">
        <v>1693326895.5</v>
      </c>
      <c r="FE39" t="s">
        <v>536</v>
      </c>
      <c r="FF39">
        <v>1693326895.5</v>
      </c>
      <c r="FG39">
        <v>1693326895</v>
      </c>
      <c r="FH39">
        <v>26</v>
      </c>
      <c r="FI39">
        <v>-0.02</v>
      </c>
      <c r="FJ39">
        <v>-2E-3</v>
      </c>
      <c r="FK39">
        <v>1.486</v>
      </c>
      <c r="FL39">
        <v>0.14000000000000001</v>
      </c>
      <c r="FM39">
        <v>400</v>
      </c>
      <c r="FN39">
        <v>23</v>
      </c>
      <c r="FO39">
        <v>0.11</v>
      </c>
      <c r="FP39">
        <v>0.03</v>
      </c>
      <c r="FQ39">
        <v>42.662390610593583</v>
      </c>
      <c r="FR39">
        <v>0.61762178091263098</v>
      </c>
      <c r="FS39">
        <v>9.4066348263869226E-2</v>
      </c>
      <c r="FT39">
        <v>1</v>
      </c>
      <c r="FU39">
        <v>0.38333201575012632</v>
      </c>
      <c r="FV39">
        <v>3.7079129385546188E-2</v>
      </c>
      <c r="FW39">
        <v>3.3752090533613892E-3</v>
      </c>
      <c r="FX39">
        <v>1</v>
      </c>
      <c r="FY39">
        <v>2</v>
      </c>
      <c r="FZ39">
        <v>2</v>
      </c>
      <c r="GA39" t="s">
        <v>421</v>
      </c>
      <c r="GB39">
        <v>2.9013200000000001</v>
      </c>
      <c r="GC39">
        <v>2.8176100000000002</v>
      </c>
      <c r="GD39">
        <v>8.0668400000000001E-2</v>
      </c>
      <c r="GE39">
        <v>9.0521000000000004E-2</v>
      </c>
      <c r="GF39">
        <v>0.13517399999999999</v>
      </c>
      <c r="GG39">
        <v>0.114742</v>
      </c>
      <c r="GH39">
        <v>25526.2</v>
      </c>
      <c r="GI39">
        <v>25375.3</v>
      </c>
      <c r="GJ39">
        <v>24634.7</v>
      </c>
      <c r="GK39">
        <v>24916.1</v>
      </c>
      <c r="GL39">
        <v>28308.1</v>
      </c>
      <c r="GM39">
        <v>28875.599999999999</v>
      </c>
      <c r="GN39">
        <v>33326.5</v>
      </c>
      <c r="GO39">
        <v>33317.1</v>
      </c>
      <c r="GP39">
        <v>1.9626999999999999</v>
      </c>
      <c r="GQ39">
        <v>1.8374999999999999</v>
      </c>
      <c r="GR39">
        <v>3.01003E-2</v>
      </c>
      <c r="GS39">
        <v>0</v>
      </c>
      <c r="GT39">
        <v>29.576499999999999</v>
      </c>
      <c r="GU39">
        <v>999.9</v>
      </c>
      <c r="GV39">
        <v>52.2</v>
      </c>
      <c r="GW39">
        <v>35.5</v>
      </c>
      <c r="GX39">
        <v>30.582999999999998</v>
      </c>
      <c r="GY39">
        <v>62.068899999999999</v>
      </c>
      <c r="GZ39">
        <v>25.524799999999999</v>
      </c>
      <c r="HA39">
        <v>1</v>
      </c>
      <c r="HB39">
        <v>0.43152400000000002</v>
      </c>
      <c r="HC39">
        <v>1.9258500000000001</v>
      </c>
      <c r="HD39">
        <v>20.1557</v>
      </c>
      <c r="HE39">
        <v>5.2322600000000001</v>
      </c>
      <c r="HF39">
        <v>11.9201</v>
      </c>
      <c r="HG39">
        <v>4.9610000000000003</v>
      </c>
      <c r="HH39">
        <v>3.2890000000000001</v>
      </c>
      <c r="HI39">
        <v>9999</v>
      </c>
      <c r="HJ39">
        <v>9999</v>
      </c>
      <c r="HK39">
        <v>9999</v>
      </c>
      <c r="HL39">
        <v>876.7</v>
      </c>
      <c r="HM39">
        <v>1.8810100000000001</v>
      </c>
      <c r="HN39">
        <v>1.8781000000000001</v>
      </c>
      <c r="HO39">
        <v>1.88608</v>
      </c>
      <c r="HP39">
        <v>1.88385</v>
      </c>
      <c r="HQ39">
        <v>1.8813899999999999</v>
      </c>
      <c r="HR39">
        <v>1.88049</v>
      </c>
      <c r="HS39">
        <v>1.8815599999999999</v>
      </c>
      <c r="HT39">
        <v>1.881</v>
      </c>
      <c r="HU39">
        <v>5</v>
      </c>
      <c r="HV39">
        <v>0</v>
      </c>
      <c r="HW39">
        <v>0</v>
      </c>
      <c r="HX39">
        <v>0</v>
      </c>
      <c r="HY39" t="s">
        <v>422</v>
      </c>
      <c r="HZ39" t="s">
        <v>423</v>
      </c>
      <c r="IA39" t="s">
        <v>424</v>
      </c>
      <c r="IB39" t="s">
        <v>424</v>
      </c>
      <c r="IC39" t="s">
        <v>424</v>
      </c>
      <c r="ID39" t="s">
        <v>424</v>
      </c>
      <c r="IE39">
        <v>0</v>
      </c>
      <c r="IF39">
        <v>100</v>
      </c>
      <c r="IG39">
        <v>100</v>
      </c>
      <c r="IH39">
        <v>1.4410000000000001</v>
      </c>
      <c r="II39">
        <v>0.27900000000000003</v>
      </c>
      <c r="IJ39">
        <v>0.91839604025418042</v>
      </c>
      <c r="IK39">
        <v>2.2153513873161218E-3</v>
      </c>
      <c r="IL39">
        <v>-2.2967369670569612E-6</v>
      </c>
      <c r="IM39">
        <v>7.7859689150384122E-10</v>
      </c>
      <c r="IN39">
        <v>-0.1161639088647709</v>
      </c>
      <c r="IO39">
        <v>-4.1434251034592161E-3</v>
      </c>
      <c r="IP39">
        <v>8.3987709687394815E-4</v>
      </c>
      <c r="IQ39">
        <v>-7.4586254598011197E-6</v>
      </c>
      <c r="IR39">
        <v>2</v>
      </c>
      <c r="IS39">
        <v>1930</v>
      </c>
      <c r="IT39">
        <v>2</v>
      </c>
      <c r="IU39">
        <v>41</v>
      </c>
      <c r="IV39">
        <v>1.4</v>
      </c>
      <c r="IW39">
        <v>1.4</v>
      </c>
      <c r="IX39">
        <v>0.98510699999999995</v>
      </c>
      <c r="IY39">
        <v>2.50732</v>
      </c>
      <c r="IZ39">
        <v>1.24512</v>
      </c>
      <c r="JA39">
        <v>2.2668499999999998</v>
      </c>
      <c r="JB39">
        <v>1.4501999999999999</v>
      </c>
      <c r="JC39">
        <v>2.4340799999999998</v>
      </c>
      <c r="JD39">
        <v>39.217300000000002</v>
      </c>
      <c r="JE39">
        <v>24.035</v>
      </c>
      <c r="JF39">
        <v>18</v>
      </c>
      <c r="JG39">
        <v>496.87299999999999</v>
      </c>
      <c r="JH39">
        <v>461.68700000000001</v>
      </c>
      <c r="JI39">
        <v>26.979500000000002</v>
      </c>
      <c r="JJ39">
        <v>32.775300000000001</v>
      </c>
      <c r="JK39">
        <v>30.001200000000001</v>
      </c>
      <c r="JL39">
        <v>32.703699999999998</v>
      </c>
      <c r="JM39">
        <v>32.680599999999998</v>
      </c>
      <c r="JN39">
        <v>19.813500000000001</v>
      </c>
      <c r="JO39">
        <v>32.489199999999997</v>
      </c>
      <c r="JP39">
        <v>0</v>
      </c>
      <c r="JQ39">
        <v>26.9115</v>
      </c>
      <c r="JR39">
        <v>400</v>
      </c>
      <c r="JS39">
        <v>22.827100000000002</v>
      </c>
      <c r="JT39">
        <v>99.451300000000003</v>
      </c>
      <c r="JU39">
        <v>99.387299999999996</v>
      </c>
    </row>
    <row r="40" spans="1:281" x14ac:dyDescent="0.25">
      <c r="A40">
        <v>24</v>
      </c>
      <c r="B40">
        <v>1693327091.5</v>
      </c>
      <c r="C40">
        <v>4378.4000000953674</v>
      </c>
      <c r="D40" t="s">
        <v>537</v>
      </c>
      <c r="E40" t="s">
        <v>538</v>
      </c>
      <c r="F40" t="s">
        <v>413</v>
      </c>
      <c r="G40" t="s">
        <v>493</v>
      </c>
      <c r="H40" t="s">
        <v>415</v>
      </c>
      <c r="I40" t="s">
        <v>415</v>
      </c>
      <c r="J40">
        <v>1693327091.5</v>
      </c>
      <c r="K40">
        <f t="shared" si="0"/>
        <v>5.1120770147761001E-3</v>
      </c>
      <c r="L40">
        <f t="shared" si="1"/>
        <v>5.1120770147760997</v>
      </c>
      <c r="M40">
        <f t="shared" si="2"/>
        <v>47.057741349727934</v>
      </c>
      <c r="N40">
        <f t="shared" si="3"/>
        <v>440.85399999999998</v>
      </c>
      <c r="O40">
        <f t="shared" si="4"/>
        <v>221.72052728868184</v>
      </c>
      <c r="P40">
        <f t="shared" si="5"/>
        <v>21.997314337870922</v>
      </c>
      <c r="Q40">
        <f t="shared" si="6"/>
        <v>43.737962080892004</v>
      </c>
      <c r="R40">
        <f t="shared" si="7"/>
        <v>0.37775969706178669</v>
      </c>
      <c r="S40">
        <f t="shared" si="8"/>
        <v>2.9200364068838827</v>
      </c>
      <c r="T40">
        <f t="shared" si="9"/>
        <v>0.35255865526146613</v>
      </c>
      <c r="U40">
        <f t="shared" si="10"/>
        <v>0.22247311993141367</v>
      </c>
      <c r="V40">
        <f t="shared" si="11"/>
        <v>344.38649864424525</v>
      </c>
      <c r="W40">
        <f t="shared" si="12"/>
        <v>31.219541845081974</v>
      </c>
      <c r="X40">
        <f t="shared" si="13"/>
        <v>29.986999999999998</v>
      </c>
      <c r="Y40">
        <f t="shared" si="14"/>
        <v>4.2572694897055063</v>
      </c>
      <c r="Z40">
        <f t="shared" si="15"/>
        <v>65.402461483832639</v>
      </c>
      <c r="AA40">
        <f t="shared" si="16"/>
        <v>2.8703787905564</v>
      </c>
      <c r="AB40">
        <f t="shared" si="17"/>
        <v>4.3887932127232734</v>
      </c>
      <c r="AC40">
        <f t="shared" si="18"/>
        <v>1.3868906991491063</v>
      </c>
      <c r="AD40">
        <f t="shared" si="19"/>
        <v>-225.44259635162601</v>
      </c>
      <c r="AE40">
        <f t="shared" si="20"/>
        <v>83.545448968937691</v>
      </c>
      <c r="AF40">
        <f t="shared" si="21"/>
        <v>6.3776193756328414</v>
      </c>
      <c r="AG40">
        <f t="shared" si="22"/>
        <v>208.86697063718975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51973.92677798713</v>
      </c>
      <c r="AM40" t="s">
        <v>416</v>
      </c>
      <c r="AN40">
        <v>10366.9</v>
      </c>
      <c r="AO40">
        <v>993.59653846153856</v>
      </c>
      <c r="AP40">
        <v>3431.87</v>
      </c>
      <c r="AQ40">
        <f t="shared" si="26"/>
        <v>0.71047955241266758</v>
      </c>
      <c r="AR40">
        <v>-3.9894345373445681</v>
      </c>
      <c r="AS40" t="s">
        <v>539</v>
      </c>
      <c r="AT40">
        <v>10456.9</v>
      </c>
      <c r="AU40">
        <v>809.02915999999993</v>
      </c>
      <c r="AV40">
        <v>1188.5222089627989</v>
      </c>
      <c r="AW40">
        <f t="shared" si="27"/>
        <v>0.31929823952888137</v>
      </c>
      <c r="AX40">
        <v>0.5</v>
      </c>
      <c r="AY40">
        <f t="shared" si="28"/>
        <v>1513.2602993221224</v>
      </c>
      <c r="AZ40">
        <f t="shared" si="29"/>
        <v>47.057741349727934</v>
      </c>
      <c r="BA40">
        <f t="shared" si="30"/>
        <v>241.59067476125088</v>
      </c>
      <c r="BB40">
        <f t="shared" si="31"/>
        <v>3.3733242000691825E-2</v>
      </c>
      <c r="BC40">
        <f t="shared" si="32"/>
        <v>1.8875101989006404</v>
      </c>
      <c r="BD40">
        <f t="shared" si="33"/>
        <v>642.49208909216873</v>
      </c>
      <c r="BE40" t="s">
        <v>540</v>
      </c>
      <c r="BF40">
        <v>617.89</v>
      </c>
      <c r="BG40">
        <f t="shared" si="34"/>
        <v>617.89</v>
      </c>
      <c r="BH40">
        <f t="shared" si="35"/>
        <v>0.48011909635309125</v>
      </c>
      <c r="BI40">
        <f t="shared" si="36"/>
        <v>0.6650396577728741</v>
      </c>
      <c r="BJ40">
        <f t="shared" si="37"/>
        <v>0.79721525776203139</v>
      </c>
      <c r="BK40">
        <f t="shared" si="38"/>
        <v>1.9468602980147001</v>
      </c>
      <c r="BL40">
        <f t="shared" si="39"/>
        <v>0.92005586183172849</v>
      </c>
      <c r="BM40">
        <f t="shared" si="40"/>
        <v>0.50791908927149332</v>
      </c>
      <c r="BN40">
        <f t="shared" si="41"/>
        <v>0.49208091072850668</v>
      </c>
      <c r="BO40">
        <v>7594</v>
      </c>
      <c r="BP40">
        <v>290.00000000000011</v>
      </c>
      <c r="BQ40">
        <v>1084.3800000000001</v>
      </c>
      <c r="BR40">
        <v>165</v>
      </c>
      <c r="BS40">
        <v>10456.9</v>
      </c>
      <c r="BT40">
        <v>1080.69</v>
      </c>
      <c r="BU40">
        <v>3.69</v>
      </c>
      <c r="BV40">
        <v>300.00000000000011</v>
      </c>
      <c r="BW40">
        <v>38.200000000000003</v>
      </c>
      <c r="BX40">
        <v>1188.5222089627989</v>
      </c>
      <c r="BY40">
        <v>1.4343161250420799</v>
      </c>
      <c r="BZ40">
        <v>-112.7639967999407</v>
      </c>
      <c r="CA40">
        <v>1.22758429449968</v>
      </c>
      <c r="CB40">
        <v>0.99669264350046372</v>
      </c>
      <c r="CC40">
        <v>-1.135373770856507E-2</v>
      </c>
      <c r="CD40">
        <v>289.99999999999989</v>
      </c>
      <c r="CE40">
        <v>1068.1600000000001</v>
      </c>
      <c r="CF40">
        <v>665</v>
      </c>
      <c r="CG40">
        <v>10432.4</v>
      </c>
      <c r="CH40">
        <v>1080.43</v>
      </c>
      <c r="CI40">
        <v>-12.27</v>
      </c>
      <c r="CW40">
        <f t="shared" si="42"/>
        <v>1800.09</v>
      </c>
      <c r="CX40">
        <f t="shared" si="43"/>
        <v>1513.2602993221224</v>
      </c>
      <c r="CY40">
        <f t="shared" si="44"/>
        <v>0.8406581333833989</v>
      </c>
      <c r="CZ40">
        <f t="shared" si="45"/>
        <v>0.19131626676679792</v>
      </c>
      <c r="DA40">
        <v>6</v>
      </c>
      <c r="DB40">
        <v>0.5</v>
      </c>
      <c r="DC40" t="s">
        <v>419</v>
      </c>
      <c r="DD40">
        <v>2</v>
      </c>
      <c r="DE40">
        <v>1693327091.5</v>
      </c>
      <c r="DF40">
        <v>440.85399999999998</v>
      </c>
      <c r="DG40">
        <v>499.96800000000002</v>
      </c>
      <c r="DH40">
        <v>28.931799999999999</v>
      </c>
      <c r="DI40">
        <v>22.980799999999999</v>
      </c>
      <c r="DJ40">
        <v>439.36200000000002</v>
      </c>
      <c r="DK40">
        <v>28.654699999999998</v>
      </c>
      <c r="DL40">
        <v>500.505</v>
      </c>
      <c r="DM40">
        <v>99.111800000000002</v>
      </c>
      <c r="DN40">
        <v>0.10009800000000001</v>
      </c>
      <c r="DO40">
        <v>30.517700000000001</v>
      </c>
      <c r="DP40">
        <v>29.986999999999998</v>
      </c>
      <c r="DQ40">
        <v>999.9</v>
      </c>
      <c r="DR40">
        <v>0</v>
      </c>
      <c r="DS40">
        <v>0</v>
      </c>
      <c r="DT40">
        <v>10035</v>
      </c>
      <c r="DU40">
        <v>0</v>
      </c>
      <c r="DV40">
        <v>1722.4</v>
      </c>
      <c r="DW40">
        <v>-59.1145</v>
      </c>
      <c r="DX40">
        <v>453.98899999999998</v>
      </c>
      <c r="DY40">
        <v>511.72800000000001</v>
      </c>
      <c r="DZ40">
        <v>5.9510699999999996</v>
      </c>
      <c r="EA40">
        <v>499.96800000000002</v>
      </c>
      <c r="EB40">
        <v>22.980799999999999</v>
      </c>
      <c r="EC40">
        <v>2.8674900000000001</v>
      </c>
      <c r="ED40">
        <v>2.2776700000000001</v>
      </c>
      <c r="EE40">
        <v>23.277799999999999</v>
      </c>
      <c r="EF40">
        <v>19.519300000000001</v>
      </c>
      <c r="EG40">
        <v>1800.09</v>
      </c>
      <c r="EH40">
        <v>0.97799899999999995</v>
      </c>
      <c r="EI40">
        <v>2.2001E-2</v>
      </c>
      <c r="EJ40">
        <v>0</v>
      </c>
      <c r="EK40">
        <v>809.61900000000003</v>
      </c>
      <c r="EL40">
        <v>5.0010300000000001</v>
      </c>
      <c r="EM40">
        <v>15724</v>
      </c>
      <c r="EN40">
        <v>14701.8</v>
      </c>
      <c r="EO40">
        <v>48.125</v>
      </c>
      <c r="EP40">
        <v>50.436999999999998</v>
      </c>
      <c r="EQ40">
        <v>49.75</v>
      </c>
      <c r="ER40">
        <v>48.625</v>
      </c>
      <c r="ES40">
        <v>49.686999999999998</v>
      </c>
      <c r="ET40">
        <v>1755.6</v>
      </c>
      <c r="EU40">
        <v>39.49</v>
      </c>
      <c r="EV40">
        <v>0</v>
      </c>
      <c r="EW40">
        <v>111.5999999046326</v>
      </c>
      <c r="EX40">
        <v>0</v>
      </c>
      <c r="EY40">
        <v>809.02915999999993</v>
      </c>
      <c r="EZ40">
        <v>5.5438461375731762</v>
      </c>
      <c r="FA40">
        <v>114.3692306195566</v>
      </c>
      <c r="FB40">
        <v>15708.628000000001</v>
      </c>
      <c r="FC40">
        <v>15</v>
      </c>
      <c r="FD40">
        <v>1693327062.5</v>
      </c>
      <c r="FE40" t="s">
        <v>541</v>
      </c>
      <c r="FF40">
        <v>1693327062.5</v>
      </c>
      <c r="FG40">
        <v>1693327057.5</v>
      </c>
      <c r="FH40">
        <v>27</v>
      </c>
      <c r="FI40">
        <v>-2.1999999999999999E-2</v>
      </c>
      <c r="FJ40">
        <v>-2E-3</v>
      </c>
      <c r="FK40">
        <v>1.526</v>
      </c>
      <c r="FL40">
        <v>0.13700000000000001</v>
      </c>
      <c r="FM40">
        <v>500</v>
      </c>
      <c r="FN40">
        <v>23</v>
      </c>
      <c r="FO40">
        <v>0.12</v>
      </c>
      <c r="FP40">
        <v>0.04</v>
      </c>
      <c r="FQ40">
        <v>47.098386574004643</v>
      </c>
      <c r="FR40">
        <v>-4.7041124962851351E-2</v>
      </c>
      <c r="FS40">
        <v>6.0786460851665787E-2</v>
      </c>
      <c r="FT40">
        <v>1</v>
      </c>
      <c r="FU40">
        <v>0.38092993527654662</v>
      </c>
      <c r="FV40">
        <v>2.57224603246048E-2</v>
      </c>
      <c r="FW40">
        <v>3.3353255262584449E-3</v>
      </c>
      <c r="FX40">
        <v>1</v>
      </c>
      <c r="FY40">
        <v>2</v>
      </c>
      <c r="FZ40">
        <v>2</v>
      </c>
      <c r="GA40" t="s">
        <v>421</v>
      </c>
      <c r="GB40">
        <v>2.9022399999999999</v>
      </c>
      <c r="GC40">
        <v>2.8184100000000001</v>
      </c>
      <c r="GD40">
        <v>9.7213300000000002E-2</v>
      </c>
      <c r="GE40">
        <v>0.10695499999999999</v>
      </c>
      <c r="GF40">
        <v>0.13520299999999999</v>
      </c>
      <c r="GG40">
        <v>0.11529499999999999</v>
      </c>
      <c r="GH40">
        <v>25065</v>
      </c>
      <c r="GI40">
        <v>24913.8</v>
      </c>
      <c r="GJ40">
        <v>24632.799999999999</v>
      </c>
      <c r="GK40">
        <v>24913.1</v>
      </c>
      <c r="GL40">
        <v>28305.4</v>
      </c>
      <c r="GM40">
        <v>28853.4</v>
      </c>
      <c r="GN40">
        <v>33324.199999999997</v>
      </c>
      <c r="GO40">
        <v>33312.300000000003</v>
      </c>
      <c r="GP40">
        <v>1.9617</v>
      </c>
      <c r="GQ40">
        <v>1.8367</v>
      </c>
      <c r="GR40">
        <v>2.33352E-2</v>
      </c>
      <c r="GS40">
        <v>0</v>
      </c>
      <c r="GT40">
        <v>29.607099999999999</v>
      </c>
      <c r="GU40">
        <v>999.9</v>
      </c>
      <c r="GV40">
        <v>52.1</v>
      </c>
      <c r="GW40">
        <v>35.6</v>
      </c>
      <c r="GX40">
        <v>30.693100000000001</v>
      </c>
      <c r="GY40">
        <v>61.808999999999997</v>
      </c>
      <c r="GZ40">
        <v>25.052099999999999</v>
      </c>
      <c r="HA40">
        <v>1</v>
      </c>
      <c r="HB40">
        <v>0.43506099999999998</v>
      </c>
      <c r="HC40">
        <v>0.27729799999999999</v>
      </c>
      <c r="HD40">
        <v>20.166599999999999</v>
      </c>
      <c r="HE40">
        <v>5.2322600000000001</v>
      </c>
      <c r="HF40">
        <v>11.9201</v>
      </c>
      <c r="HG40">
        <v>4.9602000000000004</v>
      </c>
      <c r="HH40">
        <v>3.2890000000000001</v>
      </c>
      <c r="HI40">
        <v>9999</v>
      </c>
      <c r="HJ40">
        <v>9999</v>
      </c>
      <c r="HK40">
        <v>9999</v>
      </c>
      <c r="HL40">
        <v>876.8</v>
      </c>
      <c r="HM40">
        <v>1.8809499999999999</v>
      </c>
      <c r="HN40">
        <v>1.8781399999999999</v>
      </c>
      <c r="HO40">
        <v>1.8860300000000001</v>
      </c>
      <c r="HP40">
        <v>1.88385</v>
      </c>
      <c r="HQ40">
        <v>1.88137</v>
      </c>
      <c r="HR40">
        <v>1.8804399999999999</v>
      </c>
      <c r="HS40">
        <v>1.8815599999999999</v>
      </c>
      <c r="HT40">
        <v>1.8809499999999999</v>
      </c>
      <c r="HU40">
        <v>5</v>
      </c>
      <c r="HV40">
        <v>0</v>
      </c>
      <c r="HW40">
        <v>0</v>
      </c>
      <c r="HX40">
        <v>0</v>
      </c>
      <c r="HY40" t="s">
        <v>422</v>
      </c>
      <c r="HZ40" t="s">
        <v>423</v>
      </c>
      <c r="IA40" t="s">
        <v>424</v>
      </c>
      <c r="IB40" t="s">
        <v>424</v>
      </c>
      <c r="IC40" t="s">
        <v>424</v>
      </c>
      <c r="ID40" t="s">
        <v>424</v>
      </c>
      <c r="IE40">
        <v>0</v>
      </c>
      <c r="IF40">
        <v>100</v>
      </c>
      <c r="IG40">
        <v>100</v>
      </c>
      <c r="IH40">
        <v>1.492</v>
      </c>
      <c r="II40">
        <v>0.27710000000000001</v>
      </c>
      <c r="IJ40">
        <v>0.89611467337249895</v>
      </c>
      <c r="IK40">
        <v>2.2153513873161218E-3</v>
      </c>
      <c r="IL40">
        <v>-2.2967369670569612E-6</v>
      </c>
      <c r="IM40">
        <v>7.7859689150384122E-10</v>
      </c>
      <c r="IN40">
        <v>-0.11827885477824621</v>
      </c>
      <c r="IO40">
        <v>-4.1434251034592161E-3</v>
      </c>
      <c r="IP40">
        <v>8.3987709687394815E-4</v>
      </c>
      <c r="IQ40">
        <v>-7.4586254598011197E-6</v>
      </c>
      <c r="IR40">
        <v>2</v>
      </c>
      <c r="IS40">
        <v>1930</v>
      </c>
      <c r="IT40">
        <v>2</v>
      </c>
      <c r="IU40">
        <v>41</v>
      </c>
      <c r="IV40">
        <v>0.5</v>
      </c>
      <c r="IW40">
        <v>0.6</v>
      </c>
      <c r="IX40">
        <v>1.17676</v>
      </c>
      <c r="IY40">
        <v>2.50122</v>
      </c>
      <c r="IZ40">
        <v>1.24512</v>
      </c>
      <c r="JA40">
        <v>2.2668499999999998</v>
      </c>
      <c r="JB40">
        <v>1.4501999999999999</v>
      </c>
      <c r="JC40">
        <v>2.3999000000000001</v>
      </c>
      <c r="JD40">
        <v>39.217300000000002</v>
      </c>
      <c r="JE40">
        <v>24.043700000000001</v>
      </c>
      <c r="JF40">
        <v>18</v>
      </c>
      <c r="JG40">
        <v>496.36200000000002</v>
      </c>
      <c r="JH40">
        <v>461.23200000000003</v>
      </c>
      <c r="JI40">
        <v>26.419699999999999</v>
      </c>
      <c r="JJ40">
        <v>32.816099999999999</v>
      </c>
      <c r="JK40">
        <v>29.999700000000001</v>
      </c>
      <c r="JL40">
        <v>32.724200000000003</v>
      </c>
      <c r="JM40">
        <v>32.692300000000003</v>
      </c>
      <c r="JN40">
        <v>23.657499999999999</v>
      </c>
      <c r="JO40">
        <v>32.083500000000001</v>
      </c>
      <c r="JP40">
        <v>0</v>
      </c>
      <c r="JQ40">
        <v>26.7392</v>
      </c>
      <c r="JR40">
        <v>500</v>
      </c>
      <c r="JS40">
        <v>22.996500000000001</v>
      </c>
      <c r="JT40">
        <v>99.444100000000006</v>
      </c>
      <c r="JU40">
        <v>99.373999999999995</v>
      </c>
    </row>
    <row r="41" spans="1:281" x14ac:dyDescent="0.25">
      <c r="A41">
        <v>25</v>
      </c>
      <c r="B41">
        <v>1693327191</v>
      </c>
      <c r="C41">
        <v>4477.9000000953674</v>
      </c>
      <c r="D41" t="s">
        <v>542</v>
      </c>
      <c r="E41" t="s">
        <v>543</v>
      </c>
      <c r="F41" t="s">
        <v>413</v>
      </c>
      <c r="G41" t="s">
        <v>493</v>
      </c>
      <c r="H41" t="s">
        <v>415</v>
      </c>
      <c r="I41" t="s">
        <v>415</v>
      </c>
      <c r="J41">
        <v>1693327191</v>
      </c>
      <c r="K41">
        <f t="shared" si="0"/>
        <v>4.9424561451026335E-3</v>
      </c>
      <c r="L41">
        <f t="shared" si="1"/>
        <v>4.9424561451026339</v>
      </c>
      <c r="M41">
        <f t="shared" si="2"/>
        <v>49.270833711534472</v>
      </c>
      <c r="N41">
        <f t="shared" si="3"/>
        <v>637.02200000000005</v>
      </c>
      <c r="O41">
        <f t="shared" si="4"/>
        <v>394.66958666429815</v>
      </c>
      <c r="P41">
        <f t="shared" si="5"/>
        <v>39.157358648893535</v>
      </c>
      <c r="Q41">
        <f t="shared" si="6"/>
        <v>63.202485735118607</v>
      </c>
      <c r="R41">
        <f t="shared" si="7"/>
        <v>0.36224011477111667</v>
      </c>
      <c r="S41">
        <f t="shared" si="8"/>
        <v>2.9161741430943233</v>
      </c>
      <c r="T41">
        <f t="shared" si="9"/>
        <v>0.33897024295710843</v>
      </c>
      <c r="U41">
        <f t="shared" si="10"/>
        <v>0.2138224175673204</v>
      </c>
      <c r="V41">
        <f t="shared" si="11"/>
        <v>344.35039864410214</v>
      </c>
      <c r="W41">
        <f t="shared" si="12"/>
        <v>31.264384472735316</v>
      </c>
      <c r="X41">
        <f t="shared" si="13"/>
        <v>30.0396</v>
      </c>
      <c r="Y41">
        <f t="shared" si="14"/>
        <v>4.2701501658543304</v>
      </c>
      <c r="Z41">
        <f t="shared" si="15"/>
        <v>65.521516399882742</v>
      </c>
      <c r="AA41">
        <f t="shared" si="16"/>
        <v>2.8756038646314201</v>
      </c>
      <c r="AB41">
        <f t="shared" si="17"/>
        <v>4.3887932127232734</v>
      </c>
      <c r="AC41">
        <f t="shared" si="18"/>
        <v>1.3945463012229102</v>
      </c>
      <c r="AD41">
        <f t="shared" si="19"/>
        <v>-217.96231599902615</v>
      </c>
      <c r="AE41">
        <f t="shared" si="20"/>
        <v>75.165342710436022</v>
      </c>
      <c r="AF41">
        <f t="shared" si="21"/>
        <v>5.7469997648963611</v>
      </c>
      <c r="AG41">
        <f t="shared" si="22"/>
        <v>207.30042512040839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51864.206105635982</v>
      </c>
      <c r="AM41" t="s">
        <v>416</v>
      </c>
      <c r="AN41">
        <v>10366.9</v>
      </c>
      <c r="AO41">
        <v>993.59653846153856</v>
      </c>
      <c r="AP41">
        <v>3431.87</v>
      </c>
      <c r="AQ41">
        <f t="shared" si="26"/>
        <v>0.71047955241266758</v>
      </c>
      <c r="AR41">
        <v>-3.9894345373445681</v>
      </c>
      <c r="AS41" t="s">
        <v>544</v>
      </c>
      <c r="AT41">
        <v>10447.5</v>
      </c>
      <c r="AU41">
        <v>823.62930769230775</v>
      </c>
      <c r="AV41">
        <v>1232.521862868083</v>
      </c>
      <c r="AW41">
        <f t="shared" si="27"/>
        <v>0.33175278061541291</v>
      </c>
      <c r="AX41">
        <v>0.5</v>
      </c>
      <c r="AY41">
        <f t="shared" si="28"/>
        <v>1513.100699322051</v>
      </c>
      <c r="AZ41">
        <f t="shared" si="29"/>
        <v>49.270833711534472</v>
      </c>
      <c r="BA41">
        <f t="shared" si="30"/>
        <v>250.98768217560811</v>
      </c>
      <c r="BB41">
        <f t="shared" si="31"/>
        <v>3.5199420813659302E-2</v>
      </c>
      <c r="BC41">
        <f t="shared" si="32"/>
        <v>1.7844293098493405</v>
      </c>
      <c r="BD41">
        <f t="shared" si="33"/>
        <v>655.13496545349619</v>
      </c>
      <c r="BE41" t="s">
        <v>545</v>
      </c>
      <c r="BF41">
        <v>623.91</v>
      </c>
      <c r="BG41">
        <f t="shared" si="34"/>
        <v>623.91</v>
      </c>
      <c r="BH41">
        <f t="shared" si="35"/>
        <v>0.4937939692622092</v>
      </c>
      <c r="BI41">
        <f t="shared" si="36"/>
        <v>0.67184453692517476</v>
      </c>
      <c r="BJ41">
        <f t="shared" si="37"/>
        <v>0.78325479605546966</v>
      </c>
      <c r="BK41">
        <f t="shared" si="38"/>
        <v>1.7113822328855453</v>
      </c>
      <c r="BL41">
        <f t="shared" si="39"/>
        <v>0.9020104478946378</v>
      </c>
      <c r="BM41">
        <f t="shared" si="40"/>
        <v>0.50893104594279437</v>
      </c>
      <c r="BN41">
        <f t="shared" si="41"/>
        <v>0.49106895405720563</v>
      </c>
      <c r="BO41">
        <v>7596</v>
      </c>
      <c r="BP41">
        <v>290.00000000000011</v>
      </c>
      <c r="BQ41">
        <v>1118.57</v>
      </c>
      <c r="BR41">
        <v>225</v>
      </c>
      <c r="BS41">
        <v>10447.5</v>
      </c>
      <c r="BT41">
        <v>1115.58</v>
      </c>
      <c r="BU41">
        <v>2.99</v>
      </c>
      <c r="BV41">
        <v>300.00000000000011</v>
      </c>
      <c r="BW41">
        <v>38.200000000000003</v>
      </c>
      <c r="BX41">
        <v>1232.521862868083</v>
      </c>
      <c r="BY41">
        <v>1.1795729615168811</v>
      </c>
      <c r="BZ41">
        <v>-122.1742046730853</v>
      </c>
      <c r="CA41">
        <v>1.0094589412798669</v>
      </c>
      <c r="CB41">
        <v>0.99809213806488228</v>
      </c>
      <c r="CC41">
        <v>-1.1353012235817569E-2</v>
      </c>
      <c r="CD41">
        <v>289.99999999999989</v>
      </c>
      <c r="CE41">
        <v>1102.32</v>
      </c>
      <c r="CF41">
        <v>635</v>
      </c>
      <c r="CG41">
        <v>10434</v>
      </c>
      <c r="CH41">
        <v>1115.43</v>
      </c>
      <c r="CI41">
        <v>-13.11</v>
      </c>
      <c r="CW41">
        <f t="shared" si="42"/>
        <v>1799.9</v>
      </c>
      <c r="CX41">
        <f t="shared" si="43"/>
        <v>1513.100699322051</v>
      </c>
      <c r="CY41">
        <f t="shared" si="44"/>
        <v>0.84065820285685366</v>
      </c>
      <c r="CZ41">
        <f t="shared" si="45"/>
        <v>0.1913164057137075</v>
      </c>
      <c r="DA41">
        <v>6</v>
      </c>
      <c r="DB41">
        <v>0.5</v>
      </c>
      <c r="DC41" t="s">
        <v>419</v>
      </c>
      <c r="DD41">
        <v>2</v>
      </c>
      <c r="DE41">
        <v>1693327191</v>
      </c>
      <c r="DF41">
        <v>637.02200000000005</v>
      </c>
      <c r="DG41">
        <v>699.94100000000003</v>
      </c>
      <c r="DH41">
        <v>28.9834</v>
      </c>
      <c r="DI41">
        <v>23.222899999999999</v>
      </c>
      <c r="DJ41">
        <v>635.327</v>
      </c>
      <c r="DK41">
        <v>28.700399999999998</v>
      </c>
      <c r="DL41">
        <v>499.87400000000002</v>
      </c>
      <c r="DM41">
        <v>99.115600000000001</v>
      </c>
      <c r="DN41">
        <v>9.9946300000000002E-2</v>
      </c>
      <c r="DO41">
        <v>30.517700000000001</v>
      </c>
      <c r="DP41">
        <v>30.0396</v>
      </c>
      <c r="DQ41">
        <v>999.9</v>
      </c>
      <c r="DR41">
        <v>0</v>
      </c>
      <c r="DS41">
        <v>0</v>
      </c>
      <c r="DT41">
        <v>10012.5</v>
      </c>
      <c r="DU41">
        <v>0</v>
      </c>
      <c r="DV41">
        <v>1744.15</v>
      </c>
      <c r="DW41">
        <v>-62.918500000000002</v>
      </c>
      <c r="DX41">
        <v>656.03599999999994</v>
      </c>
      <c r="DY41">
        <v>716.58199999999999</v>
      </c>
      <c r="DZ41">
        <v>5.7604699999999998</v>
      </c>
      <c r="EA41">
        <v>699.94100000000003</v>
      </c>
      <c r="EB41">
        <v>23.222899999999999</v>
      </c>
      <c r="EC41">
        <v>2.8727100000000001</v>
      </c>
      <c r="ED41">
        <v>2.3017599999999998</v>
      </c>
      <c r="EE41">
        <v>23.3079</v>
      </c>
      <c r="EF41">
        <v>19.688700000000001</v>
      </c>
      <c r="EG41">
        <v>1799.9</v>
      </c>
      <c r="EH41">
        <v>0.97799899999999995</v>
      </c>
      <c r="EI41">
        <v>2.2001E-2</v>
      </c>
      <c r="EJ41">
        <v>0</v>
      </c>
      <c r="EK41">
        <v>823.6</v>
      </c>
      <c r="EL41">
        <v>5.0010300000000001</v>
      </c>
      <c r="EM41">
        <v>15992.4</v>
      </c>
      <c r="EN41">
        <v>14700.3</v>
      </c>
      <c r="EO41">
        <v>48.375</v>
      </c>
      <c r="EP41">
        <v>50.625</v>
      </c>
      <c r="EQ41">
        <v>50.061999999999998</v>
      </c>
      <c r="ER41">
        <v>48.75</v>
      </c>
      <c r="ES41">
        <v>49.875</v>
      </c>
      <c r="ET41">
        <v>1755.41</v>
      </c>
      <c r="EU41">
        <v>39.49</v>
      </c>
      <c r="EV41">
        <v>0</v>
      </c>
      <c r="EW41">
        <v>97.400000095367432</v>
      </c>
      <c r="EX41">
        <v>0</v>
      </c>
      <c r="EY41">
        <v>823.62930769230775</v>
      </c>
      <c r="EZ41">
        <v>1.259692301479133</v>
      </c>
      <c r="FA41">
        <v>44.673504324437957</v>
      </c>
      <c r="FB41">
        <v>15993.59615384616</v>
      </c>
      <c r="FC41">
        <v>15</v>
      </c>
      <c r="FD41">
        <v>1693327163</v>
      </c>
      <c r="FE41" t="s">
        <v>546</v>
      </c>
      <c r="FF41">
        <v>1693327158</v>
      </c>
      <c r="FG41">
        <v>1693327163</v>
      </c>
      <c r="FH41">
        <v>28</v>
      </c>
      <c r="FI41">
        <v>0.11899999999999999</v>
      </c>
      <c r="FJ41">
        <v>5.0000000000000001E-3</v>
      </c>
      <c r="FK41">
        <v>1.708</v>
      </c>
      <c r="FL41">
        <v>0.14000000000000001</v>
      </c>
      <c r="FM41">
        <v>700</v>
      </c>
      <c r="FN41">
        <v>23</v>
      </c>
      <c r="FO41">
        <v>0.11</v>
      </c>
      <c r="FP41">
        <v>0.04</v>
      </c>
      <c r="FQ41">
        <v>49.316878960073602</v>
      </c>
      <c r="FR41">
        <v>-0.66463799735387497</v>
      </c>
      <c r="FS41">
        <v>0.1142917588503638</v>
      </c>
      <c r="FT41">
        <v>1</v>
      </c>
      <c r="FU41">
        <v>0.36621964010608521</v>
      </c>
      <c r="FV41">
        <v>4.0912862701719149E-2</v>
      </c>
      <c r="FW41">
        <v>5.5334831622733879E-3</v>
      </c>
      <c r="FX41">
        <v>1</v>
      </c>
      <c r="FY41">
        <v>2</v>
      </c>
      <c r="FZ41">
        <v>2</v>
      </c>
      <c r="GA41" t="s">
        <v>421</v>
      </c>
      <c r="GB41">
        <v>2.90049</v>
      </c>
      <c r="GC41">
        <v>2.81806</v>
      </c>
      <c r="GD41">
        <v>0.126863</v>
      </c>
      <c r="GE41">
        <v>0.13555900000000001</v>
      </c>
      <c r="GF41">
        <v>0.13534599999999999</v>
      </c>
      <c r="GG41">
        <v>0.116129</v>
      </c>
      <c r="GH41">
        <v>24239.8</v>
      </c>
      <c r="GI41">
        <v>24114.5</v>
      </c>
      <c r="GJ41">
        <v>24630.9</v>
      </c>
      <c r="GK41">
        <v>24912</v>
      </c>
      <c r="GL41">
        <v>28298.3</v>
      </c>
      <c r="GM41">
        <v>28824.9</v>
      </c>
      <c r="GN41">
        <v>33321.1</v>
      </c>
      <c r="GO41">
        <v>33310.800000000003</v>
      </c>
      <c r="GP41">
        <v>1.9611000000000001</v>
      </c>
      <c r="GQ41">
        <v>1.8368</v>
      </c>
      <c r="GR41">
        <v>1.6808500000000001E-2</v>
      </c>
      <c r="GS41">
        <v>0</v>
      </c>
      <c r="GT41">
        <v>29.765999999999998</v>
      </c>
      <c r="GU41">
        <v>999.9</v>
      </c>
      <c r="GV41">
        <v>52.1</v>
      </c>
      <c r="GW41">
        <v>35.6</v>
      </c>
      <c r="GX41">
        <v>30.691400000000002</v>
      </c>
      <c r="GY41">
        <v>61.859000000000002</v>
      </c>
      <c r="GZ41">
        <v>26.245999999999999</v>
      </c>
      <c r="HA41">
        <v>1</v>
      </c>
      <c r="HB41">
        <v>0.44235799999999997</v>
      </c>
      <c r="HC41">
        <v>2.8402799999999999</v>
      </c>
      <c r="HD41">
        <v>20.1435</v>
      </c>
      <c r="HE41">
        <v>5.2340600000000004</v>
      </c>
      <c r="HF41">
        <v>11.9201</v>
      </c>
      <c r="HG41">
        <v>4.9611999999999998</v>
      </c>
      <c r="HH41">
        <v>3.2890000000000001</v>
      </c>
      <c r="HI41">
        <v>9999</v>
      </c>
      <c r="HJ41">
        <v>9999</v>
      </c>
      <c r="HK41">
        <v>9999</v>
      </c>
      <c r="HL41">
        <v>876.8</v>
      </c>
      <c r="HM41">
        <v>1.8809499999999999</v>
      </c>
      <c r="HN41">
        <v>1.8780600000000001</v>
      </c>
      <c r="HO41">
        <v>1.8860300000000001</v>
      </c>
      <c r="HP41">
        <v>1.88385</v>
      </c>
      <c r="HQ41">
        <v>1.88141</v>
      </c>
      <c r="HR41">
        <v>1.88043</v>
      </c>
      <c r="HS41">
        <v>1.8815599999999999</v>
      </c>
      <c r="HT41">
        <v>1.8809800000000001</v>
      </c>
      <c r="HU41">
        <v>5</v>
      </c>
      <c r="HV41">
        <v>0</v>
      </c>
      <c r="HW41">
        <v>0</v>
      </c>
      <c r="HX41">
        <v>0</v>
      </c>
      <c r="HY41" t="s">
        <v>422</v>
      </c>
      <c r="HZ41" t="s">
        <v>423</v>
      </c>
      <c r="IA41" t="s">
        <v>424</v>
      </c>
      <c r="IB41" t="s">
        <v>424</v>
      </c>
      <c r="IC41" t="s">
        <v>424</v>
      </c>
      <c r="ID41" t="s">
        <v>424</v>
      </c>
      <c r="IE41">
        <v>0</v>
      </c>
      <c r="IF41">
        <v>100</v>
      </c>
      <c r="IG41">
        <v>100</v>
      </c>
      <c r="IH41">
        <v>1.6950000000000001</v>
      </c>
      <c r="II41">
        <v>0.28299999999999997</v>
      </c>
      <c r="IJ41">
        <v>1.0154542354577869</v>
      </c>
      <c r="IK41">
        <v>2.2153513873161218E-3</v>
      </c>
      <c r="IL41">
        <v>-2.2967369670569612E-6</v>
      </c>
      <c r="IM41">
        <v>7.7859689150384122E-10</v>
      </c>
      <c r="IN41">
        <v>-0.1136210587050973</v>
      </c>
      <c r="IO41">
        <v>-4.1434251034592161E-3</v>
      </c>
      <c r="IP41">
        <v>8.3987709687394815E-4</v>
      </c>
      <c r="IQ41">
        <v>-7.4586254598011197E-6</v>
      </c>
      <c r="IR41">
        <v>2</v>
      </c>
      <c r="IS41">
        <v>1930</v>
      </c>
      <c r="IT41">
        <v>2</v>
      </c>
      <c r="IU41">
        <v>41</v>
      </c>
      <c r="IV41">
        <v>0.6</v>
      </c>
      <c r="IW41">
        <v>0.5</v>
      </c>
      <c r="IX41">
        <v>1.54297</v>
      </c>
      <c r="IY41">
        <v>2.49756</v>
      </c>
      <c r="IZ41">
        <v>1.24512</v>
      </c>
      <c r="JA41">
        <v>2.2668499999999998</v>
      </c>
      <c r="JB41">
        <v>1.4501999999999999</v>
      </c>
      <c r="JC41">
        <v>2.3828100000000001</v>
      </c>
      <c r="JD41">
        <v>39.217300000000002</v>
      </c>
      <c r="JE41">
        <v>24.052499999999998</v>
      </c>
      <c r="JF41">
        <v>18</v>
      </c>
      <c r="JG41">
        <v>496.21600000000001</v>
      </c>
      <c r="JH41">
        <v>461.50599999999997</v>
      </c>
      <c r="JI41">
        <v>25.789899999999999</v>
      </c>
      <c r="JJ41">
        <v>32.866300000000003</v>
      </c>
      <c r="JK41">
        <v>30.0002</v>
      </c>
      <c r="JL41">
        <v>32.756399999999999</v>
      </c>
      <c r="JM41">
        <v>32.718000000000004</v>
      </c>
      <c r="JN41">
        <v>30.9937</v>
      </c>
      <c r="JO41">
        <v>31.554500000000001</v>
      </c>
      <c r="JP41">
        <v>0</v>
      </c>
      <c r="JQ41">
        <v>25.777200000000001</v>
      </c>
      <c r="JR41">
        <v>700</v>
      </c>
      <c r="JS41">
        <v>23.143799999999999</v>
      </c>
      <c r="JT41">
        <v>99.435400000000001</v>
      </c>
      <c r="JU41">
        <v>99.369600000000005</v>
      </c>
    </row>
    <row r="42" spans="1:281" x14ac:dyDescent="0.25">
      <c r="A42">
        <v>26</v>
      </c>
      <c r="B42">
        <v>1693327293.5</v>
      </c>
      <c r="C42">
        <v>4580.4000000953674</v>
      </c>
      <c r="D42" t="s">
        <v>547</v>
      </c>
      <c r="E42" t="s">
        <v>548</v>
      </c>
      <c r="F42" t="s">
        <v>413</v>
      </c>
      <c r="G42" t="s">
        <v>493</v>
      </c>
      <c r="H42" t="s">
        <v>415</v>
      </c>
      <c r="I42" t="s">
        <v>415</v>
      </c>
      <c r="J42">
        <v>1693327293.5</v>
      </c>
      <c r="K42">
        <f t="shared" si="0"/>
        <v>4.8346061791369049E-3</v>
      </c>
      <c r="L42">
        <f t="shared" si="1"/>
        <v>4.8346061791369053</v>
      </c>
      <c r="M42">
        <f t="shared" si="2"/>
        <v>49.454331227777217</v>
      </c>
      <c r="N42">
        <f t="shared" si="3"/>
        <v>835.827</v>
      </c>
      <c r="O42">
        <f t="shared" si="4"/>
        <v>582.64845221785083</v>
      </c>
      <c r="P42">
        <f t="shared" si="5"/>
        <v>57.807785478145888</v>
      </c>
      <c r="Q42">
        <f t="shared" si="6"/>
        <v>82.927033838195996</v>
      </c>
      <c r="R42">
        <f t="shared" si="7"/>
        <v>0.35339275944008658</v>
      </c>
      <c r="S42">
        <f t="shared" si="8"/>
        <v>2.9148612565007346</v>
      </c>
      <c r="T42">
        <f t="shared" si="9"/>
        <v>0.33119903781133536</v>
      </c>
      <c r="U42">
        <f t="shared" si="10"/>
        <v>0.20887716113453847</v>
      </c>
      <c r="V42">
        <f t="shared" si="11"/>
        <v>344.36939864417741</v>
      </c>
      <c r="W42">
        <f t="shared" si="12"/>
        <v>31.233951996166557</v>
      </c>
      <c r="X42">
        <f t="shared" si="13"/>
        <v>29.979500000000002</v>
      </c>
      <c r="Y42">
        <f t="shared" si="14"/>
        <v>4.2554356524988393</v>
      </c>
      <c r="Z42">
        <f t="shared" si="15"/>
        <v>65.365467684040695</v>
      </c>
      <c r="AA42">
        <f t="shared" si="16"/>
        <v>2.8590845251612</v>
      </c>
      <c r="AB42">
        <f t="shared" si="17"/>
        <v>4.373998422196343</v>
      </c>
      <c r="AC42">
        <f t="shared" si="18"/>
        <v>1.3963511273376392</v>
      </c>
      <c r="AD42">
        <f t="shared" si="19"/>
        <v>-213.2061324999375</v>
      </c>
      <c r="AE42">
        <f t="shared" si="20"/>
        <v>75.304363228975873</v>
      </c>
      <c r="AF42">
        <f t="shared" si="21"/>
        <v>5.7568298665991371</v>
      </c>
      <c r="AG42">
        <f t="shared" si="22"/>
        <v>212.22445923981496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51836.976170768983</v>
      </c>
      <c r="AM42" t="s">
        <v>416</v>
      </c>
      <c r="AN42">
        <v>10366.9</v>
      </c>
      <c r="AO42">
        <v>993.59653846153856</v>
      </c>
      <c r="AP42">
        <v>3431.87</v>
      </c>
      <c r="AQ42">
        <f t="shared" si="26"/>
        <v>0.71047955241266758</v>
      </c>
      <c r="AR42">
        <v>-3.9894345373445681</v>
      </c>
      <c r="AS42" t="s">
        <v>549</v>
      </c>
      <c r="AT42">
        <v>10453.200000000001</v>
      </c>
      <c r="AU42">
        <v>823.67369230769225</v>
      </c>
      <c r="AV42">
        <v>1235.237670600151</v>
      </c>
      <c r="AW42">
        <f t="shared" si="27"/>
        <v>0.33318606458342281</v>
      </c>
      <c r="AX42">
        <v>0.5</v>
      </c>
      <c r="AY42">
        <f t="shared" si="28"/>
        <v>1513.1846993220888</v>
      </c>
      <c r="AZ42">
        <f t="shared" si="29"/>
        <v>49.454331227777217</v>
      </c>
      <c r="BA42">
        <f t="shared" si="30"/>
        <v>252.08602747748836</v>
      </c>
      <c r="BB42">
        <f t="shared" si="31"/>
        <v>3.5318732596929338E-2</v>
      </c>
      <c r="BC42">
        <f t="shared" si="32"/>
        <v>1.7783074315832645</v>
      </c>
      <c r="BD42">
        <f t="shared" si="33"/>
        <v>655.90148503567366</v>
      </c>
      <c r="BE42" t="s">
        <v>550</v>
      </c>
      <c r="BF42">
        <v>621.45000000000005</v>
      </c>
      <c r="BG42">
        <f t="shared" si="34"/>
        <v>621.45000000000005</v>
      </c>
      <c r="BH42">
        <f t="shared" si="35"/>
        <v>0.496898439230676</v>
      </c>
      <c r="BI42">
        <f t="shared" si="36"/>
        <v>0.6705315176664246</v>
      </c>
      <c r="BJ42">
        <f t="shared" si="37"/>
        <v>0.78160286697356585</v>
      </c>
      <c r="BK42">
        <f t="shared" si="38"/>
        <v>1.7032033191119698</v>
      </c>
      <c r="BL42">
        <f t="shared" si="39"/>
        <v>0.90089662379947077</v>
      </c>
      <c r="BM42">
        <f t="shared" si="40"/>
        <v>0.50590642331470281</v>
      </c>
      <c r="BN42">
        <f t="shared" si="41"/>
        <v>0.49409357668529719</v>
      </c>
      <c r="BO42">
        <v>7598</v>
      </c>
      <c r="BP42">
        <v>290.00000000000011</v>
      </c>
      <c r="BQ42">
        <v>1123.9100000000001</v>
      </c>
      <c r="BR42">
        <v>175</v>
      </c>
      <c r="BS42">
        <v>10453.200000000001</v>
      </c>
      <c r="BT42">
        <v>1119.95</v>
      </c>
      <c r="BU42">
        <v>3.96</v>
      </c>
      <c r="BV42">
        <v>300.00000000000011</v>
      </c>
      <c r="BW42">
        <v>38.200000000000003</v>
      </c>
      <c r="BX42">
        <v>1235.237670600151</v>
      </c>
      <c r="BY42">
        <v>1.6933847061370499</v>
      </c>
      <c r="BZ42">
        <v>-120.51286283249139</v>
      </c>
      <c r="CA42">
        <v>1.448991703966396</v>
      </c>
      <c r="CB42">
        <v>0.99596848186673859</v>
      </c>
      <c r="CC42">
        <v>-1.1351478086763079E-2</v>
      </c>
      <c r="CD42">
        <v>289.99999999999989</v>
      </c>
      <c r="CE42">
        <v>1106.8499999999999</v>
      </c>
      <c r="CF42">
        <v>705</v>
      </c>
      <c r="CG42">
        <v>10427</v>
      </c>
      <c r="CH42">
        <v>1119.6600000000001</v>
      </c>
      <c r="CI42">
        <v>-12.81</v>
      </c>
      <c r="CW42">
        <f t="shared" si="42"/>
        <v>1800</v>
      </c>
      <c r="CX42">
        <f t="shared" si="43"/>
        <v>1513.1846993220888</v>
      </c>
      <c r="CY42">
        <f t="shared" si="44"/>
        <v>0.8406581662900493</v>
      </c>
      <c r="CZ42">
        <f t="shared" si="45"/>
        <v>0.19131633258009856</v>
      </c>
      <c r="DA42">
        <v>6</v>
      </c>
      <c r="DB42">
        <v>0.5</v>
      </c>
      <c r="DC42" t="s">
        <v>419</v>
      </c>
      <c r="DD42">
        <v>2</v>
      </c>
      <c r="DE42">
        <v>1693327293.5</v>
      </c>
      <c r="DF42">
        <v>835.827</v>
      </c>
      <c r="DG42">
        <v>899.94100000000003</v>
      </c>
      <c r="DH42">
        <v>28.8169</v>
      </c>
      <c r="DI42">
        <v>23.189599999999999</v>
      </c>
      <c r="DJ42">
        <v>834.04300000000001</v>
      </c>
      <c r="DK42">
        <v>28.542200000000001</v>
      </c>
      <c r="DL42">
        <v>500.62599999999998</v>
      </c>
      <c r="DM42">
        <v>99.115499999999997</v>
      </c>
      <c r="DN42">
        <v>0.100048</v>
      </c>
      <c r="DO42">
        <v>30.4587</v>
      </c>
      <c r="DP42">
        <v>29.979500000000002</v>
      </c>
      <c r="DQ42">
        <v>999.9</v>
      </c>
      <c r="DR42">
        <v>0</v>
      </c>
      <c r="DS42">
        <v>0</v>
      </c>
      <c r="DT42">
        <v>10005</v>
      </c>
      <c r="DU42">
        <v>0</v>
      </c>
      <c r="DV42">
        <v>1747.13</v>
      </c>
      <c r="DW42">
        <v>-64.113799999999998</v>
      </c>
      <c r="DX42">
        <v>860.62800000000004</v>
      </c>
      <c r="DY42">
        <v>921.30499999999995</v>
      </c>
      <c r="DZ42">
        <v>5.6272599999999997</v>
      </c>
      <c r="EA42">
        <v>899.94100000000003</v>
      </c>
      <c r="EB42">
        <v>23.189599999999999</v>
      </c>
      <c r="EC42">
        <v>2.8561999999999999</v>
      </c>
      <c r="ED42">
        <v>2.2984499999999999</v>
      </c>
      <c r="EE42">
        <v>23.212499999999999</v>
      </c>
      <c r="EF42">
        <v>19.665500000000002</v>
      </c>
      <c r="EG42">
        <v>1800</v>
      </c>
      <c r="EH42">
        <v>0.97800299999999996</v>
      </c>
      <c r="EI42">
        <v>2.1997300000000001E-2</v>
      </c>
      <c r="EJ42">
        <v>0</v>
      </c>
      <c r="EK42">
        <v>823.04</v>
      </c>
      <c r="EL42">
        <v>5.0010300000000001</v>
      </c>
      <c r="EM42">
        <v>16004.9</v>
      </c>
      <c r="EN42">
        <v>14701.1</v>
      </c>
      <c r="EO42">
        <v>48.625</v>
      </c>
      <c r="EP42">
        <v>50.811999999999998</v>
      </c>
      <c r="EQ42">
        <v>50.186999999999998</v>
      </c>
      <c r="ER42">
        <v>49</v>
      </c>
      <c r="ES42">
        <v>50.061999999999998</v>
      </c>
      <c r="ET42">
        <v>1755.51</v>
      </c>
      <c r="EU42">
        <v>39.49</v>
      </c>
      <c r="EV42">
        <v>0</v>
      </c>
      <c r="EW42">
        <v>100.3999998569489</v>
      </c>
      <c r="EX42">
        <v>0</v>
      </c>
      <c r="EY42">
        <v>823.67369230769225</v>
      </c>
      <c r="EZ42">
        <v>-1.8577777761045671</v>
      </c>
      <c r="FA42">
        <v>-35.268376106365878</v>
      </c>
      <c r="FB42">
        <v>16009.130769230769</v>
      </c>
      <c r="FC42">
        <v>15</v>
      </c>
      <c r="FD42">
        <v>1693327264</v>
      </c>
      <c r="FE42" t="s">
        <v>551</v>
      </c>
      <c r="FF42">
        <v>1693327264</v>
      </c>
      <c r="FG42">
        <v>1693327255</v>
      </c>
      <c r="FH42">
        <v>29</v>
      </c>
      <c r="FI42">
        <v>6.7000000000000004E-2</v>
      </c>
      <c r="FJ42">
        <v>-4.0000000000000001E-3</v>
      </c>
      <c r="FK42">
        <v>1.7829999999999999</v>
      </c>
      <c r="FL42">
        <v>0.13600000000000001</v>
      </c>
      <c r="FM42">
        <v>900</v>
      </c>
      <c r="FN42">
        <v>23</v>
      </c>
      <c r="FO42">
        <v>0.14000000000000001</v>
      </c>
      <c r="FP42">
        <v>0.03</v>
      </c>
      <c r="FQ42">
        <v>49.509422461122242</v>
      </c>
      <c r="FR42">
        <v>-0.66547801993594191</v>
      </c>
      <c r="FS42">
        <v>0.1122918023199322</v>
      </c>
      <c r="FT42">
        <v>1</v>
      </c>
      <c r="FU42">
        <v>0.35588215019948838</v>
      </c>
      <c r="FV42">
        <v>2.449953836102246E-2</v>
      </c>
      <c r="FW42">
        <v>3.302246815122185E-3</v>
      </c>
      <c r="FX42">
        <v>1</v>
      </c>
      <c r="FY42">
        <v>2</v>
      </c>
      <c r="FZ42">
        <v>2</v>
      </c>
      <c r="GA42" t="s">
        <v>421</v>
      </c>
      <c r="GB42">
        <v>2.9022800000000002</v>
      </c>
      <c r="GC42">
        <v>2.8180999999999998</v>
      </c>
      <c r="GD42">
        <v>0.152448</v>
      </c>
      <c r="GE42">
        <v>0.160166</v>
      </c>
      <c r="GF42">
        <v>0.13481799999999999</v>
      </c>
      <c r="GG42">
        <v>0.11600100000000001</v>
      </c>
      <c r="GH42">
        <v>23525.599999999999</v>
      </c>
      <c r="GI42">
        <v>23423.7</v>
      </c>
      <c r="GJ42">
        <v>24627.4</v>
      </c>
      <c r="GK42">
        <v>24908.2</v>
      </c>
      <c r="GL42">
        <v>28312.799999999999</v>
      </c>
      <c r="GM42">
        <v>28824.9</v>
      </c>
      <c r="GN42">
        <v>33317.199999999997</v>
      </c>
      <c r="GO42">
        <v>33305.699999999997</v>
      </c>
      <c r="GP42">
        <v>1.9597</v>
      </c>
      <c r="GQ42">
        <v>1.8353999999999999</v>
      </c>
      <c r="GR42">
        <v>1.40667E-2</v>
      </c>
      <c r="GS42">
        <v>0</v>
      </c>
      <c r="GT42">
        <v>29.750599999999999</v>
      </c>
      <c r="GU42">
        <v>999.9</v>
      </c>
      <c r="GV42">
        <v>52</v>
      </c>
      <c r="GW42">
        <v>35.700000000000003</v>
      </c>
      <c r="GX42">
        <v>30.802</v>
      </c>
      <c r="GY42">
        <v>62.039000000000001</v>
      </c>
      <c r="GZ42">
        <v>24.984000000000002</v>
      </c>
      <c r="HA42">
        <v>1</v>
      </c>
      <c r="HB42">
        <v>0.44709300000000002</v>
      </c>
      <c r="HC42">
        <v>2.3016299999999998</v>
      </c>
      <c r="HD42">
        <v>20.151599999999998</v>
      </c>
      <c r="HE42">
        <v>5.23346</v>
      </c>
      <c r="HF42">
        <v>11.9201</v>
      </c>
      <c r="HG42">
        <v>4.9610000000000003</v>
      </c>
      <c r="HH42">
        <v>3.2890000000000001</v>
      </c>
      <c r="HI42">
        <v>9999</v>
      </c>
      <c r="HJ42">
        <v>9999</v>
      </c>
      <c r="HK42">
        <v>9999</v>
      </c>
      <c r="HL42">
        <v>876.8</v>
      </c>
      <c r="HM42">
        <v>1.8809499999999999</v>
      </c>
      <c r="HN42">
        <v>1.8780600000000001</v>
      </c>
      <c r="HO42">
        <v>1.88602</v>
      </c>
      <c r="HP42">
        <v>1.88384</v>
      </c>
      <c r="HQ42">
        <v>1.8813200000000001</v>
      </c>
      <c r="HR42">
        <v>1.8804000000000001</v>
      </c>
      <c r="HS42">
        <v>1.8815599999999999</v>
      </c>
      <c r="HT42">
        <v>1.8809499999999999</v>
      </c>
      <c r="HU42">
        <v>5</v>
      </c>
      <c r="HV42">
        <v>0</v>
      </c>
      <c r="HW42">
        <v>0</v>
      </c>
      <c r="HX42">
        <v>0</v>
      </c>
      <c r="HY42" t="s">
        <v>422</v>
      </c>
      <c r="HZ42" t="s">
        <v>423</v>
      </c>
      <c r="IA42" t="s">
        <v>424</v>
      </c>
      <c r="IB42" t="s">
        <v>424</v>
      </c>
      <c r="IC42" t="s">
        <v>424</v>
      </c>
      <c r="ID42" t="s">
        <v>424</v>
      </c>
      <c r="IE42">
        <v>0</v>
      </c>
      <c r="IF42">
        <v>100</v>
      </c>
      <c r="IG42">
        <v>100</v>
      </c>
      <c r="IH42">
        <v>1.784</v>
      </c>
      <c r="II42">
        <v>0.2747</v>
      </c>
      <c r="IJ42">
        <v>1.082043858109714</v>
      </c>
      <c r="IK42">
        <v>2.2153513873161218E-3</v>
      </c>
      <c r="IL42">
        <v>-2.2967369670569612E-6</v>
      </c>
      <c r="IM42">
        <v>7.7859689150384122E-10</v>
      </c>
      <c r="IN42">
        <v>-0.1178239469070837</v>
      </c>
      <c r="IO42">
        <v>-4.1434251034592161E-3</v>
      </c>
      <c r="IP42">
        <v>8.3987709687394815E-4</v>
      </c>
      <c r="IQ42">
        <v>-7.4586254598011197E-6</v>
      </c>
      <c r="IR42">
        <v>2</v>
      </c>
      <c r="IS42">
        <v>1930</v>
      </c>
      <c r="IT42">
        <v>2</v>
      </c>
      <c r="IU42">
        <v>41</v>
      </c>
      <c r="IV42">
        <v>0.5</v>
      </c>
      <c r="IW42">
        <v>0.6</v>
      </c>
      <c r="IX42">
        <v>1.89209</v>
      </c>
      <c r="IY42">
        <v>2.4865699999999999</v>
      </c>
      <c r="IZ42">
        <v>1.24512</v>
      </c>
      <c r="JA42">
        <v>2.2668499999999998</v>
      </c>
      <c r="JB42">
        <v>1.4501999999999999</v>
      </c>
      <c r="JC42">
        <v>2.3974600000000001</v>
      </c>
      <c r="JD42">
        <v>39.242199999999997</v>
      </c>
      <c r="JE42">
        <v>24.07</v>
      </c>
      <c r="JF42">
        <v>18</v>
      </c>
      <c r="JG42">
        <v>495.75</v>
      </c>
      <c r="JH42">
        <v>460.95600000000002</v>
      </c>
      <c r="JI42">
        <v>25.991499999999998</v>
      </c>
      <c r="JJ42">
        <v>32.944800000000001</v>
      </c>
      <c r="JK42">
        <v>30.0001</v>
      </c>
      <c r="JL42">
        <v>32.814999999999998</v>
      </c>
      <c r="JM42">
        <v>32.769100000000002</v>
      </c>
      <c r="JN42">
        <v>37.970100000000002</v>
      </c>
      <c r="JO42">
        <v>31.695900000000002</v>
      </c>
      <c r="JP42">
        <v>0</v>
      </c>
      <c r="JQ42">
        <v>26.008199999999999</v>
      </c>
      <c r="JR42">
        <v>900</v>
      </c>
      <c r="JS42">
        <v>23.158000000000001</v>
      </c>
      <c r="JT42">
        <v>99.422799999999995</v>
      </c>
      <c r="JU42">
        <v>99.354299999999995</v>
      </c>
    </row>
    <row r="43" spans="1:281" x14ac:dyDescent="0.25">
      <c r="A43">
        <v>27</v>
      </c>
      <c r="B43">
        <v>1693327403</v>
      </c>
      <c r="C43">
        <v>4689.9000000953674</v>
      </c>
      <c r="D43" t="s">
        <v>552</v>
      </c>
      <c r="E43" t="s">
        <v>553</v>
      </c>
      <c r="F43" t="s">
        <v>413</v>
      </c>
      <c r="G43" t="s">
        <v>493</v>
      </c>
      <c r="H43" t="s">
        <v>415</v>
      </c>
      <c r="I43" t="s">
        <v>415</v>
      </c>
      <c r="J43">
        <v>1693327403</v>
      </c>
      <c r="K43">
        <f t="shared" si="0"/>
        <v>4.5755642068078259E-3</v>
      </c>
      <c r="L43">
        <f t="shared" si="1"/>
        <v>4.5755642068078259</v>
      </c>
      <c r="M43">
        <f t="shared" si="2"/>
        <v>49.270838870928976</v>
      </c>
      <c r="N43">
        <f t="shared" si="3"/>
        <v>1134.8599999999999</v>
      </c>
      <c r="O43">
        <f t="shared" si="4"/>
        <v>857.9339230343345</v>
      </c>
      <c r="P43">
        <f t="shared" si="5"/>
        <v>85.117417586135474</v>
      </c>
      <c r="Q43">
        <f t="shared" si="6"/>
        <v>112.5918324574</v>
      </c>
      <c r="R43">
        <f t="shared" si="7"/>
        <v>0.32751027463739968</v>
      </c>
      <c r="S43">
        <f t="shared" si="8"/>
        <v>2.9252751475807974</v>
      </c>
      <c r="T43">
        <f t="shared" si="9"/>
        <v>0.30841782363372783</v>
      </c>
      <c r="U43">
        <f t="shared" si="10"/>
        <v>0.19438370605485833</v>
      </c>
      <c r="V43">
        <f t="shared" si="11"/>
        <v>344.38779864459605</v>
      </c>
      <c r="W43">
        <f t="shared" si="12"/>
        <v>31.303291411716842</v>
      </c>
      <c r="X43">
        <f t="shared" si="13"/>
        <v>30.0075</v>
      </c>
      <c r="Y43">
        <f t="shared" si="14"/>
        <v>4.2622854925660194</v>
      </c>
      <c r="Z43">
        <f t="shared" si="15"/>
        <v>64.983758510087426</v>
      </c>
      <c r="AA43">
        <f t="shared" si="16"/>
        <v>2.8431208631300002</v>
      </c>
      <c r="AB43">
        <f t="shared" si="17"/>
        <v>4.3751253056387354</v>
      </c>
      <c r="AC43">
        <f t="shared" si="18"/>
        <v>1.4191646294360192</v>
      </c>
      <c r="AD43">
        <f t="shared" si="19"/>
        <v>-201.78238152022513</v>
      </c>
      <c r="AE43">
        <f t="shared" si="20"/>
        <v>71.867277562780558</v>
      </c>
      <c r="AF43">
        <f t="shared" si="21"/>
        <v>5.4753944294140195</v>
      </c>
      <c r="AG43">
        <f t="shared" si="22"/>
        <v>219.94808911656548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52132.382119530579</v>
      </c>
      <c r="AM43" t="s">
        <v>416</v>
      </c>
      <c r="AN43">
        <v>10366.9</v>
      </c>
      <c r="AO43">
        <v>993.59653846153856</v>
      </c>
      <c r="AP43">
        <v>3431.87</v>
      </c>
      <c r="AQ43">
        <f t="shared" si="26"/>
        <v>0.71047955241266758</v>
      </c>
      <c r="AR43">
        <v>-3.9894345373445681</v>
      </c>
      <c r="AS43" t="s">
        <v>554</v>
      </c>
      <c r="AT43">
        <v>10455.1</v>
      </c>
      <c r="AU43">
        <v>819.66188461538457</v>
      </c>
      <c r="AV43">
        <v>1235.3427804471501</v>
      </c>
      <c r="AW43">
        <f t="shared" si="27"/>
        <v>0.33649032674259349</v>
      </c>
      <c r="AX43">
        <v>0.5</v>
      </c>
      <c r="AY43">
        <f t="shared" si="28"/>
        <v>1513.2683993222979</v>
      </c>
      <c r="AZ43">
        <f t="shared" si="29"/>
        <v>49.270838870928976</v>
      </c>
      <c r="BA43">
        <f t="shared" si="30"/>
        <v>254.60008906860074</v>
      </c>
      <c r="BB43">
        <f t="shared" si="31"/>
        <v>3.5195523432674354E-2</v>
      </c>
      <c r="BC43">
        <f t="shared" si="32"/>
        <v>1.7780710377064615</v>
      </c>
      <c r="BD43">
        <f t="shared" si="33"/>
        <v>655.93111985234157</v>
      </c>
      <c r="BE43" t="s">
        <v>555</v>
      </c>
      <c r="BF43">
        <v>625.4</v>
      </c>
      <c r="BG43">
        <f t="shared" si="34"/>
        <v>625.4</v>
      </c>
      <c r="BH43">
        <f t="shared" si="35"/>
        <v>0.49374375282816041</v>
      </c>
      <c r="BI43">
        <f t="shared" si="36"/>
        <v>0.6815080187145246</v>
      </c>
      <c r="BJ43">
        <f t="shared" si="37"/>
        <v>0.78266549065297319</v>
      </c>
      <c r="BK43">
        <f t="shared" si="38"/>
        <v>1.719492689596831</v>
      </c>
      <c r="BL43">
        <f t="shared" si="39"/>
        <v>0.9008535154899816</v>
      </c>
      <c r="BM43">
        <f t="shared" si="40"/>
        <v>0.51998894044470478</v>
      </c>
      <c r="BN43">
        <f t="shared" si="41"/>
        <v>0.48001105955529522</v>
      </c>
      <c r="BO43">
        <v>7600</v>
      </c>
      <c r="BP43">
        <v>290.00000000000011</v>
      </c>
      <c r="BQ43">
        <v>1121.1600000000001</v>
      </c>
      <c r="BR43">
        <v>155</v>
      </c>
      <c r="BS43">
        <v>10455.1</v>
      </c>
      <c r="BT43">
        <v>1118.56</v>
      </c>
      <c r="BU43">
        <v>2.6</v>
      </c>
      <c r="BV43">
        <v>300.00000000000011</v>
      </c>
      <c r="BW43">
        <v>38.200000000000003</v>
      </c>
      <c r="BX43">
        <v>1235.3427804471501</v>
      </c>
      <c r="BY43">
        <v>1.463473058165764</v>
      </c>
      <c r="BZ43">
        <v>-122.1010915714339</v>
      </c>
      <c r="CA43">
        <v>1.252111512588433</v>
      </c>
      <c r="CB43">
        <v>0.99706418913095118</v>
      </c>
      <c r="CC43">
        <v>-1.135019688542826E-2</v>
      </c>
      <c r="CD43">
        <v>289.99999999999989</v>
      </c>
      <c r="CE43">
        <v>1106.8499999999999</v>
      </c>
      <c r="CF43">
        <v>645</v>
      </c>
      <c r="CG43">
        <v>10430.5</v>
      </c>
      <c r="CH43">
        <v>1118.28</v>
      </c>
      <c r="CI43">
        <v>-11.43</v>
      </c>
      <c r="CW43">
        <f t="shared" si="42"/>
        <v>1800.1</v>
      </c>
      <c r="CX43">
        <f t="shared" si="43"/>
        <v>1513.2683993222979</v>
      </c>
      <c r="CY43">
        <f t="shared" si="44"/>
        <v>0.84065796306999496</v>
      </c>
      <c r="CZ43">
        <f t="shared" si="45"/>
        <v>0.19131592613999004</v>
      </c>
      <c r="DA43">
        <v>6</v>
      </c>
      <c r="DB43">
        <v>0.5</v>
      </c>
      <c r="DC43" t="s">
        <v>419</v>
      </c>
      <c r="DD43">
        <v>2</v>
      </c>
      <c r="DE43">
        <v>1693327403</v>
      </c>
      <c r="DF43">
        <v>1134.8599999999999</v>
      </c>
      <c r="DG43">
        <v>1200.1300000000001</v>
      </c>
      <c r="DH43">
        <v>28.657</v>
      </c>
      <c r="DI43">
        <v>23.3307</v>
      </c>
      <c r="DJ43">
        <v>1132.9000000000001</v>
      </c>
      <c r="DK43">
        <v>28.387499999999999</v>
      </c>
      <c r="DL43">
        <v>500.66</v>
      </c>
      <c r="DM43">
        <v>99.112300000000005</v>
      </c>
      <c r="DN43">
        <v>9.9790000000000004E-2</v>
      </c>
      <c r="DO43">
        <v>30.463200000000001</v>
      </c>
      <c r="DP43">
        <v>30.0075</v>
      </c>
      <c r="DQ43">
        <v>999.9</v>
      </c>
      <c r="DR43">
        <v>0</v>
      </c>
      <c r="DS43">
        <v>0</v>
      </c>
      <c r="DT43">
        <v>10065</v>
      </c>
      <c r="DU43">
        <v>0</v>
      </c>
      <c r="DV43">
        <v>1766.07</v>
      </c>
      <c r="DW43">
        <v>-65.271600000000007</v>
      </c>
      <c r="DX43">
        <v>1168.3399999999999</v>
      </c>
      <c r="DY43">
        <v>1228.8</v>
      </c>
      <c r="DZ43">
        <v>5.3263699999999998</v>
      </c>
      <c r="EA43">
        <v>1200.1300000000001</v>
      </c>
      <c r="EB43">
        <v>23.3307</v>
      </c>
      <c r="EC43">
        <v>2.8402599999999998</v>
      </c>
      <c r="ED43">
        <v>2.3123499999999999</v>
      </c>
      <c r="EE43">
        <v>23.12</v>
      </c>
      <c r="EF43">
        <v>19.762699999999999</v>
      </c>
      <c r="EG43">
        <v>1800.1</v>
      </c>
      <c r="EH43">
        <v>0.97800600000000004</v>
      </c>
      <c r="EI43">
        <v>2.1993700000000001E-2</v>
      </c>
      <c r="EJ43">
        <v>0</v>
      </c>
      <c r="EK43">
        <v>819.15300000000002</v>
      </c>
      <c r="EL43">
        <v>5.0010300000000001</v>
      </c>
      <c r="EM43">
        <v>15948.3</v>
      </c>
      <c r="EN43">
        <v>14702</v>
      </c>
      <c r="EO43">
        <v>48.686999999999998</v>
      </c>
      <c r="EP43">
        <v>50.936999999999998</v>
      </c>
      <c r="EQ43">
        <v>50.311999999999998</v>
      </c>
      <c r="ER43">
        <v>49.125</v>
      </c>
      <c r="ES43">
        <v>50.186999999999998</v>
      </c>
      <c r="ET43">
        <v>1755.62</v>
      </c>
      <c r="EU43">
        <v>39.479999999999997</v>
      </c>
      <c r="EV43">
        <v>0</v>
      </c>
      <c r="EW43">
        <v>107.6000001430511</v>
      </c>
      <c r="EX43">
        <v>0</v>
      </c>
      <c r="EY43">
        <v>819.66188461538457</v>
      </c>
      <c r="EZ43">
        <v>-3.247418812513688</v>
      </c>
      <c r="FA43">
        <v>-31.654700835396259</v>
      </c>
      <c r="FB43">
        <v>15953.573076923079</v>
      </c>
      <c r="FC43">
        <v>15</v>
      </c>
      <c r="FD43">
        <v>1693327367.5</v>
      </c>
      <c r="FE43" t="s">
        <v>556</v>
      </c>
      <c r="FF43">
        <v>1693327367.5</v>
      </c>
      <c r="FG43">
        <v>1693327358</v>
      </c>
      <c r="FH43">
        <v>30</v>
      </c>
      <c r="FI43">
        <v>0.182</v>
      </c>
      <c r="FJ43">
        <v>-1E-3</v>
      </c>
      <c r="FK43">
        <v>1.9610000000000001</v>
      </c>
      <c r="FL43">
        <v>0.13700000000000001</v>
      </c>
      <c r="FM43">
        <v>1200</v>
      </c>
      <c r="FN43">
        <v>23</v>
      </c>
      <c r="FO43">
        <v>0.11</v>
      </c>
      <c r="FP43">
        <v>0.04</v>
      </c>
      <c r="FQ43">
        <v>49.011687515015318</v>
      </c>
      <c r="FR43">
        <v>0.17813330384551751</v>
      </c>
      <c r="FS43">
        <v>0.15502715656561381</v>
      </c>
      <c r="FT43">
        <v>1</v>
      </c>
      <c r="FU43">
        <v>0.33401686617119819</v>
      </c>
      <c r="FV43">
        <v>-4.196182349389329E-2</v>
      </c>
      <c r="FW43">
        <v>3.4180501736767619E-3</v>
      </c>
      <c r="FX43">
        <v>1</v>
      </c>
      <c r="FY43">
        <v>2</v>
      </c>
      <c r="FZ43">
        <v>2</v>
      </c>
      <c r="GA43" t="s">
        <v>421</v>
      </c>
      <c r="GB43">
        <v>2.90219</v>
      </c>
      <c r="GC43">
        <v>2.8183699999999998</v>
      </c>
      <c r="GD43">
        <v>0.185448</v>
      </c>
      <c r="GE43">
        <v>0.19211700000000001</v>
      </c>
      <c r="GF43">
        <v>0.134295</v>
      </c>
      <c r="GG43">
        <v>0.116466</v>
      </c>
      <c r="GH43">
        <v>22605</v>
      </c>
      <c r="GI43">
        <v>22529.5</v>
      </c>
      <c r="GJ43">
        <v>24623.7</v>
      </c>
      <c r="GK43">
        <v>24906.3</v>
      </c>
      <c r="GL43">
        <v>28325.3</v>
      </c>
      <c r="GM43">
        <v>28807.1</v>
      </c>
      <c r="GN43">
        <v>33311.1</v>
      </c>
      <c r="GO43">
        <v>33302.400000000001</v>
      </c>
      <c r="GP43">
        <v>1.9594</v>
      </c>
      <c r="GQ43">
        <v>1.8351</v>
      </c>
      <c r="GR43">
        <v>1.8149599999999998E-2</v>
      </c>
      <c r="GS43">
        <v>0</v>
      </c>
      <c r="GT43">
        <v>29.7121</v>
      </c>
      <c r="GU43">
        <v>999.9</v>
      </c>
      <c r="GV43">
        <v>51.9</v>
      </c>
      <c r="GW43">
        <v>35.700000000000003</v>
      </c>
      <c r="GX43">
        <v>30.7422</v>
      </c>
      <c r="GY43">
        <v>61.749000000000002</v>
      </c>
      <c r="GZ43">
        <v>25.232399999999998</v>
      </c>
      <c r="HA43">
        <v>1</v>
      </c>
      <c r="HB43">
        <v>0.45234799999999997</v>
      </c>
      <c r="HC43">
        <v>2.2229399999999999</v>
      </c>
      <c r="HD43">
        <v>20.199000000000002</v>
      </c>
      <c r="HE43">
        <v>5.2340600000000004</v>
      </c>
      <c r="HF43">
        <v>11.9201</v>
      </c>
      <c r="HG43">
        <v>4.9614000000000003</v>
      </c>
      <c r="HH43">
        <v>3.2890000000000001</v>
      </c>
      <c r="HI43">
        <v>9999</v>
      </c>
      <c r="HJ43">
        <v>9999</v>
      </c>
      <c r="HK43">
        <v>9999</v>
      </c>
      <c r="HL43">
        <v>876.9</v>
      </c>
      <c r="HM43">
        <v>1.8807100000000001</v>
      </c>
      <c r="HN43">
        <v>1.8778999999999999</v>
      </c>
      <c r="HO43">
        <v>1.8858299999999999</v>
      </c>
      <c r="HP43">
        <v>1.8836200000000001</v>
      </c>
      <c r="HQ43">
        <v>1.8811</v>
      </c>
      <c r="HR43">
        <v>1.88019</v>
      </c>
      <c r="HS43">
        <v>1.8812599999999999</v>
      </c>
      <c r="HT43">
        <v>1.8807700000000001</v>
      </c>
      <c r="HU43">
        <v>5</v>
      </c>
      <c r="HV43">
        <v>0</v>
      </c>
      <c r="HW43">
        <v>0</v>
      </c>
      <c r="HX43">
        <v>0</v>
      </c>
      <c r="HY43" t="s">
        <v>422</v>
      </c>
      <c r="HZ43" t="s">
        <v>423</v>
      </c>
      <c r="IA43" t="s">
        <v>424</v>
      </c>
      <c r="IB43" t="s">
        <v>424</v>
      </c>
      <c r="IC43" t="s">
        <v>424</v>
      </c>
      <c r="ID43" t="s">
        <v>424</v>
      </c>
      <c r="IE43">
        <v>0</v>
      </c>
      <c r="IF43">
        <v>100</v>
      </c>
      <c r="IG43">
        <v>100</v>
      </c>
      <c r="IH43">
        <v>1.96</v>
      </c>
      <c r="II43">
        <v>0.26950000000000002</v>
      </c>
      <c r="IJ43">
        <v>1.2650109260653351</v>
      </c>
      <c r="IK43">
        <v>2.2153513873161218E-3</v>
      </c>
      <c r="IL43">
        <v>-2.2967369670569612E-6</v>
      </c>
      <c r="IM43">
        <v>7.7859689150384122E-10</v>
      </c>
      <c r="IN43">
        <v>-0.119020202537893</v>
      </c>
      <c r="IO43">
        <v>-4.1434251034592161E-3</v>
      </c>
      <c r="IP43">
        <v>8.3987709687394815E-4</v>
      </c>
      <c r="IQ43">
        <v>-7.4586254598011197E-6</v>
      </c>
      <c r="IR43">
        <v>2</v>
      </c>
      <c r="IS43">
        <v>1930</v>
      </c>
      <c r="IT43">
        <v>2</v>
      </c>
      <c r="IU43">
        <v>41</v>
      </c>
      <c r="IV43">
        <v>0.6</v>
      </c>
      <c r="IW43">
        <v>0.8</v>
      </c>
      <c r="IX43">
        <v>2.3889200000000002</v>
      </c>
      <c r="IY43">
        <v>2.48169</v>
      </c>
      <c r="IZ43">
        <v>1.24512</v>
      </c>
      <c r="JA43">
        <v>2.2656200000000002</v>
      </c>
      <c r="JB43">
        <v>1.4501999999999999</v>
      </c>
      <c r="JC43">
        <v>2.19116</v>
      </c>
      <c r="JD43">
        <v>39.192399999999999</v>
      </c>
      <c r="JE43">
        <v>16.3123</v>
      </c>
      <c r="JF43">
        <v>18</v>
      </c>
      <c r="JG43">
        <v>496.07900000000001</v>
      </c>
      <c r="JH43">
        <v>461.26400000000001</v>
      </c>
      <c r="JI43">
        <v>26.1616</v>
      </c>
      <c r="JJ43">
        <v>33.0242</v>
      </c>
      <c r="JK43">
        <v>30.000299999999999</v>
      </c>
      <c r="JL43">
        <v>32.8797</v>
      </c>
      <c r="JM43">
        <v>32.832599999999999</v>
      </c>
      <c r="JN43">
        <v>47.906999999999996</v>
      </c>
      <c r="JO43">
        <v>31.329000000000001</v>
      </c>
      <c r="JP43">
        <v>0</v>
      </c>
      <c r="JQ43">
        <v>26.165600000000001</v>
      </c>
      <c r="JR43">
        <v>1200</v>
      </c>
      <c r="JS43">
        <v>23.364100000000001</v>
      </c>
      <c r="JT43">
        <v>99.406099999999995</v>
      </c>
      <c r="JU43">
        <v>99.345500000000001</v>
      </c>
    </row>
    <row r="44" spans="1:281" x14ac:dyDescent="0.25">
      <c r="A44">
        <v>28</v>
      </c>
      <c r="B44">
        <v>1693327513</v>
      </c>
      <c r="C44">
        <v>4799.9000000953674</v>
      </c>
      <c r="D44" t="s">
        <v>557</v>
      </c>
      <c r="E44" t="s">
        <v>558</v>
      </c>
      <c r="F44" t="s">
        <v>413</v>
      </c>
      <c r="G44" t="s">
        <v>493</v>
      </c>
      <c r="H44" t="s">
        <v>415</v>
      </c>
      <c r="I44" t="s">
        <v>415</v>
      </c>
      <c r="J44">
        <v>1693327513</v>
      </c>
      <c r="K44">
        <f t="shared" si="0"/>
        <v>4.2918378093581757E-3</v>
      </c>
      <c r="L44">
        <f t="shared" si="1"/>
        <v>4.2918378093581753</v>
      </c>
      <c r="M44">
        <f t="shared" si="2"/>
        <v>48.797608032196592</v>
      </c>
      <c r="N44">
        <f t="shared" si="3"/>
        <v>1434.19</v>
      </c>
      <c r="O44">
        <f t="shared" si="4"/>
        <v>1133.0178621307809</v>
      </c>
      <c r="P44">
        <f t="shared" si="5"/>
        <v>112.40540049107476</v>
      </c>
      <c r="Q44">
        <f t="shared" si="6"/>
        <v>142.28434230252802</v>
      </c>
      <c r="R44">
        <f t="shared" si="7"/>
        <v>0.30262748041723575</v>
      </c>
      <c r="S44">
        <f t="shared" si="8"/>
        <v>2.9304466951873858</v>
      </c>
      <c r="T44">
        <f t="shared" si="9"/>
        <v>0.28627529278883035</v>
      </c>
      <c r="U44">
        <f t="shared" si="10"/>
        <v>0.18031756954677483</v>
      </c>
      <c r="V44">
        <f t="shared" si="11"/>
        <v>344.41059864468644</v>
      </c>
      <c r="W44">
        <f t="shared" si="12"/>
        <v>31.40941589818669</v>
      </c>
      <c r="X44">
        <f t="shared" si="13"/>
        <v>30.0487</v>
      </c>
      <c r="Y44">
        <f t="shared" si="14"/>
        <v>4.2723820144751983</v>
      </c>
      <c r="Z44">
        <f t="shared" si="15"/>
        <v>64.749224003011491</v>
      </c>
      <c r="AA44">
        <f t="shared" si="16"/>
        <v>2.8383453910617602</v>
      </c>
      <c r="AB44">
        <f t="shared" si="17"/>
        <v>4.3835975407670507</v>
      </c>
      <c r="AC44">
        <f t="shared" si="18"/>
        <v>1.4340366234134381</v>
      </c>
      <c r="AD44">
        <f t="shared" si="19"/>
        <v>-189.27004739269555</v>
      </c>
      <c r="AE44">
        <f t="shared" si="20"/>
        <v>70.825232392131412</v>
      </c>
      <c r="AF44">
        <f t="shared" si="21"/>
        <v>5.3884793758100384</v>
      </c>
      <c r="AG44">
        <f t="shared" si="22"/>
        <v>231.35426301993238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52273.864316287851</v>
      </c>
      <c r="AM44" t="s">
        <v>416</v>
      </c>
      <c r="AN44">
        <v>10366.9</v>
      </c>
      <c r="AO44">
        <v>993.59653846153856</v>
      </c>
      <c r="AP44">
        <v>3431.87</v>
      </c>
      <c r="AQ44">
        <f t="shared" si="26"/>
        <v>0.71047955241266758</v>
      </c>
      <c r="AR44">
        <v>-3.9894345373445681</v>
      </c>
      <c r="AS44" t="s">
        <v>559</v>
      </c>
      <c r="AT44">
        <v>10456</v>
      </c>
      <c r="AU44">
        <v>815.29319230769238</v>
      </c>
      <c r="AV44">
        <v>1233.439030236015</v>
      </c>
      <c r="AW44">
        <f t="shared" si="27"/>
        <v>0.33900811282768606</v>
      </c>
      <c r="AX44">
        <v>0.5</v>
      </c>
      <c r="AY44">
        <f t="shared" si="28"/>
        <v>1513.3691993223431</v>
      </c>
      <c r="AZ44">
        <f t="shared" si="29"/>
        <v>48.797608032196592</v>
      </c>
      <c r="BA44">
        <f t="shared" si="30"/>
        <v>256.52221813690687</v>
      </c>
      <c r="BB44">
        <f t="shared" si="31"/>
        <v>3.488047899559351E-2</v>
      </c>
      <c r="BC44">
        <f t="shared" si="32"/>
        <v>1.7823588486115289</v>
      </c>
      <c r="BD44">
        <f t="shared" si="33"/>
        <v>655.39400705758999</v>
      </c>
      <c r="BE44" t="s">
        <v>560</v>
      </c>
      <c r="BF44">
        <v>624.45000000000005</v>
      </c>
      <c r="BG44">
        <f t="shared" si="34"/>
        <v>624.45000000000005</v>
      </c>
      <c r="BH44">
        <f t="shared" si="35"/>
        <v>0.49373257640427237</v>
      </c>
      <c r="BI44">
        <f t="shared" si="36"/>
        <v>0.68662293927736162</v>
      </c>
      <c r="BJ44">
        <f t="shared" si="37"/>
        <v>0.78307875906133906</v>
      </c>
      <c r="BK44">
        <f t="shared" si="38"/>
        <v>1.7434185028460452</v>
      </c>
      <c r="BL44">
        <f t="shared" si="39"/>
        <v>0.90163429346307</v>
      </c>
      <c r="BM44">
        <f t="shared" si="40"/>
        <v>0.52589877908600691</v>
      </c>
      <c r="BN44">
        <f t="shared" si="41"/>
        <v>0.47410122091399309</v>
      </c>
      <c r="BO44">
        <v>7602</v>
      </c>
      <c r="BP44">
        <v>290.00000000000011</v>
      </c>
      <c r="BQ44">
        <v>1117.98</v>
      </c>
      <c r="BR44">
        <v>145</v>
      </c>
      <c r="BS44">
        <v>10456</v>
      </c>
      <c r="BT44">
        <v>1115.1199999999999</v>
      </c>
      <c r="BU44">
        <v>2.86</v>
      </c>
      <c r="BV44">
        <v>300.00000000000011</v>
      </c>
      <c r="BW44">
        <v>38.200000000000003</v>
      </c>
      <c r="BX44">
        <v>1233.439030236015</v>
      </c>
      <c r="BY44">
        <v>1.4413636528621441</v>
      </c>
      <c r="BZ44">
        <v>-123.71392841812199</v>
      </c>
      <c r="CA44">
        <v>1.2330751364200649</v>
      </c>
      <c r="CB44">
        <v>0.99722608246184097</v>
      </c>
      <c r="CC44">
        <v>-1.1349292992213589E-2</v>
      </c>
      <c r="CD44">
        <v>289.99999999999989</v>
      </c>
      <c r="CE44">
        <v>1102.98</v>
      </c>
      <c r="CF44">
        <v>635</v>
      </c>
      <c r="CG44">
        <v>10430.4</v>
      </c>
      <c r="CH44">
        <v>1114.83</v>
      </c>
      <c r="CI44">
        <v>-11.85</v>
      </c>
      <c r="CW44">
        <f t="shared" si="42"/>
        <v>1800.22</v>
      </c>
      <c r="CX44">
        <f t="shared" si="43"/>
        <v>1513.3691993223431</v>
      </c>
      <c r="CY44">
        <f t="shared" si="44"/>
        <v>0.84065791921117594</v>
      </c>
      <c r="CZ44">
        <f t="shared" si="45"/>
        <v>0.19131583842235195</v>
      </c>
      <c r="DA44">
        <v>6</v>
      </c>
      <c r="DB44">
        <v>0.5</v>
      </c>
      <c r="DC44" t="s">
        <v>419</v>
      </c>
      <c r="DD44">
        <v>2</v>
      </c>
      <c r="DE44">
        <v>1693327513</v>
      </c>
      <c r="DF44">
        <v>1434.19</v>
      </c>
      <c r="DG44">
        <v>1500.08</v>
      </c>
      <c r="DH44">
        <v>28.6098</v>
      </c>
      <c r="DI44">
        <v>23.611000000000001</v>
      </c>
      <c r="DJ44">
        <v>1432.14</v>
      </c>
      <c r="DK44">
        <v>28.338899999999999</v>
      </c>
      <c r="DL44">
        <v>500.40600000000001</v>
      </c>
      <c r="DM44">
        <v>99.1096</v>
      </c>
      <c r="DN44">
        <v>9.9251199999999998E-2</v>
      </c>
      <c r="DO44">
        <v>30.497</v>
      </c>
      <c r="DP44">
        <v>30.0487</v>
      </c>
      <c r="DQ44">
        <v>999.9</v>
      </c>
      <c r="DR44">
        <v>0</v>
      </c>
      <c r="DS44">
        <v>0</v>
      </c>
      <c r="DT44">
        <v>10095</v>
      </c>
      <c r="DU44">
        <v>0</v>
      </c>
      <c r="DV44">
        <v>1795.32</v>
      </c>
      <c r="DW44">
        <v>-65.896900000000002</v>
      </c>
      <c r="DX44">
        <v>1476.43</v>
      </c>
      <c r="DY44">
        <v>1536.36</v>
      </c>
      <c r="DZ44">
        <v>4.99878</v>
      </c>
      <c r="EA44">
        <v>1500.08</v>
      </c>
      <c r="EB44">
        <v>23.611000000000001</v>
      </c>
      <c r="EC44">
        <v>2.8355100000000002</v>
      </c>
      <c r="ED44">
        <v>2.3400799999999999</v>
      </c>
      <c r="EE44">
        <v>23.092300000000002</v>
      </c>
      <c r="EF44">
        <v>19.954999999999998</v>
      </c>
      <c r="EG44">
        <v>1800.22</v>
      </c>
      <c r="EH44">
        <v>0.97801000000000005</v>
      </c>
      <c r="EI44">
        <v>2.1990099999999999E-2</v>
      </c>
      <c r="EJ44">
        <v>0</v>
      </c>
      <c r="EK44">
        <v>814.62300000000005</v>
      </c>
      <c r="EL44">
        <v>5.0010300000000001</v>
      </c>
      <c r="EM44">
        <v>15899.7</v>
      </c>
      <c r="EN44">
        <v>14702.9</v>
      </c>
      <c r="EO44">
        <v>48.75</v>
      </c>
      <c r="EP44">
        <v>51.061999999999998</v>
      </c>
      <c r="EQ44">
        <v>50.5</v>
      </c>
      <c r="ER44">
        <v>49.186999999999998</v>
      </c>
      <c r="ES44">
        <v>50.25</v>
      </c>
      <c r="ET44">
        <v>1755.74</v>
      </c>
      <c r="EU44">
        <v>39.479999999999997</v>
      </c>
      <c r="EV44">
        <v>0</v>
      </c>
      <c r="EW44">
        <v>108.2000000476837</v>
      </c>
      <c r="EX44">
        <v>0</v>
      </c>
      <c r="EY44">
        <v>815.29319230769238</v>
      </c>
      <c r="EZ44">
        <v>-3.1200341849279369</v>
      </c>
      <c r="FA44">
        <v>-30.229059805584949</v>
      </c>
      <c r="FB44">
        <v>15900.376923076919</v>
      </c>
      <c r="FC44">
        <v>15</v>
      </c>
      <c r="FD44">
        <v>1693327472</v>
      </c>
      <c r="FE44" t="s">
        <v>561</v>
      </c>
      <c r="FF44">
        <v>1693327472</v>
      </c>
      <c r="FG44">
        <v>1693327467.5</v>
      </c>
      <c r="FH44">
        <v>31</v>
      </c>
      <c r="FI44">
        <v>0.03</v>
      </c>
      <c r="FJ44">
        <v>3.0000000000000001E-3</v>
      </c>
      <c r="FK44">
        <v>2.0779999999999998</v>
      </c>
      <c r="FL44">
        <v>0.14599999999999999</v>
      </c>
      <c r="FM44">
        <v>1500</v>
      </c>
      <c r="FN44">
        <v>23</v>
      </c>
      <c r="FO44">
        <v>0.12</v>
      </c>
      <c r="FP44">
        <v>0.05</v>
      </c>
      <c r="FQ44">
        <v>48.549536955310558</v>
      </c>
      <c r="FR44">
        <v>0.47402057723987923</v>
      </c>
      <c r="FS44">
        <v>0.19918933956761251</v>
      </c>
      <c r="FT44">
        <v>1</v>
      </c>
      <c r="FU44">
        <v>0.30914683795921599</v>
      </c>
      <c r="FV44">
        <v>-4.4689500503936323E-2</v>
      </c>
      <c r="FW44">
        <v>3.3924410798429898E-3</v>
      </c>
      <c r="FX44">
        <v>1</v>
      </c>
      <c r="FY44">
        <v>2</v>
      </c>
      <c r="FZ44">
        <v>2</v>
      </c>
      <c r="GA44" t="s">
        <v>421</v>
      </c>
      <c r="GB44">
        <v>2.9014500000000001</v>
      </c>
      <c r="GC44">
        <v>2.8180900000000002</v>
      </c>
      <c r="GD44">
        <v>0.21396100000000001</v>
      </c>
      <c r="GE44">
        <v>0.21982699999999999</v>
      </c>
      <c r="GF44">
        <v>0.13411899999999999</v>
      </c>
      <c r="GG44">
        <v>0.117411</v>
      </c>
      <c r="GH44">
        <v>21809.9</v>
      </c>
      <c r="GI44">
        <v>21752.400000000001</v>
      </c>
      <c r="GJ44">
        <v>24621.200000000001</v>
      </c>
      <c r="GK44">
        <v>24903.200000000001</v>
      </c>
      <c r="GL44">
        <v>28328.799999999999</v>
      </c>
      <c r="GM44">
        <v>28772.400000000001</v>
      </c>
      <c r="GN44">
        <v>33308.199999999997</v>
      </c>
      <c r="GO44">
        <v>33298</v>
      </c>
      <c r="GP44">
        <v>1.9587000000000001</v>
      </c>
      <c r="GQ44">
        <v>1.8361000000000001</v>
      </c>
      <c r="GR44">
        <v>2.6345299999999999E-2</v>
      </c>
      <c r="GS44">
        <v>0</v>
      </c>
      <c r="GT44">
        <v>29.619900000000001</v>
      </c>
      <c r="GU44">
        <v>999.9</v>
      </c>
      <c r="GV44">
        <v>51.9</v>
      </c>
      <c r="GW44">
        <v>35.799999999999997</v>
      </c>
      <c r="GX44">
        <v>30.915299999999998</v>
      </c>
      <c r="GY44">
        <v>61.698999999999998</v>
      </c>
      <c r="GZ44">
        <v>25.825299999999999</v>
      </c>
      <c r="HA44">
        <v>1</v>
      </c>
      <c r="HB44">
        <v>0.456484</v>
      </c>
      <c r="HC44">
        <v>2.2797900000000002</v>
      </c>
      <c r="HD44">
        <v>20.1981</v>
      </c>
      <c r="HE44">
        <v>5.2340600000000004</v>
      </c>
      <c r="HF44">
        <v>11.9201</v>
      </c>
      <c r="HG44">
        <v>4.96</v>
      </c>
      <c r="HH44">
        <v>3.2890000000000001</v>
      </c>
      <c r="HI44">
        <v>9999</v>
      </c>
      <c r="HJ44">
        <v>9999</v>
      </c>
      <c r="HK44">
        <v>9999</v>
      </c>
      <c r="HL44">
        <v>876.9</v>
      </c>
      <c r="HM44">
        <v>1.8806499999999999</v>
      </c>
      <c r="HN44">
        <v>1.87775</v>
      </c>
      <c r="HO44">
        <v>1.88568</v>
      </c>
      <c r="HP44">
        <v>1.8834900000000001</v>
      </c>
      <c r="HQ44">
        <v>1.8809499999999999</v>
      </c>
      <c r="HR44">
        <v>1.8800399999999999</v>
      </c>
      <c r="HS44">
        <v>1.88121</v>
      </c>
      <c r="HT44">
        <v>1.8806499999999999</v>
      </c>
      <c r="HU44">
        <v>5</v>
      </c>
      <c r="HV44">
        <v>0</v>
      </c>
      <c r="HW44">
        <v>0</v>
      </c>
      <c r="HX44">
        <v>0</v>
      </c>
      <c r="HY44" t="s">
        <v>422</v>
      </c>
      <c r="HZ44" t="s">
        <v>423</v>
      </c>
      <c r="IA44" t="s">
        <v>424</v>
      </c>
      <c r="IB44" t="s">
        <v>424</v>
      </c>
      <c r="IC44" t="s">
        <v>424</v>
      </c>
      <c r="ID44" t="s">
        <v>424</v>
      </c>
      <c r="IE44">
        <v>0</v>
      </c>
      <c r="IF44">
        <v>100</v>
      </c>
      <c r="IG44">
        <v>100</v>
      </c>
      <c r="IH44">
        <v>2.0499999999999998</v>
      </c>
      <c r="II44">
        <v>0.27089999999999997</v>
      </c>
      <c r="IJ44">
        <v>1.2955359891800371</v>
      </c>
      <c r="IK44">
        <v>2.2153513873161218E-3</v>
      </c>
      <c r="IL44">
        <v>-2.2967369670569612E-6</v>
      </c>
      <c r="IM44">
        <v>7.7859689150384122E-10</v>
      </c>
      <c r="IN44">
        <v>-0.11643979061994381</v>
      </c>
      <c r="IO44">
        <v>-4.1434251034592161E-3</v>
      </c>
      <c r="IP44">
        <v>8.3987709687394815E-4</v>
      </c>
      <c r="IQ44">
        <v>-7.4586254598011197E-6</v>
      </c>
      <c r="IR44">
        <v>2</v>
      </c>
      <c r="IS44">
        <v>1930</v>
      </c>
      <c r="IT44">
        <v>2</v>
      </c>
      <c r="IU44">
        <v>41</v>
      </c>
      <c r="IV44">
        <v>0.7</v>
      </c>
      <c r="IW44">
        <v>0.8</v>
      </c>
      <c r="IX44">
        <v>2.8576700000000002</v>
      </c>
      <c r="IY44">
        <v>2.47559</v>
      </c>
      <c r="IZ44">
        <v>1.24512</v>
      </c>
      <c r="JA44">
        <v>2.2656200000000002</v>
      </c>
      <c r="JB44">
        <v>1.4501999999999999</v>
      </c>
      <c r="JC44">
        <v>2.2705099999999998</v>
      </c>
      <c r="JD44">
        <v>38.895099999999999</v>
      </c>
      <c r="JE44">
        <v>16.2422</v>
      </c>
      <c r="JF44">
        <v>18</v>
      </c>
      <c r="JG44">
        <v>496.01799999999997</v>
      </c>
      <c r="JH44">
        <v>462.35899999999998</v>
      </c>
      <c r="JI44">
        <v>26.215599999999998</v>
      </c>
      <c r="JJ44">
        <v>33.068399999999997</v>
      </c>
      <c r="JK44">
        <v>30.000399999999999</v>
      </c>
      <c r="JL44">
        <v>32.9298</v>
      </c>
      <c r="JM44">
        <v>32.882599999999996</v>
      </c>
      <c r="JN44">
        <v>57.301499999999997</v>
      </c>
      <c r="JO44">
        <v>30.539400000000001</v>
      </c>
      <c r="JP44">
        <v>0</v>
      </c>
      <c r="JQ44">
        <v>26.209800000000001</v>
      </c>
      <c r="JR44">
        <v>1500</v>
      </c>
      <c r="JS44">
        <v>23.650200000000002</v>
      </c>
      <c r="JT44">
        <v>99.396600000000007</v>
      </c>
      <c r="JU44">
        <v>99.332700000000003</v>
      </c>
    </row>
    <row r="45" spans="1:281" x14ac:dyDescent="0.25">
      <c r="A45">
        <v>29</v>
      </c>
      <c r="B45">
        <v>1693328768.5999999</v>
      </c>
      <c r="C45">
        <v>6055.5</v>
      </c>
      <c r="D45" t="s">
        <v>562</v>
      </c>
      <c r="E45" t="s">
        <v>563</v>
      </c>
      <c r="F45" t="s">
        <v>413</v>
      </c>
      <c r="G45" t="s">
        <v>564</v>
      </c>
      <c r="H45" t="s">
        <v>565</v>
      </c>
      <c r="I45" t="s">
        <v>415</v>
      </c>
      <c r="J45">
        <v>1693328768.5999999</v>
      </c>
      <c r="K45">
        <f t="shared" si="0"/>
        <v>3.2185121840840043E-3</v>
      </c>
      <c r="L45">
        <f t="shared" si="1"/>
        <v>3.2185121840840045</v>
      </c>
      <c r="M45">
        <f t="shared" si="2"/>
        <v>34.866328888330266</v>
      </c>
      <c r="N45">
        <f t="shared" si="3"/>
        <v>356.95499999999998</v>
      </c>
      <c r="O45">
        <f t="shared" si="4"/>
        <v>86.473383366000562</v>
      </c>
      <c r="P45">
        <f t="shared" si="5"/>
        <v>8.5760592778986773</v>
      </c>
      <c r="Q45">
        <f t="shared" si="6"/>
        <v>35.401265920004995</v>
      </c>
      <c r="R45">
        <f t="shared" si="7"/>
        <v>0.21796314051044341</v>
      </c>
      <c r="S45">
        <f t="shared" si="8"/>
        <v>2.9036332285392366</v>
      </c>
      <c r="T45">
        <f t="shared" si="9"/>
        <v>0.20926433527694524</v>
      </c>
      <c r="U45">
        <f t="shared" si="10"/>
        <v>0.13154283517830007</v>
      </c>
      <c r="V45">
        <f t="shared" si="11"/>
        <v>344.41381180001548</v>
      </c>
      <c r="W45">
        <f t="shared" si="12"/>
        <v>31.593014413502065</v>
      </c>
      <c r="X45">
        <f t="shared" si="13"/>
        <v>30.053599999999999</v>
      </c>
      <c r="Y45">
        <f t="shared" si="14"/>
        <v>4.2735842001337296</v>
      </c>
      <c r="Z45">
        <f t="shared" si="15"/>
        <v>64.321157777094513</v>
      </c>
      <c r="AA45">
        <f t="shared" si="16"/>
        <v>2.8026659225755997</v>
      </c>
      <c r="AB45">
        <f t="shared" si="17"/>
        <v>4.3573001784082628</v>
      </c>
      <c r="AC45">
        <f t="shared" si="18"/>
        <v>1.47091827755813</v>
      </c>
      <c r="AD45">
        <f t="shared" si="19"/>
        <v>-141.93638731810458</v>
      </c>
      <c r="AE45">
        <f t="shared" si="20"/>
        <v>52.957710222933613</v>
      </c>
      <c r="AF45">
        <f t="shared" si="21"/>
        <v>4.0642847768908927</v>
      </c>
      <c r="AG45">
        <f t="shared" si="22"/>
        <v>259.4994194817354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51528.823408979188</v>
      </c>
      <c r="AM45" t="s">
        <v>416</v>
      </c>
      <c r="AN45">
        <v>10366.9</v>
      </c>
      <c r="AO45">
        <v>993.59653846153856</v>
      </c>
      <c r="AP45">
        <v>3431.87</v>
      </c>
      <c r="AQ45">
        <f t="shared" si="26"/>
        <v>0.71047955241266758</v>
      </c>
      <c r="AR45">
        <v>-3.9894345373445681</v>
      </c>
      <c r="AS45" t="s">
        <v>566</v>
      </c>
      <c r="AT45">
        <v>10419.1</v>
      </c>
      <c r="AU45">
        <v>838.27347999999995</v>
      </c>
      <c r="AV45">
        <v>1105.266650139343</v>
      </c>
      <c r="AW45">
        <f t="shared" si="27"/>
        <v>0.24156448591449198</v>
      </c>
      <c r="AX45">
        <v>0.5</v>
      </c>
      <c r="AY45">
        <f t="shared" si="28"/>
        <v>1513.3857059000077</v>
      </c>
      <c r="AZ45">
        <f t="shared" si="29"/>
        <v>34.866328888330266</v>
      </c>
      <c r="BA45">
        <f t="shared" si="30"/>
        <v>182.79012001803795</v>
      </c>
      <c r="BB45">
        <f t="shared" si="31"/>
        <v>2.5674726062360546E-2</v>
      </c>
      <c r="BC45">
        <f t="shared" si="32"/>
        <v>2.1050154273336097</v>
      </c>
      <c r="BD45">
        <f t="shared" si="33"/>
        <v>617.35351819456105</v>
      </c>
      <c r="BE45" t="s">
        <v>567</v>
      </c>
      <c r="BF45">
        <v>614.32000000000005</v>
      </c>
      <c r="BG45">
        <f t="shared" si="34"/>
        <v>614.32000000000005</v>
      </c>
      <c r="BH45">
        <f t="shared" si="35"/>
        <v>0.44418842283665072</v>
      </c>
      <c r="BI45">
        <f t="shared" si="36"/>
        <v>0.5438333677672792</v>
      </c>
      <c r="BJ45">
        <f t="shared" si="37"/>
        <v>0.82575405932837287</v>
      </c>
      <c r="BK45">
        <f t="shared" si="38"/>
        <v>2.3909098515964913</v>
      </c>
      <c r="BL45">
        <f t="shared" si="39"/>
        <v>0.95420115362804914</v>
      </c>
      <c r="BM45">
        <f t="shared" si="40"/>
        <v>0.39854262655046063</v>
      </c>
      <c r="BN45">
        <f t="shared" si="41"/>
        <v>0.60145737344953942</v>
      </c>
      <c r="BO45">
        <v>7604</v>
      </c>
      <c r="BP45">
        <v>290.00000000000011</v>
      </c>
      <c r="BQ45">
        <v>1036.24</v>
      </c>
      <c r="BR45">
        <v>195</v>
      </c>
      <c r="BS45">
        <v>10419.1</v>
      </c>
      <c r="BT45">
        <v>1033.8499999999999</v>
      </c>
      <c r="BU45">
        <v>2.39</v>
      </c>
      <c r="BV45">
        <v>300.00000000000011</v>
      </c>
      <c r="BW45">
        <v>38.200000000000003</v>
      </c>
      <c r="BX45">
        <v>1105.266650139343</v>
      </c>
      <c r="BY45">
        <v>1.0357025345803119</v>
      </c>
      <c r="BZ45">
        <v>-74.406980490009516</v>
      </c>
      <c r="CA45">
        <v>0.88356983924907972</v>
      </c>
      <c r="CB45">
        <v>0.99606720709586571</v>
      </c>
      <c r="CC45">
        <v>-1.13172169076752E-2</v>
      </c>
      <c r="CD45">
        <v>289.99999999999989</v>
      </c>
      <c r="CE45">
        <v>1031.06</v>
      </c>
      <c r="CF45">
        <v>685</v>
      </c>
      <c r="CG45">
        <v>10397.1</v>
      </c>
      <c r="CH45">
        <v>1033.7</v>
      </c>
      <c r="CI45">
        <v>-2.64</v>
      </c>
      <c r="CW45">
        <f t="shared" si="42"/>
        <v>1800.24</v>
      </c>
      <c r="CX45">
        <f t="shared" si="43"/>
        <v>1513.3857059000077</v>
      </c>
      <c r="CY45">
        <f t="shared" si="44"/>
        <v>0.84065774891126055</v>
      </c>
      <c r="CZ45">
        <f t="shared" si="45"/>
        <v>0.19131549782252116</v>
      </c>
      <c r="DA45">
        <v>6</v>
      </c>
      <c r="DB45">
        <v>0.5</v>
      </c>
      <c r="DC45" t="s">
        <v>419</v>
      </c>
      <c r="DD45">
        <v>2</v>
      </c>
      <c r="DE45">
        <v>1693328768.5999999</v>
      </c>
      <c r="DF45">
        <v>356.95499999999998</v>
      </c>
      <c r="DG45">
        <v>400.11599999999999</v>
      </c>
      <c r="DH45">
        <v>28.259599999999999</v>
      </c>
      <c r="DI45">
        <v>24.511500000000002</v>
      </c>
      <c r="DJ45">
        <v>355.67899999999997</v>
      </c>
      <c r="DK45">
        <v>28.0001</v>
      </c>
      <c r="DL45">
        <v>500.66300000000001</v>
      </c>
      <c r="DM45">
        <v>99.0749</v>
      </c>
      <c r="DN45">
        <v>0.100811</v>
      </c>
      <c r="DO45">
        <v>30.3919</v>
      </c>
      <c r="DP45">
        <v>30.053599999999999</v>
      </c>
      <c r="DQ45">
        <v>999.9</v>
      </c>
      <c r="DR45">
        <v>0</v>
      </c>
      <c r="DS45">
        <v>0</v>
      </c>
      <c r="DT45">
        <v>9945</v>
      </c>
      <c r="DU45">
        <v>0</v>
      </c>
      <c r="DV45">
        <v>1355.69</v>
      </c>
      <c r="DW45">
        <v>-43.160899999999998</v>
      </c>
      <c r="DX45">
        <v>367.33600000000001</v>
      </c>
      <c r="DY45">
        <v>410.17</v>
      </c>
      <c r="DZ45">
        <v>3.7480099999999998</v>
      </c>
      <c r="EA45">
        <v>400.11599999999999</v>
      </c>
      <c r="EB45">
        <v>24.511500000000002</v>
      </c>
      <c r="EC45">
        <v>2.7998099999999999</v>
      </c>
      <c r="ED45">
        <v>2.42848</v>
      </c>
      <c r="EE45">
        <v>22.882999999999999</v>
      </c>
      <c r="EF45">
        <v>20.5549</v>
      </c>
      <c r="EG45">
        <v>1800.24</v>
      </c>
      <c r="EH45">
        <v>0.97801099999999996</v>
      </c>
      <c r="EI45">
        <v>2.19887E-2</v>
      </c>
      <c r="EJ45">
        <v>0</v>
      </c>
      <c r="EK45">
        <v>837.60599999999999</v>
      </c>
      <c r="EL45">
        <v>5.0010300000000001</v>
      </c>
      <c r="EM45">
        <v>16009.4</v>
      </c>
      <c r="EN45">
        <v>14703.1</v>
      </c>
      <c r="EO45">
        <v>49.061999999999998</v>
      </c>
      <c r="EP45">
        <v>50.811999999999998</v>
      </c>
      <c r="EQ45">
        <v>50.625</v>
      </c>
      <c r="ER45">
        <v>49.375</v>
      </c>
      <c r="ES45">
        <v>50.436999999999998</v>
      </c>
      <c r="ET45">
        <v>1755.76</v>
      </c>
      <c r="EU45">
        <v>39.47</v>
      </c>
      <c r="EV45">
        <v>0</v>
      </c>
      <c r="EW45">
        <v>1253.400000095367</v>
      </c>
      <c r="EX45">
        <v>0</v>
      </c>
      <c r="EY45">
        <v>838.27347999999995</v>
      </c>
      <c r="EZ45">
        <v>-3.131769246718501</v>
      </c>
      <c r="FA45">
        <v>-41.8461537636095</v>
      </c>
      <c r="FB45">
        <v>16013.796</v>
      </c>
      <c r="FC45">
        <v>15</v>
      </c>
      <c r="FD45">
        <v>1693328723.0999999</v>
      </c>
      <c r="FE45" t="s">
        <v>568</v>
      </c>
      <c r="FF45">
        <v>1693328715.5999999</v>
      </c>
      <c r="FG45">
        <v>1693328723.0999999</v>
      </c>
      <c r="FH45">
        <v>33</v>
      </c>
      <c r="FI45">
        <v>9.8000000000000004E-2</v>
      </c>
      <c r="FJ45">
        <v>1E-3</v>
      </c>
      <c r="FK45">
        <v>1.3109999999999999</v>
      </c>
      <c r="FL45">
        <v>7.9000000000000001E-2</v>
      </c>
      <c r="FM45">
        <v>400</v>
      </c>
      <c r="FN45">
        <v>20</v>
      </c>
      <c r="FO45">
        <v>0.1</v>
      </c>
      <c r="FP45">
        <v>0.05</v>
      </c>
      <c r="FQ45">
        <v>34.726477887886418</v>
      </c>
      <c r="FR45">
        <v>0.24817899859083731</v>
      </c>
      <c r="FS45">
        <v>0.14377783328662189</v>
      </c>
      <c r="FT45">
        <v>1</v>
      </c>
      <c r="FU45">
        <v>0.21509368181987251</v>
      </c>
      <c r="FV45">
        <v>3.3912294218551943E-2</v>
      </c>
      <c r="FW45">
        <v>3.6753923738132872E-3</v>
      </c>
      <c r="FX45">
        <v>1</v>
      </c>
      <c r="FY45">
        <v>2</v>
      </c>
      <c r="FZ45">
        <v>2</v>
      </c>
      <c r="GA45" t="s">
        <v>421</v>
      </c>
      <c r="GB45">
        <v>2.90185</v>
      </c>
      <c r="GC45">
        <v>2.8183400000000001</v>
      </c>
      <c r="GD45">
        <v>8.25211E-2</v>
      </c>
      <c r="GE45">
        <v>9.0437199999999995E-2</v>
      </c>
      <c r="GF45">
        <v>0.13293199999999999</v>
      </c>
      <c r="GG45">
        <v>0.120383</v>
      </c>
      <c r="GH45">
        <v>25458.3</v>
      </c>
      <c r="GI45">
        <v>25358.1</v>
      </c>
      <c r="GJ45">
        <v>24619.599999999999</v>
      </c>
      <c r="GK45">
        <v>24898.2</v>
      </c>
      <c r="GL45">
        <v>28364.799999999999</v>
      </c>
      <c r="GM45">
        <v>28665.9</v>
      </c>
      <c r="GN45">
        <v>33304.1</v>
      </c>
      <c r="GO45">
        <v>33287.300000000003</v>
      </c>
      <c r="GP45">
        <v>1.9568000000000001</v>
      </c>
      <c r="GQ45">
        <v>1.796</v>
      </c>
      <c r="GR45">
        <v>5.7682400000000002E-2</v>
      </c>
      <c r="GS45">
        <v>0</v>
      </c>
      <c r="GT45">
        <v>29.1143</v>
      </c>
      <c r="GU45">
        <v>999.9</v>
      </c>
      <c r="GV45">
        <v>47.7</v>
      </c>
      <c r="GW45">
        <v>39.799999999999997</v>
      </c>
      <c r="GX45">
        <v>35.314799999999998</v>
      </c>
      <c r="GY45">
        <v>62.152799999999999</v>
      </c>
      <c r="GZ45">
        <v>25.793299999999999</v>
      </c>
      <c r="HA45">
        <v>1</v>
      </c>
      <c r="HB45">
        <v>0.46411599999999997</v>
      </c>
      <c r="HC45">
        <v>2.1878799999999998</v>
      </c>
      <c r="HD45">
        <v>20.1496</v>
      </c>
      <c r="HE45">
        <v>5.2316700000000003</v>
      </c>
      <c r="HF45">
        <v>11.9201</v>
      </c>
      <c r="HG45">
        <v>4.9603999999999999</v>
      </c>
      <c r="HH45">
        <v>3.2890000000000001</v>
      </c>
      <c r="HI45">
        <v>9999</v>
      </c>
      <c r="HJ45">
        <v>9999</v>
      </c>
      <c r="HK45">
        <v>9999</v>
      </c>
      <c r="HL45">
        <v>877.2</v>
      </c>
      <c r="HM45">
        <v>1.8811</v>
      </c>
      <c r="HN45">
        <v>1.87836</v>
      </c>
      <c r="HO45">
        <v>1.88629</v>
      </c>
      <c r="HP45">
        <v>1.8839999999999999</v>
      </c>
      <c r="HQ45">
        <v>1.88157</v>
      </c>
      <c r="HR45">
        <v>1.88052</v>
      </c>
      <c r="HS45">
        <v>1.88171</v>
      </c>
      <c r="HT45">
        <v>1.8812599999999999</v>
      </c>
      <c r="HU45">
        <v>5</v>
      </c>
      <c r="HV45">
        <v>0</v>
      </c>
      <c r="HW45">
        <v>0</v>
      </c>
      <c r="HX45">
        <v>0</v>
      </c>
      <c r="HY45" t="s">
        <v>422</v>
      </c>
      <c r="HZ45" t="s">
        <v>423</v>
      </c>
      <c r="IA45" t="s">
        <v>424</v>
      </c>
      <c r="IB45" t="s">
        <v>424</v>
      </c>
      <c r="IC45" t="s">
        <v>424</v>
      </c>
      <c r="ID45" t="s">
        <v>424</v>
      </c>
      <c r="IE45">
        <v>0</v>
      </c>
      <c r="IF45">
        <v>100</v>
      </c>
      <c r="IG45">
        <v>100</v>
      </c>
      <c r="IH45">
        <v>1.276</v>
      </c>
      <c r="II45">
        <v>0.25950000000000001</v>
      </c>
      <c r="IJ45">
        <v>0.74366023177167584</v>
      </c>
      <c r="IK45">
        <v>2.2153513873161218E-3</v>
      </c>
      <c r="IL45">
        <v>-2.2967369670569612E-6</v>
      </c>
      <c r="IM45">
        <v>7.7859689150384122E-10</v>
      </c>
      <c r="IN45">
        <v>-0.1192708426099246</v>
      </c>
      <c r="IO45">
        <v>-4.1434251034592161E-3</v>
      </c>
      <c r="IP45">
        <v>8.3987709687394815E-4</v>
      </c>
      <c r="IQ45">
        <v>-7.4586254598011197E-6</v>
      </c>
      <c r="IR45">
        <v>2</v>
      </c>
      <c r="IS45">
        <v>1930</v>
      </c>
      <c r="IT45">
        <v>2</v>
      </c>
      <c r="IU45">
        <v>41</v>
      </c>
      <c r="IV45">
        <v>0.9</v>
      </c>
      <c r="IW45">
        <v>0.8</v>
      </c>
      <c r="IX45">
        <v>0.97656200000000004</v>
      </c>
      <c r="IY45">
        <v>2.50732</v>
      </c>
      <c r="IZ45">
        <v>1.24512</v>
      </c>
      <c r="JA45">
        <v>2.2631800000000002</v>
      </c>
      <c r="JB45">
        <v>1.4501999999999999</v>
      </c>
      <c r="JC45">
        <v>2.4194300000000002</v>
      </c>
      <c r="JD45">
        <v>46.796900000000001</v>
      </c>
      <c r="JE45">
        <v>24.061199999999999</v>
      </c>
      <c r="JF45">
        <v>18</v>
      </c>
      <c r="JG45">
        <v>495.90300000000002</v>
      </c>
      <c r="JH45">
        <v>436.488</v>
      </c>
      <c r="JI45">
        <v>26.5059</v>
      </c>
      <c r="JJ45">
        <v>33.156999999999996</v>
      </c>
      <c r="JK45">
        <v>30</v>
      </c>
      <c r="JL45">
        <v>33.073300000000003</v>
      </c>
      <c r="JM45">
        <v>33.041800000000002</v>
      </c>
      <c r="JN45">
        <v>19.6495</v>
      </c>
      <c r="JO45">
        <v>34.5779</v>
      </c>
      <c r="JP45">
        <v>0</v>
      </c>
      <c r="JQ45">
        <v>26.475899999999999</v>
      </c>
      <c r="JR45">
        <v>400</v>
      </c>
      <c r="JS45">
        <v>24.613299999999999</v>
      </c>
      <c r="JT45">
        <v>99.387</v>
      </c>
      <c r="JU45">
        <v>99.305899999999994</v>
      </c>
    </row>
    <row r="46" spans="1:281" x14ac:dyDescent="0.25">
      <c r="A46">
        <v>30</v>
      </c>
      <c r="B46">
        <v>1693328868.5999999</v>
      </c>
      <c r="C46">
        <v>6155.5</v>
      </c>
      <c r="D46" t="s">
        <v>569</v>
      </c>
      <c r="E46" t="s">
        <v>570</v>
      </c>
      <c r="F46" t="s">
        <v>413</v>
      </c>
      <c r="G46" t="s">
        <v>564</v>
      </c>
      <c r="H46" t="s">
        <v>565</v>
      </c>
      <c r="I46" t="s">
        <v>415</v>
      </c>
      <c r="J46">
        <v>1693328868.5999999</v>
      </c>
      <c r="K46">
        <f t="shared" si="0"/>
        <v>3.6075022402621395E-3</v>
      </c>
      <c r="L46">
        <f t="shared" si="1"/>
        <v>3.6075022402621393</v>
      </c>
      <c r="M46">
        <f t="shared" si="2"/>
        <v>27.202331253373341</v>
      </c>
      <c r="N46">
        <f t="shared" si="3"/>
        <v>266.32</v>
      </c>
      <c r="O46">
        <f t="shared" si="4"/>
        <v>84.646448046088508</v>
      </c>
      <c r="P46">
        <f t="shared" si="5"/>
        <v>8.3950931037034788</v>
      </c>
      <c r="Q46">
        <f t="shared" si="6"/>
        <v>26.413172046640003</v>
      </c>
      <c r="R46">
        <f t="shared" si="7"/>
        <v>0.25535464539522351</v>
      </c>
      <c r="S46">
        <f t="shared" si="8"/>
        <v>2.9076363420206506</v>
      </c>
      <c r="T46">
        <f t="shared" si="9"/>
        <v>0.24351802422015628</v>
      </c>
      <c r="U46">
        <f t="shared" si="10"/>
        <v>0.15321650883022542</v>
      </c>
      <c r="V46">
        <f t="shared" si="11"/>
        <v>344.34729864478129</v>
      </c>
      <c r="W46">
        <f t="shared" si="12"/>
        <v>31.394326545934529</v>
      </c>
      <c r="X46">
        <f t="shared" si="13"/>
        <v>29.989599999999999</v>
      </c>
      <c r="Y46">
        <f t="shared" si="14"/>
        <v>4.2579053806818408</v>
      </c>
      <c r="Z46">
        <f t="shared" si="15"/>
        <v>65.563311381147443</v>
      </c>
      <c r="AA46">
        <f t="shared" si="16"/>
        <v>2.8412507940633005</v>
      </c>
      <c r="AB46">
        <f t="shared" si="17"/>
        <v>4.3335986761649359</v>
      </c>
      <c r="AC46">
        <f t="shared" si="18"/>
        <v>1.4166545866185403</v>
      </c>
      <c r="AD46">
        <f t="shared" si="19"/>
        <v>-159.09084879556036</v>
      </c>
      <c r="AE46">
        <f t="shared" si="20"/>
        <v>48.139918223649723</v>
      </c>
      <c r="AF46">
        <f t="shared" si="21"/>
        <v>3.6865476897176874</v>
      </c>
      <c r="AG46">
        <f t="shared" si="22"/>
        <v>237.08291576258836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51658.635258644535</v>
      </c>
      <c r="AM46" t="s">
        <v>416</v>
      </c>
      <c r="AN46">
        <v>10366.9</v>
      </c>
      <c r="AO46">
        <v>993.59653846153856</v>
      </c>
      <c r="AP46">
        <v>3431.87</v>
      </c>
      <c r="AQ46">
        <f t="shared" si="26"/>
        <v>0.71047955241266758</v>
      </c>
      <c r="AR46">
        <v>-3.9894345373445681</v>
      </c>
      <c r="AS46" t="s">
        <v>571</v>
      </c>
      <c r="AT46">
        <v>10423.1</v>
      </c>
      <c r="AU46">
        <v>833.00773076923065</v>
      </c>
      <c r="AV46">
        <v>1048.975784416155</v>
      </c>
      <c r="AW46">
        <f t="shared" si="27"/>
        <v>0.20588468948034777</v>
      </c>
      <c r="AX46">
        <v>0.5</v>
      </c>
      <c r="AY46">
        <f t="shared" si="28"/>
        <v>1513.0916993223907</v>
      </c>
      <c r="AZ46">
        <f t="shared" si="29"/>
        <v>27.202331253373341</v>
      </c>
      <c r="BA46">
        <f t="shared" si="30"/>
        <v>155.76120733514108</v>
      </c>
      <c r="BB46">
        <f t="shared" si="31"/>
        <v>2.0614590513375063E-2</v>
      </c>
      <c r="BC46">
        <f t="shared" si="32"/>
        <v>2.2716389176801921</v>
      </c>
      <c r="BD46">
        <f t="shared" si="33"/>
        <v>599.38769386245997</v>
      </c>
      <c r="BE46" t="s">
        <v>572</v>
      </c>
      <c r="BF46">
        <v>603.32000000000005</v>
      </c>
      <c r="BG46">
        <f t="shared" si="34"/>
        <v>603.32000000000005</v>
      </c>
      <c r="BH46">
        <f t="shared" si="35"/>
        <v>0.42484849606342501</v>
      </c>
      <c r="BI46">
        <f t="shared" si="36"/>
        <v>0.48460731622693942</v>
      </c>
      <c r="BJ46">
        <f t="shared" si="37"/>
        <v>0.84244373109326165</v>
      </c>
      <c r="BK46">
        <f t="shared" si="38"/>
        <v>3.8998012689430857</v>
      </c>
      <c r="BL46">
        <f t="shared" si="39"/>
        <v>0.97728751642169198</v>
      </c>
      <c r="BM46">
        <f t="shared" si="40"/>
        <v>0.35098508120212601</v>
      </c>
      <c r="BN46">
        <f t="shared" si="41"/>
        <v>0.64901491879787399</v>
      </c>
      <c r="BO46">
        <v>7606</v>
      </c>
      <c r="BP46">
        <v>290.00000000000011</v>
      </c>
      <c r="BQ46">
        <v>993.5</v>
      </c>
      <c r="BR46">
        <v>165</v>
      </c>
      <c r="BS46">
        <v>10423.1</v>
      </c>
      <c r="BT46">
        <v>991.64</v>
      </c>
      <c r="BU46">
        <v>1.86</v>
      </c>
      <c r="BV46">
        <v>300.00000000000011</v>
      </c>
      <c r="BW46">
        <v>38.200000000000003</v>
      </c>
      <c r="BX46">
        <v>1048.975784416155</v>
      </c>
      <c r="BY46">
        <v>1.4553712393306759</v>
      </c>
      <c r="BZ46">
        <v>-59.764184131480192</v>
      </c>
      <c r="CA46">
        <v>1.241532482627794</v>
      </c>
      <c r="CB46">
        <v>0.98806078216575899</v>
      </c>
      <c r="CC46">
        <v>-1.1316287430478311E-2</v>
      </c>
      <c r="CD46">
        <v>289.99999999999989</v>
      </c>
      <c r="CE46">
        <v>990.6</v>
      </c>
      <c r="CF46">
        <v>705</v>
      </c>
      <c r="CG46">
        <v>10395.1</v>
      </c>
      <c r="CH46">
        <v>991.48</v>
      </c>
      <c r="CI46">
        <v>-0.88</v>
      </c>
      <c r="CW46">
        <f t="shared" si="42"/>
        <v>1799.89</v>
      </c>
      <c r="CX46">
        <f t="shared" si="43"/>
        <v>1513.0916993223907</v>
      </c>
      <c r="CY46">
        <f t="shared" si="44"/>
        <v>0.84065787316024343</v>
      </c>
      <c r="CZ46">
        <f t="shared" si="45"/>
        <v>0.19131574632048695</v>
      </c>
      <c r="DA46">
        <v>6</v>
      </c>
      <c r="DB46">
        <v>0.5</v>
      </c>
      <c r="DC46" t="s">
        <v>419</v>
      </c>
      <c r="DD46">
        <v>2</v>
      </c>
      <c r="DE46">
        <v>1693328868.5999999</v>
      </c>
      <c r="DF46">
        <v>266.32</v>
      </c>
      <c r="DG46">
        <v>300.07</v>
      </c>
      <c r="DH46">
        <v>28.6479</v>
      </c>
      <c r="DI46">
        <v>24.448599999999999</v>
      </c>
      <c r="DJ46">
        <v>265.21800000000002</v>
      </c>
      <c r="DK46">
        <v>28.380400000000002</v>
      </c>
      <c r="DL46">
        <v>500.67700000000002</v>
      </c>
      <c r="DM46">
        <v>99.078100000000006</v>
      </c>
      <c r="DN46">
        <v>0.100227</v>
      </c>
      <c r="DO46">
        <v>30.296700000000001</v>
      </c>
      <c r="DP46">
        <v>29.989599999999999</v>
      </c>
      <c r="DQ46">
        <v>999.9</v>
      </c>
      <c r="DR46">
        <v>0</v>
      </c>
      <c r="DS46">
        <v>0</v>
      </c>
      <c r="DT46">
        <v>9967.5</v>
      </c>
      <c r="DU46">
        <v>0</v>
      </c>
      <c r="DV46">
        <v>1374.03</v>
      </c>
      <c r="DW46">
        <v>-33.750500000000002</v>
      </c>
      <c r="DX46">
        <v>274.17399999999998</v>
      </c>
      <c r="DY46">
        <v>307.58999999999997</v>
      </c>
      <c r="DZ46">
        <v>4.1993400000000003</v>
      </c>
      <c r="EA46">
        <v>300.07</v>
      </c>
      <c r="EB46">
        <v>24.448599999999999</v>
      </c>
      <c r="EC46">
        <v>2.8383799999999999</v>
      </c>
      <c r="ED46">
        <v>2.42232</v>
      </c>
      <c r="EE46">
        <v>23.109000000000002</v>
      </c>
      <c r="EF46">
        <v>20.5137</v>
      </c>
      <c r="EG46">
        <v>1799.89</v>
      </c>
      <c r="EH46">
        <v>0.97800799999999999</v>
      </c>
      <c r="EI46">
        <v>2.1992399999999999E-2</v>
      </c>
      <c r="EJ46">
        <v>0</v>
      </c>
      <c r="EK46">
        <v>832.57500000000005</v>
      </c>
      <c r="EL46">
        <v>5.0010300000000001</v>
      </c>
      <c r="EM46">
        <v>15926</v>
      </c>
      <c r="EN46">
        <v>14700.2</v>
      </c>
      <c r="EO46">
        <v>49.186999999999998</v>
      </c>
      <c r="EP46">
        <v>50.875</v>
      </c>
      <c r="EQ46">
        <v>50.75</v>
      </c>
      <c r="ER46">
        <v>49.5</v>
      </c>
      <c r="ES46">
        <v>50.561999999999998</v>
      </c>
      <c r="ET46">
        <v>1755.42</v>
      </c>
      <c r="EU46">
        <v>39.47</v>
      </c>
      <c r="EV46">
        <v>0</v>
      </c>
      <c r="EW46">
        <v>97.799999952316284</v>
      </c>
      <c r="EX46">
        <v>0</v>
      </c>
      <c r="EY46">
        <v>833.00773076923065</v>
      </c>
      <c r="EZ46">
        <v>-3.830461540328737</v>
      </c>
      <c r="FA46">
        <v>-46.133333466972097</v>
      </c>
      <c r="FB46">
        <v>15933.561538461539</v>
      </c>
      <c r="FC46">
        <v>15</v>
      </c>
      <c r="FD46">
        <v>1693328842.0999999</v>
      </c>
      <c r="FE46" t="s">
        <v>573</v>
      </c>
      <c r="FF46">
        <v>1693328836.0999999</v>
      </c>
      <c r="FG46">
        <v>1693328842.0999999</v>
      </c>
      <c r="FH46">
        <v>34</v>
      </c>
      <c r="FI46">
        <v>-8.3000000000000004E-2</v>
      </c>
      <c r="FJ46">
        <v>-2E-3</v>
      </c>
      <c r="FK46">
        <v>1.139</v>
      </c>
      <c r="FL46">
        <v>0.17299999999999999</v>
      </c>
      <c r="FM46">
        <v>300</v>
      </c>
      <c r="FN46">
        <v>25</v>
      </c>
      <c r="FO46">
        <v>0.17</v>
      </c>
      <c r="FP46">
        <v>0.05</v>
      </c>
      <c r="FQ46">
        <v>27.042969611920881</v>
      </c>
      <c r="FR46">
        <v>0.426737437520681</v>
      </c>
      <c r="FS46">
        <v>6.8183341305822598E-2</v>
      </c>
      <c r="FT46">
        <v>1</v>
      </c>
      <c r="FU46">
        <v>0.25406742154924439</v>
      </c>
      <c r="FV46">
        <v>4.5438588449398777E-2</v>
      </c>
      <c r="FW46">
        <v>3.9562202910446579E-3</v>
      </c>
      <c r="FX46">
        <v>1</v>
      </c>
      <c r="FY46">
        <v>2</v>
      </c>
      <c r="FZ46">
        <v>2</v>
      </c>
      <c r="GA46" t="s">
        <v>421</v>
      </c>
      <c r="GB46">
        <v>2.9018799999999998</v>
      </c>
      <c r="GC46">
        <v>2.8179599999999998</v>
      </c>
      <c r="GD46">
        <v>6.5006999999999995E-2</v>
      </c>
      <c r="GE46">
        <v>7.2016700000000003E-2</v>
      </c>
      <c r="GF46">
        <v>0.13416900000000001</v>
      </c>
      <c r="GG46">
        <v>0.12017700000000001</v>
      </c>
      <c r="GH46">
        <v>25943.7</v>
      </c>
      <c r="GI46">
        <v>25871.200000000001</v>
      </c>
      <c r="GJ46">
        <v>24619.4</v>
      </c>
      <c r="GK46">
        <v>24898.2</v>
      </c>
      <c r="GL46">
        <v>28323.8</v>
      </c>
      <c r="GM46">
        <v>28671.5</v>
      </c>
      <c r="GN46">
        <v>33303.699999999997</v>
      </c>
      <c r="GO46">
        <v>33286</v>
      </c>
      <c r="GP46">
        <v>1.9568000000000001</v>
      </c>
      <c r="GQ46">
        <v>1.7919</v>
      </c>
      <c r="GR46">
        <v>4.70579E-2</v>
      </c>
      <c r="GS46">
        <v>0</v>
      </c>
      <c r="GT46">
        <v>29.223299999999998</v>
      </c>
      <c r="GU46">
        <v>999.9</v>
      </c>
      <c r="GV46">
        <v>47.5</v>
      </c>
      <c r="GW46">
        <v>40.200000000000003</v>
      </c>
      <c r="GX46">
        <v>35.923000000000002</v>
      </c>
      <c r="GY46">
        <v>61.662799999999997</v>
      </c>
      <c r="GZ46">
        <v>26.2179</v>
      </c>
      <c r="HA46">
        <v>1</v>
      </c>
      <c r="HB46">
        <v>0.46485799999999999</v>
      </c>
      <c r="HC46">
        <v>0.61686300000000005</v>
      </c>
      <c r="HD46">
        <v>20.1615</v>
      </c>
      <c r="HE46">
        <v>5.2322600000000001</v>
      </c>
      <c r="HF46">
        <v>11.9201</v>
      </c>
      <c r="HG46">
        <v>4.96</v>
      </c>
      <c r="HH46">
        <v>3.2890000000000001</v>
      </c>
      <c r="HI46">
        <v>9999</v>
      </c>
      <c r="HJ46">
        <v>9999</v>
      </c>
      <c r="HK46">
        <v>9999</v>
      </c>
      <c r="HL46">
        <v>877.3</v>
      </c>
      <c r="HM46">
        <v>1.8811</v>
      </c>
      <c r="HN46">
        <v>1.87836</v>
      </c>
      <c r="HO46">
        <v>1.88629</v>
      </c>
      <c r="HP46">
        <v>1.8839999999999999</v>
      </c>
      <c r="HQ46">
        <v>1.8815599999999999</v>
      </c>
      <c r="HR46">
        <v>1.88049</v>
      </c>
      <c r="HS46">
        <v>1.88171</v>
      </c>
      <c r="HT46">
        <v>1.8812599999999999</v>
      </c>
      <c r="HU46">
        <v>5</v>
      </c>
      <c r="HV46">
        <v>0</v>
      </c>
      <c r="HW46">
        <v>0</v>
      </c>
      <c r="HX46">
        <v>0</v>
      </c>
      <c r="HY46" t="s">
        <v>422</v>
      </c>
      <c r="HZ46" t="s">
        <v>423</v>
      </c>
      <c r="IA46" t="s">
        <v>424</v>
      </c>
      <c r="IB46" t="s">
        <v>424</v>
      </c>
      <c r="IC46" t="s">
        <v>424</v>
      </c>
      <c r="ID46" t="s">
        <v>424</v>
      </c>
      <c r="IE46">
        <v>0</v>
      </c>
      <c r="IF46">
        <v>100</v>
      </c>
      <c r="IG46">
        <v>100</v>
      </c>
      <c r="IH46">
        <v>1.1020000000000001</v>
      </c>
      <c r="II46">
        <v>0.26750000000000002</v>
      </c>
      <c r="IJ46">
        <v>0.66103324198749869</v>
      </c>
      <c r="IK46">
        <v>2.2153513873161218E-3</v>
      </c>
      <c r="IL46">
        <v>-2.2967369670569612E-6</v>
      </c>
      <c r="IM46">
        <v>7.7859689150384122E-10</v>
      </c>
      <c r="IN46">
        <v>-0.1208848951791745</v>
      </c>
      <c r="IO46">
        <v>-4.1434251034592161E-3</v>
      </c>
      <c r="IP46">
        <v>8.3987709687394815E-4</v>
      </c>
      <c r="IQ46">
        <v>-7.4586254598011197E-6</v>
      </c>
      <c r="IR46">
        <v>2</v>
      </c>
      <c r="IS46">
        <v>1930</v>
      </c>
      <c r="IT46">
        <v>2</v>
      </c>
      <c r="IU46">
        <v>41</v>
      </c>
      <c r="IV46">
        <v>0.5</v>
      </c>
      <c r="IW46">
        <v>0.4</v>
      </c>
      <c r="IX46">
        <v>0.77880899999999997</v>
      </c>
      <c r="IY46">
        <v>2.5122100000000001</v>
      </c>
      <c r="IZ46">
        <v>1.24512</v>
      </c>
      <c r="JA46">
        <v>2.2644000000000002</v>
      </c>
      <c r="JB46">
        <v>1.4501999999999999</v>
      </c>
      <c r="JC46">
        <v>2.4597199999999999</v>
      </c>
      <c r="JD46">
        <v>46.974400000000003</v>
      </c>
      <c r="JE46">
        <v>24.07</v>
      </c>
      <c r="JF46">
        <v>18</v>
      </c>
      <c r="JG46">
        <v>495.887</v>
      </c>
      <c r="JH46">
        <v>433.71899999999999</v>
      </c>
      <c r="JI46">
        <v>25.9191</v>
      </c>
      <c r="JJ46">
        <v>33.168799999999997</v>
      </c>
      <c r="JK46">
        <v>29.9983</v>
      </c>
      <c r="JL46">
        <v>33.071800000000003</v>
      </c>
      <c r="JM46">
        <v>33.033900000000003</v>
      </c>
      <c r="JN46">
        <v>15.6701</v>
      </c>
      <c r="JO46">
        <v>36.913499999999999</v>
      </c>
      <c r="JP46">
        <v>0</v>
      </c>
      <c r="JQ46">
        <v>26.175599999999999</v>
      </c>
      <c r="JR46">
        <v>300</v>
      </c>
      <c r="JS46">
        <v>24.366499999999998</v>
      </c>
      <c r="JT46">
        <v>99.385900000000007</v>
      </c>
      <c r="JU46">
        <v>99.303700000000006</v>
      </c>
    </row>
    <row r="47" spans="1:281" x14ac:dyDescent="0.25">
      <c r="A47">
        <v>31</v>
      </c>
      <c r="B47">
        <v>1693329024.5999999</v>
      </c>
      <c r="C47">
        <v>6311.5</v>
      </c>
      <c r="D47" t="s">
        <v>574</v>
      </c>
      <c r="E47" t="s">
        <v>575</v>
      </c>
      <c r="F47" t="s">
        <v>413</v>
      </c>
      <c r="G47" t="s">
        <v>564</v>
      </c>
      <c r="H47" t="s">
        <v>565</v>
      </c>
      <c r="I47" t="s">
        <v>415</v>
      </c>
      <c r="J47">
        <v>1693329024.5999999</v>
      </c>
      <c r="K47">
        <f t="shared" si="0"/>
        <v>4.2960485418984447E-3</v>
      </c>
      <c r="L47">
        <f t="shared" si="1"/>
        <v>4.2960485418984451</v>
      </c>
      <c r="M47">
        <f t="shared" si="2"/>
        <v>20.828004427884618</v>
      </c>
      <c r="N47">
        <f t="shared" si="3"/>
        <v>174.12</v>
      </c>
      <c r="O47">
        <f t="shared" si="4"/>
        <v>57.146943949469836</v>
      </c>
      <c r="P47">
        <f t="shared" si="5"/>
        <v>5.6678115564533336</v>
      </c>
      <c r="Q47">
        <f t="shared" si="6"/>
        <v>17.26915351908</v>
      </c>
      <c r="R47">
        <f t="shared" si="7"/>
        <v>0.30623891204401327</v>
      </c>
      <c r="S47">
        <f t="shared" si="8"/>
        <v>2.9089752917551923</v>
      </c>
      <c r="T47">
        <f t="shared" si="9"/>
        <v>0.28938948773790341</v>
      </c>
      <c r="U47">
        <f t="shared" si="10"/>
        <v>0.18230498677699278</v>
      </c>
      <c r="V47">
        <f t="shared" si="11"/>
        <v>344.37069864452832</v>
      </c>
      <c r="W47">
        <f t="shared" si="12"/>
        <v>31.210266269484553</v>
      </c>
      <c r="X47">
        <f t="shared" si="13"/>
        <v>29.9498</v>
      </c>
      <c r="Y47">
        <f t="shared" si="14"/>
        <v>4.2481804164105963</v>
      </c>
      <c r="Z47">
        <f t="shared" si="15"/>
        <v>65.280541955681898</v>
      </c>
      <c r="AA47">
        <f t="shared" si="16"/>
        <v>2.8283644176184004</v>
      </c>
      <c r="AB47">
        <f t="shared" si="17"/>
        <v>4.3326301113408956</v>
      </c>
      <c r="AC47">
        <f t="shared" si="18"/>
        <v>1.4198159987921959</v>
      </c>
      <c r="AD47">
        <f t="shared" si="19"/>
        <v>-189.45574069772141</v>
      </c>
      <c r="AE47">
        <f t="shared" si="20"/>
        <v>53.792235843683336</v>
      </c>
      <c r="AF47">
        <f t="shared" si="21"/>
        <v>4.1166152138406646</v>
      </c>
      <c r="AG47">
        <f t="shared" si="22"/>
        <v>212.82380900433088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51697.338458014456</v>
      </c>
      <c r="AM47" t="s">
        <v>416</v>
      </c>
      <c r="AN47">
        <v>10366.9</v>
      </c>
      <c r="AO47">
        <v>993.59653846153856</v>
      </c>
      <c r="AP47">
        <v>3431.87</v>
      </c>
      <c r="AQ47">
        <f t="shared" si="26"/>
        <v>0.71047955241266758</v>
      </c>
      <c r="AR47">
        <v>-3.9894345373445681</v>
      </c>
      <c r="AS47" t="s">
        <v>576</v>
      </c>
      <c r="AT47">
        <v>10426.5</v>
      </c>
      <c r="AU47">
        <v>836.15242307692301</v>
      </c>
      <c r="AV47">
        <v>1004.563376974554</v>
      </c>
      <c r="AW47">
        <f t="shared" si="27"/>
        <v>0.16764592235567521</v>
      </c>
      <c r="AX47">
        <v>0.5</v>
      </c>
      <c r="AY47">
        <f t="shared" si="28"/>
        <v>1513.1927993222644</v>
      </c>
      <c r="AZ47">
        <f t="shared" si="29"/>
        <v>20.828004427884618</v>
      </c>
      <c r="BA47">
        <f t="shared" si="30"/>
        <v>126.84030127217358</v>
      </c>
      <c r="BB47">
        <f t="shared" si="31"/>
        <v>1.6400711777338969E-2</v>
      </c>
      <c r="BC47">
        <f t="shared" si="32"/>
        <v>2.4162802254804183</v>
      </c>
      <c r="BD47">
        <f t="shared" si="33"/>
        <v>584.61899431943834</v>
      </c>
      <c r="BE47" t="s">
        <v>577</v>
      </c>
      <c r="BF47">
        <v>602.55999999999995</v>
      </c>
      <c r="BG47">
        <f t="shared" si="34"/>
        <v>602.55999999999995</v>
      </c>
      <c r="BH47">
        <f t="shared" si="35"/>
        <v>0.40017721747458945</v>
      </c>
      <c r="BI47">
        <f t="shared" si="36"/>
        <v>0.41892920195118416</v>
      </c>
      <c r="BJ47">
        <f t="shared" si="37"/>
        <v>0.85791469405100385</v>
      </c>
      <c r="BK47">
        <f t="shared" si="38"/>
        <v>15.356381303304598</v>
      </c>
      <c r="BL47">
        <f t="shared" si="39"/>
        <v>0.99550221142705786</v>
      </c>
      <c r="BM47">
        <f t="shared" si="40"/>
        <v>0.30189469403054386</v>
      </c>
      <c r="BN47">
        <f t="shared" si="41"/>
        <v>0.69810530596945619</v>
      </c>
      <c r="BO47">
        <v>7608</v>
      </c>
      <c r="BP47">
        <v>290.00000000000011</v>
      </c>
      <c r="BQ47">
        <v>959.81</v>
      </c>
      <c r="BR47">
        <v>145</v>
      </c>
      <c r="BS47">
        <v>10426.5</v>
      </c>
      <c r="BT47">
        <v>957.76</v>
      </c>
      <c r="BU47">
        <v>2.0499999999999998</v>
      </c>
      <c r="BV47">
        <v>300.00000000000011</v>
      </c>
      <c r="BW47">
        <v>38.200000000000003</v>
      </c>
      <c r="BX47">
        <v>1004.563376974554</v>
      </c>
      <c r="BY47">
        <v>1.4884949057706169</v>
      </c>
      <c r="BZ47">
        <v>-48.795597724775646</v>
      </c>
      <c r="CA47">
        <v>1.2697962350322749</v>
      </c>
      <c r="CB47">
        <v>0.98139167903981761</v>
      </c>
      <c r="CC47">
        <v>-1.131638131256953E-2</v>
      </c>
      <c r="CD47">
        <v>289.99999999999989</v>
      </c>
      <c r="CE47">
        <v>955.39</v>
      </c>
      <c r="CF47">
        <v>835</v>
      </c>
      <c r="CG47">
        <v>10387.4</v>
      </c>
      <c r="CH47">
        <v>957.59</v>
      </c>
      <c r="CI47">
        <v>-2.2000000000000002</v>
      </c>
      <c r="CW47">
        <f t="shared" si="42"/>
        <v>1800.01</v>
      </c>
      <c r="CX47">
        <f t="shared" si="43"/>
        <v>1513.1927993222644</v>
      </c>
      <c r="CY47">
        <f t="shared" si="44"/>
        <v>0.84065799596794699</v>
      </c>
      <c r="CZ47">
        <f t="shared" si="45"/>
        <v>0.19131599193589385</v>
      </c>
      <c r="DA47">
        <v>6</v>
      </c>
      <c r="DB47">
        <v>0.5</v>
      </c>
      <c r="DC47" t="s">
        <v>419</v>
      </c>
      <c r="DD47">
        <v>2</v>
      </c>
      <c r="DE47">
        <v>1693329024.5999999</v>
      </c>
      <c r="DF47">
        <v>174.12</v>
      </c>
      <c r="DG47">
        <v>199.98</v>
      </c>
      <c r="DH47">
        <v>28.517600000000002</v>
      </c>
      <c r="DI47">
        <v>23.5154</v>
      </c>
      <c r="DJ47">
        <v>173.256</v>
      </c>
      <c r="DK47">
        <v>28.26</v>
      </c>
      <c r="DL47">
        <v>500.60399999999998</v>
      </c>
      <c r="DM47">
        <v>99.079499999999996</v>
      </c>
      <c r="DN47">
        <v>0.100109</v>
      </c>
      <c r="DO47">
        <v>30.2928</v>
      </c>
      <c r="DP47">
        <v>29.9498</v>
      </c>
      <c r="DQ47">
        <v>999.9</v>
      </c>
      <c r="DR47">
        <v>0</v>
      </c>
      <c r="DS47">
        <v>0</v>
      </c>
      <c r="DT47">
        <v>9975</v>
      </c>
      <c r="DU47">
        <v>0</v>
      </c>
      <c r="DV47">
        <v>1373.75</v>
      </c>
      <c r="DW47">
        <v>-25.8596</v>
      </c>
      <c r="DX47">
        <v>179.23099999999999</v>
      </c>
      <c r="DY47">
        <v>204.79599999999999</v>
      </c>
      <c r="DZ47">
        <v>5.0022599999999997</v>
      </c>
      <c r="EA47">
        <v>199.98</v>
      </c>
      <c r="EB47">
        <v>23.5154</v>
      </c>
      <c r="EC47">
        <v>2.82551</v>
      </c>
      <c r="ED47">
        <v>2.3298899999999998</v>
      </c>
      <c r="EE47">
        <v>23.033899999999999</v>
      </c>
      <c r="EF47">
        <v>19.884599999999999</v>
      </c>
      <c r="EG47">
        <v>1800.01</v>
      </c>
      <c r="EH47">
        <v>0.97800799999999999</v>
      </c>
      <c r="EI47">
        <v>2.1992399999999999E-2</v>
      </c>
      <c r="EJ47">
        <v>0</v>
      </c>
      <c r="EK47">
        <v>836.24300000000005</v>
      </c>
      <c r="EL47">
        <v>5.0010300000000001</v>
      </c>
      <c r="EM47">
        <v>15988.1</v>
      </c>
      <c r="EN47">
        <v>14701.2</v>
      </c>
      <c r="EO47">
        <v>49.061999999999998</v>
      </c>
      <c r="EP47">
        <v>50.811999999999998</v>
      </c>
      <c r="EQ47">
        <v>50.686999999999998</v>
      </c>
      <c r="ER47">
        <v>49.5</v>
      </c>
      <c r="ES47">
        <v>50.5</v>
      </c>
      <c r="ET47">
        <v>1755.53</v>
      </c>
      <c r="EU47">
        <v>39.479999999999997</v>
      </c>
      <c r="EV47">
        <v>0</v>
      </c>
      <c r="EW47">
        <v>154.19999980926511</v>
      </c>
      <c r="EX47">
        <v>0</v>
      </c>
      <c r="EY47">
        <v>836.15242307692301</v>
      </c>
      <c r="EZ47">
        <v>-0.69576068444017569</v>
      </c>
      <c r="FA47">
        <v>-107.4188031550997</v>
      </c>
      <c r="FB47">
        <v>15998.469230769229</v>
      </c>
      <c r="FC47">
        <v>15</v>
      </c>
      <c r="FD47">
        <v>1693328942.5999999</v>
      </c>
      <c r="FE47" t="s">
        <v>578</v>
      </c>
      <c r="FF47">
        <v>1693328939.5999999</v>
      </c>
      <c r="FG47">
        <v>1693328942.5999999</v>
      </c>
      <c r="FH47">
        <v>35</v>
      </c>
      <c r="FI47">
        <v>-0.11600000000000001</v>
      </c>
      <c r="FJ47">
        <v>-7.0000000000000001E-3</v>
      </c>
      <c r="FK47">
        <v>0.90100000000000002</v>
      </c>
      <c r="FL47">
        <v>0.151</v>
      </c>
      <c r="FM47">
        <v>200</v>
      </c>
      <c r="FN47">
        <v>24</v>
      </c>
      <c r="FO47">
        <v>0.27</v>
      </c>
      <c r="FP47">
        <v>7.0000000000000007E-2</v>
      </c>
      <c r="FQ47">
        <v>20.677244042980369</v>
      </c>
      <c r="FR47">
        <v>0.67629382003454286</v>
      </c>
      <c r="FS47">
        <v>7.6051794207967163E-2</v>
      </c>
      <c r="FT47">
        <v>1</v>
      </c>
      <c r="FU47">
        <v>0.30735677636237319</v>
      </c>
      <c r="FV47">
        <v>-6.7478713246340279E-3</v>
      </c>
      <c r="FW47">
        <v>1.574499182986959E-3</v>
      </c>
      <c r="FX47">
        <v>1</v>
      </c>
      <c r="FY47">
        <v>2</v>
      </c>
      <c r="FZ47">
        <v>2</v>
      </c>
      <c r="GA47" t="s">
        <v>421</v>
      </c>
      <c r="GB47">
        <v>2.9016199999999999</v>
      </c>
      <c r="GC47">
        <v>2.8178999999999998</v>
      </c>
      <c r="GD47">
        <v>4.4842199999999999E-2</v>
      </c>
      <c r="GE47">
        <v>5.1000700000000003E-2</v>
      </c>
      <c r="GF47">
        <v>0.13377900000000001</v>
      </c>
      <c r="GG47">
        <v>0.117007</v>
      </c>
      <c r="GH47">
        <v>26500.7</v>
      </c>
      <c r="GI47">
        <v>26453.9</v>
      </c>
      <c r="GJ47">
        <v>24617.7</v>
      </c>
      <c r="GK47">
        <v>24895.9</v>
      </c>
      <c r="GL47">
        <v>28335.1</v>
      </c>
      <c r="GM47">
        <v>28771.9</v>
      </c>
      <c r="GN47">
        <v>33301.699999999997</v>
      </c>
      <c r="GO47">
        <v>33281.699999999997</v>
      </c>
      <c r="GP47">
        <v>1.9574</v>
      </c>
      <c r="GQ47">
        <v>1.7834000000000001</v>
      </c>
      <c r="GR47">
        <v>4.8384099999999999E-2</v>
      </c>
      <c r="GS47">
        <v>0</v>
      </c>
      <c r="GT47">
        <v>29.161899999999999</v>
      </c>
      <c r="GU47">
        <v>999.9</v>
      </c>
      <c r="GV47">
        <v>47.2</v>
      </c>
      <c r="GW47">
        <v>40.799999999999997</v>
      </c>
      <c r="GX47">
        <v>36.853200000000001</v>
      </c>
      <c r="GY47">
        <v>62.202800000000003</v>
      </c>
      <c r="GZ47">
        <v>26.3462</v>
      </c>
      <c r="HA47">
        <v>1</v>
      </c>
      <c r="HB47">
        <v>0.46585399999999999</v>
      </c>
      <c r="HC47">
        <v>1.37052</v>
      </c>
      <c r="HD47">
        <v>20.157</v>
      </c>
      <c r="HE47">
        <v>5.23346</v>
      </c>
      <c r="HF47">
        <v>11.9201</v>
      </c>
      <c r="HG47">
        <v>4.9614000000000003</v>
      </c>
      <c r="HH47">
        <v>3.2890000000000001</v>
      </c>
      <c r="HI47">
        <v>9999</v>
      </c>
      <c r="HJ47">
        <v>9999</v>
      </c>
      <c r="HK47">
        <v>9999</v>
      </c>
      <c r="HL47">
        <v>877.3</v>
      </c>
      <c r="HM47">
        <v>1.8810899999999999</v>
      </c>
      <c r="HN47">
        <v>1.8783399999999999</v>
      </c>
      <c r="HO47">
        <v>1.8862699999999999</v>
      </c>
      <c r="HP47">
        <v>1.88398</v>
      </c>
      <c r="HQ47">
        <v>1.8815599999999999</v>
      </c>
      <c r="HR47">
        <v>1.88049</v>
      </c>
      <c r="HS47">
        <v>1.88171</v>
      </c>
      <c r="HT47">
        <v>1.8812599999999999</v>
      </c>
      <c r="HU47">
        <v>5</v>
      </c>
      <c r="HV47">
        <v>0</v>
      </c>
      <c r="HW47">
        <v>0</v>
      </c>
      <c r="HX47">
        <v>0</v>
      </c>
      <c r="HY47" t="s">
        <v>422</v>
      </c>
      <c r="HZ47" t="s">
        <v>423</v>
      </c>
      <c r="IA47" t="s">
        <v>424</v>
      </c>
      <c r="IB47" t="s">
        <v>424</v>
      </c>
      <c r="IC47" t="s">
        <v>424</v>
      </c>
      <c r="ID47" t="s">
        <v>424</v>
      </c>
      <c r="IE47">
        <v>0</v>
      </c>
      <c r="IF47">
        <v>100</v>
      </c>
      <c r="IG47">
        <v>100</v>
      </c>
      <c r="IH47">
        <v>0.86399999999999999</v>
      </c>
      <c r="II47">
        <v>0.2576</v>
      </c>
      <c r="IJ47">
        <v>0.54496832393046346</v>
      </c>
      <c r="IK47">
        <v>2.2153513873161218E-3</v>
      </c>
      <c r="IL47">
        <v>-2.2967369670569612E-6</v>
      </c>
      <c r="IM47">
        <v>7.7859689150384122E-10</v>
      </c>
      <c r="IN47">
        <v>-0.1276864736569884</v>
      </c>
      <c r="IO47">
        <v>-4.1434251034592161E-3</v>
      </c>
      <c r="IP47">
        <v>8.3987709687394815E-4</v>
      </c>
      <c r="IQ47">
        <v>-7.4586254598011197E-6</v>
      </c>
      <c r="IR47">
        <v>2</v>
      </c>
      <c r="IS47">
        <v>1930</v>
      </c>
      <c r="IT47">
        <v>2</v>
      </c>
      <c r="IU47">
        <v>41</v>
      </c>
      <c r="IV47">
        <v>1.4</v>
      </c>
      <c r="IW47">
        <v>1.4</v>
      </c>
      <c r="IX47">
        <v>0.57128900000000005</v>
      </c>
      <c r="IY47">
        <v>2.5293000000000001</v>
      </c>
      <c r="IZ47">
        <v>1.24512</v>
      </c>
      <c r="JA47">
        <v>2.2619600000000002</v>
      </c>
      <c r="JB47">
        <v>1.4501999999999999</v>
      </c>
      <c r="JC47">
        <v>2.4621599999999999</v>
      </c>
      <c r="JD47">
        <v>47.451599999999999</v>
      </c>
      <c r="JE47">
        <v>24.113800000000001</v>
      </c>
      <c r="JF47">
        <v>18</v>
      </c>
      <c r="JG47">
        <v>496.37</v>
      </c>
      <c r="JH47">
        <v>428.21</v>
      </c>
      <c r="JI47">
        <v>26.879899999999999</v>
      </c>
      <c r="JJ47">
        <v>33.198500000000003</v>
      </c>
      <c r="JK47">
        <v>29.9999</v>
      </c>
      <c r="JL47">
        <v>33.0807</v>
      </c>
      <c r="JM47">
        <v>33.041800000000002</v>
      </c>
      <c r="JN47">
        <v>11.525399999999999</v>
      </c>
      <c r="JO47">
        <v>41.579000000000001</v>
      </c>
      <c r="JP47">
        <v>0</v>
      </c>
      <c r="JQ47">
        <v>26.877600000000001</v>
      </c>
      <c r="JR47">
        <v>200</v>
      </c>
      <c r="JS47">
        <v>23.3886</v>
      </c>
      <c r="JT47">
        <v>99.379599999999996</v>
      </c>
      <c r="JU47">
        <v>99.292500000000004</v>
      </c>
    </row>
    <row r="48" spans="1:281" x14ac:dyDescent="0.25">
      <c r="A48">
        <v>32</v>
      </c>
      <c r="B48">
        <v>1693329163.5999999</v>
      </c>
      <c r="C48">
        <v>6450.5</v>
      </c>
      <c r="D48" t="s">
        <v>579</v>
      </c>
      <c r="E48" t="s">
        <v>580</v>
      </c>
      <c r="F48" t="s">
        <v>413</v>
      </c>
      <c r="G48" t="s">
        <v>564</v>
      </c>
      <c r="H48" t="s">
        <v>565</v>
      </c>
      <c r="I48" t="s">
        <v>415</v>
      </c>
      <c r="J48">
        <v>1693329163.5999999</v>
      </c>
      <c r="K48">
        <f t="shared" si="0"/>
        <v>4.9187948455907023E-3</v>
      </c>
      <c r="L48">
        <f t="shared" si="1"/>
        <v>4.9187948455907025</v>
      </c>
      <c r="M48">
        <f t="shared" si="2"/>
        <v>13.736387623516563</v>
      </c>
      <c r="N48">
        <f t="shared" si="3"/>
        <v>102.886</v>
      </c>
      <c r="O48">
        <f t="shared" si="4"/>
        <v>36.493320935092171</v>
      </c>
      <c r="P48">
        <f t="shared" si="5"/>
        <v>3.619244981649679</v>
      </c>
      <c r="Q48">
        <f t="shared" si="6"/>
        <v>10.203775092004198</v>
      </c>
      <c r="R48">
        <f t="shared" si="7"/>
        <v>0.35906587063841483</v>
      </c>
      <c r="S48">
        <f t="shared" si="8"/>
        <v>2.918094823087694</v>
      </c>
      <c r="T48">
        <f t="shared" si="9"/>
        <v>0.33620224725144837</v>
      </c>
      <c r="U48">
        <f t="shared" si="10"/>
        <v>0.21205917526616144</v>
      </c>
      <c r="V48">
        <f t="shared" si="11"/>
        <v>344.37829864455841</v>
      </c>
      <c r="W48">
        <f t="shared" si="12"/>
        <v>31.224477809605759</v>
      </c>
      <c r="X48">
        <f t="shared" si="13"/>
        <v>30.029399999999999</v>
      </c>
      <c r="Y48">
        <f t="shared" si="14"/>
        <v>4.2676497411062346</v>
      </c>
      <c r="Z48">
        <f t="shared" si="15"/>
        <v>65.539665083956649</v>
      </c>
      <c r="AA48">
        <f t="shared" si="16"/>
        <v>2.8688708166458396</v>
      </c>
      <c r="AB48">
        <f t="shared" si="17"/>
        <v>4.3773046642377578</v>
      </c>
      <c r="AC48">
        <f t="shared" si="18"/>
        <v>1.398778924460395</v>
      </c>
      <c r="AD48">
        <f t="shared" si="19"/>
        <v>-216.91885269054998</v>
      </c>
      <c r="AE48">
        <f t="shared" si="20"/>
        <v>69.614245185269823</v>
      </c>
      <c r="AF48">
        <f t="shared" si="21"/>
        <v>5.3175964845979102</v>
      </c>
      <c r="AG48">
        <f t="shared" si="22"/>
        <v>202.39128762387617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51925.774055863731</v>
      </c>
      <c r="AM48" t="s">
        <v>416</v>
      </c>
      <c r="AN48">
        <v>10366.9</v>
      </c>
      <c r="AO48">
        <v>993.59653846153856</v>
      </c>
      <c r="AP48">
        <v>3431.87</v>
      </c>
      <c r="AQ48">
        <f t="shared" si="26"/>
        <v>0.71047955241266758</v>
      </c>
      <c r="AR48">
        <v>-3.9894345373445681</v>
      </c>
      <c r="AS48" t="s">
        <v>581</v>
      </c>
      <c r="AT48">
        <v>10413.5</v>
      </c>
      <c r="AU48">
        <v>843.00879999999995</v>
      </c>
      <c r="AV48">
        <v>965.6565825357319</v>
      </c>
      <c r="AW48">
        <f t="shared" si="27"/>
        <v>0.12700973074057997</v>
      </c>
      <c r="AX48">
        <v>0.5</v>
      </c>
      <c r="AY48">
        <f t="shared" si="28"/>
        <v>1513.2263993222789</v>
      </c>
      <c r="AZ48">
        <f t="shared" si="29"/>
        <v>13.736387623516563</v>
      </c>
      <c r="BA48">
        <f t="shared" si="30"/>
        <v>96.09723876372999</v>
      </c>
      <c r="BB48">
        <f t="shared" si="31"/>
        <v>1.171392606473156E-2</v>
      </c>
      <c r="BC48">
        <f t="shared" si="32"/>
        <v>2.5539238918541844</v>
      </c>
      <c r="BD48">
        <f t="shared" si="33"/>
        <v>571.2251379717884</v>
      </c>
      <c r="BE48" t="s">
        <v>582</v>
      </c>
      <c r="BF48">
        <v>611.17999999999995</v>
      </c>
      <c r="BG48">
        <f t="shared" si="34"/>
        <v>611.17999999999995</v>
      </c>
      <c r="BH48">
        <f t="shared" si="35"/>
        <v>0.36708348386639345</v>
      </c>
      <c r="BI48">
        <f t="shared" si="36"/>
        <v>0.34599685445615808</v>
      </c>
      <c r="BJ48">
        <f t="shared" si="37"/>
        <v>0.87432983329053093</v>
      </c>
      <c r="BK48">
        <f t="shared" si="38"/>
        <v>-4.3896913388631615</v>
      </c>
      <c r="BL48">
        <f t="shared" si="39"/>
        <v>1.0114589099075775</v>
      </c>
      <c r="BM48">
        <f t="shared" si="40"/>
        <v>0.25084715308608246</v>
      </c>
      <c r="BN48">
        <f t="shared" si="41"/>
        <v>0.74915284691391748</v>
      </c>
      <c r="BO48">
        <v>7610</v>
      </c>
      <c r="BP48">
        <v>290.00000000000011</v>
      </c>
      <c r="BQ48">
        <v>932.35</v>
      </c>
      <c r="BR48">
        <v>235</v>
      </c>
      <c r="BS48">
        <v>10413.5</v>
      </c>
      <c r="BT48">
        <v>932.01</v>
      </c>
      <c r="BU48">
        <v>0.34</v>
      </c>
      <c r="BV48">
        <v>300.00000000000011</v>
      </c>
      <c r="BW48">
        <v>38.200000000000003</v>
      </c>
      <c r="BX48">
        <v>965.6565825357319</v>
      </c>
      <c r="BY48">
        <v>1.1278830890216931</v>
      </c>
      <c r="BZ48">
        <v>-35.035128743753212</v>
      </c>
      <c r="CA48">
        <v>0.96218806083655384</v>
      </c>
      <c r="CB48">
        <v>0.9793179194809033</v>
      </c>
      <c r="CC48">
        <v>-1.131632280311458E-2</v>
      </c>
      <c r="CD48">
        <v>289.99999999999989</v>
      </c>
      <c r="CE48">
        <v>931.02</v>
      </c>
      <c r="CF48">
        <v>665</v>
      </c>
      <c r="CG48">
        <v>10398.4</v>
      </c>
      <c r="CH48">
        <v>931.96</v>
      </c>
      <c r="CI48">
        <v>-0.94</v>
      </c>
      <c r="CW48">
        <f t="shared" si="42"/>
        <v>1800.05</v>
      </c>
      <c r="CX48">
        <f t="shared" si="43"/>
        <v>1513.2263993222789</v>
      </c>
      <c r="CY48">
        <f t="shared" si="44"/>
        <v>0.84065798134622871</v>
      </c>
      <c r="CZ48">
        <f t="shared" si="45"/>
        <v>0.19131596269245765</v>
      </c>
      <c r="DA48">
        <v>6</v>
      </c>
      <c r="DB48">
        <v>0.5</v>
      </c>
      <c r="DC48" t="s">
        <v>419</v>
      </c>
      <c r="DD48">
        <v>2</v>
      </c>
      <c r="DE48">
        <v>1693329163.5999999</v>
      </c>
      <c r="DF48">
        <v>102.886</v>
      </c>
      <c r="DG48">
        <v>119.965</v>
      </c>
      <c r="DH48">
        <v>28.927199999999999</v>
      </c>
      <c r="DI48">
        <v>23.199400000000001</v>
      </c>
      <c r="DJ48">
        <v>102.259</v>
      </c>
      <c r="DK48">
        <v>28.6586</v>
      </c>
      <c r="DL48">
        <v>500.35</v>
      </c>
      <c r="DM48">
        <v>99.075999999999993</v>
      </c>
      <c r="DN48">
        <v>9.95447E-2</v>
      </c>
      <c r="DO48">
        <v>30.471900000000002</v>
      </c>
      <c r="DP48">
        <v>30.029399999999999</v>
      </c>
      <c r="DQ48">
        <v>999.9</v>
      </c>
      <c r="DR48">
        <v>0</v>
      </c>
      <c r="DS48">
        <v>0</v>
      </c>
      <c r="DT48">
        <v>10027.5</v>
      </c>
      <c r="DU48">
        <v>0</v>
      </c>
      <c r="DV48">
        <v>1368.7</v>
      </c>
      <c r="DW48">
        <v>-17.079599999999999</v>
      </c>
      <c r="DX48">
        <v>105.95</v>
      </c>
      <c r="DY48">
        <v>122.81399999999999</v>
      </c>
      <c r="DZ48">
        <v>5.7277699999999996</v>
      </c>
      <c r="EA48">
        <v>119.965</v>
      </c>
      <c r="EB48">
        <v>23.199400000000001</v>
      </c>
      <c r="EC48">
        <v>2.86599</v>
      </c>
      <c r="ED48">
        <v>2.2985099999999998</v>
      </c>
      <c r="EE48">
        <v>23.269200000000001</v>
      </c>
      <c r="EF48">
        <v>19.665900000000001</v>
      </c>
      <c r="EG48">
        <v>1800.05</v>
      </c>
      <c r="EH48">
        <v>0.97800799999999999</v>
      </c>
      <c r="EI48">
        <v>2.1992399999999999E-2</v>
      </c>
      <c r="EJ48">
        <v>0</v>
      </c>
      <c r="EK48">
        <v>843.226</v>
      </c>
      <c r="EL48">
        <v>5.0010300000000001</v>
      </c>
      <c r="EM48">
        <v>16120.2</v>
      </c>
      <c r="EN48">
        <v>14701.5</v>
      </c>
      <c r="EO48">
        <v>49.186999999999998</v>
      </c>
      <c r="EP48">
        <v>50.75</v>
      </c>
      <c r="EQ48">
        <v>50.686999999999998</v>
      </c>
      <c r="ER48">
        <v>49.375</v>
      </c>
      <c r="ES48">
        <v>50.686999999999998</v>
      </c>
      <c r="ET48">
        <v>1755.57</v>
      </c>
      <c r="EU48">
        <v>39.479999999999997</v>
      </c>
      <c r="EV48">
        <v>0</v>
      </c>
      <c r="EW48">
        <v>136.79999995231631</v>
      </c>
      <c r="EX48">
        <v>0</v>
      </c>
      <c r="EY48">
        <v>843.00879999999995</v>
      </c>
      <c r="EZ48">
        <v>-1.7882307570415821</v>
      </c>
      <c r="FA48">
        <v>-17.17692309766257</v>
      </c>
      <c r="FB48">
        <v>16114.755999999999</v>
      </c>
      <c r="FC48">
        <v>15</v>
      </c>
      <c r="FD48">
        <v>1693329136.0999999</v>
      </c>
      <c r="FE48" t="s">
        <v>583</v>
      </c>
      <c r="FF48">
        <v>1693329128.5999999</v>
      </c>
      <c r="FG48">
        <v>1693329136.0999999</v>
      </c>
      <c r="FH48">
        <v>36</v>
      </c>
      <c r="FI48">
        <v>-0.122</v>
      </c>
      <c r="FJ48">
        <v>1E-3</v>
      </c>
      <c r="FK48">
        <v>0.65600000000000003</v>
      </c>
      <c r="FL48">
        <v>0.13600000000000001</v>
      </c>
      <c r="FM48">
        <v>120</v>
      </c>
      <c r="FN48">
        <v>23</v>
      </c>
      <c r="FO48">
        <v>0.39</v>
      </c>
      <c r="FP48">
        <v>7.0000000000000007E-2</v>
      </c>
      <c r="FQ48">
        <v>13.73878053670826</v>
      </c>
      <c r="FR48">
        <v>0.51457846153727971</v>
      </c>
      <c r="FS48">
        <v>7.0895257157575164E-2</v>
      </c>
      <c r="FT48">
        <v>1</v>
      </c>
      <c r="FU48">
        <v>0.35471085820769521</v>
      </c>
      <c r="FV48">
        <v>4.9511578407112157E-2</v>
      </c>
      <c r="FW48">
        <v>4.9300402492180899E-3</v>
      </c>
      <c r="FX48">
        <v>1</v>
      </c>
      <c r="FY48">
        <v>2</v>
      </c>
      <c r="FZ48">
        <v>2</v>
      </c>
      <c r="GA48" t="s">
        <v>421</v>
      </c>
      <c r="GB48">
        <v>2.90103</v>
      </c>
      <c r="GC48">
        <v>2.81779</v>
      </c>
      <c r="GD48">
        <v>2.7423400000000001E-2</v>
      </c>
      <c r="GE48">
        <v>3.1957800000000001E-2</v>
      </c>
      <c r="GF48">
        <v>0.13506499999999999</v>
      </c>
      <c r="GG48">
        <v>0.115923</v>
      </c>
      <c r="GH48">
        <v>26984.7</v>
      </c>
      <c r="GI48">
        <v>26985.599999999999</v>
      </c>
      <c r="GJ48">
        <v>24618.799999999999</v>
      </c>
      <c r="GK48">
        <v>24897.4</v>
      </c>
      <c r="GL48">
        <v>28293.4</v>
      </c>
      <c r="GM48">
        <v>28808.6</v>
      </c>
      <c r="GN48">
        <v>33302.699999999997</v>
      </c>
      <c r="GO48">
        <v>33283.199999999997</v>
      </c>
      <c r="GP48">
        <v>1.9572000000000001</v>
      </c>
      <c r="GQ48">
        <v>1.7797000000000001</v>
      </c>
      <c r="GR48">
        <v>5.2198799999999997E-2</v>
      </c>
      <c r="GS48">
        <v>0</v>
      </c>
      <c r="GT48">
        <v>29.179400000000001</v>
      </c>
      <c r="GU48">
        <v>999.9</v>
      </c>
      <c r="GV48">
        <v>46.7</v>
      </c>
      <c r="GW48">
        <v>41.3</v>
      </c>
      <c r="GX48">
        <v>37.449800000000003</v>
      </c>
      <c r="GY48">
        <v>62.042900000000003</v>
      </c>
      <c r="GZ48">
        <v>26.081700000000001</v>
      </c>
      <c r="HA48">
        <v>1</v>
      </c>
      <c r="HB48">
        <v>0.46532499999999999</v>
      </c>
      <c r="HC48">
        <v>1.9577899999999999</v>
      </c>
      <c r="HD48">
        <v>20.150500000000001</v>
      </c>
      <c r="HE48">
        <v>5.2322600000000001</v>
      </c>
      <c r="HF48">
        <v>11.9201</v>
      </c>
      <c r="HG48">
        <v>4.9602000000000004</v>
      </c>
      <c r="HH48">
        <v>3.2890000000000001</v>
      </c>
      <c r="HI48">
        <v>9999</v>
      </c>
      <c r="HJ48">
        <v>9999</v>
      </c>
      <c r="HK48">
        <v>9999</v>
      </c>
      <c r="HL48">
        <v>877.3</v>
      </c>
      <c r="HM48">
        <v>1.8811</v>
      </c>
      <c r="HN48">
        <v>1.8783399999999999</v>
      </c>
      <c r="HO48">
        <v>1.88629</v>
      </c>
      <c r="HP48">
        <v>1.8839600000000001</v>
      </c>
      <c r="HQ48">
        <v>1.8815599999999999</v>
      </c>
      <c r="HR48">
        <v>1.88049</v>
      </c>
      <c r="HS48">
        <v>1.88171</v>
      </c>
      <c r="HT48">
        <v>1.8812599999999999</v>
      </c>
      <c r="HU48">
        <v>5</v>
      </c>
      <c r="HV48">
        <v>0</v>
      </c>
      <c r="HW48">
        <v>0</v>
      </c>
      <c r="HX48">
        <v>0</v>
      </c>
      <c r="HY48" t="s">
        <v>422</v>
      </c>
      <c r="HZ48" t="s">
        <v>423</v>
      </c>
      <c r="IA48" t="s">
        <v>424</v>
      </c>
      <c r="IB48" t="s">
        <v>424</v>
      </c>
      <c r="IC48" t="s">
        <v>424</v>
      </c>
      <c r="ID48" t="s">
        <v>424</v>
      </c>
      <c r="IE48">
        <v>0</v>
      </c>
      <c r="IF48">
        <v>100</v>
      </c>
      <c r="IG48">
        <v>100</v>
      </c>
      <c r="IH48">
        <v>0.627</v>
      </c>
      <c r="II48">
        <v>0.26860000000000001</v>
      </c>
      <c r="IJ48">
        <v>0.42317642260550969</v>
      </c>
      <c r="IK48">
        <v>2.2153513873161218E-3</v>
      </c>
      <c r="IL48">
        <v>-2.2967369670569612E-6</v>
      </c>
      <c r="IM48">
        <v>7.7859689150384122E-10</v>
      </c>
      <c r="IN48">
        <v>-0.126928245615237</v>
      </c>
      <c r="IO48">
        <v>-4.1434251034592161E-3</v>
      </c>
      <c r="IP48">
        <v>8.3987709687394815E-4</v>
      </c>
      <c r="IQ48">
        <v>-7.4586254598011197E-6</v>
      </c>
      <c r="IR48">
        <v>2</v>
      </c>
      <c r="IS48">
        <v>1930</v>
      </c>
      <c r="IT48">
        <v>2</v>
      </c>
      <c r="IU48">
        <v>41</v>
      </c>
      <c r="IV48">
        <v>0.6</v>
      </c>
      <c r="IW48">
        <v>0.5</v>
      </c>
      <c r="IX48">
        <v>0.401611</v>
      </c>
      <c r="IY48">
        <v>2.5524900000000001</v>
      </c>
      <c r="IZ48">
        <v>1.24512</v>
      </c>
      <c r="JA48">
        <v>2.2619600000000002</v>
      </c>
      <c r="JB48">
        <v>1.4501999999999999</v>
      </c>
      <c r="JC48">
        <v>2.36694</v>
      </c>
      <c r="JD48">
        <v>47.874000000000002</v>
      </c>
      <c r="JE48">
        <v>24.105</v>
      </c>
      <c r="JF48">
        <v>18</v>
      </c>
      <c r="JG48">
        <v>496.11099999999999</v>
      </c>
      <c r="JH48">
        <v>425.67099999999999</v>
      </c>
      <c r="JI48">
        <v>26.750900000000001</v>
      </c>
      <c r="JJ48">
        <v>33.165900000000001</v>
      </c>
      <c r="JK48">
        <v>30</v>
      </c>
      <c r="JL48">
        <v>33.065899999999999</v>
      </c>
      <c r="JM48">
        <v>33.024099999999997</v>
      </c>
      <c r="JN48">
        <v>8.1177399999999995</v>
      </c>
      <c r="JO48">
        <v>43.4208</v>
      </c>
      <c r="JP48">
        <v>0</v>
      </c>
      <c r="JQ48">
        <v>26.738499999999998</v>
      </c>
      <c r="JR48">
        <v>120</v>
      </c>
      <c r="JS48">
        <v>23.082100000000001</v>
      </c>
      <c r="JT48">
        <v>99.383200000000002</v>
      </c>
      <c r="JU48">
        <v>99.297499999999999</v>
      </c>
    </row>
    <row r="49" spans="1:281" x14ac:dyDescent="0.25">
      <c r="A49">
        <v>33</v>
      </c>
      <c r="B49">
        <v>1693329264.5999999</v>
      </c>
      <c r="C49">
        <v>6551.5</v>
      </c>
      <c r="D49" t="s">
        <v>584</v>
      </c>
      <c r="E49" t="s">
        <v>585</v>
      </c>
      <c r="F49" t="s">
        <v>413</v>
      </c>
      <c r="G49" t="s">
        <v>564</v>
      </c>
      <c r="H49" t="s">
        <v>565</v>
      </c>
      <c r="I49" t="s">
        <v>415</v>
      </c>
      <c r="J49">
        <v>1693329264.5999999</v>
      </c>
      <c r="K49">
        <f t="shared" ref="K49:K80" si="46">(L49)/1000</f>
        <v>5.2506679550873552E-3</v>
      </c>
      <c r="L49">
        <f t="shared" ref="L49:L80" si="47">1000*DL49*AJ49*(DH49-DI49)/(100*DA49*(1000-AJ49*DH49))</f>
        <v>5.250667955087355</v>
      </c>
      <c r="M49">
        <f t="shared" ref="M49:M80" si="48">DL49*AJ49*(DG49-DF49*(1000-AJ49*DI49)/(1000-AJ49*DH49))/(100*DA49)</f>
        <v>8.5106077764534351</v>
      </c>
      <c r="N49">
        <f t="shared" ref="N49:N80" si="49">DF49 - IF(AJ49&gt;1, M49*DA49*100/(AL49*DT49), 0)</f>
        <v>59.462899999999998</v>
      </c>
      <c r="O49">
        <f t="shared" ref="O49:O80" si="50">((U49-K49/2)*N49-M49)/(U49+K49/2)</f>
        <v>21.279252154342906</v>
      </c>
      <c r="P49">
        <f t="shared" ref="P49:P80" si="51">O49*(DM49+DN49)/1000</f>
        <v>2.1103002066939087</v>
      </c>
      <c r="Q49">
        <f t="shared" ref="Q49:Q80" si="52">(DF49 - IF(AJ49&gt;1, M49*DA49*100/(AL49*DT49), 0))*(DM49+DN49)/1000</f>
        <v>5.8970385448911999</v>
      </c>
      <c r="R49">
        <f t="shared" ref="R49:R80" si="53">2/((1/T49-1/S49)+SIGN(T49)*SQRT((1/T49-1/S49)*(1/T49-1/S49) + 4*DB49/((DB49+1)*(DB49+1))*(2*1/T49*1/S49-1/S49*1/S49)))</f>
        <v>0.38860513501890015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2.9101477548095214</v>
      </c>
      <c r="T49">
        <f t="shared" ref="T49:T80" si="55">K49*(1000-(1000*0.61365*EXP(17.502*X49/(240.97+X49))/(DM49+DN49)+DH49)/2)/(1000*0.61365*EXP(17.502*X49/(240.97+X49))/(DM49+DN49)-DH49)</f>
        <v>0.36190716444776022</v>
      </c>
      <c r="U49">
        <f t="shared" ref="U49:U80" si="56">1/((DB49+1)/(R49/1.6)+1/(S49/1.37)) + DB49/((DB49+1)/(R49/1.6) + DB49/(S49/1.37))</f>
        <v>0.22843765287124909</v>
      </c>
      <c r="V49">
        <f t="shared" ref="V49:V80" si="57">(CW49*CZ49)</f>
        <v>344.36689864451318</v>
      </c>
      <c r="W49">
        <f t="shared" ref="W49:W80" si="58">(DO49+(V49+2*0.95*0.0000000567*(((DO49+$B$7)+273)^4-(DO49+273)^4)-44100*K49)/(1.84*29.3*S49+8*0.95*0.0000000567*(DO49+273)^3))</f>
        <v>31.18096518617331</v>
      </c>
      <c r="X49">
        <f t="shared" ref="X49:X80" si="59">($C$7*DP49+$D$7*DQ49+$E$7*W49)</f>
        <v>30.007300000000001</v>
      </c>
      <c r="Y49">
        <f t="shared" ref="Y49:Y80" si="60">0.61365*EXP(17.502*X49/(240.97+X49))</f>
        <v>4.2622365310844108</v>
      </c>
      <c r="Z49">
        <f t="shared" ref="Z49:Z80" si="61">(AA49/AB49*100)</f>
        <v>65.529109305864353</v>
      </c>
      <c r="AA49">
        <f t="shared" ref="AA49:AA80" si="62">DH49*(DM49+DN49)/1000</f>
        <v>2.8751966553488</v>
      </c>
      <c r="AB49">
        <f t="shared" ref="AB49:AB80" si="63">0.61365*EXP(17.502*DO49/(240.97+DO49))</f>
        <v>4.3876632626402747</v>
      </c>
      <c r="AC49">
        <f t="shared" ref="AC49:AC80" si="64">(Y49-DH49*(DM49+DN49)/1000)</f>
        <v>1.3870398757356108</v>
      </c>
      <c r="AD49">
        <f t="shared" ref="AD49:AD80" si="65">(-K49*44100)</f>
        <v>-231.55445681935237</v>
      </c>
      <c r="AE49">
        <f t="shared" ref="AE49:AE80" si="66">2*29.3*S49*0.92*(DO49-X49)</f>
        <v>79.371605004613556</v>
      </c>
      <c r="AF49">
        <f t="shared" ref="AF49:AF80" si="67">2*0.95*0.0000000567*(((DO49+$B$7)+273)^4-(X49+273)^4)</f>
        <v>6.0800632711559244</v>
      </c>
      <c r="AG49">
        <f t="shared" ref="AG49:AG80" si="68">V49+AF49+AD49+AE49</f>
        <v>198.26411010093034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51692.897295724921</v>
      </c>
      <c r="AM49" t="s">
        <v>416</v>
      </c>
      <c r="AN49">
        <v>10366.9</v>
      </c>
      <c r="AO49">
        <v>993.59653846153856</v>
      </c>
      <c r="AP49">
        <v>3431.87</v>
      </c>
      <c r="AQ49">
        <f t="shared" ref="AQ49:AQ80" si="72">1-AO49/AP49</f>
        <v>0.71047955241266758</v>
      </c>
      <c r="AR49">
        <v>-3.9894345373445681</v>
      </c>
      <c r="AS49" t="s">
        <v>586</v>
      </c>
      <c r="AT49">
        <v>10407.299999999999</v>
      </c>
      <c r="AU49">
        <v>849.97107692307702</v>
      </c>
      <c r="AV49">
        <v>940.23256544334868</v>
      </c>
      <c r="AW49">
        <f t="shared" ref="AW49:AW80" si="73">1-AU49/AV49</f>
        <v>9.5999108983967796E-2</v>
      </c>
      <c r="AX49">
        <v>0.5</v>
      </c>
      <c r="AY49">
        <f t="shared" ref="AY49:AY80" si="74">CX49</f>
        <v>1513.1759993222565</v>
      </c>
      <c r="AZ49">
        <f t="shared" ref="AZ49:AZ80" si="75">M49</f>
        <v>8.5106077764534351</v>
      </c>
      <c r="BA49">
        <f t="shared" ref="BA49:BA80" si="76">AW49*AX49*AY49</f>
        <v>72.631773835430849</v>
      </c>
      <c r="BB49">
        <f t="shared" ref="BB49:BB80" si="77">(AZ49-AR49)/AY49</f>
        <v>8.2607986905665343E-3</v>
      </c>
      <c r="BC49">
        <f t="shared" ref="BC49:BC80" si="78">(AP49-AV49)/AV49</f>
        <v>2.6500224796848713</v>
      </c>
      <c r="BD49">
        <f t="shared" ref="BD49:BD80" si="79">AO49/(AQ49+AO49/AV49)</f>
        <v>562.23204499006022</v>
      </c>
      <c r="BE49" t="s">
        <v>587</v>
      </c>
      <c r="BF49">
        <v>618.48</v>
      </c>
      <c r="BG49">
        <f t="shared" ref="BG49:BG80" si="80">IF(BF49&lt;&gt;0, BF49, BD49)</f>
        <v>618.48</v>
      </c>
      <c r="BH49">
        <f t="shared" ref="BH49:BH80" si="81">1-BG49/AV49</f>
        <v>0.34220529820899404</v>
      </c>
      <c r="BI49">
        <f t="shared" ref="BI49:BI80" si="82">(AV49-AU49)/(AV49-BG49)</f>
        <v>0.28053075006845313</v>
      </c>
      <c r="BJ49">
        <f t="shared" ref="BJ49:BJ80" si="83">(AP49-AV49)/(AP49-BG49)</f>
        <v>0.88563527792330643</v>
      </c>
      <c r="BK49">
        <f t="shared" ref="BK49:BK80" si="84">(AV49-AU49)/(AV49-AO49)</f>
        <v>-1.6914311925295502</v>
      </c>
      <c r="BL49">
        <f t="shared" ref="BL49:BL80" si="85">(AP49-AV49)/(AP49-AO49)</f>
        <v>1.0218859672058764</v>
      </c>
      <c r="BM49">
        <f t="shared" ref="BM49:BM80" si="86">(BI49*BG49/AU49)</f>
        <v>0.20412772035775872</v>
      </c>
      <c r="BN49">
        <f t="shared" ref="BN49:BN80" si="87">(1-BM49)</f>
        <v>0.79587227964224128</v>
      </c>
      <c r="BO49">
        <v>7612</v>
      </c>
      <c r="BP49">
        <v>290.00000000000011</v>
      </c>
      <c r="BQ49">
        <v>917.9</v>
      </c>
      <c r="BR49">
        <v>285</v>
      </c>
      <c r="BS49">
        <v>10407.299999999999</v>
      </c>
      <c r="BT49">
        <v>917.01</v>
      </c>
      <c r="BU49">
        <v>0.89</v>
      </c>
      <c r="BV49">
        <v>300.00000000000011</v>
      </c>
      <c r="BW49">
        <v>38.200000000000003</v>
      </c>
      <c r="BX49">
        <v>940.23256544334868</v>
      </c>
      <c r="BY49">
        <v>1.062169328108727</v>
      </c>
      <c r="BZ49">
        <v>-24.172020113423731</v>
      </c>
      <c r="CA49">
        <v>0.9060872976536225</v>
      </c>
      <c r="CB49">
        <v>0.96214588070162688</v>
      </c>
      <c r="CC49">
        <v>-1.131620912124583E-2</v>
      </c>
      <c r="CD49">
        <v>289.99999999999989</v>
      </c>
      <c r="CE49">
        <v>915.55</v>
      </c>
      <c r="CF49">
        <v>705</v>
      </c>
      <c r="CG49">
        <v>10394.9</v>
      </c>
      <c r="CH49">
        <v>916.98</v>
      </c>
      <c r="CI49">
        <v>-1.43</v>
      </c>
      <c r="CW49">
        <f t="shared" ref="CW49:CW80" si="88">$B$11*DU49+$C$11*DV49+$F$11*EG49*(1-EJ49)</f>
        <v>1799.99</v>
      </c>
      <c r="CX49">
        <f t="shared" ref="CX49:CX80" si="89">CW49*CY49</f>
        <v>1513.1759993222565</v>
      </c>
      <c r="CY49">
        <f t="shared" ref="CY49:CY80" si="90">($B$11*$D$9+$C$11*$D$9+$F$11*((ET49+EL49)/MAX(ET49+EL49+EU49, 0.1)*$I$9+EU49/MAX(ET49+EL49+EU49, 0.1)*$J$9))/($B$11+$C$11+$F$11)</f>
        <v>0.8406580032790496</v>
      </c>
      <c r="CZ49">
        <f t="shared" ref="CZ49:CZ80" si="91">($B$11*$K$9+$C$11*$K$9+$F$11*((ET49+EL49)/MAX(ET49+EL49+EU49, 0.1)*$P$9+EU49/MAX(ET49+EL49+EU49, 0.1)*$Q$9))/($B$11+$C$11+$F$11)</f>
        <v>0.19131600655809933</v>
      </c>
      <c r="DA49">
        <v>6</v>
      </c>
      <c r="DB49">
        <v>0.5</v>
      </c>
      <c r="DC49" t="s">
        <v>419</v>
      </c>
      <c r="DD49">
        <v>2</v>
      </c>
      <c r="DE49">
        <v>1693329264.5999999</v>
      </c>
      <c r="DF49">
        <v>59.462899999999998</v>
      </c>
      <c r="DG49">
        <v>70.040899999999993</v>
      </c>
      <c r="DH49">
        <v>28.992100000000001</v>
      </c>
      <c r="DI49">
        <v>22.8794</v>
      </c>
      <c r="DJ49">
        <v>58.832299999999996</v>
      </c>
      <c r="DK49">
        <v>28.7239</v>
      </c>
      <c r="DL49">
        <v>500.44400000000002</v>
      </c>
      <c r="DM49">
        <v>99.0715</v>
      </c>
      <c r="DN49">
        <v>0.100228</v>
      </c>
      <c r="DO49">
        <v>30.513200000000001</v>
      </c>
      <c r="DP49">
        <v>30.007300000000001</v>
      </c>
      <c r="DQ49">
        <v>999.9</v>
      </c>
      <c r="DR49">
        <v>0</v>
      </c>
      <c r="DS49">
        <v>0</v>
      </c>
      <c r="DT49">
        <v>9982.5</v>
      </c>
      <c r="DU49">
        <v>0</v>
      </c>
      <c r="DV49">
        <v>1367.67</v>
      </c>
      <c r="DW49">
        <v>-10.577999999999999</v>
      </c>
      <c r="DX49">
        <v>61.238300000000002</v>
      </c>
      <c r="DY49">
        <v>71.680899999999994</v>
      </c>
      <c r="DZ49">
        <v>6.1127000000000002</v>
      </c>
      <c r="EA49">
        <v>70.040899999999993</v>
      </c>
      <c r="EB49">
        <v>22.8794</v>
      </c>
      <c r="EC49">
        <v>2.87229</v>
      </c>
      <c r="ED49">
        <v>2.2666900000000001</v>
      </c>
      <c r="EE49">
        <v>23.305499999999999</v>
      </c>
      <c r="EF49">
        <v>19.441600000000001</v>
      </c>
      <c r="EG49">
        <v>1799.99</v>
      </c>
      <c r="EH49">
        <v>0.97800799999999999</v>
      </c>
      <c r="EI49">
        <v>2.1992399999999999E-2</v>
      </c>
      <c r="EJ49">
        <v>0</v>
      </c>
      <c r="EK49">
        <v>849.58799999999997</v>
      </c>
      <c r="EL49">
        <v>5.0010300000000001</v>
      </c>
      <c r="EM49">
        <v>16235.6</v>
      </c>
      <c r="EN49">
        <v>14701.1</v>
      </c>
      <c r="EO49">
        <v>49.186999999999998</v>
      </c>
      <c r="EP49">
        <v>50.936999999999998</v>
      </c>
      <c r="EQ49">
        <v>50.75</v>
      </c>
      <c r="ER49">
        <v>49.561999999999998</v>
      </c>
      <c r="ES49">
        <v>50.686999999999998</v>
      </c>
      <c r="ET49">
        <v>1755.51</v>
      </c>
      <c r="EU49">
        <v>39.479999999999997</v>
      </c>
      <c r="EV49">
        <v>0</v>
      </c>
      <c r="EW49">
        <v>99</v>
      </c>
      <c r="EX49">
        <v>0</v>
      </c>
      <c r="EY49">
        <v>849.97107692307702</v>
      </c>
      <c r="EZ49">
        <v>-3.019487171611948</v>
      </c>
      <c r="FA49">
        <v>-80.847863213612101</v>
      </c>
      <c r="FB49">
        <v>16243.4</v>
      </c>
      <c r="FC49">
        <v>15</v>
      </c>
      <c r="FD49">
        <v>1693329236.0999999</v>
      </c>
      <c r="FE49" t="s">
        <v>588</v>
      </c>
      <c r="FF49">
        <v>1693329227.0999999</v>
      </c>
      <c r="FG49">
        <v>1693329236.0999999</v>
      </c>
      <c r="FH49">
        <v>37</v>
      </c>
      <c r="FI49">
        <v>8.5000000000000006E-2</v>
      </c>
      <c r="FJ49">
        <v>-2E-3</v>
      </c>
      <c r="FK49">
        <v>0.65100000000000002</v>
      </c>
      <c r="FL49">
        <v>0.125</v>
      </c>
      <c r="FM49">
        <v>70</v>
      </c>
      <c r="FN49">
        <v>23</v>
      </c>
      <c r="FO49">
        <v>0.5</v>
      </c>
      <c r="FP49">
        <v>0.04</v>
      </c>
      <c r="FQ49">
        <v>8.446603661407817</v>
      </c>
      <c r="FR49">
        <v>0.13266888051438991</v>
      </c>
      <c r="FS49">
        <v>5.1437027008633993E-2</v>
      </c>
      <c r="FT49">
        <v>1</v>
      </c>
      <c r="FU49">
        <v>0.38642280611702451</v>
      </c>
      <c r="FV49">
        <v>3.8805806859504313E-2</v>
      </c>
      <c r="FW49">
        <v>3.8950846174661781E-3</v>
      </c>
      <c r="FX49">
        <v>1</v>
      </c>
      <c r="FY49">
        <v>2</v>
      </c>
      <c r="FZ49">
        <v>2</v>
      </c>
      <c r="GA49" t="s">
        <v>421</v>
      </c>
      <c r="GB49">
        <v>2.90124</v>
      </c>
      <c r="GC49">
        <v>2.8180800000000001</v>
      </c>
      <c r="GD49">
        <v>1.6020099999999999E-2</v>
      </c>
      <c r="GE49">
        <v>1.9045800000000002E-2</v>
      </c>
      <c r="GF49">
        <v>0.135266</v>
      </c>
      <c r="GG49">
        <v>0.11480899999999999</v>
      </c>
      <c r="GH49">
        <v>27298.1</v>
      </c>
      <c r="GI49">
        <v>27343.5</v>
      </c>
      <c r="GJ49">
        <v>24616.7</v>
      </c>
      <c r="GK49">
        <v>24896.2</v>
      </c>
      <c r="GL49">
        <v>28284.1</v>
      </c>
      <c r="GM49">
        <v>28842.5</v>
      </c>
      <c r="GN49">
        <v>33299.4</v>
      </c>
      <c r="GO49">
        <v>33280.199999999997</v>
      </c>
      <c r="GP49">
        <v>1.9582999999999999</v>
      </c>
      <c r="GQ49">
        <v>1.7754000000000001</v>
      </c>
      <c r="GR49">
        <v>4.5523000000000001E-2</v>
      </c>
      <c r="GS49">
        <v>0</v>
      </c>
      <c r="GT49">
        <v>29.266100000000002</v>
      </c>
      <c r="GU49">
        <v>999.9</v>
      </c>
      <c r="GV49">
        <v>46.3</v>
      </c>
      <c r="GW49">
        <v>41.7</v>
      </c>
      <c r="GX49">
        <v>37.916800000000002</v>
      </c>
      <c r="GY49">
        <v>62.082900000000002</v>
      </c>
      <c r="GZ49">
        <v>27.3598</v>
      </c>
      <c r="HA49">
        <v>1</v>
      </c>
      <c r="HB49">
        <v>0.46838400000000002</v>
      </c>
      <c r="HC49">
        <v>2.0371000000000001</v>
      </c>
      <c r="HD49">
        <v>20.1496</v>
      </c>
      <c r="HE49">
        <v>5.23346</v>
      </c>
      <c r="HF49">
        <v>11.9201</v>
      </c>
      <c r="HG49">
        <v>4.9603999999999999</v>
      </c>
      <c r="HH49">
        <v>3.2890000000000001</v>
      </c>
      <c r="HI49">
        <v>9999</v>
      </c>
      <c r="HJ49">
        <v>9999</v>
      </c>
      <c r="HK49">
        <v>9999</v>
      </c>
      <c r="HL49">
        <v>877.4</v>
      </c>
      <c r="HM49">
        <v>1.8810899999999999</v>
      </c>
      <c r="HN49">
        <v>1.8783300000000001</v>
      </c>
      <c r="HO49">
        <v>1.8862300000000001</v>
      </c>
      <c r="HP49">
        <v>1.88398</v>
      </c>
      <c r="HQ49">
        <v>1.8815599999999999</v>
      </c>
      <c r="HR49">
        <v>1.88049</v>
      </c>
      <c r="HS49">
        <v>1.88171</v>
      </c>
      <c r="HT49">
        <v>1.8812599999999999</v>
      </c>
      <c r="HU49">
        <v>5</v>
      </c>
      <c r="HV49">
        <v>0</v>
      </c>
      <c r="HW49">
        <v>0</v>
      </c>
      <c r="HX49">
        <v>0</v>
      </c>
      <c r="HY49" t="s">
        <v>422</v>
      </c>
      <c r="HZ49" t="s">
        <v>423</v>
      </c>
      <c r="IA49" t="s">
        <v>424</v>
      </c>
      <c r="IB49" t="s">
        <v>424</v>
      </c>
      <c r="IC49" t="s">
        <v>424</v>
      </c>
      <c r="ID49" t="s">
        <v>424</v>
      </c>
      <c r="IE49">
        <v>0</v>
      </c>
      <c r="IF49">
        <v>100</v>
      </c>
      <c r="IG49">
        <v>100</v>
      </c>
      <c r="IH49">
        <v>0.63100000000000001</v>
      </c>
      <c r="II49">
        <v>0.26819999999999999</v>
      </c>
      <c r="IJ49">
        <v>0.50803052492272815</v>
      </c>
      <c r="IK49">
        <v>2.2153513873161218E-3</v>
      </c>
      <c r="IL49">
        <v>-2.2967369670569612E-6</v>
      </c>
      <c r="IM49">
        <v>7.7859689150384122E-10</v>
      </c>
      <c r="IN49">
        <v>-0.12905836230860729</v>
      </c>
      <c r="IO49">
        <v>-4.1434251034592161E-3</v>
      </c>
      <c r="IP49">
        <v>8.3987709687394815E-4</v>
      </c>
      <c r="IQ49">
        <v>-7.4586254598011197E-6</v>
      </c>
      <c r="IR49">
        <v>2</v>
      </c>
      <c r="IS49">
        <v>1930</v>
      </c>
      <c r="IT49">
        <v>2</v>
      </c>
      <c r="IU49">
        <v>41</v>
      </c>
      <c r="IV49">
        <v>0.6</v>
      </c>
      <c r="IW49">
        <v>0.5</v>
      </c>
      <c r="IX49">
        <v>0.29418899999999998</v>
      </c>
      <c r="IY49">
        <v>2.5708000000000002</v>
      </c>
      <c r="IZ49">
        <v>1.24512</v>
      </c>
      <c r="JA49">
        <v>2.2607400000000002</v>
      </c>
      <c r="JB49">
        <v>1.4501999999999999</v>
      </c>
      <c r="JC49">
        <v>2.4499499999999999</v>
      </c>
      <c r="JD49">
        <v>48.1785</v>
      </c>
      <c r="JE49">
        <v>24.105</v>
      </c>
      <c r="JF49">
        <v>18</v>
      </c>
      <c r="JG49">
        <v>496.96100000000001</v>
      </c>
      <c r="JH49">
        <v>422.97399999999999</v>
      </c>
      <c r="JI49">
        <v>26.603200000000001</v>
      </c>
      <c r="JJ49">
        <v>33.186599999999999</v>
      </c>
      <c r="JK49">
        <v>30.000499999999999</v>
      </c>
      <c r="JL49">
        <v>33.0777</v>
      </c>
      <c r="JM49">
        <v>33.036000000000001</v>
      </c>
      <c r="JN49">
        <v>5.9608699999999999</v>
      </c>
      <c r="JO49">
        <v>45</v>
      </c>
      <c r="JP49">
        <v>0</v>
      </c>
      <c r="JQ49">
        <v>26.604900000000001</v>
      </c>
      <c r="JR49">
        <v>70</v>
      </c>
      <c r="JS49">
        <v>22.755299999999998</v>
      </c>
      <c r="JT49">
        <v>99.373999999999995</v>
      </c>
      <c r="JU49">
        <v>99.290199999999999</v>
      </c>
    </row>
    <row r="50" spans="1:281" x14ac:dyDescent="0.25">
      <c r="A50">
        <v>34</v>
      </c>
      <c r="B50">
        <v>1693329374.0999999</v>
      </c>
      <c r="C50">
        <v>6661</v>
      </c>
      <c r="D50" t="s">
        <v>589</v>
      </c>
      <c r="E50" t="s">
        <v>590</v>
      </c>
      <c r="F50" t="s">
        <v>413</v>
      </c>
      <c r="G50" t="s">
        <v>564</v>
      </c>
      <c r="H50" t="s">
        <v>565</v>
      </c>
      <c r="I50" t="s">
        <v>415</v>
      </c>
      <c r="J50">
        <v>1693329374.0999999</v>
      </c>
      <c r="K50">
        <f t="shared" si="46"/>
        <v>5.8008666695639243E-3</v>
      </c>
      <c r="L50">
        <f t="shared" si="47"/>
        <v>5.8008666695639244</v>
      </c>
      <c r="M50">
        <f t="shared" si="48"/>
        <v>3.8094355685133574</v>
      </c>
      <c r="N50">
        <f t="shared" si="49"/>
        <v>25.302399999999999</v>
      </c>
      <c r="O50">
        <f t="shared" si="50"/>
        <v>9.850134067608197</v>
      </c>
      <c r="P50">
        <f t="shared" si="51"/>
        <v>0.97685924907670418</v>
      </c>
      <c r="Q50">
        <f t="shared" si="52"/>
        <v>2.5092941166272</v>
      </c>
      <c r="R50">
        <f t="shared" si="53"/>
        <v>0.433565793299447</v>
      </c>
      <c r="S50">
        <f t="shared" si="54"/>
        <v>2.9088341866181482</v>
      </c>
      <c r="T50">
        <f t="shared" si="55"/>
        <v>0.40059969874430085</v>
      </c>
      <c r="U50">
        <f t="shared" si="56"/>
        <v>0.25312748092989079</v>
      </c>
      <c r="V50">
        <f t="shared" si="57"/>
        <v>344.37639864455087</v>
      </c>
      <c r="W50">
        <f t="shared" si="58"/>
        <v>31.050013349676451</v>
      </c>
      <c r="X50">
        <f t="shared" si="59"/>
        <v>29.986499999999999</v>
      </c>
      <c r="Y50">
        <f t="shared" si="60"/>
        <v>4.2571472124681984</v>
      </c>
      <c r="Z50">
        <f t="shared" si="61"/>
        <v>65.426010595357823</v>
      </c>
      <c r="AA50">
        <f t="shared" si="62"/>
        <v>2.8727105629081997</v>
      </c>
      <c r="AB50">
        <f t="shared" si="63"/>
        <v>4.3907775161092086</v>
      </c>
      <c r="AC50">
        <f t="shared" si="64"/>
        <v>1.3844366495599987</v>
      </c>
      <c r="AD50">
        <f t="shared" si="65"/>
        <v>-255.81822012776905</v>
      </c>
      <c r="AE50">
        <f t="shared" si="66"/>
        <v>84.54223811943524</v>
      </c>
      <c r="AF50">
        <f t="shared" si="67"/>
        <v>6.4788025984337247</v>
      </c>
      <c r="AG50">
        <f t="shared" si="68"/>
        <v>179.57921923465079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51653.516294612826</v>
      </c>
      <c r="AM50" t="s">
        <v>416</v>
      </c>
      <c r="AN50">
        <v>10366.9</v>
      </c>
      <c r="AO50">
        <v>993.59653846153856</v>
      </c>
      <c r="AP50">
        <v>3431.87</v>
      </c>
      <c r="AQ50">
        <f t="shared" si="72"/>
        <v>0.71047955241266758</v>
      </c>
      <c r="AR50">
        <v>-3.9894345373445681</v>
      </c>
      <c r="AS50" t="s">
        <v>591</v>
      </c>
      <c r="AT50">
        <v>10419.799999999999</v>
      </c>
      <c r="AU50">
        <v>854.98032000000012</v>
      </c>
      <c r="AV50">
        <v>917.75256524338761</v>
      </c>
      <c r="AW50">
        <f t="shared" si="73"/>
        <v>6.8397787835918877E-2</v>
      </c>
      <c r="AX50">
        <v>0.5</v>
      </c>
      <c r="AY50">
        <f t="shared" si="74"/>
        <v>1513.2179993222753</v>
      </c>
      <c r="AZ50">
        <f t="shared" si="75"/>
        <v>3.8094355685133574</v>
      </c>
      <c r="BA50">
        <f t="shared" si="76"/>
        <v>51.750381833569314</v>
      </c>
      <c r="BB50">
        <f t="shared" si="77"/>
        <v>5.1538311792159522E-3</v>
      </c>
      <c r="BC50">
        <f t="shared" si="78"/>
        <v>2.7394283927606011</v>
      </c>
      <c r="BD50">
        <f t="shared" si="79"/>
        <v>554.11586638873814</v>
      </c>
      <c r="BE50" t="s">
        <v>592</v>
      </c>
      <c r="BF50">
        <v>628.77</v>
      </c>
      <c r="BG50">
        <f t="shared" si="80"/>
        <v>628.77</v>
      </c>
      <c r="BH50">
        <f t="shared" si="81"/>
        <v>0.31488069463118262</v>
      </c>
      <c r="BI50">
        <f t="shared" si="82"/>
        <v>0.21721810514942066</v>
      </c>
      <c r="BJ50">
        <f t="shared" si="83"/>
        <v>0.89690608068089339</v>
      </c>
      <c r="BK50">
        <f t="shared" si="84"/>
        <v>-0.82764974697244442</v>
      </c>
      <c r="BL50">
        <f t="shared" si="85"/>
        <v>1.0311056058372943</v>
      </c>
      <c r="BM50">
        <f t="shared" si="86"/>
        <v>0.15974663367082087</v>
      </c>
      <c r="BN50">
        <f t="shared" si="87"/>
        <v>0.84025336632917913</v>
      </c>
      <c r="BO50">
        <v>7614</v>
      </c>
      <c r="BP50">
        <v>290.00000000000011</v>
      </c>
      <c r="BQ50">
        <v>902.1</v>
      </c>
      <c r="BR50">
        <v>185</v>
      </c>
      <c r="BS50">
        <v>10419.799999999999</v>
      </c>
      <c r="BT50">
        <v>900.93</v>
      </c>
      <c r="BU50">
        <v>1.17</v>
      </c>
      <c r="BV50">
        <v>300.00000000000011</v>
      </c>
      <c r="BW50">
        <v>38.200000000000003</v>
      </c>
      <c r="BX50">
        <v>917.75256524338761</v>
      </c>
      <c r="BY50">
        <v>0.87811675272218193</v>
      </c>
      <c r="BZ50">
        <v>-17.530614866373849</v>
      </c>
      <c r="CA50">
        <v>0.74907664690129616</v>
      </c>
      <c r="CB50">
        <v>0.95136345522976395</v>
      </c>
      <c r="CC50">
        <v>-1.131592480533926E-2</v>
      </c>
      <c r="CD50">
        <v>289.99999999999989</v>
      </c>
      <c r="CE50">
        <v>898.51</v>
      </c>
      <c r="CF50">
        <v>755</v>
      </c>
      <c r="CG50">
        <v>10391.4</v>
      </c>
      <c r="CH50">
        <v>900.88</v>
      </c>
      <c r="CI50">
        <v>-2.37</v>
      </c>
      <c r="CW50">
        <f t="shared" si="88"/>
        <v>1800.04</v>
      </c>
      <c r="CX50">
        <f t="shared" si="89"/>
        <v>1513.2179993222753</v>
      </c>
      <c r="CY50">
        <f t="shared" si="90"/>
        <v>0.84065798500159739</v>
      </c>
      <c r="CZ50">
        <f t="shared" si="91"/>
        <v>0.19131597000319486</v>
      </c>
      <c r="DA50">
        <v>6</v>
      </c>
      <c r="DB50">
        <v>0.5</v>
      </c>
      <c r="DC50" t="s">
        <v>419</v>
      </c>
      <c r="DD50">
        <v>2</v>
      </c>
      <c r="DE50">
        <v>1693329374.0999999</v>
      </c>
      <c r="DF50">
        <v>25.302399999999999</v>
      </c>
      <c r="DG50">
        <v>30.0488</v>
      </c>
      <c r="DH50">
        <v>28.966899999999999</v>
      </c>
      <c r="DI50">
        <v>22.209</v>
      </c>
      <c r="DJ50">
        <v>24.701499999999999</v>
      </c>
      <c r="DK50">
        <v>28.6995</v>
      </c>
      <c r="DL50">
        <v>500.11099999999999</v>
      </c>
      <c r="DM50">
        <v>99.0715</v>
      </c>
      <c r="DN50">
        <v>0.100678</v>
      </c>
      <c r="DO50">
        <v>30.525600000000001</v>
      </c>
      <c r="DP50">
        <v>29.986499999999999</v>
      </c>
      <c r="DQ50">
        <v>999.9</v>
      </c>
      <c r="DR50">
        <v>0</v>
      </c>
      <c r="DS50">
        <v>0</v>
      </c>
      <c r="DT50">
        <v>9975</v>
      </c>
      <c r="DU50">
        <v>0</v>
      </c>
      <c r="DV50">
        <v>1377.04</v>
      </c>
      <c r="DW50">
        <v>-4.74634</v>
      </c>
      <c r="DX50">
        <v>26.057200000000002</v>
      </c>
      <c r="DY50">
        <v>30.731300000000001</v>
      </c>
      <c r="DZ50">
        <v>6.7578500000000004</v>
      </c>
      <c r="EA50">
        <v>30.0488</v>
      </c>
      <c r="EB50">
        <v>22.209</v>
      </c>
      <c r="EC50">
        <v>2.8697900000000001</v>
      </c>
      <c r="ED50">
        <v>2.2002799999999998</v>
      </c>
      <c r="EE50">
        <v>23.2911</v>
      </c>
      <c r="EF50">
        <v>18.964400000000001</v>
      </c>
      <c r="EG50">
        <v>1800.04</v>
      </c>
      <c r="EH50">
        <v>0.97800799999999999</v>
      </c>
      <c r="EI50">
        <v>2.1992399999999999E-2</v>
      </c>
      <c r="EJ50">
        <v>0</v>
      </c>
      <c r="EK50">
        <v>854.62800000000004</v>
      </c>
      <c r="EL50">
        <v>5.0010300000000001</v>
      </c>
      <c r="EM50">
        <v>16333.4</v>
      </c>
      <c r="EN50">
        <v>14701.5</v>
      </c>
      <c r="EO50">
        <v>49.125</v>
      </c>
      <c r="EP50">
        <v>50.936999999999998</v>
      </c>
      <c r="EQ50">
        <v>50.686999999999998</v>
      </c>
      <c r="ER50">
        <v>49.5</v>
      </c>
      <c r="ES50">
        <v>50.625</v>
      </c>
      <c r="ET50">
        <v>1755.56</v>
      </c>
      <c r="EU50">
        <v>39.479999999999997</v>
      </c>
      <c r="EV50">
        <v>0</v>
      </c>
      <c r="EW50">
        <v>107.5999999046326</v>
      </c>
      <c r="EX50">
        <v>0</v>
      </c>
      <c r="EY50">
        <v>854.98032000000012</v>
      </c>
      <c r="EZ50">
        <v>-2.6799999897819822</v>
      </c>
      <c r="FA50">
        <v>-52.04615368591589</v>
      </c>
      <c r="FB50">
        <v>16342.3</v>
      </c>
      <c r="FC50">
        <v>15</v>
      </c>
      <c r="FD50">
        <v>1693329346.5999999</v>
      </c>
      <c r="FE50" t="s">
        <v>593</v>
      </c>
      <c r="FF50">
        <v>1693329337.0999999</v>
      </c>
      <c r="FG50">
        <v>1693329346.5999999</v>
      </c>
      <c r="FH50">
        <v>38</v>
      </c>
      <c r="FI50">
        <v>0.04</v>
      </c>
      <c r="FJ50">
        <v>0</v>
      </c>
      <c r="FK50">
        <v>0.61099999999999999</v>
      </c>
      <c r="FL50">
        <v>0.112</v>
      </c>
      <c r="FM50">
        <v>30</v>
      </c>
      <c r="FN50">
        <v>22</v>
      </c>
      <c r="FO50">
        <v>1.1000000000000001</v>
      </c>
      <c r="FP50">
        <v>0.04</v>
      </c>
      <c r="FQ50">
        <v>3.767435680809879</v>
      </c>
      <c r="FR50">
        <v>-0.44319653722369262</v>
      </c>
      <c r="FS50">
        <v>5.5141369428103007E-2</v>
      </c>
      <c r="FT50">
        <v>1</v>
      </c>
      <c r="FU50">
        <v>0.42917433008173661</v>
      </c>
      <c r="FV50">
        <v>4.7303020331302063E-2</v>
      </c>
      <c r="FW50">
        <v>6.5614689726449576E-3</v>
      </c>
      <c r="FX50">
        <v>1</v>
      </c>
      <c r="FY50">
        <v>2</v>
      </c>
      <c r="FZ50">
        <v>2</v>
      </c>
      <c r="GA50" t="s">
        <v>421</v>
      </c>
      <c r="GB50">
        <v>2.90029</v>
      </c>
      <c r="GC50">
        <v>2.81846</v>
      </c>
      <c r="GD50">
        <v>6.7719800000000004E-3</v>
      </c>
      <c r="GE50">
        <v>8.2545899999999992E-3</v>
      </c>
      <c r="GF50">
        <v>0.13517599999999999</v>
      </c>
      <c r="GG50">
        <v>0.112466</v>
      </c>
      <c r="GH50">
        <v>27551.599999999999</v>
      </c>
      <c r="GI50">
        <v>27640.799999999999</v>
      </c>
      <c r="GJ50">
        <v>24614.6</v>
      </c>
      <c r="GK50">
        <v>24893.8</v>
      </c>
      <c r="GL50">
        <v>28285</v>
      </c>
      <c r="GM50">
        <v>28916.799999999999</v>
      </c>
      <c r="GN50">
        <v>33296.699999999997</v>
      </c>
      <c r="GO50">
        <v>33277.199999999997</v>
      </c>
      <c r="GP50">
        <v>1.9579</v>
      </c>
      <c r="GQ50">
        <v>1.7694000000000001</v>
      </c>
      <c r="GR50">
        <v>4.4166999999999998E-2</v>
      </c>
      <c r="GS50">
        <v>0</v>
      </c>
      <c r="GT50">
        <v>29.267299999999999</v>
      </c>
      <c r="GU50">
        <v>999.9</v>
      </c>
      <c r="GV50">
        <v>46</v>
      </c>
      <c r="GW50">
        <v>42.1</v>
      </c>
      <c r="GX50">
        <v>38.477200000000003</v>
      </c>
      <c r="GY50">
        <v>62.332900000000002</v>
      </c>
      <c r="GZ50">
        <v>27.504000000000001</v>
      </c>
      <c r="HA50">
        <v>1</v>
      </c>
      <c r="HB50">
        <v>0.47160600000000003</v>
      </c>
      <c r="HC50">
        <v>1.5385800000000001</v>
      </c>
      <c r="HD50">
        <v>20.155000000000001</v>
      </c>
      <c r="HE50">
        <v>5.23346</v>
      </c>
      <c r="HF50">
        <v>11.9201</v>
      </c>
      <c r="HG50">
        <v>4.9602000000000004</v>
      </c>
      <c r="HH50">
        <v>3.2890000000000001</v>
      </c>
      <c r="HI50">
        <v>9999</v>
      </c>
      <c r="HJ50">
        <v>9999</v>
      </c>
      <c r="HK50">
        <v>9999</v>
      </c>
      <c r="HL50">
        <v>877.4</v>
      </c>
      <c r="HM50">
        <v>1.8811</v>
      </c>
      <c r="HN50">
        <v>1.87836</v>
      </c>
      <c r="HO50">
        <v>1.88629</v>
      </c>
      <c r="HP50">
        <v>1.88398</v>
      </c>
      <c r="HQ50">
        <v>1.8815599999999999</v>
      </c>
      <c r="HR50">
        <v>1.8805400000000001</v>
      </c>
      <c r="HS50">
        <v>1.88171</v>
      </c>
      <c r="HT50">
        <v>1.8812599999999999</v>
      </c>
      <c r="HU50">
        <v>5</v>
      </c>
      <c r="HV50">
        <v>0</v>
      </c>
      <c r="HW50">
        <v>0</v>
      </c>
      <c r="HX50">
        <v>0</v>
      </c>
      <c r="HY50" t="s">
        <v>422</v>
      </c>
      <c r="HZ50" t="s">
        <v>423</v>
      </c>
      <c r="IA50" t="s">
        <v>424</v>
      </c>
      <c r="IB50" t="s">
        <v>424</v>
      </c>
      <c r="IC50" t="s">
        <v>424</v>
      </c>
      <c r="ID50" t="s">
        <v>424</v>
      </c>
      <c r="IE50">
        <v>0</v>
      </c>
      <c r="IF50">
        <v>100</v>
      </c>
      <c r="IG50">
        <v>100</v>
      </c>
      <c r="IH50">
        <v>0.60099999999999998</v>
      </c>
      <c r="II50">
        <v>0.26740000000000003</v>
      </c>
      <c r="IJ50">
        <v>0.5476324155383383</v>
      </c>
      <c r="IK50">
        <v>2.2153513873161218E-3</v>
      </c>
      <c r="IL50">
        <v>-2.2967369670569612E-6</v>
      </c>
      <c r="IM50">
        <v>7.7859689150384122E-10</v>
      </c>
      <c r="IN50">
        <v>-0.12913885976725281</v>
      </c>
      <c r="IO50">
        <v>-4.1434251034592161E-3</v>
      </c>
      <c r="IP50">
        <v>8.3987709687394815E-4</v>
      </c>
      <c r="IQ50">
        <v>-7.4586254598011197E-6</v>
      </c>
      <c r="IR50">
        <v>2</v>
      </c>
      <c r="IS50">
        <v>1930</v>
      </c>
      <c r="IT50">
        <v>2</v>
      </c>
      <c r="IU50">
        <v>41</v>
      </c>
      <c r="IV50">
        <v>0.6</v>
      </c>
      <c r="IW50">
        <v>0.5</v>
      </c>
      <c r="IX50">
        <v>0.20996100000000001</v>
      </c>
      <c r="IY50">
        <v>2.6061999999999999</v>
      </c>
      <c r="IZ50">
        <v>1.24512</v>
      </c>
      <c r="JA50">
        <v>2.2619600000000002</v>
      </c>
      <c r="JB50">
        <v>1.4501999999999999</v>
      </c>
      <c r="JC50">
        <v>2.2924799999999999</v>
      </c>
      <c r="JD50">
        <v>48.516199999999998</v>
      </c>
      <c r="JE50">
        <v>24.096299999999999</v>
      </c>
      <c r="JF50">
        <v>18</v>
      </c>
      <c r="JG50">
        <v>496.97800000000001</v>
      </c>
      <c r="JH50">
        <v>419.32799999999997</v>
      </c>
      <c r="JI50">
        <v>27.048500000000001</v>
      </c>
      <c r="JJ50">
        <v>33.234699999999997</v>
      </c>
      <c r="JK50">
        <v>30.0002</v>
      </c>
      <c r="JL50">
        <v>33.113399999999999</v>
      </c>
      <c r="JM50">
        <v>33.065600000000003</v>
      </c>
      <c r="JN50">
        <v>4.2626799999999996</v>
      </c>
      <c r="JO50">
        <v>47.2376</v>
      </c>
      <c r="JP50">
        <v>0</v>
      </c>
      <c r="JQ50">
        <v>27.046399999999998</v>
      </c>
      <c r="JR50">
        <v>30</v>
      </c>
      <c r="JS50">
        <v>22.171500000000002</v>
      </c>
      <c r="JT50">
        <v>99.365600000000001</v>
      </c>
      <c r="JU50">
        <v>99.281199999999998</v>
      </c>
    </row>
    <row r="51" spans="1:281" x14ac:dyDescent="0.25">
      <c r="A51">
        <v>35</v>
      </c>
      <c r="B51">
        <v>1693329486.0999999</v>
      </c>
      <c r="C51">
        <v>6773</v>
      </c>
      <c r="D51" t="s">
        <v>594</v>
      </c>
      <c r="E51" t="s">
        <v>595</v>
      </c>
      <c r="F51" t="s">
        <v>413</v>
      </c>
      <c r="G51" t="s">
        <v>564</v>
      </c>
      <c r="H51" t="s">
        <v>565</v>
      </c>
      <c r="I51" t="s">
        <v>415</v>
      </c>
      <c r="J51">
        <v>1693329486.0999999</v>
      </c>
      <c r="K51">
        <f t="shared" si="46"/>
        <v>5.9500745048363937E-3</v>
      </c>
      <c r="L51">
        <f t="shared" si="47"/>
        <v>5.9500745048363939</v>
      </c>
      <c r="M51">
        <f t="shared" si="48"/>
        <v>1.0331112458800897</v>
      </c>
      <c r="N51">
        <f t="shared" si="49"/>
        <v>8.6941100000000002</v>
      </c>
      <c r="O51">
        <f t="shared" si="50"/>
        <v>4.5829991821607239</v>
      </c>
      <c r="P51">
        <f t="shared" si="51"/>
        <v>0.45448372033397544</v>
      </c>
      <c r="Q51">
        <f t="shared" si="52"/>
        <v>0.86217153892877296</v>
      </c>
      <c r="R51">
        <f t="shared" si="53"/>
        <v>0.44782466638257679</v>
      </c>
      <c r="S51">
        <f t="shared" si="54"/>
        <v>2.9113918376468342</v>
      </c>
      <c r="T51">
        <f t="shared" si="55"/>
        <v>0.41277675520936241</v>
      </c>
      <c r="U51">
        <f t="shared" si="56"/>
        <v>0.26090543111780828</v>
      </c>
      <c r="V51">
        <f t="shared" si="57"/>
        <v>344.32699864435506</v>
      </c>
      <c r="W51">
        <f t="shared" si="58"/>
        <v>31.116023826202607</v>
      </c>
      <c r="X51">
        <f t="shared" si="59"/>
        <v>30.031600000000001</v>
      </c>
      <c r="Y51">
        <f t="shared" si="60"/>
        <v>4.2681889404515543</v>
      </c>
      <c r="Z51">
        <f t="shared" si="61"/>
        <v>65.430099461512654</v>
      </c>
      <c r="AA51">
        <f t="shared" si="62"/>
        <v>2.8903107091249405</v>
      </c>
      <c r="AB51">
        <f t="shared" si="63"/>
        <v>4.4174022856637745</v>
      </c>
      <c r="AC51">
        <f t="shared" si="64"/>
        <v>1.3778782313266138</v>
      </c>
      <c r="AD51">
        <f t="shared" si="65"/>
        <v>-262.39828566328498</v>
      </c>
      <c r="AE51">
        <f t="shared" si="66"/>
        <v>94.128286363704092</v>
      </c>
      <c r="AF51">
        <f t="shared" si="67"/>
        <v>7.2124605023742205</v>
      </c>
      <c r="AG51">
        <f t="shared" si="68"/>
        <v>183.26945984714837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51708.003355192974</v>
      </c>
      <c r="AM51" t="s">
        <v>416</v>
      </c>
      <c r="AN51">
        <v>10366.9</v>
      </c>
      <c r="AO51">
        <v>993.59653846153856</v>
      </c>
      <c r="AP51">
        <v>3431.87</v>
      </c>
      <c r="AQ51">
        <f t="shared" si="72"/>
        <v>0.71047955241266758</v>
      </c>
      <c r="AR51">
        <v>-3.9894345373445681</v>
      </c>
      <c r="AS51" t="s">
        <v>596</v>
      </c>
      <c r="AT51">
        <v>10424.6</v>
      </c>
      <c r="AU51">
        <v>855.67955999999992</v>
      </c>
      <c r="AV51">
        <v>903.83644393693339</v>
      </c>
      <c r="AW51">
        <f t="shared" si="73"/>
        <v>5.3280529082420647E-2</v>
      </c>
      <c r="AX51">
        <v>0.5</v>
      </c>
      <c r="AY51">
        <f t="shared" si="74"/>
        <v>1512.9995993221773</v>
      </c>
      <c r="AZ51">
        <f t="shared" si="75"/>
        <v>1.0331112458800897</v>
      </c>
      <c r="BA51">
        <f t="shared" si="76"/>
        <v>40.306709576688029</v>
      </c>
      <c r="BB51">
        <f t="shared" si="77"/>
        <v>3.3195949195721892E-3</v>
      </c>
      <c r="BC51">
        <f t="shared" si="78"/>
        <v>2.7970033439362663</v>
      </c>
      <c r="BD51">
        <f t="shared" si="79"/>
        <v>549.01216445216426</v>
      </c>
      <c r="BE51" t="s">
        <v>597</v>
      </c>
      <c r="BF51">
        <v>636.80999999999995</v>
      </c>
      <c r="BG51">
        <f t="shared" si="80"/>
        <v>636.80999999999995</v>
      </c>
      <c r="BH51">
        <f t="shared" si="81"/>
        <v>0.29543668628122466</v>
      </c>
      <c r="BI51">
        <f t="shared" si="82"/>
        <v>0.18034499964470638</v>
      </c>
      <c r="BJ51">
        <f t="shared" si="83"/>
        <v>0.90446486159977479</v>
      </c>
      <c r="BK51">
        <f t="shared" si="84"/>
        <v>-0.53650660900020142</v>
      </c>
      <c r="BL51">
        <f t="shared" si="85"/>
        <v>1.0368129727614595</v>
      </c>
      <c r="BM51">
        <f t="shared" si="86"/>
        <v>0.13421554585661188</v>
      </c>
      <c r="BN51">
        <f t="shared" si="87"/>
        <v>0.86578445414338812</v>
      </c>
      <c r="BO51">
        <v>7616</v>
      </c>
      <c r="BP51">
        <v>290.00000000000011</v>
      </c>
      <c r="BQ51">
        <v>891.67</v>
      </c>
      <c r="BR51">
        <v>155</v>
      </c>
      <c r="BS51">
        <v>10424.6</v>
      </c>
      <c r="BT51">
        <v>889.91</v>
      </c>
      <c r="BU51">
        <v>1.76</v>
      </c>
      <c r="BV51">
        <v>300.00000000000011</v>
      </c>
      <c r="BW51">
        <v>38.200000000000003</v>
      </c>
      <c r="BX51">
        <v>903.83644393693339</v>
      </c>
      <c r="BY51">
        <v>1.0400271431870729</v>
      </c>
      <c r="BZ51">
        <v>-14.517651404853851</v>
      </c>
      <c r="CA51">
        <v>0.88719603440650951</v>
      </c>
      <c r="CB51">
        <v>0.90533019300685924</v>
      </c>
      <c r="CC51">
        <v>-1.1316122135706329E-2</v>
      </c>
      <c r="CD51">
        <v>289.99999999999989</v>
      </c>
      <c r="CE51">
        <v>887.46</v>
      </c>
      <c r="CF51">
        <v>685</v>
      </c>
      <c r="CG51">
        <v>10396.299999999999</v>
      </c>
      <c r="CH51">
        <v>889.87</v>
      </c>
      <c r="CI51">
        <v>-2.41</v>
      </c>
      <c r="CW51">
        <f t="shared" si="88"/>
        <v>1799.78</v>
      </c>
      <c r="CX51">
        <f t="shared" si="89"/>
        <v>1512.9995993221773</v>
      </c>
      <c r="CY51">
        <f t="shared" si="90"/>
        <v>0.84065808005543863</v>
      </c>
      <c r="CZ51">
        <f t="shared" si="91"/>
        <v>0.19131616011087749</v>
      </c>
      <c r="DA51">
        <v>6</v>
      </c>
      <c r="DB51">
        <v>0.5</v>
      </c>
      <c r="DC51" t="s">
        <v>419</v>
      </c>
      <c r="DD51">
        <v>2</v>
      </c>
      <c r="DE51">
        <v>1693329486.0999999</v>
      </c>
      <c r="DF51">
        <v>8.6941100000000002</v>
      </c>
      <c r="DG51">
        <v>9.9948899999999998</v>
      </c>
      <c r="DH51">
        <v>29.145800000000001</v>
      </c>
      <c r="DI51">
        <v>22.2193</v>
      </c>
      <c r="DJ51">
        <v>8.0626800000000003</v>
      </c>
      <c r="DK51">
        <v>28.8735</v>
      </c>
      <c r="DL51">
        <v>500.39600000000002</v>
      </c>
      <c r="DM51">
        <v>99.067599999999999</v>
      </c>
      <c r="DN51">
        <v>9.9714300000000006E-2</v>
      </c>
      <c r="DO51">
        <v>30.6313</v>
      </c>
      <c r="DP51">
        <v>30.031600000000001</v>
      </c>
      <c r="DQ51">
        <v>999.9</v>
      </c>
      <c r="DR51">
        <v>0</v>
      </c>
      <c r="DS51">
        <v>0</v>
      </c>
      <c r="DT51">
        <v>9990</v>
      </c>
      <c r="DU51">
        <v>0</v>
      </c>
      <c r="DV51">
        <v>1372.73</v>
      </c>
      <c r="DW51">
        <v>-1.30078</v>
      </c>
      <c r="DX51">
        <v>8.9551099999999995</v>
      </c>
      <c r="DY51">
        <v>10.222</v>
      </c>
      <c r="DZ51">
        <v>6.9265400000000001</v>
      </c>
      <c r="EA51">
        <v>9.9948899999999998</v>
      </c>
      <c r="EB51">
        <v>22.2193</v>
      </c>
      <c r="EC51">
        <v>2.88741</v>
      </c>
      <c r="ED51">
        <v>2.2012100000000001</v>
      </c>
      <c r="EE51">
        <v>23.392499999999998</v>
      </c>
      <c r="EF51">
        <v>18.9711</v>
      </c>
      <c r="EG51">
        <v>1799.78</v>
      </c>
      <c r="EH51">
        <v>0.97800399999999998</v>
      </c>
      <c r="EI51">
        <v>2.1996100000000001E-2</v>
      </c>
      <c r="EJ51">
        <v>0</v>
      </c>
      <c r="EK51">
        <v>855.86900000000003</v>
      </c>
      <c r="EL51">
        <v>5.0010300000000001</v>
      </c>
      <c r="EM51">
        <v>16351.5</v>
      </c>
      <c r="EN51">
        <v>14699.3</v>
      </c>
      <c r="EO51">
        <v>49.25</v>
      </c>
      <c r="EP51">
        <v>50.875</v>
      </c>
      <c r="EQ51">
        <v>50.75</v>
      </c>
      <c r="ER51">
        <v>49.625</v>
      </c>
      <c r="ES51">
        <v>50.811999999999998</v>
      </c>
      <c r="ET51">
        <v>1755.3</v>
      </c>
      <c r="EU51">
        <v>39.479999999999997</v>
      </c>
      <c r="EV51">
        <v>0</v>
      </c>
      <c r="EW51">
        <v>110</v>
      </c>
      <c r="EX51">
        <v>0</v>
      </c>
      <c r="EY51">
        <v>855.67955999999992</v>
      </c>
      <c r="EZ51">
        <v>-1.287153843286186</v>
      </c>
      <c r="FA51">
        <v>6.3846155533760296</v>
      </c>
      <c r="FB51">
        <v>16360.472</v>
      </c>
      <c r="FC51">
        <v>15</v>
      </c>
      <c r="FD51">
        <v>1693329459.5999999</v>
      </c>
      <c r="FE51" t="s">
        <v>598</v>
      </c>
      <c r="FF51">
        <v>1693329444.5999999</v>
      </c>
      <c r="FG51">
        <v>1693329459.5999999</v>
      </c>
      <c r="FH51">
        <v>39</v>
      </c>
      <c r="FI51">
        <v>6.6000000000000003E-2</v>
      </c>
      <c r="FJ51">
        <v>0</v>
      </c>
      <c r="FK51">
        <v>0.63400000000000001</v>
      </c>
      <c r="FL51">
        <v>0.107</v>
      </c>
      <c r="FM51">
        <v>10</v>
      </c>
      <c r="FN51">
        <v>22</v>
      </c>
      <c r="FO51">
        <v>0.76</v>
      </c>
      <c r="FP51">
        <v>0.04</v>
      </c>
      <c r="FQ51">
        <v>1.1366327042946649</v>
      </c>
      <c r="FR51">
        <v>-0.13885682950649819</v>
      </c>
      <c r="FS51">
        <v>4.7957935413253813E-2</v>
      </c>
      <c r="FT51">
        <v>1</v>
      </c>
      <c r="FU51">
        <v>0.45326934415703662</v>
      </c>
      <c r="FV51">
        <v>4.161379725676001E-2</v>
      </c>
      <c r="FW51">
        <v>9.4246731067558747E-3</v>
      </c>
      <c r="FX51">
        <v>1</v>
      </c>
      <c r="FY51">
        <v>2</v>
      </c>
      <c r="FZ51">
        <v>2</v>
      </c>
      <c r="GA51" t="s">
        <v>421</v>
      </c>
      <c r="GB51">
        <v>2.9009900000000002</v>
      </c>
      <c r="GC51">
        <v>2.8176299999999999</v>
      </c>
      <c r="GD51">
        <v>2.21316E-3</v>
      </c>
      <c r="GE51">
        <v>2.7521199999999998E-3</v>
      </c>
      <c r="GF51">
        <v>0.13572300000000001</v>
      </c>
      <c r="GG51">
        <v>0.112493</v>
      </c>
      <c r="GH51">
        <v>27677.7</v>
      </c>
      <c r="GI51">
        <v>27791.9</v>
      </c>
      <c r="GJ51">
        <v>24614.5</v>
      </c>
      <c r="GK51">
        <v>24892.2</v>
      </c>
      <c r="GL51">
        <v>28266.400000000001</v>
      </c>
      <c r="GM51">
        <v>28914.3</v>
      </c>
      <c r="GN51">
        <v>33295.9</v>
      </c>
      <c r="GO51">
        <v>33275.300000000003</v>
      </c>
      <c r="GP51">
        <v>1.9567000000000001</v>
      </c>
      <c r="GQ51">
        <v>1.7652000000000001</v>
      </c>
      <c r="GR51">
        <v>4.4614099999999997E-2</v>
      </c>
      <c r="GS51">
        <v>0</v>
      </c>
      <c r="GT51">
        <v>29.305199999999999</v>
      </c>
      <c r="GU51">
        <v>999.9</v>
      </c>
      <c r="GV51">
        <v>45.4</v>
      </c>
      <c r="GW51">
        <v>42.6</v>
      </c>
      <c r="GX51">
        <v>38.989600000000003</v>
      </c>
      <c r="GY51">
        <v>62.172899999999998</v>
      </c>
      <c r="GZ51">
        <v>26.794899999999998</v>
      </c>
      <c r="HA51">
        <v>1</v>
      </c>
      <c r="HB51">
        <v>0.47459299999999999</v>
      </c>
      <c r="HC51">
        <v>1.7213499999999999</v>
      </c>
      <c r="HD51">
        <v>20.153099999999998</v>
      </c>
      <c r="HE51">
        <v>5.2352600000000002</v>
      </c>
      <c r="HF51">
        <v>11.9201</v>
      </c>
      <c r="HG51">
        <v>4.9610000000000003</v>
      </c>
      <c r="HH51">
        <v>3.2890000000000001</v>
      </c>
      <c r="HI51">
        <v>9999</v>
      </c>
      <c r="HJ51">
        <v>9999</v>
      </c>
      <c r="HK51">
        <v>9999</v>
      </c>
      <c r="HL51">
        <v>877.4</v>
      </c>
      <c r="HM51">
        <v>1.8811</v>
      </c>
      <c r="HN51">
        <v>1.87836</v>
      </c>
      <c r="HO51">
        <v>1.88629</v>
      </c>
      <c r="HP51">
        <v>1.8839699999999999</v>
      </c>
      <c r="HQ51">
        <v>1.8815599999999999</v>
      </c>
      <c r="HR51">
        <v>1.88049</v>
      </c>
      <c r="HS51">
        <v>1.88171</v>
      </c>
      <c r="HT51">
        <v>1.8812599999999999</v>
      </c>
      <c r="HU51">
        <v>5</v>
      </c>
      <c r="HV51">
        <v>0</v>
      </c>
      <c r="HW51">
        <v>0</v>
      </c>
      <c r="HX51">
        <v>0</v>
      </c>
      <c r="HY51" t="s">
        <v>422</v>
      </c>
      <c r="HZ51" t="s">
        <v>423</v>
      </c>
      <c r="IA51" t="s">
        <v>424</v>
      </c>
      <c r="IB51" t="s">
        <v>424</v>
      </c>
      <c r="IC51" t="s">
        <v>424</v>
      </c>
      <c r="ID51" t="s">
        <v>424</v>
      </c>
      <c r="IE51">
        <v>0</v>
      </c>
      <c r="IF51">
        <v>100</v>
      </c>
      <c r="IG51">
        <v>100</v>
      </c>
      <c r="IH51">
        <v>0.63100000000000001</v>
      </c>
      <c r="II51">
        <v>0.27229999999999999</v>
      </c>
      <c r="IJ51">
        <v>0.61372214556267268</v>
      </c>
      <c r="IK51">
        <v>2.2153513873161218E-3</v>
      </c>
      <c r="IL51">
        <v>-2.2967369670569612E-6</v>
      </c>
      <c r="IM51">
        <v>7.7859689150384122E-10</v>
      </c>
      <c r="IN51">
        <v>-0.12866671586471581</v>
      </c>
      <c r="IO51">
        <v>-4.1434251034592161E-3</v>
      </c>
      <c r="IP51">
        <v>8.3987709687394815E-4</v>
      </c>
      <c r="IQ51">
        <v>-7.4586254598011197E-6</v>
      </c>
      <c r="IR51">
        <v>2</v>
      </c>
      <c r="IS51">
        <v>1930</v>
      </c>
      <c r="IT51">
        <v>2</v>
      </c>
      <c r="IU51">
        <v>41</v>
      </c>
      <c r="IV51">
        <v>0.7</v>
      </c>
      <c r="IW51">
        <v>0.4</v>
      </c>
      <c r="IX51">
        <v>0.167236</v>
      </c>
      <c r="IY51">
        <v>2.6232899999999999</v>
      </c>
      <c r="IZ51">
        <v>1.24512</v>
      </c>
      <c r="JA51">
        <v>2.2607400000000002</v>
      </c>
      <c r="JB51">
        <v>1.4501999999999999</v>
      </c>
      <c r="JC51">
        <v>2.4670399999999999</v>
      </c>
      <c r="JD51">
        <v>48.856900000000003</v>
      </c>
      <c r="JE51">
        <v>24.105</v>
      </c>
      <c r="JF51">
        <v>18</v>
      </c>
      <c r="JG51">
        <v>496.35500000000002</v>
      </c>
      <c r="JH51">
        <v>416.78899999999999</v>
      </c>
      <c r="JI51">
        <v>27.1402</v>
      </c>
      <c r="JJ51">
        <v>33.254899999999999</v>
      </c>
      <c r="JK51">
        <v>30.0001</v>
      </c>
      <c r="JL51">
        <v>33.1372</v>
      </c>
      <c r="JM51">
        <v>33.086300000000001</v>
      </c>
      <c r="JN51">
        <v>3.4280599999999999</v>
      </c>
      <c r="JO51">
        <v>47.513599999999997</v>
      </c>
      <c r="JP51">
        <v>0</v>
      </c>
      <c r="JQ51">
        <v>27.1068</v>
      </c>
      <c r="JR51">
        <v>10</v>
      </c>
      <c r="JS51">
        <v>22.113700000000001</v>
      </c>
      <c r="JT51">
        <v>99.364099999999993</v>
      </c>
      <c r="JU51">
        <v>99.275099999999995</v>
      </c>
    </row>
    <row r="52" spans="1:281" x14ac:dyDescent="0.25">
      <c r="A52">
        <v>36</v>
      </c>
      <c r="B52">
        <v>1693329675.5999999</v>
      </c>
      <c r="C52">
        <v>6962.5</v>
      </c>
      <c r="D52" t="s">
        <v>599</v>
      </c>
      <c r="E52" t="s">
        <v>600</v>
      </c>
      <c r="F52" t="s">
        <v>413</v>
      </c>
      <c r="G52" t="s">
        <v>564</v>
      </c>
      <c r="H52" t="s">
        <v>565</v>
      </c>
      <c r="I52" t="s">
        <v>415</v>
      </c>
      <c r="J52">
        <v>1693329675.5999999</v>
      </c>
      <c r="K52">
        <f t="shared" si="46"/>
        <v>5.7437114321569494E-3</v>
      </c>
      <c r="L52">
        <f t="shared" si="47"/>
        <v>5.7437114321569496</v>
      </c>
      <c r="M52">
        <f t="shared" si="48"/>
        <v>38.825101534496767</v>
      </c>
      <c r="N52">
        <f t="shared" si="49"/>
        <v>350.98099999999999</v>
      </c>
      <c r="O52">
        <f t="shared" si="50"/>
        <v>189.00607843929424</v>
      </c>
      <c r="P52">
        <f t="shared" si="51"/>
        <v>18.741549211600603</v>
      </c>
      <c r="Q52">
        <f t="shared" si="52"/>
        <v>34.802730886507</v>
      </c>
      <c r="R52">
        <f t="shared" si="53"/>
        <v>0.42633806873150631</v>
      </c>
      <c r="S52">
        <f t="shared" si="54"/>
        <v>2.9256255454200555</v>
      </c>
      <c r="T52">
        <f t="shared" si="55"/>
        <v>0.39458716699664181</v>
      </c>
      <c r="U52">
        <f t="shared" si="56"/>
        <v>0.24927233255173334</v>
      </c>
      <c r="V52">
        <f t="shared" si="57"/>
        <v>344.33649864439275</v>
      </c>
      <c r="W52">
        <f t="shared" si="58"/>
        <v>31.12210573361164</v>
      </c>
      <c r="X52">
        <f t="shared" si="59"/>
        <v>30.007300000000001</v>
      </c>
      <c r="Y52">
        <f t="shared" si="60"/>
        <v>4.2622365310844108</v>
      </c>
      <c r="Z52">
        <f t="shared" si="61"/>
        <v>65.156806578573878</v>
      </c>
      <c r="AA52">
        <f t="shared" si="62"/>
        <v>2.8707758624758002</v>
      </c>
      <c r="AB52">
        <f t="shared" si="63"/>
        <v>4.4059492986567337</v>
      </c>
      <c r="AC52">
        <f t="shared" si="64"/>
        <v>1.3914606686086106</v>
      </c>
      <c r="AD52">
        <f t="shared" si="65"/>
        <v>-253.29767415812148</v>
      </c>
      <c r="AE52">
        <f t="shared" si="66"/>
        <v>91.260451300551026</v>
      </c>
      <c r="AF52">
        <f t="shared" si="67"/>
        <v>6.956296761853288</v>
      </c>
      <c r="AG52">
        <f t="shared" si="68"/>
        <v>189.25557254867562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52120.078775999245</v>
      </c>
      <c r="AM52" t="s">
        <v>416</v>
      </c>
      <c r="AN52">
        <v>10366.9</v>
      </c>
      <c r="AO52">
        <v>993.59653846153856</v>
      </c>
      <c r="AP52">
        <v>3431.87</v>
      </c>
      <c r="AQ52">
        <f t="shared" si="72"/>
        <v>0.71047955241266758</v>
      </c>
      <c r="AR52">
        <v>-3.9894345373445681</v>
      </c>
      <c r="AS52" t="s">
        <v>601</v>
      </c>
      <c r="AT52">
        <v>10422.700000000001</v>
      </c>
      <c r="AU52">
        <v>827.86339999999996</v>
      </c>
      <c r="AV52">
        <v>1123.208069141933</v>
      </c>
      <c r="AW52">
        <f t="shared" si="73"/>
        <v>0.26294742466332133</v>
      </c>
      <c r="AX52">
        <v>0.5</v>
      </c>
      <c r="AY52">
        <f t="shared" si="74"/>
        <v>1513.0415993221964</v>
      </c>
      <c r="AZ52">
        <f t="shared" si="75"/>
        <v>38.825101534496767</v>
      </c>
      <c r="BA52">
        <f t="shared" si="76"/>
        <v>198.92519597512222</v>
      </c>
      <c r="BB52">
        <f t="shared" si="77"/>
        <v>2.8296998635742164E-2</v>
      </c>
      <c r="BC52">
        <f t="shared" si="78"/>
        <v>2.0554178644939336</v>
      </c>
      <c r="BD52">
        <f t="shared" si="79"/>
        <v>622.91114701670278</v>
      </c>
      <c r="BE52" t="s">
        <v>602</v>
      </c>
      <c r="BF52">
        <v>621.96</v>
      </c>
      <c r="BG52">
        <f t="shared" si="80"/>
        <v>621.96</v>
      </c>
      <c r="BH52">
        <f t="shared" si="81"/>
        <v>0.44626466183140756</v>
      </c>
      <c r="BI52">
        <f t="shared" si="82"/>
        <v>0.58921856726056243</v>
      </c>
      <c r="BJ52">
        <f t="shared" si="83"/>
        <v>0.8216141907954585</v>
      </c>
      <c r="BK52">
        <f t="shared" si="84"/>
        <v>2.2786913138940963</v>
      </c>
      <c r="BL52">
        <f t="shared" si="85"/>
        <v>0.94684290637416246</v>
      </c>
      <c r="BM52">
        <f t="shared" si="86"/>
        <v>0.4426701072826501</v>
      </c>
      <c r="BN52">
        <f t="shared" si="87"/>
        <v>0.5573298927173499</v>
      </c>
      <c r="BO52">
        <v>7618</v>
      </c>
      <c r="BP52">
        <v>290.00000000000011</v>
      </c>
      <c r="BQ52">
        <v>1034.72</v>
      </c>
      <c r="BR52">
        <v>175</v>
      </c>
      <c r="BS52">
        <v>10422.700000000001</v>
      </c>
      <c r="BT52">
        <v>1033.3399999999999</v>
      </c>
      <c r="BU52">
        <v>1.38</v>
      </c>
      <c r="BV52">
        <v>300.00000000000011</v>
      </c>
      <c r="BW52">
        <v>38.200000000000003</v>
      </c>
      <c r="BX52">
        <v>1123.208069141933</v>
      </c>
      <c r="BY52">
        <v>1.1994989898296631</v>
      </c>
      <c r="BZ52">
        <v>-93.665440210224659</v>
      </c>
      <c r="CA52">
        <v>1.023355186473456</v>
      </c>
      <c r="CB52">
        <v>0.99666878303234574</v>
      </c>
      <c r="CC52">
        <v>-1.131759977753059E-2</v>
      </c>
      <c r="CD52">
        <v>289.99999999999989</v>
      </c>
      <c r="CE52">
        <v>1017.81</v>
      </c>
      <c r="CF52">
        <v>655</v>
      </c>
      <c r="CG52">
        <v>10399.9</v>
      </c>
      <c r="CH52">
        <v>1033.1400000000001</v>
      </c>
      <c r="CI52">
        <v>-15.33</v>
      </c>
      <c r="CW52">
        <f t="shared" si="88"/>
        <v>1799.83</v>
      </c>
      <c r="CX52">
        <f t="shared" si="89"/>
        <v>1513.0415993221964</v>
      </c>
      <c r="CY52">
        <f t="shared" si="90"/>
        <v>0.84065806177372104</v>
      </c>
      <c r="CZ52">
        <f t="shared" si="91"/>
        <v>0.19131612354744212</v>
      </c>
      <c r="DA52">
        <v>6</v>
      </c>
      <c r="DB52">
        <v>0.5</v>
      </c>
      <c r="DC52" t="s">
        <v>419</v>
      </c>
      <c r="DD52">
        <v>2</v>
      </c>
      <c r="DE52">
        <v>1693329675.5999999</v>
      </c>
      <c r="DF52">
        <v>350.98099999999999</v>
      </c>
      <c r="DG52">
        <v>399.93599999999998</v>
      </c>
      <c r="DH52">
        <v>28.9514</v>
      </c>
      <c r="DI52">
        <v>22.265899999999998</v>
      </c>
      <c r="DJ52">
        <v>349.83600000000001</v>
      </c>
      <c r="DK52">
        <v>28.682200000000002</v>
      </c>
      <c r="DL52">
        <v>500.55399999999997</v>
      </c>
      <c r="DM52">
        <v>99.058300000000003</v>
      </c>
      <c r="DN52">
        <v>0.100147</v>
      </c>
      <c r="DO52">
        <v>30.585899999999999</v>
      </c>
      <c r="DP52">
        <v>30.007300000000001</v>
      </c>
      <c r="DQ52">
        <v>999.9</v>
      </c>
      <c r="DR52">
        <v>0</v>
      </c>
      <c r="DS52">
        <v>0</v>
      </c>
      <c r="DT52">
        <v>10072.5</v>
      </c>
      <c r="DU52">
        <v>0</v>
      </c>
      <c r="DV52">
        <v>1335.61</v>
      </c>
      <c r="DW52">
        <v>-48.954999999999998</v>
      </c>
      <c r="DX52">
        <v>361.44499999999999</v>
      </c>
      <c r="DY52">
        <v>409.04300000000001</v>
      </c>
      <c r="DZ52">
        <v>6.6854500000000003</v>
      </c>
      <c r="EA52">
        <v>399.93599999999998</v>
      </c>
      <c r="EB52">
        <v>22.265899999999998</v>
      </c>
      <c r="EC52">
        <v>2.86788</v>
      </c>
      <c r="ED52">
        <v>2.2056300000000002</v>
      </c>
      <c r="EE52">
        <v>23.280100000000001</v>
      </c>
      <c r="EF52">
        <v>19.0032</v>
      </c>
      <c r="EG52">
        <v>1799.83</v>
      </c>
      <c r="EH52">
        <v>0.97800399999999998</v>
      </c>
      <c r="EI52">
        <v>2.1996100000000001E-2</v>
      </c>
      <c r="EJ52">
        <v>0</v>
      </c>
      <c r="EK52">
        <v>826.09</v>
      </c>
      <c r="EL52">
        <v>5.0010300000000001</v>
      </c>
      <c r="EM52">
        <v>15861.2</v>
      </c>
      <c r="EN52">
        <v>14699.7</v>
      </c>
      <c r="EO52">
        <v>49.311999999999998</v>
      </c>
      <c r="EP52">
        <v>51.061999999999998</v>
      </c>
      <c r="EQ52">
        <v>51</v>
      </c>
      <c r="ER52">
        <v>49.75</v>
      </c>
      <c r="ES52">
        <v>50.875</v>
      </c>
      <c r="ET52">
        <v>1755.35</v>
      </c>
      <c r="EU52">
        <v>39.479999999999997</v>
      </c>
      <c r="EV52">
        <v>0</v>
      </c>
      <c r="EW52">
        <v>187.39999985694891</v>
      </c>
      <c r="EX52">
        <v>0</v>
      </c>
      <c r="EY52">
        <v>827.86339999999996</v>
      </c>
      <c r="EZ52">
        <v>-16.499846179819968</v>
      </c>
      <c r="FA52">
        <v>91.015384205235222</v>
      </c>
      <c r="FB52">
        <v>15863.023999999999</v>
      </c>
      <c r="FC52">
        <v>15</v>
      </c>
      <c r="FD52">
        <v>1693329603.5999999</v>
      </c>
      <c r="FE52" t="s">
        <v>603</v>
      </c>
      <c r="FF52">
        <v>1693329592.0999999</v>
      </c>
      <c r="FG52">
        <v>1693329603.5999999</v>
      </c>
      <c r="FH52">
        <v>40</v>
      </c>
      <c r="FI52">
        <v>4.0000000000000001E-3</v>
      </c>
      <c r="FJ52">
        <v>2E-3</v>
      </c>
      <c r="FK52">
        <v>1.1859999999999999</v>
      </c>
      <c r="FL52">
        <v>0.106</v>
      </c>
      <c r="FM52">
        <v>400</v>
      </c>
      <c r="FN52">
        <v>22</v>
      </c>
      <c r="FO52">
        <v>0.13</v>
      </c>
      <c r="FP52">
        <v>0.02</v>
      </c>
      <c r="FQ52">
        <v>38.57547979041491</v>
      </c>
      <c r="FR52">
        <v>2.5266624132860018</v>
      </c>
      <c r="FS52">
        <v>0.21500241149603341</v>
      </c>
      <c r="FT52">
        <v>0</v>
      </c>
      <c r="FU52">
        <v>0.42986582290651099</v>
      </c>
      <c r="FV52">
        <v>-1.33074563209396E-2</v>
      </c>
      <c r="FW52">
        <v>1.227438803650832E-3</v>
      </c>
      <c r="FX52">
        <v>1</v>
      </c>
      <c r="FY52">
        <v>1</v>
      </c>
      <c r="FZ52">
        <v>2</v>
      </c>
      <c r="GA52" t="s">
        <v>460</v>
      </c>
      <c r="GB52">
        <v>2.9011999999999998</v>
      </c>
      <c r="GC52">
        <v>2.8187899999999999</v>
      </c>
      <c r="GD52">
        <v>8.1412499999999999E-2</v>
      </c>
      <c r="GE52">
        <v>9.0345800000000004E-2</v>
      </c>
      <c r="GF52">
        <v>0.135074</v>
      </c>
      <c r="GG52">
        <v>0.11262800000000001</v>
      </c>
      <c r="GH52">
        <v>25477.599999999999</v>
      </c>
      <c r="GI52">
        <v>25349.4</v>
      </c>
      <c r="GJ52">
        <v>24608.9</v>
      </c>
      <c r="GK52">
        <v>24888.2</v>
      </c>
      <c r="GL52">
        <v>28282.3</v>
      </c>
      <c r="GM52">
        <v>28905.200000000001</v>
      </c>
      <c r="GN52">
        <v>33288.9</v>
      </c>
      <c r="GO52">
        <v>33269.599999999999</v>
      </c>
      <c r="GP52">
        <v>1.9568000000000001</v>
      </c>
      <c r="GQ52">
        <v>1.7597</v>
      </c>
      <c r="GR52">
        <v>3.1620299999999997E-2</v>
      </c>
      <c r="GS52">
        <v>0</v>
      </c>
      <c r="GT52">
        <v>29.4925</v>
      </c>
      <c r="GU52">
        <v>999.9</v>
      </c>
      <c r="GV52">
        <v>44.6</v>
      </c>
      <c r="GW52">
        <v>43.3</v>
      </c>
      <c r="GX52">
        <v>39.734499999999997</v>
      </c>
      <c r="GY52">
        <v>61.993000000000002</v>
      </c>
      <c r="GZ52">
        <v>26.9191</v>
      </c>
      <c r="HA52">
        <v>1</v>
      </c>
      <c r="HB52">
        <v>0.48287600000000003</v>
      </c>
      <c r="HC52">
        <v>1.5241400000000001</v>
      </c>
      <c r="HD52">
        <v>20.154900000000001</v>
      </c>
      <c r="HE52">
        <v>5.2352600000000002</v>
      </c>
      <c r="HF52">
        <v>11.9201</v>
      </c>
      <c r="HG52">
        <v>4.9596</v>
      </c>
      <c r="HH52">
        <v>3.2890000000000001</v>
      </c>
      <c r="HI52">
        <v>9999</v>
      </c>
      <c r="HJ52">
        <v>9999</v>
      </c>
      <c r="HK52">
        <v>9999</v>
      </c>
      <c r="HL52">
        <v>877.5</v>
      </c>
      <c r="HM52">
        <v>1.8810899999999999</v>
      </c>
      <c r="HN52">
        <v>1.87836</v>
      </c>
      <c r="HO52">
        <v>1.88629</v>
      </c>
      <c r="HP52">
        <v>1.8839999999999999</v>
      </c>
      <c r="HQ52">
        <v>1.88157</v>
      </c>
      <c r="HR52">
        <v>1.8805400000000001</v>
      </c>
      <c r="HS52">
        <v>1.88171</v>
      </c>
      <c r="HT52">
        <v>1.8812599999999999</v>
      </c>
      <c r="HU52">
        <v>5</v>
      </c>
      <c r="HV52">
        <v>0</v>
      </c>
      <c r="HW52">
        <v>0</v>
      </c>
      <c r="HX52">
        <v>0</v>
      </c>
      <c r="HY52" t="s">
        <v>422</v>
      </c>
      <c r="HZ52" t="s">
        <v>423</v>
      </c>
      <c r="IA52" t="s">
        <v>424</v>
      </c>
      <c r="IB52" t="s">
        <v>424</v>
      </c>
      <c r="IC52" t="s">
        <v>424</v>
      </c>
      <c r="ID52" t="s">
        <v>424</v>
      </c>
      <c r="IE52">
        <v>0</v>
      </c>
      <c r="IF52">
        <v>100</v>
      </c>
      <c r="IG52">
        <v>100</v>
      </c>
      <c r="IH52">
        <v>1.145</v>
      </c>
      <c r="II52">
        <v>0.26919999999999999</v>
      </c>
      <c r="IJ52">
        <v>0.61795852249923189</v>
      </c>
      <c r="IK52">
        <v>2.2153513873161218E-3</v>
      </c>
      <c r="IL52">
        <v>-2.2967369670569612E-6</v>
      </c>
      <c r="IM52">
        <v>7.7859689150384122E-10</v>
      </c>
      <c r="IN52">
        <v>-0.12693386494845871</v>
      </c>
      <c r="IO52">
        <v>-4.1434251034592161E-3</v>
      </c>
      <c r="IP52">
        <v>8.3987709687394815E-4</v>
      </c>
      <c r="IQ52">
        <v>-7.4586254598011197E-6</v>
      </c>
      <c r="IR52">
        <v>2</v>
      </c>
      <c r="IS52">
        <v>1930</v>
      </c>
      <c r="IT52">
        <v>2</v>
      </c>
      <c r="IU52">
        <v>41</v>
      </c>
      <c r="IV52">
        <v>1.4</v>
      </c>
      <c r="IW52">
        <v>1.2</v>
      </c>
      <c r="IX52">
        <v>0.97656200000000004</v>
      </c>
      <c r="IY52">
        <v>2.5463900000000002</v>
      </c>
      <c r="IZ52">
        <v>1.24512</v>
      </c>
      <c r="JA52">
        <v>2.2607400000000002</v>
      </c>
      <c r="JB52">
        <v>1.4501999999999999</v>
      </c>
      <c r="JC52">
        <v>2.4853499999999999</v>
      </c>
      <c r="JD52">
        <v>49.420999999999999</v>
      </c>
      <c r="JE52">
        <v>24.105</v>
      </c>
      <c r="JF52">
        <v>18</v>
      </c>
      <c r="JG52">
        <v>497.00799999999998</v>
      </c>
      <c r="JH52">
        <v>413.79899999999998</v>
      </c>
      <c r="JI52">
        <v>26.747299999999999</v>
      </c>
      <c r="JJ52">
        <v>33.350200000000001</v>
      </c>
      <c r="JK52">
        <v>29.9999</v>
      </c>
      <c r="JL52">
        <v>33.2087</v>
      </c>
      <c r="JM52">
        <v>33.157600000000002</v>
      </c>
      <c r="JN52">
        <v>19.645099999999999</v>
      </c>
      <c r="JO52">
        <v>47.621699999999997</v>
      </c>
      <c r="JP52">
        <v>0</v>
      </c>
      <c r="JQ52">
        <v>26.802600000000002</v>
      </c>
      <c r="JR52">
        <v>400</v>
      </c>
      <c r="JS52">
        <v>22.223199999999999</v>
      </c>
      <c r="JT52">
        <v>99.342500000000001</v>
      </c>
      <c r="JU52">
        <v>99.258499999999998</v>
      </c>
    </row>
    <row r="53" spans="1:281" x14ac:dyDescent="0.25">
      <c r="A53">
        <v>37</v>
      </c>
      <c r="B53">
        <v>1693329824.5999999</v>
      </c>
      <c r="C53">
        <v>7111.5</v>
      </c>
      <c r="D53" t="s">
        <v>604</v>
      </c>
      <c r="E53" t="s">
        <v>605</v>
      </c>
      <c r="F53" t="s">
        <v>413</v>
      </c>
      <c r="G53" t="s">
        <v>564</v>
      </c>
      <c r="H53" t="s">
        <v>565</v>
      </c>
      <c r="I53" t="s">
        <v>415</v>
      </c>
      <c r="J53">
        <v>1693329824.5999999</v>
      </c>
      <c r="K53">
        <f t="shared" si="46"/>
        <v>5.5811141694980977E-3</v>
      </c>
      <c r="L53">
        <f t="shared" si="47"/>
        <v>5.5811141694980977</v>
      </c>
      <c r="M53">
        <f t="shared" si="48"/>
        <v>42.515647017959999</v>
      </c>
      <c r="N53">
        <f t="shared" si="49"/>
        <v>346.71</v>
      </c>
      <c r="O53">
        <f t="shared" si="50"/>
        <v>165.13720506040667</v>
      </c>
      <c r="P53">
        <f t="shared" si="51"/>
        <v>16.37399015539042</v>
      </c>
      <c r="Q53">
        <f t="shared" si="52"/>
        <v>34.377632373629993</v>
      </c>
      <c r="R53">
        <f t="shared" si="53"/>
        <v>0.41320641516336082</v>
      </c>
      <c r="S53">
        <f t="shared" si="54"/>
        <v>2.9150828225223346</v>
      </c>
      <c r="T53">
        <f t="shared" si="55"/>
        <v>0.38320810317092241</v>
      </c>
      <c r="U53">
        <f t="shared" si="56"/>
        <v>0.24201855722367355</v>
      </c>
      <c r="V53">
        <f t="shared" si="57"/>
        <v>344.39159864461112</v>
      </c>
      <c r="W53">
        <f t="shared" si="58"/>
        <v>31.151413956246611</v>
      </c>
      <c r="X53">
        <f t="shared" si="59"/>
        <v>30.003499999999999</v>
      </c>
      <c r="Y53">
        <f t="shared" si="60"/>
        <v>4.2613063560585509</v>
      </c>
      <c r="Z53">
        <f t="shared" si="61"/>
        <v>65.176218001668374</v>
      </c>
      <c r="AA53">
        <f t="shared" si="62"/>
        <v>2.8691357211785999</v>
      </c>
      <c r="AB53">
        <f t="shared" si="63"/>
        <v>4.402120603415737</v>
      </c>
      <c r="AC53">
        <f t="shared" si="64"/>
        <v>1.392170634879951</v>
      </c>
      <c r="AD53">
        <f t="shared" si="65"/>
        <v>-246.1271348748661</v>
      </c>
      <c r="AE53">
        <f t="shared" si="66"/>
        <v>89.13998647650179</v>
      </c>
      <c r="AF53">
        <f t="shared" si="67"/>
        <v>6.8185977119796597</v>
      </c>
      <c r="AG53">
        <f t="shared" si="68"/>
        <v>194.22304795822646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51822.818772217528</v>
      </c>
      <c r="AM53" t="s">
        <v>416</v>
      </c>
      <c r="AN53">
        <v>10366.9</v>
      </c>
      <c r="AO53">
        <v>993.59653846153856</v>
      </c>
      <c r="AP53">
        <v>3431.87</v>
      </c>
      <c r="AQ53">
        <f t="shared" si="72"/>
        <v>0.71047955241266758</v>
      </c>
      <c r="AR53">
        <v>-3.9894345373445681</v>
      </c>
      <c r="AS53" t="s">
        <v>606</v>
      </c>
      <c r="AT53">
        <v>10427.799999999999</v>
      </c>
      <c r="AU53">
        <v>826.00111538461545</v>
      </c>
      <c r="AV53">
        <v>1136.517185690569</v>
      </c>
      <c r="AW53">
        <f t="shared" si="73"/>
        <v>0.27321722382691316</v>
      </c>
      <c r="AX53">
        <v>0.5</v>
      </c>
      <c r="AY53">
        <f t="shared" si="74"/>
        <v>1513.2851993223055</v>
      </c>
      <c r="AZ53">
        <f t="shared" si="75"/>
        <v>42.515647017959999</v>
      </c>
      <c r="BA53">
        <f t="shared" si="76"/>
        <v>206.72779050859862</v>
      </c>
      <c r="BB53">
        <f t="shared" si="77"/>
        <v>3.0731207558318114E-2</v>
      </c>
      <c r="BC53">
        <f t="shared" si="78"/>
        <v>2.0196375762806715</v>
      </c>
      <c r="BD53">
        <f t="shared" si="79"/>
        <v>626.98302628479439</v>
      </c>
      <c r="BE53" t="s">
        <v>607</v>
      </c>
      <c r="BF53">
        <v>627.96</v>
      </c>
      <c r="BG53">
        <f t="shared" si="80"/>
        <v>627.96</v>
      </c>
      <c r="BH53">
        <f t="shared" si="81"/>
        <v>0.44746985975540721</v>
      </c>
      <c r="BI53">
        <f t="shared" si="82"/>
        <v>0.61058240654746487</v>
      </c>
      <c r="BJ53">
        <f t="shared" si="83"/>
        <v>0.8186257099227261</v>
      </c>
      <c r="BK53">
        <f t="shared" si="84"/>
        <v>2.1726466842005783</v>
      </c>
      <c r="BL53">
        <f t="shared" si="85"/>
        <v>0.94138448804718855</v>
      </c>
      <c r="BM53">
        <f t="shared" si="86"/>
        <v>0.46418984293624288</v>
      </c>
      <c r="BN53">
        <f t="shared" si="87"/>
        <v>0.53581015706375712</v>
      </c>
      <c r="BO53">
        <v>7620</v>
      </c>
      <c r="BP53">
        <v>290.00000000000011</v>
      </c>
      <c r="BQ53">
        <v>1056.76</v>
      </c>
      <c r="BR53">
        <v>145</v>
      </c>
      <c r="BS53">
        <v>10427.799999999999</v>
      </c>
      <c r="BT53">
        <v>1052.3</v>
      </c>
      <c r="BU53">
        <v>4.46</v>
      </c>
      <c r="BV53">
        <v>300.00000000000011</v>
      </c>
      <c r="BW53">
        <v>38.200000000000003</v>
      </c>
      <c r="BX53">
        <v>1136.517185690569</v>
      </c>
      <c r="BY53">
        <v>1.3686500446139711</v>
      </c>
      <c r="BZ53">
        <v>-87.818082574645885</v>
      </c>
      <c r="CA53">
        <v>1.167676918625189</v>
      </c>
      <c r="CB53">
        <v>0.99507403958201579</v>
      </c>
      <c r="CC53">
        <v>-1.131805205784206E-2</v>
      </c>
      <c r="CD53">
        <v>289.99999999999989</v>
      </c>
      <c r="CE53">
        <v>1045.69</v>
      </c>
      <c r="CF53">
        <v>705</v>
      </c>
      <c r="CG53">
        <v>10396.1</v>
      </c>
      <c r="CH53">
        <v>1052.05</v>
      </c>
      <c r="CI53">
        <v>-6.36</v>
      </c>
      <c r="CW53">
        <f t="shared" si="88"/>
        <v>1800.12</v>
      </c>
      <c r="CX53">
        <f t="shared" si="89"/>
        <v>1513.2851993223055</v>
      </c>
      <c r="CY53">
        <f t="shared" si="90"/>
        <v>0.84065795575978575</v>
      </c>
      <c r="CZ53">
        <f t="shared" si="91"/>
        <v>0.19131591151957156</v>
      </c>
      <c r="DA53">
        <v>6</v>
      </c>
      <c r="DB53">
        <v>0.5</v>
      </c>
      <c r="DC53" t="s">
        <v>419</v>
      </c>
      <c r="DD53">
        <v>2</v>
      </c>
      <c r="DE53">
        <v>1693329824.5999999</v>
      </c>
      <c r="DF53">
        <v>346.71</v>
      </c>
      <c r="DG53">
        <v>400.00700000000001</v>
      </c>
      <c r="DH53">
        <v>28.936199999999999</v>
      </c>
      <c r="DI53">
        <v>22.437999999999999</v>
      </c>
      <c r="DJ53">
        <v>345.60599999999999</v>
      </c>
      <c r="DK53">
        <v>28.668299999999999</v>
      </c>
      <c r="DL53">
        <v>500.411</v>
      </c>
      <c r="DM53">
        <v>99.053799999999995</v>
      </c>
      <c r="DN53">
        <v>0.100053</v>
      </c>
      <c r="DO53">
        <v>30.570699999999999</v>
      </c>
      <c r="DP53">
        <v>30.003499999999999</v>
      </c>
      <c r="DQ53">
        <v>999.9</v>
      </c>
      <c r="DR53">
        <v>0</v>
      </c>
      <c r="DS53">
        <v>0</v>
      </c>
      <c r="DT53">
        <v>10012.5</v>
      </c>
      <c r="DU53">
        <v>0</v>
      </c>
      <c r="DV53">
        <v>1387.89</v>
      </c>
      <c r="DW53">
        <v>-53.296799999999998</v>
      </c>
      <c r="DX53">
        <v>357.04199999999997</v>
      </c>
      <c r="DY53">
        <v>409.18900000000002</v>
      </c>
      <c r="DZ53">
        <v>6.4982300000000004</v>
      </c>
      <c r="EA53">
        <v>400.00700000000001</v>
      </c>
      <c r="EB53">
        <v>22.437999999999999</v>
      </c>
      <c r="EC53">
        <v>2.8662399999999999</v>
      </c>
      <c r="ED53">
        <v>2.2225700000000002</v>
      </c>
      <c r="EE53">
        <v>23.270600000000002</v>
      </c>
      <c r="EF53">
        <v>19.125900000000001</v>
      </c>
      <c r="EG53">
        <v>1800.12</v>
      </c>
      <c r="EH53">
        <v>0.97800799999999999</v>
      </c>
      <c r="EI53">
        <v>2.1992399999999999E-2</v>
      </c>
      <c r="EJ53">
        <v>0</v>
      </c>
      <c r="EK53">
        <v>826.827</v>
      </c>
      <c r="EL53">
        <v>5.0010300000000001</v>
      </c>
      <c r="EM53">
        <v>15916.8</v>
      </c>
      <c r="EN53">
        <v>14702.1</v>
      </c>
      <c r="EO53">
        <v>49.436999999999998</v>
      </c>
      <c r="EP53">
        <v>51</v>
      </c>
      <c r="EQ53">
        <v>50.875</v>
      </c>
      <c r="ER53">
        <v>49.561999999999998</v>
      </c>
      <c r="ES53">
        <v>50.811999999999998</v>
      </c>
      <c r="ET53">
        <v>1755.64</v>
      </c>
      <c r="EU53">
        <v>39.479999999999997</v>
      </c>
      <c r="EV53">
        <v>0</v>
      </c>
      <c r="EW53">
        <v>147.19999980926511</v>
      </c>
      <c r="EX53">
        <v>0</v>
      </c>
      <c r="EY53">
        <v>826.00111538461545</v>
      </c>
      <c r="EZ53">
        <v>7.0619145400367289</v>
      </c>
      <c r="FA53">
        <v>101.8290590410849</v>
      </c>
      <c r="FB53">
        <v>15898.15</v>
      </c>
      <c r="FC53">
        <v>15</v>
      </c>
      <c r="FD53">
        <v>1693329751.5999999</v>
      </c>
      <c r="FE53" t="s">
        <v>608</v>
      </c>
      <c r="FF53">
        <v>1693329748.0999999</v>
      </c>
      <c r="FG53">
        <v>1693329751.5999999</v>
      </c>
      <c r="FH53">
        <v>41</v>
      </c>
      <c r="FI53">
        <v>-3.6999999999999998E-2</v>
      </c>
      <c r="FJ53">
        <v>-1E-3</v>
      </c>
      <c r="FK53">
        <v>1.149</v>
      </c>
      <c r="FL53">
        <v>0.112</v>
      </c>
      <c r="FM53">
        <v>400</v>
      </c>
      <c r="FN53">
        <v>22</v>
      </c>
      <c r="FO53">
        <v>0.12</v>
      </c>
      <c r="FP53">
        <v>0.04</v>
      </c>
      <c r="FQ53">
        <v>42.383938713321257</v>
      </c>
      <c r="FR53">
        <v>0.65176424086008766</v>
      </c>
      <c r="FS53">
        <v>0.1272115921342129</v>
      </c>
      <c r="FT53">
        <v>1</v>
      </c>
      <c r="FU53">
        <v>0.40896169221275502</v>
      </c>
      <c r="FV53">
        <v>4.3974974787091198E-2</v>
      </c>
      <c r="FW53">
        <v>3.7491343726522471E-3</v>
      </c>
      <c r="FX53">
        <v>1</v>
      </c>
      <c r="FY53">
        <v>2</v>
      </c>
      <c r="FZ53">
        <v>2</v>
      </c>
      <c r="GA53" t="s">
        <v>421</v>
      </c>
      <c r="GB53">
        <v>2.9008600000000002</v>
      </c>
      <c r="GC53">
        <v>2.8181699999999998</v>
      </c>
      <c r="GD53">
        <v>8.0628000000000005E-2</v>
      </c>
      <c r="GE53">
        <v>9.0353600000000006E-2</v>
      </c>
      <c r="GF53">
        <v>0.135023</v>
      </c>
      <c r="GG53">
        <v>0.113222</v>
      </c>
      <c r="GH53">
        <v>25501.1</v>
      </c>
      <c r="GI53">
        <v>25351</v>
      </c>
      <c r="GJ53">
        <v>24610.7</v>
      </c>
      <c r="GK53">
        <v>24889.9</v>
      </c>
      <c r="GL53">
        <v>28286.1</v>
      </c>
      <c r="GM53">
        <v>28886.9</v>
      </c>
      <c r="GN53">
        <v>33291.4</v>
      </c>
      <c r="GO53">
        <v>33270.9</v>
      </c>
      <c r="GP53">
        <v>1.9565999999999999</v>
      </c>
      <c r="GQ53">
        <v>1.7564</v>
      </c>
      <c r="GR53">
        <v>3.5285900000000002E-2</v>
      </c>
      <c r="GS53">
        <v>0</v>
      </c>
      <c r="GT53">
        <v>29.428999999999998</v>
      </c>
      <c r="GU53">
        <v>999.9</v>
      </c>
      <c r="GV53">
        <v>43.9</v>
      </c>
      <c r="GW53">
        <v>43.8</v>
      </c>
      <c r="GX53">
        <v>40.142600000000002</v>
      </c>
      <c r="GY53">
        <v>62.122999999999998</v>
      </c>
      <c r="GZ53">
        <v>27.784500000000001</v>
      </c>
      <c r="HA53">
        <v>1</v>
      </c>
      <c r="HB53">
        <v>0.48259099999999999</v>
      </c>
      <c r="HC53">
        <v>0.67448799999999998</v>
      </c>
      <c r="HD53">
        <v>20.1599</v>
      </c>
      <c r="HE53">
        <v>5.2304700000000004</v>
      </c>
      <c r="HF53">
        <v>11.9201</v>
      </c>
      <c r="HG53">
        <v>4.9610000000000003</v>
      </c>
      <c r="HH53">
        <v>3.2890000000000001</v>
      </c>
      <c r="HI53">
        <v>9999</v>
      </c>
      <c r="HJ53">
        <v>9999</v>
      </c>
      <c r="HK53">
        <v>9999</v>
      </c>
      <c r="HL53">
        <v>877.5</v>
      </c>
      <c r="HM53">
        <v>1.8810899999999999</v>
      </c>
      <c r="HN53">
        <v>1.87836</v>
      </c>
      <c r="HO53">
        <v>1.88629</v>
      </c>
      <c r="HP53">
        <v>1.88398</v>
      </c>
      <c r="HQ53">
        <v>1.8815599999999999</v>
      </c>
      <c r="HR53">
        <v>1.88052</v>
      </c>
      <c r="HS53">
        <v>1.88171</v>
      </c>
      <c r="HT53">
        <v>1.88127</v>
      </c>
      <c r="HU53">
        <v>5</v>
      </c>
      <c r="HV53">
        <v>0</v>
      </c>
      <c r="HW53">
        <v>0</v>
      </c>
      <c r="HX53">
        <v>0</v>
      </c>
      <c r="HY53" t="s">
        <v>422</v>
      </c>
      <c r="HZ53" t="s">
        <v>423</v>
      </c>
      <c r="IA53" t="s">
        <v>424</v>
      </c>
      <c r="IB53" t="s">
        <v>424</v>
      </c>
      <c r="IC53" t="s">
        <v>424</v>
      </c>
      <c r="ID53" t="s">
        <v>424</v>
      </c>
      <c r="IE53">
        <v>0</v>
      </c>
      <c r="IF53">
        <v>100</v>
      </c>
      <c r="IG53">
        <v>100</v>
      </c>
      <c r="IH53">
        <v>1.1040000000000001</v>
      </c>
      <c r="II53">
        <v>0.26790000000000003</v>
      </c>
      <c r="IJ53">
        <v>0.58124676644260642</v>
      </c>
      <c r="IK53">
        <v>2.2153513873161218E-3</v>
      </c>
      <c r="IL53">
        <v>-2.2967369670569612E-6</v>
      </c>
      <c r="IM53">
        <v>7.7859689150384122E-10</v>
      </c>
      <c r="IN53">
        <v>-0.12785541261609121</v>
      </c>
      <c r="IO53">
        <v>-4.1434251034592161E-3</v>
      </c>
      <c r="IP53">
        <v>8.3987709687394815E-4</v>
      </c>
      <c r="IQ53">
        <v>-7.4586254598011197E-6</v>
      </c>
      <c r="IR53">
        <v>2</v>
      </c>
      <c r="IS53">
        <v>1930</v>
      </c>
      <c r="IT53">
        <v>2</v>
      </c>
      <c r="IU53">
        <v>41</v>
      </c>
      <c r="IV53">
        <v>1.3</v>
      </c>
      <c r="IW53">
        <v>1.2</v>
      </c>
      <c r="IX53">
        <v>0.97656200000000004</v>
      </c>
      <c r="IY53">
        <v>2.5512700000000001</v>
      </c>
      <c r="IZ53">
        <v>1.24512</v>
      </c>
      <c r="JA53">
        <v>2.2595200000000002</v>
      </c>
      <c r="JB53">
        <v>1.4501999999999999</v>
      </c>
      <c r="JC53">
        <v>2.4108900000000002</v>
      </c>
      <c r="JD53">
        <v>49.706200000000003</v>
      </c>
      <c r="JE53">
        <v>24.105</v>
      </c>
      <c r="JF53">
        <v>18</v>
      </c>
      <c r="JG53">
        <v>496.89699999999999</v>
      </c>
      <c r="JH53">
        <v>411.76799999999997</v>
      </c>
      <c r="JI53">
        <v>26.460100000000001</v>
      </c>
      <c r="JJ53">
        <v>33.341299999999997</v>
      </c>
      <c r="JK53">
        <v>29.999600000000001</v>
      </c>
      <c r="JL53">
        <v>33.2117</v>
      </c>
      <c r="JM53">
        <v>33.166499999999999</v>
      </c>
      <c r="JN53">
        <v>19.651599999999998</v>
      </c>
      <c r="JO53">
        <v>47.963500000000003</v>
      </c>
      <c r="JP53">
        <v>0</v>
      </c>
      <c r="JQ53">
        <v>26.735099999999999</v>
      </c>
      <c r="JR53">
        <v>400</v>
      </c>
      <c r="JS53">
        <v>22.4726</v>
      </c>
      <c r="JT53">
        <v>99.349900000000005</v>
      </c>
      <c r="JU53">
        <v>99.2637</v>
      </c>
    </row>
    <row r="54" spans="1:281" x14ac:dyDescent="0.25">
      <c r="A54">
        <v>38</v>
      </c>
      <c r="B54">
        <v>1693329935.0999999</v>
      </c>
      <c r="C54">
        <v>7222</v>
      </c>
      <c r="D54" t="s">
        <v>609</v>
      </c>
      <c r="E54" t="s">
        <v>610</v>
      </c>
      <c r="F54" t="s">
        <v>413</v>
      </c>
      <c r="G54" t="s">
        <v>564</v>
      </c>
      <c r="H54" t="s">
        <v>565</v>
      </c>
      <c r="I54" t="s">
        <v>415</v>
      </c>
      <c r="J54">
        <v>1693329935.0999999</v>
      </c>
      <c r="K54">
        <f t="shared" si="46"/>
        <v>5.6066291092943584E-3</v>
      </c>
      <c r="L54">
        <f t="shared" si="47"/>
        <v>5.6066291092943583</v>
      </c>
      <c r="M54">
        <f t="shared" si="48"/>
        <v>45.563866253555275</v>
      </c>
      <c r="N54">
        <f t="shared" si="49"/>
        <v>442.30700000000002</v>
      </c>
      <c r="O54">
        <f t="shared" si="50"/>
        <v>246.78460391339044</v>
      </c>
      <c r="P54">
        <f t="shared" si="51"/>
        <v>24.470329339116628</v>
      </c>
      <c r="Q54">
        <f t="shared" si="52"/>
        <v>43.857670970410908</v>
      </c>
      <c r="R54">
        <f t="shared" si="53"/>
        <v>0.41485414334619292</v>
      </c>
      <c r="S54">
        <f t="shared" si="54"/>
        <v>2.9138231780116404</v>
      </c>
      <c r="T54">
        <f t="shared" si="55"/>
        <v>0.38461343897862926</v>
      </c>
      <c r="U54">
        <f t="shared" si="56"/>
        <v>0.24291645216567403</v>
      </c>
      <c r="V54">
        <f t="shared" si="57"/>
        <v>344.34409864442284</v>
      </c>
      <c r="W54">
        <f t="shared" si="58"/>
        <v>31.124022329595608</v>
      </c>
      <c r="X54">
        <f t="shared" si="59"/>
        <v>30.015499999999999</v>
      </c>
      <c r="Y54">
        <f t="shared" si="60"/>
        <v>4.2642443538047123</v>
      </c>
      <c r="Z54">
        <f t="shared" si="61"/>
        <v>65.29157263129548</v>
      </c>
      <c r="AA54">
        <f t="shared" si="62"/>
        <v>2.8708124611110106</v>
      </c>
      <c r="AB54">
        <f t="shared" si="63"/>
        <v>4.396911186873413</v>
      </c>
      <c r="AC54">
        <f t="shared" si="64"/>
        <v>1.3934318926937017</v>
      </c>
      <c r="AD54">
        <f t="shared" si="65"/>
        <v>-247.2523437198812</v>
      </c>
      <c r="AE54">
        <f t="shared" si="66"/>
        <v>83.964623799949237</v>
      </c>
      <c r="AF54">
        <f t="shared" si="67"/>
        <v>6.4252173894691422</v>
      </c>
      <c r="AG54">
        <f t="shared" si="68"/>
        <v>187.48159611396002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51790.642051909483</v>
      </c>
      <c r="AM54" t="s">
        <v>416</v>
      </c>
      <c r="AN54">
        <v>10366.9</v>
      </c>
      <c r="AO54">
        <v>993.59653846153856</v>
      </c>
      <c r="AP54">
        <v>3431.87</v>
      </c>
      <c r="AQ54">
        <f t="shared" si="72"/>
        <v>0.71047955241266758</v>
      </c>
      <c r="AR54">
        <v>-3.9894345373445681</v>
      </c>
      <c r="AS54" t="s">
        <v>611</v>
      </c>
      <c r="AT54">
        <v>10425.1</v>
      </c>
      <c r="AU54">
        <v>843.38423076923084</v>
      </c>
      <c r="AV54">
        <v>1191.311013691266</v>
      </c>
      <c r="AW54">
        <f t="shared" si="73"/>
        <v>0.29205369456292296</v>
      </c>
      <c r="AX54">
        <v>0.5</v>
      </c>
      <c r="AY54">
        <f t="shared" si="74"/>
        <v>1513.0751993222113</v>
      </c>
      <c r="AZ54">
        <f t="shared" si="75"/>
        <v>45.563866253555275</v>
      </c>
      <c r="BA54">
        <f t="shared" si="76"/>
        <v>220.94960105679144</v>
      </c>
      <c r="BB54">
        <f t="shared" si="77"/>
        <v>3.2750058168356376E-2</v>
      </c>
      <c r="BC54">
        <f t="shared" si="78"/>
        <v>1.880750669270137</v>
      </c>
      <c r="BD54">
        <f t="shared" si="79"/>
        <v>643.30617671846915</v>
      </c>
      <c r="BE54" t="s">
        <v>612</v>
      </c>
      <c r="BF54">
        <v>634.29999999999995</v>
      </c>
      <c r="BG54">
        <f t="shared" si="80"/>
        <v>634.29999999999995</v>
      </c>
      <c r="BH54">
        <f t="shared" si="81"/>
        <v>0.46756137338592429</v>
      </c>
      <c r="BI54">
        <f t="shared" si="82"/>
        <v>0.6246317835195988</v>
      </c>
      <c r="BJ54">
        <f t="shared" si="83"/>
        <v>0.80089470015360975</v>
      </c>
      <c r="BK54">
        <f t="shared" si="84"/>
        <v>1.7597436025752478</v>
      </c>
      <c r="BL54">
        <f t="shared" si="85"/>
        <v>0.91891209975070764</v>
      </c>
      <c r="BM54">
        <f t="shared" si="86"/>
        <v>0.469778691409861</v>
      </c>
      <c r="BN54">
        <f t="shared" si="87"/>
        <v>0.53022130859013905</v>
      </c>
      <c r="BO54">
        <v>7622</v>
      </c>
      <c r="BP54">
        <v>290.00000000000011</v>
      </c>
      <c r="BQ54">
        <v>1100.92</v>
      </c>
      <c r="BR54">
        <v>165</v>
      </c>
      <c r="BS54">
        <v>10425.1</v>
      </c>
      <c r="BT54">
        <v>1096.44</v>
      </c>
      <c r="BU54">
        <v>4.4800000000000004</v>
      </c>
      <c r="BV54">
        <v>300.00000000000011</v>
      </c>
      <c r="BW54">
        <v>38.200000000000003</v>
      </c>
      <c r="BX54">
        <v>1191.311013691266</v>
      </c>
      <c r="BY54">
        <v>1.5584992231057571</v>
      </c>
      <c r="BZ54">
        <v>-98.900391045088497</v>
      </c>
      <c r="CA54">
        <v>1.329739909660695</v>
      </c>
      <c r="CB54">
        <v>0.99496380309114374</v>
      </c>
      <c r="CC54">
        <v>-1.131863403781979E-2</v>
      </c>
      <c r="CD54">
        <v>289.99999999999989</v>
      </c>
      <c r="CE54">
        <v>1088.26</v>
      </c>
      <c r="CF54">
        <v>645</v>
      </c>
      <c r="CG54">
        <v>10401.700000000001</v>
      </c>
      <c r="CH54">
        <v>1096.23</v>
      </c>
      <c r="CI54">
        <v>-7.97</v>
      </c>
      <c r="CW54">
        <f t="shared" si="88"/>
        <v>1799.87</v>
      </c>
      <c r="CX54">
        <f t="shared" si="89"/>
        <v>1513.0751993222113</v>
      </c>
      <c r="CY54">
        <f t="shared" si="90"/>
        <v>0.84065804714907821</v>
      </c>
      <c r="CZ54">
        <f t="shared" si="91"/>
        <v>0.19131609429815646</v>
      </c>
      <c r="DA54">
        <v>6</v>
      </c>
      <c r="DB54">
        <v>0.5</v>
      </c>
      <c r="DC54" t="s">
        <v>419</v>
      </c>
      <c r="DD54">
        <v>2</v>
      </c>
      <c r="DE54">
        <v>1693329935.0999999</v>
      </c>
      <c r="DF54">
        <v>442.30700000000002</v>
      </c>
      <c r="DG54">
        <v>499.928</v>
      </c>
      <c r="DH54">
        <v>28.952300000000001</v>
      </c>
      <c r="DI54">
        <v>22.422699999999999</v>
      </c>
      <c r="DJ54">
        <v>441.12400000000002</v>
      </c>
      <c r="DK54">
        <v>28.686599999999999</v>
      </c>
      <c r="DL54">
        <v>500.27300000000002</v>
      </c>
      <c r="DM54">
        <v>99.056700000000006</v>
      </c>
      <c r="DN54">
        <v>9.9928699999999995E-2</v>
      </c>
      <c r="DO54">
        <v>30.55</v>
      </c>
      <c r="DP54">
        <v>30.015499999999999</v>
      </c>
      <c r="DQ54">
        <v>999.9</v>
      </c>
      <c r="DR54">
        <v>0</v>
      </c>
      <c r="DS54">
        <v>0</v>
      </c>
      <c r="DT54">
        <v>10005</v>
      </c>
      <c r="DU54">
        <v>0</v>
      </c>
      <c r="DV54">
        <v>1380.4</v>
      </c>
      <c r="DW54">
        <v>-57.6205</v>
      </c>
      <c r="DX54">
        <v>455.495</v>
      </c>
      <c r="DY54">
        <v>511.39400000000001</v>
      </c>
      <c r="DZ54">
        <v>6.5296900000000004</v>
      </c>
      <c r="EA54">
        <v>499.928</v>
      </c>
      <c r="EB54">
        <v>22.422699999999999</v>
      </c>
      <c r="EC54">
        <v>2.8679199999999998</v>
      </c>
      <c r="ED54">
        <v>2.2211099999999999</v>
      </c>
      <c r="EE54">
        <v>23.2803</v>
      </c>
      <c r="EF54">
        <v>19.115400000000001</v>
      </c>
      <c r="EG54">
        <v>1799.87</v>
      </c>
      <c r="EH54">
        <v>0.97800399999999998</v>
      </c>
      <c r="EI54">
        <v>2.1996100000000001E-2</v>
      </c>
      <c r="EJ54">
        <v>0</v>
      </c>
      <c r="EK54">
        <v>843.33900000000006</v>
      </c>
      <c r="EL54">
        <v>5.0010300000000001</v>
      </c>
      <c r="EM54">
        <v>16253.1</v>
      </c>
      <c r="EN54">
        <v>14700.1</v>
      </c>
      <c r="EO54">
        <v>49.311999999999998</v>
      </c>
      <c r="EP54">
        <v>50.875</v>
      </c>
      <c r="EQ54">
        <v>50.811999999999998</v>
      </c>
      <c r="ER54">
        <v>49.561999999999998</v>
      </c>
      <c r="ES54">
        <v>50.686999999999998</v>
      </c>
      <c r="ET54">
        <v>1755.39</v>
      </c>
      <c r="EU54">
        <v>39.479999999999997</v>
      </c>
      <c r="EV54">
        <v>0</v>
      </c>
      <c r="EW54">
        <v>108.5999999046326</v>
      </c>
      <c r="EX54">
        <v>0</v>
      </c>
      <c r="EY54">
        <v>843.38423076923084</v>
      </c>
      <c r="EZ54">
        <v>1.0234529962761301</v>
      </c>
      <c r="FA54">
        <v>108.24273452261301</v>
      </c>
      <c r="FB54">
        <v>16216.41923076923</v>
      </c>
      <c r="FC54">
        <v>15</v>
      </c>
      <c r="FD54">
        <v>1693329907.5999999</v>
      </c>
      <c r="FE54" t="s">
        <v>613</v>
      </c>
      <c r="FF54">
        <v>1693329907.5999999</v>
      </c>
      <c r="FG54">
        <v>1693329904.5999999</v>
      </c>
      <c r="FH54">
        <v>42</v>
      </c>
      <c r="FI54">
        <v>5.0000000000000001E-3</v>
      </c>
      <c r="FJ54">
        <v>-3.0000000000000001E-3</v>
      </c>
      <c r="FK54">
        <v>1.2170000000000001</v>
      </c>
      <c r="FL54">
        <v>0.11</v>
      </c>
      <c r="FM54">
        <v>500</v>
      </c>
      <c r="FN54">
        <v>22</v>
      </c>
      <c r="FO54">
        <v>0.17</v>
      </c>
      <c r="FP54">
        <v>0.04</v>
      </c>
      <c r="FQ54">
        <v>45.595244449979837</v>
      </c>
      <c r="FR54">
        <v>-0.65264031991783278</v>
      </c>
      <c r="FS54">
        <v>0.1758987046274057</v>
      </c>
      <c r="FT54">
        <v>1</v>
      </c>
      <c r="FU54">
        <v>0.41793017488967149</v>
      </c>
      <c r="FV54">
        <v>-1.420498369984393E-2</v>
      </c>
      <c r="FW54">
        <v>4.211082022297973E-3</v>
      </c>
      <c r="FX54">
        <v>1</v>
      </c>
      <c r="FY54">
        <v>2</v>
      </c>
      <c r="FZ54">
        <v>2</v>
      </c>
      <c r="GA54" t="s">
        <v>421</v>
      </c>
      <c r="GB54">
        <v>2.9005000000000001</v>
      </c>
      <c r="GC54">
        <v>2.8179799999999999</v>
      </c>
      <c r="GD54">
        <v>9.7335699999999997E-2</v>
      </c>
      <c r="GE54">
        <v>0.106762</v>
      </c>
      <c r="GF54">
        <v>0.13508400000000001</v>
      </c>
      <c r="GG54">
        <v>0.11317099999999999</v>
      </c>
      <c r="GH54">
        <v>25037.200000000001</v>
      </c>
      <c r="GI54">
        <v>24893.200000000001</v>
      </c>
      <c r="GJ54">
        <v>24609.9</v>
      </c>
      <c r="GK54">
        <v>24889.200000000001</v>
      </c>
      <c r="GL54">
        <v>28283</v>
      </c>
      <c r="GM54">
        <v>28887.200000000001</v>
      </c>
      <c r="GN54">
        <v>33290.199999999997</v>
      </c>
      <c r="GO54">
        <v>33269.300000000003</v>
      </c>
      <c r="GP54">
        <v>1.9567000000000001</v>
      </c>
      <c r="GQ54">
        <v>1.7535000000000001</v>
      </c>
      <c r="GR54">
        <v>3.7729699999999998E-2</v>
      </c>
      <c r="GS54">
        <v>0</v>
      </c>
      <c r="GT54">
        <v>29.401199999999999</v>
      </c>
      <c r="GU54">
        <v>999.9</v>
      </c>
      <c r="GV54">
        <v>43.5</v>
      </c>
      <c r="GW54">
        <v>44.1</v>
      </c>
      <c r="GX54">
        <v>40.400500000000001</v>
      </c>
      <c r="GY54">
        <v>62.273000000000003</v>
      </c>
      <c r="GZ54">
        <v>28.040900000000001</v>
      </c>
      <c r="HA54">
        <v>1</v>
      </c>
      <c r="HB54">
        <v>0.48161599999999999</v>
      </c>
      <c r="HC54">
        <v>1.9075899999999999</v>
      </c>
      <c r="HD54">
        <v>20.150300000000001</v>
      </c>
      <c r="HE54">
        <v>5.2340600000000004</v>
      </c>
      <c r="HF54">
        <v>11.9201</v>
      </c>
      <c r="HG54">
        <v>4.9611999999999998</v>
      </c>
      <c r="HH54">
        <v>3.2890000000000001</v>
      </c>
      <c r="HI54">
        <v>9999</v>
      </c>
      <c r="HJ54">
        <v>9999</v>
      </c>
      <c r="HK54">
        <v>9999</v>
      </c>
      <c r="HL54">
        <v>877.6</v>
      </c>
      <c r="HM54">
        <v>1.8810899999999999</v>
      </c>
      <c r="HN54">
        <v>1.87836</v>
      </c>
      <c r="HO54">
        <v>1.88629</v>
      </c>
      <c r="HP54">
        <v>1.8839999999999999</v>
      </c>
      <c r="HQ54">
        <v>1.88157</v>
      </c>
      <c r="HR54">
        <v>1.88049</v>
      </c>
      <c r="HS54">
        <v>1.88171</v>
      </c>
      <c r="HT54">
        <v>1.88127</v>
      </c>
      <c r="HU54">
        <v>5</v>
      </c>
      <c r="HV54">
        <v>0</v>
      </c>
      <c r="HW54">
        <v>0</v>
      </c>
      <c r="HX54">
        <v>0</v>
      </c>
      <c r="HY54" t="s">
        <v>422</v>
      </c>
      <c r="HZ54" t="s">
        <v>423</v>
      </c>
      <c r="IA54" t="s">
        <v>424</v>
      </c>
      <c r="IB54" t="s">
        <v>424</v>
      </c>
      <c r="IC54" t="s">
        <v>424</v>
      </c>
      <c r="ID54" t="s">
        <v>424</v>
      </c>
      <c r="IE54">
        <v>0</v>
      </c>
      <c r="IF54">
        <v>100</v>
      </c>
      <c r="IG54">
        <v>100</v>
      </c>
      <c r="IH54">
        <v>1.1830000000000001</v>
      </c>
      <c r="II54">
        <v>0.26569999999999999</v>
      </c>
      <c r="IJ54">
        <v>0.58641835806889397</v>
      </c>
      <c r="IK54">
        <v>2.2153513873161218E-3</v>
      </c>
      <c r="IL54">
        <v>-2.2967369670569612E-6</v>
      </c>
      <c r="IM54">
        <v>7.7859689150384122E-10</v>
      </c>
      <c r="IN54">
        <v>-0.13047984143758579</v>
      </c>
      <c r="IO54">
        <v>-4.1434251034592161E-3</v>
      </c>
      <c r="IP54">
        <v>8.3987709687394815E-4</v>
      </c>
      <c r="IQ54">
        <v>-7.4586254598011197E-6</v>
      </c>
      <c r="IR54">
        <v>2</v>
      </c>
      <c r="IS54">
        <v>1930</v>
      </c>
      <c r="IT54">
        <v>2</v>
      </c>
      <c r="IU54">
        <v>41</v>
      </c>
      <c r="IV54">
        <v>0.5</v>
      </c>
      <c r="IW54">
        <v>0.5</v>
      </c>
      <c r="IX54">
        <v>1.16821</v>
      </c>
      <c r="IY54">
        <v>2.5512700000000001</v>
      </c>
      <c r="IZ54">
        <v>1.24512</v>
      </c>
      <c r="JA54">
        <v>2.2595200000000002</v>
      </c>
      <c r="JB54">
        <v>1.4501999999999999</v>
      </c>
      <c r="JC54">
        <v>2.34497</v>
      </c>
      <c r="JD54">
        <v>49.897599999999997</v>
      </c>
      <c r="JE54">
        <v>24.096299999999999</v>
      </c>
      <c r="JF54">
        <v>18</v>
      </c>
      <c r="JG54">
        <v>497.01400000000001</v>
      </c>
      <c r="JH54">
        <v>409.95600000000002</v>
      </c>
      <c r="JI54">
        <v>26.7456</v>
      </c>
      <c r="JJ54">
        <v>33.335299999999997</v>
      </c>
      <c r="JK54">
        <v>29.9998</v>
      </c>
      <c r="JL54">
        <v>33.217700000000001</v>
      </c>
      <c r="JM54">
        <v>33.169499999999999</v>
      </c>
      <c r="JN54">
        <v>23.492699999999999</v>
      </c>
      <c r="JO54">
        <v>48.349400000000003</v>
      </c>
      <c r="JP54">
        <v>0</v>
      </c>
      <c r="JQ54">
        <v>26.743099999999998</v>
      </c>
      <c r="JR54">
        <v>500</v>
      </c>
      <c r="JS54">
        <v>22.3629</v>
      </c>
      <c r="JT54">
        <v>99.346500000000006</v>
      </c>
      <c r="JU54">
        <v>99.259699999999995</v>
      </c>
    </row>
    <row r="55" spans="1:281" x14ac:dyDescent="0.25">
      <c r="A55">
        <v>39</v>
      </c>
      <c r="B55">
        <v>1693330084.0999999</v>
      </c>
      <c r="C55">
        <v>7371</v>
      </c>
      <c r="D55" t="s">
        <v>614</v>
      </c>
      <c r="E55" t="s">
        <v>615</v>
      </c>
      <c r="F55" t="s">
        <v>413</v>
      </c>
      <c r="G55" t="s">
        <v>564</v>
      </c>
      <c r="H55" t="s">
        <v>565</v>
      </c>
      <c r="I55" t="s">
        <v>415</v>
      </c>
      <c r="J55">
        <v>1693330084.0999999</v>
      </c>
      <c r="K55">
        <f t="shared" si="46"/>
        <v>5.4793671509165169E-3</v>
      </c>
      <c r="L55">
        <f t="shared" si="47"/>
        <v>5.4793671509165165</v>
      </c>
      <c r="M55">
        <f t="shared" si="48"/>
        <v>46.738216106679396</v>
      </c>
      <c r="N55">
        <f t="shared" si="49"/>
        <v>639.726</v>
      </c>
      <c r="O55">
        <f t="shared" si="50"/>
        <v>428.85651037336777</v>
      </c>
      <c r="P55">
        <f t="shared" si="51"/>
        <v>42.523770763614458</v>
      </c>
      <c r="Q55">
        <f t="shared" si="52"/>
        <v>63.432782568323994</v>
      </c>
      <c r="R55">
        <f t="shared" si="53"/>
        <v>0.40140711097811954</v>
      </c>
      <c r="S55">
        <f t="shared" si="54"/>
        <v>2.9151199137384047</v>
      </c>
      <c r="T55">
        <f t="shared" si="55"/>
        <v>0.37303486386660351</v>
      </c>
      <c r="U55">
        <f t="shared" si="56"/>
        <v>0.23552859234074136</v>
      </c>
      <c r="V55">
        <f t="shared" si="57"/>
        <v>344.38969864460358</v>
      </c>
      <c r="W55">
        <f t="shared" si="58"/>
        <v>31.112740522459259</v>
      </c>
      <c r="X55">
        <f t="shared" si="59"/>
        <v>30.022600000000001</v>
      </c>
      <c r="Y55">
        <f t="shared" si="60"/>
        <v>4.2659835002414042</v>
      </c>
      <c r="Z55">
        <f t="shared" si="61"/>
        <v>65.254018760651988</v>
      </c>
      <c r="AA55">
        <f t="shared" si="62"/>
        <v>2.8618653252228001</v>
      </c>
      <c r="AB55">
        <f t="shared" si="63"/>
        <v>4.3857303804076171</v>
      </c>
      <c r="AC55">
        <f t="shared" si="64"/>
        <v>1.404118175018604</v>
      </c>
      <c r="AD55">
        <f t="shared" si="65"/>
        <v>-241.64009135541841</v>
      </c>
      <c r="AE55">
        <f t="shared" si="66"/>
        <v>75.89253733883271</v>
      </c>
      <c r="AF55">
        <f t="shared" si="67"/>
        <v>5.8038599414462766</v>
      </c>
      <c r="AG55">
        <f t="shared" si="68"/>
        <v>184.44600456946415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51835.050422974979</v>
      </c>
      <c r="AM55" t="s">
        <v>416</v>
      </c>
      <c r="AN55">
        <v>10366.9</v>
      </c>
      <c r="AO55">
        <v>993.59653846153856</v>
      </c>
      <c r="AP55">
        <v>3431.87</v>
      </c>
      <c r="AQ55">
        <f t="shared" si="72"/>
        <v>0.71047955241266758</v>
      </c>
      <c r="AR55">
        <v>-3.9894345373445681</v>
      </c>
      <c r="AS55" t="s">
        <v>616</v>
      </c>
      <c r="AT55">
        <v>10420.299999999999</v>
      </c>
      <c r="AU55">
        <v>845.64788461538467</v>
      </c>
      <c r="AV55">
        <v>1208.789410156618</v>
      </c>
      <c r="AW55">
        <f t="shared" si="73"/>
        <v>0.30041752723014226</v>
      </c>
      <c r="AX55">
        <v>0.5</v>
      </c>
      <c r="AY55">
        <f t="shared" si="74"/>
        <v>1513.2767993223017</v>
      </c>
      <c r="AZ55">
        <f t="shared" si="75"/>
        <v>46.738216106679396</v>
      </c>
      <c r="BA55">
        <f t="shared" si="76"/>
        <v>227.30743703357504</v>
      </c>
      <c r="BB55">
        <f t="shared" si="77"/>
        <v>3.3521726274229266E-2</v>
      </c>
      <c r="BC55">
        <f t="shared" si="78"/>
        <v>1.8390966790115626</v>
      </c>
      <c r="BD55">
        <f t="shared" si="79"/>
        <v>648.36868251542694</v>
      </c>
      <c r="BE55" t="s">
        <v>617</v>
      </c>
      <c r="BF55">
        <v>637.73</v>
      </c>
      <c r="BG55">
        <f t="shared" si="80"/>
        <v>637.73</v>
      </c>
      <c r="BH55">
        <f t="shared" si="81"/>
        <v>0.47242257862155501</v>
      </c>
      <c r="BI55">
        <f t="shared" si="82"/>
        <v>0.63590848707254233</v>
      </c>
      <c r="BJ55">
        <f t="shared" si="83"/>
        <v>0.79562247770096772</v>
      </c>
      <c r="BK55">
        <f t="shared" si="84"/>
        <v>1.6875165179996845</v>
      </c>
      <c r="BL55">
        <f t="shared" si="85"/>
        <v>0.91174375020294041</v>
      </c>
      <c r="BM55">
        <f t="shared" si="86"/>
        <v>0.47955884102426172</v>
      </c>
      <c r="BN55">
        <f t="shared" si="87"/>
        <v>0.52044115897573828</v>
      </c>
      <c r="BO55">
        <v>7624</v>
      </c>
      <c r="BP55">
        <v>290.00000000000011</v>
      </c>
      <c r="BQ55">
        <v>1114.47</v>
      </c>
      <c r="BR55">
        <v>195</v>
      </c>
      <c r="BS55">
        <v>10420.299999999999</v>
      </c>
      <c r="BT55">
        <v>1109.9000000000001</v>
      </c>
      <c r="BU55">
        <v>4.57</v>
      </c>
      <c r="BV55">
        <v>300.00000000000011</v>
      </c>
      <c r="BW55">
        <v>38.200000000000003</v>
      </c>
      <c r="BX55">
        <v>1208.789410156618</v>
      </c>
      <c r="BY55">
        <v>1.7790784950210821</v>
      </c>
      <c r="BZ55">
        <v>-103.0455804806452</v>
      </c>
      <c r="CA55">
        <v>1.517907297099284</v>
      </c>
      <c r="CB55">
        <v>0.99396108149719142</v>
      </c>
      <c r="CC55">
        <v>-1.131883337041157E-2</v>
      </c>
      <c r="CD55">
        <v>289.99999999999989</v>
      </c>
      <c r="CE55">
        <v>1099.25</v>
      </c>
      <c r="CF55">
        <v>625</v>
      </c>
      <c r="CG55">
        <v>10403.4</v>
      </c>
      <c r="CH55">
        <v>1109.74</v>
      </c>
      <c r="CI55">
        <v>-10.49</v>
      </c>
      <c r="CW55">
        <f t="shared" si="88"/>
        <v>1800.11</v>
      </c>
      <c r="CX55">
        <f t="shared" si="89"/>
        <v>1513.2767993223017</v>
      </c>
      <c r="CY55">
        <f t="shared" si="90"/>
        <v>0.84065795941487009</v>
      </c>
      <c r="CZ55">
        <f t="shared" si="91"/>
        <v>0.19131591882974019</v>
      </c>
      <c r="DA55">
        <v>6</v>
      </c>
      <c r="DB55">
        <v>0.5</v>
      </c>
      <c r="DC55" t="s">
        <v>419</v>
      </c>
      <c r="DD55">
        <v>2</v>
      </c>
      <c r="DE55">
        <v>1693330084.0999999</v>
      </c>
      <c r="DF55">
        <v>639.726</v>
      </c>
      <c r="DG55">
        <v>699.97699999999998</v>
      </c>
      <c r="DH55">
        <v>28.862200000000001</v>
      </c>
      <c r="DI55">
        <v>22.481100000000001</v>
      </c>
      <c r="DJ55">
        <v>638.37599999999998</v>
      </c>
      <c r="DK55">
        <v>28.595500000000001</v>
      </c>
      <c r="DL55">
        <v>500.34199999999998</v>
      </c>
      <c r="DM55">
        <v>99.055899999999994</v>
      </c>
      <c r="DN55">
        <v>0.100274</v>
      </c>
      <c r="DO55">
        <v>30.505500000000001</v>
      </c>
      <c r="DP55">
        <v>30.022600000000001</v>
      </c>
      <c r="DQ55">
        <v>999.9</v>
      </c>
      <c r="DR55">
        <v>0</v>
      </c>
      <c r="DS55">
        <v>0</v>
      </c>
      <c r="DT55">
        <v>10012.5</v>
      </c>
      <c r="DU55">
        <v>0</v>
      </c>
      <c r="DV55">
        <v>1406.69</v>
      </c>
      <c r="DW55">
        <v>-60.251300000000001</v>
      </c>
      <c r="DX55">
        <v>658.73800000000006</v>
      </c>
      <c r="DY55">
        <v>716.07500000000005</v>
      </c>
      <c r="DZ55">
        <v>6.3810700000000002</v>
      </c>
      <c r="EA55">
        <v>699.97699999999998</v>
      </c>
      <c r="EB55">
        <v>22.481100000000001</v>
      </c>
      <c r="EC55">
        <v>2.8589699999999998</v>
      </c>
      <c r="ED55">
        <v>2.22688</v>
      </c>
      <c r="EE55">
        <v>23.2286</v>
      </c>
      <c r="EF55">
        <v>19.157</v>
      </c>
      <c r="EG55">
        <v>1800.11</v>
      </c>
      <c r="EH55">
        <v>0.97800799999999999</v>
      </c>
      <c r="EI55">
        <v>2.1992399999999999E-2</v>
      </c>
      <c r="EJ55">
        <v>0</v>
      </c>
      <c r="EK55">
        <v>845.65599999999995</v>
      </c>
      <c r="EL55">
        <v>5.0010300000000001</v>
      </c>
      <c r="EM55">
        <v>16280.5</v>
      </c>
      <c r="EN55">
        <v>14702</v>
      </c>
      <c r="EO55">
        <v>49.311999999999998</v>
      </c>
      <c r="EP55">
        <v>50.875</v>
      </c>
      <c r="EQ55">
        <v>50.811999999999998</v>
      </c>
      <c r="ER55">
        <v>49.5</v>
      </c>
      <c r="ES55">
        <v>50.686999999999998</v>
      </c>
      <c r="ET55">
        <v>1755.63</v>
      </c>
      <c r="EU55">
        <v>39.479999999999997</v>
      </c>
      <c r="EV55">
        <v>0</v>
      </c>
      <c r="EW55">
        <v>147.19999980926511</v>
      </c>
      <c r="EX55">
        <v>0</v>
      </c>
      <c r="EY55">
        <v>845.64788461538467</v>
      </c>
      <c r="EZ55">
        <v>-1.4900170787286049</v>
      </c>
      <c r="FA55">
        <v>-10.0512819424141</v>
      </c>
      <c r="FB55">
        <v>16292.469230769229</v>
      </c>
      <c r="FC55">
        <v>15</v>
      </c>
      <c r="FD55">
        <v>1693330007.0999999</v>
      </c>
      <c r="FE55" t="s">
        <v>618</v>
      </c>
      <c r="FF55">
        <v>1693329999.0999999</v>
      </c>
      <c r="FG55">
        <v>1693330007.0999999</v>
      </c>
      <c r="FH55">
        <v>43</v>
      </c>
      <c r="FI55">
        <v>8.3000000000000004E-2</v>
      </c>
      <c r="FJ55">
        <v>3.0000000000000001E-3</v>
      </c>
      <c r="FK55">
        <v>1.361</v>
      </c>
      <c r="FL55">
        <v>0.115</v>
      </c>
      <c r="FM55">
        <v>700</v>
      </c>
      <c r="FN55">
        <v>22</v>
      </c>
      <c r="FO55">
        <v>0.08</v>
      </c>
      <c r="FP55">
        <v>0.05</v>
      </c>
      <c r="FQ55">
        <v>46.75616182195575</v>
      </c>
      <c r="FR55">
        <v>0.36813874611177189</v>
      </c>
      <c r="FS55">
        <v>0.19901552951599041</v>
      </c>
      <c r="FT55">
        <v>1</v>
      </c>
      <c r="FU55">
        <v>0.40097901277857168</v>
      </c>
      <c r="FV55">
        <v>2.8952060896114729E-2</v>
      </c>
      <c r="FW55">
        <v>2.9219466857205701E-3</v>
      </c>
      <c r="FX55">
        <v>1</v>
      </c>
      <c r="FY55">
        <v>2</v>
      </c>
      <c r="FZ55">
        <v>2</v>
      </c>
      <c r="GA55" t="s">
        <v>421</v>
      </c>
      <c r="GB55">
        <v>2.9006400000000001</v>
      </c>
      <c r="GC55">
        <v>2.81839</v>
      </c>
      <c r="GD55">
        <v>0.12707299999999999</v>
      </c>
      <c r="GE55">
        <v>0.13533100000000001</v>
      </c>
      <c r="GF55">
        <v>0.13478699999999999</v>
      </c>
      <c r="GG55">
        <v>0.113371</v>
      </c>
      <c r="GH55">
        <v>24211.9</v>
      </c>
      <c r="GI55">
        <v>24096.2</v>
      </c>
      <c r="GJ55">
        <v>24609.599999999999</v>
      </c>
      <c r="GK55">
        <v>24888.5</v>
      </c>
      <c r="GL55">
        <v>28292.2</v>
      </c>
      <c r="GM55">
        <v>28879.3</v>
      </c>
      <c r="GN55">
        <v>33289.5</v>
      </c>
      <c r="GO55">
        <v>33267.699999999997</v>
      </c>
      <c r="GP55">
        <v>1.9567000000000001</v>
      </c>
      <c r="GQ55">
        <v>1.7511000000000001</v>
      </c>
      <c r="GR55">
        <v>3.6299199999999997E-2</v>
      </c>
      <c r="GS55">
        <v>0</v>
      </c>
      <c r="GT55">
        <v>29.4316</v>
      </c>
      <c r="GU55">
        <v>999.9</v>
      </c>
      <c r="GV55">
        <v>42.9</v>
      </c>
      <c r="GW55">
        <v>44.6</v>
      </c>
      <c r="GX55">
        <v>40.888300000000001</v>
      </c>
      <c r="GY55">
        <v>62.133000000000003</v>
      </c>
      <c r="GZ55">
        <v>26.6386</v>
      </c>
      <c r="HA55">
        <v>1</v>
      </c>
      <c r="HB55">
        <v>0.48289599999999999</v>
      </c>
      <c r="HC55">
        <v>1.9130799999999999</v>
      </c>
      <c r="HD55">
        <v>20.150700000000001</v>
      </c>
      <c r="HE55">
        <v>5.23346</v>
      </c>
      <c r="HF55">
        <v>11.9201</v>
      </c>
      <c r="HG55">
        <v>4.9602000000000004</v>
      </c>
      <c r="HH55">
        <v>3.2890000000000001</v>
      </c>
      <c r="HI55">
        <v>9999</v>
      </c>
      <c r="HJ55">
        <v>9999</v>
      </c>
      <c r="HK55">
        <v>9999</v>
      </c>
      <c r="HL55">
        <v>877.6</v>
      </c>
      <c r="HM55">
        <v>1.8811</v>
      </c>
      <c r="HN55">
        <v>1.87836</v>
      </c>
      <c r="HO55">
        <v>1.88629</v>
      </c>
      <c r="HP55">
        <v>1.8839999999999999</v>
      </c>
      <c r="HQ55">
        <v>1.8815900000000001</v>
      </c>
      <c r="HR55">
        <v>1.8805099999999999</v>
      </c>
      <c r="HS55">
        <v>1.88171</v>
      </c>
      <c r="HT55">
        <v>1.8812599999999999</v>
      </c>
      <c r="HU55">
        <v>5</v>
      </c>
      <c r="HV55">
        <v>0</v>
      </c>
      <c r="HW55">
        <v>0</v>
      </c>
      <c r="HX55">
        <v>0</v>
      </c>
      <c r="HY55" t="s">
        <v>422</v>
      </c>
      <c r="HZ55" t="s">
        <v>423</v>
      </c>
      <c r="IA55" t="s">
        <v>424</v>
      </c>
      <c r="IB55" t="s">
        <v>424</v>
      </c>
      <c r="IC55" t="s">
        <v>424</v>
      </c>
      <c r="ID55" t="s">
        <v>424</v>
      </c>
      <c r="IE55">
        <v>0</v>
      </c>
      <c r="IF55">
        <v>100</v>
      </c>
      <c r="IG55">
        <v>100</v>
      </c>
      <c r="IH55">
        <v>1.35</v>
      </c>
      <c r="II55">
        <v>0.26669999999999999</v>
      </c>
      <c r="IJ55">
        <v>0.66903835387606003</v>
      </c>
      <c r="IK55">
        <v>2.2153513873161218E-3</v>
      </c>
      <c r="IL55">
        <v>-2.2967369670569612E-6</v>
      </c>
      <c r="IM55">
        <v>7.7859689150384122E-10</v>
      </c>
      <c r="IN55">
        <v>-0.1271720622941496</v>
      </c>
      <c r="IO55">
        <v>-4.1434251034592161E-3</v>
      </c>
      <c r="IP55">
        <v>8.3987709687394815E-4</v>
      </c>
      <c r="IQ55">
        <v>-7.4586254598011197E-6</v>
      </c>
      <c r="IR55">
        <v>2</v>
      </c>
      <c r="IS55">
        <v>1930</v>
      </c>
      <c r="IT55">
        <v>2</v>
      </c>
      <c r="IU55">
        <v>41</v>
      </c>
      <c r="IV55">
        <v>1.4</v>
      </c>
      <c r="IW55">
        <v>1.3</v>
      </c>
      <c r="IX55">
        <v>1.5344199999999999</v>
      </c>
      <c r="IY55">
        <v>2.5451700000000002</v>
      </c>
      <c r="IZ55">
        <v>1.24512</v>
      </c>
      <c r="JA55">
        <v>2.2583000000000002</v>
      </c>
      <c r="JB55">
        <v>1.4501999999999999</v>
      </c>
      <c r="JC55">
        <v>2.4169900000000002</v>
      </c>
      <c r="JD55">
        <v>50.0578</v>
      </c>
      <c r="JE55">
        <v>24.096299999999999</v>
      </c>
      <c r="JF55">
        <v>18</v>
      </c>
      <c r="JG55">
        <v>497.08800000000002</v>
      </c>
      <c r="JH55">
        <v>408.52800000000002</v>
      </c>
      <c r="JI55">
        <v>26.700700000000001</v>
      </c>
      <c r="JJ55">
        <v>33.347200000000001</v>
      </c>
      <c r="JK55">
        <v>30.000399999999999</v>
      </c>
      <c r="JL55">
        <v>33.226599999999998</v>
      </c>
      <c r="JM55">
        <v>33.1813</v>
      </c>
      <c r="JN55">
        <v>30.821100000000001</v>
      </c>
      <c r="JO55">
        <v>48.346299999999999</v>
      </c>
      <c r="JP55">
        <v>0</v>
      </c>
      <c r="JQ55">
        <v>26.689900000000002</v>
      </c>
      <c r="JR55">
        <v>700</v>
      </c>
      <c r="JS55">
        <v>22.524799999999999</v>
      </c>
      <c r="JT55">
        <v>99.344700000000003</v>
      </c>
      <c r="JU55">
        <v>99.255799999999994</v>
      </c>
    </row>
    <row r="56" spans="1:281" x14ac:dyDescent="0.25">
      <c r="A56">
        <v>40</v>
      </c>
      <c r="B56">
        <v>1693330220.5999999</v>
      </c>
      <c r="C56">
        <v>7507.5</v>
      </c>
      <c r="D56" t="s">
        <v>619</v>
      </c>
      <c r="E56" t="s">
        <v>620</v>
      </c>
      <c r="F56" t="s">
        <v>413</v>
      </c>
      <c r="G56" t="s">
        <v>564</v>
      </c>
      <c r="H56" t="s">
        <v>565</v>
      </c>
      <c r="I56" t="s">
        <v>415</v>
      </c>
      <c r="J56">
        <v>1693330220.5999999</v>
      </c>
      <c r="K56">
        <f t="shared" si="46"/>
        <v>5.2921393159282796E-3</v>
      </c>
      <c r="L56">
        <f t="shared" si="47"/>
        <v>5.2921393159282797</v>
      </c>
      <c r="M56">
        <f t="shared" si="48"/>
        <v>47.070507016678839</v>
      </c>
      <c r="N56">
        <f t="shared" si="49"/>
        <v>838.49699999999996</v>
      </c>
      <c r="O56">
        <f t="shared" si="50"/>
        <v>611.32677725572717</v>
      </c>
      <c r="P56">
        <f t="shared" si="51"/>
        <v>60.616080923066974</v>
      </c>
      <c r="Q56">
        <f t="shared" si="52"/>
        <v>83.141134818125991</v>
      </c>
      <c r="R56">
        <f t="shared" si="53"/>
        <v>0.3807366144524717</v>
      </c>
      <c r="S56">
        <f t="shared" si="54"/>
        <v>2.9124781111146625</v>
      </c>
      <c r="T56">
        <f t="shared" si="55"/>
        <v>0.3550896376537564</v>
      </c>
      <c r="U56">
        <f t="shared" si="56"/>
        <v>0.22409117316566785</v>
      </c>
      <c r="V56">
        <f t="shared" si="57"/>
        <v>344.42199864473156</v>
      </c>
      <c r="W56">
        <f t="shared" si="58"/>
        <v>31.129496010676295</v>
      </c>
      <c r="X56">
        <f t="shared" si="59"/>
        <v>30.007300000000001</v>
      </c>
      <c r="Y56">
        <f t="shared" si="60"/>
        <v>4.2622365310844108</v>
      </c>
      <c r="Z56">
        <f t="shared" si="61"/>
        <v>64.817027684163719</v>
      </c>
      <c r="AA56">
        <f t="shared" si="62"/>
        <v>2.8373687006489998</v>
      </c>
      <c r="AB56">
        <f t="shared" si="63"/>
        <v>4.3775051125064683</v>
      </c>
      <c r="AC56">
        <f t="shared" si="64"/>
        <v>1.424867830435411</v>
      </c>
      <c r="AD56">
        <f t="shared" si="65"/>
        <v>-233.38334383243713</v>
      </c>
      <c r="AE56">
        <f t="shared" si="66"/>
        <v>73.075953773752758</v>
      </c>
      <c r="AF56">
        <f t="shared" si="67"/>
        <v>5.5922007031028773</v>
      </c>
      <c r="AG56">
        <f t="shared" si="68"/>
        <v>189.70680928915007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51765.595503186625</v>
      </c>
      <c r="AM56" t="s">
        <v>416</v>
      </c>
      <c r="AN56">
        <v>10366.9</v>
      </c>
      <c r="AO56">
        <v>993.59653846153856</v>
      </c>
      <c r="AP56">
        <v>3431.87</v>
      </c>
      <c r="AQ56">
        <f t="shared" si="72"/>
        <v>0.71047955241266758</v>
      </c>
      <c r="AR56">
        <v>-3.9894345373445681</v>
      </c>
      <c r="AS56" t="s">
        <v>621</v>
      </c>
      <c r="AT56">
        <v>10421</v>
      </c>
      <c r="AU56">
        <v>840.94680000000005</v>
      </c>
      <c r="AV56">
        <v>1206.4813816890339</v>
      </c>
      <c r="AW56">
        <f t="shared" si="73"/>
        <v>0.3029757335975608</v>
      </c>
      <c r="AX56">
        <v>0.5</v>
      </c>
      <c r="AY56">
        <f t="shared" si="74"/>
        <v>1513.4195993223655</v>
      </c>
      <c r="AZ56">
        <f t="shared" si="75"/>
        <v>47.070507016678839</v>
      </c>
      <c r="BA56">
        <f t="shared" si="76"/>
        <v>229.26470667281009</v>
      </c>
      <c r="BB56">
        <f t="shared" si="77"/>
        <v>3.3738126278320651E-2</v>
      </c>
      <c r="BC56">
        <f t="shared" si="78"/>
        <v>1.8445279405766677</v>
      </c>
      <c r="BD56">
        <f t="shared" si="79"/>
        <v>647.70406995350527</v>
      </c>
      <c r="BE56" t="s">
        <v>622</v>
      </c>
      <c r="BF56">
        <v>630.07000000000005</v>
      </c>
      <c r="BG56">
        <f t="shared" si="80"/>
        <v>630.07000000000005</v>
      </c>
      <c r="BH56">
        <f t="shared" si="81"/>
        <v>0.47776235127812505</v>
      </c>
      <c r="BI56">
        <f t="shared" si="82"/>
        <v>0.63415573200154962</v>
      </c>
      <c r="BJ56">
        <f t="shared" si="83"/>
        <v>0.79427104658111447</v>
      </c>
      <c r="BK56">
        <f t="shared" si="84"/>
        <v>1.7170531079021547</v>
      </c>
      <c r="BL56">
        <f t="shared" si="85"/>
        <v>0.91269033330938487</v>
      </c>
      <c r="BM56">
        <f t="shared" si="86"/>
        <v>0.47513410130369294</v>
      </c>
      <c r="BN56">
        <f t="shared" si="87"/>
        <v>0.52486589869630706</v>
      </c>
      <c r="BO56">
        <v>7626</v>
      </c>
      <c r="BP56">
        <v>290.00000000000011</v>
      </c>
      <c r="BQ56">
        <v>1110.1300000000001</v>
      </c>
      <c r="BR56">
        <v>185</v>
      </c>
      <c r="BS56">
        <v>10421</v>
      </c>
      <c r="BT56">
        <v>1105.8800000000001</v>
      </c>
      <c r="BU56">
        <v>4.25</v>
      </c>
      <c r="BV56">
        <v>300.00000000000011</v>
      </c>
      <c r="BW56">
        <v>38.200000000000003</v>
      </c>
      <c r="BX56">
        <v>1206.4813816890339</v>
      </c>
      <c r="BY56">
        <v>1.083617619176207</v>
      </c>
      <c r="BZ56">
        <v>-104.8400825635258</v>
      </c>
      <c r="CA56">
        <v>0.92447110911294639</v>
      </c>
      <c r="CB56">
        <v>0.99782757141006417</v>
      </c>
      <c r="CC56">
        <v>-1.1317818909899909E-2</v>
      </c>
      <c r="CD56">
        <v>289.99999999999989</v>
      </c>
      <c r="CE56">
        <v>1096.81</v>
      </c>
      <c r="CF56">
        <v>645</v>
      </c>
      <c r="CG56">
        <v>10400.700000000001</v>
      </c>
      <c r="CH56">
        <v>1105.68</v>
      </c>
      <c r="CI56">
        <v>-8.8699999999999992</v>
      </c>
      <c r="CW56">
        <f t="shared" si="88"/>
        <v>1800.28</v>
      </c>
      <c r="CX56">
        <f t="shared" si="89"/>
        <v>1513.4195993223655</v>
      </c>
      <c r="CY56">
        <f t="shared" si="90"/>
        <v>0.8406578972839589</v>
      </c>
      <c r="CZ56">
        <f t="shared" si="91"/>
        <v>0.19131579456791808</v>
      </c>
      <c r="DA56">
        <v>6</v>
      </c>
      <c r="DB56">
        <v>0.5</v>
      </c>
      <c r="DC56" t="s">
        <v>419</v>
      </c>
      <c r="DD56">
        <v>2</v>
      </c>
      <c r="DE56">
        <v>1693330220.5999999</v>
      </c>
      <c r="DF56">
        <v>838.49699999999996</v>
      </c>
      <c r="DG56">
        <v>900.24800000000005</v>
      </c>
      <c r="DH56">
        <v>28.615500000000001</v>
      </c>
      <c r="DI56">
        <v>22.452500000000001</v>
      </c>
      <c r="DJ56">
        <v>837.01599999999996</v>
      </c>
      <c r="DK56">
        <v>28.3566</v>
      </c>
      <c r="DL56">
        <v>500.47399999999999</v>
      </c>
      <c r="DM56">
        <v>99.0548</v>
      </c>
      <c r="DN56">
        <v>0.100158</v>
      </c>
      <c r="DO56">
        <v>30.4727</v>
      </c>
      <c r="DP56">
        <v>30.007300000000001</v>
      </c>
      <c r="DQ56">
        <v>999.9</v>
      </c>
      <c r="DR56">
        <v>0</v>
      </c>
      <c r="DS56">
        <v>0</v>
      </c>
      <c r="DT56">
        <v>9997.5</v>
      </c>
      <c r="DU56">
        <v>0</v>
      </c>
      <c r="DV56">
        <v>1403.17</v>
      </c>
      <c r="DW56">
        <v>-61.750900000000001</v>
      </c>
      <c r="DX56">
        <v>863.19799999999998</v>
      </c>
      <c r="DY56">
        <v>920.92499999999995</v>
      </c>
      <c r="DZ56">
        <v>6.1629800000000001</v>
      </c>
      <c r="EA56">
        <v>900.24800000000005</v>
      </c>
      <c r="EB56">
        <v>22.452500000000001</v>
      </c>
      <c r="EC56">
        <v>2.8345099999999999</v>
      </c>
      <c r="ED56">
        <v>2.22403</v>
      </c>
      <c r="EE56">
        <v>23.086400000000001</v>
      </c>
      <c r="EF56">
        <v>19.136500000000002</v>
      </c>
      <c r="EG56">
        <v>1800.28</v>
      </c>
      <c r="EH56">
        <v>0.97801099999999996</v>
      </c>
      <c r="EI56">
        <v>2.19887E-2</v>
      </c>
      <c r="EJ56">
        <v>0</v>
      </c>
      <c r="EK56">
        <v>840.09</v>
      </c>
      <c r="EL56">
        <v>5.0010300000000001</v>
      </c>
      <c r="EM56">
        <v>16215.8</v>
      </c>
      <c r="EN56">
        <v>14703.4</v>
      </c>
      <c r="EO56">
        <v>49.25</v>
      </c>
      <c r="EP56">
        <v>50.936999999999998</v>
      </c>
      <c r="EQ56">
        <v>50.811999999999998</v>
      </c>
      <c r="ER56">
        <v>49.686999999999998</v>
      </c>
      <c r="ES56">
        <v>50.811999999999998</v>
      </c>
      <c r="ET56">
        <v>1755.8</v>
      </c>
      <c r="EU56">
        <v>39.479999999999997</v>
      </c>
      <c r="EV56">
        <v>0</v>
      </c>
      <c r="EW56">
        <v>134.39999985694891</v>
      </c>
      <c r="EX56">
        <v>0</v>
      </c>
      <c r="EY56">
        <v>840.94680000000005</v>
      </c>
      <c r="EZ56">
        <v>-2.5960769188588588</v>
      </c>
      <c r="FA56">
        <v>-58.923076939391038</v>
      </c>
      <c r="FB56">
        <v>16216.784</v>
      </c>
      <c r="FC56">
        <v>15</v>
      </c>
      <c r="FD56">
        <v>1693330150.5999999</v>
      </c>
      <c r="FE56" t="s">
        <v>623</v>
      </c>
      <c r="FF56">
        <v>1693330148.5999999</v>
      </c>
      <c r="FG56">
        <v>1693330150.5999999</v>
      </c>
      <c r="FH56">
        <v>44</v>
      </c>
      <c r="FI56">
        <v>0.111</v>
      </c>
      <c r="FJ56">
        <v>-2E-3</v>
      </c>
      <c r="FK56">
        <v>1.4810000000000001</v>
      </c>
      <c r="FL56">
        <v>0.112</v>
      </c>
      <c r="FM56">
        <v>900</v>
      </c>
      <c r="FN56">
        <v>22</v>
      </c>
      <c r="FO56">
        <v>0.12</v>
      </c>
      <c r="FP56">
        <v>0.02</v>
      </c>
      <c r="FQ56">
        <v>46.713924480570192</v>
      </c>
      <c r="FR56">
        <v>-0.21462109806663601</v>
      </c>
      <c r="FS56">
        <v>0.18336456582336291</v>
      </c>
      <c r="FT56">
        <v>1</v>
      </c>
      <c r="FU56">
        <v>0.38269924563023661</v>
      </c>
      <c r="FV56">
        <v>-2.063412415854813E-2</v>
      </c>
      <c r="FW56">
        <v>2.050062289264477E-3</v>
      </c>
      <c r="FX56">
        <v>1</v>
      </c>
      <c r="FY56">
        <v>2</v>
      </c>
      <c r="FZ56">
        <v>2</v>
      </c>
      <c r="GA56" t="s">
        <v>421</v>
      </c>
      <c r="GB56">
        <v>2.9008699999999998</v>
      </c>
      <c r="GC56">
        <v>2.8181400000000001</v>
      </c>
      <c r="GD56">
        <v>0.152563</v>
      </c>
      <c r="GE56">
        <v>0.159938</v>
      </c>
      <c r="GF56">
        <v>0.13400400000000001</v>
      </c>
      <c r="GG56">
        <v>0.113261</v>
      </c>
      <c r="GH56">
        <v>23500.400000000001</v>
      </c>
      <c r="GI56">
        <v>23406.6</v>
      </c>
      <c r="GJ56">
        <v>24605.5</v>
      </c>
      <c r="GK56">
        <v>24885.1</v>
      </c>
      <c r="GL56">
        <v>28313.7</v>
      </c>
      <c r="GM56">
        <v>28879.1</v>
      </c>
      <c r="GN56">
        <v>33284</v>
      </c>
      <c r="GO56">
        <v>33263.1</v>
      </c>
      <c r="GP56">
        <v>1.9559</v>
      </c>
      <c r="GQ56">
        <v>1.748</v>
      </c>
      <c r="GR56">
        <v>3.3646799999999998E-2</v>
      </c>
      <c r="GS56">
        <v>0</v>
      </c>
      <c r="GT56">
        <v>29.459499999999998</v>
      </c>
      <c r="GU56">
        <v>999.9</v>
      </c>
      <c r="GV56">
        <v>42.4</v>
      </c>
      <c r="GW56">
        <v>44.9</v>
      </c>
      <c r="GX56">
        <v>41.0473</v>
      </c>
      <c r="GY56">
        <v>62.183</v>
      </c>
      <c r="GZ56">
        <v>27.948699999999999</v>
      </c>
      <c r="HA56">
        <v>1</v>
      </c>
      <c r="HB56">
        <v>0.489512</v>
      </c>
      <c r="HC56">
        <v>2.0326599999999999</v>
      </c>
      <c r="HD56">
        <v>20.149000000000001</v>
      </c>
      <c r="HE56">
        <v>5.2346599999999999</v>
      </c>
      <c r="HF56">
        <v>11.9201</v>
      </c>
      <c r="HG56">
        <v>4.9611999999999998</v>
      </c>
      <c r="HH56">
        <v>3.2890000000000001</v>
      </c>
      <c r="HI56">
        <v>9999</v>
      </c>
      <c r="HJ56">
        <v>9999</v>
      </c>
      <c r="HK56">
        <v>9999</v>
      </c>
      <c r="HL56">
        <v>877.6</v>
      </c>
      <c r="HM56">
        <v>1.8811</v>
      </c>
      <c r="HN56">
        <v>1.87836</v>
      </c>
      <c r="HO56">
        <v>1.88629</v>
      </c>
      <c r="HP56">
        <v>1.8839699999999999</v>
      </c>
      <c r="HQ56">
        <v>1.8815599999999999</v>
      </c>
      <c r="HR56">
        <v>1.88049</v>
      </c>
      <c r="HS56">
        <v>1.88171</v>
      </c>
      <c r="HT56">
        <v>1.8812599999999999</v>
      </c>
      <c r="HU56">
        <v>5</v>
      </c>
      <c r="HV56">
        <v>0</v>
      </c>
      <c r="HW56">
        <v>0</v>
      </c>
      <c r="HX56">
        <v>0</v>
      </c>
      <c r="HY56" t="s">
        <v>422</v>
      </c>
      <c r="HZ56" t="s">
        <v>423</v>
      </c>
      <c r="IA56" t="s">
        <v>424</v>
      </c>
      <c r="IB56" t="s">
        <v>424</v>
      </c>
      <c r="IC56" t="s">
        <v>424</v>
      </c>
      <c r="ID56" t="s">
        <v>424</v>
      </c>
      <c r="IE56">
        <v>0</v>
      </c>
      <c r="IF56">
        <v>100</v>
      </c>
      <c r="IG56">
        <v>100</v>
      </c>
      <c r="IH56">
        <v>1.4810000000000001</v>
      </c>
      <c r="II56">
        <v>0.25890000000000002</v>
      </c>
      <c r="IJ56">
        <v>0.77970749012619334</v>
      </c>
      <c r="IK56">
        <v>2.2153513873161218E-3</v>
      </c>
      <c r="IL56">
        <v>-2.2967369670569612E-6</v>
      </c>
      <c r="IM56">
        <v>7.7859689150384122E-10</v>
      </c>
      <c r="IN56">
        <v>-0.12886123026503879</v>
      </c>
      <c r="IO56">
        <v>-4.1434251034592161E-3</v>
      </c>
      <c r="IP56">
        <v>8.3987709687394815E-4</v>
      </c>
      <c r="IQ56">
        <v>-7.4586254598011197E-6</v>
      </c>
      <c r="IR56">
        <v>2</v>
      </c>
      <c r="IS56">
        <v>1930</v>
      </c>
      <c r="IT56">
        <v>2</v>
      </c>
      <c r="IU56">
        <v>41</v>
      </c>
      <c r="IV56">
        <v>1.2</v>
      </c>
      <c r="IW56">
        <v>1.2</v>
      </c>
      <c r="IX56">
        <v>1.88354</v>
      </c>
      <c r="IY56">
        <v>2.5402800000000001</v>
      </c>
      <c r="IZ56">
        <v>1.24512</v>
      </c>
      <c r="JA56">
        <v>2.2583000000000002</v>
      </c>
      <c r="JB56">
        <v>1.4501999999999999</v>
      </c>
      <c r="JC56">
        <v>2.34741</v>
      </c>
      <c r="JD56">
        <v>50.186399999999999</v>
      </c>
      <c r="JE56">
        <v>24.096299999999999</v>
      </c>
      <c r="JF56">
        <v>18</v>
      </c>
      <c r="JG56">
        <v>496.89600000000002</v>
      </c>
      <c r="JH56">
        <v>406.85199999999998</v>
      </c>
      <c r="JI56">
        <v>26.493400000000001</v>
      </c>
      <c r="JJ56">
        <v>33.404000000000003</v>
      </c>
      <c r="JK56">
        <v>30.000299999999999</v>
      </c>
      <c r="JL56">
        <v>33.270000000000003</v>
      </c>
      <c r="JM56">
        <v>33.220100000000002</v>
      </c>
      <c r="JN56">
        <v>37.812899999999999</v>
      </c>
      <c r="JO56">
        <v>48.365600000000001</v>
      </c>
      <c r="JP56">
        <v>0</v>
      </c>
      <c r="JQ56">
        <v>26.499400000000001</v>
      </c>
      <c r="JR56">
        <v>900</v>
      </c>
      <c r="JS56">
        <v>22.4999</v>
      </c>
      <c r="JT56">
        <v>99.328299999999999</v>
      </c>
      <c r="JU56">
        <v>99.242199999999997</v>
      </c>
    </row>
    <row r="57" spans="1:281" x14ac:dyDescent="0.25">
      <c r="A57">
        <v>41</v>
      </c>
      <c r="B57">
        <v>1693330410.5</v>
      </c>
      <c r="C57">
        <v>7697.4000000953674</v>
      </c>
      <c r="D57" t="s">
        <v>624</v>
      </c>
      <c r="E57" t="s">
        <v>625</v>
      </c>
      <c r="F57" t="s">
        <v>413</v>
      </c>
      <c r="G57" t="s">
        <v>564</v>
      </c>
      <c r="H57" t="s">
        <v>565</v>
      </c>
      <c r="I57" t="s">
        <v>415</v>
      </c>
      <c r="J57">
        <v>1693330410.5</v>
      </c>
      <c r="K57">
        <f t="shared" si="46"/>
        <v>5.0324595297501365E-3</v>
      </c>
      <c r="L57">
        <f t="shared" si="47"/>
        <v>5.0324595297501364</v>
      </c>
      <c r="M57">
        <f t="shared" si="48"/>
        <v>45.901032852881386</v>
      </c>
      <c r="N57">
        <f t="shared" si="49"/>
        <v>1138.1500000000001</v>
      </c>
      <c r="O57">
        <f t="shared" si="50"/>
        <v>899.1358096726899</v>
      </c>
      <c r="P57">
        <f t="shared" si="51"/>
        <v>89.148224877310071</v>
      </c>
      <c r="Q57">
        <f t="shared" si="52"/>
        <v>112.84619192405002</v>
      </c>
      <c r="R57">
        <f t="shared" si="53"/>
        <v>0.36165391570477756</v>
      </c>
      <c r="S57">
        <f t="shared" si="54"/>
        <v>2.9149909753332603</v>
      </c>
      <c r="T57">
        <f t="shared" si="55"/>
        <v>0.33844794233776365</v>
      </c>
      <c r="U57">
        <f t="shared" si="56"/>
        <v>0.21349072193939486</v>
      </c>
      <c r="V57">
        <f t="shared" si="57"/>
        <v>344.36309864449822</v>
      </c>
      <c r="W57">
        <f t="shared" si="58"/>
        <v>31.166221200557384</v>
      </c>
      <c r="X57">
        <f t="shared" si="59"/>
        <v>30.0184</v>
      </c>
      <c r="Y57">
        <f t="shared" si="60"/>
        <v>4.2649546347291931</v>
      </c>
      <c r="Z57">
        <f t="shared" si="61"/>
        <v>65.069976391857637</v>
      </c>
      <c r="AA57">
        <f t="shared" si="62"/>
        <v>2.8435376367665</v>
      </c>
      <c r="AB57">
        <f t="shared" si="63"/>
        <v>4.3699687543183412</v>
      </c>
      <c r="AC57">
        <f t="shared" si="64"/>
        <v>1.4214169979626932</v>
      </c>
      <c r="AD57">
        <f t="shared" si="65"/>
        <v>-221.93146526198103</v>
      </c>
      <c r="AE57">
        <f t="shared" si="66"/>
        <v>66.664299826650975</v>
      </c>
      <c r="AF57">
        <f t="shared" si="67"/>
        <v>5.0966660007362981</v>
      </c>
      <c r="AG57">
        <f t="shared" si="68"/>
        <v>194.19259920990447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51841.974389887524</v>
      </c>
      <c r="AM57" t="s">
        <v>416</v>
      </c>
      <c r="AN57">
        <v>10366.9</v>
      </c>
      <c r="AO57">
        <v>993.59653846153856</v>
      </c>
      <c r="AP57">
        <v>3431.87</v>
      </c>
      <c r="AQ57">
        <f t="shared" si="72"/>
        <v>0.71047955241266758</v>
      </c>
      <c r="AR57">
        <v>-3.9894345373445681</v>
      </c>
      <c r="AS57" t="s">
        <v>626</v>
      </c>
      <c r="AT57">
        <v>10431.1</v>
      </c>
      <c r="AU57">
        <v>835.19084615384611</v>
      </c>
      <c r="AV57">
        <v>1200.8570309560259</v>
      </c>
      <c r="AW57">
        <f t="shared" si="73"/>
        <v>0.30450434595954001</v>
      </c>
      <c r="AX57">
        <v>0.5</v>
      </c>
      <c r="AY57">
        <f t="shared" si="74"/>
        <v>1513.1591993222492</v>
      </c>
      <c r="AZ57">
        <f t="shared" si="75"/>
        <v>45.901032852881386</v>
      </c>
      <c r="BA57">
        <f t="shared" si="76"/>
        <v>230.38177616114135</v>
      </c>
      <c r="BB57">
        <f t="shared" si="77"/>
        <v>3.2971063066313255E-2</v>
      </c>
      <c r="BC57">
        <f t="shared" si="78"/>
        <v>1.8578506112986828</v>
      </c>
      <c r="BD57">
        <f t="shared" si="79"/>
        <v>646.07955732575726</v>
      </c>
      <c r="BE57" t="s">
        <v>627</v>
      </c>
      <c r="BF57">
        <v>630.14</v>
      </c>
      <c r="BG57">
        <f t="shared" si="80"/>
        <v>630.14</v>
      </c>
      <c r="BH57">
        <f t="shared" si="81"/>
        <v>0.4752581000434889</v>
      </c>
      <c r="BI57">
        <f t="shared" si="82"/>
        <v>0.64071363735131748</v>
      </c>
      <c r="BJ57">
        <f t="shared" si="83"/>
        <v>0.79629834746530681</v>
      </c>
      <c r="BK57">
        <f t="shared" si="84"/>
        <v>1.7642831028779189</v>
      </c>
      <c r="BL57">
        <f t="shared" si="85"/>
        <v>0.91499702729663723</v>
      </c>
      <c r="BM57">
        <f t="shared" si="86"/>
        <v>0.48340962224361894</v>
      </c>
      <c r="BN57">
        <f t="shared" si="87"/>
        <v>0.51659037775638106</v>
      </c>
      <c r="BO57">
        <v>7628</v>
      </c>
      <c r="BP57">
        <v>290.00000000000011</v>
      </c>
      <c r="BQ57">
        <v>1103.99</v>
      </c>
      <c r="BR57">
        <v>125</v>
      </c>
      <c r="BS57">
        <v>10431.1</v>
      </c>
      <c r="BT57">
        <v>1100.4100000000001</v>
      </c>
      <c r="BU57">
        <v>3.58</v>
      </c>
      <c r="BV57">
        <v>300.00000000000011</v>
      </c>
      <c r="BW57">
        <v>38.200000000000003</v>
      </c>
      <c r="BX57">
        <v>1200.8570309560259</v>
      </c>
      <c r="BY57">
        <v>1.207199100300572</v>
      </c>
      <c r="BZ57">
        <v>-104.7729114697016</v>
      </c>
      <c r="CA57">
        <v>1.0299172106670491</v>
      </c>
      <c r="CB57">
        <v>0.99730169402896063</v>
      </c>
      <c r="CC57">
        <v>-1.1318549054505019E-2</v>
      </c>
      <c r="CD57">
        <v>289.99999999999989</v>
      </c>
      <c r="CE57">
        <v>1091.42</v>
      </c>
      <c r="CF57">
        <v>635</v>
      </c>
      <c r="CG57">
        <v>10401.700000000001</v>
      </c>
      <c r="CH57">
        <v>1100.1300000000001</v>
      </c>
      <c r="CI57">
        <v>-8.7100000000000009</v>
      </c>
      <c r="CW57">
        <f t="shared" si="88"/>
        <v>1799.97</v>
      </c>
      <c r="CX57">
        <f t="shared" si="89"/>
        <v>1513.1591993222492</v>
      </c>
      <c r="CY57">
        <f t="shared" si="90"/>
        <v>0.84065801059031486</v>
      </c>
      <c r="CZ57">
        <f t="shared" si="91"/>
        <v>0.19131602118062979</v>
      </c>
      <c r="DA57">
        <v>6</v>
      </c>
      <c r="DB57">
        <v>0.5</v>
      </c>
      <c r="DC57" t="s">
        <v>419</v>
      </c>
      <c r="DD57">
        <v>2</v>
      </c>
      <c r="DE57">
        <v>1693330410.5</v>
      </c>
      <c r="DF57">
        <v>1138.1500000000001</v>
      </c>
      <c r="DG57">
        <v>1200.05</v>
      </c>
      <c r="DH57">
        <v>28.679500000000001</v>
      </c>
      <c r="DI57">
        <v>22.818899999999999</v>
      </c>
      <c r="DJ57">
        <v>1136.47</v>
      </c>
      <c r="DK57">
        <v>28.4206</v>
      </c>
      <c r="DL57">
        <v>500.44</v>
      </c>
      <c r="DM57">
        <v>99.048599999999993</v>
      </c>
      <c r="DN57">
        <v>0.100187</v>
      </c>
      <c r="DO57">
        <v>30.442599999999999</v>
      </c>
      <c r="DP57">
        <v>30.0184</v>
      </c>
      <c r="DQ57">
        <v>999.9</v>
      </c>
      <c r="DR57">
        <v>0</v>
      </c>
      <c r="DS57">
        <v>0</v>
      </c>
      <c r="DT57">
        <v>10012.5</v>
      </c>
      <c r="DU57">
        <v>0</v>
      </c>
      <c r="DV57">
        <v>1412.87</v>
      </c>
      <c r="DW57">
        <v>-61.900399999999998</v>
      </c>
      <c r="DX57">
        <v>1171.76</v>
      </c>
      <c r="DY57">
        <v>1228.08</v>
      </c>
      <c r="DZ57">
        <v>5.8606199999999999</v>
      </c>
      <c r="EA57">
        <v>1200.05</v>
      </c>
      <c r="EB57">
        <v>22.818899999999999</v>
      </c>
      <c r="EC57">
        <v>2.8406600000000002</v>
      </c>
      <c r="ED57">
        <v>2.2601800000000001</v>
      </c>
      <c r="EE57">
        <v>23.122299999999999</v>
      </c>
      <c r="EF57">
        <v>19.395399999999999</v>
      </c>
      <c r="EG57">
        <v>1799.97</v>
      </c>
      <c r="EH57">
        <v>0.97800799999999999</v>
      </c>
      <c r="EI57">
        <v>2.1992399999999999E-2</v>
      </c>
      <c r="EJ57">
        <v>0</v>
      </c>
      <c r="EK57">
        <v>834.73699999999997</v>
      </c>
      <c r="EL57">
        <v>5.0010300000000001</v>
      </c>
      <c r="EM57">
        <v>16118.1</v>
      </c>
      <c r="EN57">
        <v>14700.9</v>
      </c>
      <c r="EO57">
        <v>49.311999999999998</v>
      </c>
      <c r="EP57">
        <v>50.875</v>
      </c>
      <c r="EQ57">
        <v>50.811999999999998</v>
      </c>
      <c r="ER57">
        <v>49.5</v>
      </c>
      <c r="ES57">
        <v>50.625</v>
      </c>
      <c r="ET57">
        <v>1755.49</v>
      </c>
      <c r="EU57">
        <v>39.479999999999997</v>
      </c>
      <c r="EV57">
        <v>0</v>
      </c>
      <c r="EW57">
        <v>188</v>
      </c>
      <c r="EX57">
        <v>0</v>
      </c>
      <c r="EY57">
        <v>835.19084615384611</v>
      </c>
      <c r="EZ57">
        <v>-2.242188020350623</v>
      </c>
      <c r="FA57">
        <v>-41.47008544980271</v>
      </c>
      <c r="FB57">
        <v>16119.48461538461</v>
      </c>
      <c r="FC57">
        <v>15</v>
      </c>
      <c r="FD57">
        <v>1693330296</v>
      </c>
      <c r="FE57" t="s">
        <v>628</v>
      </c>
      <c r="FF57">
        <v>1693330293</v>
      </c>
      <c r="FG57">
        <v>1693330296</v>
      </c>
      <c r="FH57">
        <v>45</v>
      </c>
      <c r="FI57">
        <v>0.20799999999999999</v>
      </c>
      <c r="FJ57">
        <v>-2E-3</v>
      </c>
      <c r="FK57">
        <v>1.6830000000000001</v>
      </c>
      <c r="FL57">
        <v>0.11700000000000001</v>
      </c>
      <c r="FM57">
        <v>1199</v>
      </c>
      <c r="FN57">
        <v>23</v>
      </c>
      <c r="FO57">
        <v>0.17</v>
      </c>
      <c r="FP57">
        <v>0.04</v>
      </c>
      <c r="FQ57">
        <v>46.225475116982373</v>
      </c>
      <c r="FR57">
        <v>-0.32050578774502653</v>
      </c>
      <c r="FS57">
        <v>0.25537604883061921</v>
      </c>
      <c r="FT57">
        <v>0</v>
      </c>
      <c r="FU57">
        <v>0.3566943682612056</v>
      </c>
      <c r="FV57">
        <v>3.2193937098787262E-2</v>
      </c>
      <c r="FW57">
        <v>2.5499729356545961E-3</v>
      </c>
      <c r="FX57">
        <v>1</v>
      </c>
      <c r="FY57">
        <v>1</v>
      </c>
      <c r="FZ57">
        <v>2</v>
      </c>
      <c r="GA57" t="s">
        <v>460</v>
      </c>
      <c r="GB57">
        <v>2.9006699999999999</v>
      </c>
      <c r="GC57">
        <v>2.8182999999999998</v>
      </c>
      <c r="GD57">
        <v>0.18553500000000001</v>
      </c>
      <c r="GE57">
        <v>0.19180900000000001</v>
      </c>
      <c r="GF57">
        <v>0.134189</v>
      </c>
      <c r="GG57">
        <v>0.11451600000000001</v>
      </c>
      <c r="GH57">
        <v>22583.5</v>
      </c>
      <c r="GI57">
        <v>22516.5</v>
      </c>
      <c r="GJ57">
        <v>24604.1</v>
      </c>
      <c r="GK57">
        <v>24884.3</v>
      </c>
      <c r="GL57">
        <v>28305.3</v>
      </c>
      <c r="GM57">
        <v>28836.799999999999</v>
      </c>
      <c r="GN57">
        <v>33281.199999999997</v>
      </c>
      <c r="GO57">
        <v>33261.699999999997</v>
      </c>
      <c r="GP57">
        <v>1.9545999999999999</v>
      </c>
      <c r="GQ57">
        <v>1.746</v>
      </c>
      <c r="GR57">
        <v>3.5733000000000001E-2</v>
      </c>
      <c r="GS57">
        <v>0</v>
      </c>
      <c r="GT57">
        <v>29.436599999999999</v>
      </c>
      <c r="GU57">
        <v>999.9</v>
      </c>
      <c r="GV57">
        <v>42.1</v>
      </c>
      <c r="GW57">
        <v>45.2</v>
      </c>
      <c r="GX57">
        <v>41.389000000000003</v>
      </c>
      <c r="GY57">
        <v>62.143000000000001</v>
      </c>
      <c r="GZ57">
        <v>26.610600000000002</v>
      </c>
      <c r="HA57">
        <v>1</v>
      </c>
      <c r="HB57">
        <v>0.49256100000000003</v>
      </c>
      <c r="HC57">
        <v>2.0618799999999999</v>
      </c>
      <c r="HD57">
        <v>20.148800000000001</v>
      </c>
      <c r="HE57">
        <v>5.2340600000000004</v>
      </c>
      <c r="HF57">
        <v>11.9201</v>
      </c>
      <c r="HG57">
        <v>4.9607999999999999</v>
      </c>
      <c r="HH57">
        <v>3.2890000000000001</v>
      </c>
      <c r="HI57">
        <v>9999</v>
      </c>
      <c r="HJ57">
        <v>9999</v>
      </c>
      <c r="HK57">
        <v>9999</v>
      </c>
      <c r="HL57">
        <v>877.7</v>
      </c>
      <c r="HM57">
        <v>1.8810899999999999</v>
      </c>
      <c r="HN57">
        <v>1.87836</v>
      </c>
      <c r="HO57">
        <v>1.88629</v>
      </c>
      <c r="HP57">
        <v>1.88398</v>
      </c>
      <c r="HQ57">
        <v>1.88157</v>
      </c>
      <c r="HR57">
        <v>1.88049</v>
      </c>
      <c r="HS57">
        <v>1.88171</v>
      </c>
      <c r="HT57">
        <v>1.8812599999999999</v>
      </c>
      <c r="HU57">
        <v>5</v>
      </c>
      <c r="HV57">
        <v>0</v>
      </c>
      <c r="HW57">
        <v>0</v>
      </c>
      <c r="HX57">
        <v>0</v>
      </c>
      <c r="HY57" t="s">
        <v>422</v>
      </c>
      <c r="HZ57" t="s">
        <v>423</v>
      </c>
      <c r="IA57" t="s">
        <v>424</v>
      </c>
      <c r="IB57" t="s">
        <v>424</v>
      </c>
      <c r="IC57" t="s">
        <v>424</v>
      </c>
      <c r="ID57" t="s">
        <v>424</v>
      </c>
      <c r="IE57">
        <v>0</v>
      </c>
      <c r="IF57">
        <v>100</v>
      </c>
      <c r="IG57">
        <v>100</v>
      </c>
      <c r="IH57">
        <v>1.68</v>
      </c>
      <c r="II57">
        <v>0.25890000000000002</v>
      </c>
      <c r="IJ57">
        <v>0.98660393410378178</v>
      </c>
      <c r="IK57">
        <v>2.2153513873161218E-3</v>
      </c>
      <c r="IL57">
        <v>-2.2967369670569612E-6</v>
      </c>
      <c r="IM57">
        <v>7.7859689150384122E-10</v>
      </c>
      <c r="IN57">
        <v>-0.13047018318291981</v>
      </c>
      <c r="IO57">
        <v>-4.1434251034592161E-3</v>
      </c>
      <c r="IP57">
        <v>8.3987709687394815E-4</v>
      </c>
      <c r="IQ57">
        <v>-7.4586254598011197E-6</v>
      </c>
      <c r="IR57">
        <v>2</v>
      </c>
      <c r="IS57">
        <v>1930</v>
      </c>
      <c r="IT57">
        <v>2</v>
      </c>
      <c r="IU57">
        <v>41</v>
      </c>
      <c r="IV57">
        <v>2</v>
      </c>
      <c r="IW57">
        <v>1.9</v>
      </c>
      <c r="IX57">
        <v>2.3840300000000001</v>
      </c>
      <c r="IY57">
        <v>2.5280800000000001</v>
      </c>
      <c r="IZ57">
        <v>1.24512</v>
      </c>
      <c r="JA57">
        <v>2.2570800000000002</v>
      </c>
      <c r="JB57">
        <v>1.4501999999999999</v>
      </c>
      <c r="JC57">
        <v>2.3962400000000001</v>
      </c>
      <c r="JD57">
        <v>50.186399999999999</v>
      </c>
      <c r="JE57">
        <v>24.096299999999999</v>
      </c>
      <c r="JF57">
        <v>18</v>
      </c>
      <c r="JG57">
        <v>496.34100000000001</v>
      </c>
      <c r="JH57">
        <v>405.892</v>
      </c>
      <c r="JI57">
        <v>26.475200000000001</v>
      </c>
      <c r="JJ57">
        <v>33.439900000000002</v>
      </c>
      <c r="JK57">
        <v>30.000299999999999</v>
      </c>
      <c r="JL57">
        <v>33.310400000000001</v>
      </c>
      <c r="JM57">
        <v>33.261899999999997</v>
      </c>
      <c r="JN57">
        <v>47.814100000000003</v>
      </c>
      <c r="JO57">
        <v>48.1678</v>
      </c>
      <c r="JP57">
        <v>0</v>
      </c>
      <c r="JQ57">
        <v>26.462700000000002</v>
      </c>
      <c r="JR57">
        <v>1200</v>
      </c>
      <c r="JS57">
        <v>22.7821</v>
      </c>
      <c r="JT57">
        <v>99.320899999999995</v>
      </c>
      <c r="JU57">
        <v>99.238399999999999</v>
      </c>
    </row>
    <row r="58" spans="1:281" x14ac:dyDescent="0.25">
      <c r="A58">
        <v>42</v>
      </c>
      <c r="B58">
        <v>1693330600</v>
      </c>
      <c r="C58">
        <v>7886.9000000953674</v>
      </c>
      <c r="D58" t="s">
        <v>629</v>
      </c>
      <c r="E58" t="s">
        <v>630</v>
      </c>
      <c r="F58" t="s">
        <v>413</v>
      </c>
      <c r="G58" t="s">
        <v>564</v>
      </c>
      <c r="H58" t="s">
        <v>565</v>
      </c>
      <c r="I58" t="s">
        <v>415</v>
      </c>
      <c r="J58">
        <v>1693330600</v>
      </c>
      <c r="K58">
        <f t="shared" si="46"/>
        <v>4.7458475517569753E-3</v>
      </c>
      <c r="L58">
        <f t="shared" si="47"/>
        <v>4.7458475517569756</v>
      </c>
      <c r="M58">
        <f t="shared" si="48"/>
        <v>45.250390148614969</v>
      </c>
      <c r="N58">
        <f t="shared" si="49"/>
        <v>1437.2</v>
      </c>
      <c r="O58">
        <f t="shared" si="50"/>
        <v>1178.8181771045281</v>
      </c>
      <c r="P58">
        <f t="shared" si="51"/>
        <v>116.8752071867506</v>
      </c>
      <c r="Q58">
        <f t="shared" si="52"/>
        <v>142.49275336200003</v>
      </c>
      <c r="R58">
        <f t="shared" si="53"/>
        <v>0.33609041991509192</v>
      </c>
      <c r="S58">
        <f t="shared" si="54"/>
        <v>2.9083755423834963</v>
      </c>
      <c r="T58">
        <f t="shared" si="55"/>
        <v>0.31590827222493306</v>
      </c>
      <c r="U58">
        <f t="shared" si="56"/>
        <v>0.19915488366228429</v>
      </c>
      <c r="V58">
        <f t="shared" si="57"/>
        <v>344.40479864362641</v>
      </c>
      <c r="W58">
        <f t="shared" si="58"/>
        <v>31.117530458277905</v>
      </c>
      <c r="X58">
        <f t="shared" si="59"/>
        <v>29.997399999999999</v>
      </c>
      <c r="Y58">
        <f t="shared" si="60"/>
        <v>4.259813550293563</v>
      </c>
      <c r="Z58">
        <f t="shared" si="61"/>
        <v>65.078620588129368</v>
      </c>
      <c r="AA58">
        <f t="shared" si="62"/>
        <v>2.823561525498</v>
      </c>
      <c r="AB58">
        <f t="shared" si="63"/>
        <v>4.3386929532016394</v>
      </c>
      <c r="AC58">
        <f t="shared" si="64"/>
        <v>1.436252024795563</v>
      </c>
      <c r="AD58">
        <f t="shared" si="65"/>
        <v>-209.2918770324826</v>
      </c>
      <c r="AE58">
        <f t="shared" si="66"/>
        <v>50.143470248665224</v>
      </c>
      <c r="AF58">
        <f t="shared" si="67"/>
        <v>3.8395411176536651</v>
      </c>
      <c r="AG58">
        <f t="shared" si="68"/>
        <v>189.09593297746267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51675.440757333265</v>
      </c>
      <c r="AM58" t="s">
        <v>416</v>
      </c>
      <c r="AN58">
        <v>10366.9</v>
      </c>
      <c r="AO58">
        <v>993.59653846153856</v>
      </c>
      <c r="AP58">
        <v>3431.87</v>
      </c>
      <c r="AQ58">
        <f t="shared" si="72"/>
        <v>0.71047955241266758</v>
      </c>
      <c r="AR58">
        <v>-3.9894345373445681</v>
      </c>
      <c r="AS58" t="s">
        <v>631</v>
      </c>
      <c r="AT58">
        <v>10423.4</v>
      </c>
      <c r="AU58">
        <v>831.72436000000016</v>
      </c>
      <c r="AV58">
        <v>1194.5616633039981</v>
      </c>
      <c r="AW58">
        <f t="shared" si="73"/>
        <v>0.30374095741565854</v>
      </c>
      <c r="AX58">
        <v>0.5</v>
      </c>
      <c r="AY58">
        <f t="shared" si="74"/>
        <v>1513.3364993218131</v>
      </c>
      <c r="AZ58">
        <f t="shared" si="75"/>
        <v>45.250390148614969</v>
      </c>
      <c r="BA58">
        <f t="shared" si="76"/>
        <v>229.8311385980343</v>
      </c>
      <c r="BB58">
        <f t="shared" si="77"/>
        <v>3.2537261017642725E-2</v>
      </c>
      <c r="BC58">
        <f t="shared" si="78"/>
        <v>1.8729115502567741</v>
      </c>
      <c r="BD58">
        <f t="shared" si="79"/>
        <v>644.25287265854831</v>
      </c>
      <c r="BE58" t="s">
        <v>632</v>
      </c>
      <c r="BF58">
        <v>627.71</v>
      </c>
      <c r="BG58">
        <f t="shared" si="80"/>
        <v>627.71</v>
      </c>
      <c r="BH58">
        <f t="shared" si="81"/>
        <v>0.4745269170418227</v>
      </c>
      <c r="BI58">
        <f t="shared" si="82"/>
        <v>0.64009215601332925</v>
      </c>
      <c r="BJ58">
        <f t="shared" si="83"/>
        <v>0.79785330961714096</v>
      </c>
      <c r="BK58">
        <f t="shared" si="84"/>
        <v>1.8054739775791104</v>
      </c>
      <c r="BL58">
        <f t="shared" si="85"/>
        <v>0.91757892294998855</v>
      </c>
      <c r="BM58">
        <f t="shared" si="86"/>
        <v>0.4830834187075233</v>
      </c>
      <c r="BN58">
        <f t="shared" si="87"/>
        <v>0.51691658129247675</v>
      </c>
      <c r="BO58">
        <v>7630</v>
      </c>
      <c r="BP58">
        <v>290.00000000000011</v>
      </c>
      <c r="BQ58">
        <v>1099.32</v>
      </c>
      <c r="BR58">
        <v>165</v>
      </c>
      <c r="BS58">
        <v>10423.4</v>
      </c>
      <c r="BT58">
        <v>1095.8499999999999</v>
      </c>
      <c r="BU58">
        <v>3.47</v>
      </c>
      <c r="BV58">
        <v>300.00000000000011</v>
      </c>
      <c r="BW58">
        <v>38.200000000000003</v>
      </c>
      <c r="BX58">
        <v>1194.5616633039981</v>
      </c>
      <c r="BY58">
        <v>1.3775669761659051</v>
      </c>
      <c r="BZ58">
        <v>-102.89586530832921</v>
      </c>
      <c r="CA58">
        <v>1.175165702609313</v>
      </c>
      <c r="CB58">
        <v>0.99636104120725377</v>
      </c>
      <c r="CC58">
        <v>-1.131708164627363E-2</v>
      </c>
      <c r="CD58">
        <v>289.99999999999989</v>
      </c>
      <c r="CE58">
        <v>1087.1500000000001</v>
      </c>
      <c r="CF58">
        <v>705</v>
      </c>
      <c r="CG58">
        <v>10395.1</v>
      </c>
      <c r="CH58">
        <v>1095.58</v>
      </c>
      <c r="CI58">
        <v>-8.43</v>
      </c>
      <c r="CW58">
        <f t="shared" si="88"/>
        <v>1800.18</v>
      </c>
      <c r="CX58">
        <f t="shared" si="89"/>
        <v>1513.3364993218131</v>
      </c>
      <c r="CY58">
        <f t="shared" si="90"/>
        <v>0.8406584337798515</v>
      </c>
      <c r="CZ58">
        <f t="shared" si="91"/>
        <v>0.19131686755970315</v>
      </c>
      <c r="DA58">
        <v>6</v>
      </c>
      <c r="DB58">
        <v>0.5</v>
      </c>
      <c r="DC58" t="s">
        <v>419</v>
      </c>
      <c r="DD58">
        <v>2</v>
      </c>
      <c r="DE58">
        <v>1693330600</v>
      </c>
      <c r="DF58">
        <v>1437.2</v>
      </c>
      <c r="DG58">
        <v>1499.65</v>
      </c>
      <c r="DH58">
        <v>28.4788</v>
      </c>
      <c r="DI58">
        <v>22.949100000000001</v>
      </c>
      <c r="DJ58">
        <v>1435.47</v>
      </c>
      <c r="DK58">
        <v>28.2255</v>
      </c>
      <c r="DL58">
        <v>500.28300000000002</v>
      </c>
      <c r="DM58">
        <v>99.045500000000004</v>
      </c>
      <c r="DN58">
        <v>0.10058499999999999</v>
      </c>
      <c r="DO58">
        <v>30.3172</v>
      </c>
      <c r="DP58">
        <v>29.997399999999999</v>
      </c>
      <c r="DQ58">
        <v>999.9</v>
      </c>
      <c r="DR58">
        <v>0</v>
      </c>
      <c r="DS58">
        <v>0</v>
      </c>
      <c r="DT58">
        <v>9975</v>
      </c>
      <c r="DU58">
        <v>0</v>
      </c>
      <c r="DV58">
        <v>1412.67</v>
      </c>
      <c r="DW58">
        <v>-62.446899999999999</v>
      </c>
      <c r="DX58">
        <v>1479.33</v>
      </c>
      <c r="DY58">
        <v>1534.87</v>
      </c>
      <c r="DZ58">
        <v>5.5297099999999997</v>
      </c>
      <c r="EA58">
        <v>1499.65</v>
      </c>
      <c r="EB58">
        <v>22.949100000000001</v>
      </c>
      <c r="EC58">
        <v>2.8206899999999999</v>
      </c>
      <c r="ED58">
        <v>2.2730000000000001</v>
      </c>
      <c r="EE58">
        <v>23.005700000000001</v>
      </c>
      <c r="EF58">
        <v>19.4863</v>
      </c>
      <c r="EG58">
        <v>1800.18</v>
      </c>
      <c r="EH58">
        <v>0.97799199999999997</v>
      </c>
      <c r="EI58">
        <v>2.2007800000000001E-2</v>
      </c>
      <c r="EJ58">
        <v>0</v>
      </c>
      <c r="EK58">
        <v>831.24099999999999</v>
      </c>
      <c r="EL58">
        <v>5.0010300000000001</v>
      </c>
      <c r="EM58">
        <v>16073.7</v>
      </c>
      <c r="EN58">
        <v>14702.5</v>
      </c>
      <c r="EO58">
        <v>49.25</v>
      </c>
      <c r="EP58">
        <v>51.061999999999998</v>
      </c>
      <c r="EQ58">
        <v>50.875</v>
      </c>
      <c r="ER58">
        <v>49.75</v>
      </c>
      <c r="ES58">
        <v>50.75</v>
      </c>
      <c r="ET58">
        <v>1755.67</v>
      </c>
      <c r="EU58">
        <v>39.51</v>
      </c>
      <c r="EV58">
        <v>0</v>
      </c>
      <c r="EW58">
        <v>187.39999985694891</v>
      </c>
      <c r="EX58">
        <v>0</v>
      </c>
      <c r="EY58">
        <v>831.72436000000016</v>
      </c>
      <c r="EZ58">
        <v>-1.8473846309703721</v>
      </c>
      <c r="FA58">
        <v>-34.007692401808747</v>
      </c>
      <c r="FB58">
        <v>16074.592000000001</v>
      </c>
      <c r="FC58">
        <v>15</v>
      </c>
      <c r="FD58">
        <v>1693330481.5</v>
      </c>
      <c r="FE58" t="s">
        <v>633</v>
      </c>
      <c r="FF58">
        <v>1693330481.5</v>
      </c>
      <c r="FG58">
        <v>1693330476</v>
      </c>
      <c r="FH58">
        <v>46</v>
      </c>
      <c r="FI58">
        <v>-0.01</v>
      </c>
      <c r="FJ58">
        <v>-1E-3</v>
      </c>
      <c r="FK58">
        <v>1.76</v>
      </c>
      <c r="FL58">
        <v>0.123</v>
      </c>
      <c r="FM58">
        <v>1500</v>
      </c>
      <c r="FN58">
        <v>23</v>
      </c>
      <c r="FO58">
        <v>0.13</v>
      </c>
      <c r="FP58">
        <v>0.03</v>
      </c>
      <c r="FQ58">
        <v>45.519017083114498</v>
      </c>
      <c r="FR58">
        <v>-0.1742799522572204</v>
      </c>
      <c r="FS58">
        <v>0.40839266820270559</v>
      </c>
      <c r="FT58">
        <v>0</v>
      </c>
      <c r="FU58">
        <v>0.33594025145727557</v>
      </c>
      <c r="FV58">
        <v>1.979107132755754E-2</v>
      </c>
      <c r="FW58">
        <v>1.905758432967297E-3</v>
      </c>
      <c r="FX58">
        <v>1</v>
      </c>
      <c r="FY58">
        <v>1</v>
      </c>
      <c r="FZ58">
        <v>2</v>
      </c>
      <c r="GA58" t="s">
        <v>460</v>
      </c>
      <c r="GB58">
        <v>2.8999799999999998</v>
      </c>
      <c r="GC58">
        <v>2.8183799999999999</v>
      </c>
      <c r="GD58">
        <v>0.21391399999999999</v>
      </c>
      <c r="GE58">
        <v>0.21942200000000001</v>
      </c>
      <c r="GF58">
        <v>0.133521</v>
      </c>
      <c r="GG58">
        <v>0.114936</v>
      </c>
      <c r="GH58">
        <v>21789.4</v>
      </c>
      <c r="GI58">
        <v>21739.5</v>
      </c>
      <c r="GJ58">
        <v>24598.1</v>
      </c>
      <c r="GK58">
        <v>24877.8</v>
      </c>
      <c r="GL58">
        <v>28321.4</v>
      </c>
      <c r="GM58">
        <v>28815.7</v>
      </c>
      <c r="GN58">
        <v>33273.4</v>
      </c>
      <c r="GO58">
        <v>33252.699999999997</v>
      </c>
      <c r="GP58">
        <v>1.9531000000000001</v>
      </c>
      <c r="GQ58">
        <v>1.7426999999999999</v>
      </c>
      <c r="GR58">
        <v>1.9729099999999999E-2</v>
      </c>
      <c r="GS58">
        <v>0</v>
      </c>
      <c r="GT58">
        <v>29.676200000000001</v>
      </c>
      <c r="GU58">
        <v>999.9</v>
      </c>
      <c r="GV58">
        <v>41.9</v>
      </c>
      <c r="GW58">
        <v>45.4</v>
      </c>
      <c r="GX58">
        <v>41.6248</v>
      </c>
      <c r="GY58">
        <v>62.253100000000003</v>
      </c>
      <c r="GZ58">
        <v>28.008800000000001</v>
      </c>
      <c r="HA58">
        <v>1</v>
      </c>
      <c r="HB58">
        <v>0.50674799999999998</v>
      </c>
      <c r="HC58">
        <v>1.58446</v>
      </c>
      <c r="HD58">
        <v>20.203499999999998</v>
      </c>
      <c r="HE58">
        <v>5.2328599999999996</v>
      </c>
      <c r="HF58">
        <v>11.9201</v>
      </c>
      <c r="HG58">
        <v>4.9602000000000004</v>
      </c>
      <c r="HH58">
        <v>3.2890000000000001</v>
      </c>
      <c r="HI58">
        <v>9999</v>
      </c>
      <c r="HJ58">
        <v>9999</v>
      </c>
      <c r="HK58">
        <v>9999</v>
      </c>
      <c r="HL58">
        <v>877.7</v>
      </c>
      <c r="HM58">
        <v>1.8809199999999999</v>
      </c>
      <c r="HN58">
        <v>1.8782000000000001</v>
      </c>
      <c r="HO58">
        <v>1.8861399999999999</v>
      </c>
      <c r="HP58">
        <v>1.88381</v>
      </c>
      <c r="HQ58">
        <v>1.88141</v>
      </c>
      <c r="HR58">
        <v>1.8803399999999999</v>
      </c>
      <c r="HS58">
        <v>1.8815599999999999</v>
      </c>
      <c r="HT58">
        <v>1.8811</v>
      </c>
      <c r="HU58">
        <v>5</v>
      </c>
      <c r="HV58">
        <v>0</v>
      </c>
      <c r="HW58">
        <v>0</v>
      </c>
      <c r="HX58">
        <v>0</v>
      </c>
      <c r="HY58" t="s">
        <v>422</v>
      </c>
      <c r="HZ58" t="s">
        <v>423</v>
      </c>
      <c r="IA58" t="s">
        <v>424</v>
      </c>
      <c r="IB58" t="s">
        <v>424</v>
      </c>
      <c r="IC58" t="s">
        <v>424</v>
      </c>
      <c r="ID58" t="s">
        <v>424</v>
      </c>
      <c r="IE58">
        <v>0</v>
      </c>
      <c r="IF58">
        <v>100</v>
      </c>
      <c r="IG58">
        <v>100</v>
      </c>
      <c r="IH58">
        <v>1.73</v>
      </c>
      <c r="II58">
        <v>0.25330000000000003</v>
      </c>
      <c r="IJ58">
        <v>0.97804531312771692</v>
      </c>
      <c r="IK58">
        <v>2.2153513873161218E-3</v>
      </c>
      <c r="IL58">
        <v>-2.2967369670569612E-6</v>
      </c>
      <c r="IM58">
        <v>7.7859689150384122E-10</v>
      </c>
      <c r="IN58">
        <v>-0.1311297692974934</v>
      </c>
      <c r="IO58">
        <v>-4.1434251034592161E-3</v>
      </c>
      <c r="IP58">
        <v>8.3987709687394815E-4</v>
      </c>
      <c r="IQ58">
        <v>-7.4586254598011197E-6</v>
      </c>
      <c r="IR58">
        <v>2</v>
      </c>
      <c r="IS58">
        <v>1930</v>
      </c>
      <c r="IT58">
        <v>2</v>
      </c>
      <c r="IU58">
        <v>41</v>
      </c>
      <c r="IV58">
        <v>2</v>
      </c>
      <c r="IW58">
        <v>2.1</v>
      </c>
      <c r="IX58">
        <v>2.8564500000000002</v>
      </c>
      <c r="IY58">
        <v>2.51831</v>
      </c>
      <c r="IZ58">
        <v>1.24512</v>
      </c>
      <c r="JA58">
        <v>2.2570800000000002</v>
      </c>
      <c r="JB58">
        <v>1.4501999999999999</v>
      </c>
      <c r="JC58">
        <v>2.33765</v>
      </c>
      <c r="JD58">
        <v>49.961599999999997</v>
      </c>
      <c r="JE58">
        <v>16.3385</v>
      </c>
      <c r="JF58">
        <v>18</v>
      </c>
      <c r="JG58">
        <v>496.21899999999999</v>
      </c>
      <c r="JH58">
        <v>404.55200000000002</v>
      </c>
      <c r="JI58">
        <v>25.6416</v>
      </c>
      <c r="JJ58">
        <v>33.581400000000002</v>
      </c>
      <c r="JK58">
        <v>29.998999999999999</v>
      </c>
      <c r="JL58">
        <v>33.421300000000002</v>
      </c>
      <c r="JM58">
        <v>33.3658</v>
      </c>
      <c r="JN58">
        <v>57.295900000000003</v>
      </c>
      <c r="JO58">
        <v>48.033099999999997</v>
      </c>
      <c r="JP58">
        <v>0</v>
      </c>
      <c r="JQ58">
        <v>25.823499999999999</v>
      </c>
      <c r="JR58">
        <v>1500</v>
      </c>
      <c r="JS58">
        <v>22.928699999999999</v>
      </c>
      <c r="JT58">
        <v>99.297300000000007</v>
      </c>
      <c r="JU58">
        <v>99.212199999999996</v>
      </c>
    </row>
    <row r="59" spans="1:281" x14ac:dyDescent="0.25">
      <c r="A59">
        <v>43</v>
      </c>
      <c r="B59">
        <v>1693333081.5999999</v>
      </c>
      <c r="C59">
        <v>10368.5</v>
      </c>
      <c r="D59" t="s">
        <v>634</v>
      </c>
      <c r="E59" t="s">
        <v>635</v>
      </c>
      <c r="F59" t="s">
        <v>413</v>
      </c>
      <c r="G59" t="s">
        <v>636</v>
      </c>
      <c r="H59" t="s">
        <v>637</v>
      </c>
      <c r="I59" t="s">
        <v>415</v>
      </c>
      <c r="J59">
        <v>1693333081.5999999</v>
      </c>
      <c r="K59">
        <f t="shared" si="46"/>
        <v>5.1005677282755374E-3</v>
      </c>
      <c r="L59">
        <f t="shared" si="47"/>
        <v>5.1005677282755375</v>
      </c>
      <c r="M59">
        <f t="shared" si="48"/>
        <v>45.038161416834996</v>
      </c>
      <c r="N59">
        <f t="shared" si="49"/>
        <v>343.87900000000002</v>
      </c>
      <c r="O59">
        <f t="shared" si="50"/>
        <v>138.39156126565393</v>
      </c>
      <c r="P59">
        <f t="shared" si="51"/>
        <v>13.715685251477597</v>
      </c>
      <c r="Q59">
        <f t="shared" si="52"/>
        <v>34.081096314385</v>
      </c>
      <c r="R59">
        <f t="shared" si="53"/>
        <v>0.38270860785576732</v>
      </c>
      <c r="S59">
        <f t="shared" si="54"/>
        <v>2.9077033070289047</v>
      </c>
      <c r="T59">
        <f t="shared" si="55"/>
        <v>0.35676551542479618</v>
      </c>
      <c r="U59">
        <f t="shared" si="56"/>
        <v>0.2251626110693549</v>
      </c>
      <c r="V59">
        <f t="shared" si="57"/>
        <v>344.38079864422264</v>
      </c>
      <c r="W59">
        <f t="shared" si="58"/>
        <v>31.363410177137762</v>
      </c>
      <c r="X59">
        <f t="shared" si="59"/>
        <v>29.997</v>
      </c>
      <c r="Y59">
        <f t="shared" si="60"/>
        <v>4.2597156773156035</v>
      </c>
      <c r="Z59">
        <f t="shared" si="61"/>
        <v>65.420153534484101</v>
      </c>
      <c r="AA59">
        <f t="shared" si="62"/>
        <v>2.8939382872185</v>
      </c>
      <c r="AB59">
        <f t="shared" si="63"/>
        <v>4.4236189169031137</v>
      </c>
      <c r="AC59">
        <f t="shared" si="64"/>
        <v>1.3657773900971035</v>
      </c>
      <c r="AD59">
        <f t="shared" si="65"/>
        <v>-224.9350368169512</v>
      </c>
      <c r="AE59">
        <f t="shared" si="66"/>
        <v>103.28923034368042</v>
      </c>
      <c r="AF59">
        <f t="shared" si="67"/>
        <v>7.9240556716630346</v>
      </c>
      <c r="AG59">
        <f t="shared" si="68"/>
        <v>230.65904784261488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51597.945687726031</v>
      </c>
      <c r="AM59" t="s">
        <v>416</v>
      </c>
      <c r="AN59">
        <v>10366.9</v>
      </c>
      <c r="AO59">
        <v>993.59653846153856</v>
      </c>
      <c r="AP59">
        <v>3431.87</v>
      </c>
      <c r="AQ59">
        <f t="shared" si="72"/>
        <v>0.71047955241266758</v>
      </c>
      <c r="AR59">
        <v>-3.9894345373445681</v>
      </c>
      <c r="AS59" t="s">
        <v>638</v>
      </c>
      <c r="AT59">
        <v>10442.6</v>
      </c>
      <c r="AU59">
        <v>780.08140000000003</v>
      </c>
      <c r="AV59">
        <v>1159.513976678553</v>
      </c>
      <c r="AW59">
        <f t="shared" si="73"/>
        <v>0.32723415526688504</v>
      </c>
      <c r="AX59">
        <v>0.5</v>
      </c>
      <c r="AY59">
        <f t="shared" si="74"/>
        <v>1513.235099322111</v>
      </c>
      <c r="AZ59">
        <f t="shared" si="75"/>
        <v>45.038161416834996</v>
      </c>
      <c r="BA59">
        <f t="shared" si="76"/>
        <v>247.59110472343593</v>
      </c>
      <c r="BB59">
        <f t="shared" si="77"/>
        <v>3.2399192945063604E-2</v>
      </c>
      <c r="BC59">
        <f t="shared" si="78"/>
        <v>1.9597487128448836</v>
      </c>
      <c r="BD59">
        <f t="shared" si="79"/>
        <v>633.91895731804254</v>
      </c>
      <c r="BE59" t="s">
        <v>639</v>
      </c>
      <c r="BF59">
        <v>618.36</v>
      </c>
      <c r="BG59">
        <f t="shared" si="80"/>
        <v>618.36</v>
      </c>
      <c r="BH59">
        <f t="shared" si="81"/>
        <v>0.46670759263178319</v>
      </c>
      <c r="BI59">
        <f t="shared" si="82"/>
        <v>0.70115455679989769</v>
      </c>
      <c r="BJ59">
        <f t="shared" si="83"/>
        <v>0.80765876905411638</v>
      </c>
      <c r="BK59">
        <f t="shared" si="84"/>
        <v>2.2868758145980284</v>
      </c>
      <c r="BL59">
        <f t="shared" si="85"/>
        <v>0.93195289993751274</v>
      </c>
      <c r="BM59">
        <f t="shared" si="86"/>
        <v>0.55579575636950806</v>
      </c>
      <c r="BN59">
        <f t="shared" si="87"/>
        <v>0.44420424363049194</v>
      </c>
      <c r="BO59">
        <v>7632</v>
      </c>
      <c r="BP59">
        <v>290.00000000000011</v>
      </c>
      <c r="BQ59">
        <v>1055.6099999999999</v>
      </c>
      <c r="BR59">
        <v>185</v>
      </c>
      <c r="BS59">
        <v>10442.6</v>
      </c>
      <c r="BT59">
        <v>1053.76</v>
      </c>
      <c r="BU59">
        <v>1.85</v>
      </c>
      <c r="BV59">
        <v>300.00000000000011</v>
      </c>
      <c r="BW59">
        <v>38.200000000000003</v>
      </c>
      <c r="BX59">
        <v>1159.513976678553</v>
      </c>
      <c r="BY59">
        <v>1.309748568895257</v>
      </c>
      <c r="BZ59">
        <v>-110.4352616453405</v>
      </c>
      <c r="CA59">
        <v>1.1197845756202749</v>
      </c>
      <c r="CB59">
        <v>0.99712946389421231</v>
      </c>
      <c r="CC59">
        <v>-1.1341693882091211E-2</v>
      </c>
      <c r="CD59">
        <v>289.99999999999989</v>
      </c>
      <c r="CE59">
        <v>1045.04</v>
      </c>
      <c r="CF59">
        <v>665</v>
      </c>
      <c r="CG59">
        <v>10421.1</v>
      </c>
      <c r="CH59">
        <v>1053.54</v>
      </c>
      <c r="CI59">
        <v>-8.5</v>
      </c>
      <c r="CW59">
        <f t="shared" si="88"/>
        <v>1800.06</v>
      </c>
      <c r="CX59">
        <f t="shared" si="89"/>
        <v>1513.235099322111</v>
      </c>
      <c r="CY59">
        <f t="shared" si="90"/>
        <v>0.84065814435191666</v>
      </c>
      <c r="CZ59">
        <f t="shared" si="91"/>
        <v>0.19131628870383358</v>
      </c>
      <c r="DA59">
        <v>6</v>
      </c>
      <c r="DB59">
        <v>0.5</v>
      </c>
      <c r="DC59" t="s">
        <v>419</v>
      </c>
      <c r="DD59">
        <v>2</v>
      </c>
      <c r="DE59">
        <v>1693333081.5999999</v>
      </c>
      <c r="DF59">
        <v>343.87900000000002</v>
      </c>
      <c r="DG59">
        <v>399.995</v>
      </c>
      <c r="DH59">
        <v>29.1999</v>
      </c>
      <c r="DI59">
        <v>23.261600000000001</v>
      </c>
      <c r="DJ59">
        <v>343.15699999999998</v>
      </c>
      <c r="DK59">
        <v>28.956</v>
      </c>
      <c r="DL59">
        <v>500.30799999999999</v>
      </c>
      <c r="DM59">
        <v>99.007400000000004</v>
      </c>
      <c r="DN59">
        <v>0.100415</v>
      </c>
      <c r="DO59">
        <v>30.655899999999999</v>
      </c>
      <c r="DP59">
        <v>29.997</v>
      </c>
      <c r="DQ59">
        <v>999.9</v>
      </c>
      <c r="DR59">
        <v>0</v>
      </c>
      <c r="DS59">
        <v>0</v>
      </c>
      <c r="DT59">
        <v>9975</v>
      </c>
      <c r="DU59">
        <v>0</v>
      </c>
      <c r="DV59">
        <v>1535.79</v>
      </c>
      <c r="DW59">
        <v>-56.116599999999998</v>
      </c>
      <c r="DX59">
        <v>354.22199999999998</v>
      </c>
      <c r="DY59">
        <v>409.52100000000002</v>
      </c>
      <c r="DZ59">
        <v>5.9382400000000004</v>
      </c>
      <c r="EA59">
        <v>399.995</v>
      </c>
      <c r="EB59">
        <v>23.261600000000001</v>
      </c>
      <c r="EC59">
        <v>2.891</v>
      </c>
      <c r="ED59">
        <v>2.30307</v>
      </c>
      <c r="EE59">
        <v>23.4131</v>
      </c>
      <c r="EF59">
        <v>19.697900000000001</v>
      </c>
      <c r="EG59">
        <v>1800.06</v>
      </c>
      <c r="EH59">
        <v>0.97800200000000004</v>
      </c>
      <c r="EI59">
        <v>2.19981E-2</v>
      </c>
      <c r="EJ59">
        <v>0</v>
      </c>
      <c r="EK59">
        <v>780.17700000000002</v>
      </c>
      <c r="EL59">
        <v>5.0010300000000001</v>
      </c>
      <c r="EM59">
        <v>15150.6</v>
      </c>
      <c r="EN59">
        <v>14701.6</v>
      </c>
      <c r="EO59">
        <v>48.125</v>
      </c>
      <c r="EP59">
        <v>50.436999999999998</v>
      </c>
      <c r="EQ59">
        <v>49.5</v>
      </c>
      <c r="ER59">
        <v>49.5</v>
      </c>
      <c r="ES59">
        <v>49.75</v>
      </c>
      <c r="ET59">
        <v>1755.57</v>
      </c>
      <c r="EU59">
        <v>39.49</v>
      </c>
      <c r="EV59">
        <v>0</v>
      </c>
      <c r="EW59">
        <v>2479.3999998569489</v>
      </c>
      <c r="EX59">
        <v>0</v>
      </c>
      <c r="EY59">
        <v>780.08140000000003</v>
      </c>
      <c r="EZ59">
        <v>0.94415384642284594</v>
      </c>
      <c r="FA59">
        <v>-82.615384678976568</v>
      </c>
      <c r="FB59">
        <v>15175.732</v>
      </c>
      <c r="FC59">
        <v>15</v>
      </c>
      <c r="FD59">
        <v>1693333046.5999999</v>
      </c>
      <c r="FE59" t="s">
        <v>640</v>
      </c>
      <c r="FF59">
        <v>1693333045.5999999</v>
      </c>
      <c r="FG59">
        <v>1693333046.5999999</v>
      </c>
      <c r="FH59">
        <v>50</v>
      </c>
      <c r="FI59">
        <v>-3.5000000000000003E-2</v>
      </c>
      <c r="FJ59">
        <v>-3.0000000000000001E-3</v>
      </c>
      <c r="FK59">
        <v>0.76900000000000002</v>
      </c>
      <c r="FL59">
        <v>0.10299999999999999</v>
      </c>
      <c r="FM59">
        <v>400</v>
      </c>
      <c r="FN59">
        <v>23</v>
      </c>
      <c r="FO59">
        <v>0.15</v>
      </c>
      <c r="FP59">
        <v>0.04</v>
      </c>
      <c r="FQ59">
        <v>45.13088652528598</v>
      </c>
      <c r="FR59">
        <v>-8.3277125987916714E-2</v>
      </c>
      <c r="FS59">
        <v>0.1122923975524068</v>
      </c>
      <c r="FT59">
        <v>1</v>
      </c>
      <c r="FU59">
        <v>0.38929597976711161</v>
      </c>
      <c r="FV59">
        <v>-4.1870301794811507E-2</v>
      </c>
      <c r="FW59">
        <v>3.424440109208548E-3</v>
      </c>
      <c r="FX59">
        <v>1</v>
      </c>
      <c r="FY59">
        <v>2</v>
      </c>
      <c r="FZ59">
        <v>2</v>
      </c>
      <c r="GA59" t="s">
        <v>421</v>
      </c>
      <c r="GB59">
        <v>2.8958699999999999</v>
      </c>
      <c r="GC59">
        <v>2.8182</v>
      </c>
      <c r="GD59">
        <v>7.9692700000000005E-2</v>
      </c>
      <c r="GE59">
        <v>8.9833700000000002E-2</v>
      </c>
      <c r="GF59">
        <v>0.13523199999999999</v>
      </c>
      <c r="GG59">
        <v>0.115463</v>
      </c>
      <c r="GH59">
        <v>25427.9</v>
      </c>
      <c r="GI59">
        <v>25278.2</v>
      </c>
      <c r="GJ59">
        <v>24520</v>
      </c>
      <c r="GK59">
        <v>24812.7</v>
      </c>
      <c r="GL59">
        <v>28185</v>
      </c>
      <c r="GM59">
        <v>28723.200000000001</v>
      </c>
      <c r="GN59">
        <v>33167.800000000003</v>
      </c>
      <c r="GO59">
        <v>33159.599999999999</v>
      </c>
      <c r="GP59">
        <v>1.9275</v>
      </c>
      <c r="GQ59">
        <v>1.6896</v>
      </c>
      <c r="GR59">
        <v>2.0653000000000001E-2</v>
      </c>
      <c r="GS59">
        <v>0</v>
      </c>
      <c r="GT59">
        <v>29.660799999999998</v>
      </c>
      <c r="GU59">
        <v>999.9</v>
      </c>
      <c r="GV59">
        <v>40.6</v>
      </c>
      <c r="GW59">
        <v>48.2</v>
      </c>
      <c r="GX59">
        <v>46.5276</v>
      </c>
      <c r="GY59">
        <v>62.152500000000003</v>
      </c>
      <c r="GZ59">
        <v>27.740400000000001</v>
      </c>
      <c r="HA59">
        <v>1</v>
      </c>
      <c r="HB59">
        <v>0.68054899999999996</v>
      </c>
      <c r="HC59">
        <v>3.2619199999999999</v>
      </c>
      <c r="HD59">
        <v>20.128399999999999</v>
      </c>
      <c r="HE59">
        <v>5.2346599999999999</v>
      </c>
      <c r="HF59">
        <v>11.9213</v>
      </c>
      <c r="HG59">
        <v>4.9592000000000001</v>
      </c>
      <c r="HH59">
        <v>3.2888000000000002</v>
      </c>
      <c r="HI59">
        <v>9999</v>
      </c>
      <c r="HJ59">
        <v>9999</v>
      </c>
      <c r="HK59">
        <v>9999</v>
      </c>
      <c r="HL59">
        <v>878.4</v>
      </c>
      <c r="HM59">
        <v>1.88106</v>
      </c>
      <c r="HN59">
        <v>1.87836</v>
      </c>
      <c r="HO59">
        <v>1.88629</v>
      </c>
      <c r="HP59">
        <v>1.8839600000000001</v>
      </c>
      <c r="HQ59">
        <v>1.8815599999999999</v>
      </c>
      <c r="HR59">
        <v>1.88049</v>
      </c>
      <c r="HS59">
        <v>1.88171</v>
      </c>
      <c r="HT59">
        <v>1.8812599999999999</v>
      </c>
      <c r="HU59">
        <v>5</v>
      </c>
      <c r="HV59">
        <v>0</v>
      </c>
      <c r="HW59">
        <v>0</v>
      </c>
      <c r="HX59">
        <v>0</v>
      </c>
      <c r="HY59" t="s">
        <v>422</v>
      </c>
      <c r="HZ59" t="s">
        <v>423</v>
      </c>
      <c r="IA59" t="s">
        <v>424</v>
      </c>
      <c r="IB59" t="s">
        <v>424</v>
      </c>
      <c r="IC59" t="s">
        <v>424</v>
      </c>
      <c r="ID59" t="s">
        <v>424</v>
      </c>
      <c r="IE59">
        <v>0</v>
      </c>
      <c r="IF59">
        <v>100</v>
      </c>
      <c r="IG59">
        <v>100</v>
      </c>
      <c r="IH59">
        <v>0.72199999999999998</v>
      </c>
      <c r="II59">
        <v>0.24390000000000001</v>
      </c>
      <c r="IJ59">
        <v>0.20081190723031869</v>
      </c>
      <c r="IK59">
        <v>2.2153513873161218E-3</v>
      </c>
      <c r="IL59">
        <v>-2.2967369670569612E-6</v>
      </c>
      <c r="IM59">
        <v>7.7859689150384122E-10</v>
      </c>
      <c r="IN59">
        <v>-0.15929195450228151</v>
      </c>
      <c r="IO59">
        <v>-4.1434251034592161E-3</v>
      </c>
      <c r="IP59">
        <v>8.3987709687394815E-4</v>
      </c>
      <c r="IQ59">
        <v>-7.4586254598011197E-6</v>
      </c>
      <c r="IR59">
        <v>2</v>
      </c>
      <c r="IS59">
        <v>1930</v>
      </c>
      <c r="IT59">
        <v>2</v>
      </c>
      <c r="IU59">
        <v>41</v>
      </c>
      <c r="IV59">
        <v>0.6</v>
      </c>
      <c r="IW59">
        <v>0.6</v>
      </c>
      <c r="IX59">
        <v>0.98266600000000004</v>
      </c>
      <c r="IY59">
        <v>2.5524900000000001</v>
      </c>
      <c r="IZ59">
        <v>1.24512</v>
      </c>
      <c r="JA59">
        <v>2.2534200000000002</v>
      </c>
      <c r="JB59">
        <v>1.4501999999999999</v>
      </c>
      <c r="JC59">
        <v>2.4011200000000001</v>
      </c>
      <c r="JD59">
        <v>50.902099999999997</v>
      </c>
      <c r="JE59">
        <v>24.035</v>
      </c>
      <c r="JF59">
        <v>18</v>
      </c>
      <c r="JG59">
        <v>494.32600000000002</v>
      </c>
      <c r="JH59">
        <v>384.85500000000002</v>
      </c>
      <c r="JI59">
        <v>25.870200000000001</v>
      </c>
      <c r="JJ59">
        <v>35.5747</v>
      </c>
      <c r="JK59">
        <v>30.000399999999999</v>
      </c>
      <c r="JL59">
        <v>35.375900000000001</v>
      </c>
      <c r="JM59">
        <v>35.3172</v>
      </c>
      <c r="JN59">
        <v>19.767900000000001</v>
      </c>
      <c r="JO59">
        <v>54.154400000000003</v>
      </c>
      <c r="JP59">
        <v>0</v>
      </c>
      <c r="JQ59">
        <v>25.8689</v>
      </c>
      <c r="JR59">
        <v>400</v>
      </c>
      <c r="JS59">
        <v>23.1616</v>
      </c>
      <c r="JT59">
        <v>98.982100000000003</v>
      </c>
      <c r="JU59">
        <v>98.941900000000004</v>
      </c>
    </row>
    <row r="60" spans="1:281" x14ac:dyDescent="0.25">
      <c r="A60">
        <v>44</v>
      </c>
      <c r="B60">
        <v>1693333181.0999999</v>
      </c>
      <c r="C60">
        <v>10468</v>
      </c>
      <c r="D60" t="s">
        <v>641</v>
      </c>
      <c r="E60" t="s">
        <v>642</v>
      </c>
      <c r="F60" t="s">
        <v>413</v>
      </c>
      <c r="G60" t="s">
        <v>636</v>
      </c>
      <c r="H60" t="s">
        <v>637</v>
      </c>
      <c r="I60" t="s">
        <v>415</v>
      </c>
      <c r="J60">
        <v>1693333181.0999999</v>
      </c>
      <c r="K60">
        <f t="shared" si="46"/>
        <v>5.2570075758160964E-3</v>
      </c>
      <c r="L60">
        <f t="shared" si="47"/>
        <v>5.2570075758160968</v>
      </c>
      <c r="M60">
        <f t="shared" si="48"/>
        <v>35.658838873469882</v>
      </c>
      <c r="N60">
        <f t="shared" si="49"/>
        <v>255.53200000000001</v>
      </c>
      <c r="O60">
        <f t="shared" si="50"/>
        <v>96.845105521502617</v>
      </c>
      <c r="P60">
        <f t="shared" si="51"/>
        <v>9.598156425112629</v>
      </c>
      <c r="Q60">
        <f t="shared" si="52"/>
        <v>25.325349117176803</v>
      </c>
      <c r="R60">
        <f t="shared" si="53"/>
        <v>0.39240031376134787</v>
      </c>
      <c r="S60">
        <f t="shared" si="54"/>
        <v>2.9129754604845872</v>
      </c>
      <c r="T60">
        <f t="shared" si="55"/>
        <v>0.36522233591874997</v>
      </c>
      <c r="U60">
        <f t="shared" si="56"/>
        <v>0.23054873907726905</v>
      </c>
      <c r="V60">
        <f t="shared" si="57"/>
        <v>344.36939864417741</v>
      </c>
      <c r="W60">
        <f t="shared" si="58"/>
        <v>31.306364669171774</v>
      </c>
      <c r="X60">
        <f t="shared" si="59"/>
        <v>30.005099999999999</v>
      </c>
      <c r="Y60">
        <f t="shared" si="60"/>
        <v>4.2616979871360261</v>
      </c>
      <c r="Z60">
        <f t="shared" si="61"/>
        <v>65.309781134825414</v>
      </c>
      <c r="AA60">
        <f t="shared" si="62"/>
        <v>2.8865795896887003</v>
      </c>
      <c r="AB60">
        <f t="shared" si="63"/>
        <v>4.4198273819501086</v>
      </c>
      <c r="AC60">
        <f t="shared" si="64"/>
        <v>1.3751183974473258</v>
      </c>
      <c r="AD60">
        <f t="shared" si="65"/>
        <v>-231.83403409348986</v>
      </c>
      <c r="AE60">
        <f t="shared" si="66"/>
        <v>99.848786937705086</v>
      </c>
      <c r="AF60">
        <f t="shared" si="67"/>
        <v>7.6459891939895268</v>
      </c>
      <c r="AG60">
        <f t="shared" si="68"/>
        <v>220.03014068238215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51750.048925864488</v>
      </c>
      <c r="AM60" t="s">
        <v>416</v>
      </c>
      <c r="AN60">
        <v>10366.9</v>
      </c>
      <c r="AO60">
        <v>993.59653846153856</v>
      </c>
      <c r="AP60">
        <v>3431.87</v>
      </c>
      <c r="AQ60">
        <f t="shared" si="72"/>
        <v>0.71047955241266758</v>
      </c>
      <c r="AR60">
        <v>-3.9894345373445681</v>
      </c>
      <c r="AS60" t="s">
        <v>643</v>
      </c>
      <c r="AT60">
        <v>10443.5</v>
      </c>
      <c r="AU60">
        <v>746.20292000000006</v>
      </c>
      <c r="AV60">
        <v>1040.3662170361131</v>
      </c>
      <c r="AW60">
        <f t="shared" si="73"/>
        <v>0.28274975890139087</v>
      </c>
      <c r="AX60">
        <v>0.5</v>
      </c>
      <c r="AY60">
        <f t="shared" si="74"/>
        <v>1513.1846993220888</v>
      </c>
      <c r="AZ60">
        <f t="shared" si="75"/>
        <v>35.658838873469882</v>
      </c>
      <c r="BA60">
        <f t="shared" si="76"/>
        <v>213.92630445329712</v>
      </c>
      <c r="BB60">
        <f t="shared" si="77"/>
        <v>2.6201873061878697E-2</v>
      </c>
      <c r="BC60">
        <f t="shared" si="78"/>
        <v>2.2987134182201854</v>
      </c>
      <c r="BD60">
        <f t="shared" si="79"/>
        <v>596.56673676080163</v>
      </c>
      <c r="BE60" t="s">
        <v>644</v>
      </c>
      <c r="BF60">
        <v>603.61</v>
      </c>
      <c r="BG60">
        <f t="shared" si="80"/>
        <v>603.61</v>
      </c>
      <c r="BH60">
        <f t="shared" si="81"/>
        <v>0.41981007253424918</v>
      </c>
      <c r="BI60">
        <f t="shared" si="82"/>
        <v>0.6735182821949165</v>
      </c>
      <c r="BJ60">
        <f t="shared" si="83"/>
        <v>0.84557423396854847</v>
      </c>
      <c r="BK60">
        <f t="shared" si="84"/>
        <v>6.2896155372773821</v>
      </c>
      <c r="BL60">
        <f t="shared" si="85"/>
        <v>0.98081852617750886</v>
      </c>
      <c r="BM60">
        <f t="shared" si="86"/>
        <v>0.54481476743038415</v>
      </c>
      <c r="BN60">
        <f t="shared" si="87"/>
        <v>0.45518523256961585</v>
      </c>
      <c r="BO60">
        <v>7634</v>
      </c>
      <c r="BP60">
        <v>290.00000000000011</v>
      </c>
      <c r="BQ60">
        <v>958.31</v>
      </c>
      <c r="BR60">
        <v>185</v>
      </c>
      <c r="BS60">
        <v>10443.5</v>
      </c>
      <c r="BT60">
        <v>957.31</v>
      </c>
      <c r="BU60">
        <v>1</v>
      </c>
      <c r="BV60">
        <v>300.00000000000011</v>
      </c>
      <c r="BW60">
        <v>38.200000000000003</v>
      </c>
      <c r="BX60">
        <v>1040.3662170361131</v>
      </c>
      <c r="BY60">
        <v>1.0841061711931941</v>
      </c>
      <c r="BZ60">
        <v>-86.737318225226247</v>
      </c>
      <c r="CA60">
        <v>0.92695484948211138</v>
      </c>
      <c r="CB60">
        <v>0.99681230615929284</v>
      </c>
      <c r="CC60">
        <v>-1.1342199332591771E-2</v>
      </c>
      <c r="CD60">
        <v>289.99999999999989</v>
      </c>
      <c r="CE60">
        <v>952.72</v>
      </c>
      <c r="CF60">
        <v>665</v>
      </c>
      <c r="CG60">
        <v>10422.299999999999</v>
      </c>
      <c r="CH60">
        <v>957.14</v>
      </c>
      <c r="CI60">
        <v>-4.42</v>
      </c>
      <c r="CW60">
        <f t="shared" si="88"/>
        <v>1800</v>
      </c>
      <c r="CX60">
        <f t="shared" si="89"/>
        <v>1513.1846993220888</v>
      </c>
      <c r="CY60">
        <f t="shared" si="90"/>
        <v>0.8406581662900493</v>
      </c>
      <c r="CZ60">
        <f t="shared" si="91"/>
        <v>0.19131633258009856</v>
      </c>
      <c r="DA60">
        <v>6</v>
      </c>
      <c r="DB60">
        <v>0.5</v>
      </c>
      <c r="DC60" t="s">
        <v>419</v>
      </c>
      <c r="DD60">
        <v>2</v>
      </c>
      <c r="DE60">
        <v>1693333181.0999999</v>
      </c>
      <c r="DF60">
        <v>255.53200000000001</v>
      </c>
      <c r="DG60">
        <v>299.89999999999998</v>
      </c>
      <c r="DH60">
        <v>29.125499999999999</v>
      </c>
      <c r="DI60">
        <v>23.005600000000001</v>
      </c>
      <c r="DJ60">
        <v>254.95599999999999</v>
      </c>
      <c r="DK60">
        <v>28.8874</v>
      </c>
      <c r="DL60">
        <v>500.39</v>
      </c>
      <c r="DM60">
        <v>99.008700000000005</v>
      </c>
      <c r="DN60">
        <v>9.9627400000000005E-2</v>
      </c>
      <c r="DO60">
        <v>30.640899999999998</v>
      </c>
      <c r="DP60">
        <v>30.005099999999999</v>
      </c>
      <c r="DQ60">
        <v>999.9</v>
      </c>
      <c r="DR60">
        <v>0</v>
      </c>
      <c r="DS60">
        <v>0</v>
      </c>
      <c r="DT60">
        <v>10005</v>
      </c>
      <c r="DU60">
        <v>0</v>
      </c>
      <c r="DV60">
        <v>1528.11</v>
      </c>
      <c r="DW60">
        <v>-44.368200000000002</v>
      </c>
      <c r="DX60">
        <v>263.197</v>
      </c>
      <c r="DY60">
        <v>306.96199999999999</v>
      </c>
      <c r="DZ60">
        <v>6.1199000000000003</v>
      </c>
      <c r="EA60">
        <v>299.89999999999998</v>
      </c>
      <c r="EB60">
        <v>23.005600000000001</v>
      </c>
      <c r="EC60">
        <v>2.88368</v>
      </c>
      <c r="ED60">
        <v>2.2777599999999998</v>
      </c>
      <c r="EE60">
        <v>23.371099999999998</v>
      </c>
      <c r="EF60">
        <v>19.5199</v>
      </c>
      <c r="EG60">
        <v>1800</v>
      </c>
      <c r="EH60">
        <v>0.97799800000000003</v>
      </c>
      <c r="EI60">
        <v>2.2001799999999998E-2</v>
      </c>
      <c r="EJ60">
        <v>0</v>
      </c>
      <c r="EK60">
        <v>745.44600000000003</v>
      </c>
      <c r="EL60">
        <v>5.0010300000000001</v>
      </c>
      <c r="EM60">
        <v>14528.9</v>
      </c>
      <c r="EN60">
        <v>14701.1</v>
      </c>
      <c r="EO60">
        <v>47.811999999999998</v>
      </c>
      <c r="EP60">
        <v>50.125</v>
      </c>
      <c r="EQ60">
        <v>49.186999999999998</v>
      </c>
      <c r="ER60">
        <v>49.186999999999998</v>
      </c>
      <c r="ES60">
        <v>49.5</v>
      </c>
      <c r="ET60">
        <v>1755.51</v>
      </c>
      <c r="EU60">
        <v>39.49</v>
      </c>
      <c r="EV60">
        <v>0</v>
      </c>
      <c r="EW60">
        <v>97.400000095367432</v>
      </c>
      <c r="EX60">
        <v>0</v>
      </c>
      <c r="EY60">
        <v>746.20292000000006</v>
      </c>
      <c r="EZ60">
        <v>-7.8422307484923497</v>
      </c>
      <c r="FA60">
        <v>-156.45384583880829</v>
      </c>
      <c r="FB60">
        <v>14547.88</v>
      </c>
      <c r="FC60">
        <v>15</v>
      </c>
      <c r="FD60">
        <v>1693333149.5999999</v>
      </c>
      <c r="FE60" t="s">
        <v>645</v>
      </c>
      <c r="FF60">
        <v>1693333149.5999999</v>
      </c>
      <c r="FG60">
        <v>1693333147.0999999</v>
      </c>
      <c r="FH60">
        <v>51</v>
      </c>
      <c r="FI60">
        <v>-5.3999999999999999E-2</v>
      </c>
      <c r="FJ60">
        <v>-4.0000000000000001E-3</v>
      </c>
      <c r="FK60">
        <v>0.625</v>
      </c>
      <c r="FL60">
        <v>9.6000000000000002E-2</v>
      </c>
      <c r="FM60">
        <v>300</v>
      </c>
      <c r="FN60">
        <v>23</v>
      </c>
      <c r="FO60">
        <v>0.16</v>
      </c>
      <c r="FP60">
        <v>0.04</v>
      </c>
      <c r="FQ60">
        <v>35.80362775134769</v>
      </c>
      <c r="FR60">
        <v>-2.29031640776928E-2</v>
      </c>
      <c r="FS60">
        <v>0.1368931869687324</v>
      </c>
      <c r="FT60">
        <v>1</v>
      </c>
      <c r="FU60">
        <v>0.38966871447773882</v>
      </c>
      <c r="FV60">
        <v>-1.452831355329269E-2</v>
      </c>
      <c r="FW60">
        <v>1.833807584133667E-3</v>
      </c>
      <c r="FX60">
        <v>1</v>
      </c>
      <c r="FY60">
        <v>2</v>
      </c>
      <c r="FZ60">
        <v>2</v>
      </c>
      <c r="GA60" t="s">
        <v>421</v>
      </c>
      <c r="GB60">
        <v>2.8958900000000001</v>
      </c>
      <c r="GC60">
        <v>2.8176800000000002</v>
      </c>
      <c r="GD60">
        <v>6.2428299999999999E-2</v>
      </c>
      <c r="GE60">
        <v>7.14722E-2</v>
      </c>
      <c r="GF60">
        <v>0.13498499999999999</v>
      </c>
      <c r="GG60">
        <v>0.11456</v>
      </c>
      <c r="GH60">
        <v>25899.3</v>
      </c>
      <c r="GI60">
        <v>25784</v>
      </c>
      <c r="GJ60">
        <v>24515.4</v>
      </c>
      <c r="GK60">
        <v>24809.5</v>
      </c>
      <c r="GL60">
        <v>28188.5</v>
      </c>
      <c r="GM60">
        <v>28749.200000000001</v>
      </c>
      <c r="GN60">
        <v>33161.9</v>
      </c>
      <c r="GO60">
        <v>33155.4</v>
      </c>
      <c r="GP60">
        <v>1.9257</v>
      </c>
      <c r="GQ60">
        <v>1.6884999999999999</v>
      </c>
      <c r="GR60">
        <v>2.6643300000000002E-2</v>
      </c>
      <c r="GS60">
        <v>0</v>
      </c>
      <c r="GT60">
        <v>29.571400000000001</v>
      </c>
      <c r="GU60">
        <v>999.9</v>
      </c>
      <c r="GV60">
        <v>40.700000000000003</v>
      </c>
      <c r="GW60">
        <v>48.2</v>
      </c>
      <c r="GX60">
        <v>46.645200000000003</v>
      </c>
      <c r="GY60">
        <v>62.052599999999998</v>
      </c>
      <c r="GZ60">
        <v>27.48</v>
      </c>
      <c r="HA60">
        <v>1</v>
      </c>
      <c r="HB60">
        <v>0.68802799999999997</v>
      </c>
      <c r="HC60">
        <v>3.0176799999999999</v>
      </c>
      <c r="HD60">
        <v>20.132100000000001</v>
      </c>
      <c r="HE60">
        <v>5.2304700000000004</v>
      </c>
      <c r="HF60">
        <v>11.9213</v>
      </c>
      <c r="HG60">
        <v>4.9588000000000001</v>
      </c>
      <c r="HH60">
        <v>3.2877999999999998</v>
      </c>
      <c r="HI60">
        <v>9999</v>
      </c>
      <c r="HJ60">
        <v>9999</v>
      </c>
      <c r="HK60">
        <v>9999</v>
      </c>
      <c r="HL60">
        <v>878.5</v>
      </c>
      <c r="HM60">
        <v>1.88107</v>
      </c>
      <c r="HN60">
        <v>1.87836</v>
      </c>
      <c r="HO60">
        <v>1.88629</v>
      </c>
      <c r="HP60">
        <v>1.8839999999999999</v>
      </c>
      <c r="HQ60">
        <v>1.8815900000000001</v>
      </c>
      <c r="HR60">
        <v>1.88049</v>
      </c>
      <c r="HS60">
        <v>1.8817299999999999</v>
      </c>
      <c r="HT60">
        <v>1.8812599999999999</v>
      </c>
      <c r="HU60">
        <v>5</v>
      </c>
      <c r="HV60">
        <v>0</v>
      </c>
      <c r="HW60">
        <v>0</v>
      </c>
      <c r="HX60">
        <v>0</v>
      </c>
      <c r="HY60" t="s">
        <v>422</v>
      </c>
      <c r="HZ60" t="s">
        <v>423</v>
      </c>
      <c r="IA60" t="s">
        <v>424</v>
      </c>
      <c r="IB60" t="s">
        <v>424</v>
      </c>
      <c r="IC60" t="s">
        <v>424</v>
      </c>
      <c r="ID60" t="s">
        <v>424</v>
      </c>
      <c r="IE60">
        <v>0</v>
      </c>
      <c r="IF60">
        <v>100</v>
      </c>
      <c r="IG60">
        <v>100</v>
      </c>
      <c r="IH60">
        <v>0.57599999999999996</v>
      </c>
      <c r="II60">
        <v>0.23810000000000001</v>
      </c>
      <c r="IJ60">
        <v>0.1470831378959378</v>
      </c>
      <c r="IK60">
        <v>2.2153513873161218E-3</v>
      </c>
      <c r="IL60">
        <v>-2.2967369670569612E-6</v>
      </c>
      <c r="IM60">
        <v>7.7859689150384122E-10</v>
      </c>
      <c r="IN60">
        <v>-0.16327060734178989</v>
      </c>
      <c r="IO60">
        <v>-4.1434251034592161E-3</v>
      </c>
      <c r="IP60">
        <v>8.3987709687394815E-4</v>
      </c>
      <c r="IQ60">
        <v>-7.4586254598011197E-6</v>
      </c>
      <c r="IR60">
        <v>2</v>
      </c>
      <c r="IS60">
        <v>1930</v>
      </c>
      <c r="IT60">
        <v>2</v>
      </c>
      <c r="IU60">
        <v>41</v>
      </c>
      <c r="IV60">
        <v>0.5</v>
      </c>
      <c r="IW60">
        <v>0.6</v>
      </c>
      <c r="IX60">
        <v>0.78247100000000003</v>
      </c>
      <c r="IY60">
        <v>2.5415000000000001</v>
      </c>
      <c r="IZ60">
        <v>1.24512</v>
      </c>
      <c r="JA60">
        <v>2.2546400000000002</v>
      </c>
      <c r="JB60">
        <v>1.4501999999999999</v>
      </c>
      <c r="JC60">
        <v>2.4572799999999999</v>
      </c>
      <c r="JD60">
        <v>50.934899999999999</v>
      </c>
      <c r="JE60">
        <v>24.035</v>
      </c>
      <c r="JF60">
        <v>18</v>
      </c>
      <c r="JG60">
        <v>493.87900000000002</v>
      </c>
      <c r="JH60">
        <v>384.82900000000001</v>
      </c>
      <c r="JI60">
        <v>26.163499999999999</v>
      </c>
      <c r="JJ60">
        <v>35.671599999999998</v>
      </c>
      <c r="JK60">
        <v>30.0002</v>
      </c>
      <c r="JL60">
        <v>35.477200000000003</v>
      </c>
      <c r="JM60">
        <v>35.417700000000004</v>
      </c>
      <c r="JN60">
        <v>15.746499999999999</v>
      </c>
      <c r="JO60">
        <v>54.880699999999997</v>
      </c>
      <c r="JP60">
        <v>0</v>
      </c>
      <c r="JQ60">
        <v>26.169</v>
      </c>
      <c r="JR60">
        <v>300</v>
      </c>
      <c r="JS60">
        <v>23.0154</v>
      </c>
      <c r="JT60">
        <v>98.964200000000005</v>
      </c>
      <c r="JU60">
        <v>98.929500000000004</v>
      </c>
    </row>
    <row r="61" spans="1:281" x14ac:dyDescent="0.25">
      <c r="A61">
        <v>45</v>
      </c>
      <c r="B61">
        <v>1693333280.5999999</v>
      </c>
      <c r="C61">
        <v>10567.5</v>
      </c>
      <c r="D61" t="s">
        <v>646</v>
      </c>
      <c r="E61" t="s">
        <v>647</v>
      </c>
      <c r="F61" t="s">
        <v>413</v>
      </c>
      <c r="G61" t="s">
        <v>636</v>
      </c>
      <c r="H61" t="s">
        <v>637</v>
      </c>
      <c r="I61" t="s">
        <v>415</v>
      </c>
      <c r="J61">
        <v>1693333280.5999999</v>
      </c>
      <c r="K61">
        <f t="shared" si="46"/>
        <v>5.4278463367287179E-3</v>
      </c>
      <c r="L61">
        <f t="shared" si="47"/>
        <v>5.4278463367287175</v>
      </c>
      <c r="M61">
        <f t="shared" si="48"/>
        <v>25.012119372655651</v>
      </c>
      <c r="N61">
        <f t="shared" si="49"/>
        <v>168.86699999999999</v>
      </c>
      <c r="O61">
        <f t="shared" si="50"/>
        <v>63.17209691603469</v>
      </c>
      <c r="P61">
        <f t="shared" si="51"/>
        <v>6.2606330269282751</v>
      </c>
      <c r="Q61">
        <f t="shared" si="52"/>
        <v>16.735463424041402</v>
      </c>
      <c r="R61">
        <f t="shared" si="53"/>
        <v>0.4142660328117545</v>
      </c>
      <c r="S61">
        <f t="shared" si="54"/>
        <v>2.9155254244640889</v>
      </c>
      <c r="T61">
        <f t="shared" si="55"/>
        <v>0.3841239035549216</v>
      </c>
      <c r="U61">
        <f t="shared" si="56"/>
        <v>0.24260257501132501</v>
      </c>
      <c r="V61">
        <f t="shared" si="57"/>
        <v>344.36429864381148</v>
      </c>
      <c r="W61">
        <f t="shared" si="58"/>
        <v>31.235190224156781</v>
      </c>
      <c r="X61">
        <f t="shared" si="59"/>
        <v>29.9405</v>
      </c>
      <c r="Y61">
        <f t="shared" si="60"/>
        <v>4.245910792303877</v>
      </c>
      <c r="Z61">
        <f t="shared" si="61"/>
        <v>65.620301817437493</v>
      </c>
      <c r="AA61">
        <f t="shared" si="62"/>
        <v>2.8959793473303002</v>
      </c>
      <c r="AB61">
        <f t="shared" si="63"/>
        <v>4.4132368598169753</v>
      </c>
      <c r="AC61">
        <f t="shared" si="64"/>
        <v>1.3499314449735769</v>
      </c>
      <c r="AD61">
        <f t="shared" si="65"/>
        <v>-239.36802344973646</v>
      </c>
      <c r="AE61">
        <f t="shared" si="66"/>
        <v>105.9876922468241</v>
      </c>
      <c r="AF61">
        <f t="shared" si="67"/>
        <v>8.1053461410422063</v>
      </c>
      <c r="AG61">
        <f t="shared" si="68"/>
        <v>219.08931358194133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51826.799554091856</v>
      </c>
      <c r="AM61" t="s">
        <v>416</v>
      </c>
      <c r="AN61">
        <v>10366.9</v>
      </c>
      <c r="AO61">
        <v>993.59653846153856</v>
      </c>
      <c r="AP61">
        <v>3431.87</v>
      </c>
      <c r="AQ61">
        <f t="shared" si="72"/>
        <v>0.71047955241266758</v>
      </c>
      <c r="AR61">
        <v>-3.9894345373445681</v>
      </c>
      <c r="AS61" t="s">
        <v>648</v>
      </c>
      <c r="AT61">
        <v>10452.5</v>
      </c>
      <c r="AU61">
        <v>737.03246153846158</v>
      </c>
      <c r="AV61">
        <v>950.08251802945165</v>
      </c>
      <c r="AW61">
        <f t="shared" si="73"/>
        <v>0.22424373930474295</v>
      </c>
      <c r="AX61">
        <v>0.5</v>
      </c>
      <c r="AY61">
        <f t="shared" si="74"/>
        <v>1513.1597993219059</v>
      </c>
      <c r="AZ61">
        <f t="shared" si="75"/>
        <v>25.012119372655651</v>
      </c>
      <c r="BA61">
        <f t="shared" si="76"/>
        <v>169.65830578277931</v>
      </c>
      <c r="BB61">
        <f t="shared" si="77"/>
        <v>1.9166220198948401E-2</v>
      </c>
      <c r="BC61">
        <f t="shared" si="78"/>
        <v>2.6121809788879995</v>
      </c>
      <c r="BD61">
        <f t="shared" si="79"/>
        <v>565.73931725539376</v>
      </c>
      <c r="BE61" t="s">
        <v>649</v>
      </c>
      <c r="BF61">
        <v>589.15</v>
      </c>
      <c r="BG61">
        <f t="shared" si="80"/>
        <v>589.15</v>
      </c>
      <c r="BH61">
        <f t="shared" si="81"/>
        <v>0.37989596817132798</v>
      </c>
      <c r="BI61">
        <f t="shared" si="82"/>
        <v>0.59027670228816964</v>
      </c>
      <c r="BJ61">
        <f t="shared" si="83"/>
        <v>0.87303268769718745</v>
      </c>
      <c r="BK61">
        <f t="shared" si="84"/>
        <v>-4.8961243841740849</v>
      </c>
      <c r="BL61">
        <f t="shared" si="85"/>
        <v>1.0178462428921451</v>
      </c>
      <c r="BM61">
        <f t="shared" si="86"/>
        <v>0.47184016620810321</v>
      </c>
      <c r="BN61">
        <f t="shared" si="87"/>
        <v>0.52815983379189679</v>
      </c>
      <c r="BO61">
        <v>7636</v>
      </c>
      <c r="BP61">
        <v>290.00000000000011</v>
      </c>
      <c r="BQ61">
        <v>891.56</v>
      </c>
      <c r="BR61">
        <v>135</v>
      </c>
      <c r="BS61">
        <v>10452.5</v>
      </c>
      <c r="BT61">
        <v>891.23</v>
      </c>
      <c r="BU61">
        <v>0.33</v>
      </c>
      <c r="BV61">
        <v>300.00000000000011</v>
      </c>
      <c r="BW61">
        <v>38.200000000000003</v>
      </c>
      <c r="BX61">
        <v>950.08251802945165</v>
      </c>
      <c r="BY61">
        <v>0.93515126041312036</v>
      </c>
      <c r="BZ61">
        <v>-61.519799437169148</v>
      </c>
      <c r="CA61">
        <v>0.79969069435998297</v>
      </c>
      <c r="CB61">
        <v>0.99529106819637181</v>
      </c>
      <c r="CC61">
        <v>-1.1343084093437161E-2</v>
      </c>
      <c r="CD61">
        <v>289.99999999999989</v>
      </c>
      <c r="CE61">
        <v>889.19</v>
      </c>
      <c r="CF61">
        <v>735</v>
      </c>
      <c r="CG61">
        <v>10418.5</v>
      </c>
      <c r="CH61">
        <v>891.03</v>
      </c>
      <c r="CI61">
        <v>-1.84</v>
      </c>
      <c r="CW61">
        <f t="shared" si="88"/>
        <v>1799.97</v>
      </c>
      <c r="CX61">
        <f t="shared" si="89"/>
        <v>1513.1597993219059</v>
      </c>
      <c r="CY61">
        <f t="shared" si="90"/>
        <v>0.84065834392901317</v>
      </c>
      <c r="CZ61">
        <f t="shared" si="91"/>
        <v>0.19131668785802625</v>
      </c>
      <c r="DA61">
        <v>6</v>
      </c>
      <c r="DB61">
        <v>0.5</v>
      </c>
      <c r="DC61" t="s">
        <v>419</v>
      </c>
      <c r="DD61">
        <v>2</v>
      </c>
      <c r="DE61">
        <v>1693333280.5999999</v>
      </c>
      <c r="DF61">
        <v>168.86699999999999</v>
      </c>
      <c r="DG61">
        <v>199.983</v>
      </c>
      <c r="DH61">
        <v>29.221499999999999</v>
      </c>
      <c r="DI61">
        <v>22.898099999999999</v>
      </c>
      <c r="DJ61">
        <v>168.48699999999999</v>
      </c>
      <c r="DK61">
        <v>28.976800000000001</v>
      </c>
      <c r="DL61">
        <v>499.97500000000002</v>
      </c>
      <c r="DM61">
        <v>99.0047</v>
      </c>
      <c r="DN61">
        <v>9.9704200000000007E-2</v>
      </c>
      <c r="DO61">
        <v>30.614799999999999</v>
      </c>
      <c r="DP61">
        <v>29.9405</v>
      </c>
      <c r="DQ61">
        <v>999.9</v>
      </c>
      <c r="DR61">
        <v>0</v>
      </c>
      <c r="DS61">
        <v>0</v>
      </c>
      <c r="DT61">
        <v>10020</v>
      </c>
      <c r="DU61">
        <v>0</v>
      </c>
      <c r="DV61">
        <v>1501.75</v>
      </c>
      <c r="DW61">
        <v>-31.116900000000001</v>
      </c>
      <c r="DX61">
        <v>173.95</v>
      </c>
      <c r="DY61">
        <v>204.67</v>
      </c>
      <c r="DZ61">
        <v>6.3233800000000002</v>
      </c>
      <c r="EA61">
        <v>199.983</v>
      </c>
      <c r="EB61">
        <v>22.898099999999999</v>
      </c>
      <c r="EC61">
        <v>2.8930699999999998</v>
      </c>
      <c r="ED61">
        <v>2.2670300000000001</v>
      </c>
      <c r="EE61">
        <v>23.425000000000001</v>
      </c>
      <c r="EF61">
        <v>19.443999999999999</v>
      </c>
      <c r="EG61">
        <v>1799.97</v>
      </c>
      <c r="EH61">
        <v>0.97799499999999995</v>
      </c>
      <c r="EI61">
        <v>2.2005299999999998E-2</v>
      </c>
      <c r="EJ61">
        <v>0</v>
      </c>
      <c r="EK61">
        <v>736.19</v>
      </c>
      <c r="EL61">
        <v>5.0010300000000001</v>
      </c>
      <c r="EM61">
        <v>14331.6</v>
      </c>
      <c r="EN61">
        <v>14700.8</v>
      </c>
      <c r="EO61">
        <v>47.561999999999998</v>
      </c>
      <c r="EP61">
        <v>49.875</v>
      </c>
      <c r="EQ61">
        <v>49</v>
      </c>
      <c r="ER61">
        <v>48.875</v>
      </c>
      <c r="ES61">
        <v>49.25</v>
      </c>
      <c r="ET61">
        <v>1755.47</v>
      </c>
      <c r="EU61">
        <v>39.5</v>
      </c>
      <c r="EV61">
        <v>0</v>
      </c>
      <c r="EW61">
        <v>97.399999856948853</v>
      </c>
      <c r="EX61">
        <v>0</v>
      </c>
      <c r="EY61">
        <v>737.03246153846158</v>
      </c>
      <c r="EZ61">
        <v>-4.9186324763859046</v>
      </c>
      <c r="FA61">
        <v>-111.9794874298202</v>
      </c>
      <c r="FB61">
        <v>14342.63846153846</v>
      </c>
      <c r="FC61">
        <v>15</v>
      </c>
      <c r="FD61">
        <v>1693333250.5999999</v>
      </c>
      <c r="FE61" t="s">
        <v>650</v>
      </c>
      <c r="FF61">
        <v>1693333243.5999999</v>
      </c>
      <c r="FG61">
        <v>1693333250.5999999</v>
      </c>
      <c r="FH61">
        <v>52</v>
      </c>
      <c r="FI61">
        <v>-0.08</v>
      </c>
      <c r="FJ61">
        <v>4.0000000000000001E-3</v>
      </c>
      <c r="FK61">
        <v>0.42399999999999999</v>
      </c>
      <c r="FL61">
        <v>9.8000000000000004E-2</v>
      </c>
      <c r="FM61">
        <v>200</v>
      </c>
      <c r="FN61">
        <v>23</v>
      </c>
      <c r="FO61">
        <v>0.15</v>
      </c>
      <c r="FP61">
        <v>0.05</v>
      </c>
      <c r="FQ61">
        <v>24.89304668172079</v>
      </c>
      <c r="FR61">
        <v>0.33676305704366072</v>
      </c>
      <c r="FS61">
        <v>9.1619458519602195E-2</v>
      </c>
      <c r="FT61">
        <v>1</v>
      </c>
      <c r="FU61">
        <v>0.41624024627531342</v>
      </c>
      <c r="FV61">
        <v>-1.0775360838394071E-2</v>
      </c>
      <c r="FW61">
        <v>1.955624899003854E-3</v>
      </c>
      <c r="FX61">
        <v>1</v>
      </c>
      <c r="FY61">
        <v>2</v>
      </c>
      <c r="FZ61">
        <v>2</v>
      </c>
      <c r="GA61" t="s">
        <v>421</v>
      </c>
      <c r="GB61">
        <v>2.8947099999999999</v>
      </c>
      <c r="GC61">
        <v>2.8178800000000002</v>
      </c>
      <c r="GD61">
        <v>4.33756E-2</v>
      </c>
      <c r="GE61">
        <v>5.0605400000000002E-2</v>
      </c>
      <c r="GF61">
        <v>0.135243</v>
      </c>
      <c r="GG61">
        <v>0.114167</v>
      </c>
      <c r="GH61">
        <v>26421.5</v>
      </c>
      <c r="GI61">
        <v>26358.9</v>
      </c>
      <c r="GJ61">
        <v>24512.5</v>
      </c>
      <c r="GK61">
        <v>24806.400000000001</v>
      </c>
      <c r="GL61">
        <v>28177.3</v>
      </c>
      <c r="GM61">
        <v>28758.6</v>
      </c>
      <c r="GN61">
        <v>33158.300000000003</v>
      </c>
      <c r="GO61">
        <v>33151.5</v>
      </c>
      <c r="GP61">
        <v>1.9254</v>
      </c>
      <c r="GQ61">
        <v>1.6856</v>
      </c>
      <c r="GR61">
        <v>2.4765700000000002E-2</v>
      </c>
      <c r="GS61">
        <v>0</v>
      </c>
      <c r="GT61">
        <v>29.537299999999998</v>
      </c>
      <c r="GU61">
        <v>999.9</v>
      </c>
      <c r="GV61">
        <v>40.700000000000003</v>
      </c>
      <c r="GW61">
        <v>48.3</v>
      </c>
      <c r="GX61">
        <v>46.879399999999997</v>
      </c>
      <c r="GY61">
        <v>61.992600000000003</v>
      </c>
      <c r="GZ61">
        <v>26.975200000000001</v>
      </c>
      <c r="HA61">
        <v>1</v>
      </c>
      <c r="HB61">
        <v>0.69225599999999998</v>
      </c>
      <c r="HC61">
        <v>2.8766600000000002</v>
      </c>
      <c r="HD61">
        <v>20.135200000000001</v>
      </c>
      <c r="HE61">
        <v>5.2352600000000002</v>
      </c>
      <c r="HF61">
        <v>11.9201</v>
      </c>
      <c r="HG61">
        <v>4.9598000000000004</v>
      </c>
      <c r="HH61">
        <v>3.2886000000000002</v>
      </c>
      <c r="HI61">
        <v>9999</v>
      </c>
      <c r="HJ61">
        <v>9999</v>
      </c>
      <c r="HK61">
        <v>9999</v>
      </c>
      <c r="HL61">
        <v>878.5</v>
      </c>
      <c r="HM61">
        <v>1.8811</v>
      </c>
      <c r="HN61">
        <v>1.87836</v>
      </c>
      <c r="HO61">
        <v>1.88629</v>
      </c>
      <c r="HP61">
        <v>1.8839999999999999</v>
      </c>
      <c r="HQ61">
        <v>1.8815999999999999</v>
      </c>
      <c r="HR61">
        <v>1.88049</v>
      </c>
      <c r="HS61">
        <v>1.88171</v>
      </c>
      <c r="HT61">
        <v>1.8812599999999999</v>
      </c>
      <c r="HU61">
        <v>5</v>
      </c>
      <c r="HV61">
        <v>0</v>
      </c>
      <c r="HW61">
        <v>0</v>
      </c>
      <c r="HX61">
        <v>0</v>
      </c>
      <c r="HY61" t="s">
        <v>422</v>
      </c>
      <c r="HZ61" t="s">
        <v>423</v>
      </c>
      <c r="IA61" t="s">
        <v>424</v>
      </c>
      <c r="IB61" t="s">
        <v>424</v>
      </c>
      <c r="IC61" t="s">
        <v>424</v>
      </c>
      <c r="ID61" t="s">
        <v>424</v>
      </c>
      <c r="IE61">
        <v>0</v>
      </c>
      <c r="IF61">
        <v>100</v>
      </c>
      <c r="IG61">
        <v>100</v>
      </c>
      <c r="IH61">
        <v>0.38</v>
      </c>
      <c r="II61">
        <v>0.2447</v>
      </c>
      <c r="IJ61">
        <v>6.7574488060124616E-2</v>
      </c>
      <c r="IK61">
        <v>2.2153513873161218E-3</v>
      </c>
      <c r="IL61">
        <v>-2.2967369670569612E-6</v>
      </c>
      <c r="IM61">
        <v>7.7859689150384122E-10</v>
      </c>
      <c r="IN61">
        <v>-0.15891575853032541</v>
      </c>
      <c r="IO61">
        <v>-4.1434251034592161E-3</v>
      </c>
      <c r="IP61">
        <v>8.3987709687394815E-4</v>
      </c>
      <c r="IQ61">
        <v>-7.4586254598011197E-6</v>
      </c>
      <c r="IR61">
        <v>2</v>
      </c>
      <c r="IS61">
        <v>1930</v>
      </c>
      <c r="IT61">
        <v>2</v>
      </c>
      <c r="IU61">
        <v>41</v>
      </c>
      <c r="IV61">
        <v>0.6</v>
      </c>
      <c r="IW61">
        <v>0.5</v>
      </c>
      <c r="IX61">
        <v>0.57372999999999996</v>
      </c>
      <c r="IY61">
        <v>2.5634800000000002</v>
      </c>
      <c r="IZ61">
        <v>1.24512</v>
      </c>
      <c r="JA61">
        <v>2.2534200000000002</v>
      </c>
      <c r="JB61">
        <v>1.4501999999999999</v>
      </c>
      <c r="JC61">
        <v>2.2924799999999999</v>
      </c>
      <c r="JD61">
        <v>51.000700000000002</v>
      </c>
      <c r="JE61">
        <v>24.026199999999999</v>
      </c>
      <c r="JF61">
        <v>18</v>
      </c>
      <c r="JG61">
        <v>494.24299999999999</v>
      </c>
      <c r="JH61">
        <v>383.54599999999999</v>
      </c>
      <c r="JI61">
        <v>26.248699999999999</v>
      </c>
      <c r="JJ61">
        <v>35.730499999999999</v>
      </c>
      <c r="JK61">
        <v>30.0001</v>
      </c>
      <c r="JL61">
        <v>35.549799999999998</v>
      </c>
      <c r="JM61">
        <v>35.493000000000002</v>
      </c>
      <c r="JN61">
        <v>11.562799999999999</v>
      </c>
      <c r="JO61">
        <v>55.179499999999997</v>
      </c>
      <c r="JP61">
        <v>0</v>
      </c>
      <c r="JQ61">
        <v>26.263500000000001</v>
      </c>
      <c r="JR61">
        <v>200</v>
      </c>
      <c r="JS61">
        <v>22.805</v>
      </c>
      <c r="JT61">
        <v>98.9529</v>
      </c>
      <c r="JU61">
        <v>98.917299999999997</v>
      </c>
    </row>
    <row r="62" spans="1:281" x14ac:dyDescent="0.25">
      <c r="A62">
        <v>46</v>
      </c>
      <c r="B62">
        <v>1693333390.5999999</v>
      </c>
      <c r="C62">
        <v>10677.5</v>
      </c>
      <c r="D62" t="s">
        <v>651</v>
      </c>
      <c r="E62" t="s">
        <v>652</v>
      </c>
      <c r="F62" t="s">
        <v>413</v>
      </c>
      <c r="G62" t="s">
        <v>636</v>
      </c>
      <c r="H62" t="s">
        <v>637</v>
      </c>
      <c r="I62" t="s">
        <v>415</v>
      </c>
      <c r="J62">
        <v>1693333390.5999999</v>
      </c>
      <c r="K62">
        <f t="shared" si="46"/>
        <v>5.880913716588586E-3</v>
      </c>
      <c r="L62">
        <f t="shared" si="47"/>
        <v>5.8809137165885863</v>
      </c>
      <c r="M62">
        <f t="shared" si="48"/>
        <v>16.088698382114007</v>
      </c>
      <c r="N62">
        <f t="shared" si="49"/>
        <v>100.036</v>
      </c>
      <c r="O62">
        <f t="shared" si="50"/>
        <v>36.806343962729628</v>
      </c>
      <c r="P62">
        <f t="shared" si="51"/>
        <v>3.6474056657497544</v>
      </c>
      <c r="Q62">
        <f t="shared" si="52"/>
        <v>9.9132875992359999</v>
      </c>
      <c r="R62">
        <f t="shared" si="53"/>
        <v>0.44762345084223387</v>
      </c>
      <c r="S62">
        <f t="shared" si="54"/>
        <v>2.9140882277972167</v>
      </c>
      <c r="T62">
        <f t="shared" si="55"/>
        <v>0.41263539832427543</v>
      </c>
      <c r="U62">
        <f t="shared" si="56"/>
        <v>0.26081238495435921</v>
      </c>
      <c r="V62">
        <f t="shared" si="57"/>
        <v>344.34909864375123</v>
      </c>
      <c r="W62">
        <f t="shared" si="58"/>
        <v>31.251725638941839</v>
      </c>
      <c r="X62">
        <f t="shared" si="59"/>
        <v>30.035699999999999</v>
      </c>
      <c r="Y62">
        <f t="shared" si="60"/>
        <v>4.2691939703837853</v>
      </c>
      <c r="Z62">
        <f t="shared" si="61"/>
        <v>65.388058036415103</v>
      </c>
      <c r="AA62">
        <f t="shared" si="62"/>
        <v>2.9079974536248998</v>
      </c>
      <c r="AB62">
        <f t="shared" si="63"/>
        <v>4.4472913570936976</v>
      </c>
      <c r="AC62">
        <f t="shared" si="64"/>
        <v>1.3611965167588855</v>
      </c>
      <c r="AD62">
        <f t="shared" si="65"/>
        <v>-259.34829490155664</v>
      </c>
      <c r="AE62">
        <f t="shared" si="66"/>
        <v>112.10964598960622</v>
      </c>
      <c r="AF62">
        <f t="shared" si="67"/>
        <v>8.5874973307638509</v>
      </c>
      <c r="AG62">
        <f t="shared" si="68"/>
        <v>205.69794706256465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51762.910106971292</v>
      </c>
      <c r="AM62" t="s">
        <v>416</v>
      </c>
      <c r="AN62">
        <v>10366.9</v>
      </c>
      <c r="AO62">
        <v>993.59653846153856</v>
      </c>
      <c r="AP62">
        <v>3431.87</v>
      </c>
      <c r="AQ62">
        <f t="shared" si="72"/>
        <v>0.71047955241266758</v>
      </c>
      <c r="AR62">
        <v>-3.9894345373445681</v>
      </c>
      <c r="AS62" t="s">
        <v>653</v>
      </c>
      <c r="AT62">
        <v>10445.9</v>
      </c>
      <c r="AU62">
        <v>742.45230769230761</v>
      </c>
      <c r="AV62">
        <v>887.07758170907948</v>
      </c>
      <c r="AW62">
        <f t="shared" si="73"/>
        <v>0.16303565437662282</v>
      </c>
      <c r="AX62">
        <v>0.5</v>
      </c>
      <c r="AY62">
        <f t="shared" si="74"/>
        <v>1513.0925993218757</v>
      </c>
      <c r="AZ62">
        <f t="shared" si="75"/>
        <v>16.088698382114007</v>
      </c>
      <c r="BA62">
        <f t="shared" si="76"/>
        <v>123.34402103143358</v>
      </c>
      <c r="BB62">
        <f t="shared" si="77"/>
        <v>1.3269599579336395E-2</v>
      </c>
      <c r="BC62">
        <f t="shared" si="78"/>
        <v>2.8687371553094834</v>
      </c>
      <c r="BD62">
        <f t="shared" si="79"/>
        <v>542.78340433003837</v>
      </c>
      <c r="BE62" t="s">
        <v>654</v>
      </c>
      <c r="BF62">
        <v>591.83000000000004</v>
      </c>
      <c r="BG62">
        <f t="shared" si="80"/>
        <v>591.83000000000004</v>
      </c>
      <c r="BH62">
        <f t="shared" si="81"/>
        <v>0.33283174752341671</v>
      </c>
      <c r="BI62">
        <f t="shared" si="82"/>
        <v>0.48984405961799737</v>
      </c>
      <c r="BJ62">
        <f t="shared" si="83"/>
        <v>0.89604104811584362</v>
      </c>
      <c r="BK62">
        <f t="shared" si="84"/>
        <v>-1.3577421186434318</v>
      </c>
      <c r="BL62">
        <f t="shared" si="85"/>
        <v>1.0436862224162704</v>
      </c>
      <c r="BM62">
        <f t="shared" si="86"/>
        <v>0.39046873017985645</v>
      </c>
      <c r="BN62">
        <f t="shared" si="87"/>
        <v>0.60953126982014361</v>
      </c>
      <c r="BO62">
        <v>7638</v>
      </c>
      <c r="BP62">
        <v>290.00000000000011</v>
      </c>
      <c r="BQ62">
        <v>849.89</v>
      </c>
      <c r="BR62">
        <v>185</v>
      </c>
      <c r="BS62">
        <v>10445.9</v>
      </c>
      <c r="BT62">
        <v>850.01</v>
      </c>
      <c r="BU62">
        <v>-0.12</v>
      </c>
      <c r="BV62">
        <v>300.00000000000011</v>
      </c>
      <c r="BW62">
        <v>38.200000000000003</v>
      </c>
      <c r="BX62">
        <v>887.07758170907948</v>
      </c>
      <c r="BY62">
        <v>1.0306779891418689</v>
      </c>
      <c r="BZ62">
        <v>-38.718572677121081</v>
      </c>
      <c r="CA62">
        <v>0.88150435167110386</v>
      </c>
      <c r="CB62">
        <v>0.98569425434351243</v>
      </c>
      <c r="CC62">
        <v>-1.1344410901001131E-2</v>
      </c>
      <c r="CD62">
        <v>289.99999999999989</v>
      </c>
      <c r="CE62">
        <v>848.58</v>
      </c>
      <c r="CF62">
        <v>665</v>
      </c>
      <c r="CG62">
        <v>10425</v>
      </c>
      <c r="CH62">
        <v>849.94</v>
      </c>
      <c r="CI62">
        <v>-1.36</v>
      </c>
      <c r="CW62">
        <f t="shared" si="88"/>
        <v>1799.89</v>
      </c>
      <c r="CX62">
        <f t="shared" si="89"/>
        <v>1513.0925993218757</v>
      </c>
      <c r="CY62">
        <f t="shared" si="90"/>
        <v>0.84065837319051473</v>
      </c>
      <c r="CZ62">
        <f t="shared" si="91"/>
        <v>0.19131674638102952</v>
      </c>
      <c r="DA62">
        <v>6</v>
      </c>
      <c r="DB62">
        <v>0.5</v>
      </c>
      <c r="DC62" t="s">
        <v>419</v>
      </c>
      <c r="DD62">
        <v>2</v>
      </c>
      <c r="DE62">
        <v>1693333390.5999999</v>
      </c>
      <c r="DF62">
        <v>100.036</v>
      </c>
      <c r="DG62">
        <v>120.044</v>
      </c>
      <c r="DH62">
        <v>29.344899999999999</v>
      </c>
      <c r="DI62">
        <v>22.496400000000001</v>
      </c>
      <c r="DJ62">
        <v>99.806899999999999</v>
      </c>
      <c r="DK62">
        <v>29.0992</v>
      </c>
      <c r="DL62">
        <v>500.11</v>
      </c>
      <c r="DM62">
        <v>98.997500000000002</v>
      </c>
      <c r="DN62">
        <v>9.9700999999999998E-2</v>
      </c>
      <c r="DO62">
        <v>30.749300000000002</v>
      </c>
      <c r="DP62">
        <v>30.035699999999999</v>
      </c>
      <c r="DQ62">
        <v>999.9</v>
      </c>
      <c r="DR62">
        <v>0</v>
      </c>
      <c r="DS62">
        <v>0</v>
      </c>
      <c r="DT62">
        <v>10012.5</v>
      </c>
      <c r="DU62">
        <v>0</v>
      </c>
      <c r="DV62">
        <v>1500.73</v>
      </c>
      <c r="DW62">
        <v>-20.0075</v>
      </c>
      <c r="DX62">
        <v>103.06</v>
      </c>
      <c r="DY62">
        <v>122.806</v>
      </c>
      <c r="DZ62">
        <v>6.8485399999999998</v>
      </c>
      <c r="EA62">
        <v>120.044</v>
      </c>
      <c r="EB62">
        <v>22.496400000000001</v>
      </c>
      <c r="EC62">
        <v>2.9050699999999998</v>
      </c>
      <c r="ED62">
        <v>2.22709</v>
      </c>
      <c r="EE62">
        <v>23.493600000000001</v>
      </c>
      <c r="EF62">
        <v>19.1585</v>
      </c>
      <c r="EG62">
        <v>1799.89</v>
      </c>
      <c r="EH62">
        <v>0.97799100000000005</v>
      </c>
      <c r="EI62">
        <v>2.20091E-2</v>
      </c>
      <c r="EJ62">
        <v>0</v>
      </c>
      <c r="EK62">
        <v>742.01900000000001</v>
      </c>
      <c r="EL62">
        <v>5.0010300000000001</v>
      </c>
      <c r="EM62">
        <v>14405.5</v>
      </c>
      <c r="EN62">
        <v>14700.1</v>
      </c>
      <c r="EO62">
        <v>47.311999999999998</v>
      </c>
      <c r="EP62">
        <v>49.561999999999998</v>
      </c>
      <c r="EQ62">
        <v>48.686999999999998</v>
      </c>
      <c r="ER62">
        <v>48.686999999999998</v>
      </c>
      <c r="ES62">
        <v>49</v>
      </c>
      <c r="ET62">
        <v>1755.39</v>
      </c>
      <c r="EU62">
        <v>39.5</v>
      </c>
      <c r="EV62">
        <v>0</v>
      </c>
      <c r="EW62">
        <v>108.19999980926509</v>
      </c>
      <c r="EX62">
        <v>0</v>
      </c>
      <c r="EY62">
        <v>742.45230769230761</v>
      </c>
      <c r="EZ62">
        <v>-3.0263247929042789</v>
      </c>
      <c r="FA62">
        <v>-77.924786317588129</v>
      </c>
      <c r="FB62">
        <v>14413.619230769231</v>
      </c>
      <c r="FC62">
        <v>15</v>
      </c>
      <c r="FD62">
        <v>1693333360.0999999</v>
      </c>
      <c r="FE62" t="s">
        <v>655</v>
      </c>
      <c r="FF62">
        <v>1693333349.0999999</v>
      </c>
      <c r="FG62">
        <v>1693333360.0999999</v>
      </c>
      <c r="FH62">
        <v>53</v>
      </c>
      <c r="FI62">
        <v>-3.6999999999999998E-2</v>
      </c>
      <c r="FJ62">
        <v>-2E-3</v>
      </c>
      <c r="FK62">
        <v>0.26400000000000001</v>
      </c>
      <c r="FL62">
        <v>8.4000000000000005E-2</v>
      </c>
      <c r="FM62">
        <v>120</v>
      </c>
      <c r="FN62">
        <v>22</v>
      </c>
      <c r="FO62">
        <v>0.25</v>
      </c>
      <c r="FP62">
        <v>7.0000000000000007E-2</v>
      </c>
      <c r="FQ62">
        <v>15.94650306223058</v>
      </c>
      <c r="FR62">
        <v>0.22766370255442611</v>
      </c>
      <c r="FS62">
        <v>4.9965698323283063E-2</v>
      </c>
      <c r="FT62">
        <v>1</v>
      </c>
      <c r="FU62">
        <v>0.4517832671668674</v>
      </c>
      <c r="FV62">
        <v>1.6532226394809248E-2</v>
      </c>
      <c r="FW62">
        <v>2.931238662736525E-3</v>
      </c>
      <c r="FX62">
        <v>1</v>
      </c>
      <c r="FY62">
        <v>2</v>
      </c>
      <c r="FZ62">
        <v>2</v>
      </c>
      <c r="GA62" t="s">
        <v>421</v>
      </c>
      <c r="GB62">
        <v>2.89499</v>
      </c>
      <c r="GC62">
        <v>2.8178100000000001</v>
      </c>
      <c r="GD62">
        <v>2.6562499999999999E-2</v>
      </c>
      <c r="GE62">
        <v>3.1705999999999998E-2</v>
      </c>
      <c r="GF62">
        <v>0.13560900000000001</v>
      </c>
      <c r="GG62">
        <v>0.112757</v>
      </c>
      <c r="GH62">
        <v>26884</v>
      </c>
      <c r="GI62">
        <v>26883.5</v>
      </c>
      <c r="GJ62">
        <v>24511.7</v>
      </c>
      <c r="GK62">
        <v>24807.3</v>
      </c>
      <c r="GL62">
        <v>28164.1</v>
      </c>
      <c r="GM62">
        <v>28804.9</v>
      </c>
      <c r="GN62">
        <v>33156.699999999997</v>
      </c>
      <c r="GO62">
        <v>33151.9</v>
      </c>
      <c r="GP62">
        <v>1.9260999999999999</v>
      </c>
      <c r="GQ62">
        <v>1.6839999999999999</v>
      </c>
      <c r="GR62">
        <v>3.42429E-2</v>
      </c>
      <c r="GS62">
        <v>0</v>
      </c>
      <c r="GT62">
        <v>29.478300000000001</v>
      </c>
      <c r="GU62">
        <v>999.9</v>
      </c>
      <c r="GV62">
        <v>40.5</v>
      </c>
      <c r="GW62">
        <v>48.4</v>
      </c>
      <c r="GX62">
        <v>46.890799999999999</v>
      </c>
      <c r="GY62">
        <v>62.002600000000001</v>
      </c>
      <c r="GZ62">
        <v>26.7027</v>
      </c>
      <c r="HA62">
        <v>1</v>
      </c>
      <c r="HB62">
        <v>0.695102</v>
      </c>
      <c r="HC62">
        <v>3.1593800000000001</v>
      </c>
      <c r="HD62">
        <v>20.129300000000001</v>
      </c>
      <c r="HE62">
        <v>5.2322600000000001</v>
      </c>
      <c r="HF62">
        <v>11.9207</v>
      </c>
      <c r="HG62">
        <v>4.9596</v>
      </c>
      <c r="HH62">
        <v>3.2890000000000001</v>
      </c>
      <c r="HI62">
        <v>9999</v>
      </c>
      <c r="HJ62">
        <v>9999</v>
      </c>
      <c r="HK62">
        <v>9999</v>
      </c>
      <c r="HL62">
        <v>878.5</v>
      </c>
      <c r="HM62">
        <v>1.8811</v>
      </c>
      <c r="HN62">
        <v>1.87836</v>
      </c>
      <c r="HO62">
        <v>1.88629</v>
      </c>
      <c r="HP62">
        <v>1.88398</v>
      </c>
      <c r="HQ62">
        <v>1.8816200000000001</v>
      </c>
      <c r="HR62">
        <v>1.88052</v>
      </c>
      <c r="HS62">
        <v>1.88171</v>
      </c>
      <c r="HT62">
        <v>1.8812599999999999</v>
      </c>
      <c r="HU62">
        <v>5</v>
      </c>
      <c r="HV62">
        <v>0</v>
      </c>
      <c r="HW62">
        <v>0</v>
      </c>
      <c r="HX62">
        <v>0</v>
      </c>
      <c r="HY62" t="s">
        <v>422</v>
      </c>
      <c r="HZ62" t="s">
        <v>423</v>
      </c>
      <c r="IA62" t="s">
        <v>424</v>
      </c>
      <c r="IB62" t="s">
        <v>424</v>
      </c>
      <c r="IC62" t="s">
        <v>424</v>
      </c>
      <c r="ID62" t="s">
        <v>424</v>
      </c>
      <c r="IE62">
        <v>0</v>
      </c>
      <c r="IF62">
        <v>100</v>
      </c>
      <c r="IG62">
        <v>100</v>
      </c>
      <c r="IH62">
        <v>0.22900000000000001</v>
      </c>
      <c r="II62">
        <v>0.2457</v>
      </c>
      <c r="IJ62">
        <v>3.0233916292071839E-2</v>
      </c>
      <c r="IK62">
        <v>2.2153513873161218E-3</v>
      </c>
      <c r="IL62">
        <v>-2.2967369670569612E-6</v>
      </c>
      <c r="IM62">
        <v>7.7859689150384122E-10</v>
      </c>
      <c r="IN62">
        <v>-0.16110593246806951</v>
      </c>
      <c r="IO62">
        <v>-4.1434251034592161E-3</v>
      </c>
      <c r="IP62">
        <v>8.3987709687394815E-4</v>
      </c>
      <c r="IQ62">
        <v>-7.4586254598011197E-6</v>
      </c>
      <c r="IR62">
        <v>2</v>
      </c>
      <c r="IS62">
        <v>1930</v>
      </c>
      <c r="IT62">
        <v>2</v>
      </c>
      <c r="IU62">
        <v>41</v>
      </c>
      <c r="IV62">
        <v>0.7</v>
      </c>
      <c r="IW62">
        <v>0.5</v>
      </c>
      <c r="IX62">
        <v>0.401611</v>
      </c>
      <c r="IY62">
        <v>2.5842299999999998</v>
      </c>
      <c r="IZ62">
        <v>1.24512</v>
      </c>
      <c r="JA62">
        <v>2.2546400000000002</v>
      </c>
      <c r="JB62">
        <v>1.4501999999999999</v>
      </c>
      <c r="JC62">
        <v>2.2436500000000001</v>
      </c>
      <c r="JD62">
        <v>51.099699999999999</v>
      </c>
      <c r="JE62">
        <v>24.026199999999999</v>
      </c>
      <c r="JF62">
        <v>18</v>
      </c>
      <c r="JG62">
        <v>495.08699999999999</v>
      </c>
      <c r="JH62">
        <v>382.93</v>
      </c>
      <c r="JI62">
        <v>26.440300000000001</v>
      </c>
      <c r="JJ62">
        <v>35.747100000000003</v>
      </c>
      <c r="JK62">
        <v>30.000599999999999</v>
      </c>
      <c r="JL62">
        <v>35.595999999999997</v>
      </c>
      <c r="JM62">
        <v>35.548900000000003</v>
      </c>
      <c r="JN62">
        <v>8.1161499999999993</v>
      </c>
      <c r="JO62">
        <v>55.637799999999999</v>
      </c>
      <c r="JP62">
        <v>0</v>
      </c>
      <c r="JQ62">
        <v>26.430599999999998</v>
      </c>
      <c r="JR62">
        <v>120</v>
      </c>
      <c r="JS62">
        <v>22.424199999999999</v>
      </c>
      <c r="JT62">
        <v>98.948899999999995</v>
      </c>
      <c r="JU62">
        <v>98.919700000000006</v>
      </c>
    </row>
    <row r="63" spans="1:281" x14ac:dyDescent="0.25">
      <c r="A63">
        <v>47</v>
      </c>
      <c r="B63">
        <v>1693333497.0999999</v>
      </c>
      <c r="C63">
        <v>10784</v>
      </c>
      <c r="D63" t="s">
        <v>656</v>
      </c>
      <c r="E63" t="s">
        <v>657</v>
      </c>
      <c r="F63" t="s">
        <v>413</v>
      </c>
      <c r="G63" t="s">
        <v>636</v>
      </c>
      <c r="H63" t="s">
        <v>637</v>
      </c>
      <c r="I63" t="s">
        <v>415</v>
      </c>
      <c r="J63">
        <v>1693333497.0999999</v>
      </c>
      <c r="K63">
        <f t="shared" si="46"/>
        <v>6.3290172187587959E-3</v>
      </c>
      <c r="L63">
        <f t="shared" si="47"/>
        <v>6.3290172187587963</v>
      </c>
      <c r="M63">
        <f t="shared" si="48"/>
        <v>9.8029873715260649</v>
      </c>
      <c r="N63">
        <f t="shared" si="49"/>
        <v>57.8598</v>
      </c>
      <c r="O63">
        <f t="shared" si="50"/>
        <v>22.677139426685947</v>
      </c>
      <c r="P63">
        <f t="shared" si="51"/>
        <v>2.2473090911635993</v>
      </c>
      <c r="Q63">
        <f t="shared" si="52"/>
        <v>5.7339178503216601</v>
      </c>
      <c r="R63">
        <f t="shared" si="53"/>
        <v>0.49413677030127123</v>
      </c>
      <c r="S63">
        <f t="shared" si="54"/>
        <v>2.9088930352811753</v>
      </c>
      <c r="T63">
        <f t="shared" si="55"/>
        <v>0.45179857485057789</v>
      </c>
      <c r="U63">
        <f t="shared" si="56"/>
        <v>0.28587511705535218</v>
      </c>
      <c r="V63">
        <f t="shared" si="57"/>
        <v>344.36869864348324</v>
      </c>
      <c r="W63">
        <f t="shared" si="58"/>
        <v>31.07639117808688</v>
      </c>
      <c r="X63">
        <f t="shared" si="59"/>
        <v>29.969100000000001</v>
      </c>
      <c r="Y63">
        <f t="shared" si="60"/>
        <v>4.2528938707807962</v>
      </c>
      <c r="Z63">
        <f t="shared" si="61"/>
        <v>65.76467451977004</v>
      </c>
      <c r="AA63">
        <f t="shared" si="62"/>
        <v>2.9148540526424398</v>
      </c>
      <c r="AB63">
        <f t="shared" si="63"/>
        <v>4.4322488842641237</v>
      </c>
      <c r="AC63">
        <f t="shared" si="64"/>
        <v>1.3380398181383564</v>
      </c>
      <c r="AD63">
        <f t="shared" si="65"/>
        <v>-279.10965934726289</v>
      </c>
      <c r="AE63">
        <f t="shared" si="66"/>
        <v>113.05459556620301</v>
      </c>
      <c r="AF63">
        <f t="shared" si="67"/>
        <v>8.6699471956244949</v>
      </c>
      <c r="AG63">
        <f t="shared" si="68"/>
        <v>186.98358205804786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51625.72659838674</v>
      </c>
      <c r="AM63" t="s">
        <v>416</v>
      </c>
      <c r="AN63">
        <v>10366.9</v>
      </c>
      <c r="AO63">
        <v>993.59653846153856</v>
      </c>
      <c r="AP63">
        <v>3431.87</v>
      </c>
      <c r="AQ63">
        <f t="shared" si="72"/>
        <v>0.71047955241266758</v>
      </c>
      <c r="AR63">
        <v>-3.9894345373445681</v>
      </c>
      <c r="AS63" t="s">
        <v>658</v>
      </c>
      <c r="AT63">
        <v>10447.799999999999</v>
      </c>
      <c r="AU63">
        <v>747.28065384615377</v>
      </c>
      <c r="AV63">
        <v>844.35472700538378</v>
      </c>
      <c r="AW63">
        <f t="shared" si="73"/>
        <v>0.11496835400391026</v>
      </c>
      <c r="AX63">
        <v>0.5</v>
      </c>
      <c r="AY63">
        <f t="shared" si="74"/>
        <v>1513.1768993217415</v>
      </c>
      <c r="AZ63">
        <f t="shared" si="75"/>
        <v>9.8029873715260649</v>
      </c>
      <c r="BA63">
        <f t="shared" si="76"/>
        <v>86.98372871588063</v>
      </c>
      <c r="BB63">
        <f t="shared" si="77"/>
        <v>9.1148773914357765E-3</v>
      </c>
      <c r="BC63">
        <f t="shared" si="78"/>
        <v>3.0644884078183381</v>
      </c>
      <c r="BD63">
        <f t="shared" si="79"/>
        <v>526.48350031365749</v>
      </c>
      <c r="BE63" t="s">
        <v>659</v>
      </c>
      <c r="BF63">
        <v>606.66999999999996</v>
      </c>
      <c r="BG63">
        <f t="shared" si="80"/>
        <v>606.66999999999996</v>
      </c>
      <c r="BH63">
        <f t="shared" si="81"/>
        <v>0.28149866330276174</v>
      </c>
      <c r="BI63">
        <f t="shared" si="82"/>
        <v>0.40841527506742653</v>
      </c>
      <c r="BJ63">
        <f t="shared" si="83"/>
        <v>0.91586976957192989</v>
      </c>
      <c r="BK63">
        <f t="shared" si="84"/>
        <v>-0.65044823707295363</v>
      </c>
      <c r="BL63">
        <f t="shared" si="85"/>
        <v>1.0612079874592855</v>
      </c>
      <c r="BM63">
        <f t="shared" si="86"/>
        <v>0.33156658565948355</v>
      </c>
      <c r="BN63">
        <f t="shared" si="87"/>
        <v>0.6684334143405164</v>
      </c>
      <c r="BO63">
        <v>7640</v>
      </c>
      <c r="BP63">
        <v>290.00000000000011</v>
      </c>
      <c r="BQ63">
        <v>820.86</v>
      </c>
      <c r="BR63">
        <v>175</v>
      </c>
      <c r="BS63">
        <v>10447.799999999999</v>
      </c>
      <c r="BT63">
        <v>820.25</v>
      </c>
      <c r="BU63">
        <v>0.61</v>
      </c>
      <c r="BV63">
        <v>300.00000000000011</v>
      </c>
      <c r="BW63">
        <v>38.200000000000003</v>
      </c>
      <c r="BX63">
        <v>844.35472700538378</v>
      </c>
      <c r="BY63">
        <v>1.093882855301946</v>
      </c>
      <c r="BZ63">
        <v>-25.187310923540579</v>
      </c>
      <c r="CA63">
        <v>0.93559933300229647</v>
      </c>
      <c r="CB63">
        <v>0.96280269060985613</v>
      </c>
      <c r="CC63">
        <v>-1.134475839822025E-2</v>
      </c>
      <c r="CD63">
        <v>289.99999999999989</v>
      </c>
      <c r="CE63">
        <v>818.78</v>
      </c>
      <c r="CF63">
        <v>695</v>
      </c>
      <c r="CG63">
        <v>10423.200000000001</v>
      </c>
      <c r="CH63">
        <v>820.19</v>
      </c>
      <c r="CI63">
        <v>-1.41</v>
      </c>
      <c r="CW63">
        <f t="shared" si="88"/>
        <v>1799.99</v>
      </c>
      <c r="CX63">
        <f t="shared" si="89"/>
        <v>1513.1768993217415</v>
      </c>
      <c r="CY63">
        <f t="shared" si="90"/>
        <v>0.84065850328154124</v>
      </c>
      <c r="CZ63">
        <f t="shared" si="91"/>
        <v>0.1913170065630827</v>
      </c>
      <c r="DA63">
        <v>6</v>
      </c>
      <c r="DB63">
        <v>0.5</v>
      </c>
      <c r="DC63" t="s">
        <v>419</v>
      </c>
      <c r="DD63">
        <v>2</v>
      </c>
      <c r="DE63">
        <v>1693333497.0999999</v>
      </c>
      <c r="DF63">
        <v>57.8598</v>
      </c>
      <c r="DG63">
        <v>70.062600000000003</v>
      </c>
      <c r="DH63">
        <v>29.4132</v>
      </c>
      <c r="DI63">
        <v>22.041899999999998</v>
      </c>
      <c r="DJ63">
        <v>57.617199999999997</v>
      </c>
      <c r="DK63">
        <v>29.169</v>
      </c>
      <c r="DL63">
        <v>500.00900000000001</v>
      </c>
      <c r="DM63">
        <v>99.000399999999999</v>
      </c>
      <c r="DN63">
        <v>9.9801699999999993E-2</v>
      </c>
      <c r="DO63">
        <v>30.69</v>
      </c>
      <c r="DP63">
        <v>29.969100000000001</v>
      </c>
      <c r="DQ63">
        <v>999.9</v>
      </c>
      <c r="DR63">
        <v>0</v>
      </c>
      <c r="DS63">
        <v>0</v>
      </c>
      <c r="DT63">
        <v>9982.5</v>
      </c>
      <c r="DU63">
        <v>0</v>
      </c>
      <c r="DV63">
        <v>1496.41</v>
      </c>
      <c r="DW63">
        <v>-12.2028</v>
      </c>
      <c r="DX63">
        <v>59.613199999999999</v>
      </c>
      <c r="DY63">
        <v>71.6417</v>
      </c>
      <c r="DZ63">
        <v>7.3712299999999997</v>
      </c>
      <c r="EA63">
        <v>70.062600000000003</v>
      </c>
      <c r="EB63">
        <v>22.041899999999998</v>
      </c>
      <c r="EC63">
        <v>2.9119199999999998</v>
      </c>
      <c r="ED63">
        <v>2.1821600000000001</v>
      </c>
      <c r="EE63">
        <v>23.532599999999999</v>
      </c>
      <c r="EF63">
        <v>18.831900000000001</v>
      </c>
      <c r="EG63">
        <v>1799.99</v>
      </c>
      <c r="EH63">
        <v>0.97799100000000005</v>
      </c>
      <c r="EI63">
        <v>2.20091E-2</v>
      </c>
      <c r="EJ63">
        <v>0</v>
      </c>
      <c r="EK63">
        <v>746.904</v>
      </c>
      <c r="EL63">
        <v>5.0010300000000001</v>
      </c>
      <c r="EM63">
        <v>14480.7</v>
      </c>
      <c r="EN63">
        <v>14701</v>
      </c>
      <c r="EO63">
        <v>47.25</v>
      </c>
      <c r="EP63">
        <v>49.561999999999998</v>
      </c>
      <c r="EQ63">
        <v>48.625</v>
      </c>
      <c r="ER63">
        <v>48.686999999999998</v>
      </c>
      <c r="ES63">
        <v>48.936999999999998</v>
      </c>
      <c r="ET63">
        <v>1755.48</v>
      </c>
      <c r="EU63">
        <v>39.51</v>
      </c>
      <c r="EV63">
        <v>0</v>
      </c>
      <c r="EW63">
        <v>104.3999998569489</v>
      </c>
      <c r="EX63">
        <v>0</v>
      </c>
      <c r="EY63">
        <v>747.28065384615377</v>
      </c>
      <c r="EZ63">
        <v>-3.1562051238685278</v>
      </c>
      <c r="FA63">
        <v>-89.658119410761245</v>
      </c>
      <c r="FB63">
        <v>14487.74230769231</v>
      </c>
      <c r="FC63">
        <v>15</v>
      </c>
      <c r="FD63">
        <v>1693333467.0999999</v>
      </c>
      <c r="FE63" t="s">
        <v>660</v>
      </c>
      <c r="FF63">
        <v>1693333458.0999999</v>
      </c>
      <c r="FG63">
        <v>1693333467.0999999</v>
      </c>
      <c r="FH63">
        <v>54</v>
      </c>
      <c r="FI63">
        <v>9.1999999999999998E-2</v>
      </c>
      <c r="FJ63">
        <v>-3.0000000000000001E-3</v>
      </c>
      <c r="FK63">
        <v>0.26600000000000001</v>
      </c>
      <c r="FL63">
        <v>7.9000000000000001E-2</v>
      </c>
      <c r="FM63">
        <v>70</v>
      </c>
      <c r="FN63">
        <v>22</v>
      </c>
      <c r="FO63">
        <v>0.3</v>
      </c>
      <c r="FP63">
        <v>0.03</v>
      </c>
      <c r="FQ63">
        <v>9.7145566137072397</v>
      </c>
      <c r="FR63">
        <v>-6.3456635700633049E-2</v>
      </c>
      <c r="FS63">
        <v>7.5540379213741224E-2</v>
      </c>
      <c r="FT63">
        <v>1</v>
      </c>
      <c r="FU63">
        <v>0.4946187939142293</v>
      </c>
      <c r="FV63">
        <v>4.3839586637611491E-2</v>
      </c>
      <c r="FW63">
        <v>4.4771091894636418E-3</v>
      </c>
      <c r="FX63">
        <v>1</v>
      </c>
      <c r="FY63">
        <v>2</v>
      </c>
      <c r="FZ63">
        <v>2</v>
      </c>
      <c r="GA63" t="s">
        <v>421</v>
      </c>
      <c r="GB63">
        <v>2.8946000000000001</v>
      </c>
      <c r="GC63">
        <v>2.81765</v>
      </c>
      <c r="GD63">
        <v>1.55535E-2</v>
      </c>
      <c r="GE63">
        <v>1.88819E-2</v>
      </c>
      <c r="GF63">
        <v>0.13580999999999999</v>
      </c>
      <c r="GG63">
        <v>0.11115700000000001</v>
      </c>
      <c r="GH63">
        <v>27183.5</v>
      </c>
      <c r="GI63">
        <v>27236.2</v>
      </c>
      <c r="GJ63">
        <v>24508.5</v>
      </c>
      <c r="GK63">
        <v>24805.5</v>
      </c>
      <c r="GL63">
        <v>28154.7</v>
      </c>
      <c r="GM63">
        <v>28854.6</v>
      </c>
      <c r="GN63">
        <v>33152.9</v>
      </c>
      <c r="GO63">
        <v>33149.1</v>
      </c>
      <c r="GP63">
        <v>1.9249000000000001</v>
      </c>
      <c r="GQ63">
        <v>1.6815</v>
      </c>
      <c r="GR63">
        <v>1.51545E-2</v>
      </c>
      <c r="GS63">
        <v>0</v>
      </c>
      <c r="GT63">
        <v>29.7224</v>
      </c>
      <c r="GU63">
        <v>999.9</v>
      </c>
      <c r="GV63">
        <v>40.4</v>
      </c>
      <c r="GW63">
        <v>48.5</v>
      </c>
      <c r="GX63">
        <v>47.008200000000002</v>
      </c>
      <c r="GY63">
        <v>62.282600000000002</v>
      </c>
      <c r="GZ63">
        <v>27.411899999999999</v>
      </c>
      <c r="HA63">
        <v>1</v>
      </c>
      <c r="HB63">
        <v>0.70101599999999997</v>
      </c>
      <c r="HC63">
        <v>3.02155</v>
      </c>
      <c r="HD63">
        <v>20.133400000000002</v>
      </c>
      <c r="HE63">
        <v>5.2328599999999996</v>
      </c>
      <c r="HF63">
        <v>11.9231</v>
      </c>
      <c r="HG63">
        <v>4.9598000000000004</v>
      </c>
      <c r="HH63">
        <v>3.2888000000000002</v>
      </c>
      <c r="HI63">
        <v>9999</v>
      </c>
      <c r="HJ63">
        <v>9999</v>
      </c>
      <c r="HK63">
        <v>9999</v>
      </c>
      <c r="HL63">
        <v>878.5</v>
      </c>
      <c r="HM63">
        <v>1.8810899999999999</v>
      </c>
      <c r="HN63">
        <v>1.87836</v>
      </c>
      <c r="HO63">
        <v>1.88629</v>
      </c>
      <c r="HP63">
        <v>1.88398</v>
      </c>
      <c r="HQ63">
        <v>1.88157</v>
      </c>
      <c r="HR63">
        <v>1.88049</v>
      </c>
      <c r="HS63">
        <v>1.88171</v>
      </c>
      <c r="HT63">
        <v>1.8812599999999999</v>
      </c>
      <c r="HU63">
        <v>5</v>
      </c>
      <c r="HV63">
        <v>0</v>
      </c>
      <c r="HW63">
        <v>0</v>
      </c>
      <c r="HX63">
        <v>0</v>
      </c>
      <c r="HY63" t="s">
        <v>422</v>
      </c>
      <c r="HZ63" t="s">
        <v>423</v>
      </c>
      <c r="IA63" t="s">
        <v>424</v>
      </c>
      <c r="IB63" t="s">
        <v>424</v>
      </c>
      <c r="IC63" t="s">
        <v>424</v>
      </c>
      <c r="ID63" t="s">
        <v>424</v>
      </c>
      <c r="IE63">
        <v>0</v>
      </c>
      <c r="IF63">
        <v>100</v>
      </c>
      <c r="IG63">
        <v>100</v>
      </c>
      <c r="IH63">
        <v>0.24299999999999999</v>
      </c>
      <c r="II63">
        <v>0.2442</v>
      </c>
      <c r="IJ63">
        <v>0.122429480648081</v>
      </c>
      <c r="IK63">
        <v>2.2153513873161218E-3</v>
      </c>
      <c r="IL63">
        <v>-2.2967369670569612E-6</v>
      </c>
      <c r="IM63">
        <v>7.7859689150384122E-10</v>
      </c>
      <c r="IN63">
        <v>-0.16441620002459811</v>
      </c>
      <c r="IO63">
        <v>-4.1434251034592161E-3</v>
      </c>
      <c r="IP63">
        <v>8.3987709687394815E-4</v>
      </c>
      <c r="IQ63">
        <v>-7.4586254598011197E-6</v>
      </c>
      <c r="IR63">
        <v>2</v>
      </c>
      <c r="IS63">
        <v>1930</v>
      </c>
      <c r="IT63">
        <v>2</v>
      </c>
      <c r="IU63">
        <v>41</v>
      </c>
      <c r="IV63">
        <v>0.7</v>
      </c>
      <c r="IW63">
        <v>0.5</v>
      </c>
      <c r="IX63">
        <v>0.29296899999999998</v>
      </c>
      <c r="IY63">
        <v>2.6013199999999999</v>
      </c>
      <c r="IZ63">
        <v>1.24512</v>
      </c>
      <c r="JA63">
        <v>2.2546400000000002</v>
      </c>
      <c r="JB63">
        <v>1.4501999999999999</v>
      </c>
      <c r="JC63">
        <v>2.33765</v>
      </c>
      <c r="JD63">
        <v>51.198900000000002</v>
      </c>
      <c r="JE63">
        <v>24.035</v>
      </c>
      <c r="JF63">
        <v>18</v>
      </c>
      <c r="JG63">
        <v>494.90699999999998</v>
      </c>
      <c r="JH63">
        <v>381.935</v>
      </c>
      <c r="JI63">
        <v>26.213699999999999</v>
      </c>
      <c r="JJ63">
        <v>35.843000000000004</v>
      </c>
      <c r="JK63">
        <v>30.001100000000001</v>
      </c>
      <c r="JL63">
        <v>35.678600000000003</v>
      </c>
      <c r="JM63">
        <v>35.6312</v>
      </c>
      <c r="JN63">
        <v>5.9440900000000001</v>
      </c>
      <c r="JO63">
        <v>56.575600000000001</v>
      </c>
      <c r="JP63">
        <v>0</v>
      </c>
      <c r="JQ63">
        <v>26.166599999999999</v>
      </c>
      <c r="JR63">
        <v>70</v>
      </c>
      <c r="JS63">
        <v>22.037800000000001</v>
      </c>
      <c r="JT63">
        <v>98.936800000000005</v>
      </c>
      <c r="JU63">
        <v>98.911900000000003</v>
      </c>
    </row>
    <row r="64" spans="1:281" x14ac:dyDescent="0.25">
      <c r="A64">
        <v>48</v>
      </c>
      <c r="B64">
        <v>1693333604.0999999</v>
      </c>
      <c r="C64">
        <v>10891</v>
      </c>
      <c r="D64" t="s">
        <v>661</v>
      </c>
      <c r="E64" t="s">
        <v>662</v>
      </c>
      <c r="F64" t="s">
        <v>413</v>
      </c>
      <c r="G64" t="s">
        <v>636</v>
      </c>
      <c r="H64" t="s">
        <v>637</v>
      </c>
      <c r="I64" t="s">
        <v>415</v>
      </c>
      <c r="J64">
        <v>1693333604.0999999</v>
      </c>
      <c r="K64">
        <f t="shared" si="46"/>
        <v>6.3960040764182392E-3</v>
      </c>
      <c r="L64">
        <f t="shared" si="47"/>
        <v>6.3960040764182393</v>
      </c>
      <c r="M64">
        <f t="shared" si="48"/>
        <v>4.3301624625505095</v>
      </c>
      <c r="N64">
        <f t="shared" si="49"/>
        <v>24.715199999999999</v>
      </c>
      <c r="O64">
        <f t="shared" si="50"/>
        <v>9.1401691841481547</v>
      </c>
      <c r="P64">
        <f t="shared" si="51"/>
        <v>0.90579511686961378</v>
      </c>
      <c r="Q64">
        <f t="shared" si="52"/>
        <v>2.4492880844351999</v>
      </c>
      <c r="R64">
        <f t="shared" si="53"/>
        <v>0.49257419882615044</v>
      </c>
      <c r="S64">
        <f t="shared" si="54"/>
        <v>2.8996776104142254</v>
      </c>
      <c r="T64">
        <f t="shared" si="55"/>
        <v>0.45036966347783436</v>
      </c>
      <c r="U64">
        <f t="shared" si="56"/>
        <v>0.28497099329578357</v>
      </c>
      <c r="V64">
        <f t="shared" si="57"/>
        <v>344.35169864445299</v>
      </c>
      <c r="W64">
        <f t="shared" si="58"/>
        <v>31.100177035273944</v>
      </c>
      <c r="X64">
        <f t="shared" si="59"/>
        <v>29.967400000000001</v>
      </c>
      <c r="Y64">
        <f t="shared" si="60"/>
        <v>4.2524785130744585</v>
      </c>
      <c r="Z64">
        <f t="shared" si="61"/>
        <v>65.185511598900476</v>
      </c>
      <c r="AA64">
        <f t="shared" si="62"/>
        <v>2.8958447393388003</v>
      </c>
      <c r="AB64">
        <f t="shared" si="63"/>
        <v>4.4424668431806031</v>
      </c>
      <c r="AC64">
        <f t="shared" si="64"/>
        <v>1.3566337737356582</v>
      </c>
      <c r="AD64">
        <f t="shared" si="65"/>
        <v>-282.06377977004433</v>
      </c>
      <c r="AE64">
        <f t="shared" si="66"/>
        <v>119.26218820887976</v>
      </c>
      <c r="AF64">
        <f t="shared" si="67"/>
        <v>9.1768157342143155</v>
      </c>
      <c r="AG64">
        <f t="shared" si="68"/>
        <v>190.72692281750273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51357.924714698398</v>
      </c>
      <c r="AM64" t="s">
        <v>416</v>
      </c>
      <c r="AN64">
        <v>10366.9</v>
      </c>
      <c r="AO64">
        <v>993.59653846153856</v>
      </c>
      <c r="AP64">
        <v>3431.87</v>
      </c>
      <c r="AQ64">
        <f t="shared" si="72"/>
        <v>0.71047955241266758</v>
      </c>
      <c r="AR64">
        <v>-3.9894345373445681</v>
      </c>
      <c r="AS64" t="s">
        <v>663</v>
      </c>
      <c r="AT64">
        <v>10460.9</v>
      </c>
      <c r="AU64">
        <v>752.77423999999985</v>
      </c>
      <c r="AV64">
        <v>816.04293731129428</v>
      </c>
      <c r="AW64">
        <f t="shared" si="73"/>
        <v>7.753108864559588E-2</v>
      </c>
      <c r="AX64">
        <v>0.5</v>
      </c>
      <c r="AY64">
        <f t="shared" si="74"/>
        <v>1513.1087993222263</v>
      </c>
      <c r="AZ64">
        <f t="shared" si="75"/>
        <v>4.3301624625505095</v>
      </c>
      <c r="BA64">
        <f t="shared" si="76"/>
        <v>58.656486225341339</v>
      </c>
      <c r="BB64">
        <f t="shared" si="77"/>
        <v>5.4983468496262212E-3</v>
      </c>
      <c r="BC64">
        <f t="shared" si="78"/>
        <v>3.2055017488508097</v>
      </c>
      <c r="BD64">
        <f t="shared" si="79"/>
        <v>515.33531839286672</v>
      </c>
      <c r="BE64" t="s">
        <v>664</v>
      </c>
      <c r="BF64">
        <v>623.37</v>
      </c>
      <c r="BG64">
        <f t="shared" si="80"/>
        <v>623.37</v>
      </c>
      <c r="BH64">
        <f t="shared" si="81"/>
        <v>0.23610637198345819</v>
      </c>
      <c r="BI64">
        <f t="shared" si="82"/>
        <v>0.32837355465793117</v>
      </c>
      <c r="BJ64">
        <f t="shared" si="83"/>
        <v>0.93139649730771079</v>
      </c>
      <c r="BK64">
        <f t="shared" si="84"/>
        <v>-0.35633575946317769</v>
      </c>
      <c r="BL64">
        <f t="shared" si="85"/>
        <v>1.0728193961633057</v>
      </c>
      <c r="BM64">
        <f t="shared" si="86"/>
        <v>0.27192511630992394</v>
      </c>
      <c r="BN64">
        <f t="shared" si="87"/>
        <v>0.72807488369007611</v>
      </c>
      <c r="BO64">
        <v>7642</v>
      </c>
      <c r="BP64">
        <v>290.00000000000011</v>
      </c>
      <c r="BQ64">
        <v>801.27</v>
      </c>
      <c r="BR64">
        <v>105</v>
      </c>
      <c r="BS64">
        <v>10460.9</v>
      </c>
      <c r="BT64">
        <v>799.34</v>
      </c>
      <c r="BU64">
        <v>1.93</v>
      </c>
      <c r="BV64">
        <v>300.00000000000011</v>
      </c>
      <c r="BW64">
        <v>38.200000000000003</v>
      </c>
      <c r="BX64">
        <v>816.04293731129428</v>
      </c>
      <c r="BY64">
        <v>1.058713433153343</v>
      </c>
      <c r="BZ64">
        <v>-17.47684219579957</v>
      </c>
      <c r="CA64">
        <v>0.90564600060753075</v>
      </c>
      <c r="CB64">
        <v>0.93006982677072025</v>
      </c>
      <c r="CC64">
        <v>-1.134631212458289E-2</v>
      </c>
      <c r="CD64">
        <v>289.99999999999989</v>
      </c>
      <c r="CE64">
        <v>797.6</v>
      </c>
      <c r="CF64">
        <v>635</v>
      </c>
      <c r="CG64">
        <v>10429.4</v>
      </c>
      <c r="CH64">
        <v>799.29</v>
      </c>
      <c r="CI64">
        <v>-1.69</v>
      </c>
      <c r="CW64">
        <f t="shared" si="88"/>
        <v>1799.91</v>
      </c>
      <c r="CX64">
        <f t="shared" si="89"/>
        <v>1513.1087993222263</v>
      </c>
      <c r="CY64">
        <f t="shared" si="90"/>
        <v>0.84065803252508531</v>
      </c>
      <c r="CZ64">
        <f t="shared" si="91"/>
        <v>0.19131606505017082</v>
      </c>
      <c r="DA64">
        <v>6</v>
      </c>
      <c r="DB64">
        <v>0.5</v>
      </c>
      <c r="DC64" t="s">
        <v>419</v>
      </c>
      <c r="DD64">
        <v>2</v>
      </c>
      <c r="DE64">
        <v>1693333604.0999999</v>
      </c>
      <c r="DF64">
        <v>24.715199999999999</v>
      </c>
      <c r="DG64">
        <v>30.096299999999999</v>
      </c>
      <c r="DH64">
        <v>29.221299999999999</v>
      </c>
      <c r="DI64">
        <v>21.777000000000001</v>
      </c>
      <c r="DJ64">
        <v>24.4709</v>
      </c>
      <c r="DK64">
        <v>28.980399999999999</v>
      </c>
      <c r="DL64">
        <v>500.44499999999999</v>
      </c>
      <c r="DM64">
        <v>98.999899999999997</v>
      </c>
      <c r="DN64">
        <v>0.100576</v>
      </c>
      <c r="DO64">
        <v>30.7303</v>
      </c>
      <c r="DP64">
        <v>29.967400000000001</v>
      </c>
      <c r="DQ64">
        <v>999.9</v>
      </c>
      <c r="DR64">
        <v>0</v>
      </c>
      <c r="DS64">
        <v>0</v>
      </c>
      <c r="DT64">
        <v>9930</v>
      </c>
      <c r="DU64">
        <v>0</v>
      </c>
      <c r="DV64">
        <v>1482.22</v>
      </c>
      <c r="DW64">
        <v>-5.3810900000000004</v>
      </c>
      <c r="DX64">
        <v>25.459199999999999</v>
      </c>
      <c r="DY64">
        <v>30.766300000000001</v>
      </c>
      <c r="DZ64">
        <v>7.44435</v>
      </c>
      <c r="EA64">
        <v>30.096299999999999</v>
      </c>
      <c r="EB64">
        <v>21.777000000000001</v>
      </c>
      <c r="EC64">
        <v>2.8929100000000001</v>
      </c>
      <c r="ED64">
        <v>2.1559200000000001</v>
      </c>
      <c r="EE64">
        <v>23.423999999999999</v>
      </c>
      <c r="EF64">
        <v>18.638500000000001</v>
      </c>
      <c r="EG64">
        <v>1799.91</v>
      </c>
      <c r="EH64">
        <v>0.97800600000000004</v>
      </c>
      <c r="EI64">
        <v>2.1993700000000001E-2</v>
      </c>
      <c r="EJ64">
        <v>0</v>
      </c>
      <c r="EK64">
        <v>752.351</v>
      </c>
      <c r="EL64">
        <v>5.0010300000000001</v>
      </c>
      <c r="EM64">
        <v>14561.8</v>
      </c>
      <c r="EN64">
        <v>14700.4</v>
      </c>
      <c r="EO64">
        <v>47.061999999999998</v>
      </c>
      <c r="EP64">
        <v>49.311999999999998</v>
      </c>
      <c r="EQ64">
        <v>48.375</v>
      </c>
      <c r="ER64">
        <v>48.436999999999998</v>
      </c>
      <c r="ES64">
        <v>48.75</v>
      </c>
      <c r="ET64">
        <v>1755.43</v>
      </c>
      <c r="EU64">
        <v>39.479999999999997</v>
      </c>
      <c r="EV64">
        <v>0</v>
      </c>
      <c r="EW64">
        <v>105.19999980926509</v>
      </c>
      <c r="EX64">
        <v>0</v>
      </c>
      <c r="EY64">
        <v>752.77423999999985</v>
      </c>
      <c r="EZ64">
        <v>-1.5195384552397919</v>
      </c>
      <c r="FA64">
        <v>-35.530769314942241</v>
      </c>
      <c r="FB64">
        <v>14568.144</v>
      </c>
      <c r="FC64">
        <v>15</v>
      </c>
      <c r="FD64">
        <v>1693333577.0999999</v>
      </c>
      <c r="FE64" t="s">
        <v>665</v>
      </c>
      <c r="FF64">
        <v>1693333567.5999999</v>
      </c>
      <c r="FG64">
        <v>1693333577.0999999</v>
      </c>
      <c r="FH64">
        <v>55</v>
      </c>
      <c r="FI64">
        <v>6.9000000000000006E-2</v>
      </c>
      <c r="FJ64">
        <v>2E-3</v>
      </c>
      <c r="FK64">
        <v>0.255</v>
      </c>
      <c r="FL64">
        <v>6.3E-2</v>
      </c>
      <c r="FM64">
        <v>30</v>
      </c>
      <c r="FN64">
        <v>22</v>
      </c>
      <c r="FO64">
        <v>0.66</v>
      </c>
      <c r="FP64">
        <v>0.04</v>
      </c>
      <c r="FQ64">
        <v>4.2447599093074642</v>
      </c>
      <c r="FR64">
        <v>-0.27696416285438652</v>
      </c>
      <c r="FS64">
        <v>4.5103377497636057E-2</v>
      </c>
      <c r="FT64">
        <v>1</v>
      </c>
      <c r="FU64">
        <v>0.5050979334822342</v>
      </c>
      <c r="FV64">
        <v>1.5972192723607951E-2</v>
      </c>
      <c r="FW64">
        <v>5.8771934386507617E-3</v>
      </c>
      <c r="FX64">
        <v>1</v>
      </c>
      <c r="FY64">
        <v>2</v>
      </c>
      <c r="FZ64">
        <v>2</v>
      </c>
      <c r="GA64" t="s">
        <v>421</v>
      </c>
      <c r="GB64">
        <v>2.8955899999999999</v>
      </c>
      <c r="GC64">
        <v>2.8179799999999999</v>
      </c>
      <c r="GD64">
        <v>6.6475299999999996E-3</v>
      </c>
      <c r="GE64">
        <v>8.1921000000000008E-3</v>
      </c>
      <c r="GF64">
        <v>0.13519300000000001</v>
      </c>
      <c r="GG64">
        <v>0.11021499999999999</v>
      </c>
      <c r="GH64">
        <v>27425.599999999999</v>
      </c>
      <c r="GI64">
        <v>27528.6</v>
      </c>
      <c r="GJ64">
        <v>24505.8</v>
      </c>
      <c r="GK64">
        <v>24802.6</v>
      </c>
      <c r="GL64">
        <v>28172.2</v>
      </c>
      <c r="GM64">
        <v>28881.5</v>
      </c>
      <c r="GN64">
        <v>33149.599999999999</v>
      </c>
      <c r="GO64">
        <v>33144.800000000003</v>
      </c>
      <c r="GP64">
        <v>1.9238999999999999</v>
      </c>
      <c r="GQ64">
        <v>1.6805000000000001</v>
      </c>
      <c r="GR64">
        <v>2.5108499999999999E-2</v>
      </c>
      <c r="GS64">
        <v>0</v>
      </c>
      <c r="GT64">
        <v>29.558700000000002</v>
      </c>
      <c r="GU64">
        <v>999.9</v>
      </c>
      <c r="GV64">
        <v>40.4</v>
      </c>
      <c r="GW64">
        <v>48.5</v>
      </c>
      <c r="GX64">
        <v>47.013800000000003</v>
      </c>
      <c r="GY64">
        <v>62.2926</v>
      </c>
      <c r="GZ64">
        <v>26.438300000000002</v>
      </c>
      <c r="HA64">
        <v>1</v>
      </c>
      <c r="HB64">
        <v>0.70682900000000004</v>
      </c>
      <c r="HC64">
        <v>3.0119799999999999</v>
      </c>
      <c r="HD64">
        <v>20.132100000000001</v>
      </c>
      <c r="HE64">
        <v>5.2346599999999999</v>
      </c>
      <c r="HF64">
        <v>11.9213</v>
      </c>
      <c r="HG64">
        <v>4.9598000000000004</v>
      </c>
      <c r="HH64">
        <v>3.2887</v>
      </c>
      <c r="HI64">
        <v>9999</v>
      </c>
      <c r="HJ64">
        <v>9999</v>
      </c>
      <c r="HK64">
        <v>9999</v>
      </c>
      <c r="HL64">
        <v>878.6</v>
      </c>
      <c r="HM64">
        <v>1.8810899999999999</v>
      </c>
      <c r="HN64">
        <v>1.87836</v>
      </c>
      <c r="HO64">
        <v>1.88629</v>
      </c>
      <c r="HP64">
        <v>1.8839999999999999</v>
      </c>
      <c r="HQ64">
        <v>1.8816600000000001</v>
      </c>
      <c r="HR64">
        <v>1.8805099999999999</v>
      </c>
      <c r="HS64">
        <v>1.88171</v>
      </c>
      <c r="HT64">
        <v>1.8812599999999999</v>
      </c>
      <c r="HU64">
        <v>5</v>
      </c>
      <c r="HV64">
        <v>0</v>
      </c>
      <c r="HW64">
        <v>0</v>
      </c>
      <c r="HX64">
        <v>0</v>
      </c>
      <c r="HY64" t="s">
        <v>422</v>
      </c>
      <c r="HZ64" t="s">
        <v>423</v>
      </c>
      <c r="IA64" t="s">
        <v>424</v>
      </c>
      <c r="IB64" t="s">
        <v>424</v>
      </c>
      <c r="IC64" t="s">
        <v>424</v>
      </c>
      <c r="ID64" t="s">
        <v>424</v>
      </c>
      <c r="IE64">
        <v>0</v>
      </c>
      <c r="IF64">
        <v>100</v>
      </c>
      <c r="IG64">
        <v>100</v>
      </c>
      <c r="IH64">
        <v>0.24399999999999999</v>
      </c>
      <c r="II64">
        <v>0.2409</v>
      </c>
      <c r="IJ64">
        <v>0.19150064416690729</v>
      </c>
      <c r="IK64">
        <v>2.2153513873161218E-3</v>
      </c>
      <c r="IL64">
        <v>-2.2967369670569612E-6</v>
      </c>
      <c r="IM64">
        <v>7.7859689150384122E-10</v>
      </c>
      <c r="IN64">
        <v>-0.16279042118350201</v>
      </c>
      <c r="IO64">
        <v>-4.1434251034592161E-3</v>
      </c>
      <c r="IP64">
        <v>8.3987709687394815E-4</v>
      </c>
      <c r="IQ64">
        <v>-7.4586254598011197E-6</v>
      </c>
      <c r="IR64">
        <v>2</v>
      </c>
      <c r="IS64">
        <v>1930</v>
      </c>
      <c r="IT64">
        <v>2</v>
      </c>
      <c r="IU64">
        <v>41</v>
      </c>
      <c r="IV64">
        <v>0.6</v>
      </c>
      <c r="IW64">
        <v>0.5</v>
      </c>
      <c r="IX64">
        <v>0.20752000000000001</v>
      </c>
      <c r="IY64">
        <v>2.63306</v>
      </c>
      <c r="IZ64">
        <v>1.24512</v>
      </c>
      <c r="JA64">
        <v>2.2534200000000002</v>
      </c>
      <c r="JB64">
        <v>1.4501999999999999</v>
      </c>
      <c r="JC64">
        <v>2.2985799999999998</v>
      </c>
      <c r="JD64">
        <v>51.165799999999997</v>
      </c>
      <c r="JE64">
        <v>24.035</v>
      </c>
      <c r="JF64">
        <v>18</v>
      </c>
      <c r="JG64">
        <v>494.65899999999999</v>
      </c>
      <c r="JH64">
        <v>381.66300000000001</v>
      </c>
      <c r="JI64">
        <v>26.552099999999999</v>
      </c>
      <c r="JJ64">
        <v>35.882800000000003</v>
      </c>
      <c r="JK64">
        <v>29.999199999999998</v>
      </c>
      <c r="JL64">
        <v>35.734999999999999</v>
      </c>
      <c r="JM64">
        <v>35.684100000000001</v>
      </c>
      <c r="JN64">
        <v>4.2321</v>
      </c>
      <c r="JO64">
        <v>56.724200000000003</v>
      </c>
      <c r="JP64">
        <v>0</v>
      </c>
      <c r="JQ64">
        <v>26.586099999999998</v>
      </c>
      <c r="JR64">
        <v>30</v>
      </c>
      <c r="JS64">
        <v>21.908000000000001</v>
      </c>
      <c r="JT64">
        <v>98.926599999999993</v>
      </c>
      <c r="JU64">
        <v>98.899600000000007</v>
      </c>
    </row>
    <row r="65" spans="1:281" x14ac:dyDescent="0.25">
      <c r="A65">
        <v>49</v>
      </c>
      <c r="B65">
        <v>1693333713.5</v>
      </c>
      <c r="C65">
        <v>11000.400000095369</v>
      </c>
      <c r="D65" t="s">
        <v>666</v>
      </c>
      <c r="E65" t="s">
        <v>667</v>
      </c>
      <c r="F65" t="s">
        <v>413</v>
      </c>
      <c r="G65" t="s">
        <v>636</v>
      </c>
      <c r="H65" t="s">
        <v>637</v>
      </c>
      <c r="I65" t="s">
        <v>415</v>
      </c>
      <c r="J65">
        <v>1693333713.5</v>
      </c>
      <c r="K65">
        <f t="shared" si="46"/>
        <v>6.4554739972947925E-3</v>
      </c>
      <c r="L65">
        <f t="shared" si="47"/>
        <v>6.4554739972947921</v>
      </c>
      <c r="M65">
        <f t="shared" si="48"/>
        <v>1.3226799964987326</v>
      </c>
      <c r="N65">
        <f t="shared" si="49"/>
        <v>8.2805</v>
      </c>
      <c r="O65">
        <f t="shared" si="50"/>
        <v>3.5575750020494441</v>
      </c>
      <c r="P65">
        <f t="shared" si="51"/>
        <v>0.35255180138877268</v>
      </c>
      <c r="Q65">
        <f t="shared" si="52"/>
        <v>0.82058851597450011</v>
      </c>
      <c r="R65">
        <f t="shared" si="53"/>
        <v>0.49835955972622176</v>
      </c>
      <c r="S65">
        <f t="shared" si="54"/>
        <v>2.9101791475294929</v>
      </c>
      <c r="T65">
        <f t="shared" si="55"/>
        <v>0.4553456231056412</v>
      </c>
      <c r="U65">
        <f t="shared" si="56"/>
        <v>0.28814562792467574</v>
      </c>
      <c r="V65">
        <f t="shared" si="57"/>
        <v>344.38969864460358</v>
      </c>
      <c r="W65">
        <f t="shared" si="58"/>
        <v>31.145425737036788</v>
      </c>
      <c r="X65">
        <f t="shared" si="59"/>
        <v>30.000699999999998</v>
      </c>
      <c r="Y65">
        <f t="shared" si="60"/>
        <v>4.260621077143453</v>
      </c>
      <c r="Z65">
        <f t="shared" si="61"/>
        <v>65.194639352621849</v>
      </c>
      <c r="AA65">
        <f t="shared" si="62"/>
        <v>2.9064917218428006</v>
      </c>
      <c r="AB65">
        <f t="shared" si="63"/>
        <v>4.4581759339480325</v>
      </c>
      <c r="AC65">
        <f t="shared" si="64"/>
        <v>1.3541293553006524</v>
      </c>
      <c r="AD65">
        <f t="shared" si="65"/>
        <v>-284.68640328070035</v>
      </c>
      <c r="AE65">
        <f t="shared" si="66"/>
        <v>124.16557778875466</v>
      </c>
      <c r="AF65">
        <f t="shared" si="67"/>
        <v>9.5241166450455026</v>
      </c>
      <c r="AG65">
        <f t="shared" si="68"/>
        <v>193.39298979770342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51644.795069375716</v>
      </c>
      <c r="AM65" t="s">
        <v>416</v>
      </c>
      <c r="AN65">
        <v>10366.9</v>
      </c>
      <c r="AO65">
        <v>993.59653846153856</v>
      </c>
      <c r="AP65">
        <v>3431.87</v>
      </c>
      <c r="AQ65">
        <f t="shared" si="72"/>
        <v>0.71047955241266758</v>
      </c>
      <c r="AR65">
        <v>-3.9894345373445681</v>
      </c>
      <c r="AS65" t="s">
        <v>668</v>
      </c>
      <c r="AT65">
        <v>10458.5</v>
      </c>
      <c r="AU65">
        <v>754.95811999999989</v>
      </c>
      <c r="AV65">
        <v>806.30546282176988</v>
      </c>
      <c r="AW65">
        <f t="shared" si="73"/>
        <v>6.3682245984137742E-2</v>
      </c>
      <c r="AX65">
        <v>0.5</v>
      </c>
      <c r="AY65">
        <f t="shared" si="74"/>
        <v>1513.2767993223017</v>
      </c>
      <c r="AZ65">
        <f t="shared" si="75"/>
        <v>1.3226799964987326</v>
      </c>
      <c r="BA65">
        <f t="shared" si="76"/>
        <v>48.18443268826573</v>
      </c>
      <c r="BB65">
        <f t="shared" si="77"/>
        <v>3.5103389784487881E-3</v>
      </c>
      <c r="BC65">
        <f t="shared" si="78"/>
        <v>3.2562901508687894</v>
      </c>
      <c r="BD65">
        <f t="shared" si="79"/>
        <v>511.43487510569639</v>
      </c>
      <c r="BE65" t="s">
        <v>669</v>
      </c>
      <c r="BF65">
        <v>633.27</v>
      </c>
      <c r="BG65">
        <f t="shared" si="80"/>
        <v>633.27</v>
      </c>
      <c r="BH65">
        <f t="shared" si="81"/>
        <v>0.21460286553958097</v>
      </c>
      <c r="BI65">
        <f t="shared" si="82"/>
        <v>0.29674462092582032</v>
      </c>
      <c r="BJ65">
        <f t="shared" si="83"/>
        <v>0.93817070577368333</v>
      </c>
      <c r="BK65">
        <f t="shared" si="84"/>
        <v>-0.27415797921162177</v>
      </c>
      <c r="BL65">
        <f t="shared" si="85"/>
        <v>1.0768129902548318</v>
      </c>
      <c r="BM65">
        <f t="shared" si="86"/>
        <v>0.24891376238683843</v>
      </c>
      <c r="BN65">
        <f t="shared" si="87"/>
        <v>0.75108623761316151</v>
      </c>
      <c r="BO65">
        <v>7644</v>
      </c>
      <c r="BP65">
        <v>290.00000000000011</v>
      </c>
      <c r="BQ65">
        <v>793.25</v>
      </c>
      <c r="BR65">
        <v>125</v>
      </c>
      <c r="BS65">
        <v>10458.5</v>
      </c>
      <c r="BT65">
        <v>791.26</v>
      </c>
      <c r="BU65">
        <v>1.99</v>
      </c>
      <c r="BV65">
        <v>300.00000000000011</v>
      </c>
      <c r="BW65">
        <v>38.200000000000003</v>
      </c>
      <c r="BX65">
        <v>806.30546282176988</v>
      </c>
      <c r="BY65">
        <v>1.1484533219320949</v>
      </c>
      <c r="BZ65">
        <v>-15.733559704156839</v>
      </c>
      <c r="CA65">
        <v>0.98253202571531473</v>
      </c>
      <c r="CB65">
        <v>0.90155580935314239</v>
      </c>
      <c r="CC65">
        <v>-1.1347580422691879E-2</v>
      </c>
      <c r="CD65">
        <v>289.99999999999989</v>
      </c>
      <c r="CE65">
        <v>789.04</v>
      </c>
      <c r="CF65">
        <v>725</v>
      </c>
      <c r="CG65">
        <v>10423.9</v>
      </c>
      <c r="CH65">
        <v>791.21</v>
      </c>
      <c r="CI65">
        <v>-2.17</v>
      </c>
      <c r="CW65">
        <f t="shared" si="88"/>
        <v>1800.11</v>
      </c>
      <c r="CX65">
        <f t="shared" si="89"/>
        <v>1513.2767993223017</v>
      </c>
      <c r="CY65">
        <f t="shared" si="90"/>
        <v>0.84065795941487009</v>
      </c>
      <c r="CZ65">
        <f t="shared" si="91"/>
        <v>0.19131591882974019</v>
      </c>
      <c r="DA65">
        <v>6</v>
      </c>
      <c r="DB65">
        <v>0.5</v>
      </c>
      <c r="DC65" t="s">
        <v>419</v>
      </c>
      <c r="DD65">
        <v>2</v>
      </c>
      <c r="DE65">
        <v>1693333713.5</v>
      </c>
      <c r="DF65">
        <v>8.2805</v>
      </c>
      <c r="DG65">
        <v>9.9309899999999995</v>
      </c>
      <c r="DH65">
        <v>29.3292</v>
      </c>
      <c r="DI65">
        <v>21.813800000000001</v>
      </c>
      <c r="DJ65">
        <v>8.0283700000000007</v>
      </c>
      <c r="DK65">
        <v>29.085699999999999</v>
      </c>
      <c r="DL65">
        <v>500.26400000000001</v>
      </c>
      <c r="DM65">
        <v>98.998900000000006</v>
      </c>
      <c r="DN65">
        <v>0.100009</v>
      </c>
      <c r="DO65">
        <v>30.792100000000001</v>
      </c>
      <c r="DP65">
        <v>30.000699999999998</v>
      </c>
      <c r="DQ65">
        <v>999.9</v>
      </c>
      <c r="DR65">
        <v>0</v>
      </c>
      <c r="DS65">
        <v>0</v>
      </c>
      <c r="DT65">
        <v>9990</v>
      </c>
      <c r="DU65">
        <v>0</v>
      </c>
      <c r="DV65">
        <v>1492.36</v>
      </c>
      <c r="DW65">
        <v>-1.6504799999999999</v>
      </c>
      <c r="DX65">
        <v>8.5306999999999995</v>
      </c>
      <c r="DY65">
        <v>10.1524</v>
      </c>
      <c r="DZ65">
        <v>7.5154300000000003</v>
      </c>
      <c r="EA65">
        <v>9.9309899999999995</v>
      </c>
      <c r="EB65">
        <v>21.813800000000001</v>
      </c>
      <c r="EC65">
        <v>2.9035600000000001</v>
      </c>
      <c r="ED65">
        <v>2.1595399999999998</v>
      </c>
      <c r="EE65">
        <v>23.484999999999999</v>
      </c>
      <c r="EF65">
        <v>18.665299999999998</v>
      </c>
      <c r="EG65">
        <v>1800.11</v>
      </c>
      <c r="EH65">
        <v>0.97800600000000004</v>
      </c>
      <c r="EI65">
        <v>2.1993700000000001E-2</v>
      </c>
      <c r="EJ65">
        <v>0</v>
      </c>
      <c r="EK65">
        <v>755.226</v>
      </c>
      <c r="EL65">
        <v>5.0010300000000001</v>
      </c>
      <c r="EM65">
        <v>14593.7</v>
      </c>
      <c r="EN65">
        <v>14702</v>
      </c>
      <c r="EO65">
        <v>46.875</v>
      </c>
      <c r="EP65">
        <v>49.125</v>
      </c>
      <c r="EQ65">
        <v>48.186999999999998</v>
      </c>
      <c r="ER65">
        <v>48.25</v>
      </c>
      <c r="ES65">
        <v>48.625</v>
      </c>
      <c r="ET65">
        <v>1755.63</v>
      </c>
      <c r="EU65">
        <v>39.479999999999997</v>
      </c>
      <c r="EV65">
        <v>0</v>
      </c>
      <c r="EW65">
        <v>107.3999998569489</v>
      </c>
      <c r="EX65">
        <v>0</v>
      </c>
      <c r="EY65">
        <v>754.95811999999989</v>
      </c>
      <c r="EZ65">
        <v>-0.49038461104884851</v>
      </c>
      <c r="FA65">
        <v>-36.446153961199762</v>
      </c>
      <c r="FB65">
        <v>14597.544</v>
      </c>
      <c r="FC65">
        <v>15</v>
      </c>
      <c r="FD65">
        <v>1693333673.5</v>
      </c>
      <c r="FE65" t="s">
        <v>670</v>
      </c>
      <c r="FF65">
        <v>1693333660.5</v>
      </c>
      <c r="FG65">
        <v>1693333673.5</v>
      </c>
      <c r="FH65">
        <v>56</v>
      </c>
      <c r="FI65">
        <v>4.2999999999999997E-2</v>
      </c>
      <c r="FJ65">
        <v>0</v>
      </c>
      <c r="FK65">
        <v>0.25600000000000001</v>
      </c>
      <c r="FL65">
        <v>6.7000000000000004E-2</v>
      </c>
      <c r="FM65">
        <v>10</v>
      </c>
      <c r="FN65">
        <v>22</v>
      </c>
      <c r="FO65">
        <v>0.85</v>
      </c>
      <c r="FP65">
        <v>0.02</v>
      </c>
      <c r="FQ65">
        <v>1.311514415894901</v>
      </c>
      <c r="FR65">
        <v>7.7684098906426358E-2</v>
      </c>
      <c r="FS65">
        <v>3.6675602887826023E-2</v>
      </c>
      <c r="FT65">
        <v>1</v>
      </c>
      <c r="FU65">
        <v>0.50187047607316682</v>
      </c>
      <c r="FV65">
        <v>-3.7885474956073743E-2</v>
      </c>
      <c r="FW65">
        <v>3.0045965648073619E-3</v>
      </c>
      <c r="FX65">
        <v>1</v>
      </c>
      <c r="FY65">
        <v>2</v>
      </c>
      <c r="FZ65">
        <v>2</v>
      </c>
      <c r="GA65" t="s">
        <v>421</v>
      </c>
      <c r="GB65">
        <v>2.8950999999999998</v>
      </c>
      <c r="GC65">
        <v>2.81793</v>
      </c>
      <c r="GD65">
        <v>2.1835700000000001E-3</v>
      </c>
      <c r="GE65">
        <v>2.7094200000000001E-3</v>
      </c>
      <c r="GF65">
        <v>0.135519</v>
      </c>
      <c r="GG65">
        <v>0.110334</v>
      </c>
      <c r="GH65">
        <v>27549.8</v>
      </c>
      <c r="GI65">
        <v>27679.599999999999</v>
      </c>
      <c r="GJ65">
        <v>24507</v>
      </c>
      <c r="GK65">
        <v>24802.1</v>
      </c>
      <c r="GL65">
        <v>28163.1</v>
      </c>
      <c r="GM65">
        <v>28877</v>
      </c>
      <c r="GN65">
        <v>33151.300000000003</v>
      </c>
      <c r="GO65">
        <v>33144</v>
      </c>
      <c r="GP65">
        <v>1.9240999999999999</v>
      </c>
      <c r="GQ65">
        <v>1.6798999999999999</v>
      </c>
      <c r="GR65">
        <v>2.6524099999999998E-2</v>
      </c>
      <c r="GS65">
        <v>0</v>
      </c>
      <c r="GT65">
        <v>29.568899999999999</v>
      </c>
      <c r="GU65">
        <v>999.9</v>
      </c>
      <c r="GV65">
        <v>40.4</v>
      </c>
      <c r="GW65">
        <v>48.5</v>
      </c>
      <c r="GX65">
        <v>47.012599999999999</v>
      </c>
      <c r="GY65">
        <v>62.132599999999996</v>
      </c>
      <c r="GZ65">
        <v>26.522400000000001</v>
      </c>
      <c r="HA65">
        <v>1</v>
      </c>
      <c r="HB65">
        <v>0.70626</v>
      </c>
      <c r="HC65">
        <v>3.0343499999999999</v>
      </c>
      <c r="HD65">
        <v>20.131599999999999</v>
      </c>
      <c r="HE65">
        <v>5.2352600000000002</v>
      </c>
      <c r="HF65">
        <v>11.9231</v>
      </c>
      <c r="HG65">
        <v>4.9598000000000004</v>
      </c>
      <c r="HH65">
        <v>3.2888999999999999</v>
      </c>
      <c r="HI65">
        <v>9999</v>
      </c>
      <c r="HJ65">
        <v>9999</v>
      </c>
      <c r="HK65">
        <v>9999</v>
      </c>
      <c r="HL65">
        <v>878.6</v>
      </c>
      <c r="HM65">
        <v>1.8810899999999999</v>
      </c>
      <c r="HN65">
        <v>1.87836</v>
      </c>
      <c r="HO65">
        <v>1.88629</v>
      </c>
      <c r="HP65">
        <v>1.88398</v>
      </c>
      <c r="HQ65">
        <v>1.8815599999999999</v>
      </c>
      <c r="HR65">
        <v>1.88049</v>
      </c>
      <c r="HS65">
        <v>1.88171</v>
      </c>
      <c r="HT65">
        <v>1.8812599999999999</v>
      </c>
      <c r="HU65">
        <v>5</v>
      </c>
      <c r="HV65">
        <v>0</v>
      </c>
      <c r="HW65">
        <v>0</v>
      </c>
      <c r="HX65">
        <v>0</v>
      </c>
      <c r="HY65" t="s">
        <v>422</v>
      </c>
      <c r="HZ65" t="s">
        <v>423</v>
      </c>
      <c r="IA65" t="s">
        <v>424</v>
      </c>
      <c r="IB65" t="s">
        <v>424</v>
      </c>
      <c r="IC65" t="s">
        <v>424</v>
      </c>
      <c r="ID65" t="s">
        <v>424</v>
      </c>
      <c r="IE65">
        <v>0</v>
      </c>
      <c r="IF65">
        <v>100</v>
      </c>
      <c r="IG65">
        <v>100</v>
      </c>
      <c r="IH65">
        <v>0.252</v>
      </c>
      <c r="II65">
        <v>0.24349999999999999</v>
      </c>
      <c r="IJ65">
        <v>0.23449268992439889</v>
      </c>
      <c r="IK65">
        <v>2.2153513873161218E-3</v>
      </c>
      <c r="IL65">
        <v>-2.2967369670569612E-6</v>
      </c>
      <c r="IM65">
        <v>7.7859689150384122E-10</v>
      </c>
      <c r="IN65">
        <v>-0.16298275462154629</v>
      </c>
      <c r="IO65">
        <v>-4.1434251034592161E-3</v>
      </c>
      <c r="IP65">
        <v>8.3987709687394815E-4</v>
      </c>
      <c r="IQ65">
        <v>-7.4586254598011197E-6</v>
      </c>
      <c r="IR65">
        <v>2</v>
      </c>
      <c r="IS65">
        <v>1930</v>
      </c>
      <c r="IT65">
        <v>2</v>
      </c>
      <c r="IU65">
        <v>41</v>
      </c>
      <c r="IV65">
        <v>0.9</v>
      </c>
      <c r="IW65">
        <v>0.7</v>
      </c>
      <c r="IX65">
        <v>0.166016</v>
      </c>
      <c r="IY65">
        <v>2.65259</v>
      </c>
      <c r="IZ65">
        <v>1.24512</v>
      </c>
      <c r="JA65">
        <v>2.2546400000000002</v>
      </c>
      <c r="JB65">
        <v>1.4501999999999999</v>
      </c>
      <c r="JC65">
        <v>2.2448700000000001</v>
      </c>
      <c r="JD65">
        <v>51.033700000000003</v>
      </c>
      <c r="JE65">
        <v>24.026199999999999</v>
      </c>
      <c r="JF65">
        <v>18</v>
      </c>
      <c r="JG65">
        <v>495.00400000000002</v>
      </c>
      <c r="JH65">
        <v>381.529</v>
      </c>
      <c r="JI65">
        <v>26.540700000000001</v>
      </c>
      <c r="JJ65">
        <v>35.896099999999997</v>
      </c>
      <c r="JK65">
        <v>30.0001</v>
      </c>
      <c r="JL65">
        <v>35.761600000000001</v>
      </c>
      <c r="JM65">
        <v>35.720500000000001</v>
      </c>
      <c r="JN65">
        <v>3.3972199999999999</v>
      </c>
      <c r="JO65">
        <v>57.1145</v>
      </c>
      <c r="JP65">
        <v>0</v>
      </c>
      <c r="JQ65">
        <v>26.542000000000002</v>
      </c>
      <c r="JR65">
        <v>10</v>
      </c>
      <c r="JS65">
        <v>21.753499999999999</v>
      </c>
      <c r="JT65">
        <v>98.931600000000003</v>
      </c>
      <c r="JU65">
        <v>98.897199999999998</v>
      </c>
    </row>
    <row r="66" spans="1:281" x14ac:dyDescent="0.25">
      <c r="A66">
        <v>50</v>
      </c>
      <c r="B66">
        <v>1693333903</v>
      </c>
      <c r="C66">
        <v>11189.900000095369</v>
      </c>
      <c r="D66" t="s">
        <v>671</v>
      </c>
      <c r="E66" t="s">
        <v>672</v>
      </c>
      <c r="F66" t="s">
        <v>413</v>
      </c>
      <c r="G66" t="s">
        <v>636</v>
      </c>
      <c r="H66" t="s">
        <v>637</v>
      </c>
      <c r="I66" t="s">
        <v>415</v>
      </c>
      <c r="J66">
        <v>1693333903</v>
      </c>
      <c r="K66">
        <f t="shared" si="46"/>
        <v>6.2669240275897717E-3</v>
      </c>
      <c r="L66">
        <f t="shared" si="47"/>
        <v>6.2669240275897717</v>
      </c>
      <c r="M66">
        <f t="shared" si="48"/>
        <v>41.727021040070831</v>
      </c>
      <c r="N66">
        <f t="shared" si="49"/>
        <v>347.32</v>
      </c>
      <c r="O66">
        <f t="shared" si="50"/>
        <v>192.10932308015836</v>
      </c>
      <c r="P66">
        <f t="shared" si="51"/>
        <v>19.037236798029436</v>
      </c>
      <c r="Q66">
        <f t="shared" si="52"/>
        <v>34.417970865123998</v>
      </c>
      <c r="R66">
        <f t="shared" si="53"/>
        <v>0.48270727793598461</v>
      </c>
      <c r="S66">
        <f t="shared" si="54"/>
        <v>2.907500367443554</v>
      </c>
      <c r="T66">
        <f t="shared" si="55"/>
        <v>0.44220148621734895</v>
      </c>
      <c r="U66">
        <f t="shared" si="56"/>
        <v>0.27973141535548102</v>
      </c>
      <c r="V66">
        <f t="shared" si="57"/>
        <v>344.38269864423017</v>
      </c>
      <c r="W66">
        <f t="shared" si="58"/>
        <v>31.136054084711837</v>
      </c>
      <c r="X66">
        <f t="shared" si="59"/>
        <v>29.950700000000001</v>
      </c>
      <c r="Y66">
        <f t="shared" si="60"/>
        <v>4.2484001135556992</v>
      </c>
      <c r="Z66">
        <f t="shared" si="61"/>
        <v>65.147137749961232</v>
      </c>
      <c r="AA66">
        <f t="shared" si="62"/>
        <v>2.8946195277022104</v>
      </c>
      <c r="AB66">
        <f t="shared" si="63"/>
        <v>4.4432029213807365</v>
      </c>
      <c r="AC66">
        <f t="shared" si="64"/>
        <v>1.3537805858534888</v>
      </c>
      <c r="AD66">
        <f t="shared" si="65"/>
        <v>-276.37134961670893</v>
      </c>
      <c r="AE66">
        <f t="shared" si="66"/>
        <v>122.65621755102504</v>
      </c>
      <c r="AF66">
        <f t="shared" si="67"/>
        <v>9.4119398417351121</v>
      </c>
      <c r="AG66">
        <f t="shared" si="68"/>
        <v>200.07950642028138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51578.822299934167</v>
      </c>
      <c r="AM66" t="s">
        <v>416</v>
      </c>
      <c r="AN66">
        <v>10366.9</v>
      </c>
      <c r="AO66">
        <v>993.59653846153856</v>
      </c>
      <c r="AP66">
        <v>3431.87</v>
      </c>
      <c r="AQ66">
        <f t="shared" si="72"/>
        <v>0.71047955241266758</v>
      </c>
      <c r="AR66">
        <v>-3.9894345373445681</v>
      </c>
      <c r="AS66" t="s">
        <v>673</v>
      </c>
      <c r="AT66">
        <v>10451.9</v>
      </c>
      <c r="AU66">
        <v>756.5132799999999</v>
      </c>
      <c r="AV66">
        <v>1097.1898234271709</v>
      </c>
      <c r="AW66">
        <f t="shared" si="73"/>
        <v>0.31049918268749277</v>
      </c>
      <c r="AX66">
        <v>0.5</v>
      </c>
      <c r="AY66">
        <f t="shared" si="74"/>
        <v>1513.2434993221148</v>
      </c>
      <c r="AZ66">
        <f t="shared" si="75"/>
        <v>41.727021040070831</v>
      </c>
      <c r="BA66">
        <f t="shared" si="76"/>
        <v>234.93043487333907</v>
      </c>
      <c r="BB66">
        <f t="shared" si="77"/>
        <v>3.0210904985149403E-2</v>
      </c>
      <c r="BC66">
        <f t="shared" si="78"/>
        <v>2.1278726130363164</v>
      </c>
      <c r="BD66">
        <f t="shared" si="79"/>
        <v>614.82551430614069</v>
      </c>
      <c r="BE66" t="s">
        <v>674</v>
      </c>
      <c r="BF66">
        <v>604.85</v>
      </c>
      <c r="BG66">
        <f t="shared" si="80"/>
        <v>604.85</v>
      </c>
      <c r="BH66">
        <f t="shared" si="81"/>
        <v>0.44872802582993643</v>
      </c>
      <c r="BI66">
        <f t="shared" si="82"/>
        <v>0.6919540675294682</v>
      </c>
      <c r="BJ66">
        <f t="shared" si="83"/>
        <v>0.82584494505621775</v>
      </c>
      <c r="BK66">
        <f t="shared" si="84"/>
        <v>3.2885967805750367</v>
      </c>
      <c r="BL66">
        <f t="shared" si="85"/>
        <v>0.95751367244087982</v>
      </c>
      <c r="BM66">
        <f t="shared" si="86"/>
        <v>0.55323340489832362</v>
      </c>
      <c r="BN66">
        <f t="shared" si="87"/>
        <v>0.44676659510167638</v>
      </c>
      <c r="BO66">
        <v>7646</v>
      </c>
      <c r="BP66">
        <v>290.00000000000011</v>
      </c>
      <c r="BQ66">
        <v>991.57</v>
      </c>
      <c r="BR66">
        <v>185</v>
      </c>
      <c r="BS66">
        <v>10451.9</v>
      </c>
      <c r="BT66">
        <v>989.56</v>
      </c>
      <c r="BU66">
        <v>2.0099999999999998</v>
      </c>
      <c r="BV66">
        <v>300.00000000000011</v>
      </c>
      <c r="BW66">
        <v>38.200000000000003</v>
      </c>
      <c r="BX66">
        <v>1097.1898234271709</v>
      </c>
      <c r="BY66">
        <v>0.91800017824010505</v>
      </c>
      <c r="BZ66">
        <v>-112.4924526895624</v>
      </c>
      <c r="CA66">
        <v>0.7855979256126262</v>
      </c>
      <c r="CB66">
        <v>0.99863629867181014</v>
      </c>
      <c r="CC66">
        <v>-1.1351530367074531E-2</v>
      </c>
      <c r="CD66">
        <v>289.99999999999989</v>
      </c>
      <c r="CE66">
        <v>970.26</v>
      </c>
      <c r="CF66">
        <v>645</v>
      </c>
      <c r="CG66">
        <v>10432.9</v>
      </c>
      <c r="CH66">
        <v>989.37</v>
      </c>
      <c r="CI66">
        <v>-19.11</v>
      </c>
      <c r="CW66">
        <f t="shared" si="88"/>
        <v>1800.07</v>
      </c>
      <c r="CX66">
        <f t="shared" si="89"/>
        <v>1513.2434993221148</v>
      </c>
      <c r="CY66">
        <f t="shared" si="90"/>
        <v>0.84065814069570344</v>
      </c>
      <c r="CZ66">
        <f t="shared" si="91"/>
        <v>0.19131628139140711</v>
      </c>
      <c r="DA66">
        <v>6</v>
      </c>
      <c r="DB66">
        <v>0.5</v>
      </c>
      <c r="DC66" t="s">
        <v>419</v>
      </c>
      <c r="DD66">
        <v>2</v>
      </c>
      <c r="DE66">
        <v>1693333903</v>
      </c>
      <c r="DF66">
        <v>347.32</v>
      </c>
      <c r="DG66">
        <v>399.92399999999998</v>
      </c>
      <c r="DH66">
        <v>29.2103</v>
      </c>
      <c r="DI66">
        <v>21.9208</v>
      </c>
      <c r="DJ66">
        <v>346.65800000000002</v>
      </c>
      <c r="DK66">
        <v>28.970700000000001</v>
      </c>
      <c r="DL66">
        <v>500.76400000000001</v>
      </c>
      <c r="DM66">
        <v>98.995900000000006</v>
      </c>
      <c r="DN66">
        <v>9.9950700000000003E-2</v>
      </c>
      <c r="DO66">
        <v>30.7332</v>
      </c>
      <c r="DP66">
        <v>29.950700000000001</v>
      </c>
      <c r="DQ66">
        <v>999.9</v>
      </c>
      <c r="DR66">
        <v>0</v>
      </c>
      <c r="DS66">
        <v>0</v>
      </c>
      <c r="DT66">
        <v>9975</v>
      </c>
      <c r="DU66">
        <v>0</v>
      </c>
      <c r="DV66">
        <v>1492.91</v>
      </c>
      <c r="DW66">
        <v>-52.6038</v>
      </c>
      <c r="DX66">
        <v>357.77100000000002</v>
      </c>
      <c r="DY66">
        <v>408.887</v>
      </c>
      <c r="DZ66">
        <v>7.2894800000000002</v>
      </c>
      <c r="EA66">
        <v>399.92399999999998</v>
      </c>
      <c r="EB66">
        <v>21.9208</v>
      </c>
      <c r="EC66">
        <v>2.8917000000000002</v>
      </c>
      <c r="ED66">
        <v>2.1700699999999999</v>
      </c>
      <c r="EE66">
        <v>23.417100000000001</v>
      </c>
      <c r="EF66">
        <v>18.743099999999998</v>
      </c>
      <c r="EG66">
        <v>1800.07</v>
      </c>
      <c r="EH66">
        <v>0.97800299999999996</v>
      </c>
      <c r="EI66">
        <v>2.1997300000000001E-2</v>
      </c>
      <c r="EJ66">
        <v>0</v>
      </c>
      <c r="EK66">
        <v>756.37800000000004</v>
      </c>
      <c r="EL66">
        <v>5.0010300000000001</v>
      </c>
      <c r="EM66">
        <v>14610.7</v>
      </c>
      <c r="EN66">
        <v>14701.7</v>
      </c>
      <c r="EO66">
        <v>46.686999999999998</v>
      </c>
      <c r="EP66">
        <v>48.936999999999998</v>
      </c>
      <c r="EQ66">
        <v>48</v>
      </c>
      <c r="ER66">
        <v>48.061999999999998</v>
      </c>
      <c r="ES66">
        <v>48.375</v>
      </c>
      <c r="ET66">
        <v>1755.58</v>
      </c>
      <c r="EU66">
        <v>39.49</v>
      </c>
      <c r="EV66">
        <v>0</v>
      </c>
      <c r="EW66">
        <v>187.4000000953674</v>
      </c>
      <c r="EX66">
        <v>0</v>
      </c>
      <c r="EY66">
        <v>756.5132799999999</v>
      </c>
      <c r="EZ66">
        <v>-2.6731538388126892</v>
      </c>
      <c r="FA66">
        <v>-34.676922682309652</v>
      </c>
      <c r="FB66">
        <v>14620.464</v>
      </c>
      <c r="FC66">
        <v>15</v>
      </c>
      <c r="FD66">
        <v>1693333797</v>
      </c>
      <c r="FE66" t="s">
        <v>675</v>
      </c>
      <c r="FF66">
        <v>1693333797</v>
      </c>
      <c r="FG66">
        <v>1693333797</v>
      </c>
      <c r="FH66">
        <v>57</v>
      </c>
      <c r="FI66">
        <v>-9.7000000000000003E-2</v>
      </c>
      <c r="FJ66">
        <v>-1E-3</v>
      </c>
      <c r="FK66">
        <v>0.70599999999999996</v>
      </c>
      <c r="FL66">
        <v>6.4000000000000001E-2</v>
      </c>
      <c r="FM66">
        <v>400</v>
      </c>
      <c r="FN66">
        <v>22</v>
      </c>
      <c r="FO66">
        <v>0.3</v>
      </c>
      <c r="FP66">
        <v>0.03</v>
      </c>
      <c r="FQ66">
        <v>41.208875493999393</v>
      </c>
      <c r="FR66">
        <v>4.6560628779219746</v>
      </c>
      <c r="FS66">
        <v>0.37387575271920892</v>
      </c>
      <c r="FT66">
        <v>0</v>
      </c>
      <c r="FU66">
        <v>0.47517490617156333</v>
      </c>
      <c r="FV66">
        <v>2.148154717619713E-2</v>
      </c>
      <c r="FW66">
        <v>5.614903113340966E-3</v>
      </c>
      <c r="FX66">
        <v>1</v>
      </c>
      <c r="FY66">
        <v>1</v>
      </c>
      <c r="FZ66">
        <v>2</v>
      </c>
      <c r="GA66" t="s">
        <v>460</v>
      </c>
      <c r="GB66">
        <v>2.8963199999999998</v>
      </c>
      <c r="GC66">
        <v>2.8177500000000002</v>
      </c>
      <c r="GD66">
        <v>8.0240000000000006E-2</v>
      </c>
      <c r="GE66">
        <v>8.9698E-2</v>
      </c>
      <c r="GF66">
        <v>0.13513500000000001</v>
      </c>
      <c r="GG66">
        <v>0.110693</v>
      </c>
      <c r="GH66">
        <v>25396.400000000001</v>
      </c>
      <c r="GI66">
        <v>25269.9</v>
      </c>
      <c r="GJ66">
        <v>24505</v>
      </c>
      <c r="GK66">
        <v>24802.2</v>
      </c>
      <c r="GL66">
        <v>28173.200000000001</v>
      </c>
      <c r="GM66">
        <v>28866.1</v>
      </c>
      <c r="GN66">
        <v>33148.199999999997</v>
      </c>
      <c r="GO66">
        <v>33144.800000000003</v>
      </c>
      <c r="GP66">
        <v>1.9242999999999999</v>
      </c>
      <c r="GQ66">
        <v>1.6801999999999999</v>
      </c>
      <c r="GR66">
        <v>1.7002199999999999E-2</v>
      </c>
      <c r="GS66">
        <v>0</v>
      </c>
      <c r="GT66">
        <v>29.6739</v>
      </c>
      <c r="GU66">
        <v>999.9</v>
      </c>
      <c r="GV66">
        <v>40.700000000000003</v>
      </c>
      <c r="GW66">
        <v>48.4</v>
      </c>
      <c r="GX66">
        <v>47.124299999999998</v>
      </c>
      <c r="GY66">
        <v>62.182600000000001</v>
      </c>
      <c r="GZ66">
        <v>27.011199999999999</v>
      </c>
      <c r="HA66">
        <v>1</v>
      </c>
      <c r="HB66">
        <v>0.70723599999999998</v>
      </c>
      <c r="HC66">
        <v>2.7334200000000002</v>
      </c>
      <c r="HD66">
        <v>20.136900000000001</v>
      </c>
      <c r="HE66">
        <v>5.2316700000000003</v>
      </c>
      <c r="HF66">
        <v>11.9213</v>
      </c>
      <c r="HG66">
        <v>4.96</v>
      </c>
      <c r="HH66">
        <v>3.2887</v>
      </c>
      <c r="HI66">
        <v>9999</v>
      </c>
      <c r="HJ66">
        <v>9999</v>
      </c>
      <c r="HK66">
        <v>9999</v>
      </c>
      <c r="HL66">
        <v>878.7</v>
      </c>
      <c r="HM66">
        <v>1.8810899999999999</v>
      </c>
      <c r="HN66">
        <v>1.87836</v>
      </c>
      <c r="HO66">
        <v>1.88629</v>
      </c>
      <c r="HP66">
        <v>1.88398</v>
      </c>
      <c r="HQ66">
        <v>1.8815599999999999</v>
      </c>
      <c r="HR66">
        <v>1.88049</v>
      </c>
      <c r="HS66">
        <v>1.88171</v>
      </c>
      <c r="HT66">
        <v>1.88127</v>
      </c>
      <c r="HU66">
        <v>5</v>
      </c>
      <c r="HV66">
        <v>0</v>
      </c>
      <c r="HW66">
        <v>0</v>
      </c>
      <c r="HX66">
        <v>0</v>
      </c>
      <c r="HY66" t="s">
        <v>422</v>
      </c>
      <c r="HZ66" t="s">
        <v>423</v>
      </c>
      <c r="IA66" t="s">
        <v>424</v>
      </c>
      <c r="IB66" t="s">
        <v>424</v>
      </c>
      <c r="IC66" t="s">
        <v>424</v>
      </c>
      <c r="ID66" t="s">
        <v>424</v>
      </c>
      <c r="IE66">
        <v>0</v>
      </c>
      <c r="IF66">
        <v>100</v>
      </c>
      <c r="IG66">
        <v>100</v>
      </c>
      <c r="IH66">
        <v>0.66200000000000003</v>
      </c>
      <c r="II66">
        <v>0.23960000000000001</v>
      </c>
      <c r="IJ66">
        <v>0.13752528611663109</v>
      </c>
      <c r="IK66">
        <v>2.2153513873161218E-3</v>
      </c>
      <c r="IL66">
        <v>-2.2967369670569612E-6</v>
      </c>
      <c r="IM66">
        <v>7.7859689150384122E-10</v>
      </c>
      <c r="IN66">
        <v>-0.16384783929585131</v>
      </c>
      <c r="IO66">
        <v>-4.1434251034592161E-3</v>
      </c>
      <c r="IP66">
        <v>8.3987709687394815E-4</v>
      </c>
      <c r="IQ66">
        <v>-7.4586254598011197E-6</v>
      </c>
      <c r="IR66">
        <v>2</v>
      </c>
      <c r="IS66">
        <v>1930</v>
      </c>
      <c r="IT66">
        <v>2</v>
      </c>
      <c r="IU66">
        <v>41</v>
      </c>
      <c r="IV66">
        <v>1.8</v>
      </c>
      <c r="IW66">
        <v>1.8</v>
      </c>
      <c r="IX66">
        <v>0.98144500000000001</v>
      </c>
      <c r="IY66">
        <v>2.5756800000000002</v>
      </c>
      <c r="IZ66">
        <v>1.24512</v>
      </c>
      <c r="JA66">
        <v>2.2546400000000002</v>
      </c>
      <c r="JB66">
        <v>1.4501999999999999</v>
      </c>
      <c r="JC66">
        <v>2.4352999999999998</v>
      </c>
      <c r="JD66">
        <v>50.869300000000003</v>
      </c>
      <c r="JE66">
        <v>24.035</v>
      </c>
      <c r="JF66">
        <v>18</v>
      </c>
      <c r="JG66">
        <v>495.50299999999999</v>
      </c>
      <c r="JH66">
        <v>382.04599999999999</v>
      </c>
      <c r="JI66">
        <v>26.598099999999999</v>
      </c>
      <c r="JJ66">
        <v>35.932600000000001</v>
      </c>
      <c r="JK66">
        <v>29.9998</v>
      </c>
      <c r="JL66">
        <v>35.808100000000003</v>
      </c>
      <c r="JM66">
        <v>35.773600000000002</v>
      </c>
      <c r="JN66">
        <v>19.751200000000001</v>
      </c>
      <c r="JO66">
        <v>57.124299999999998</v>
      </c>
      <c r="JP66">
        <v>0</v>
      </c>
      <c r="JQ66">
        <v>26.607700000000001</v>
      </c>
      <c r="JR66">
        <v>400</v>
      </c>
      <c r="JS66">
        <v>21.817699999999999</v>
      </c>
      <c r="JT66">
        <v>98.922700000000006</v>
      </c>
      <c r="JU66">
        <v>98.898899999999998</v>
      </c>
    </row>
    <row r="67" spans="1:281" x14ac:dyDescent="0.25">
      <c r="A67">
        <v>51</v>
      </c>
      <c r="B67">
        <v>1693334006</v>
      </c>
      <c r="C67">
        <v>11292.900000095369</v>
      </c>
      <c r="D67" t="s">
        <v>676</v>
      </c>
      <c r="E67" t="s">
        <v>677</v>
      </c>
      <c r="F67" t="s">
        <v>413</v>
      </c>
      <c r="G67" t="s">
        <v>636</v>
      </c>
      <c r="H67" t="s">
        <v>637</v>
      </c>
      <c r="I67" t="s">
        <v>415</v>
      </c>
      <c r="J67">
        <v>1693334006</v>
      </c>
      <c r="K67">
        <f t="shared" si="46"/>
        <v>6.1684416262949276E-3</v>
      </c>
      <c r="L67">
        <f t="shared" si="47"/>
        <v>6.1684416262949275</v>
      </c>
      <c r="M67">
        <f t="shared" si="48"/>
        <v>45.631173095397827</v>
      </c>
      <c r="N67">
        <f t="shared" si="49"/>
        <v>342.80099999999999</v>
      </c>
      <c r="O67">
        <f t="shared" si="50"/>
        <v>170.34707171142304</v>
      </c>
      <c r="P67">
        <f t="shared" si="51"/>
        <v>16.880618023955019</v>
      </c>
      <c r="Q67">
        <f t="shared" si="52"/>
        <v>33.970015927440002</v>
      </c>
      <c r="R67">
        <f t="shared" si="53"/>
        <v>0.47174594483472465</v>
      </c>
      <c r="S67">
        <f t="shared" si="54"/>
        <v>2.8995965554850796</v>
      </c>
      <c r="T67">
        <f t="shared" si="55"/>
        <v>0.43288345566187958</v>
      </c>
      <c r="U67">
        <f t="shared" si="56"/>
        <v>0.27377651252681878</v>
      </c>
      <c r="V67">
        <f t="shared" si="57"/>
        <v>344.3332986440343</v>
      </c>
      <c r="W67">
        <f t="shared" si="58"/>
        <v>31.186663359011789</v>
      </c>
      <c r="X67">
        <f t="shared" si="59"/>
        <v>30.013400000000001</v>
      </c>
      <c r="Y67">
        <f t="shared" si="60"/>
        <v>4.2637300768013722</v>
      </c>
      <c r="Z67">
        <f t="shared" si="61"/>
        <v>65.239426822798592</v>
      </c>
      <c r="AA67">
        <f t="shared" si="62"/>
        <v>2.9027135380240003</v>
      </c>
      <c r="AB67">
        <f t="shared" si="63"/>
        <v>4.449324096467409</v>
      </c>
      <c r="AC67">
        <f t="shared" si="64"/>
        <v>1.3610165387773718</v>
      </c>
      <c r="AD67">
        <f t="shared" si="65"/>
        <v>-272.02827571960631</v>
      </c>
      <c r="AE67">
        <f t="shared" si="66"/>
        <v>116.28871652253791</v>
      </c>
      <c r="AF67">
        <f t="shared" si="67"/>
        <v>8.9514971832301686</v>
      </c>
      <c r="AG67">
        <f t="shared" si="68"/>
        <v>197.54523663019609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51350.973557433797</v>
      </c>
      <c r="AM67" t="s">
        <v>416</v>
      </c>
      <c r="AN67">
        <v>10366.9</v>
      </c>
      <c r="AO67">
        <v>993.59653846153856</v>
      </c>
      <c r="AP67">
        <v>3431.87</v>
      </c>
      <c r="AQ67">
        <f t="shared" si="72"/>
        <v>0.71047955241266758</v>
      </c>
      <c r="AR67">
        <v>-3.9894345373445681</v>
      </c>
      <c r="AS67" t="s">
        <v>678</v>
      </c>
      <c r="AT67">
        <v>10455.5</v>
      </c>
      <c r="AU67">
        <v>766.11969230769239</v>
      </c>
      <c r="AV67">
        <v>1129.822200294808</v>
      </c>
      <c r="AW67">
        <f t="shared" si="73"/>
        <v>0.32191127762599603</v>
      </c>
      <c r="AX67">
        <v>0.5</v>
      </c>
      <c r="AY67">
        <f t="shared" si="74"/>
        <v>1513.0250993220168</v>
      </c>
      <c r="AZ67">
        <f t="shared" si="75"/>
        <v>45.631173095397827</v>
      </c>
      <c r="BA67">
        <f t="shared" si="76"/>
        <v>243.52992140147498</v>
      </c>
      <c r="BB67">
        <f t="shared" si="77"/>
        <v>3.279562755104147E-2</v>
      </c>
      <c r="BC67">
        <f t="shared" si="78"/>
        <v>2.0375310372769375</v>
      </c>
      <c r="BD67">
        <f t="shared" si="79"/>
        <v>624.94007654345921</v>
      </c>
      <c r="BE67" t="s">
        <v>679</v>
      </c>
      <c r="BF67">
        <v>615.35</v>
      </c>
      <c r="BG67">
        <f t="shared" si="80"/>
        <v>615.35</v>
      </c>
      <c r="BH67">
        <f t="shared" si="81"/>
        <v>0.4553567810586171</v>
      </c>
      <c r="BI67">
        <f t="shared" si="82"/>
        <v>0.70694297530304495</v>
      </c>
      <c r="BJ67">
        <f t="shared" si="83"/>
        <v>0.8173376364113133</v>
      </c>
      <c r="BK67">
        <f t="shared" si="84"/>
        <v>2.6698531179262077</v>
      </c>
      <c r="BL67">
        <f t="shared" si="85"/>
        <v>0.94413027743519962</v>
      </c>
      <c r="BM67">
        <f t="shared" si="86"/>
        <v>0.56781905519537945</v>
      </c>
      <c r="BN67">
        <f t="shared" si="87"/>
        <v>0.43218094480462055</v>
      </c>
      <c r="BO67">
        <v>7648</v>
      </c>
      <c r="BP67">
        <v>290.00000000000011</v>
      </c>
      <c r="BQ67">
        <v>1024.92</v>
      </c>
      <c r="BR67">
        <v>165</v>
      </c>
      <c r="BS67">
        <v>10455.5</v>
      </c>
      <c r="BT67">
        <v>1022.25</v>
      </c>
      <c r="BU67">
        <v>2.67</v>
      </c>
      <c r="BV67">
        <v>300.00000000000011</v>
      </c>
      <c r="BW67">
        <v>38.200000000000003</v>
      </c>
      <c r="BX67">
        <v>1129.822200294808</v>
      </c>
      <c r="BY67">
        <v>1.433711473383364</v>
      </c>
      <c r="BZ67">
        <v>-112.4733711202589</v>
      </c>
      <c r="CA67">
        <v>1.227015087789106</v>
      </c>
      <c r="CB67">
        <v>0.99667865819706691</v>
      </c>
      <c r="CC67">
        <v>-1.135242135706342E-2</v>
      </c>
      <c r="CD67">
        <v>289.99999999999989</v>
      </c>
      <c r="CE67">
        <v>1010.25</v>
      </c>
      <c r="CF67">
        <v>665</v>
      </c>
      <c r="CG67">
        <v>10432.1</v>
      </c>
      <c r="CH67">
        <v>1022.01</v>
      </c>
      <c r="CI67">
        <v>-11.76</v>
      </c>
      <c r="CW67">
        <f t="shared" si="88"/>
        <v>1799.81</v>
      </c>
      <c r="CX67">
        <f t="shared" si="89"/>
        <v>1513.0250993220168</v>
      </c>
      <c r="CY67">
        <f t="shared" si="90"/>
        <v>0.84065823577045184</v>
      </c>
      <c r="CZ67">
        <f t="shared" si="91"/>
        <v>0.19131647154090395</v>
      </c>
      <c r="DA67">
        <v>6</v>
      </c>
      <c r="DB67">
        <v>0.5</v>
      </c>
      <c r="DC67" t="s">
        <v>419</v>
      </c>
      <c r="DD67">
        <v>2</v>
      </c>
      <c r="DE67">
        <v>1693334006</v>
      </c>
      <c r="DF67">
        <v>342.80099999999999</v>
      </c>
      <c r="DG67">
        <v>400.04</v>
      </c>
      <c r="DH67">
        <v>29.292100000000001</v>
      </c>
      <c r="DI67">
        <v>22.113800000000001</v>
      </c>
      <c r="DJ67">
        <v>342.12200000000001</v>
      </c>
      <c r="DK67">
        <v>29.044499999999999</v>
      </c>
      <c r="DL67">
        <v>500.488</v>
      </c>
      <c r="DM67">
        <v>98.9953</v>
      </c>
      <c r="DN67">
        <v>0.10014000000000001</v>
      </c>
      <c r="DO67">
        <v>30.757300000000001</v>
      </c>
      <c r="DP67">
        <v>30.013400000000001</v>
      </c>
      <c r="DQ67">
        <v>999.9</v>
      </c>
      <c r="DR67">
        <v>0</v>
      </c>
      <c r="DS67">
        <v>0</v>
      </c>
      <c r="DT67">
        <v>9930</v>
      </c>
      <c r="DU67">
        <v>0</v>
      </c>
      <c r="DV67">
        <v>1494.47</v>
      </c>
      <c r="DW67">
        <v>-57.238700000000001</v>
      </c>
      <c r="DX67">
        <v>353.14600000000002</v>
      </c>
      <c r="DY67">
        <v>409.08600000000001</v>
      </c>
      <c r="DZ67">
        <v>7.1783000000000001</v>
      </c>
      <c r="EA67">
        <v>400.04</v>
      </c>
      <c r="EB67">
        <v>22.113800000000001</v>
      </c>
      <c r="EC67">
        <v>2.8997899999999999</v>
      </c>
      <c r="ED67">
        <v>2.1891699999999998</v>
      </c>
      <c r="EE67">
        <v>23.4634</v>
      </c>
      <c r="EF67">
        <v>18.883299999999998</v>
      </c>
      <c r="EG67">
        <v>1799.81</v>
      </c>
      <c r="EH67">
        <v>0.97799899999999995</v>
      </c>
      <c r="EI67">
        <v>2.20009E-2</v>
      </c>
      <c r="EJ67">
        <v>0</v>
      </c>
      <c r="EK67">
        <v>768.15899999999999</v>
      </c>
      <c r="EL67">
        <v>5.0010300000000001</v>
      </c>
      <c r="EM67">
        <v>14813.6</v>
      </c>
      <c r="EN67">
        <v>14699.6</v>
      </c>
      <c r="EO67">
        <v>46.561999999999998</v>
      </c>
      <c r="EP67">
        <v>48.75</v>
      </c>
      <c r="EQ67">
        <v>47.875</v>
      </c>
      <c r="ER67">
        <v>47.936999999999998</v>
      </c>
      <c r="ES67">
        <v>48.25</v>
      </c>
      <c r="ET67">
        <v>1755.32</v>
      </c>
      <c r="EU67">
        <v>39.49</v>
      </c>
      <c r="EV67">
        <v>0</v>
      </c>
      <c r="EW67">
        <v>101</v>
      </c>
      <c r="EX67">
        <v>0</v>
      </c>
      <c r="EY67">
        <v>766.11969230769239</v>
      </c>
      <c r="EZ67">
        <v>13.97682052593245</v>
      </c>
      <c r="FA67">
        <v>242.4068377774955</v>
      </c>
      <c r="FB67">
        <v>14788.54615384615</v>
      </c>
      <c r="FC67">
        <v>15</v>
      </c>
      <c r="FD67">
        <v>1693333980</v>
      </c>
      <c r="FE67" t="s">
        <v>680</v>
      </c>
      <c r="FF67">
        <v>1693333974</v>
      </c>
      <c r="FG67">
        <v>1693333980</v>
      </c>
      <c r="FH67">
        <v>58</v>
      </c>
      <c r="FI67">
        <v>2.1999999999999999E-2</v>
      </c>
      <c r="FJ67">
        <v>6.0000000000000001E-3</v>
      </c>
      <c r="FK67">
        <v>0.72699999999999998</v>
      </c>
      <c r="FL67">
        <v>7.4999999999999997E-2</v>
      </c>
      <c r="FM67">
        <v>400</v>
      </c>
      <c r="FN67">
        <v>22</v>
      </c>
      <c r="FO67">
        <v>0.11</v>
      </c>
      <c r="FP67">
        <v>0.04</v>
      </c>
      <c r="FQ67">
        <v>45.4962038998409</v>
      </c>
      <c r="FR67">
        <v>0.17736759174396169</v>
      </c>
      <c r="FS67">
        <v>0.15441904780094781</v>
      </c>
      <c r="FT67">
        <v>1</v>
      </c>
      <c r="FU67">
        <v>0.47674432534009609</v>
      </c>
      <c r="FV67">
        <v>4.8902596824584477E-2</v>
      </c>
      <c r="FW67">
        <v>6.4677788926659277E-3</v>
      </c>
      <c r="FX67">
        <v>1</v>
      </c>
      <c r="FY67">
        <v>2</v>
      </c>
      <c r="FZ67">
        <v>2</v>
      </c>
      <c r="GA67" t="s">
        <v>421</v>
      </c>
      <c r="GB67">
        <v>2.8956200000000001</v>
      </c>
      <c r="GC67">
        <v>2.8175400000000002</v>
      </c>
      <c r="GD67">
        <v>7.9404299999999997E-2</v>
      </c>
      <c r="GE67">
        <v>8.9719900000000005E-2</v>
      </c>
      <c r="GF67">
        <v>0.13536899999999999</v>
      </c>
      <c r="GG67">
        <v>0.11136799999999999</v>
      </c>
      <c r="GH67">
        <v>25420.9</v>
      </c>
      <c r="GI67">
        <v>25268.5</v>
      </c>
      <c r="GJ67">
        <v>24506.3</v>
      </c>
      <c r="GK67">
        <v>24801.5</v>
      </c>
      <c r="GL67">
        <v>28166.7</v>
      </c>
      <c r="GM67">
        <v>28842.1</v>
      </c>
      <c r="GN67">
        <v>33149.599999999999</v>
      </c>
      <c r="GO67">
        <v>33142.300000000003</v>
      </c>
      <c r="GP67">
        <v>1.9237</v>
      </c>
      <c r="GQ67">
        <v>1.6808000000000001</v>
      </c>
      <c r="GR67">
        <v>2.3216000000000001E-2</v>
      </c>
      <c r="GS67">
        <v>0</v>
      </c>
      <c r="GT67">
        <v>29.6355</v>
      </c>
      <c r="GU67">
        <v>999.9</v>
      </c>
      <c r="GV67">
        <v>40.799999999999997</v>
      </c>
      <c r="GW67">
        <v>48.4</v>
      </c>
      <c r="GX67">
        <v>47.24</v>
      </c>
      <c r="GY67">
        <v>62.142699999999998</v>
      </c>
      <c r="GZ67">
        <v>27.632200000000001</v>
      </c>
      <c r="HA67">
        <v>1</v>
      </c>
      <c r="HB67">
        <v>0.70737799999999995</v>
      </c>
      <c r="HC67">
        <v>3.1007799999999999</v>
      </c>
      <c r="HD67">
        <v>20.131</v>
      </c>
      <c r="HE67">
        <v>5.23346</v>
      </c>
      <c r="HF67">
        <v>11.9213</v>
      </c>
      <c r="HG67">
        <v>4.9593999999999996</v>
      </c>
      <c r="HH67">
        <v>3.2888000000000002</v>
      </c>
      <c r="HI67">
        <v>9999</v>
      </c>
      <c r="HJ67">
        <v>9999</v>
      </c>
      <c r="HK67">
        <v>9999</v>
      </c>
      <c r="HL67">
        <v>878.7</v>
      </c>
      <c r="HM67">
        <v>1.88107</v>
      </c>
      <c r="HN67">
        <v>1.87836</v>
      </c>
      <c r="HO67">
        <v>1.88629</v>
      </c>
      <c r="HP67">
        <v>1.88391</v>
      </c>
      <c r="HQ67">
        <v>1.8815599999999999</v>
      </c>
      <c r="HR67">
        <v>1.88049</v>
      </c>
      <c r="HS67">
        <v>1.88168</v>
      </c>
      <c r="HT67">
        <v>1.8812599999999999</v>
      </c>
      <c r="HU67">
        <v>5</v>
      </c>
      <c r="HV67">
        <v>0</v>
      </c>
      <c r="HW67">
        <v>0</v>
      </c>
      <c r="HX67">
        <v>0</v>
      </c>
      <c r="HY67" t="s">
        <v>422</v>
      </c>
      <c r="HZ67" t="s">
        <v>423</v>
      </c>
      <c r="IA67" t="s">
        <v>424</v>
      </c>
      <c r="IB67" t="s">
        <v>424</v>
      </c>
      <c r="IC67" t="s">
        <v>424</v>
      </c>
      <c r="ID67" t="s">
        <v>424</v>
      </c>
      <c r="IE67">
        <v>0</v>
      </c>
      <c r="IF67">
        <v>100</v>
      </c>
      <c r="IG67">
        <v>100</v>
      </c>
      <c r="IH67">
        <v>0.67900000000000005</v>
      </c>
      <c r="II67">
        <v>0.24759999999999999</v>
      </c>
      <c r="IJ67">
        <v>0.15924111228596249</v>
      </c>
      <c r="IK67">
        <v>2.2153513873161218E-3</v>
      </c>
      <c r="IL67">
        <v>-2.2967369670569612E-6</v>
      </c>
      <c r="IM67">
        <v>7.7859689150384122E-10</v>
      </c>
      <c r="IN67">
        <v>-0.15780549471823149</v>
      </c>
      <c r="IO67">
        <v>-4.1434251034592161E-3</v>
      </c>
      <c r="IP67">
        <v>8.3987709687394815E-4</v>
      </c>
      <c r="IQ67">
        <v>-7.4586254598011197E-6</v>
      </c>
      <c r="IR67">
        <v>2</v>
      </c>
      <c r="IS67">
        <v>1930</v>
      </c>
      <c r="IT67">
        <v>2</v>
      </c>
      <c r="IU67">
        <v>41</v>
      </c>
      <c r="IV67">
        <v>0.5</v>
      </c>
      <c r="IW67">
        <v>0.4</v>
      </c>
      <c r="IX67">
        <v>0.98144500000000001</v>
      </c>
      <c r="IY67">
        <v>2.5695800000000002</v>
      </c>
      <c r="IZ67">
        <v>1.24512</v>
      </c>
      <c r="JA67">
        <v>2.2534200000000002</v>
      </c>
      <c r="JB67">
        <v>1.4501999999999999</v>
      </c>
      <c r="JC67">
        <v>2.48291</v>
      </c>
      <c r="JD67">
        <v>50.803699999999999</v>
      </c>
      <c r="JE67">
        <v>24.035</v>
      </c>
      <c r="JF67">
        <v>18</v>
      </c>
      <c r="JG67">
        <v>495.09199999999998</v>
      </c>
      <c r="JH67">
        <v>382.38799999999998</v>
      </c>
      <c r="JI67">
        <v>26.584499999999998</v>
      </c>
      <c r="JJ67">
        <v>35.915999999999997</v>
      </c>
      <c r="JK67">
        <v>30</v>
      </c>
      <c r="JL67">
        <v>35.808100000000003</v>
      </c>
      <c r="JM67">
        <v>35.770200000000003</v>
      </c>
      <c r="JN67">
        <v>19.756599999999999</v>
      </c>
      <c r="JO67">
        <v>56.606000000000002</v>
      </c>
      <c r="JP67">
        <v>0</v>
      </c>
      <c r="JQ67">
        <v>26.578700000000001</v>
      </c>
      <c r="JR67">
        <v>400</v>
      </c>
      <c r="JS67">
        <v>22.1998</v>
      </c>
      <c r="JT67">
        <v>98.927499999999995</v>
      </c>
      <c r="JU67">
        <v>98.8934</v>
      </c>
    </row>
    <row r="68" spans="1:281" x14ac:dyDescent="0.25">
      <c r="A68">
        <v>52</v>
      </c>
      <c r="B68">
        <v>1693334108.5</v>
      </c>
      <c r="C68">
        <v>11395.400000095369</v>
      </c>
      <c r="D68" t="s">
        <v>681</v>
      </c>
      <c r="E68" t="s">
        <v>682</v>
      </c>
      <c r="F68" t="s">
        <v>413</v>
      </c>
      <c r="G68" t="s">
        <v>636</v>
      </c>
      <c r="H68" t="s">
        <v>637</v>
      </c>
      <c r="I68" t="s">
        <v>415</v>
      </c>
      <c r="J68">
        <v>1693334108.5</v>
      </c>
      <c r="K68">
        <f t="shared" si="46"/>
        <v>6.0007206165782678E-3</v>
      </c>
      <c r="L68">
        <f t="shared" si="47"/>
        <v>6.0007206165782678</v>
      </c>
      <c r="M68">
        <f t="shared" si="48"/>
        <v>50.197079802902103</v>
      </c>
      <c r="N68">
        <f t="shared" si="49"/>
        <v>437.04300000000001</v>
      </c>
      <c r="O68">
        <f t="shared" si="50"/>
        <v>240.47981010612204</v>
      </c>
      <c r="P68">
        <f t="shared" si="51"/>
        <v>23.829732765367019</v>
      </c>
      <c r="Q68">
        <f t="shared" si="52"/>
        <v>43.307660183108098</v>
      </c>
      <c r="R68">
        <f t="shared" si="53"/>
        <v>0.45670527462058541</v>
      </c>
      <c r="S68">
        <f t="shared" si="54"/>
        <v>2.9100714433322157</v>
      </c>
      <c r="T68">
        <f t="shared" si="55"/>
        <v>0.42029892384941109</v>
      </c>
      <c r="U68">
        <f t="shared" si="56"/>
        <v>0.26571553086060173</v>
      </c>
      <c r="V68">
        <f t="shared" si="57"/>
        <v>344.41879864437323</v>
      </c>
      <c r="W68">
        <f t="shared" si="58"/>
        <v>31.249902793528157</v>
      </c>
      <c r="X68">
        <f t="shared" si="59"/>
        <v>30.0305</v>
      </c>
      <c r="Y68">
        <f t="shared" si="60"/>
        <v>4.2679193333580541</v>
      </c>
      <c r="Z68">
        <f t="shared" si="61"/>
        <v>65.200196077750689</v>
      </c>
      <c r="AA68">
        <f t="shared" si="62"/>
        <v>2.9043500665536497</v>
      </c>
      <c r="AB68">
        <f t="shared" si="63"/>
        <v>4.4545112457794405</v>
      </c>
      <c r="AC68">
        <f t="shared" si="64"/>
        <v>1.3635692668044044</v>
      </c>
      <c r="AD68">
        <f t="shared" si="65"/>
        <v>-264.6317791911016</v>
      </c>
      <c r="AE68">
        <f t="shared" si="66"/>
        <v>117.22654297906654</v>
      </c>
      <c r="AF68">
        <f t="shared" si="67"/>
        <v>8.9928740030042515</v>
      </c>
      <c r="AG68">
        <f t="shared" si="68"/>
        <v>206.00643643534244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51644.060851720489</v>
      </c>
      <c r="AM68" t="s">
        <v>416</v>
      </c>
      <c r="AN68">
        <v>10366.9</v>
      </c>
      <c r="AO68">
        <v>993.59653846153856</v>
      </c>
      <c r="AP68">
        <v>3431.87</v>
      </c>
      <c r="AQ68">
        <f t="shared" si="72"/>
        <v>0.71047955241266758</v>
      </c>
      <c r="AR68">
        <v>-3.9894345373445681</v>
      </c>
      <c r="AS68" t="s">
        <v>683</v>
      </c>
      <c r="AT68">
        <v>10456.700000000001</v>
      </c>
      <c r="AU68">
        <v>799.95788000000005</v>
      </c>
      <c r="AV68">
        <v>1220.3974334856341</v>
      </c>
      <c r="AW68">
        <f t="shared" si="73"/>
        <v>0.34451035535595731</v>
      </c>
      <c r="AX68">
        <v>0.5</v>
      </c>
      <c r="AY68">
        <f t="shared" si="74"/>
        <v>1513.4030993221868</v>
      </c>
      <c r="AZ68">
        <f t="shared" si="75"/>
        <v>50.197079802902103</v>
      </c>
      <c r="BA68">
        <f t="shared" si="76"/>
        <v>260.69151977214688</v>
      </c>
      <c r="BB68">
        <f t="shared" si="77"/>
        <v>3.5804416129790788E-2</v>
      </c>
      <c r="BC68">
        <f t="shared" si="78"/>
        <v>1.8120921151055487</v>
      </c>
      <c r="BD68">
        <f t="shared" si="79"/>
        <v>651.69353038733595</v>
      </c>
      <c r="BE68" t="s">
        <v>684</v>
      </c>
      <c r="BF68">
        <v>629.11</v>
      </c>
      <c r="BG68">
        <f t="shared" si="80"/>
        <v>629.11</v>
      </c>
      <c r="BH68">
        <f t="shared" si="81"/>
        <v>0.4845039962078832</v>
      </c>
      <c r="BI68">
        <f t="shared" si="82"/>
        <v>0.71105782006417195</v>
      </c>
      <c r="BJ68">
        <f t="shared" si="83"/>
        <v>0.78903386894145988</v>
      </c>
      <c r="BK68">
        <f t="shared" si="84"/>
        <v>1.8537826027580981</v>
      </c>
      <c r="BL68">
        <f t="shared" si="85"/>
        <v>0.90698299489303691</v>
      </c>
      <c r="BM68">
        <f t="shared" si="86"/>
        <v>0.55919642316739371</v>
      </c>
      <c r="BN68">
        <f t="shared" si="87"/>
        <v>0.44080357683260629</v>
      </c>
      <c r="BO68">
        <v>7650</v>
      </c>
      <c r="BP68">
        <v>290.00000000000011</v>
      </c>
      <c r="BQ68">
        <v>1100.94</v>
      </c>
      <c r="BR68">
        <v>165</v>
      </c>
      <c r="BS68">
        <v>10456.700000000001</v>
      </c>
      <c r="BT68">
        <v>1098.5999999999999</v>
      </c>
      <c r="BU68">
        <v>2.34</v>
      </c>
      <c r="BV68">
        <v>300.00000000000011</v>
      </c>
      <c r="BW68">
        <v>38.200000000000003</v>
      </c>
      <c r="BX68">
        <v>1220.3974334856341</v>
      </c>
      <c r="BY68">
        <v>1.481160500057157</v>
      </c>
      <c r="BZ68">
        <v>-127.35971400836981</v>
      </c>
      <c r="CA68">
        <v>1.2677750674648689</v>
      </c>
      <c r="CB68">
        <v>0.99723321743494198</v>
      </c>
      <c r="CC68">
        <v>-1.135365895439378E-2</v>
      </c>
      <c r="CD68">
        <v>289.99999999999989</v>
      </c>
      <c r="CE68">
        <v>1084.1300000000001</v>
      </c>
      <c r="CF68">
        <v>635</v>
      </c>
      <c r="CG68">
        <v>10435.9</v>
      </c>
      <c r="CH68">
        <v>1098.3599999999999</v>
      </c>
      <c r="CI68">
        <v>-14.23</v>
      </c>
      <c r="CW68">
        <f t="shared" si="88"/>
        <v>1800.26</v>
      </c>
      <c r="CX68">
        <f t="shared" si="89"/>
        <v>1513.4030993221868</v>
      </c>
      <c r="CY68">
        <f t="shared" si="90"/>
        <v>0.84065807123536973</v>
      </c>
      <c r="CZ68">
        <f t="shared" si="91"/>
        <v>0.19131614247073936</v>
      </c>
      <c r="DA68">
        <v>6</v>
      </c>
      <c r="DB68">
        <v>0.5</v>
      </c>
      <c r="DC68" t="s">
        <v>419</v>
      </c>
      <c r="DD68">
        <v>2</v>
      </c>
      <c r="DE68">
        <v>1693334108.5</v>
      </c>
      <c r="DF68">
        <v>437.04300000000001</v>
      </c>
      <c r="DG68">
        <v>500.40199999999999</v>
      </c>
      <c r="DH68">
        <v>29.3095</v>
      </c>
      <c r="DI68">
        <v>22.322399999999998</v>
      </c>
      <c r="DJ68">
        <v>436.26400000000001</v>
      </c>
      <c r="DK68">
        <v>29.0625</v>
      </c>
      <c r="DL68">
        <v>500.19400000000002</v>
      </c>
      <c r="DM68">
        <v>98.992800000000003</v>
      </c>
      <c r="DN68">
        <v>9.9646700000000005E-2</v>
      </c>
      <c r="DO68">
        <v>30.777699999999999</v>
      </c>
      <c r="DP68">
        <v>30.0305</v>
      </c>
      <c r="DQ68">
        <v>999.9</v>
      </c>
      <c r="DR68">
        <v>0</v>
      </c>
      <c r="DS68">
        <v>0</v>
      </c>
      <c r="DT68">
        <v>9990</v>
      </c>
      <c r="DU68">
        <v>0</v>
      </c>
      <c r="DV68">
        <v>1494.23</v>
      </c>
      <c r="DW68">
        <v>-63.358699999999999</v>
      </c>
      <c r="DX68">
        <v>450.24</v>
      </c>
      <c r="DY68">
        <v>511.827</v>
      </c>
      <c r="DZ68">
        <v>6.9870700000000001</v>
      </c>
      <c r="EA68">
        <v>500.40199999999999</v>
      </c>
      <c r="EB68">
        <v>22.322399999999998</v>
      </c>
      <c r="EC68">
        <v>2.90143</v>
      </c>
      <c r="ED68">
        <v>2.2097600000000002</v>
      </c>
      <c r="EE68">
        <v>23.472799999999999</v>
      </c>
      <c r="EF68">
        <v>19.033200000000001</v>
      </c>
      <c r="EG68">
        <v>1800.26</v>
      </c>
      <c r="EH68">
        <v>0.97800299999999996</v>
      </c>
      <c r="EI68">
        <v>2.1997300000000001E-2</v>
      </c>
      <c r="EJ68">
        <v>0</v>
      </c>
      <c r="EK68">
        <v>800.75800000000004</v>
      </c>
      <c r="EL68">
        <v>5.0010300000000001</v>
      </c>
      <c r="EM68">
        <v>15400.9</v>
      </c>
      <c r="EN68">
        <v>14703.3</v>
      </c>
      <c r="EO68">
        <v>46.436999999999998</v>
      </c>
      <c r="EP68">
        <v>48.5</v>
      </c>
      <c r="EQ68">
        <v>47.75</v>
      </c>
      <c r="ER68">
        <v>47.75</v>
      </c>
      <c r="ES68">
        <v>48.125</v>
      </c>
      <c r="ET68">
        <v>1755.77</v>
      </c>
      <c r="EU68">
        <v>39.49</v>
      </c>
      <c r="EV68">
        <v>0</v>
      </c>
      <c r="EW68">
        <v>100.3999998569489</v>
      </c>
      <c r="EX68">
        <v>0</v>
      </c>
      <c r="EY68">
        <v>799.95788000000005</v>
      </c>
      <c r="EZ68">
        <v>7.3838461642579256</v>
      </c>
      <c r="FA68">
        <v>146.63076938984281</v>
      </c>
      <c r="FB68">
        <v>15377.907999999999</v>
      </c>
      <c r="FC68">
        <v>15</v>
      </c>
      <c r="FD68">
        <v>1693334079.5</v>
      </c>
      <c r="FE68" t="s">
        <v>685</v>
      </c>
      <c r="FF68">
        <v>1693334079.5</v>
      </c>
      <c r="FG68">
        <v>1693334076.5</v>
      </c>
      <c r="FH68">
        <v>59</v>
      </c>
      <c r="FI68">
        <v>2.5999999999999999E-2</v>
      </c>
      <c r="FJ68">
        <v>-1E-3</v>
      </c>
      <c r="FK68">
        <v>0.81599999999999995</v>
      </c>
      <c r="FL68">
        <v>7.4999999999999997E-2</v>
      </c>
      <c r="FM68">
        <v>500</v>
      </c>
      <c r="FN68">
        <v>22</v>
      </c>
      <c r="FO68">
        <v>0.13</v>
      </c>
      <c r="FP68">
        <v>0.03</v>
      </c>
      <c r="FQ68">
        <v>49.684437002169489</v>
      </c>
      <c r="FR68">
        <v>0.13333088637205251</v>
      </c>
      <c r="FS68">
        <v>0.17992599201040629</v>
      </c>
      <c r="FT68">
        <v>1</v>
      </c>
      <c r="FU68">
        <v>0.46156859962185159</v>
      </c>
      <c r="FV68">
        <v>-4.6256292084380278E-2</v>
      </c>
      <c r="FW68">
        <v>3.6760348861126601E-3</v>
      </c>
      <c r="FX68">
        <v>1</v>
      </c>
      <c r="FY68">
        <v>2</v>
      </c>
      <c r="FZ68">
        <v>2</v>
      </c>
      <c r="GA68" t="s">
        <v>421</v>
      </c>
      <c r="GB68">
        <v>2.8949400000000001</v>
      </c>
      <c r="GC68">
        <v>2.8175699999999999</v>
      </c>
      <c r="GD68">
        <v>9.5866999999999994E-2</v>
      </c>
      <c r="GE68">
        <v>0.106115</v>
      </c>
      <c r="GF68">
        <v>0.13542999999999999</v>
      </c>
      <c r="GG68">
        <v>0.112096</v>
      </c>
      <c r="GH68">
        <v>24968.5</v>
      </c>
      <c r="GI68">
        <v>24815.9</v>
      </c>
      <c r="GJ68">
        <v>24508.1</v>
      </c>
      <c r="GK68">
        <v>24803.599999999999</v>
      </c>
      <c r="GL68">
        <v>28166.9</v>
      </c>
      <c r="GM68">
        <v>28821.1</v>
      </c>
      <c r="GN68">
        <v>33152.400000000001</v>
      </c>
      <c r="GO68">
        <v>33145.599999999999</v>
      </c>
      <c r="GP68">
        <v>1.9233</v>
      </c>
      <c r="GQ68">
        <v>1.6821999999999999</v>
      </c>
      <c r="GR68">
        <v>3.1113600000000002E-2</v>
      </c>
      <c r="GS68">
        <v>0</v>
      </c>
      <c r="GT68">
        <v>29.524000000000001</v>
      </c>
      <c r="GU68">
        <v>999.9</v>
      </c>
      <c r="GV68">
        <v>40.799999999999997</v>
      </c>
      <c r="GW68">
        <v>48.3</v>
      </c>
      <c r="GX68">
        <v>47.0017</v>
      </c>
      <c r="GY68">
        <v>62.052700000000002</v>
      </c>
      <c r="GZ68">
        <v>26.522400000000001</v>
      </c>
      <c r="HA68">
        <v>1</v>
      </c>
      <c r="HB68">
        <v>0.70374000000000003</v>
      </c>
      <c r="HC68">
        <v>2.98793</v>
      </c>
      <c r="HD68">
        <v>20.132899999999999</v>
      </c>
      <c r="HE68">
        <v>5.2346599999999999</v>
      </c>
      <c r="HF68">
        <v>11.9201</v>
      </c>
      <c r="HG68">
        <v>4.9598000000000004</v>
      </c>
      <c r="HH68">
        <v>3.2888000000000002</v>
      </c>
      <c r="HI68">
        <v>9999</v>
      </c>
      <c r="HJ68">
        <v>9999</v>
      </c>
      <c r="HK68">
        <v>9999</v>
      </c>
      <c r="HL68">
        <v>878.7</v>
      </c>
      <c r="HM68">
        <v>1.8811</v>
      </c>
      <c r="HN68">
        <v>1.87836</v>
      </c>
      <c r="HO68">
        <v>1.88629</v>
      </c>
      <c r="HP68">
        <v>1.8839699999999999</v>
      </c>
      <c r="HQ68">
        <v>1.8815599999999999</v>
      </c>
      <c r="HR68">
        <v>1.88049</v>
      </c>
      <c r="HS68">
        <v>1.8816999999999999</v>
      </c>
      <c r="HT68">
        <v>1.8812599999999999</v>
      </c>
      <c r="HU68">
        <v>5</v>
      </c>
      <c r="HV68">
        <v>0</v>
      </c>
      <c r="HW68">
        <v>0</v>
      </c>
      <c r="HX68">
        <v>0</v>
      </c>
      <c r="HY68" t="s">
        <v>422</v>
      </c>
      <c r="HZ68" t="s">
        <v>423</v>
      </c>
      <c r="IA68" t="s">
        <v>424</v>
      </c>
      <c r="IB68" t="s">
        <v>424</v>
      </c>
      <c r="IC68" t="s">
        <v>424</v>
      </c>
      <c r="ID68" t="s">
        <v>424</v>
      </c>
      <c r="IE68">
        <v>0</v>
      </c>
      <c r="IF68">
        <v>100</v>
      </c>
      <c r="IG68">
        <v>100</v>
      </c>
      <c r="IH68">
        <v>0.77900000000000003</v>
      </c>
      <c r="II68">
        <v>0.247</v>
      </c>
      <c r="IJ68">
        <v>0.18541816916756701</v>
      </c>
      <c r="IK68">
        <v>2.2153513873161218E-3</v>
      </c>
      <c r="IL68">
        <v>-2.2967369670569612E-6</v>
      </c>
      <c r="IM68">
        <v>7.7859689150384122E-10</v>
      </c>
      <c r="IN68">
        <v>-0.1589327022216907</v>
      </c>
      <c r="IO68">
        <v>-4.1434251034592161E-3</v>
      </c>
      <c r="IP68">
        <v>8.3987709687394815E-4</v>
      </c>
      <c r="IQ68">
        <v>-7.4586254598011197E-6</v>
      </c>
      <c r="IR68">
        <v>2</v>
      </c>
      <c r="IS68">
        <v>1930</v>
      </c>
      <c r="IT68">
        <v>2</v>
      </c>
      <c r="IU68">
        <v>41</v>
      </c>
      <c r="IV68">
        <v>0.5</v>
      </c>
      <c r="IW68">
        <v>0.5</v>
      </c>
      <c r="IX68">
        <v>1.17432</v>
      </c>
      <c r="IY68">
        <v>2.5647000000000002</v>
      </c>
      <c r="IZ68">
        <v>1.24512</v>
      </c>
      <c r="JA68">
        <v>2.2534200000000002</v>
      </c>
      <c r="JB68">
        <v>1.4501999999999999</v>
      </c>
      <c r="JC68">
        <v>2.2851599999999999</v>
      </c>
      <c r="JD68">
        <v>50.672899999999998</v>
      </c>
      <c r="JE68">
        <v>24.035</v>
      </c>
      <c r="JF68">
        <v>18</v>
      </c>
      <c r="JG68">
        <v>494.63400000000001</v>
      </c>
      <c r="JH68">
        <v>383.13299999999998</v>
      </c>
      <c r="JI68">
        <v>26.698699999999999</v>
      </c>
      <c r="JJ68">
        <v>35.8795</v>
      </c>
      <c r="JK68">
        <v>29.999400000000001</v>
      </c>
      <c r="JL68">
        <v>35.7849</v>
      </c>
      <c r="JM68">
        <v>35.753599999999999</v>
      </c>
      <c r="JN68">
        <v>23.6097</v>
      </c>
      <c r="JO68">
        <v>56.629600000000003</v>
      </c>
      <c r="JP68">
        <v>0</v>
      </c>
      <c r="JQ68">
        <v>26.689599999999999</v>
      </c>
      <c r="JR68">
        <v>500</v>
      </c>
      <c r="JS68">
        <v>22.2683</v>
      </c>
      <c r="JT68">
        <v>98.935299999999998</v>
      </c>
      <c r="JU68">
        <v>98.902500000000003</v>
      </c>
    </row>
    <row r="69" spans="1:281" x14ac:dyDescent="0.25">
      <c r="A69">
        <v>53</v>
      </c>
      <c r="B69">
        <v>1693334298</v>
      </c>
      <c r="C69">
        <v>11584.900000095369</v>
      </c>
      <c r="D69" t="s">
        <v>686</v>
      </c>
      <c r="E69" t="s">
        <v>687</v>
      </c>
      <c r="F69" t="s">
        <v>413</v>
      </c>
      <c r="G69" t="s">
        <v>636</v>
      </c>
      <c r="H69" t="s">
        <v>637</v>
      </c>
      <c r="I69" t="s">
        <v>415</v>
      </c>
      <c r="J69">
        <v>1693334298</v>
      </c>
      <c r="K69">
        <f t="shared" si="46"/>
        <v>5.5822386085102958E-3</v>
      </c>
      <c r="L69">
        <f t="shared" si="47"/>
        <v>5.5822386085102957</v>
      </c>
      <c r="M69">
        <f t="shared" si="48"/>
        <v>51.02217171713729</v>
      </c>
      <c r="N69">
        <f t="shared" si="49"/>
        <v>634.03800000000001</v>
      </c>
      <c r="O69">
        <f t="shared" si="50"/>
        <v>411.64519480424701</v>
      </c>
      <c r="P69">
        <f t="shared" si="51"/>
        <v>40.791702595126807</v>
      </c>
      <c r="Q69">
        <f t="shared" si="52"/>
        <v>62.829567444138597</v>
      </c>
      <c r="R69">
        <f t="shared" si="53"/>
        <v>0.41417965998581535</v>
      </c>
      <c r="S69">
        <f t="shared" si="54"/>
        <v>2.9140387531415239</v>
      </c>
      <c r="T69">
        <f t="shared" si="55"/>
        <v>0.38403543589953026</v>
      </c>
      <c r="U69">
        <f t="shared" si="56"/>
        <v>0.24254740714660822</v>
      </c>
      <c r="V69">
        <f t="shared" si="57"/>
        <v>344.33331180881532</v>
      </c>
      <c r="W69">
        <f t="shared" si="58"/>
        <v>31.307805325705079</v>
      </c>
      <c r="X69">
        <f t="shared" si="59"/>
        <v>30.042000000000002</v>
      </c>
      <c r="Y69">
        <f t="shared" si="60"/>
        <v>4.2707386865996382</v>
      </c>
      <c r="Z69">
        <f t="shared" si="61"/>
        <v>64.891010600956093</v>
      </c>
      <c r="AA69">
        <f t="shared" si="62"/>
        <v>2.88231698481902</v>
      </c>
      <c r="AB69">
        <f t="shared" si="63"/>
        <v>4.4417816244898365</v>
      </c>
      <c r="AC69">
        <f t="shared" si="64"/>
        <v>1.3884217017806182</v>
      </c>
      <c r="AD69">
        <f t="shared" si="65"/>
        <v>-246.17672263530403</v>
      </c>
      <c r="AE69">
        <f t="shared" si="66"/>
        <v>107.70889621702081</v>
      </c>
      <c r="AF69">
        <f t="shared" si="67"/>
        <v>8.2499149106718903</v>
      </c>
      <c r="AG69">
        <f t="shared" si="68"/>
        <v>214.11540030120403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51765.144195968474</v>
      </c>
      <c r="AM69" t="s">
        <v>416</v>
      </c>
      <c r="AN69">
        <v>10366.9</v>
      </c>
      <c r="AO69">
        <v>993.59653846153856</v>
      </c>
      <c r="AP69">
        <v>3431.87</v>
      </c>
      <c r="AQ69">
        <f t="shared" si="72"/>
        <v>0.71047955241266758</v>
      </c>
      <c r="AR69">
        <v>-3.9894345373445681</v>
      </c>
      <c r="AS69" t="s">
        <v>688</v>
      </c>
      <c r="AT69">
        <v>10456.200000000001</v>
      </c>
      <c r="AU69">
        <v>815.3746000000001</v>
      </c>
      <c r="AV69">
        <v>1269.8456707548889</v>
      </c>
      <c r="AW69">
        <f t="shared" si="73"/>
        <v>0.35789472785674659</v>
      </c>
      <c r="AX69">
        <v>0.5</v>
      </c>
      <c r="AY69">
        <f t="shared" si="74"/>
        <v>1513.0251059044076</v>
      </c>
      <c r="AZ69">
        <f t="shared" si="75"/>
        <v>51.02217171713729</v>
      </c>
      <c r="BA69">
        <f t="shared" si="76"/>
        <v>270.75185425904158</v>
      </c>
      <c r="BB69">
        <f t="shared" si="77"/>
        <v>3.6358687003808038E-2</v>
      </c>
      <c r="BC69">
        <f t="shared" si="78"/>
        <v>1.7025882585872392</v>
      </c>
      <c r="BD69">
        <f t="shared" si="79"/>
        <v>665.53274433844399</v>
      </c>
      <c r="BE69" t="s">
        <v>689</v>
      </c>
      <c r="BF69">
        <v>637.17999999999995</v>
      </c>
      <c r="BG69">
        <f t="shared" si="80"/>
        <v>637.17999999999995</v>
      </c>
      <c r="BH69">
        <f t="shared" si="81"/>
        <v>0.49822248902009203</v>
      </c>
      <c r="BI69">
        <f t="shared" si="82"/>
        <v>0.71834318149840415</v>
      </c>
      <c r="BJ69">
        <f t="shared" si="83"/>
        <v>0.77361865868669188</v>
      </c>
      <c r="BK69">
        <f t="shared" si="84"/>
        <v>1.6451493149751639</v>
      </c>
      <c r="BL69">
        <f t="shared" si="85"/>
        <v>0.88670297378414331</v>
      </c>
      <c r="BM69">
        <f t="shared" si="86"/>
        <v>0.56135414125869643</v>
      </c>
      <c r="BN69">
        <f t="shared" si="87"/>
        <v>0.43864585874130357</v>
      </c>
      <c r="BO69">
        <v>7652</v>
      </c>
      <c r="BP69">
        <v>290.00000000000011</v>
      </c>
      <c r="BQ69">
        <v>1141.18</v>
      </c>
      <c r="BR69">
        <v>175</v>
      </c>
      <c r="BS69">
        <v>10456.200000000001</v>
      </c>
      <c r="BT69">
        <v>1139.24</v>
      </c>
      <c r="BU69">
        <v>1.94</v>
      </c>
      <c r="BV69">
        <v>300.00000000000011</v>
      </c>
      <c r="BW69">
        <v>38.200000000000003</v>
      </c>
      <c r="BX69">
        <v>1269.8456707548889</v>
      </c>
      <c r="BY69">
        <v>1.360047539541924</v>
      </c>
      <c r="BZ69">
        <v>-136.5627710858295</v>
      </c>
      <c r="CA69">
        <v>1.164234460301155</v>
      </c>
      <c r="CB69">
        <v>0.99796908672535356</v>
      </c>
      <c r="CC69">
        <v>-1.1355067185761949E-2</v>
      </c>
      <c r="CD69">
        <v>289.99999999999989</v>
      </c>
      <c r="CE69">
        <v>1123.1099999999999</v>
      </c>
      <c r="CF69">
        <v>685</v>
      </c>
      <c r="CG69">
        <v>10433</v>
      </c>
      <c r="CH69">
        <v>1138.95</v>
      </c>
      <c r="CI69">
        <v>-15.84</v>
      </c>
      <c r="CW69">
        <f t="shared" si="88"/>
        <v>1799.81</v>
      </c>
      <c r="CX69">
        <f t="shared" si="89"/>
        <v>1513.0251059044076</v>
      </c>
      <c r="CY69">
        <f t="shared" si="90"/>
        <v>0.84065823942772167</v>
      </c>
      <c r="CZ69">
        <f t="shared" si="91"/>
        <v>0.19131647885544326</v>
      </c>
      <c r="DA69">
        <v>6</v>
      </c>
      <c r="DB69">
        <v>0.5</v>
      </c>
      <c r="DC69" t="s">
        <v>419</v>
      </c>
      <c r="DD69">
        <v>2</v>
      </c>
      <c r="DE69">
        <v>1693334298</v>
      </c>
      <c r="DF69">
        <v>634.03800000000001</v>
      </c>
      <c r="DG69">
        <v>699.45399999999995</v>
      </c>
      <c r="DH69">
        <v>29.086600000000001</v>
      </c>
      <c r="DI69">
        <v>22.5885</v>
      </c>
      <c r="DJ69">
        <v>633.21699999999998</v>
      </c>
      <c r="DK69">
        <v>28.8415</v>
      </c>
      <c r="DL69">
        <v>500.44200000000001</v>
      </c>
      <c r="DM69">
        <v>98.994699999999995</v>
      </c>
      <c r="DN69">
        <v>9.9624699999999997E-2</v>
      </c>
      <c r="DO69">
        <v>30.727599999999999</v>
      </c>
      <c r="DP69">
        <v>30.042000000000002</v>
      </c>
      <c r="DQ69">
        <v>999.9</v>
      </c>
      <c r="DR69">
        <v>0</v>
      </c>
      <c r="DS69">
        <v>0</v>
      </c>
      <c r="DT69">
        <v>10012.5</v>
      </c>
      <c r="DU69">
        <v>0</v>
      </c>
      <c r="DV69">
        <v>1485.54</v>
      </c>
      <c r="DW69">
        <v>-65.4161</v>
      </c>
      <c r="DX69">
        <v>653.03300000000002</v>
      </c>
      <c r="DY69">
        <v>715.61900000000003</v>
      </c>
      <c r="DZ69">
        <v>6.4980900000000004</v>
      </c>
      <c r="EA69">
        <v>699.45399999999995</v>
      </c>
      <c r="EB69">
        <v>22.5885</v>
      </c>
      <c r="EC69">
        <v>2.8794200000000001</v>
      </c>
      <c r="ED69">
        <v>2.2361399999999998</v>
      </c>
      <c r="EE69">
        <v>23.346599999999999</v>
      </c>
      <c r="EF69">
        <v>19.223600000000001</v>
      </c>
      <c r="EG69">
        <v>1799.81</v>
      </c>
      <c r="EH69">
        <v>0.97799499999999995</v>
      </c>
      <c r="EI69">
        <v>2.2004699999999999E-2</v>
      </c>
      <c r="EJ69">
        <v>0</v>
      </c>
      <c r="EK69">
        <v>815.41700000000003</v>
      </c>
      <c r="EL69">
        <v>5.0010300000000001</v>
      </c>
      <c r="EM69">
        <v>15630.7</v>
      </c>
      <c r="EN69">
        <v>14699.6</v>
      </c>
      <c r="EO69">
        <v>46.186999999999998</v>
      </c>
      <c r="EP69">
        <v>48.25</v>
      </c>
      <c r="EQ69">
        <v>47.5</v>
      </c>
      <c r="ER69">
        <v>47.561999999999998</v>
      </c>
      <c r="ES69">
        <v>47.936999999999998</v>
      </c>
      <c r="ET69">
        <v>1755.31</v>
      </c>
      <c r="EU69">
        <v>39.49</v>
      </c>
      <c r="EV69">
        <v>0</v>
      </c>
      <c r="EW69">
        <v>187.39999985694891</v>
      </c>
      <c r="EX69">
        <v>0</v>
      </c>
      <c r="EY69">
        <v>815.3746000000001</v>
      </c>
      <c r="EZ69">
        <v>1.726384615857294</v>
      </c>
      <c r="FA69">
        <v>-34.61538489539236</v>
      </c>
      <c r="FB69">
        <v>15636.54</v>
      </c>
      <c r="FC69">
        <v>15</v>
      </c>
      <c r="FD69">
        <v>1693334193.5</v>
      </c>
      <c r="FE69" t="s">
        <v>690</v>
      </c>
      <c r="FF69">
        <v>1693334184.5</v>
      </c>
      <c r="FG69">
        <v>1693334193.5</v>
      </c>
      <c r="FH69">
        <v>60</v>
      </c>
      <c r="FI69">
        <v>-4.2999999999999997E-2</v>
      </c>
      <c r="FJ69">
        <v>4.0000000000000001E-3</v>
      </c>
      <c r="FK69">
        <v>0.83399999999999996</v>
      </c>
      <c r="FL69">
        <v>8.5999999999999993E-2</v>
      </c>
      <c r="FM69">
        <v>700</v>
      </c>
      <c r="FN69">
        <v>22</v>
      </c>
      <c r="FO69">
        <v>0.13</v>
      </c>
      <c r="FP69">
        <v>0.04</v>
      </c>
      <c r="FQ69">
        <v>51.57636188191546</v>
      </c>
      <c r="FR69">
        <v>-2.7373574725687522E-2</v>
      </c>
      <c r="FS69">
        <v>0.34617819644316289</v>
      </c>
      <c r="FT69">
        <v>0</v>
      </c>
      <c r="FU69">
        <v>0.41791646874964561</v>
      </c>
      <c r="FV69">
        <v>-1.7073968579271091E-2</v>
      </c>
      <c r="FW69">
        <v>1.3909371068130921E-3</v>
      </c>
      <c r="FX69">
        <v>1</v>
      </c>
      <c r="FY69">
        <v>1</v>
      </c>
      <c r="FZ69">
        <v>2</v>
      </c>
      <c r="GA69" t="s">
        <v>460</v>
      </c>
      <c r="GB69">
        <v>2.89568</v>
      </c>
      <c r="GC69">
        <v>2.8177400000000001</v>
      </c>
      <c r="GD69">
        <v>0.12557399999999999</v>
      </c>
      <c r="GE69">
        <v>0.13442699999999999</v>
      </c>
      <c r="GF69">
        <v>0.134743</v>
      </c>
      <c r="GG69">
        <v>0.11303100000000001</v>
      </c>
      <c r="GH69">
        <v>24150.7</v>
      </c>
      <c r="GI69">
        <v>24032.1</v>
      </c>
      <c r="GJ69">
        <v>24510.7</v>
      </c>
      <c r="GK69">
        <v>24805.7</v>
      </c>
      <c r="GL69">
        <v>28191.3</v>
      </c>
      <c r="GM69">
        <v>28793.4</v>
      </c>
      <c r="GN69">
        <v>33155.1</v>
      </c>
      <c r="GO69">
        <v>33148.699999999997</v>
      </c>
      <c r="GP69">
        <v>1.9240999999999999</v>
      </c>
      <c r="GQ69">
        <v>1.6851</v>
      </c>
      <c r="GR69">
        <v>3.6403499999999998E-2</v>
      </c>
      <c r="GS69">
        <v>0</v>
      </c>
      <c r="GT69">
        <v>29.449300000000001</v>
      </c>
      <c r="GU69">
        <v>999.9</v>
      </c>
      <c r="GV69">
        <v>40.9</v>
      </c>
      <c r="GW69">
        <v>48.2</v>
      </c>
      <c r="GX69">
        <v>46.882899999999999</v>
      </c>
      <c r="GY69">
        <v>61.922699999999999</v>
      </c>
      <c r="GZ69">
        <v>27.548100000000002</v>
      </c>
      <c r="HA69">
        <v>1</v>
      </c>
      <c r="HB69">
        <v>0.69789599999999996</v>
      </c>
      <c r="HC69">
        <v>2.9392499999999999</v>
      </c>
      <c r="HD69">
        <v>20.133800000000001</v>
      </c>
      <c r="HE69">
        <v>5.2346599999999999</v>
      </c>
      <c r="HF69">
        <v>11.9201</v>
      </c>
      <c r="HG69">
        <v>4.9598000000000004</v>
      </c>
      <c r="HH69">
        <v>3.2888999999999999</v>
      </c>
      <c r="HI69">
        <v>9999</v>
      </c>
      <c r="HJ69">
        <v>9999</v>
      </c>
      <c r="HK69">
        <v>9999</v>
      </c>
      <c r="HL69">
        <v>878.8</v>
      </c>
      <c r="HM69">
        <v>1.88106</v>
      </c>
      <c r="HN69">
        <v>1.8783399999999999</v>
      </c>
      <c r="HO69">
        <v>1.88629</v>
      </c>
      <c r="HP69">
        <v>1.8839699999999999</v>
      </c>
      <c r="HQ69">
        <v>1.8815599999999999</v>
      </c>
      <c r="HR69">
        <v>1.88049</v>
      </c>
      <c r="HS69">
        <v>1.88168</v>
      </c>
      <c r="HT69">
        <v>1.8812599999999999</v>
      </c>
      <c r="HU69">
        <v>5</v>
      </c>
      <c r="HV69">
        <v>0</v>
      </c>
      <c r="HW69">
        <v>0</v>
      </c>
      <c r="HX69">
        <v>0</v>
      </c>
      <c r="HY69" t="s">
        <v>422</v>
      </c>
      <c r="HZ69" t="s">
        <v>423</v>
      </c>
      <c r="IA69" t="s">
        <v>424</v>
      </c>
      <c r="IB69" t="s">
        <v>424</v>
      </c>
      <c r="IC69" t="s">
        <v>424</v>
      </c>
      <c r="ID69" t="s">
        <v>424</v>
      </c>
      <c r="IE69">
        <v>0</v>
      </c>
      <c r="IF69">
        <v>100</v>
      </c>
      <c r="IG69">
        <v>100</v>
      </c>
      <c r="IH69">
        <v>0.82099999999999995</v>
      </c>
      <c r="II69">
        <v>0.24510000000000001</v>
      </c>
      <c r="IJ69">
        <v>0.1419886500205419</v>
      </c>
      <c r="IK69">
        <v>2.2153513873161218E-3</v>
      </c>
      <c r="IL69">
        <v>-2.2967369670569612E-6</v>
      </c>
      <c r="IM69">
        <v>7.7859689150384122E-10</v>
      </c>
      <c r="IN69">
        <v>-0.15512033522993271</v>
      </c>
      <c r="IO69">
        <v>-4.1434251034592161E-3</v>
      </c>
      <c r="IP69">
        <v>8.3987709687394815E-4</v>
      </c>
      <c r="IQ69">
        <v>-7.4586254598011197E-6</v>
      </c>
      <c r="IR69">
        <v>2</v>
      </c>
      <c r="IS69">
        <v>1930</v>
      </c>
      <c r="IT69">
        <v>2</v>
      </c>
      <c r="IU69">
        <v>41</v>
      </c>
      <c r="IV69">
        <v>1.9</v>
      </c>
      <c r="IW69">
        <v>1.7</v>
      </c>
      <c r="IX69">
        <v>1.54297</v>
      </c>
      <c r="IY69">
        <v>2.5561500000000001</v>
      </c>
      <c r="IZ69">
        <v>1.24512</v>
      </c>
      <c r="JA69">
        <v>2.2534200000000002</v>
      </c>
      <c r="JB69">
        <v>1.4501999999999999</v>
      </c>
      <c r="JC69">
        <v>2.4670399999999999</v>
      </c>
      <c r="JD69">
        <v>50.412599999999998</v>
      </c>
      <c r="JE69">
        <v>24.043700000000001</v>
      </c>
      <c r="JF69">
        <v>18</v>
      </c>
      <c r="JG69">
        <v>494.79500000000002</v>
      </c>
      <c r="JH69">
        <v>384.64600000000002</v>
      </c>
      <c r="JI69">
        <v>26.775300000000001</v>
      </c>
      <c r="JJ69">
        <v>35.819800000000001</v>
      </c>
      <c r="JK69">
        <v>30.0002</v>
      </c>
      <c r="JL69">
        <v>35.734999999999999</v>
      </c>
      <c r="JM69">
        <v>35.713900000000002</v>
      </c>
      <c r="JN69">
        <v>30.997900000000001</v>
      </c>
      <c r="JO69">
        <v>55.7622</v>
      </c>
      <c r="JP69">
        <v>0</v>
      </c>
      <c r="JQ69">
        <v>26.76</v>
      </c>
      <c r="JR69">
        <v>700</v>
      </c>
      <c r="JS69">
        <v>22.515699999999999</v>
      </c>
      <c r="JT69">
        <v>98.944400000000002</v>
      </c>
      <c r="JU69">
        <v>98.911600000000007</v>
      </c>
    </row>
    <row r="70" spans="1:281" x14ac:dyDescent="0.25">
      <c r="A70">
        <v>54</v>
      </c>
      <c r="B70">
        <v>1693334487.5</v>
      </c>
      <c r="C70">
        <v>11774.400000095369</v>
      </c>
      <c r="D70" t="s">
        <v>691</v>
      </c>
      <c r="E70" t="s">
        <v>692</v>
      </c>
      <c r="F70" t="s">
        <v>413</v>
      </c>
      <c r="G70" t="s">
        <v>636</v>
      </c>
      <c r="H70" t="s">
        <v>637</v>
      </c>
      <c r="I70" t="s">
        <v>415</v>
      </c>
      <c r="J70">
        <v>1693334487.5</v>
      </c>
      <c r="K70">
        <f t="shared" si="46"/>
        <v>5.0404266384281209E-3</v>
      </c>
      <c r="L70">
        <f t="shared" si="47"/>
        <v>5.0404266384281211</v>
      </c>
      <c r="M70">
        <f t="shared" si="48"/>
        <v>51.253328779159297</v>
      </c>
      <c r="N70">
        <f t="shared" si="49"/>
        <v>833.35400000000004</v>
      </c>
      <c r="O70">
        <f t="shared" si="50"/>
        <v>581.93472099389624</v>
      </c>
      <c r="P70">
        <f t="shared" si="51"/>
        <v>57.665464105120797</v>
      </c>
      <c r="Q70">
        <f t="shared" si="52"/>
        <v>82.579271248472011</v>
      </c>
      <c r="R70">
        <f t="shared" si="53"/>
        <v>0.36986363105340087</v>
      </c>
      <c r="S70">
        <f t="shared" si="54"/>
        <v>2.9100696776526793</v>
      </c>
      <c r="T70">
        <f t="shared" si="55"/>
        <v>0.34559188752678488</v>
      </c>
      <c r="U70">
        <f t="shared" si="56"/>
        <v>0.2180427789032465</v>
      </c>
      <c r="V70">
        <f t="shared" si="57"/>
        <v>344.39411180671613</v>
      </c>
      <c r="W70">
        <f t="shared" si="58"/>
        <v>31.267009659117967</v>
      </c>
      <c r="X70">
        <f t="shared" si="59"/>
        <v>29.964400000000001</v>
      </c>
      <c r="Y70">
        <f t="shared" si="60"/>
        <v>4.2517456151298871</v>
      </c>
      <c r="Z70">
        <f t="shared" si="61"/>
        <v>65.029434694743401</v>
      </c>
      <c r="AA70">
        <f t="shared" si="62"/>
        <v>2.8583379177267996</v>
      </c>
      <c r="AB70">
        <f t="shared" si="63"/>
        <v>4.3954525072287778</v>
      </c>
      <c r="AC70">
        <f t="shared" si="64"/>
        <v>1.3934076974030876</v>
      </c>
      <c r="AD70">
        <f t="shared" si="65"/>
        <v>-222.28281475468012</v>
      </c>
      <c r="AE70">
        <f t="shared" si="66"/>
        <v>90.963474812442001</v>
      </c>
      <c r="AF70">
        <f t="shared" si="67"/>
        <v>6.9678077919755532</v>
      </c>
      <c r="AG70">
        <f t="shared" si="68"/>
        <v>220.04257965645354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51683.73560180451</v>
      </c>
      <c r="AM70" t="s">
        <v>416</v>
      </c>
      <c r="AN70">
        <v>10366.9</v>
      </c>
      <c r="AO70">
        <v>993.59653846153856</v>
      </c>
      <c r="AP70">
        <v>3431.87</v>
      </c>
      <c r="AQ70">
        <f t="shared" si="72"/>
        <v>0.71047955241266758</v>
      </c>
      <c r="AR70">
        <v>-3.9894345373445681</v>
      </c>
      <c r="AS70" t="s">
        <v>693</v>
      </c>
      <c r="AT70">
        <v>10448.700000000001</v>
      </c>
      <c r="AU70">
        <v>815.13034615384618</v>
      </c>
      <c r="AV70">
        <v>1274.226797232292</v>
      </c>
      <c r="AW70">
        <f t="shared" si="73"/>
        <v>0.36029414235804402</v>
      </c>
      <c r="AX70">
        <v>0.5</v>
      </c>
      <c r="AY70">
        <f t="shared" si="74"/>
        <v>1513.2939059033579</v>
      </c>
      <c r="AZ70">
        <f t="shared" si="75"/>
        <v>51.253328779159297</v>
      </c>
      <c r="BA70">
        <f t="shared" si="76"/>
        <v>272.61546498155246</v>
      </c>
      <c r="BB70">
        <f t="shared" si="77"/>
        <v>3.6504979700904043E-2</v>
      </c>
      <c r="BC70">
        <f t="shared" si="78"/>
        <v>1.6932960501648975</v>
      </c>
      <c r="BD70">
        <f t="shared" si="79"/>
        <v>666.73420700140059</v>
      </c>
      <c r="BE70" t="s">
        <v>694</v>
      </c>
      <c r="BF70">
        <v>635.79999999999995</v>
      </c>
      <c r="BG70">
        <f t="shared" si="80"/>
        <v>635.79999999999995</v>
      </c>
      <c r="BH70">
        <f t="shared" si="81"/>
        <v>0.50103074163798689</v>
      </c>
      <c r="BI70">
        <f t="shared" si="82"/>
        <v>0.71910586001201837</v>
      </c>
      <c r="BJ70">
        <f t="shared" si="83"/>
        <v>0.77166995202827826</v>
      </c>
      <c r="BK70">
        <f t="shared" si="84"/>
        <v>1.6359477879877566</v>
      </c>
      <c r="BL70">
        <f t="shared" si="85"/>
        <v>0.88490615872360512</v>
      </c>
      <c r="BM70">
        <f t="shared" si="86"/>
        <v>0.56090109753974093</v>
      </c>
      <c r="BN70">
        <f t="shared" si="87"/>
        <v>0.43909890246025907</v>
      </c>
      <c r="BO70">
        <v>7654</v>
      </c>
      <c r="BP70">
        <v>290.00000000000011</v>
      </c>
      <c r="BQ70">
        <v>1144.68</v>
      </c>
      <c r="BR70">
        <v>235</v>
      </c>
      <c r="BS70">
        <v>10448.700000000001</v>
      </c>
      <c r="BT70">
        <v>1143.57</v>
      </c>
      <c r="BU70">
        <v>1.1100000000000001</v>
      </c>
      <c r="BV70">
        <v>300.00000000000011</v>
      </c>
      <c r="BW70">
        <v>38.200000000000003</v>
      </c>
      <c r="BX70">
        <v>1274.226797232292</v>
      </c>
      <c r="BY70">
        <v>1.8243505406193281</v>
      </c>
      <c r="BZ70">
        <v>-136.5143665968597</v>
      </c>
      <c r="CA70">
        <v>1.5617330296709619</v>
      </c>
      <c r="CB70">
        <v>0.99634887802773731</v>
      </c>
      <c r="CC70">
        <v>-1.135495728587318E-2</v>
      </c>
      <c r="CD70">
        <v>289.99999999999989</v>
      </c>
      <c r="CE70">
        <v>1129.23</v>
      </c>
      <c r="CF70">
        <v>645</v>
      </c>
      <c r="CG70">
        <v>10436.4</v>
      </c>
      <c r="CH70">
        <v>1143.42</v>
      </c>
      <c r="CI70">
        <v>-14.19</v>
      </c>
      <c r="CW70">
        <f t="shared" si="88"/>
        <v>1800.13</v>
      </c>
      <c r="CX70">
        <f t="shared" si="89"/>
        <v>1513.2939059033579</v>
      </c>
      <c r="CY70">
        <f t="shared" si="90"/>
        <v>0.84065812241524662</v>
      </c>
      <c r="CZ70">
        <f t="shared" si="91"/>
        <v>0.19131624483049342</v>
      </c>
      <c r="DA70">
        <v>6</v>
      </c>
      <c r="DB70">
        <v>0.5</v>
      </c>
      <c r="DC70" t="s">
        <v>419</v>
      </c>
      <c r="DD70">
        <v>2</v>
      </c>
      <c r="DE70">
        <v>1693334487.5</v>
      </c>
      <c r="DF70">
        <v>833.35400000000004</v>
      </c>
      <c r="DG70">
        <v>899.90599999999995</v>
      </c>
      <c r="DH70">
        <v>28.845099999999999</v>
      </c>
      <c r="DI70">
        <v>22.970400000000001</v>
      </c>
      <c r="DJ70">
        <v>832.47299999999996</v>
      </c>
      <c r="DK70">
        <v>28.608899999999998</v>
      </c>
      <c r="DL70">
        <v>499.94400000000002</v>
      </c>
      <c r="DM70">
        <v>98.992699999999999</v>
      </c>
      <c r="DN70">
        <v>9.9968000000000001E-2</v>
      </c>
      <c r="DO70">
        <v>30.5442</v>
      </c>
      <c r="DP70">
        <v>29.964400000000001</v>
      </c>
      <c r="DQ70">
        <v>999.9</v>
      </c>
      <c r="DR70">
        <v>0</v>
      </c>
      <c r="DS70">
        <v>0</v>
      </c>
      <c r="DT70">
        <v>9990</v>
      </c>
      <c r="DU70">
        <v>0</v>
      </c>
      <c r="DV70">
        <v>1481.56</v>
      </c>
      <c r="DW70">
        <v>-66.552099999999996</v>
      </c>
      <c r="DX70">
        <v>858.10599999999999</v>
      </c>
      <c r="DY70">
        <v>921.06299999999999</v>
      </c>
      <c r="DZ70">
        <v>5.8746999999999998</v>
      </c>
      <c r="EA70">
        <v>899.90599999999995</v>
      </c>
      <c r="EB70">
        <v>22.970400000000001</v>
      </c>
      <c r="EC70">
        <v>2.8554599999999999</v>
      </c>
      <c r="ED70">
        <v>2.2738999999999998</v>
      </c>
      <c r="EE70">
        <v>23.208200000000001</v>
      </c>
      <c r="EF70">
        <v>19.492699999999999</v>
      </c>
      <c r="EG70">
        <v>1800.13</v>
      </c>
      <c r="EH70">
        <v>0.97799899999999995</v>
      </c>
      <c r="EI70">
        <v>2.2001E-2</v>
      </c>
      <c r="EJ70">
        <v>0</v>
      </c>
      <c r="EK70">
        <v>815.18200000000002</v>
      </c>
      <c r="EL70">
        <v>5.0010300000000001</v>
      </c>
      <c r="EM70">
        <v>15617.1</v>
      </c>
      <c r="EN70">
        <v>14702.2</v>
      </c>
      <c r="EO70">
        <v>46.061999999999998</v>
      </c>
      <c r="EP70">
        <v>48.061999999999998</v>
      </c>
      <c r="EQ70">
        <v>47.375</v>
      </c>
      <c r="ER70">
        <v>47.436999999999998</v>
      </c>
      <c r="ES70">
        <v>47.811999999999998</v>
      </c>
      <c r="ET70">
        <v>1755.63</v>
      </c>
      <c r="EU70">
        <v>39.49</v>
      </c>
      <c r="EV70">
        <v>0</v>
      </c>
      <c r="EW70">
        <v>187.39999985694891</v>
      </c>
      <c r="EX70">
        <v>0</v>
      </c>
      <c r="EY70">
        <v>815.13034615384618</v>
      </c>
      <c r="EZ70">
        <v>-0.94129913221049777</v>
      </c>
      <c r="FA70">
        <v>-34.078632549683277</v>
      </c>
      <c r="FB70">
        <v>15620.353846153839</v>
      </c>
      <c r="FC70">
        <v>15</v>
      </c>
      <c r="FD70">
        <v>1693334399.5</v>
      </c>
      <c r="FE70" t="s">
        <v>695</v>
      </c>
      <c r="FF70">
        <v>1693334396.5</v>
      </c>
      <c r="FG70">
        <v>1693334399.5</v>
      </c>
      <c r="FH70">
        <v>61</v>
      </c>
      <c r="FI70">
        <v>3.7999999999999999E-2</v>
      </c>
      <c r="FJ70">
        <v>-3.0000000000000001E-3</v>
      </c>
      <c r="FK70">
        <v>0.88100000000000001</v>
      </c>
      <c r="FL70">
        <v>9.4E-2</v>
      </c>
      <c r="FM70">
        <v>900</v>
      </c>
      <c r="FN70">
        <v>23</v>
      </c>
      <c r="FO70">
        <v>0.14000000000000001</v>
      </c>
      <c r="FP70">
        <v>0.04</v>
      </c>
      <c r="FQ70">
        <v>51.2816520304089</v>
      </c>
      <c r="FR70">
        <v>-1.5947754623004</v>
      </c>
      <c r="FS70">
        <v>0.34259375670937858</v>
      </c>
      <c r="FT70">
        <v>0</v>
      </c>
      <c r="FU70">
        <v>0.37149850531285777</v>
      </c>
      <c r="FV70">
        <v>-1.6533775824001978E-2</v>
      </c>
      <c r="FW70">
        <v>1.347463327981686E-3</v>
      </c>
      <c r="FX70">
        <v>1</v>
      </c>
      <c r="FY70">
        <v>1</v>
      </c>
      <c r="FZ70">
        <v>2</v>
      </c>
      <c r="GA70" t="s">
        <v>460</v>
      </c>
      <c r="GB70">
        <v>2.8944000000000001</v>
      </c>
      <c r="GC70">
        <v>2.8178899999999998</v>
      </c>
      <c r="GD70">
        <v>0.15113199999999999</v>
      </c>
      <c r="GE70">
        <v>0.15897700000000001</v>
      </c>
      <c r="GF70">
        <v>0.13400100000000001</v>
      </c>
      <c r="GG70">
        <v>0.11434900000000001</v>
      </c>
      <c r="GH70">
        <v>23443.9</v>
      </c>
      <c r="GI70">
        <v>23349.8</v>
      </c>
      <c r="GJ70">
        <v>24510.5</v>
      </c>
      <c r="GK70">
        <v>24805.8</v>
      </c>
      <c r="GL70">
        <v>28215.5</v>
      </c>
      <c r="GM70">
        <v>28749.3</v>
      </c>
      <c r="GN70">
        <v>33155</v>
      </c>
      <c r="GO70">
        <v>33147.199999999997</v>
      </c>
      <c r="GP70">
        <v>1.9244000000000001</v>
      </c>
      <c r="GQ70">
        <v>1.6875</v>
      </c>
      <c r="GR70">
        <v>3.5435000000000001E-2</v>
      </c>
      <c r="GS70">
        <v>0</v>
      </c>
      <c r="GT70">
        <v>29.387499999999999</v>
      </c>
      <c r="GU70">
        <v>999.9</v>
      </c>
      <c r="GV70">
        <v>41</v>
      </c>
      <c r="GW70">
        <v>48.1</v>
      </c>
      <c r="GX70">
        <v>46.759599999999999</v>
      </c>
      <c r="GY70">
        <v>61.922800000000002</v>
      </c>
      <c r="GZ70">
        <v>27.6082</v>
      </c>
      <c r="HA70">
        <v>1</v>
      </c>
      <c r="HB70">
        <v>0.69739799999999996</v>
      </c>
      <c r="HC70">
        <v>2.66527</v>
      </c>
      <c r="HD70">
        <v>20.1387</v>
      </c>
      <c r="HE70">
        <v>5.2340600000000004</v>
      </c>
      <c r="HF70">
        <v>11.9207</v>
      </c>
      <c r="HG70">
        <v>4.9596</v>
      </c>
      <c r="HH70">
        <v>3.2887</v>
      </c>
      <c r="HI70">
        <v>9999</v>
      </c>
      <c r="HJ70">
        <v>9999</v>
      </c>
      <c r="HK70">
        <v>9999</v>
      </c>
      <c r="HL70">
        <v>878.8</v>
      </c>
      <c r="HM70">
        <v>1.88106</v>
      </c>
      <c r="HN70">
        <v>1.8783399999999999</v>
      </c>
      <c r="HO70">
        <v>1.88629</v>
      </c>
      <c r="HP70">
        <v>1.88392</v>
      </c>
      <c r="HQ70">
        <v>1.88154</v>
      </c>
      <c r="HR70">
        <v>1.88049</v>
      </c>
      <c r="HS70">
        <v>1.88171</v>
      </c>
      <c r="HT70">
        <v>1.8812599999999999</v>
      </c>
      <c r="HU70">
        <v>5</v>
      </c>
      <c r="HV70">
        <v>0</v>
      </c>
      <c r="HW70">
        <v>0</v>
      </c>
      <c r="HX70">
        <v>0</v>
      </c>
      <c r="HY70" t="s">
        <v>422</v>
      </c>
      <c r="HZ70" t="s">
        <v>423</v>
      </c>
      <c r="IA70" t="s">
        <v>424</v>
      </c>
      <c r="IB70" t="s">
        <v>424</v>
      </c>
      <c r="IC70" t="s">
        <v>424</v>
      </c>
      <c r="ID70" t="s">
        <v>424</v>
      </c>
      <c r="IE70">
        <v>0</v>
      </c>
      <c r="IF70">
        <v>100</v>
      </c>
      <c r="IG70">
        <v>100</v>
      </c>
      <c r="IH70">
        <v>0.88100000000000001</v>
      </c>
      <c r="II70">
        <v>0.23619999999999999</v>
      </c>
      <c r="IJ70">
        <v>0.17946518681538479</v>
      </c>
      <c r="IK70">
        <v>2.2153513873161218E-3</v>
      </c>
      <c r="IL70">
        <v>-2.2967369670569612E-6</v>
      </c>
      <c r="IM70">
        <v>7.7859689150384122E-10</v>
      </c>
      <c r="IN70">
        <v>-0.15800954631014549</v>
      </c>
      <c r="IO70">
        <v>-4.1434251034592161E-3</v>
      </c>
      <c r="IP70">
        <v>8.3987709687394815E-4</v>
      </c>
      <c r="IQ70">
        <v>-7.4586254598011197E-6</v>
      </c>
      <c r="IR70">
        <v>2</v>
      </c>
      <c r="IS70">
        <v>1930</v>
      </c>
      <c r="IT70">
        <v>2</v>
      </c>
      <c r="IU70">
        <v>41</v>
      </c>
      <c r="IV70">
        <v>1.5</v>
      </c>
      <c r="IW70">
        <v>1.5</v>
      </c>
      <c r="IX70">
        <v>1.89453</v>
      </c>
      <c r="IY70">
        <v>2.5463900000000002</v>
      </c>
      <c r="IZ70">
        <v>1.24512</v>
      </c>
      <c r="JA70">
        <v>2.2522000000000002</v>
      </c>
      <c r="JB70">
        <v>1.4501999999999999</v>
      </c>
      <c r="JC70">
        <v>2.4597199999999999</v>
      </c>
      <c r="JD70">
        <v>50.186399999999999</v>
      </c>
      <c r="JE70">
        <v>24.043700000000001</v>
      </c>
      <c r="JF70">
        <v>18</v>
      </c>
      <c r="JG70">
        <v>494.92500000000001</v>
      </c>
      <c r="JH70">
        <v>386.02600000000001</v>
      </c>
      <c r="JI70">
        <v>26.564299999999999</v>
      </c>
      <c r="JJ70">
        <v>35.823099999999997</v>
      </c>
      <c r="JK70">
        <v>29.9998</v>
      </c>
      <c r="JL70">
        <v>35.725000000000001</v>
      </c>
      <c r="JM70">
        <v>35.700699999999998</v>
      </c>
      <c r="JN70">
        <v>38.020899999999997</v>
      </c>
      <c r="JO70">
        <v>54.912799999999997</v>
      </c>
      <c r="JP70">
        <v>0</v>
      </c>
      <c r="JQ70">
        <v>26.573599999999999</v>
      </c>
      <c r="JR70">
        <v>900</v>
      </c>
      <c r="JS70">
        <v>23.010200000000001</v>
      </c>
      <c r="JT70">
        <v>98.944000000000003</v>
      </c>
      <c r="JU70">
        <v>98.909099999999995</v>
      </c>
    </row>
    <row r="71" spans="1:281" x14ac:dyDescent="0.25">
      <c r="A71">
        <v>55</v>
      </c>
      <c r="B71">
        <v>1693334677</v>
      </c>
      <c r="C71">
        <v>11963.900000095369</v>
      </c>
      <c r="D71" t="s">
        <v>696</v>
      </c>
      <c r="E71" t="s">
        <v>697</v>
      </c>
      <c r="F71" t="s">
        <v>413</v>
      </c>
      <c r="G71" t="s">
        <v>636</v>
      </c>
      <c r="H71" t="s">
        <v>637</v>
      </c>
      <c r="I71" t="s">
        <v>415</v>
      </c>
      <c r="J71">
        <v>1693334677</v>
      </c>
      <c r="K71">
        <f t="shared" si="46"/>
        <v>4.4651044700744083E-3</v>
      </c>
      <c r="L71">
        <f t="shared" si="47"/>
        <v>4.465104470074408</v>
      </c>
      <c r="M71">
        <f t="shared" si="48"/>
        <v>50.734050265556462</v>
      </c>
      <c r="N71">
        <f t="shared" si="49"/>
        <v>1133.19</v>
      </c>
      <c r="O71">
        <f t="shared" si="50"/>
        <v>839.17048823110008</v>
      </c>
      <c r="P71">
        <f t="shared" si="51"/>
        <v>83.152544368239759</v>
      </c>
      <c r="Q71">
        <f t="shared" si="52"/>
        <v>112.28663671344</v>
      </c>
      <c r="R71">
        <f t="shared" si="53"/>
        <v>0.31548854839775448</v>
      </c>
      <c r="S71">
        <f t="shared" si="54"/>
        <v>2.9047413919734426</v>
      </c>
      <c r="T71">
        <f t="shared" si="55"/>
        <v>0.29761332437939014</v>
      </c>
      <c r="U71">
        <f t="shared" si="56"/>
        <v>0.18752989470030146</v>
      </c>
      <c r="V71">
        <f t="shared" si="57"/>
        <v>344.35291181114945</v>
      </c>
      <c r="W71">
        <f t="shared" si="58"/>
        <v>31.410539148051644</v>
      </c>
      <c r="X71">
        <f t="shared" si="59"/>
        <v>30.084099999999999</v>
      </c>
      <c r="Y71">
        <f t="shared" si="60"/>
        <v>4.2810738230462322</v>
      </c>
      <c r="Z71">
        <f t="shared" si="61"/>
        <v>64.821624289167119</v>
      </c>
      <c r="AA71">
        <f t="shared" si="62"/>
        <v>2.8479162592159999</v>
      </c>
      <c r="AB71">
        <f t="shared" si="63"/>
        <v>4.3934663631869819</v>
      </c>
      <c r="AC71">
        <f t="shared" si="64"/>
        <v>1.4331575638302323</v>
      </c>
      <c r="AD71">
        <f t="shared" si="65"/>
        <v>-196.91110713028141</v>
      </c>
      <c r="AE71">
        <f t="shared" si="66"/>
        <v>70.814708985265668</v>
      </c>
      <c r="AF71">
        <f t="shared" si="67"/>
        <v>5.437365117983445</v>
      </c>
      <c r="AG71">
        <f t="shared" si="68"/>
        <v>223.69387878411717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51533.924996832975</v>
      </c>
      <c r="AM71" t="s">
        <v>416</v>
      </c>
      <c r="AN71">
        <v>10366.9</v>
      </c>
      <c r="AO71">
        <v>993.59653846153856</v>
      </c>
      <c r="AP71">
        <v>3431.87</v>
      </c>
      <c r="AQ71">
        <f t="shared" si="72"/>
        <v>0.71047955241266758</v>
      </c>
      <c r="AR71">
        <v>-3.9894345373445681</v>
      </c>
      <c r="AS71" t="s">
        <v>698</v>
      </c>
      <c r="AT71">
        <v>10453.9</v>
      </c>
      <c r="AU71">
        <v>811.55680769230776</v>
      </c>
      <c r="AV71">
        <v>1270.643229911185</v>
      </c>
      <c r="AW71">
        <f t="shared" si="73"/>
        <v>0.36130237930828646</v>
      </c>
      <c r="AX71">
        <v>0.5</v>
      </c>
      <c r="AY71">
        <f t="shared" si="74"/>
        <v>1513.1094059055747</v>
      </c>
      <c r="AZ71">
        <f t="shared" si="75"/>
        <v>50.734050265556462</v>
      </c>
      <c r="BA71">
        <f t="shared" si="76"/>
        <v>273.34501425371599</v>
      </c>
      <c r="BB71">
        <f t="shared" si="77"/>
        <v>3.6166244548687998E-2</v>
      </c>
      <c r="BC71">
        <f t="shared" si="78"/>
        <v>1.7008918941313524</v>
      </c>
      <c r="BD71">
        <f t="shared" si="79"/>
        <v>665.75175743471084</v>
      </c>
      <c r="BE71" t="s">
        <v>699</v>
      </c>
      <c r="BF71">
        <v>635.95000000000005</v>
      </c>
      <c r="BG71">
        <f t="shared" si="80"/>
        <v>635.95000000000005</v>
      </c>
      <c r="BH71">
        <f t="shared" si="81"/>
        <v>0.49950545910164612</v>
      </c>
      <c r="BI71">
        <f t="shared" si="82"/>
        <v>0.72332018144122789</v>
      </c>
      <c r="BJ71">
        <f t="shared" si="83"/>
        <v>0.77299306492632658</v>
      </c>
      <c r="BK71">
        <f t="shared" si="84"/>
        <v>1.6570723866677783</v>
      </c>
      <c r="BL71">
        <f t="shared" si="85"/>
        <v>0.88637587382227423</v>
      </c>
      <c r="BM71">
        <f t="shared" si="86"/>
        <v>0.56680624822255299</v>
      </c>
      <c r="BN71">
        <f t="shared" si="87"/>
        <v>0.43319375177744701</v>
      </c>
      <c r="BO71">
        <v>7656</v>
      </c>
      <c r="BP71">
        <v>290.00000000000011</v>
      </c>
      <c r="BQ71">
        <v>1143.3699999999999</v>
      </c>
      <c r="BR71">
        <v>155</v>
      </c>
      <c r="BS71">
        <v>10453.9</v>
      </c>
      <c r="BT71">
        <v>1141.48</v>
      </c>
      <c r="BU71">
        <v>1.89</v>
      </c>
      <c r="BV71">
        <v>300.00000000000011</v>
      </c>
      <c r="BW71">
        <v>38.200000000000003</v>
      </c>
      <c r="BX71">
        <v>1270.643229911185</v>
      </c>
      <c r="BY71">
        <v>1.2886534906346669</v>
      </c>
      <c r="BZ71">
        <v>-135.02640059099991</v>
      </c>
      <c r="CA71">
        <v>1.1025082644869599</v>
      </c>
      <c r="CB71">
        <v>0.99813673598326325</v>
      </c>
      <c r="CC71">
        <v>-1.1349393993325921E-2</v>
      </c>
      <c r="CD71">
        <v>289.99999999999989</v>
      </c>
      <c r="CE71">
        <v>1127.3399999999999</v>
      </c>
      <c r="CF71">
        <v>645</v>
      </c>
      <c r="CG71">
        <v>10430.4</v>
      </c>
      <c r="CH71">
        <v>1141.19</v>
      </c>
      <c r="CI71">
        <v>-13.85</v>
      </c>
      <c r="CW71">
        <f t="shared" si="88"/>
        <v>1799.91</v>
      </c>
      <c r="CX71">
        <f t="shared" si="89"/>
        <v>1513.1094059055747</v>
      </c>
      <c r="CY71">
        <f t="shared" si="90"/>
        <v>0.8406583695326848</v>
      </c>
      <c r="CZ71">
        <f t="shared" si="91"/>
        <v>0.19131673906536961</v>
      </c>
      <c r="DA71">
        <v>6</v>
      </c>
      <c r="DB71">
        <v>0.5</v>
      </c>
      <c r="DC71" t="s">
        <v>419</v>
      </c>
      <c r="DD71">
        <v>2</v>
      </c>
      <c r="DE71">
        <v>1693334677</v>
      </c>
      <c r="DF71">
        <v>1133.19</v>
      </c>
      <c r="DG71">
        <v>1200.1500000000001</v>
      </c>
      <c r="DH71">
        <v>28.741</v>
      </c>
      <c r="DI71">
        <v>23.536300000000001</v>
      </c>
      <c r="DJ71">
        <v>1132.1300000000001</v>
      </c>
      <c r="DK71">
        <v>28.5078</v>
      </c>
      <c r="DL71">
        <v>499.94499999999999</v>
      </c>
      <c r="DM71">
        <v>98.988500000000002</v>
      </c>
      <c r="DN71">
        <v>0.100476</v>
      </c>
      <c r="DO71">
        <v>30.536300000000001</v>
      </c>
      <c r="DP71">
        <v>30.084099999999999</v>
      </c>
      <c r="DQ71">
        <v>999.9</v>
      </c>
      <c r="DR71">
        <v>0</v>
      </c>
      <c r="DS71">
        <v>0</v>
      </c>
      <c r="DT71">
        <v>9960</v>
      </c>
      <c r="DU71">
        <v>0</v>
      </c>
      <c r="DV71">
        <v>1474.75</v>
      </c>
      <c r="DW71">
        <v>-66.959599999999995</v>
      </c>
      <c r="DX71">
        <v>1166.73</v>
      </c>
      <c r="DY71">
        <v>1229.08</v>
      </c>
      <c r="DZ71">
        <v>5.2046999999999999</v>
      </c>
      <c r="EA71">
        <v>1200.1500000000001</v>
      </c>
      <c r="EB71">
        <v>23.536300000000001</v>
      </c>
      <c r="EC71">
        <v>2.8450299999999999</v>
      </c>
      <c r="ED71">
        <v>2.3298299999999998</v>
      </c>
      <c r="EE71">
        <v>23.1477</v>
      </c>
      <c r="EF71">
        <v>19.8841</v>
      </c>
      <c r="EG71">
        <v>1799.91</v>
      </c>
      <c r="EH71">
        <v>0.97799100000000005</v>
      </c>
      <c r="EI71">
        <v>2.20091E-2</v>
      </c>
      <c r="EJ71">
        <v>0</v>
      </c>
      <c r="EK71">
        <v>810.98199999999997</v>
      </c>
      <c r="EL71">
        <v>5.0010300000000001</v>
      </c>
      <c r="EM71">
        <v>15577.1</v>
      </c>
      <c r="EN71">
        <v>14700.3</v>
      </c>
      <c r="EO71">
        <v>47.061999999999998</v>
      </c>
      <c r="EP71">
        <v>48.875</v>
      </c>
      <c r="EQ71">
        <v>48.25</v>
      </c>
      <c r="ER71">
        <v>48.561999999999998</v>
      </c>
      <c r="ES71">
        <v>48.75</v>
      </c>
      <c r="ET71">
        <v>1755.4</v>
      </c>
      <c r="EU71">
        <v>39.5</v>
      </c>
      <c r="EV71">
        <v>0</v>
      </c>
      <c r="EW71">
        <v>187.39999985694891</v>
      </c>
      <c r="EX71">
        <v>0</v>
      </c>
      <c r="EY71">
        <v>811.55680769230776</v>
      </c>
      <c r="EZ71">
        <v>-1.992239325672581</v>
      </c>
      <c r="FA71">
        <v>-7.9623931695115164</v>
      </c>
      <c r="FB71">
        <v>15579.88846153846</v>
      </c>
      <c r="FC71">
        <v>15</v>
      </c>
      <c r="FD71">
        <v>1693334564</v>
      </c>
      <c r="FE71" t="s">
        <v>700</v>
      </c>
      <c r="FF71">
        <v>1693334564</v>
      </c>
      <c r="FG71">
        <v>1693334554.5</v>
      </c>
      <c r="FH71">
        <v>62</v>
      </c>
      <c r="FI71">
        <v>0.188</v>
      </c>
      <c r="FJ71">
        <v>0</v>
      </c>
      <c r="FK71">
        <v>1.0649999999999999</v>
      </c>
      <c r="FL71">
        <v>0.1</v>
      </c>
      <c r="FM71">
        <v>1200</v>
      </c>
      <c r="FN71">
        <v>23</v>
      </c>
      <c r="FO71">
        <v>0.18</v>
      </c>
      <c r="FP71">
        <v>0.08</v>
      </c>
      <c r="FQ71">
        <v>50.667007857361497</v>
      </c>
      <c r="FR71">
        <v>-0.1730776440391405</v>
      </c>
      <c r="FS71">
        <v>0.41392309996833437</v>
      </c>
      <c r="FT71">
        <v>0</v>
      </c>
      <c r="FU71">
        <v>0.31866621571679121</v>
      </c>
      <c r="FV71">
        <v>-2.4217566966923659E-2</v>
      </c>
      <c r="FW71">
        <v>1.8575312793140471E-3</v>
      </c>
      <c r="FX71">
        <v>1</v>
      </c>
      <c r="FY71">
        <v>1</v>
      </c>
      <c r="FZ71">
        <v>2</v>
      </c>
      <c r="GA71" t="s">
        <v>460</v>
      </c>
      <c r="GB71">
        <v>2.89432</v>
      </c>
      <c r="GC71">
        <v>2.81813</v>
      </c>
      <c r="GD71">
        <v>0.18407299999999999</v>
      </c>
      <c r="GE71">
        <v>0.19078300000000001</v>
      </c>
      <c r="GF71">
        <v>0.13366400000000001</v>
      </c>
      <c r="GG71">
        <v>0.116274</v>
      </c>
      <c r="GH71">
        <v>22529.7</v>
      </c>
      <c r="GI71">
        <v>22461.7</v>
      </c>
      <c r="GJ71">
        <v>24507.599999999999</v>
      </c>
      <c r="GK71">
        <v>24802.2</v>
      </c>
      <c r="GL71">
        <v>28222.9</v>
      </c>
      <c r="GM71">
        <v>28682.799999999999</v>
      </c>
      <c r="GN71">
        <v>33150.6</v>
      </c>
      <c r="GO71">
        <v>33142.5</v>
      </c>
      <c r="GP71">
        <v>1.9227000000000001</v>
      </c>
      <c r="GQ71">
        <v>1.6893</v>
      </c>
      <c r="GR71">
        <v>3.6656899999999999E-2</v>
      </c>
      <c r="GS71">
        <v>0</v>
      </c>
      <c r="GT71">
        <v>29.487400000000001</v>
      </c>
      <c r="GU71">
        <v>999.9</v>
      </c>
      <c r="GV71">
        <v>41.2</v>
      </c>
      <c r="GW71">
        <v>47.9</v>
      </c>
      <c r="GX71">
        <v>46.520600000000002</v>
      </c>
      <c r="GY71">
        <v>62.152799999999999</v>
      </c>
      <c r="GZ71">
        <v>27.5962</v>
      </c>
      <c r="HA71">
        <v>1</v>
      </c>
      <c r="HB71">
        <v>0.70694100000000004</v>
      </c>
      <c r="HC71">
        <v>4.0298400000000001</v>
      </c>
      <c r="HD71">
        <v>20.112200000000001</v>
      </c>
      <c r="HE71">
        <v>5.23346</v>
      </c>
      <c r="HF71">
        <v>11.9231</v>
      </c>
      <c r="HG71">
        <v>4.9596</v>
      </c>
      <c r="HH71">
        <v>3.2886000000000002</v>
      </c>
      <c r="HI71">
        <v>9999</v>
      </c>
      <c r="HJ71">
        <v>9999</v>
      </c>
      <c r="HK71">
        <v>9999</v>
      </c>
      <c r="HL71">
        <v>878.9</v>
      </c>
      <c r="HM71">
        <v>1.88107</v>
      </c>
      <c r="HN71">
        <v>1.8783000000000001</v>
      </c>
      <c r="HO71">
        <v>1.88629</v>
      </c>
      <c r="HP71">
        <v>1.88392</v>
      </c>
      <c r="HQ71">
        <v>1.8815599999999999</v>
      </c>
      <c r="HR71">
        <v>1.8805099999999999</v>
      </c>
      <c r="HS71">
        <v>1.8816999999999999</v>
      </c>
      <c r="HT71">
        <v>1.8812599999999999</v>
      </c>
      <c r="HU71">
        <v>5</v>
      </c>
      <c r="HV71">
        <v>0</v>
      </c>
      <c r="HW71">
        <v>0</v>
      </c>
      <c r="HX71">
        <v>0</v>
      </c>
      <c r="HY71" t="s">
        <v>422</v>
      </c>
      <c r="HZ71" t="s">
        <v>423</v>
      </c>
      <c r="IA71" t="s">
        <v>424</v>
      </c>
      <c r="IB71" t="s">
        <v>424</v>
      </c>
      <c r="IC71" t="s">
        <v>424</v>
      </c>
      <c r="ID71" t="s">
        <v>424</v>
      </c>
      <c r="IE71">
        <v>0</v>
      </c>
      <c r="IF71">
        <v>100</v>
      </c>
      <c r="IG71">
        <v>100</v>
      </c>
      <c r="IH71">
        <v>1.06</v>
      </c>
      <c r="II71">
        <v>0.23319999999999999</v>
      </c>
      <c r="IJ71">
        <v>0.36851079439001128</v>
      </c>
      <c r="IK71">
        <v>2.2153513873161218E-3</v>
      </c>
      <c r="IL71">
        <v>-2.2967369670569612E-6</v>
      </c>
      <c r="IM71">
        <v>7.7859689150384122E-10</v>
      </c>
      <c r="IN71">
        <v>-0.15836566720985851</v>
      </c>
      <c r="IO71">
        <v>-4.1434251034592161E-3</v>
      </c>
      <c r="IP71">
        <v>8.3987709687394815E-4</v>
      </c>
      <c r="IQ71">
        <v>-7.4586254598011197E-6</v>
      </c>
      <c r="IR71">
        <v>2</v>
      </c>
      <c r="IS71">
        <v>1930</v>
      </c>
      <c r="IT71">
        <v>2</v>
      </c>
      <c r="IU71">
        <v>41</v>
      </c>
      <c r="IV71">
        <v>1.9</v>
      </c>
      <c r="IW71">
        <v>2</v>
      </c>
      <c r="IX71">
        <v>2.3938000000000001</v>
      </c>
      <c r="IY71">
        <v>2.5293000000000001</v>
      </c>
      <c r="IZ71">
        <v>1.24512</v>
      </c>
      <c r="JA71">
        <v>2.2522000000000002</v>
      </c>
      <c r="JB71">
        <v>1.4501999999999999</v>
      </c>
      <c r="JC71">
        <v>2.4645999999999999</v>
      </c>
      <c r="JD71">
        <v>49.993600000000001</v>
      </c>
      <c r="JE71">
        <v>24.035</v>
      </c>
      <c r="JF71">
        <v>18</v>
      </c>
      <c r="JG71">
        <v>493.935</v>
      </c>
      <c r="JH71">
        <v>387.25400000000002</v>
      </c>
      <c r="JI71">
        <v>25.867100000000001</v>
      </c>
      <c r="JJ71">
        <v>35.862900000000003</v>
      </c>
      <c r="JK71">
        <v>30.000900000000001</v>
      </c>
      <c r="JL71">
        <v>35.748199999999997</v>
      </c>
      <c r="JM71">
        <v>35.720500000000001</v>
      </c>
      <c r="JN71">
        <v>48.015099999999997</v>
      </c>
      <c r="JO71">
        <v>53.712499999999999</v>
      </c>
      <c r="JP71">
        <v>0</v>
      </c>
      <c r="JQ71">
        <v>25.8294</v>
      </c>
      <c r="JR71">
        <v>1200</v>
      </c>
      <c r="JS71">
        <v>23.671399999999998</v>
      </c>
      <c r="JT71">
        <v>98.931200000000004</v>
      </c>
      <c r="JU71">
        <v>98.894900000000007</v>
      </c>
    </row>
    <row r="72" spans="1:281" x14ac:dyDescent="0.25">
      <c r="A72">
        <v>56</v>
      </c>
      <c r="B72">
        <v>1693334866.5</v>
      </c>
      <c r="C72">
        <v>12153.400000095369</v>
      </c>
      <c r="D72" t="s">
        <v>701</v>
      </c>
      <c r="E72" t="s">
        <v>702</v>
      </c>
      <c r="F72" t="s">
        <v>413</v>
      </c>
      <c r="G72" t="s">
        <v>636</v>
      </c>
      <c r="H72" t="s">
        <v>637</v>
      </c>
      <c r="I72" t="s">
        <v>415</v>
      </c>
      <c r="J72">
        <v>1693334866.5</v>
      </c>
      <c r="K72">
        <f t="shared" si="46"/>
        <v>3.9228034242655965E-3</v>
      </c>
      <c r="L72">
        <f t="shared" si="47"/>
        <v>3.9228034242655969</v>
      </c>
      <c r="M72">
        <f t="shared" si="48"/>
        <v>51.505470614906429</v>
      </c>
      <c r="N72">
        <f t="shared" si="49"/>
        <v>1433.23</v>
      </c>
      <c r="O72">
        <f t="shared" si="50"/>
        <v>1092.4688149125145</v>
      </c>
      <c r="P72">
        <f t="shared" si="51"/>
        <v>108.23825354005811</v>
      </c>
      <c r="Q72">
        <f t="shared" si="52"/>
        <v>141.99976237641198</v>
      </c>
      <c r="R72">
        <f t="shared" si="53"/>
        <v>0.27705756288875494</v>
      </c>
      <c r="S72">
        <f t="shared" si="54"/>
        <v>2.9111025197532885</v>
      </c>
      <c r="T72">
        <f t="shared" si="55"/>
        <v>0.26319778782103348</v>
      </c>
      <c r="U72">
        <f t="shared" si="56"/>
        <v>0.16568606715084788</v>
      </c>
      <c r="V72">
        <f t="shared" si="57"/>
        <v>344.34409864442284</v>
      </c>
      <c r="W72">
        <f t="shared" si="58"/>
        <v>31.399636841459461</v>
      </c>
      <c r="X72">
        <f t="shared" si="59"/>
        <v>29.985900000000001</v>
      </c>
      <c r="Y72">
        <f t="shared" si="60"/>
        <v>4.2570004838236581</v>
      </c>
      <c r="Z72">
        <f t="shared" si="61"/>
        <v>65.044438332497506</v>
      </c>
      <c r="AA72">
        <f t="shared" si="62"/>
        <v>2.8331589521646401</v>
      </c>
      <c r="AB72">
        <f t="shared" si="63"/>
        <v>4.3557282141202487</v>
      </c>
      <c r="AC72">
        <f t="shared" si="64"/>
        <v>1.4238415316590181</v>
      </c>
      <c r="AD72">
        <f t="shared" si="65"/>
        <v>-172.99563101011282</v>
      </c>
      <c r="AE72">
        <f t="shared" si="66"/>
        <v>62.730260610262121</v>
      </c>
      <c r="AF72">
        <f t="shared" si="67"/>
        <v>4.800178017784531</v>
      </c>
      <c r="AG72">
        <f t="shared" si="68"/>
        <v>238.87890626235665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51739.735184164834</v>
      </c>
      <c r="AM72" t="s">
        <v>416</v>
      </c>
      <c r="AN72">
        <v>10366.9</v>
      </c>
      <c r="AO72">
        <v>993.59653846153856</v>
      </c>
      <c r="AP72">
        <v>3431.87</v>
      </c>
      <c r="AQ72">
        <f t="shared" si="72"/>
        <v>0.71047955241266758</v>
      </c>
      <c r="AR72">
        <v>-3.9894345373445681</v>
      </c>
      <c r="AS72" t="s">
        <v>703</v>
      </c>
      <c r="AT72">
        <v>10441.6</v>
      </c>
      <c r="AU72">
        <v>806.59946153846147</v>
      </c>
      <c r="AV72">
        <v>1261.3840530067</v>
      </c>
      <c r="AW72">
        <f t="shared" si="73"/>
        <v>0.36054411056187885</v>
      </c>
      <c r="AX72">
        <v>0.5</v>
      </c>
      <c r="AY72">
        <f t="shared" si="74"/>
        <v>1513.0751993222113</v>
      </c>
      <c r="AZ72">
        <f t="shared" si="75"/>
        <v>51.505470614906429</v>
      </c>
      <c r="BA72">
        <f t="shared" si="76"/>
        <v>272.76517597643215</v>
      </c>
      <c r="BB72">
        <f t="shared" si="77"/>
        <v>3.6676898264613803E-2</v>
      </c>
      <c r="BC72">
        <f t="shared" si="78"/>
        <v>1.7207177638084274</v>
      </c>
      <c r="BD72">
        <f t="shared" si="79"/>
        <v>663.20105996140239</v>
      </c>
      <c r="BE72" t="s">
        <v>704</v>
      </c>
      <c r="BF72">
        <v>631.61</v>
      </c>
      <c r="BG72">
        <f t="shared" si="80"/>
        <v>631.61</v>
      </c>
      <c r="BH72">
        <f t="shared" si="81"/>
        <v>0.49927224900738054</v>
      </c>
      <c r="BI72">
        <f t="shared" si="82"/>
        <v>0.72213929630314611</v>
      </c>
      <c r="BJ72">
        <f t="shared" si="83"/>
        <v>0.77510157877957764</v>
      </c>
      <c r="BK72">
        <f t="shared" si="84"/>
        <v>1.6983039416183858</v>
      </c>
      <c r="BL72">
        <f t="shared" si="85"/>
        <v>0.89017330550930185</v>
      </c>
      <c r="BM72">
        <f t="shared" si="86"/>
        <v>0.56547322765139385</v>
      </c>
      <c r="BN72">
        <f t="shared" si="87"/>
        <v>0.43452677234860615</v>
      </c>
      <c r="BO72">
        <v>7658</v>
      </c>
      <c r="BP72">
        <v>290.00000000000011</v>
      </c>
      <c r="BQ72">
        <v>1135.49</v>
      </c>
      <c r="BR72">
        <v>185</v>
      </c>
      <c r="BS72">
        <v>10441.6</v>
      </c>
      <c r="BT72">
        <v>1134.28</v>
      </c>
      <c r="BU72">
        <v>1.21</v>
      </c>
      <c r="BV72">
        <v>300.00000000000011</v>
      </c>
      <c r="BW72">
        <v>38.200000000000003</v>
      </c>
      <c r="BX72">
        <v>1261.3840530067</v>
      </c>
      <c r="BY72">
        <v>1.5343677015584749</v>
      </c>
      <c r="BZ72">
        <v>-132.71659780497899</v>
      </c>
      <c r="CA72">
        <v>1.311671370031851</v>
      </c>
      <c r="CB72">
        <v>0.99727245794846897</v>
      </c>
      <c r="CC72">
        <v>-1.134090522803115E-2</v>
      </c>
      <c r="CD72">
        <v>289.99999999999989</v>
      </c>
      <c r="CE72">
        <v>1121.44</v>
      </c>
      <c r="CF72">
        <v>685</v>
      </c>
      <c r="CG72">
        <v>10418.700000000001</v>
      </c>
      <c r="CH72">
        <v>1134</v>
      </c>
      <c r="CI72">
        <v>-12.56</v>
      </c>
      <c r="CW72">
        <f t="shared" si="88"/>
        <v>1799.87</v>
      </c>
      <c r="CX72">
        <f t="shared" si="89"/>
        <v>1513.0751993222113</v>
      </c>
      <c r="CY72">
        <f t="shared" si="90"/>
        <v>0.84065804714907821</v>
      </c>
      <c r="CZ72">
        <f t="shared" si="91"/>
        <v>0.19131609429815646</v>
      </c>
      <c r="DA72">
        <v>6</v>
      </c>
      <c r="DB72">
        <v>0.5</v>
      </c>
      <c r="DC72" t="s">
        <v>419</v>
      </c>
      <c r="DD72">
        <v>2</v>
      </c>
      <c r="DE72">
        <v>1693334866.5</v>
      </c>
      <c r="DF72">
        <v>1433.23</v>
      </c>
      <c r="DG72">
        <v>1501.76</v>
      </c>
      <c r="DH72">
        <v>28.595600000000001</v>
      </c>
      <c r="DI72">
        <v>24.0244</v>
      </c>
      <c r="DJ72">
        <v>1432.25</v>
      </c>
      <c r="DK72">
        <v>28.366800000000001</v>
      </c>
      <c r="DL72">
        <v>500.17</v>
      </c>
      <c r="DM72">
        <v>98.976900000000001</v>
      </c>
      <c r="DN72">
        <v>9.98444E-2</v>
      </c>
      <c r="DO72">
        <v>30.3856</v>
      </c>
      <c r="DP72">
        <v>29.985900000000001</v>
      </c>
      <c r="DQ72">
        <v>999.9</v>
      </c>
      <c r="DR72">
        <v>0</v>
      </c>
      <c r="DS72">
        <v>0</v>
      </c>
      <c r="DT72">
        <v>9997.5</v>
      </c>
      <c r="DU72">
        <v>0</v>
      </c>
      <c r="DV72">
        <v>1469.71</v>
      </c>
      <c r="DW72">
        <v>-68.529899999999998</v>
      </c>
      <c r="DX72">
        <v>1475.42</v>
      </c>
      <c r="DY72">
        <v>1538.73</v>
      </c>
      <c r="DZ72">
        <v>4.5712200000000003</v>
      </c>
      <c r="EA72">
        <v>1501.76</v>
      </c>
      <c r="EB72">
        <v>24.0244</v>
      </c>
      <c r="EC72">
        <v>2.8303099999999999</v>
      </c>
      <c r="ED72">
        <v>2.3778600000000001</v>
      </c>
      <c r="EE72">
        <v>23.061900000000001</v>
      </c>
      <c r="EF72">
        <v>20.213799999999999</v>
      </c>
      <c r="EG72">
        <v>1799.87</v>
      </c>
      <c r="EH72">
        <v>0.97800600000000004</v>
      </c>
      <c r="EI72">
        <v>2.19945E-2</v>
      </c>
      <c r="EJ72">
        <v>0</v>
      </c>
      <c r="EK72">
        <v>806.45299999999997</v>
      </c>
      <c r="EL72">
        <v>5.0010300000000001</v>
      </c>
      <c r="EM72">
        <v>15522.2</v>
      </c>
      <c r="EN72">
        <v>14700.1</v>
      </c>
      <c r="EO72">
        <v>48</v>
      </c>
      <c r="EP72">
        <v>49.811999999999998</v>
      </c>
      <c r="EQ72">
        <v>49.436999999999998</v>
      </c>
      <c r="ER72">
        <v>49.5</v>
      </c>
      <c r="ES72">
        <v>49.75</v>
      </c>
      <c r="ET72">
        <v>1755.39</v>
      </c>
      <c r="EU72">
        <v>39.479999999999997</v>
      </c>
      <c r="EV72">
        <v>0</v>
      </c>
      <c r="EW72">
        <v>187.39999985694891</v>
      </c>
      <c r="EX72">
        <v>0</v>
      </c>
      <c r="EY72">
        <v>806.59946153846147</v>
      </c>
      <c r="EZ72">
        <v>-0.77135044323523261</v>
      </c>
      <c r="FA72">
        <v>-65.230769375240001</v>
      </c>
      <c r="FB72">
        <v>15529.43076923077</v>
      </c>
      <c r="FC72">
        <v>15</v>
      </c>
      <c r="FD72">
        <v>1693334767</v>
      </c>
      <c r="FE72" t="s">
        <v>705</v>
      </c>
      <c r="FF72">
        <v>1693334767</v>
      </c>
      <c r="FG72">
        <v>1693334755.5</v>
      </c>
      <c r="FH72">
        <v>63</v>
      </c>
      <c r="FI72">
        <v>-0.13500000000000001</v>
      </c>
      <c r="FJ72">
        <v>-1E-3</v>
      </c>
      <c r="FK72">
        <v>1.014</v>
      </c>
      <c r="FL72">
        <v>0.114</v>
      </c>
      <c r="FM72">
        <v>1500</v>
      </c>
      <c r="FN72">
        <v>24</v>
      </c>
      <c r="FO72">
        <v>0.25</v>
      </c>
      <c r="FP72">
        <v>0.05</v>
      </c>
      <c r="FQ72">
        <v>49.997124281841707</v>
      </c>
      <c r="FR72">
        <v>-0.62960959380467441</v>
      </c>
      <c r="FS72">
        <v>0.44802082687807171</v>
      </c>
      <c r="FT72">
        <v>0</v>
      </c>
      <c r="FU72">
        <v>0.27740615506961391</v>
      </c>
      <c r="FV72">
        <v>-1.156148208205638E-2</v>
      </c>
      <c r="FW72">
        <v>9.0258823210605265E-4</v>
      </c>
      <c r="FX72">
        <v>1</v>
      </c>
      <c r="FY72">
        <v>1</v>
      </c>
      <c r="FZ72">
        <v>2</v>
      </c>
      <c r="GA72" t="s">
        <v>460</v>
      </c>
      <c r="GB72">
        <v>2.89453</v>
      </c>
      <c r="GC72">
        <v>2.8178299999999998</v>
      </c>
      <c r="GD72">
        <v>0.212473</v>
      </c>
      <c r="GE72">
        <v>0.21845800000000001</v>
      </c>
      <c r="GF72">
        <v>0.133161</v>
      </c>
      <c r="GG72">
        <v>0.11788700000000001</v>
      </c>
      <c r="GH72">
        <v>21737.5</v>
      </c>
      <c r="GI72">
        <v>21685.3</v>
      </c>
      <c r="GJ72">
        <v>24501.599999999999</v>
      </c>
      <c r="GK72">
        <v>24796.2</v>
      </c>
      <c r="GL72">
        <v>28234</v>
      </c>
      <c r="GM72">
        <v>28623</v>
      </c>
      <c r="GN72">
        <v>33143.4</v>
      </c>
      <c r="GO72">
        <v>33133.199999999997</v>
      </c>
      <c r="GP72">
        <v>1.9218</v>
      </c>
      <c r="GQ72">
        <v>1.6889000000000001</v>
      </c>
      <c r="GR72">
        <v>2.9057300000000001E-2</v>
      </c>
      <c r="GS72">
        <v>0</v>
      </c>
      <c r="GT72">
        <v>29.512799999999999</v>
      </c>
      <c r="GU72">
        <v>999.9</v>
      </c>
      <c r="GV72">
        <v>41.5</v>
      </c>
      <c r="GW72">
        <v>47.8</v>
      </c>
      <c r="GX72">
        <v>46.627699999999997</v>
      </c>
      <c r="GY72">
        <v>62.242800000000003</v>
      </c>
      <c r="GZ72">
        <v>26.618600000000001</v>
      </c>
      <c r="HA72">
        <v>1</v>
      </c>
      <c r="HB72">
        <v>0.71689000000000003</v>
      </c>
      <c r="HC72">
        <v>3.5366</v>
      </c>
      <c r="HD72">
        <v>20.1723</v>
      </c>
      <c r="HE72">
        <v>5.22987</v>
      </c>
      <c r="HF72">
        <v>11.9213</v>
      </c>
      <c r="HG72">
        <v>4.96</v>
      </c>
      <c r="HH72">
        <v>3.2886000000000002</v>
      </c>
      <c r="HI72">
        <v>9999</v>
      </c>
      <c r="HJ72">
        <v>9999</v>
      </c>
      <c r="HK72">
        <v>9999</v>
      </c>
      <c r="HL72">
        <v>878.9</v>
      </c>
      <c r="HM72">
        <v>1.8809199999999999</v>
      </c>
      <c r="HN72">
        <v>1.87819</v>
      </c>
      <c r="HO72">
        <v>1.8861399999999999</v>
      </c>
      <c r="HP72">
        <v>1.8837299999999999</v>
      </c>
      <c r="HQ72">
        <v>1.88141</v>
      </c>
      <c r="HR72">
        <v>1.8803399999999999</v>
      </c>
      <c r="HS72">
        <v>1.88154</v>
      </c>
      <c r="HT72">
        <v>1.8811</v>
      </c>
      <c r="HU72">
        <v>5</v>
      </c>
      <c r="HV72">
        <v>0</v>
      </c>
      <c r="HW72">
        <v>0</v>
      </c>
      <c r="HX72">
        <v>0</v>
      </c>
      <c r="HY72" t="s">
        <v>422</v>
      </c>
      <c r="HZ72" t="s">
        <v>423</v>
      </c>
      <c r="IA72" t="s">
        <v>424</v>
      </c>
      <c r="IB72" t="s">
        <v>424</v>
      </c>
      <c r="IC72" t="s">
        <v>424</v>
      </c>
      <c r="ID72" t="s">
        <v>424</v>
      </c>
      <c r="IE72">
        <v>0</v>
      </c>
      <c r="IF72">
        <v>100</v>
      </c>
      <c r="IG72">
        <v>100</v>
      </c>
      <c r="IH72">
        <v>0.98</v>
      </c>
      <c r="II72">
        <v>0.2288</v>
      </c>
      <c r="IJ72">
        <v>0.23111865135974061</v>
      </c>
      <c r="IK72">
        <v>2.2153513873161218E-3</v>
      </c>
      <c r="IL72">
        <v>-2.2967369670569612E-6</v>
      </c>
      <c r="IM72">
        <v>7.7859689150384122E-10</v>
      </c>
      <c r="IN72">
        <v>-0.1591879209396376</v>
      </c>
      <c r="IO72">
        <v>-4.1434251034592161E-3</v>
      </c>
      <c r="IP72">
        <v>8.3987709687394815E-4</v>
      </c>
      <c r="IQ72">
        <v>-7.4586254598011197E-6</v>
      </c>
      <c r="IR72">
        <v>2</v>
      </c>
      <c r="IS72">
        <v>1930</v>
      </c>
      <c r="IT72">
        <v>2</v>
      </c>
      <c r="IU72">
        <v>41</v>
      </c>
      <c r="IV72">
        <v>1.7</v>
      </c>
      <c r="IW72">
        <v>1.9</v>
      </c>
      <c r="IX72">
        <v>2.8637700000000001</v>
      </c>
      <c r="IY72">
        <v>2.52197</v>
      </c>
      <c r="IZ72">
        <v>1.24512</v>
      </c>
      <c r="JA72">
        <v>2.2522000000000002</v>
      </c>
      <c r="JB72">
        <v>1.4501999999999999</v>
      </c>
      <c r="JC72">
        <v>2.36694</v>
      </c>
      <c r="JD72">
        <v>49.865600000000001</v>
      </c>
      <c r="JE72">
        <v>16.180900000000001</v>
      </c>
      <c r="JF72">
        <v>18</v>
      </c>
      <c r="JG72">
        <v>494.25400000000002</v>
      </c>
      <c r="JH72">
        <v>387.68799999999999</v>
      </c>
      <c r="JI72">
        <v>25.6282</v>
      </c>
      <c r="JJ72">
        <v>36.029299999999999</v>
      </c>
      <c r="JK72">
        <v>30.000399999999999</v>
      </c>
      <c r="JL72">
        <v>35.869100000000003</v>
      </c>
      <c r="JM72">
        <v>35.826700000000002</v>
      </c>
      <c r="JN72">
        <v>57.440399999999997</v>
      </c>
      <c r="JO72">
        <v>52.9846</v>
      </c>
      <c r="JP72">
        <v>0</v>
      </c>
      <c r="JQ72">
        <v>25.627099999999999</v>
      </c>
      <c r="JR72">
        <v>1500</v>
      </c>
      <c r="JS72">
        <v>23.966999999999999</v>
      </c>
      <c r="JT72">
        <v>98.908799999999999</v>
      </c>
      <c r="JU72">
        <v>98.868700000000004</v>
      </c>
    </row>
    <row r="73" spans="1:281" x14ac:dyDescent="0.25">
      <c r="A73">
        <v>57</v>
      </c>
      <c r="B73">
        <v>1693335787.5999999</v>
      </c>
      <c r="C73">
        <v>13074.5</v>
      </c>
      <c r="D73" t="s">
        <v>706</v>
      </c>
      <c r="E73" t="s">
        <v>707</v>
      </c>
      <c r="F73" t="s">
        <v>413</v>
      </c>
      <c r="G73" t="s">
        <v>564</v>
      </c>
      <c r="H73" t="s">
        <v>708</v>
      </c>
      <c r="I73" t="s">
        <v>415</v>
      </c>
      <c r="J73">
        <v>1693335787.5999999</v>
      </c>
      <c r="K73">
        <f t="shared" si="46"/>
        <v>4.0219048015147155E-3</v>
      </c>
      <c r="L73">
        <f t="shared" si="47"/>
        <v>4.0219048015147152</v>
      </c>
      <c r="M73">
        <f t="shared" si="48"/>
        <v>37.381650992657065</v>
      </c>
      <c r="N73">
        <f t="shared" si="49"/>
        <v>353.68900000000002</v>
      </c>
      <c r="O73">
        <f t="shared" si="50"/>
        <v>128.62455539366738</v>
      </c>
      <c r="P73">
        <f t="shared" si="51"/>
        <v>12.742411245089361</v>
      </c>
      <c r="Q73">
        <f t="shared" si="52"/>
        <v>35.038804815074201</v>
      </c>
      <c r="R73">
        <f t="shared" si="53"/>
        <v>0.28530432403664829</v>
      </c>
      <c r="S73">
        <f t="shared" si="54"/>
        <v>2.9122458496789658</v>
      </c>
      <c r="T73">
        <f t="shared" si="55"/>
        <v>0.27063609505115327</v>
      </c>
      <c r="U73">
        <f t="shared" si="56"/>
        <v>0.17040257363563449</v>
      </c>
      <c r="V73">
        <f t="shared" si="57"/>
        <v>344.38019864456595</v>
      </c>
      <c r="W73">
        <f t="shared" si="58"/>
        <v>31.322661766514976</v>
      </c>
      <c r="X73">
        <f t="shared" si="59"/>
        <v>29.978300000000001</v>
      </c>
      <c r="Y73">
        <f t="shared" si="60"/>
        <v>4.2551423024417456</v>
      </c>
      <c r="Z73">
        <f t="shared" si="61"/>
        <v>65.291100610288453</v>
      </c>
      <c r="AA73">
        <f t="shared" si="62"/>
        <v>2.8356061907009602</v>
      </c>
      <c r="AB73">
        <f t="shared" si="63"/>
        <v>4.3430209694675153</v>
      </c>
      <c r="AC73">
        <f t="shared" si="64"/>
        <v>1.4195361117407854</v>
      </c>
      <c r="AD73">
        <f t="shared" si="65"/>
        <v>-177.36600174679896</v>
      </c>
      <c r="AE73">
        <f t="shared" si="66"/>
        <v>55.940880875723657</v>
      </c>
      <c r="AF73">
        <f t="shared" si="67"/>
        <v>4.2777269698270119</v>
      </c>
      <c r="AG73">
        <f t="shared" si="68"/>
        <v>227.23280474331767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51780.696325882956</v>
      </c>
      <c r="AM73" t="s">
        <v>416</v>
      </c>
      <c r="AN73">
        <v>10366.9</v>
      </c>
      <c r="AO73">
        <v>993.59653846153856</v>
      </c>
      <c r="AP73">
        <v>3431.87</v>
      </c>
      <c r="AQ73">
        <f t="shared" si="72"/>
        <v>0.71047955241266758</v>
      </c>
      <c r="AR73">
        <v>-3.9894345373445681</v>
      </c>
      <c r="AS73" t="s">
        <v>709</v>
      </c>
      <c r="AT73">
        <v>10417.6</v>
      </c>
      <c r="AU73">
        <v>830.24338461538457</v>
      </c>
      <c r="AV73">
        <v>1136.5632069964711</v>
      </c>
      <c r="AW73">
        <f t="shared" si="73"/>
        <v>0.26951411104586076</v>
      </c>
      <c r="AX73">
        <v>0.5</v>
      </c>
      <c r="AY73">
        <f t="shared" si="74"/>
        <v>1513.2347993222829</v>
      </c>
      <c r="AZ73">
        <f t="shared" si="75"/>
        <v>37.381650992657065</v>
      </c>
      <c r="BA73">
        <f t="shared" si="76"/>
        <v>203.91906587150328</v>
      </c>
      <c r="BB73">
        <f t="shared" si="77"/>
        <v>2.7339501806679361E-2</v>
      </c>
      <c r="BC73">
        <f t="shared" si="78"/>
        <v>2.0195153062091471</v>
      </c>
      <c r="BD73">
        <f t="shared" si="79"/>
        <v>626.99703217143031</v>
      </c>
      <c r="BE73" t="s">
        <v>710</v>
      </c>
      <c r="BF73">
        <v>606.33000000000004</v>
      </c>
      <c r="BG73">
        <f t="shared" si="80"/>
        <v>606.33000000000004</v>
      </c>
      <c r="BH73">
        <f t="shared" si="81"/>
        <v>0.46652329033040518</v>
      </c>
      <c r="BI73">
        <f t="shared" si="82"/>
        <v>0.57770772999346531</v>
      </c>
      <c r="BJ73">
        <f t="shared" si="83"/>
        <v>0.81234270015767907</v>
      </c>
      <c r="BK73">
        <f t="shared" si="84"/>
        <v>2.1425960716587604</v>
      </c>
      <c r="BL73">
        <f t="shared" si="85"/>
        <v>0.94136561350065873</v>
      </c>
      <c r="BM73">
        <f t="shared" si="86"/>
        <v>0.4219022209845224</v>
      </c>
      <c r="BN73">
        <f t="shared" si="87"/>
        <v>0.57809777901547754</v>
      </c>
      <c r="BO73">
        <v>7660</v>
      </c>
      <c r="BP73">
        <v>290.00000000000011</v>
      </c>
      <c r="BQ73">
        <v>1057.28</v>
      </c>
      <c r="BR73">
        <v>155</v>
      </c>
      <c r="BS73">
        <v>10417.6</v>
      </c>
      <c r="BT73">
        <v>1054.9000000000001</v>
      </c>
      <c r="BU73">
        <v>2.38</v>
      </c>
      <c r="BV73">
        <v>300.00000000000011</v>
      </c>
      <c r="BW73">
        <v>38.299999999999997</v>
      </c>
      <c r="BX73">
        <v>1136.5632069964711</v>
      </c>
      <c r="BY73">
        <v>1.086220762902208</v>
      </c>
      <c r="BZ73">
        <v>-85.069675015642446</v>
      </c>
      <c r="CA73">
        <v>0.92596525565828369</v>
      </c>
      <c r="CB73">
        <v>0.99669356855677738</v>
      </c>
      <c r="CC73">
        <v>-1.130881735261401E-2</v>
      </c>
      <c r="CD73">
        <v>289.99999999999989</v>
      </c>
      <c r="CE73">
        <v>1050.58</v>
      </c>
      <c r="CF73">
        <v>665</v>
      </c>
      <c r="CG73">
        <v>10390.9</v>
      </c>
      <c r="CH73">
        <v>1054.69</v>
      </c>
      <c r="CI73">
        <v>-4.1100000000000003</v>
      </c>
      <c r="CW73">
        <f t="shared" si="88"/>
        <v>1800.06</v>
      </c>
      <c r="CX73">
        <f t="shared" si="89"/>
        <v>1513.2347993222829</v>
      </c>
      <c r="CY73">
        <f t="shared" si="90"/>
        <v>0.84065797769090089</v>
      </c>
      <c r="CZ73">
        <f t="shared" si="91"/>
        <v>0.19131595538180168</v>
      </c>
      <c r="DA73">
        <v>6</v>
      </c>
      <c r="DB73">
        <v>0.5</v>
      </c>
      <c r="DC73" t="s">
        <v>419</v>
      </c>
      <c r="DD73">
        <v>2</v>
      </c>
      <c r="DE73">
        <v>1693335787.5999999</v>
      </c>
      <c r="DF73">
        <v>353.68900000000002</v>
      </c>
      <c r="DG73">
        <v>400.19</v>
      </c>
      <c r="DH73">
        <v>28.623200000000001</v>
      </c>
      <c r="DI73">
        <v>23.941500000000001</v>
      </c>
      <c r="DJ73">
        <v>353.09899999999999</v>
      </c>
      <c r="DK73">
        <v>28.385000000000002</v>
      </c>
      <c r="DL73">
        <v>500.68799999999999</v>
      </c>
      <c r="DM73">
        <v>98.967399999999998</v>
      </c>
      <c r="DN73">
        <v>9.9307800000000002E-2</v>
      </c>
      <c r="DO73">
        <v>30.334599999999998</v>
      </c>
      <c r="DP73">
        <v>29.978300000000001</v>
      </c>
      <c r="DQ73">
        <v>999.9</v>
      </c>
      <c r="DR73">
        <v>0</v>
      </c>
      <c r="DS73">
        <v>0</v>
      </c>
      <c r="DT73">
        <v>10005</v>
      </c>
      <c r="DU73">
        <v>0</v>
      </c>
      <c r="DV73">
        <v>191.91300000000001</v>
      </c>
      <c r="DW73">
        <v>-46.501600000000003</v>
      </c>
      <c r="DX73">
        <v>364.11099999999999</v>
      </c>
      <c r="DY73">
        <v>410.00700000000001</v>
      </c>
      <c r="DZ73">
        <v>4.6816700000000004</v>
      </c>
      <c r="EA73">
        <v>400.19</v>
      </c>
      <c r="EB73">
        <v>23.941500000000001</v>
      </c>
      <c r="EC73">
        <v>2.8327599999999999</v>
      </c>
      <c r="ED73">
        <v>2.3694299999999999</v>
      </c>
      <c r="EE73">
        <v>23.0762</v>
      </c>
      <c r="EF73">
        <v>20.156300000000002</v>
      </c>
      <c r="EG73">
        <v>1800.06</v>
      </c>
      <c r="EH73">
        <v>0.97800699999999996</v>
      </c>
      <c r="EI73">
        <v>2.1993200000000001E-2</v>
      </c>
      <c r="EJ73">
        <v>0</v>
      </c>
      <c r="EK73">
        <v>830.42100000000005</v>
      </c>
      <c r="EL73">
        <v>5.0010300000000001</v>
      </c>
      <c r="EM73">
        <v>15855.2</v>
      </c>
      <c r="EN73">
        <v>14701.7</v>
      </c>
      <c r="EO73">
        <v>49.436999999999998</v>
      </c>
      <c r="EP73">
        <v>50.936999999999998</v>
      </c>
      <c r="EQ73">
        <v>50.811999999999998</v>
      </c>
      <c r="ER73">
        <v>49.875</v>
      </c>
      <c r="ES73">
        <v>50.875</v>
      </c>
      <c r="ET73">
        <v>1755.58</v>
      </c>
      <c r="EU73">
        <v>39.479999999999997</v>
      </c>
      <c r="EV73">
        <v>0</v>
      </c>
      <c r="EW73">
        <v>919.39999985694885</v>
      </c>
      <c r="EX73">
        <v>0</v>
      </c>
      <c r="EY73">
        <v>830.24338461538457</v>
      </c>
      <c r="EZ73">
        <v>1.794256417763658</v>
      </c>
      <c r="FA73">
        <v>97.4017092879903</v>
      </c>
      <c r="FB73">
        <v>15838.23076923077</v>
      </c>
      <c r="FC73">
        <v>15</v>
      </c>
      <c r="FD73">
        <v>1693335755.0999999</v>
      </c>
      <c r="FE73" t="s">
        <v>711</v>
      </c>
      <c r="FF73">
        <v>1693335749.0999999</v>
      </c>
      <c r="FG73">
        <v>1693335755.0999999</v>
      </c>
      <c r="FH73">
        <v>65</v>
      </c>
      <c r="FI73">
        <v>0.22500000000000001</v>
      </c>
      <c r="FJ73">
        <v>1.7999999999999999E-2</v>
      </c>
      <c r="FK73">
        <v>0.627</v>
      </c>
      <c r="FL73">
        <v>0.13</v>
      </c>
      <c r="FM73">
        <v>400</v>
      </c>
      <c r="FN73">
        <v>24</v>
      </c>
      <c r="FO73">
        <v>0.13</v>
      </c>
      <c r="FP73">
        <v>0.08</v>
      </c>
      <c r="FQ73">
        <v>37.132009574227183</v>
      </c>
      <c r="FR73">
        <v>0.36989808565580751</v>
      </c>
      <c r="FS73">
        <v>0.15259652936896731</v>
      </c>
      <c r="FT73">
        <v>1</v>
      </c>
      <c r="FU73">
        <v>0.28302119632808193</v>
      </c>
      <c r="FV73">
        <v>4.7782252995108687E-2</v>
      </c>
      <c r="FW73">
        <v>4.2898977128950546E-3</v>
      </c>
      <c r="FX73">
        <v>1</v>
      </c>
      <c r="FY73">
        <v>2</v>
      </c>
      <c r="FZ73">
        <v>2</v>
      </c>
      <c r="GA73" t="s">
        <v>421</v>
      </c>
      <c r="GB73">
        <v>2.89819</v>
      </c>
      <c r="GC73">
        <v>2.8173599999999999</v>
      </c>
      <c r="GD73">
        <v>8.1576700000000002E-2</v>
      </c>
      <c r="GE73">
        <v>8.9929300000000004E-2</v>
      </c>
      <c r="GF73">
        <v>0.13348599999999999</v>
      </c>
      <c r="GG73">
        <v>0.117836</v>
      </c>
      <c r="GH73">
        <v>25404.6</v>
      </c>
      <c r="GI73">
        <v>25296.7</v>
      </c>
      <c r="GJ73">
        <v>24546.3</v>
      </c>
      <c r="GK73">
        <v>24830.9</v>
      </c>
      <c r="GL73">
        <v>28267</v>
      </c>
      <c r="GM73">
        <v>28658.7</v>
      </c>
      <c r="GN73">
        <v>33200.800000000003</v>
      </c>
      <c r="GO73">
        <v>33176.300000000003</v>
      </c>
      <c r="GP73">
        <v>1.9343999999999999</v>
      </c>
      <c r="GQ73">
        <v>1.7168000000000001</v>
      </c>
      <c r="GR73">
        <v>1.06692E-2</v>
      </c>
      <c r="GS73">
        <v>0</v>
      </c>
      <c r="GT73">
        <v>29.804600000000001</v>
      </c>
      <c r="GU73">
        <v>999.9</v>
      </c>
      <c r="GV73">
        <v>42.7</v>
      </c>
      <c r="GW73">
        <v>46.3</v>
      </c>
      <c r="GX73">
        <v>44.457599999999999</v>
      </c>
      <c r="GY73">
        <v>62.231999999999999</v>
      </c>
      <c r="GZ73">
        <v>26.137799999999999</v>
      </c>
      <c r="HA73">
        <v>1</v>
      </c>
      <c r="HB73">
        <v>0.62765199999999999</v>
      </c>
      <c r="HC73">
        <v>3.2403200000000001</v>
      </c>
      <c r="HD73">
        <v>20.181999999999999</v>
      </c>
      <c r="HE73">
        <v>5.2262700000000004</v>
      </c>
      <c r="HF73">
        <v>11.9201</v>
      </c>
      <c r="HG73">
        <v>4.9580000000000002</v>
      </c>
      <c r="HH73">
        <v>3.2869000000000002</v>
      </c>
      <c r="HI73">
        <v>9999</v>
      </c>
      <c r="HJ73">
        <v>9999</v>
      </c>
      <c r="HK73">
        <v>9999</v>
      </c>
      <c r="HL73">
        <v>879.2</v>
      </c>
      <c r="HM73">
        <v>1.8807700000000001</v>
      </c>
      <c r="HN73">
        <v>1.8778999999999999</v>
      </c>
      <c r="HO73">
        <v>1.88588</v>
      </c>
      <c r="HP73">
        <v>1.88357</v>
      </c>
      <c r="HQ73">
        <v>1.8811800000000001</v>
      </c>
      <c r="HR73">
        <v>1.88019</v>
      </c>
      <c r="HS73">
        <v>1.88137</v>
      </c>
      <c r="HT73">
        <v>1.88087</v>
      </c>
      <c r="HU73">
        <v>5</v>
      </c>
      <c r="HV73">
        <v>0</v>
      </c>
      <c r="HW73">
        <v>0</v>
      </c>
      <c r="HX73">
        <v>0</v>
      </c>
      <c r="HY73" t="s">
        <v>422</v>
      </c>
      <c r="HZ73" t="s">
        <v>423</v>
      </c>
      <c r="IA73" t="s">
        <v>424</v>
      </c>
      <c r="IB73" t="s">
        <v>424</v>
      </c>
      <c r="IC73" t="s">
        <v>424</v>
      </c>
      <c r="ID73" t="s">
        <v>424</v>
      </c>
      <c r="IE73">
        <v>0</v>
      </c>
      <c r="IF73">
        <v>100</v>
      </c>
      <c r="IG73">
        <v>100</v>
      </c>
      <c r="IH73">
        <v>0.59</v>
      </c>
      <c r="II73">
        <v>0.2382</v>
      </c>
      <c r="IJ73">
        <v>5.9233487937495388E-2</v>
      </c>
      <c r="IK73">
        <v>2.2153513873161218E-3</v>
      </c>
      <c r="IL73">
        <v>-2.2967369670569612E-6</v>
      </c>
      <c r="IM73">
        <v>7.7859689150384122E-10</v>
      </c>
      <c r="IN73">
        <v>-0.15032271373813261</v>
      </c>
      <c r="IO73">
        <v>-4.1434251034592161E-3</v>
      </c>
      <c r="IP73">
        <v>8.3987709687394815E-4</v>
      </c>
      <c r="IQ73">
        <v>-7.4586254598011197E-6</v>
      </c>
      <c r="IR73">
        <v>2</v>
      </c>
      <c r="IS73">
        <v>1930</v>
      </c>
      <c r="IT73">
        <v>2</v>
      </c>
      <c r="IU73">
        <v>41</v>
      </c>
      <c r="IV73">
        <v>0.6</v>
      </c>
      <c r="IW73">
        <v>0.5</v>
      </c>
      <c r="IX73">
        <v>0.98877000000000004</v>
      </c>
      <c r="IY73">
        <v>2.5402800000000001</v>
      </c>
      <c r="IZ73">
        <v>1.24512</v>
      </c>
      <c r="JA73">
        <v>2.2522000000000002</v>
      </c>
      <c r="JB73">
        <v>1.4501999999999999</v>
      </c>
      <c r="JC73">
        <v>2.3327599999999999</v>
      </c>
      <c r="JD73">
        <v>45.6905</v>
      </c>
      <c r="JE73">
        <v>16.023299999999999</v>
      </c>
      <c r="JF73">
        <v>18</v>
      </c>
      <c r="JG73">
        <v>495.49099999999999</v>
      </c>
      <c r="JH73">
        <v>398.94200000000001</v>
      </c>
      <c r="JI73">
        <v>25.375499999999999</v>
      </c>
      <c r="JJ73">
        <v>34.929499999999997</v>
      </c>
      <c r="JK73">
        <v>30.0001</v>
      </c>
      <c r="JL73">
        <v>34.922499999999999</v>
      </c>
      <c r="JM73">
        <v>34.909700000000001</v>
      </c>
      <c r="JN73">
        <v>19.887899999999998</v>
      </c>
      <c r="JO73">
        <v>49.994</v>
      </c>
      <c r="JP73">
        <v>0</v>
      </c>
      <c r="JQ73">
        <v>25.3767</v>
      </c>
      <c r="JR73">
        <v>400</v>
      </c>
      <c r="JS73">
        <v>24.089200000000002</v>
      </c>
      <c r="JT73">
        <v>99.084000000000003</v>
      </c>
      <c r="JU73">
        <v>99.001599999999996</v>
      </c>
    </row>
    <row r="74" spans="1:281" x14ac:dyDescent="0.25">
      <c r="A74">
        <v>58</v>
      </c>
      <c r="B74">
        <v>1693335944.5999999</v>
      </c>
      <c r="C74">
        <v>13231.5</v>
      </c>
      <c r="D74" t="s">
        <v>712</v>
      </c>
      <c r="E74" t="s">
        <v>713</v>
      </c>
      <c r="F74" t="s">
        <v>413</v>
      </c>
      <c r="G74" t="s">
        <v>564</v>
      </c>
      <c r="H74" t="s">
        <v>708</v>
      </c>
      <c r="I74" t="s">
        <v>415</v>
      </c>
      <c r="J74">
        <v>1693335944.5999999</v>
      </c>
      <c r="K74">
        <f t="shared" si="46"/>
        <v>4.1933109801849562E-3</v>
      </c>
      <c r="L74">
        <f t="shared" si="47"/>
        <v>4.1933109801849566</v>
      </c>
      <c r="M74">
        <f t="shared" si="48"/>
        <v>29.734350421563114</v>
      </c>
      <c r="N74">
        <f t="shared" si="49"/>
        <v>262.971</v>
      </c>
      <c r="O74">
        <f t="shared" si="50"/>
        <v>92.229001172967685</v>
      </c>
      <c r="P74">
        <f t="shared" si="51"/>
        <v>9.13682138862122</v>
      </c>
      <c r="Q74">
        <f t="shared" si="52"/>
        <v>26.051665168540804</v>
      </c>
      <c r="R74">
        <f t="shared" si="53"/>
        <v>0.29953056676124551</v>
      </c>
      <c r="S74">
        <f t="shared" si="54"/>
        <v>2.9135457222464995</v>
      </c>
      <c r="T74">
        <f t="shared" si="55"/>
        <v>0.28341421912502346</v>
      </c>
      <c r="U74">
        <f t="shared" si="56"/>
        <v>0.17850957973720138</v>
      </c>
      <c r="V74">
        <f t="shared" si="57"/>
        <v>344.36819864486409</v>
      </c>
      <c r="W74">
        <f t="shared" si="58"/>
        <v>31.303763043324512</v>
      </c>
      <c r="X74">
        <f t="shared" si="59"/>
        <v>29.982700000000001</v>
      </c>
      <c r="Y74">
        <f t="shared" si="60"/>
        <v>4.2562180054864323</v>
      </c>
      <c r="Z74">
        <f t="shared" si="61"/>
        <v>65.362235145163552</v>
      </c>
      <c r="AA74">
        <f t="shared" si="62"/>
        <v>2.8429760937164801</v>
      </c>
      <c r="AB74">
        <f t="shared" si="63"/>
        <v>4.3495698814498773</v>
      </c>
      <c r="AC74">
        <f t="shared" si="64"/>
        <v>1.4132419117699522</v>
      </c>
      <c r="AD74">
        <f t="shared" si="65"/>
        <v>-184.92501422615658</v>
      </c>
      <c r="AE74">
        <f t="shared" si="66"/>
        <v>59.405794112986243</v>
      </c>
      <c r="AF74">
        <f t="shared" si="67"/>
        <v>4.5413476715302457</v>
      </c>
      <c r="AG74">
        <f t="shared" si="68"/>
        <v>223.39032620322399</v>
      </c>
      <c r="AH74">
        <v>0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51813.110673991374</v>
      </c>
      <c r="AM74" t="s">
        <v>416</v>
      </c>
      <c r="AN74">
        <v>10366.9</v>
      </c>
      <c r="AO74">
        <v>993.59653846153856</v>
      </c>
      <c r="AP74">
        <v>3431.87</v>
      </c>
      <c r="AQ74">
        <f t="shared" si="72"/>
        <v>0.71047955241266758</v>
      </c>
      <c r="AR74">
        <v>-3.9894345373445681</v>
      </c>
      <c r="AS74" t="s">
        <v>714</v>
      </c>
      <c r="AT74">
        <v>10418.5</v>
      </c>
      <c r="AU74">
        <v>813.33396153846161</v>
      </c>
      <c r="AV74">
        <v>1061.018010344482</v>
      </c>
      <c r="AW74">
        <f t="shared" si="73"/>
        <v>0.23344000421407041</v>
      </c>
      <c r="AX74">
        <v>0.5</v>
      </c>
      <c r="AY74">
        <f t="shared" si="74"/>
        <v>1513.1840993224321</v>
      </c>
      <c r="AZ74">
        <f t="shared" si="75"/>
        <v>29.734350421563114</v>
      </c>
      <c r="BA74">
        <f t="shared" si="76"/>
        <v>176.61885126124645</v>
      </c>
      <c r="BB74">
        <f t="shared" si="77"/>
        <v>2.2286637147461697E-2</v>
      </c>
      <c r="BC74">
        <f t="shared" si="78"/>
        <v>2.234506828857477</v>
      </c>
      <c r="BD74">
        <f t="shared" si="79"/>
        <v>603.30024363312748</v>
      </c>
      <c r="BE74" t="s">
        <v>715</v>
      </c>
      <c r="BF74">
        <v>596.30999999999995</v>
      </c>
      <c r="BG74">
        <f t="shared" si="80"/>
        <v>596.30999999999995</v>
      </c>
      <c r="BH74">
        <f t="shared" si="81"/>
        <v>0.43798314996896681</v>
      </c>
      <c r="BI74">
        <f t="shared" si="82"/>
        <v>0.53298855042850546</v>
      </c>
      <c r="BJ74">
        <f t="shared" si="83"/>
        <v>0.83611420306941775</v>
      </c>
      <c r="BK74">
        <f t="shared" si="84"/>
        <v>3.6736671847812388</v>
      </c>
      <c r="BL74">
        <f t="shared" si="85"/>
        <v>0.97234868321931245</v>
      </c>
      <c r="BM74">
        <f t="shared" si="86"/>
        <v>0.39076986519146162</v>
      </c>
      <c r="BN74">
        <f t="shared" si="87"/>
        <v>0.60923013480853838</v>
      </c>
      <c r="BO74">
        <v>7662</v>
      </c>
      <c r="BP74">
        <v>290.00000000000011</v>
      </c>
      <c r="BQ74">
        <v>996.26</v>
      </c>
      <c r="BR74">
        <v>135</v>
      </c>
      <c r="BS74">
        <v>10418.5</v>
      </c>
      <c r="BT74">
        <v>993.61</v>
      </c>
      <c r="BU74">
        <v>2.65</v>
      </c>
      <c r="BV74">
        <v>300.00000000000011</v>
      </c>
      <c r="BW74">
        <v>38.299999999999997</v>
      </c>
      <c r="BX74">
        <v>1061.018010344482</v>
      </c>
      <c r="BY74">
        <v>1.0977496452138471</v>
      </c>
      <c r="BZ74">
        <v>-70.227181338720541</v>
      </c>
      <c r="CA74">
        <v>0.93554860750954438</v>
      </c>
      <c r="CB74">
        <v>0.99505544117486711</v>
      </c>
      <c r="CC74">
        <v>-1.130591390433815E-2</v>
      </c>
      <c r="CD74">
        <v>289.99999999999989</v>
      </c>
      <c r="CE74">
        <v>991.12</v>
      </c>
      <c r="CF74">
        <v>665</v>
      </c>
      <c r="CG74">
        <v>10388.1</v>
      </c>
      <c r="CH74">
        <v>993.41</v>
      </c>
      <c r="CI74">
        <v>-2.29</v>
      </c>
      <c r="CW74">
        <f t="shared" si="88"/>
        <v>1800</v>
      </c>
      <c r="CX74">
        <f t="shared" si="89"/>
        <v>1513.1840993224321</v>
      </c>
      <c r="CY74">
        <f t="shared" si="90"/>
        <v>0.84065783295690666</v>
      </c>
      <c r="CZ74">
        <f t="shared" si="91"/>
        <v>0.19131566591381338</v>
      </c>
      <c r="DA74">
        <v>6</v>
      </c>
      <c r="DB74">
        <v>0.5</v>
      </c>
      <c r="DC74" t="s">
        <v>419</v>
      </c>
      <c r="DD74">
        <v>2</v>
      </c>
      <c r="DE74">
        <v>1693335944.5999999</v>
      </c>
      <c r="DF74">
        <v>262.971</v>
      </c>
      <c r="DG74">
        <v>299.97800000000001</v>
      </c>
      <c r="DH74">
        <v>28.697600000000001</v>
      </c>
      <c r="DI74">
        <v>23.809699999999999</v>
      </c>
      <c r="DJ74">
        <v>262.41800000000001</v>
      </c>
      <c r="DK74">
        <v>28.457000000000001</v>
      </c>
      <c r="DL74">
        <v>499.96600000000001</v>
      </c>
      <c r="DM74">
        <v>98.966800000000006</v>
      </c>
      <c r="DN74">
        <v>9.9884799999999996E-2</v>
      </c>
      <c r="DO74">
        <v>30.360900000000001</v>
      </c>
      <c r="DP74">
        <v>29.982700000000001</v>
      </c>
      <c r="DQ74">
        <v>999.9</v>
      </c>
      <c r="DR74">
        <v>0</v>
      </c>
      <c r="DS74">
        <v>0</v>
      </c>
      <c r="DT74">
        <v>10012.5</v>
      </c>
      <c r="DU74">
        <v>0</v>
      </c>
      <c r="DV74">
        <v>190.19800000000001</v>
      </c>
      <c r="DW74">
        <v>-37.006999999999998</v>
      </c>
      <c r="DX74">
        <v>270.74</v>
      </c>
      <c r="DY74">
        <v>307.29399999999998</v>
      </c>
      <c r="DZ74">
        <v>4.8878700000000004</v>
      </c>
      <c r="EA74">
        <v>299.97800000000001</v>
      </c>
      <c r="EB74">
        <v>23.809699999999999</v>
      </c>
      <c r="EC74">
        <v>2.8401100000000001</v>
      </c>
      <c r="ED74">
        <v>2.3563700000000001</v>
      </c>
      <c r="EE74">
        <v>23.1191</v>
      </c>
      <c r="EF74">
        <v>20.067</v>
      </c>
      <c r="EG74">
        <v>1800</v>
      </c>
      <c r="EH74">
        <v>0.97801000000000005</v>
      </c>
      <c r="EI74">
        <v>2.1989499999999999E-2</v>
      </c>
      <c r="EJ74">
        <v>0</v>
      </c>
      <c r="EK74">
        <v>813.17200000000003</v>
      </c>
      <c r="EL74">
        <v>5.0010300000000001</v>
      </c>
      <c r="EM74">
        <v>15564</v>
      </c>
      <c r="EN74">
        <v>14701.1</v>
      </c>
      <c r="EO74">
        <v>49.625</v>
      </c>
      <c r="EP74">
        <v>51.061999999999998</v>
      </c>
      <c r="EQ74">
        <v>51.125</v>
      </c>
      <c r="ER74">
        <v>50.125</v>
      </c>
      <c r="ES74">
        <v>50.936999999999998</v>
      </c>
      <c r="ET74">
        <v>1755.53</v>
      </c>
      <c r="EU74">
        <v>39.47</v>
      </c>
      <c r="EV74">
        <v>0</v>
      </c>
      <c r="EW74">
        <v>154.79999995231631</v>
      </c>
      <c r="EX74">
        <v>0</v>
      </c>
      <c r="EY74">
        <v>813.33396153846161</v>
      </c>
      <c r="EZ74">
        <v>-0.84495726330289922</v>
      </c>
      <c r="FA74">
        <v>4.2188032862308598</v>
      </c>
      <c r="FB74">
        <v>15561.061538461539</v>
      </c>
      <c r="FC74">
        <v>15</v>
      </c>
      <c r="FD74">
        <v>1693335914.0999999</v>
      </c>
      <c r="FE74" t="s">
        <v>716</v>
      </c>
      <c r="FF74">
        <v>1693335906.0999999</v>
      </c>
      <c r="FG74">
        <v>1693335914.0999999</v>
      </c>
      <c r="FH74">
        <v>66</v>
      </c>
      <c r="FI74">
        <v>5.6000000000000001E-2</v>
      </c>
      <c r="FJ74">
        <v>1E-3</v>
      </c>
      <c r="FK74">
        <v>0.59399999999999997</v>
      </c>
      <c r="FL74">
        <v>0.125</v>
      </c>
      <c r="FM74">
        <v>300</v>
      </c>
      <c r="FN74">
        <v>24</v>
      </c>
      <c r="FO74">
        <v>0.22</v>
      </c>
      <c r="FP74">
        <v>0.05</v>
      </c>
      <c r="FQ74">
        <v>29.796122005267069</v>
      </c>
      <c r="FR74">
        <v>0.35082285123529072</v>
      </c>
      <c r="FS74">
        <v>0.1002414591757291</v>
      </c>
      <c r="FT74">
        <v>1</v>
      </c>
      <c r="FU74">
        <v>0.30044276112788959</v>
      </c>
      <c r="FV74">
        <v>2.8149270071367589E-2</v>
      </c>
      <c r="FW74">
        <v>2.868436059828337E-3</v>
      </c>
      <c r="FX74">
        <v>1</v>
      </c>
      <c r="FY74">
        <v>2</v>
      </c>
      <c r="FZ74">
        <v>2</v>
      </c>
      <c r="GA74" t="s">
        <v>421</v>
      </c>
      <c r="GB74">
        <v>2.8964799999999999</v>
      </c>
      <c r="GC74">
        <v>2.8180000000000001</v>
      </c>
      <c r="GD74">
        <v>6.4055699999999993E-2</v>
      </c>
      <c r="GE74">
        <v>7.1582999999999994E-2</v>
      </c>
      <c r="GF74">
        <v>0.13375100000000001</v>
      </c>
      <c r="GG74">
        <v>0.117423</v>
      </c>
      <c r="GH74">
        <v>25892.5</v>
      </c>
      <c r="GI74">
        <v>25809.4</v>
      </c>
      <c r="GJ74">
        <v>24549.7</v>
      </c>
      <c r="GK74">
        <v>24833.599999999999</v>
      </c>
      <c r="GL74">
        <v>28261.7</v>
      </c>
      <c r="GM74">
        <v>28674.400000000001</v>
      </c>
      <c r="GN74">
        <v>33205.199999999997</v>
      </c>
      <c r="GO74">
        <v>33179.199999999997</v>
      </c>
      <c r="GP74">
        <v>1.9356</v>
      </c>
      <c r="GQ74">
        <v>1.7209000000000001</v>
      </c>
      <c r="GR74">
        <v>1.18911E-2</v>
      </c>
      <c r="GS74">
        <v>0</v>
      </c>
      <c r="GT74">
        <v>29.789200000000001</v>
      </c>
      <c r="GU74">
        <v>999.9</v>
      </c>
      <c r="GV74">
        <v>42.8</v>
      </c>
      <c r="GW74">
        <v>45.9</v>
      </c>
      <c r="GX74">
        <v>43.656500000000001</v>
      </c>
      <c r="GY74">
        <v>62.192100000000003</v>
      </c>
      <c r="GZ74">
        <v>26.867000000000001</v>
      </c>
      <c r="HA74">
        <v>1</v>
      </c>
      <c r="HB74">
        <v>0.61888200000000004</v>
      </c>
      <c r="HC74">
        <v>2.9710999999999999</v>
      </c>
      <c r="HD74">
        <v>20.188099999999999</v>
      </c>
      <c r="HE74">
        <v>5.2352600000000002</v>
      </c>
      <c r="HF74">
        <v>11.9201</v>
      </c>
      <c r="HG74">
        <v>4.9598000000000004</v>
      </c>
      <c r="HH74">
        <v>3.2890000000000001</v>
      </c>
      <c r="HI74">
        <v>9999</v>
      </c>
      <c r="HJ74">
        <v>9999</v>
      </c>
      <c r="HK74">
        <v>9999</v>
      </c>
      <c r="HL74">
        <v>879.2</v>
      </c>
      <c r="HM74">
        <v>1.8807100000000001</v>
      </c>
      <c r="HN74">
        <v>1.8778999999999999</v>
      </c>
      <c r="HO74">
        <v>1.8858299999999999</v>
      </c>
      <c r="HP74">
        <v>1.8835599999999999</v>
      </c>
      <c r="HQ74">
        <v>1.8811199999999999</v>
      </c>
      <c r="HR74">
        <v>1.88019</v>
      </c>
      <c r="HS74">
        <v>1.8812599999999999</v>
      </c>
      <c r="HT74">
        <v>1.8808100000000001</v>
      </c>
      <c r="HU74">
        <v>5</v>
      </c>
      <c r="HV74">
        <v>0</v>
      </c>
      <c r="HW74">
        <v>0</v>
      </c>
      <c r="HX74">
        <v>0</v>
      </c>
      <c r="HY74" t="s">
        <v>422</v>
      </c>
      <c r="HZ74" t="s">
        <v>423</v>
      </c>
      <c r="IA74" t="s">
        <v>424</v>
      </c>
      <c r="IB74" t="s">
        <v>424</v>
      </c>
      <c r="IC74" t="s">
        <v>424</v>
      </c>
      <c r="ID74" t="s">
        <v>424</v>
      </c>
      <c r="IE74">
        <v>0</v>
      </c>
      <c r="IF74">
        <v>100</v>
      </c>
      <c r="IG74">
        <v>100</v>
      </c>
      <c r="IH74">
        <v>0.55300000000000005</v>
      </c>
      <c r="II74">
        <v>0.24060000000000001</v>
      </c>
      <c r="IJ74">
        <v>0.11548382352803831</v>
      </c>
      <c r="IK74">
        <v>2.2153513873161218E-3</v>
      </c>
      <c r="IL74">
        <v>-2.2967369670569612E-6</v>
      </c>
      <c r="IM74">
        <v>7.7859689150384122E-10</v>
      </c>
      <c r="IN74">
        <v>-0.149780475680897</v>
      </c>
      <c r="IO74">
        <v>-4.1434251034592161E-3</v>
      </c>
      <c r="IP74">
        <v>8.3987709687394815E-4</v>
      </c>
      <c r="IQ74">
        <v>-7.4586254598011197E-6</v>
      </c>
      <c r="IR74">
        <v>2</v>
      </c>
      <c r="IS74">
        <v>1930</v>
      </c>
      <c r="IT74">
        <v>2</v>
      </c>
      <c r="IU74">
        <v>41</v>
      </c>
      <c r="IV74">
        <v>0.6</v>
      </c>
      <c r="IW74">
        <v>0.5</v>
      </c>
      <c r="IX74">
        <v>0.788574</v>
      </c>
      <c r="IY74">
        <v>2.5317400000000001</v>
      </c>
      <c r="IZ74">
        <v>1.24512</v>
      </c>
      <c r="JA74">
        <v>2.2509800000000002</v>
      </c>
      <c r="JB74">
        <v>1.4501999999999999</v>
      </c>
      <c r="JC74">
        <v>2.4194300000000002</v>
      </c>
      <c r="JD74">
        <v>45.1768</v>
      </c>
      <c r="JE74">
        <v>16.014600000000002</v>
      </c>
      <c r="JF74">
        <v>18</v>
      </c>
      <c r="JG74">
        <v>495.399</v>
      </c>
      <c r="JH74">
        <v>400.64499999999998</v>
      </c>
      <c r="JI74">
        <v>25.594899999999999</v>
      </c>
      <c r="JJ74">
        <v>34.846699999999998</v>
      </c>
      <c r="JK74">
        <v>29.9999</v>
      </c>
      <c r="JL74">
        <v>34.807299999999998</v>
      </c>
      <c r="JM74">
        <v>34.781999999999996</v>
      </c>
      <c r="JN74">
        <v>15.863899999999999</v>
      </c>
      <c r="JO74">
        <v>49.4084</v>
      </c>
      <c r="JP74">
        <v>0</v>
      </c>
      <c r="JQ74">
        <v>25.5945</v>
      </c>
      <c r="JR74">
        <v>300</v>
      </c>
      <c r="JS74">
        <v>23.7956</v>
      </c>
      <c r="JT74">
        <v>99.097300000000004</v>
      </c>
      <c r="JU74">
        <v>99.011300000000006</v>
      </c>
    </row>
    <row r="75" spans="1:281" x14ac:dyDescent="0.25">
      <c r="A75">
        <v>59</v>
      </c>
      <c r="B75">
        <v>1693336069.5999999</v>
      </c>
      <c r="C75">
        <v>13356.5</v>
      </c>
      <c r="D75" t="s">
        <v>717</v>
      </c>
      <c r="E75" t="s">
        <v>718</v>
      </c>
      <c r="F75" t="s">
        <v>413</v>
      </c>
      <c r="G75" t="s">
        <v>564</v>
      </c>
      <c r="H75" t="s">
        <v>708</v>
      </c>
      <c r="I75" t="s">
        <v>415</v>
      </c>
      <c r="J75">
        <v>1693336069.5999999</v>
      </c>
      <c r="K75">
        <f t="shared" si="46"/>
        <v>4.4407390028252582E-3</v>
      </c>
      <c r="L75">
        <f t="shared" si="47"/>
        <v>4.440739002825258</v>
      </c>
      <c r="M75">
        <f t="shared" si="48"/>
        <v>21.038419254405746</v>
      </c>
      <c r="N75">
        <f t="shared" si="49"/>
        <v>173.87700000000001</v>
      </c>
      <c r="O75">
        <f t="shared" si="50"/>
        <v>60.753420224829071</v>
      </c>
      <c r="P75">
        <f t="shared" si="51"/>
        <v>6.0185437774968964</v>
      </c>
      <c r="Q75">
        <f t="shared" si="52"/>
        <v>17.225142757841702</v>
      </c>
      <c r="R75">
        <f t="shared" si="53"/>
        <v>0.32089429197847269</v>
      </c>
      <c r="S75">
        <f t="shared" si="54"/>
        <v>2.9043321210855071</v>
      </c>
      <c r="T75">
        <f t="shared" si="55"/>
        <v>0.30241806254602077</v>
      </c>
      <c r="U75">
        <f t="shared" si="56"/>
        <v>0.19058259583391096</v>
      </c>
      <c r="V75">
        <f t="shared" si="57"/>
        <v>344.39279864392449</v>
      </c>
      <c r="W75">
        <f t="shared" si="58"/>
        <v>31.245568987871668</v>
      </c>
      <c r="X75">
        <f t="shared" si="59"/>
        <v>29.9742</v>
      </c>
      <c r="Y75">
        <f t="shared" si="60"/>
        <v>4.2541401560502941</v>
      </c>
      <c r="Z75">
        <f t="shared" si="61"/>
        <v>65.547643582512549</v>
      </c>
      <c r="AA75">
        <f t="shared" si="62"/>
        <v>2.8516285899893399</v>
      </c>
      <c r="AB75">
        <f t="shared" si="63"/>
        <v>4.3504669796400215</v>
      </c>
      <c r="AC75">
        <f t="shared" si="64"/>
        <v>1.4025115660609542</v>
      </c>
      <c r="AD75">
        <f t="shared" si="65"/>
        <v>-195.83659002459387</v>
      </c>
      <c r="AE75">
        <f t="shared" si="66"/>
        <v>61.112531297658698</v>
      </c>
      <c r="AF75">
        <f t="shared" si="67"/>
        <v>4.6865284763508752</v>
      </c>
      <c r="AG75">
        <f t="shared" si="68"/>
        <v>214.3552683933402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51551.024574237759</v>
      </c>
      <c r="AM75" t="s">
        <v>416</v>
      </c>
      <c r="AN75">
        <v>10366.9</v>
      </c>
      <c r="AO75">
        <v>993.59653846153856</v>
      </c>
      <c r="AP75">
        <v>3431.87</v>
      </c>
      <c r="AQ75">
        <f t="shared" si="72"/>
        <v>0.71047955241266758</v>
      </c>
      <c r="AR75">
        <v>-3.9894345373445681</v>
      </c>
      <c r="AS75" t="s">
        <v>719</v>
      </c>
      <c r="AT75">
        <v>10415.200000000001</v>
      </c>
      <c r="AU75">
        <v>811.33734615384628</v>
      </c>
      <c r="AV75">
        <v>996.39029017021164</v>
      </c>
      <c r="AW75">
        <f t="shared" si="73"/>
        <v>0.1857233514236204</v>
      </c>
      <c r="AX75">
        <v>0.5</v>
      </c>
      <c r="AY75">
        <f t="shared" si="74"/>
        <v>1513.285799321962</v>
      </c>
      <c r="AZ75">
        <f t="shared" si="75"/>
        <v>21.038419254405746</v>
      </c>
      <c r="BA75">
        <f t="shared" si="76"/>
        <v>140.52625515592354</v>
      </c>
      <c r="BB75">
        <f t="shared" si="77"/>
        <v>1.653874886222035E-2</v>
      </c>
      <c r="BC75">
        <f t="shared" si="78"/>
        <v>2.4443029341581997</v>
      </c>
      <c r="BD75">
        <f t="shared" si="79"/>
        <v>581.84147632249176</v>
      </c>
      <c r="BE75" t="s">
        <v>720</v>
      </c>
      <c r="BF75">
        <v>590.09</v>
      </c>
      <c r="BG75">
        <f t="shared" si="80"/>
        <v>590.09</v>
      </c>
      <c r="BH75">
        <f t="shared" si="81"/>
        <v>0.40777222959569792</v>
      </c>
      <c r="BI75">
        <f t="shared" si="82"/>
        <v>0.45545855736120944</v>
      </c>
      <c r="BJ75">
        <f t="shared" si="83"/>
        <v>0.85702612793030719</v>
      </c>
      <c r="BK75">
        <f t="shared" si="84"/>
        <v>66.238149740320964</v>
      </c>
      <c r="BL75">
        <f t="shared" si="85"/>
        <v>0.99885420903243938</v>
      </c>
      <c r="BM75">
        <f t="shared" si="86"/>
        <v>0.33125744967533316</v>
      </c>
      <c r="BN75">
        <f t="shared" si="87"/>
        <v>0.6687425503246669</v>
      </c>
      <c r="BO75">
        <v>7664</v>
      </c>
      <c r="BP75">
        <v>290.00000000000011</v>
      </c>
      <c r="BQ75">
        <v>947.25</v>
      </c>
      <c r="BR75">
        <v>145</v>
      </c>
      <c r="BS75">
        <v>10415.200000000001</v>
      </c>
      <c r="BT75">
        <v>945.41</v>
      </c>
      <c r="BU75">
        <v>1.84</v>
      </c>
      <c r="BV75">
        <v>300.00000000000011</v>
      </c>
      <c r="BW75">
        <v>38.299999999999997</v>
      </c>
      <c r="BX75">
        <v>996.39029017021164</v>
      </c>
      <c r="BY75">
        <v>1.058716362361962</v>
      </c>
      <c r="BZ75">
        <v>-53.101344210057768</v>
      </c>
      <c r="CA75">
        <v>0.90213695540175809</v>
      </c>
      <c r="CB75">
        <v>0.99198328758507082</v>
      </c>
      <c r="CC75">
        <v>-1.1303803114571751E-2</v>
      </c>
      <c r="CD75">
        <v>289.99999999999989</v>
      </c>
      <c r="CE75">
        <v>943.87</v>
      </c>
      <c r="CF75">
        <v>725</v>
      </c>
      <c r="CG75">
        <v>10381.9</v>
      </c>
      <c r="CH75">
        <v>945.24</v>
      </c>
      <c r="CI75">
        <v>-1.37</v>
      </c>
      <c r="CW75">
        <f t="shared" si="88"/>
        <v>1800.12</v>
      </c>
      <c r="CX75">
        <f t="shared" si="89"/>
        <v>1513.285799321962</v>
      </c>
      <c r="CY75">
        <f t="shared" si="90"/>
        <v>0.84065828907070761</v>
      </c>
      <c r="CZ75">
        <f t="shared" si="91"/>
        <v>0.19131657814141531</v>
      </c>
      <c r="DA75">
        <v>6</v>
      </c>
      <c r="DB75">
        <v>0.5</v>
      </c>
      <c r="DC75" t="s">
        <v>419</v>
      </c>
      <c r="DD75">
        <v>2</v>
      </c>
      <c r="DE75">
        <v>1693336069.5999999</v>
      </c>
      <c r="DF75">
        <v>173.87700000000001</v>
      </c>
      <c r="DG75">
        <v>200.03100000000001</v>
      </c>
      <c r="DH75">
        <v>28.785399999999999</v>
      </c>
      <c r="DI75">
        <v>23.613600000000002</v>
      </c>
      <c r="DJ75">
        <v>173.50299999999999</v>
      </c>
      <c r="DK75">
        <v>28.543399999999998</v>
      </c>
      <c r="DL75">
        <v>500.35700000000003</v>
      </c>
      <c r="DM75">
        <v>98.965299999999999</v>
      </c>
      <c r="DN75">
        <v>9.9802100000000005E-2</v>
      </c>
      <c r="DO75">
        <v>30.3645</v>
      </c>
      <c r="DP75">
        <v>29.9742</v>
      </c>
      <c r="DQ75">
        <v>999.9</v>
      </c>
      <c r="DR75">
        <v>0</v>
      </c>
      <c r="DS75">
        <v>0</v>
      </c>
      <c r="DT75">
        <v>9960</v>
      </c>
      <c r="DU75">
        <v>0</v>
      </c>
      <c r="DV75">
        <v>191.68600000000001</v>
      </c>
      <c r="DW75">
        <v>-26.154599999999999</v>
      </c>
      <c r="DX75">
        <v>179.03</v>
      </c>
      <c r="DY75">
        <v>204.869</v>
      </c>
      <c r="DZ75">
        <v>5.1718299999999999</v>
      </c>
      <c r="EA75">
        <v>200.03100000000001</v>
      </c>
      <c r="EB75">
        <v>23.613600000000002</v>
      </c>
      <c r="EC75">
        <v>2.8487499999999999</v>
      </c>
      <c r="ED75">
        <v>2.3369200000000001</v>
      </c>
      <c r="EE75">
        <v>23.1693</v>
      </c>
      <c r="EF75">
        <v>19.933199999999999</v>
      </c>
      <c r="EG75">
        <v>1800.12</v>
      </c>
      <c r="EH75">
        <v>0.97799499999999995</v>
      </c>
      <c r="EI75">
        <v>2.2004900000000001E-2</v>
      </c>
      <c r="EJ75">
        <v>0</v>
      </c>
      <c r="EK75">
        <v>811.25800000000004</v>
      </c>
      <c r="EL75">
        <v>5.0010300000000001</v>
      </c>
      <c r="EM75">
        <v>15537.9</v>
      </c>
      <c r="EN75">
        <v>14702</v>
      </c>
      <c r="EO75">
        <v>49.75</v>
      </c>
      <c r="EP75">
        <v>51.186999999999998</v>
      </c>
      <c r="EQ75">
        <v>51.25</v>
      </c>
      <c r="ER75">
        <v>50.125</v>
      </c>
      <c r="ES75">
        <v>51.125</v>
      </c>
      <c r="ET75">
        <v>1755.62</v>
      </c>
      <c r="EU75">
        <v>39.5</v>
      </c>
      <c r="EV75">
        <v>0</v>
      </c>
      <c r="EW75">
        <v>123</v>
      </c>
      <c r="EX75">
        <v>0</v>
      </c>
      <c r="EY75">
        <v>811.33734615384628</v>
      </c>
      <c r="EZ75">
        <v>-1.08393160685475</v>
      </c>
      <c r="FA75">
        <v>-19.996581058521201</v>
      </c>
      <c r="FB75">
        <v>15538.58846153846</v>
      </c>
      <c r="FC75">
        <v>15</v>
      </c>
      <c r="FD75">
        <v>1693336038.0999999</v>
      </c>
      <c r="FE75" t="s">
        <v>721</v>
      </c>
      <c r="FF75">
        <v>1693336029.5999999</v>
      </c>
      <c r="FG75">
        <v>1693336038.0999999</v>
      </c>
      <c r="FH75">
        <v>67</v>
      </c>
      <c r="FI75">
        <v>-6.0999999999999999E-2</v>
      </c>
      <c r="FJ75">
        <v>-1E-3</v>
      </c>
      <c r="FK75">
        <v>0.41099999999999998</v>
      </c>
      <c r="FL75">
        <v>0.11899999999999999</v>
      </c>
      <c r="FM75">
        <v>200</v>
      </c>
      <c r="FN75">
        <v>24</v>
      </c>
      <c r="FO75">
        <v>0.21</v>
      </c>
      <c r="FP75">
        <v>0.15</v>
      </c>
      <c r="FQ75">
        <v>20.938618524797612</v>
      </c>
      <c r="FR75">
        <v>0.45017851180612217</v>
      </c>
      <c r="FS75">
        <v>6.210859796672466E-2</v>
      </c>
      <c r="FT75">
        <v>1</v>
      </c>
      <c r="FU75">
        <v>0.32114113079647277</v>
      </c>
      <c r="FV75">
        <v>4.0427828217652881E-2</v>
      </c>
      <c r="FW75">
        <v>4.0414309957717423E-3</v>
      </c>
      <c r="FX75">
        <v>1</v>
      </c>
      <c r="FY75">
        <v>2</v>
      </c>
      <c r="FZ75">
        <v>2</v>
      </c>
      <c r="GA75" t="s">
        <v>421</v>
      </c>
      <c r="GB75">
        <v>2.8975399999999998</v>
      </c>
      <c r="GC75">
        <v>2.8174600000000001</v>
      </c>
      <c r="GD75">
        <v>4.46311E-2</v>
      </c>
      <c r="GE75">
        <v>5.0711199999999998E-2</v>
      </c>
      <c r="GF75">
        <v>0.134045</v>
      </c>
      <c r="GG75">
        <v>0.116772</v>
      </c>
      <c r="GH75">
        <v>26430.2</v>
      </c>
      <c r="GI75">
        <v>26389</v>
      </c>
      <c r="GJ75">
        <v>24550.6</v>
      </c>
      <c r="GK75">
        <v>24833.7</v>
      </c>
      <c r="GL75">
        <v>28252.9</v>
      </c>
      <c r="GM75">
        <v>28695.200000000001</v>
      </c>
      <c r="GN75">
        <v>33206.400000000001</v>
      </c>
      <c r="GO75">
        <v>33178.9</v>
      </c>
      <c r="GP75">
        <v>1.9360999999999999</v>
      </c>
      <c r="GQ75">
        <v>1.7243999999999999</v>
      </c>
      <c r="GR75">
        <v>7.5697899999999999E-3</v>
      </c>
      <c r="GS75">
        <v>0</v>
      </c>
      <c r="GT75">
        <v>29.850999999999999</v>
      </c>
      <c r="GU75">
        <v>999.9</v>
      </c>
      <c r="GV75">
        <v>42.7</v>
      </c>
      <c r="GW75">
        <v>45.6</v>
      </c>
      <c r="GX75">
        <v>42.891100000000002</v>
      </c>
      <c r="GY75">
        <v>62.292099999999998</v>
      </c>
      <c r="GZ75">
        <v>26.963100000000001</v>
      </c>
      <c r="HA75">
        <v>1</v>
      </c>
      <c r="HB75">
        <v>0.61505100000000001</v>
      </c>
      <c r="HC75">
        <v>2.2963300000000002</v>
      </c>
      <c r="HD75">
        <v>20.197700000000001</v>
      </c>
      <c r="HE75">
        <v>5.2286700000000002</v>
      </c>
      <c r="HF75">
        <v>11.9201</v>
      </c>
      <c r="HG75">
        <v>4.9588000000000001</v>
      </c>
      <c r="HH75">
        <v>3.2881</v>
      </c>
      <c r="HI75">
        <v>9999</v>
      </c>
      <c r="HJ75">
        <v>9999</v>
      </c>
      <c r="HK75">
        <v>9999</v>
      </c>
      <c r="HL75">
        <v>879.3</v>
      </c>
      <c r="HM75">
        <v>1.8807700000000001</v>
      </c>
      <c r="HN75">
        <v>1.8778999999999999</v>
      </c>
      <c r="HO75">
        <v>1.8858299999999999</v>
      </c>
      <c r="HP75">
        <v>1.88354</v>
      </c>
      <c r="HQ75">
        <v>1.8811500000000001</v>
      </c>
      <c r="HR75">
        <v>1.88019</v>
      </c>
      <c r="HS75">
        <v>1.88127</v>
      </c>
      <c r="HT75">
        <v>1.8808</v>
      </c>
      <c r="HU75">
        <v>5</v>
      </c>
      <c r="HV75">
        <v>0</v>
      </c>
      <c r="HW75">
        <v>0</v>
      </c>
      <c r="HX75">
        <v>0</v>
      </c>
      <c r="HY75" t="s">
        <v>422</v>
      </c>
      <c r="HZ75" t="s">
        <v>423</v>
      </c>
      <c r="IA75" t="s">
        <v>424</v>
      </c>
      <c r="IB75" t="s">
        <v>424</v>
      </c>
      <c r="IC75" t="s">
        <v>424</v>
      </c>
      <c r="ID75" t="s">
        <v>424</v>
      </c>
      <c r="IE75">
        <v>0</v>
      </c>
      <c r="IF75">
        <v>100</v>
      </c>
      <c r="IG75">
        <v>100</v>
      </c>
      <c r="IH75">
        <v>0.374</v>
      </c>
      <c r="II75">
        <v>0.24199999999999999</v>
      </c>
      <c r="IJ75">
        <v>5.4599490688878823E-2</v>
      </c>
      <c r="IK75">
        <v>2.2153513873161218E-3</v>
      </c>
      <c r="IL75">
        <v>-2.2967369670569612E-6</v>
      </c>
      <c r="IM75">
        <v>7.7859689150384122E-10</v>
      </c>
      <c r="IN75">
        <v>-0.15052213831327799</v>
      </c>
      <c r="IO75">
        <v>-4.1434251034592161E-3</v>
      </c>
      <c r="IP75">
        <v>8.3987709687394815E-4</v>
      </c>
      <c r="IQ75">
        <v>-7.4586254598011197E-6</v>
      </c>
      <c r="IR75">
        <v>2</v>
      </c>
      <c r="IS75">
        <v>1930</v>
      </c>
      <c r="IT75">
        <v>2</v>
      </c>
      <c r="IU75">
        <v>41</v>
      </c>
      <c r="IV75">
        <v>0.7</v>
      </c>
      <c r="IW75">
        <v>0.5</v>
      </c>
      <c r="IX75">
        <v>0.57861300000000004</v>
      </c>
      <c r="IY75">
        <v>2.5524900000000001</v>
      </c>
      <c r="IZ75">
        <v>1.24512</v>
      </c>
      <c r="JA75">
        <v>2.2509800000000002</v>
      </c>
      <c r="JB75">
        <v>1.4501999999999999</v>
      </c>
      <c r="JC75">
        <v>2.2399900000000001</v>
      </c>
      <c r="JD75">
        <v>44.837699999999998</v>
      </c>
      <c r="JE75">
        <v>16.005800000000001</v>
      </c>
      <c r="JF75">
        <v>18</v>
      </c>
      <c r="JG75">
        <v>495.25400000000002</v>
      </c>
      <c r="JH75">
        <v>402.38299999999998</v>
      </c>
      <c r="JI75">
        <v>25.4907</v>
      </c>
      <c r="JJ75">
        <v>34.805399999999999</v>
      </c>
      <c r="JK75">
        <v>29.998200000000001</v>
      </c>
      <c r="JL75">
        <v>34.7455</v>
      </c>
      <c r="JM75">
        <v>34.714599999999997</v>
      </c>
      <c r="JN75">
        <v>11.6691</v>
      </c>
      <c r="JO75">
        <v>48.812199999999997</v>
      </c>
      <c r="JP75">
        <v>0</v>
      </c>
      <c r="JQ75">
        <v>25.617100000000001</v>
      </c>
      <c r="JR75">
        <v>200</v>
      </c>
      <c r="JS75">
        <v>23.5654</v>
      </c>
      <c r="JT75">
        <v>99.100800000000007</v>
      </c>
      <c r="JU75">
        <v>99.010900000000007</v>
      </c>
    </row>
    <row r="76" spans="1:281" x14ac:dyDescent="0.25">
      <c r="A76">
        <v>60</v>
      </c>
      <c r="B76">
        <v>1693336182.0999999</v>
      </c>
      <c r="C76">
        <v>13469</v>
      </c>
      <c r="D76" t="s">
        <v>722</v>
      </c>
      <c r="E76" t="s">
        <v>723</v>
      </c>
      <c r="F76" t="s">
        <v>413</v>
      </c>
      <c r="G76" t="s">
        <v>564</v>
      </c>
      <c r="H76" t="s">
        <v>708</v>
      </c>
      <c r="I76" t="s">
        <v>415</v>
      </c>
      <c r="J76">
        <v>1693336182.0999999</v>
      </c>
      <c r="K76">
        <f t="shared" si="46"/>
        <v>4.7986656035450504E-3</v>
      </c>
      <c r="L76">
        <f t="shared" si="47"/>
        <v>4.7986656035450501</v>
      </c>
      <c r="M76">
        <f t="shared" si="48"/>
        <v>13.451094458797057</v>
      </c>
      <c r="N76">
        <f t="shared" si="49"/>
        <v>103.27800000000001</v>
      </c>
      <c r="O76">
        <f t="shared" si="50"/>
        <v>37.02993106854219</v>
      </c>
      <c r="P76">
        <f t="shared" si="51"/>
        <v>3.6682021091018879</v>
      </c>
      <c r="Q76">
        <f t="shared" si="52"/>
        <v>10.230766477058399</v>
      </c>
      <c r="R76">
        <f t="shared" si="53"/>
        <v>0.3520627564168366</v>
      </c>
      <c r="S76">
        <f t="shared" si="54"/>
        <v>2.9121327682501037</v>
      </c>
      <c r="T76">
        <f t="shared" si="55"/>
        <v>0.33001093116393093</v>
      </c>
      <c r="U76">
        <f t="shared" si="56"/>
        <v>0.20812289478843293</v>
      </c>
      <c r="V76">
        <f t="shared" si="57"/>
        <v>344.39849864394711</v>
      </c>
      <c r="W76">
        <f t="shared" si="58"/>
        <v>31.195102232395339</v>
      </c>
      <c r="X76">
        <f t="shared" si="59"/>
        <v>29.950099999999999</v>
      </c>
      <c r="Y76">
        <f t="shared" si="60"/>
        <v>4.2482536476921</v>
      </c>
      <c r="Z76">
        <f t="shared" si="61"/>
        <v>65.5589903388626</v>
      </c>
      <c r="AA76">
        <f t="shared" si="62"/>
        <v>2.8594991312773601</v>
      </c>
      <c r="AB76">
        <f t="shared" si="63"/>
        <v>4.3617192950915271</v>
      </c>
      <c r="AC76">
        <f t="shared" si="64"/>
        <v>1.3887545164147399</v>
      </c>
      <c r="AD76">
        <f t="shared" si="65"/>
        <v>-211.62115311633673</v>
      </c>
      <c r="AE76">
        <f t="shared" si="66"/>
        <v>72.140995377973184</v>
      </c>
      <c r="AF76">
        <f t="shared" si="67"/>
        <v>5.518021871677715</v>
      </c>
      <c r="AG76">
        <f t="shared" si="68"/>
        <v>210.43636277726128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51764.548910794831</v>
      </c>
      <c r="AM76" t="s">
        <v>416</v>
      </c>
      <c r="AN76">
        <v>10366.9</v>
      </c>
      <c r="AO76">
        <v>993.59653846153856</v>
      </c>
      <c r="AP76">
        <v>3431.87</v>
      </c>
      <c r="AQ76">
        <f t="shared" si="72"/>
        <v>0.71047955241266758</v>
      </c>
      <c r="AR76">
        <v>-3.9894345373445681</v>
      </c>
      <c r="AS76" t="s">
        <v>724</v>
      </c>
      <c r="AT76">
        <v>10404</v>
      </c>
      <c r="AU76">
        <v>816.77092307692305</v>
      </c>
      <c r="AV76">
        <v>949.94018584790717</v>
      </c>
      <c r="AW76">
        <f t="shared" si="73"/>
        <v>0.14018699782883548</v>
      </c>
      <c r="AX76">
        <v>0.5</v>
      </c>
      <c r="AY76">
        <f t="shared" si="74"/>
        <v>1513.3109993219737</v>
      </c>
      <c r="AZ76">
        <f t="shared" si="75"/>
        <v>13.451094458797057</v>
      </c>
      <c r="BA76">
        <f t="shared" si="76"/>
        <v>106.07326288815119</v>
      </c>
      <c r="BB76">
        <f t="shared" si="77"/>
        <v>1.1524748715865877E-2</v>
      </c>
      <c r="BC76">
        <f t="shared" si="78"/>
        <v>2.6127222020160636</v>
      </c>
      <c r="BD76">
        <f t="shared" si="79"/>
        <v>565.68884653580994</v>
      </c>
      <c r="BE76" t="s">
        <v>725</v>
      </c>
      <c r="BF76">
        <v>590.19000000000005</v>
      </c>
      <c r="BG76">
        <f t="shared" si="80"/>
        <v>590.19000000000005</v>
      </c>
      <c r="BH76">
        <f t="shared" si="81"/>
        <v>0.37870825048505308</v>
      </c>
      <c r="BI76">
        <f t="shared" si="82"/>
        <v>0.37017149124499565</v>
      </c>
      <c r="BJ76">
        <f t="shared" si="83"/>
        <v>0.8734022881366279</v>
      </c>
      <c r="BK76">
        <f t="shared" si="84"/>
        <v>-3.0503982765019853</v>
      </c>
      <c r="BL76">
        <f t="shared" si="85"/>
        <v>1.0179046170588615</v>
      </c>
      <c r="BM76">
        <f t="shared" si="86"/>
        <v>0.267481990660077</v>
      </c>
      <c r="BN76">
        <f t="shared" si="87"/>
        <v>0.73251800933992306</v>
      </c>
      <c r="BO76">
        <v>7666</v>
      </c>
      <c r="BP76">
        <v>290.00000000000011</v>
      </c>
      <c r="BQ76">
        <v>914.27</v>
      </c>
      <c r="BR76">
        <v>215</v>
      </c>
      <c r="BS76">
        <v>10404</v>
      </c>
      <c r="BT76">
        <v>913.8</v>
      </c>
      <c r="BU76">
        <v>0.47</v>
      </c>
      <c r="BV76">
        <v>300.00000000000011</v>
      </c>
      <c r="BW76">
        <v>38.299999999999997</v>
      </c>
      <c r="BX76">
        <v>949.94018584790717</v>
      </c>
      <c r="BY76">
        <v>1.2089340358698191</v>
      </c>
      <c r="BZ76">
        <v>-37.59683375572655</v>
      </c>
      <c r="CA76">
        <v>1.0301144484734579</v>
      </c>
      <c r="CB76">
        <v>0.97941303508609256</v>
      </c>
      <c r="CC76">
        <v>-1.130363670745272E-2</v>
      </c>
      <c r="CD76">
        <v>289.99999999999989</v>
      </c>
      <c r="CE76">
        <v>911.81</v>
      </c>
      <c r="CF76">
        <v>735</v>
      </c>
      <c r="CG76">
        <v>10380.799999999999</v>
      </c>
      <c r="CH76">
        <v>913.72</v>
      </c>
      <c r="CI76">
        <v>-1.91</v>
      </c>
      <c r="CW76">
        <f t="shared" si="88"/>
        <v>1800.15</v>
      </c>
      <c r="CX76">
        <f t="shared" si="89"/>
        <v>1513.3109993219737</v>
      </c>
      <c r="CY76">
        <f t="shared" si="90"/>
        <v>0.8406582781001436</v>
      </c>
      <c r="CZ76">
        <f t="shared" si="91"/>
        <v>0.19131655620028726</v>
      </c>
      <c r="DA76">
        <v>6</v>
      </c>
      <c r="DB76">
        <v>0.5</v>
      </c>
      <c r="DC76" t="s">
        <v>419</v>
      </c>
      <c r="DD76">
        <v>2</v>
      </c>
      <c r="DE76">
        <v>1693336182.0999999</v>
      </c>
      <c r="DF76">
        <v>103.27800000000001</v>
      </c>
      <c r="DG76">
        <v>120.015</v>
      </c>
      <c r="DH76">
        <v>28.866199999999999</v>
      </c>
      <c r="DI76">
        <v>23.273700000000002</v>
      </c>
      <c r="DJ76">
        <v>103.06399999999999</v>
      </c>
      <c r="DK76">
        <v>28.626100000000001</v>
      </c>
      <c r="DL76">
        <v>499.971</v>
      </c>
      <c r="DM76">
        <v>98.960999999999999</v>
      </c>
      <c r="DN76">
        <v>9.9462800000000004E-2</v>
      </c>
      <c r="DO76">
        <v>30.409600000000001</v>
      </c>
      <c r="DP76">
        <v>29.950099999999999</v>
      </c>
      <c r="DQ76">
        <v>999.9</v>
      </c>
      <c r="DR76">
        <v>0</v>
      </c>
      <c r="DS76">
        <v>0</v>
      </c>
      <c r="DT76">
        <v>10005</v>
      </c>
      <c r="DU76">
        <v>0</v>
      </c>
      <c r="DV76">
        <v>184.68299999999999</v>
      </c>
      <c r="DW76">
        <v>-16.736799999999999</v>
      </c>
      <c r="DX76">
        <v>106.348</v>
      </c>
      <c r="DY76">
        <v>122.875</v>
      </c>
      <c r="DZ76">
        <v>5.5925000000000002</v>
      </c>
      <c r="EA76">
        <v>120.015</v>
      </c>
      <c r="EB76">
        <v>23.273700000000002</v>
      </c>
      <c r="EC76">
        <v>2.85663</v>
      </c>
      <c r="ED76">
        <v>2.3031899999999998</v>
      </c>
      <c r="EE76">
        <v>23.215</v>
      </c>
      <c r="EF76">
        <v>19.698699999999999</v>
      </c>
      <c r="EG76">
        <v>1800.15</v>
      </c>
      <c r="EH76">
        <v>0.97799499999999995</v>
      </c>
      <c r="EI76">
        <v>2.2004900000000001E-2</v>
      </c>
      <c r="EJ76">
        <v>0</v>
      </c>
      <c r="EK76">
        <v>816.38800000000003</v>
      </c>
      <c r="EL76">
        <v>5.0010300000000001</v>
      </c>
      <c r="EM76">
        <v>15628.4</v>
      </c>
      <c r="EN76">
        <v>14702.3</v>
      </c>
      <c r="EO76">
        <v>49.75</v>
      </c>
      <c r="EP76">
        <v>51.125</v>
      </c>
      <c r="EQ76">
        <v>51.311999999999998</v>
      </c>
      <c r="ER76">
        <v>50.125</v>
      </c>
      <c r="ES76">
        <v>51.186999999999998</v>
      </c>
      <c r="ET76">
        <v>1755.65</v>
      </c>
      <c r="EU76">
        <v>39.5</v>
      </c>
      <c r="EV76">
        <v>0</v>
      </c>
      <c r="EW76">
        <v>110.5999999046326</v>
      </c>
      <c r="EX76">
        <v>0</v>
      </c>
      <c r="EY76">
        <v>816.77092307692305</v>
      </c>
      <c r="EZ76">
        <v>-1.919726495561255</v>
      </c>
      <c r="FA76">
        <v>-48.929914524081717</v>
      </c>
      <c r="FB76">
        <v>15628.792307692311</v>
      </c>
      <c r="FC76">
        <v>15</v>
      </c>
      <c r="FD76">
        <v>1693336149.5999999</v>
      </c>
      <c r="FE76" t="s">
        <v>726</v>
      </c>
      <c r="FF76">
        <v>1693336145.0999999</v>
      </c>
      <c r="FG76">
        <v>1693336149.5999999</v>
      </c>
      <c r="FH76">
        <v>68</v>
      </c>
      <c r="FI76">
        <v>-4.4999999999999998E-2</v>
      </c>
      <c r="FJ76">
        <v>-4.0000000000000001E-3</v>
      </c>
      <c r="FK76">
        <v>0.24299999999999999</v>
      </c>
      <c r="FL76">
        <v>0.106</v>
      </c>
      <c r="FM76">
        <v>120</v>
      </c>
      <c r="FN76">
        <v>23</v>
      </c>
      <c r="FO76">
        <v>0.21</v>
      </c>
      <c r="FP76">
        <v>0.05</v>
      </c>
      <c r="FQ76">
        <v>13.406844424869981</v>
      </c>
      <c r="FR76">
        <v>0.30225216251488252</v>
      </c>
      <c r="FS76">
        <v>5.8855897755023222E-2</v>
      </c>
      <c r="FT76">
        <v>1</v>
      </c>
      <c r="FU76">
        <v>0.35168842607955031</v>
      </c>
      <c r="FV76">
        <v>3.6027993214121277E-2</v>
      </c>
      <c r="FW76">
        <v>3.354772122949518E-3</v>
      </c>
      <c r="FX76">
        <v>1</v>
      </c>
      <c r="FY76">
        <v>2</v>
      </c>
      <c r="FZ76">
        <v>2</v>
      </c>
      <c r="GA76" t="s">
        <v>421</v>
      </c>
      <c r="GB76">
        <v>2.89669</v>
      </c>
      <c r="GC76">
        <v>2.81751</v>
      </c>
      <c r="GD76">
        <v>2.7460399999999999E-2</v>
      </c>
      <c r="GE76">
        <v>3.1776199999999998E-2</v>
      </c>
      <c r="GF76">
        <v>0.134324</v>
      </c>
      <c r="GG76">
        <v>0.11562600000000001</v>
      </c>
      <c r="GH76">
        <v>26907</v>
      </c>
      <c r="GI76">
        <v>26917.5</v>
      </c>
      <c r="GJ76">
        <v>24552.799999999999</v>
      </c>
      <c r="GK76">
        <v>24836.3</v>
      </c>
      <c r="GL76">
        <v>28246.2</v>
      </c>
      <c r="GM76">
        <v>28735</v>
      </c>
      <c r="GN76">
        <v>33209.599999999999</v>
      </c>
      <c r="GO76">
        <v>33182</v>
      </c>
      <c r="GP76">
        <v>1.9378</v>
      </c>
      <c r="GQ76">
        <v>1.7278</v>
      </c>
      <c r="GR76">
        <v>1.4290199999999999E-2</v>
      </c>
      <c r="GS76">
        <v>0</v>
      </c>
      <c r="GT76">
        <v>29.717400000000001</v>
      </c>
      <c r="GU76">
        <v>999.9</v>
      </c>
      <c r="GV76">
        <v>42.6</v>
      </c>
      <c r="GW76">
        <v>45.3</v>
      </c>
      <c r="GX76">
        <v>42.1419</v>
      </c>
      <c r="GY76">
        <v>62.152099999999997</v>
      </c>
      <c r="GZ76">
        <v>27.1995</v>
      </c>
      <c r="HA76">
        <v>1</v>
      </c>
      <c r="HB76">
        <v>0.60915699999999995</v>
      </c>
      <c r="HC76">
        <v>2.6074600000000001</v>
      </c>
      <c r="HD76">
        <v>20.192599999999999</v>
      </c>
      <c r="HE76">
        <v>5.2262700000000004</v>
      </c>
      <c r="HF76">
        <v>11.9201</v>
      </c>
      <c r="HG76">
        <v>4.9580000000000002</v>
      </c>
      <c r="HH76">
        <v>3.2871000000000001</v>
      </c>
      <c r="HI76">
        <v>9999</v>
      </c>
      <c r="HJ76">
        <v>9999</v>
      </c>
      <c r="HK76">
        <v>9999</v>
      </c>
      <c r="HL76">
        <v>879.3</v>
      </c>
      <c r="HM76">
        <v>1.88069</v>
      </c>
      <c r="HN76">
        <v>1.8778999999999999</v>
      </c>
      <c r="HO76">
        <v>1.8858299999999999</v>
      </c>
      <c r="HP76">
        <v>1.8835599999999999</v>
      </c>
      <c r="HQ76">
        <v>1.8811</v>
      </c>
      <c r="HR76">
        <v>1.88019</v>
      </c>
      <c r="HS76">
        <v>1.8812599999999999</v>
      </c>
      <c r="HT76">
        <v>1.8808</v>
      </c>
      <c r="HU76">
        <v>5</v>
      </c>
      <c r="HV76">
        <v>0</v>
      </c>
      <c r="HW76">
        <v>0</v>
      </c>
      <c r="HX76">
        <v>0</v>
      </c>
      <c r="HY76" t="s">
        <v>422</v>
      </c>
      <c r="HZ76" t="s">
        <v>423</v>
      </c>
      <c r="IA76" t="s">
        <v>424</v>
      </c>
      <c r="IB76" t="s">
        <v>424</v>
      </c>
      <c r="IC76" t="s">
        <v>424</v>
      </c>
      <c r="ID76" t="s">
        <v>424</v>
      </c>
      <c r="IE76">
        <v>0</v>
      </c>
      <c r="IF76">
        <v>100</v>
      </c>
      <c r="IG76">
        <v>100</v>
      </c>
      <c r="IH76">
        <v>0.214</v>
      </c>
      <c r="II76">
        <v>0.24010000000000001</v>
      </c>
      <c r="IJ76">
        <v>9.0908879339776927E-3</v>
      </c>
      <c r="IK76">
        <v>2.2153513873161218E-3</v>
      </c>
      <c r="IL76">
        <v>-2.2967369670569612E-6</v>
      </c>
      <c r="IM76">
        <v>7.7859689150384122E-10</v>
      </c>
      <c r="IN76">
        <v>-0.15461608087341089</v>
      </c>
      <c r="IO76">
        <v>-4.1434251034592161E-3</v>
      </c>
      <c r="IP76">
        <v>8.3987709687394815E-4</v>
      </c>
      <c r="IQ76">
        <v>-7.4586254598011197E-6</v>
      </c>
      <c r="IR76">
        <v>2</v>
      </c>
      <c r="IS76">
        <v>1930</v>
      </c>
      <c r="IT76">
        <v>2</v>
      </c>
      <c r="IU76">
        <v>41</v>
      </c>
      <c r="IV76">
        <v>0.6</v>
      </c>
      <c r="IW76">
        <v>0.5</v>
      </c>
      <c r="IX76">
        <v>0.40649400000000002</v>
      </c>
      <c r="IY76">
        <v>2.5708000000000002</v>
      </c>
      <c r="IZ76">
        <v>1.24512</v>
      </c>
      <c r="JA76">
        <v>2.2509800000000002</v>
      </c>
      <c r="JB76">
        <v>1.4501999999999999</v>
      </c>
      <c r="JC76">
        <v>2.32178</v>
      </c>
      <c r="JD76">
        <v>44.557299999999998</v>
      </c>
      <c r="JE76">
        <v>16.005800000000001</v>
      </c>
      <c r="JF76">
        <v>18</v>
      </c>
      <c r="JG76">
        <v>495.89600000000002</v>
      </c>
      <c r="JH76">
        <v>404.024</v>
      </c>
      <c r="JI76">
        <v>25.930399999999999</v>
      </c>
      <c r="JJ76">
        <v>34.745199999999997</v>
      </c>
      <c r="JK76">
        <v>29.999500000000001</v>
      </c>
      <c r="JL76">
        <v>34.68</v>
      </c>
      <c r="JM76">
        <v>34.642299999999999</v>
      </c>
      <c r="JN76">
        <v>8.2089999999999996</v>
      </c>
      <c r="JO76">
        <v>48.936599999999999</v>
      </c>
      <c r="JP76">
        <v>0</v>
      </c>
      <c r="JQ76">
        <v>25.962599999999998</v>
      </c>
      <c r="JR76">
        <v>120</v>
      </c>
      <c r="JS76">
        <v>23.144400000000001</v>
      </c>
      <c r="JT76">
        <v>99.110200000000006</v>
      </c>
      <c r="JU76">
        <v>99.020600000000002</v>
      </c>
    </row>
    <row r="77" spans="1:281" x14ac:dyDescent="0.25">
      <c r="A77">
        <v>61</v>
      </c>
      <c r="B77">
        <v>1693336297.0999999</v>
      </c>
      <c r="C77">
        <v>13584</v>
      </c>
      <c r="D77" t="s">
        <v>727</v>
      </c>
      <c r="E77" t="s">
        <v>728</v>
      </c>
      <c r="F77" t="s">
        <v>413</v>
      </c>
      <c r="G77" t="s">
        <v>564</v>
      </c>
      <c r="H77" t="s">
        <v>708</v>
      </c>
      <c r="I77" t="s">
        <v>415</v>
      </c>
      <c r="J77">
        <v>1693336297.0999999</v>
      </c>
      <c r="K77">
        <f t="shared" si="46"/>
        <v>5.1266399378513353E-3</v>
      </c>
      <c r="L77">
        <f t="shared" si="47"/>
        <v>5.1266399378513352</v>
      </c>
      <c r="M77">
        <f t="shared" si="48"/>
        <v>8.2816599055261744</v>
      </c>
      <c r="N77">
        <f t="shared" si="49"/>
        <v>59.655700000000003</v>
      </c>
      <c r="O77">
        <f t="shared" si="50"/>
        <v>21.40269113489483</v>
      </c>
      <c r="P77">
        <f t="shared" si="51"/>
        <v>2.1200363020130975</v>
      </c>
      <c r="Q77">
        <f t="shared" si="52"/>
        <v>5.9091751044242793</v>
      </c>
      <c r="R77">
        <f t="shared" si="53"/>
        <v>0.37681104264347537</v>
      </c>
      <c r="S77">
        <f t="shared" si="54"/>
        <v>2.9159542742269444</v>
      </c>
      <c r="T77">
        <f t="shared" si="55"/>
        <v>0.35169930940361882</v>
      </c>
      <c r="U77">
        <f t="shared" si="56"/>
        <v>0.22192864692312869</v>
      </c>
      <c r="V77">
        <f t="shared" si="57"/>
        <v>344.37379864384917</v>
      </c>
      <c r="W77">
        <f t="shared" si="58"/>
        <v>31.245470734176948</v>
      </c>
      <c r="X77">
        <f t="shared" si="59"/>
        <v>30.031500000000001</v>
      </c>
      <c r="Y77">
        <f t="shared" si="60"/>
        <v>4.2681644301024715</v>
      </c>
      <c r="Z77">
        <f t="shared" si="61"/>
        <v>65.429996616129586</v>
      </c>
      <c r="AA77">
        <f t="shared" si="62"/>
        <v>2.8763393232291596</v>
      </c>
      <c r="AB77">
        <f t="shared" si="63"/>
        <v>4.3960560476631514</v>
      </c>
      <c r="AC77">
        <f t="shared" si="64"/>
        <v>1.3918251068733118</v>
      </c>
      <c r="AD77">
        <f t="shared" si="65"/>
        <v>-226.08482125924388</v>
      </c>
      <c r="AE77">
        <f t="shared" si="66"/>
        <v>80.976257811226617</v>
      </c>
      <c r="AF77">
        <f t="shared" si="67"/>
        <v>6.1923957868855366</v>
      </c>
      <c r="AG77">
        <f t="shared" si="68"/>
        <v>205.45763098271743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51849.542662100554</v>
      </c>
      <c r="AM77" t="s">
        <v>416</v>
      </c>
      <c r="AN77">
        <v>10366.9</v>
      </c>
      <c r="AO77">
        <v>993.59653846153856</v>
      </c>
      <c r="AP77">
        <v>3431.87</v>
      </c>
      <c r="AQ77">
        <f t="shared" si="72"/>
        <v>0.71047955241266758</v>
      </c>
      <c r="AR77">
        <v>-3.9894345373445681</v>
      </c>
      <c r="AS77" t="s">
        <v>729</v>
      </c>
      <c r="AT77">
        <v>10404.5</v>
      </c>
      <c r="AU77">
        <v>820.42668000000003</v>
      </c>
      <c r="AV77">
        <v>914.94625998102231</v>
      </c>
      <c r="AW77">
        <f t="shared" si="73"/>
        <v>0.10330615481501915</v>
      </c>
      <c r="AX77">
        <v>0.5</v>
      </c>
      <c r="AY77">
        <f t="shared" si="74"/>
        <v>1513.2017993219245</v>
      </c>
      <c r="AZ77">
        <f t="shared" si="75"/>
        <v>8.2816599055261744</v>
      </c>
      <c r="BA77">
        <f t="shared" si="76"/>
        <v>78.161529673558135</v>
      </c>
      <c r="BB77">
        <f t="shared" si="77"/>
        <v>8.109357554537339E-3</v>
      </c>
      <c r="BC77">
        <f t="shared" si="78"/>
        <v>2.750897894343197</v>
      </c>
      <c r="BD77">
        <f t="shared" si="79"/>
        <v>553.09160366232129</v>
      </c>
      <c r="BE77" t="s">
        <v>730</v>
      </c>
      <c r="BF77">
        <v>590.42999999999995</v>
      </c>
      <c r="BG77">
        <f t="shared" si="80"/>
        <v>590.42999999999995</v>
      </c>
      <c r="BH77">
        <f t="shared" si="81"/>
        <v>0.35468341057293729</v>
      </c>
      <c r="BI77">
        <f t="shared" si="82"/>
        <v>0.29126300169535346</v>
      </c>
      <c r="BJ77">
        <f t="shared" si="83"/>
        <v>0.88579161974878151</v>
      </c>
      <c r="BK77">
        <f t="shared" si="84"/>
        <v>-1.2017704426111762</v>
      </c>
      <c r="BL77">
        <f t="shared" si="85"/>
        <v>1.0322565453470058</v>
      </c>
      <c r="BM77">
        <f t="shared" si="86"/>
        <v>0.20961094791674439</v>
      </c>
      <c r="BN77">
        <f t="shared" si="87"/>
        <v>0.79038905208325561</v>
      </c>
      <c r="BO77">
        <v>7668</v>
      </c>
      <c r="BP77">
        <v>290.00000000000011</v>
      </c>
      <c r="BQ77">
        <v>890.45</v>
      </c>
      <c r="BR77">
        <v>205</v>
      </c>
      <c r="BS77">
        <v>10404.5</v>
      </c>
      <c r="BT77">
        <v>889.76</v>
      </c>
      <c r="BU77">
        <v>0.69</v>
      </c>
      <c r="BV77">
        <v>300.00000000000011</v>
      </c>
      <c r="BW77">
        <v>38.299999999999997</v>
      </c>
      <c r="BX77">
        <v>914.94625998102231</v>
      </c>
      <c r="BY77">
        <v>0.85523890872155128</v>
      </c>
      <c r="BZ77">
        <v>-26.207125893171561</v>
      </c>
      <c r="CA77">
        <v>0.72867277109617734</v>
      </c>
      <c r="CB77">
        <v>0.97881230348904213</v>
      </c>
      <c r="CC77">
        <v>-1.130259866518356E-2</v>
      </c>
      <c r="CD77">
        <v>289.99999999999989</v>
      </c>
      <c r="CE77">
        <v>887.59</v>
      </c>
      <c r="CF77">
        <v>685</v>
      </c>
      <c r="CG77">
        <v>10383.5</v>
      </c>
      <c r="CH77">
        <v>889.71</v>
      </c>
      <c r="CI77">
        <v>-2.12</v>
      </c>
      <c r="CW77">
        <f t="shared" si="88"/>
        <v>1800.02</v>
      </c>
      <c r="CX77">
        <f t="shared" si="89"/>
        <v>1513.2017993219245</v>
      </c>
      <c r="CY77">
        <f t="shared" si="90"/>
        <v>0.84065832564189535</v>
      </c>
      <c r="CZ77">
        <f t="shared" si="91"/>
        <v>0.19131665128379083</v>
      </c>
      <c r="DA77">
        <v>6</v>
      </c>
      <c r="DB77">
        <v>0.5</v>
      </c>
      <c r="DC77" t="s">
        <v>419</v>
      </c>
      <c r="DD77">
        <v>2</v>
      </c>
      <c r="DE77">
        <v>1693336297.0999999</v>
      </c>
      <c r="DF77">
        <v>59.655700000000003</v>
      </c>
      <c r="DG77">
        <v>69.944599999999994</v>
      </c>
      <c r="DH77">
        <v>29.0379</v>
      </c>
      <c r="DI77">
        <v>23.073899999999998</v>
      </c>
      <c r="DJ77">
        <v>59.429000000000002</v>
      </c>
      <c r="DK77">
        <v>28.790600000000001</v>
      </c>
      <c r="DL77">
        <v>500.78199999999998</v>
      </c>
      <c r="DM77">
        <v>98.954899999999995</v>
      </c>
      <c r="DN77">
        <v>9.9760399999999999E-2</v>
      </c>
      <c r="DO77">
        <v>30.546600000000002</v>
      </c>
      <c r="DP77">
        <v>30.031500000000001</v>
      </c>
      <c r="DQ77">
        <v>999.9</v>
      </c>
      <c r="DR77">
        <v>0</v>
      </c>
      <c r="DS77">
        <v>0</v>
      </c>
      <c r="DT77">
        <v>10027.5</v>
      </c>
      <c r="DU77">
        <v>0</v>
      </c>
      <c r="DV77">
        <v>184.18299999999999</v>
      </c>
      <c r="DW77">
        <v>-10.2889</v>
      </c>
      <c r="DX77">
        <v>61.439799999999998</v>
      </c>
      <c r="DY77">
        <v>71.596599999999995</v>
      </c>
      <c r="DZ77">
        <v>5.96401</v>
      </c>
      <c r="EA77">
        <v>69.944599999999994</v>
      </c>
      <c r="EB77">
        <v>23.073899999999998</v>
      </c>
      <c r="EC77">
        <v>2.87344</v>
      </c>
      <c r="ED77">
        <v>2.28328</v>
      </c>
      <c r="EE77">
        <v>23.312200000000001</v>
      </c>
      <c r="EF77">
        <v>19.558900000000001</v>
      </c>
      <c r="EG77">
        <v>1800.02</v>
      </c>
      <c r="EH77">
        <v>0.97799499999999995</v>
      </c>
      <c r="EI77">
        <v>2.2004900000000001E-2</v>
      </c>
      <c r="EJ77">
        <v>0</v>
      </c>
      <c r="EK77">
        <v>820.19299999999998</v>
      </c>
      <c r="EL77">
        <v>5.0010300000000001</v>
      </c>
      <c r="EM77">
        <v>15688.3</v>
      </c>
      <c r="EN77">
        <v>14701.2</v>
      </c>
      <c r="EO77">
        <v>49.875</v>
      </c>
      <c r="EP77">
        <v>51.186999999999998</v>
      </c>
      <c r="EQ77">
        <v>51.311999999999998</v>
      </c>
      <c r="ER77">
        <v>50.25</v>
      </c>
      <c r="ES77">
        <v>51.311999999999998</v>
      </c>
      <c r="ET77">
        <v>1755.52</v>
      </c>
      <c r="EU77">
        <v>39.5</v>
      </c>
      <c r="EV77">
        <v>0</v>
      </c>
      <c r="EW77">
        <v>113</v>
      </c>
      <c r="EX77">
        <v>0</v>
      </c>
      <c r="EY77">
        <v>820.42668000000003</v>
      </c>
      <c r="EZ77">
        <v>-2.1031538307103861</v>
      </c>
      <c r="FA77">
        <v>-43.107692276844183</v>
      </c>
      <c r="FB77">
        <v>15693.791999999999</v>
      </c>
      <c r="FC77">
        <v>15</v>
      </c>
      <c r="FD77">
        <v>1693336268.5999999</v>
      </c>
      <c r="FE77" t="s">
        <v>731</v>
      </c>
      <c r="FF77">
        <v>1693336254.5999999</v>
      </c>
      <c r="FG77">
        <v>1693336268.5999999</v>
      </c>
      <c r="FH77">
        <v>69</v>
      </c>
      <c r="FI77">
        <v>9.4E-2</v>
      </c>
      <c r="FJ77">
        <v>3.0000000000000001E-3</v>
      </c>
      <c r="FK77">
        <v>0.247</v>
      </c>
      <c r="FL77">
        <v>0.104</v>
      </c>
      <c r="FM77">
        <v>70</v>
      </c>
      <c r="FN77">
        <v>23</v>
      </c>
      <c r="FO77">
        <v>0.23</v>
      </c>
      <c r="FP77">
        <v>0.06</v>
      </c>
      <c r="FQ77">
        <v>8.2933160787856384</v>
      </c>
      <c r="FR77">
        <v>7.3223364706398286E-2</v>
      </c>
      <c r="FS77">
        <v>6.2945625081761492E-2</v>
      </c>
      <c r="FT77">
        <v>1</v>
      </c>
      <c r="FU77">
        <v>0.37715866710307022</v>
      </c>
      <c r="FV77">
        <v>2.873330822764986E-2</v>
      </c>
      <c r="FW77">
        <v>5.0263389893240419E-3</v>
      </c>
      <c r="FX77">
        <v>1</v>
      </c>
      <c r="FY77">
        <v>2</v>
      </c>
      <c r="FZ77">
        <v>2</v>
      </c>
      <c r="GA77" t="s">
        <v>421</v>
      </c>
      <c r="GB77">
        <v>2.8989600000000002</v>
      </c>
      <c r="GC77">
        <v>2.8180100000000001</v>
      </c>
      <c r="GD77">
        <v>1.6082599999999999E-2</v>
      </c>
      <c r="GE77">
        <v>1.8905999999999999E-2</v>
      </c>
      <c r="GF77">
        <v>0.13486500000000001</v>
      </c>
      <c r="GG77">
        <v>0.114952</v>
      </c>
      <c r="GH77">
        <v>27224.799999999999</v>
      </c>
      <c r="GI77">
        <v>27276.6</v>
      </c>
      <c r="GJ77">
        <v>24556</v>
      </c>
      <c r="GK77">
        <v>24838</v>
      </c>
      <c r="GL77">
        <v>28231.3</v>
      </c>
      <c r="GM77">
        <v>28758.7</v>
      </c>
      <c r="GN77">
        <v>33213.4</v>
      </c>
      <c r="GO77">
        <v>33184.199999999997</v>
      </c>
      <c r="GP77">
        <v>1.9389000000000001</v>
      </c>
      <c r="GQ77">
        <v>1.7311000000000001</v>
      </c>
      <c r="GR77">
        <v>1.5377999999999999E-2</v>
      </c>
      <c r="GS77">
        <v>0</v>
      </c>
      <c r="GT77">
        <v>29.781199999999998</v>
      </c>
      <c r="GU77">
        <v>999.9</v>
      </c>
      <c r="GV77">
        <v>42.5</v>
      </c>
      <c r="GW77">
        <v>45</v>
      </c>
      <c r="GX77">
        <v>41.392200000000003</v>
      </c>
      <c r="GY77">
        <v>62.082099999999997</v>
      </c>
      <c r="GZ77">
        <v>26.277999999999999</v>
      </c>
      <c r="HA77">
        <v>1</v>
      </c>
      <c r="HB77">
        <v>0.60393300000000005</v>
      </c>
      <c r="HC77">
        <v>3.0527799999999998</v>
      </c>
      <c r="HD77">
        <v>20.186399999999999</v>
      </c>
      <c r="HE77">
        <v>5.2340600000000004</v>
      </c>
      <c r="HF77">
        <v>11.9201</v>
      </c>
      <c r="HG77">
        <v>4.9598000000000004</v>
      </c>
      <c r="HH77">
        <v>3.2890000000000001</v>
      </c>
      <c r="HI77">
        <v>9999</v>
      </c>
      <c r="HJ77">
        <v>9999</v>
      </c>
      <c r="HK77">
        <v>9999</v>
      </c>
      <c r="HL77">
        <v>879.3</v>
      </c>
      <c r="HM77">
        <v>1.8806499999999999</v>
      </c>
      <c r="HN77">
        <v>1.8778999999999999</v>
      </c>
      <c r="HO77">
        <v>1.8858299999999999</v>
      </c>
      <c r="HP77">
        <v>1.88354</v>
      </c>
      <c r="HQ77">
        <v>1.8811</v>
      </c>
      <c r="HR77">
        <v>1.88019</v>
      </c>
      <c r="HS77">
        <v>1.8812899999999999</v>
      </c>
      <c r="HT77">
        <v>1.8808</v>
      </c>
      <c r="HU77">
        <v>5</v>
      </c>
      <c r="HV77">
        <v>0</v>
      </c>
      <c r="HW77">
        <v>0</v>
      </c>
      <c r="HX77">
        <v>0</v>
      </c>
      <c r="HY77" t="s">
        <v>422</v>
      </c>
      <c r="HZ77" t="s">
        <v>423</v>
      </c>
      <c r="IA77" t="s">
        <v>424</v>
      </c>
      <c r="IB77" t="s">
        <v>424</v>
      </c>
      <c r="IC77" t="s">
        <v>424</v>
      </c>
      <c r="ID77" t="s">
        <v>424</v>
      </c>
      <c r="IE77">
        <v>0</v>
      </c>
      <c r="IF77">
        <v>100</v>
      </c>
      <c r="IG77">
        <v>100</v>
      </c>
      <c r="IH77">
        <v>0.22700000000000001</v>
      </c>
      <c r="II77">
        <v>0.24729999999999999</v>
      </c>
      <c r="IJ77">
        <v>0.10298104378187831</v>
      </c>
      <c r="IK77">
        <v>2.2153513873161218E-3</v>
      </c>
      <c r="IL77">
        <v>-2.2967369670569612E-6</v>
      </c>
      <c r="IM77">
        <v>7.7859689150384122E-10</v>
      </c>
      <c r="IN77">
        <v>-0.1515919033582403</v>
      </c>
      <c r="IO77">
        <v>-4.1434251034592161E-3</v>
      </c>
      <c r="IP77">
        <v>8.3987709687394815E-4</v>
      </c>
      <c r="IQ77">
        <v>-7.4586254598011197E-6</v>
      </c>
      <c r="IR77">
        <v>2</v>
      </c>
      <c r="IS77">
        <v>1930</v>
      </c>
      <c r="IT77">
        <v>2</v>
      </c>
      <c r="IU77">
        <v>41</v>
      </c>
      <c r="IV77">
        <v>0.7</v>
      </c>
      <c r="IW77">
        <v>0.5</v>
      </c>
      <c r="IX77">
        <v>0.29785200000000001</v>
      </c>
      <c r="IY77">
        <v>2.5903299999999998</v>
      </c>
      <c r="IZ77">
        <v>1.24512</v>
      </c>
      <c r="JA77">
        <v>2.2509800000000002</v>
      </c>
      <c r="JB77">
        <v>1.4501999999999999</v>
      </c>
      <c r="JC77">
        <v>2.32056</v>
      </c>
      <c r="JD77">
        <v>44.278700000000001</v>
      </c>
      <c r="JE77">
        <v>15.988300000000001</v>
      </c>
      <c r="JF77">
        <v>18</v>
      </c>
      <c r="JG77">
        <v>496.04500000000002</v>
      </c>
      <c r="JH77">
        <v>405.60500000000002</v>
      </c>
      <c r="JI77">
        <v>25.8139</v>
      </c>
      <c r="JJ77">
        <v>34.666200000000003</v>
      </c>
      <c r="JK77">
        <v>30.000499999999999</v>
      </c>
      <c r="JL77">
        <v>34.603900000000003</v>
      </c>
      <c r="JM77">
        <v>34.569600000000001</v>
      </c>
      <c r="JN77">
        <v>6.02576</v>
      </c>
      <c r="JO77">
        <v>48.283000000000001</v>
      </c>
      <c r="JP77">
        <v>0</v>
      </c>
      <c r="JQ77">
        <v>25.809100000000001</v>
      </c>
      <c r="JR77">
        <v>70</v>
      </c>
      <c r="JS77">
        <v>22.965</v>
      </c>
      <c r="JT77">
        <v>99.122100000000003</v>
      </c>
      <c r="JU77">
        <v>99.027100000000004</v>
      </c>
    </row>
    <row r="78" spans="1:281" x14ac:dyDescent="0.25">
      <c r="A78">
        <v>62</v>
      </c>
      <c r="B78">
        <v>1693336402.0999999</v>
      </c>
      <c r="C78">
        <v>13689</v>
      </c>
      <c r="D78" t="s">
        <v>732</v>
      </c>
      <c r="E78" t="s">
        <v>733</v>
      </c>
      <c r="F78" t="s">
        <v>413</v>
      </c>
      <c r="G78" t="s">
        <v>564</v>
      </c>
      <c r="H78" t="s">
        <v>708</v>
      </c>
      <c r="I78" t="s">
        <v>415</v>
      </c>
      <c r="J78">
        <v>1693336402.0999999</v>
      </c>
      <c r="K78">
        <f t="shared" si="46"/>
        <v>5.3975445945701464E-3</v>
      </c>
      <c r="L78">
        <f t="shared" si="47"/>
        <v>5.3975445945701468</v>
      </c>
      <c r="M78">
        <f t="shared" si="48"/>
        <v>3.689340913031431</v>
      </c>
      <c r="N78">
        <f t="shared" si="49"/>
        <v>25.4284</v>
      </c>
      <c r="O78">
        <f t="shared" si="50"/>
        <v>9.4927732029697456</v>
      </c>
      <c r="P78">
        <f t="shared" si="51"/>
        <v>0.94026330276989145</v>
      </c>
      <c r="Q78">
        <f t="shared" si="52"/>
        <v>2.5186940482970801</v>
      </c>
      <c r="R78">
        <f t="shared" si="53"/>
        <v>0.40487924730028829</v>
      </c>
      <c r="S78">
        <f t="shared" si="54"/>
        <v>2.9128226755748003</v>
      </c>
      <c r="T78">
        <f t="shared" si="55"/>
        <v>0.37601193421503054</v>
      </c>
      <c r="U78">
        <f t="shared" si="56"/>
        <v>0.23742933089807325</v>
      </c>
      <c r="V78">
        <f t="shared" si="57"/>
        <v>344.3471986437437</v>
      </c>
      <c r="W78">
        <f t="shared" si="58"/>
        <v>31.119981061083216</v>
      </c>
      <c r="X78">
        <f t="shared" si="59"/>
        <v>29.964600000000001</v>
      </c>
      <c r="Y78">
        <f t="shared" si="60"/>
        <v>4.2517944715678171</v>
      </c>
      <c r="Z78">
        <f t="shared" si="61"/>
        <v>65.747500501978237</v>
      </c>
      <c r="AA78">
        <f t="shared" si="62"/>
        <v>2.8811493003354904</v>
      </c>
      <c r="AB78">
        <f t="shared" si="63"/>
        <v>4.3821427101229515</v>
      </c>
      <c r="AC78">
        <f t="shared" si="64"/>
        <v>1.3706451712323267</v>
      </c>
      <c r="AD78">
        <f t="shared" si="65"/>
        <v>-238.03171662054345</v>
      </c>
      <c r="AE78">
        <f t="shared" si="66"/>
        <v>82.695208198670727</v>
      </c>
      <c r="AF78">
        <f t="shared" si="67"/>
        <v>6.3268175129333004</v>
      </c>
      <c r="AG78">
        <f t="shared" si="68"/>
        <v>195.33750773480426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51769.99013901694</v>
      </c>
      <c r="AM78" t="s">
        <v>416</v>
      </c>
      <c r="AN78">
        <v>10366.9</v>
      </c>
      <c r="AO78">
        <v>993.59653846153856</v>
      </c>
      <c r="AP78">
        <v>3431.87</v>
      </c>
      <c r="AQ78">
        <f t="shared" si="72"/>
        <v>0.71047955241266758</v>
      </c>
      <c r="AR78">
        <v>-3.9894345373445681</v>
      </c>
      <c r="AS78" t="s">
        <v>734</v>
      </c>
      <c r="AT78">
        <v>10403.5</v>
      </c>
      <c r="AU78">
        <v>824.72780769230781</v>
      </c>
      <c r="AV78">
        <v>888.35245493257571</v>
      </c>
      <c r="AW78">
        <f t="shared" si="73"/>
        <v>7.1620950543888506E-2</v>
      </c>
      <c r="AX78">
        <v>0.5</v>
      </c>
      <c r="AY78">
        <f t="shared" si="74"/>
        <v>1513.0841993218719</v>
      </c>
      <c r="AZ78">
        <f t="shared" si="75"/>
        <v>3.689340913031431</v>
      </c>
      <c r="BA78">
        <f t="shared" si="76"/>
        <v>54.184264304185461</v>
      </c>
      <c r="BB78">
        <f t="shared" si="77"/>
        <v>5.0749161572220787E-3</v>
      </c>
      <c r="BC78">
        <f t="shared" si="78"/>
        <v>2.863185136647675</v>
      </c>
      <c r="BD78">
        <f t="shared" si="79"/>
        <v>543.26044426150202</v>
      </c>
      <c r="BE78" t="s">
        <v>735</v>
      </c>
      <c r="BF78">
        <v>597.54</v>
      </c>
      <c r="BG78">
        <f t="shared" si="80"/>
        <v>597.54</v>
      </c>
      <c r="BH78">
        <f t="shared" si="81"/>
        <v>0.32736157064444416</v>
      </c>
      <c r="BI78">
        <f t="shared" si="82"/>
        <v>0.21878240137623797</v>
      </c>
      <c r="BJ78">
        <f t="shared" si="83"/>
        <v>0.89739640234814722</v>
      </c>
      <c r="BK78">
        <f t="shared" si="84"/>
        <v>-0.60454369601459446</v>
      </c>
      <c r="BL78">
        <f t="shared" si="85"/>
        <v>1.0431633634164059</v>
      </c>
      <c r="BM78">
        <f t="shared" si="86"/>
        <v>0.15851440305397205</v>
      </c>
      <c r="BN78">
        <f t="shared" si="87"/>
        <v>0.84148559694602798</v>
      </c>
      <c r="BO78">
        <v>7670</v>
      </c>
      <c r="BP78">
        <v>290.00000000000011</v>
      </c>
      <c r="BQ78">
        <v>871.45</v>
      </c>
      <c r="BR78">
        <v>205</v>
      </c>
      <c r="BS78">
        <v>10403.5</v>
      </c>
      <c r="BT78">
        <v>870.29</v>
      </c>
      <c r="BU78">
        <v>1.1599999999999999</v>
      </c>
      <c r="BV78">
        <v>300.00000000000011</v>
      </c>
      <c r="BW78">
        <v>38.299999999999997</v>
      </c>
      <c r="BX78">
        <v>888.35245493257571</v>
      </c>
      <c r="BY78">
        <v>0.80104422946875009</v>
      </c>
      <c r="BZ78">
        <v>-18.786778821714581</v>
      </c>
      <c r="CA78">
        <v>0.68242698492707676</v>
      </c>
      <c r="CB78">
        <v>0.96437050325627172</v>
      </c>
      <c r="CC78">
        <v>-1.130134215795328E-2</v>
      </c>
      <c r="CD78">
        <v>289.99999999999989</v>
      </c>
      <c r="CE78">
        <v>867.75</v>
      </c>
      <c r="CF78">
        <v>745</v>
      </c>
      <c r="CG78">
        <v>10378.1</v>
      </c>
      <c r="CH78">
        <v>870.25</v>
      </c>
      <c r="CI78">
        <v>-2.5</v>
      </c>
      <c r="CW78">
        <f t="shared" si="88"/>
        <v>1799.88</v>
      </c>
      <c r="CX78">
        <f t="shared" si="89"/>
        <v>1513.0841993218719</v>
      </c>
      <c r="CY78">
        <f t="shared" si="90"/>
        <v>0.84065837684838529</v>
      </c>
      <c r="CZ78">
        <f t="shared" si="91"/>
        <v>0.19131675369677073</v>
      </c>
      <c r="DA78">
        <v>6</v>
      </c>
      <c r="DB78">
        <v>0.5</v>
      </c>
      <c r="DC78" t="s">
        <v>419</v>
      </c>
      <c r="DD78">
        <v>2</v>
      </c>
      <c r="DE78">
        <v>1693336402.0999999</v>
      </c>
      <c r="DF78">
        <v>25.4284</v>
      </c>
      <c r="DG78">
        <v>30.020199999999999</v>
      </c>
      <c r="DH78">
        <v>29.087700000000002</v>
      </c>
      <c r="DI78">
        <v>22.799199999999999</v>
      </c>
      <c r="DJ78">
        <v>25.186800000000002</v>
      </c>
      <c r="DK78">
        <v>28.839600000000001</v>
      </c>
      <c r="DL78">
        <v>500.012</v>
      </c>
      <c r="DM78">
        <v>98.950599999999994</v>
      </c>
      <c r="DN78">
        <v>9.9833699999999997E-2</v>
      </c>
      <c r="DO78">
        <v>30.491199999999999</v>
      </c>
      <c r="DP78">
        <v>29.964600000000001</v>
      </c>
      <c r="DQ78">
        <v>999.9</v>
      </c>
      <c r="DR78">
        <v>0</v>
      </c>
      <c r="DS78">
        <v>0</v>
      </c>
      <c r="DT78">
        <v>10010</v>
      </c>
      <c r="DU78">
        <v>0</v>
      </c>
      <c r="DV78">
        <v>182.13300000000001</v>
      </c>
      <c r="DW78">
        <v>-4.5917899999999996</v>
      </c>
      <c r="DX78">
        <v>26.190200000000001</v>
      </c>
      <c r="DY78">
        <v>30.720600000000001</v>
      </c>
      <c r="DZ78">
        <v>6.2885200000000001</v>
      </c>
      <c r="EA78">
        <v>30.020199999999999</v>
      </c>
      <c r="EB78">
        <v>22.799199999999999</v>
      </c>
      <c r="EC78">
        <v>2.87825</v>
      </c>
      <c r="ED78">
        <v>2.2559999999999998</v>
      </c>
      <c r="EE78">
        <v>23.3399</v>
      </c>
      <c r="EF78">
        <v>19.365600000000001</v>
      </c>
      <c r="EG78">
        <v>1799.88</v>
      </c>
      <c r="EH78">
        <v>0.97799499999999995</v>
      </c>
      <c r="EI78">
        <v>2.2004900000000001E-2</v>
      </c>
      <c r="EJ78">
        <v>0</v>
      </c>
      <c r="EK78">
        <v>824.41899999999998</v>
      </c>
      <c r="EL78">
        <v>5.0010300000000001</v>
      </c>
      <c r="EM78">
        <v>15766.8</v>
      </c>
      <c r="EN78">
        <v>14700.1</v>
      </c>
      <c r="EO78">
        <v>50</v>
      </c>
      <c r="EP78">
        <v>51.375</v>
      </c>
      <c r="EQ78">
        <v>51.375</v>
      </c>
      <c r="ER78">
        <v>50.436999999999998</v>
      </c>
      <c r="ES78">
        <v>51.375</v>
      </c>
      <c r="ET78">
        <v>1755.38</v>
      </c>
      <c r="EU78">
        <v>39.5</v>
      </c>
      <c r="EV78">
        <v>0</v>
      </c>
      <c r="EW78">
        <v>102.7999999523163</v>
      </c>
      <c r="EX78">
        <v>0</v>
      </c>
      <c r="EY78">
        <v>824.72780769230781</v>
      </c>
      <c r="EZ78">
        <v>-2.1166837582768552</v>
      </c>
      <c r="FA78">
        <v>-39.282051350918977</v>
      </c>
      <c r="FB78">
        <v>15772.25384615385</v>
      </c>
      <c r="FC78">
        <v>15</v>
      </c>
      <c r="FD78">
        <v>1693336369.0999999</v>
      </c>
      <c r="FE78" t="s">
        <v>736</v>
      </c>
      <c r="FF78">
        <v>1693336355.5999999</v>
      </c>
      <c r="FG78">
        <v>1693336369.0999999</v>
      </c>
      <c r="FH78">
        <v>70</v>
      </c>
      <c r="FI78">
        <v>8.4000000000000005E-2</v>
      </c>
      <c r="FJ78">
        <v>0</v>
      </c>
      <c r="FK78">
        <v>0.251</v>
      </c>
      <c r="FL78">
        <v>9.8000000000000004E-2</v>
      </c>
      <c r="FM78">
        <v>30</v>
      </c>
      <c r="FN78">
        <v>23</v>
      </c>
      <c r="FO78">
        <v>0.93</v>
      </c>
      <c r="FP78">
        <v>0.03</v>
      </c>
      <c r="FQ78">
        <v>3.640979247600324</v>
      </c>
      <c r="FR78">
        <v>-6.8168549775400683E-2</v>
      </c>
      <c r="FS78">
        <v>4.2896331513790242E-2</v>
      </c>
      <c r="FT78">
        <v>1</v>
      </c>
      <c r="FU78">
        <v>0.402960896029044</v>
      </c>
      <c r="FV78">
        <v>4.4543699780118073E-2</v>
      </c>
      <c r="FW78">
        <v>4.3465139939450857E-3</v>
      </c>
      <c r="FX78">
        <v>1</v>
      </c>
      <c r="FY78">
        <v>2</v>
      </c>
      <c r="FZ78">
        <v>2</v>
      </c>
      <c r="GA78" t="s">
        <v>421</v>
      </c>
      <c r="GB78">
        <v>2.8969399999999998</v>
      </c>
      <c r="GC78">
        <v>2.81793</v>
      </c>
      <c r="GD78">
        <v>6.86347E-3</v>
      </c>
      <c r="GE78">
        <v>8.1974300000000003E-3</v>
      </c>
      <c r="GF78">
        <v>0.13502</v>
      </c>
      <c r="GG78">
        <v>0.114005</v>
      </c>
      <c r="GH78">
        <v>27478.2</v>
      </c>
      <c r="GI78">
        <v>27574</v>
      </c>
      <c r="GJ78">
        <v>24555</v>
      </c>
      <c r="GK78">
        <v>24838.400000000001</v>
      </c>
      <c r="GL78">
        <v>28225.4</v>
      </c>
      <c r="GM78">
        <v>28789.4</v>
      </c>
      <c r="GN78">
        <v>33212.300000000003</v>
      </c>
      <c r="GO78">
        <v>33184</v>
      </c>
      <c r="GP78">
        <v>1.9389000000000001</v>
      </c>
      <c r="GQ78">
        <v>1.7337</v>
      </c>
      <c r="GR78">
        <v>2.5332000000000002E-3</v>
      </c>
      <c r="GS78">
        <v>0</v>
      </c>
      <c r="GT78">
        <v>29.923400000000001</v>
      </c>
      <c r="GU78">
        <v>999.9</v>
      </c>
      <c r="GV78">
        <v>42.5</v>
      </c>
      <c r="GW78">
        <v>44.8</v>
      </c>
      <c r="GX78">
        <v>40.976599999999998</v>
      </c>
      <c r="GY78">
        <v>62.232100000000003</v>
      </c>
      <c r="GZ78">
        <v>26.318100000000001</v>
      </c>
      <c r="HA78">
        <v>1</v>
      </c>
      <c r="HB78">
        <v>0.60217500000000002</v>
      </c>
      <c r="HC78">
        <v>2.0572400000000002</v>
      </c>
      <c r="HD78">
        <v>20.2014</v>
      </c>
      <c r="HE78">
        <v>5.2310699999999999</v>
      </c>
      <c r="HF78">
        <v>11.9201</v>
      </c>
      <c r="HG78">
        <v>4.9589999999999996</v>
      </c>
      <c r="HH78">
        <v>3.2883</v>
      </c>
      <c r="HI78">
        <v>9999</v>
      </c>
      <c r="HJ78">
        <v>9999</v>
      </c>
      <c r="HK78">
        <v>9999</v>
      </c>
      <c r="HL78">
        <v>879.4</v>
      </c>
      <c r="HM78">
        <v>1.88069</v>
      </c>
      <c r="HN78">
        <v>1.8778999999999999</v>
      </c>
      <c r="HO78">
        <v>1.8858299999999999</v>
      </c>
      <c r="HP78">
        <v>1.88357</v>
      </c>
      <c r="HQ78">
        <v>1.8811</v>
      </c>
      <c r="HR78">
        <v>1.8801699999999999</v>
      </c>
      <c r="HS78">
        <v>1.8812599999999999</v>
      </c>
      <c r="HT78">
        <v>1.8808</v>
      </c>
      <c r="HU78">
        <v>5</v>
      </c>
      <c r="HV78">
        <v>0</v>
      </c>
      <c r="HW78">
        <v>0</v>
      </c>
      <c r="HX78">
        <v>0</v>
      </c>
      <c r="HY78" t="s">
        <v>422</v>
      </c>
      <c r="HZ78" t="s">
        <v>423</v>
      </c>
      <c r="IA78" t="s">
        <v>424</v>
      </c>
      <c r="IB78" t="s">
        <v>424</v>
      </c>
      <c r="IC78" t="s">
        <v>424</v>
      </c>
      <c r="ID78" t="s">
        <v>424</v>
      </c>
      <c r="IE78">
        <v>0</v>
      </c>
      <c r="IF78">
        <v>100</v>
      </c>
      <c r="IG78">
        <v>100</v>
      </c>
      <c r="IH78">
        <v>0.24199999999999999</v>
      </c>
      <c r="II78">
        <v>0.24809999999999999</v>
      </c>
      <c r="IJ78">
        <v>0.18725152214282101</v>
      </c>
      <c r="IK78">
        <v>2.2153513873161218E-3</v>
      </c>
      <c r="IL78">
        <v>-2.2967369670569612E-6</v>
      </c>
      <c r="IM78">
        <v>7.7859689150384122E-10</v>
      </c>
      <c r="IN78">
        <v>-0.15200625019236519</v>
      </c>
      <c r="IO78">
        <v>-4.1434251034592161E-3</v>
      </c>
      <c r="IP78">
        <v>8.3987709687394815E-4</v>
      </c>
      <c r="IQ78">
        <v>-7.4586254598011197E-6</v>
      </c>
      <c r="IR78">
        <v>2</v>
      </c>
      <c r="IS78">
        <v>1930</v>
      </c>
      <c r="IT78">
        <v>2</v>
      </c>
      <c r="IU78">
        <v>41</v>
      </c>
      <c r="IV78">
        <v>0.8</v>
      </c>
      <c r="IW78">
        <v>0.6</v>
      </c>
      <c r="IX78">
        <v>0.21118200000000001</v>
      </c>
      <c r="IY78">
        <v>2.6098599999999998</v>
      </c>
      <c r="IZ78">
        <v>1.24512</v>
      </c>
      <c r="JA78">
        <v>2.2522000000000002</v>
      </c>
      <c r="JB78">
        <v>1.4501999999999999</v>
      </c>
      <c r="JC78">
        <v>2.4255399999999998</v>
      </c>
      <c r="JD78">
        <v>44.084699999999998</v>
      </c>
      <c r="JE78">
        <v>15.997</v>
      </c>
      <c r="JF78">
        <v>18</v>
      </c>
      <c r="JG78">
        <v>495.94400000000002</v>
      </c>
      <c r="JH78">
        <v>407.13799999999998</v>
      </c>
      <c r="JI78">
        <v>25.554400000000001</v>
      </c>
      <c r="JJ78">
        <v>34.678899999999999</v>
      </c>
      <c r="JK78">
        <v>29.9969</v>
      </c>
      <c r="JL78">
        <v>34.591200000000001</v>
      </c>
      <c r="JM78">
        <v>34.553899999999999</v>
      </c>
      <c r="JN78">
        <v>4.3032899999999996</v>
      </c>
      <c r="JO78">
        <v>48.258200000000002</v>
      </c>
      <c r="JP78">
        <v>0</v>
      </c>
      <c r="JQ78">
        <v>25.694199999999999</v>
      </c>
      <c r="JR78">
        <v>30</v>
      </c>
      <c r="JS78">
        <v>22.708100000000002</v>
      </c>
      <c r="JT78">
        <v>99.118499999999997</v>
      </c>
      <c r="JU78">
        <v>99.027500000000003</v>
      </c>
    </row>
    <row r="79" spans="1:281" x14ac:dyDescent="0.25">
      <c r="A79">
        <v>63</v>
      </c>
      <c r="B79">
        <v>1693336502.5999999</v>
      </c>
      <c r="C79">
        <v>13789.5</v>
      </c>
      <c r="D79" t="s">
        <v>737</v>
      </c>
      <c r="E79" t="s">
        <v>738</v>
      </c>
      <c r="F79" t="s">
        <v>413</v>
      </c>
      <c r="G79" t="s">
        <v>564</v>
      </c>
      <c r="H79" t="s">
        <v>708</v>
      </c>
      <c r="I79" t="s">
        <v>415</v>
      </c>
      <c r="J79">
        <v>1693336502.5999999</v>
      </c>
      <c r="K79">
        <f t="shared" si="46"/>
        <v>5.6095932517376511E-3</v>
      </c>
      <c r="L79">
        <f t="shared" si="47"/>
        <v>5.6095932517376514</v>
      </c>
      <c r="M79">
        <f t="shared" si="48"/>
        <v>1.0830285403756035</v>
      </c>
      <c r="N79">
        <f t="shared" si="49"/>
        <v>8.54298</v>
      </c>
      <c r="O79">
        <f t="shared" si="50"/>
        <v>3.9971621820671981</v>
      </c>
      <c r="P79">
        <f t="shared" si="51"/>
        <v>0.39589603837458803</v>
      </c>
      <c r="Q79">
        <f t="shared" si="52"/>
        <v>0.84613327752545997</v>
      </c>
      <c r="R79">
        <f t="shared" si="53"/>
        <v>0.42056853374002867</v>
      </c>
      <c r="S79">
        <f t="shared" si="54"/>
        <v>2.901764314428144</v>
      </c>
      <c r="T79">
        <f t="shared" si="55"/>
        <v>0.38940362229644276</v>
      </c>
      <c r="U79">
        <f t="shared" si="56"/>
        <v>0.24598458047407623</v>
      </c>
      <c r="V79">
        <f t="shared" si="57"/>
        <v>344.33141180888094</v>
      </c>
      <c r="W79">
        <f t="shared" si="58"/>
        <v>31.110292189027309</v>
      </c>
      <c r="X79">
        <f t="shared" si="59"/>
        <v>29.991</v>
      </c>
      <c r="Y79">
        <f t="shared" si="60"/>
        <v>4.2582478177999326</v>
      </c>
      <c r="Z79">
        <f t="shared" si="61"/>
        <v>65.622958264363533</v>
      </c>
      <c r="AA79">
        <f t="shared" si="62"/>
        <v>2.8828916750667002</v>
      </c>
      <c r="AB79">
        <f t="shared" si="63"/>
        <v>4.3931144698672497</v>
      </c>
      <c r="AC79">
        <f t="shared" si="64"/>
        <v>1.3753561427332324</v>
      </c>
      <c r="AD79">
        <f t="shared" si="65"/>
        <v>-247.38306240163041</v>
      </c>
      <c r="AE79">
        <f t="shared" si="66"/>
        <v>85.087671247609023</v>
      </c>
      <c r="AF79">
        <f t="shared" si="67"/>
        <v>6.5369343747694284</v>
      </c>
      <c r="AG79">
        <f t="shared" si="68"/>
        <v>188.57295502962899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51448.916881604535</v>
      </c>
      <c r="AM79" t="s">
        <v>416</v>
      </c>
      <c r="AN79">
        <v>10366.9</v>
      </c>
      <c r="AO79">
        <v>993.59653846153856</v>
      </c>
      <c r="AP79">
        <v>3431.87</v>
      </c>
      <c r="AQ79">
        <f t="shared" si="72"/>
        <v>0.71047955241266758</v>
      </c>
      <c r="AR79">
        <v>-3.9894345373445681</v>
      </c>
      <c r="AS79" t="s">
        <v>739</v>
      </c>
      <c r="AT79">
        <v>10416</v>
      </c>
      <c r="AU79">
        <v>825.8207692307692</v>
      </c>
      <c r="AV79">
        <v>875.68653669532227</v>
      </c>
      <c r="AW79">
        <f t="shared" si="73"/>
        <v>5.6944768904107157E-2</v>
      </c>
      <c r="AX79">
        <v>0.5</v>
      </c>
      <c r="AY79">
        <f t="shared" si="74"/>
        <v>1513.0167059044404</v>
      </c>
      <c r="AZ79">
        <f t="shared" si="75"/>
        <v>1.0830285403756035</v>
      </c>
      <c r="BA79">
        <f t="shared" si="76"/>
        <v>43.07919333289091</v>
      </c>
      <c r="BB79">
        <f t="shared" si="77"/>
        <v>3.3525492864191412E-3</v>
      </c>
      <c r="BC79">
        <f t="shared" si="78"/>
        <v>2.9190621942770036</v>
      </c>
      <c r="BD79">
        <f t="shared" si="79"/>
        <v>538.49729369427564</v>
      </c>
      <c r="BE79" t="s">
        <v>740</v>
      </c>
      <c r="BF79">
        <v>603.15</v>
      </c>
      <c r="BG79">
        <f t="shared" si="80"/>
        <v>603.15</v>
      </c>
      <c r="BH79">
        <f t="shared" si="81"/>
        <v>0.31122613546603606</v>
      </c>
      <c r="BI79">
        <f t="shared" si="82"/>
        <v>0.18296910964381879</v>
      </c>
      <c r="BJ79">
        <f t="shared" si="83"/>
        <v>0.90365375975871687</v>
      </c>
      <c r="BK79">
        <f t="shared" si="84"/>
        <v>-0.4229138047459573</v>
      </c>
      <c r="BL79">
        <f t="shared" si="85"/>
        <v>1.0483579892190678</v>
      </c>
      <c r="BM79">
        <f t="shared" si="86"/>
        <v>0.1336341039042464</v>
      </c>
      <c r="BN79">
        <f t="shared" si="87"/>
        <v>0.86636589609575365</v>
      </c>
      <c r="BO79">
        <v>7672</v>
      </c>
      <c r="BP79">
        <v>290.00000000000011</v>
      </c>
      <c r="BQ79">
        <v>862.96</v>
      </c>
      <c r="BR79">
        <v>125</v>
      </c>
      <c r="BS79">
        <v>10416</v>
      </c>
      <c r="BT79">
        <v>860.77</v>
      </c>
      <c r="BU79">
        <v>2.19</v>
      </c>
      <c r="BV79">
        <v>300.00000000000011</v>
      </c>
      <c r="BW79">
        <v>38.299999999999997</v>
      </c>
      <c r="BX79">
        <v>875.68653669532227</v>
      </c>
      <c r="BY79">
        <v>0.93104950764553085</v>
      </c>
      <c r="BZ79">
        <v>-15.532098902055941</v>
      </c>
      <c r="CA79">
        <v>0.79313119984029978</v>
      </c>
      <c r="CB79">
        <v>0.93195696689100227</v>
      </c>
      <c r="CC79">
        <v>-1.1300692324805361E-2</v>
      </c>
      <c r="CD79">
        <v>289.99999999999989</v>
      </c>
      <c r="CE79">
        <v>858.34</v>
      </c>
      <c r="CF79">
        <v>705</v>
      </c>
      <c r="CG79">
        <v>10380.200000000001</v>
      </c>
      <c r="CH79">
        <v>860.72</v>
      </c>
      <c r="CI79">
        <v>-2.38</v>
      </c>
      <c r="CW79">
        <f t="shared" si="88"/>
        <v>1799.8</v>
      </c>
      <c r="CX79">
        <f t="shared" si="89"/>
        <v>1513.0167059044404</v>
      </c>
      <c r="CY79">
        <f t="shared" si="90"/>
        <v>0.8406582430850319</v>
      </c>
      <c r="CZ79">
        <f t="shared" si="91"/>
        <v>0.19131648617006386</v>
      </c>
      <c r="DA79">
        <v>6</v>
      </c>
      <c r="DB79">
        <v>0.5</v>
      </c>
      <c r="DC79" t="s">
        <v>419</v>
      </c>
      <c r="DD79">
        <v>2</v>
      </c>
      <c r="DE79">
        <v>1693336502.5999999</v>
      </c>
      <c r="DF79">
        <v>8.54298</v>
      </c>
      <c r="DG79">
        <v>9.9002300000000005</v>
      </c>
      <c r="DH79">
        <v>29.107099999999999</v>
      </c>
      <c r="DI79">
        <v>22.571000000000002</v>
      </c>
      <c r="DJ79">
        <v>8.2904</v>
      </c>
      <c r="DK79">
        <v>28.857600000000001</v>
      </c>
      <c r="DL79">
        <v>499.96</v>
      </c>
      <c r="DM79">
        <v>98.944000000000003</v>
      </c>
      <c r="DN79">
        <v>0.10027700000000001</v>
      </c>
      <c r="DO79">
        <v>30.5349</v>
      </c>
      <c r="DP79">
        <v>29.991</v>
      </c>
      <c r="DQ79">
        <v>999.9</v>
      </c>
      <c r="DR79">
        <v>0</v>
      </c>
      <c r="DS79">
        <v>0</v>
      </c>
      <c r="DT79">
        <v>9947.5</v>
      </c>
      <c r="DU79">
        <v>0</v>
      </c>
      <c r="DV79">
        <v>180.04300000000001</v>
      </c>
      <c r="DW79">
        <v>-1.3572500000000001</v>
      </c>
      <c r="DX79">
        <v>8.7990999999999993</v>
      </c>
      <c r="DY79">
        <v>10.1288</v>
      </c>
      <c r="DZ79">
        <v>6.5361799999999999</v>
      </c>
      <c r="EA79">
        <v>9.9002300000000005</v>
      </c>
      <c r="EB79">
        <v>22.571000000000002</v>
      </c>
      <c r="EC79">
        <v>2.8799800000000002</v>
      </c>
      <c r="ED79">
        <v>2.23326</v>
      </c>
      <c r="EE79">
        <v>23.349799999999998</v>
      </c>
      <c r="EF79">
        <v>19.2029</v>
      </c>
      <c r="EG79">
        <v>1799.8</v>
      </c>
      <c r="EH79">
        <v>0.97799499999999995</v>
      </c>
      <c r="EI79">
        <v>2.2004900000000001E-2</v>
      </c>
      <c r="EJ79">
        <v>0</v>
      </c>
      <c r="EK79">
        <v>825.53700000000003</v>
      </c>
      <c r="EL79">
        <v>5.0010300000000001</v>
      </c>
      <c r="EM79">
        <v>15788.7</v>
      </c>
      <c r="EN79">
        <v>14699.4</v>
      </c>
      <c r="EO79">
        <v>50.125</v>
      </c>
      <c r="EP79">
        <v>51.5</v>
      </c>
      <c r="EQ79">
        <v>51.561999999999998</v>
      </c>
      <c r="ER79">
        <v>50.5</v>
      </c>
      <c r="ES79">
        <v>51.436999999999998</v>
      </c>
      <c r="ET79">
        <v>1755.3</v>
      </c>
      <c r="EU79">
        <v>39.49</v>
      </c>
      <c r="EV79">
        <v>0</v>
      </c>
      <c r="EW79">
        <v>98.400000095367432</v>
      </c>
      <c r="EX79">
        <v>0</v>
      </c>
      <c r="EY79">
        <v>825.8207692307692</v>
      </c>
      <c r="EZ79">
        <v>-2.349128204772553</v>
      </c>
      <c r="FA79">
        <v>-48.574358941997787</v>
      </c>
      <c r="FB79">
        <v>15797.223076923079</v>
      </c>
      <c r="FC79">
        <v>15</v>
      </c>
      <c r="FD79">
        <v>1693336474.5999999</v>
      </c>
      <c r="FE79" t="s">
        <v>741</v>
      </c>
      <c r="FF79">
        <v>1693336456.5999999</v>
      </c>
      <c r="FG79">
        <v>1693336474.5999999</v>
      </c>
      <c r="FH79">
        <v>71</v>
      </c>
      <c r="FI79">
        <v>4.7E-2</v>
      </c>
      <c r="FJ79">
        <v>1E-3</v>
      </c>
      <c r="FK79">
        <v>0.25600000000000001</v>
      </c>
      <c r="FL79">
        <v>9.1999999999999998E-2</v>
      </c>
      <c r="FM79">
        <v>10</v>
      </c>
      <c r="FN79">
        <v>22</v>
      </c>
      <c r="FO79">
        <v>1.1000000000000001</v>
      </c>
      <c r="FP79">
        <v>0.04</v>
      </c>
      <c r="FQ79">
        <v>1.1484424472018879</v>
      </c>
      <c r="FR79">
        <v>6.0125884760820481E-2</v>
      </c>
      <c r="FS79">
        <v>5.9118099642700213E-2</v>
      </c>
      <c r="FT79">
        <v>1</v>
      </c>
      <c r="FU79">
        <v>0.41729003432902839</v>
      </c>
      <c r="FV79">
        <v>3.5546447640339311E-2</v>
      </c>
      <c r="FW79">
        <v>4.9482091318340648E-3</v>
      </c>
      <c r="FX79">
        <v>1</v>
      </c>
      <c r="FY79">
        <v>2</v>
      </c>
      <c r="FZ79">
        <v>2</v>
      </c>
      <c r="GA79" t="s">
        <v>421</v>
      </c>
      <c r="GB79">
        <v>2.8967800000000001</v>
      </c>
      <c r="GC79">
        <v>2.8178200000000002</v>
      </c>
      <c r="GD79">
        <v>2.2621E-3</v>
      </c>
      <c r="GE79">
        <v>2.7098399999999998E-3</v>
      </c>
      <c r="GF79">
        <v>0.13506599999999999</v>
      </c>
      <c r="GG79">
        <v>0.113208</v>
      </c>
      <c r="GH79">
        <v>27603.8</v>
      </c>
      <c r="GI79">
        <v>27723.8</v>
      </c>
      <c r="GJ79">
        <v>24553.8</v>
      </c>
      <c r="GK79">
        <v>24836.400000000001</v>
      </c>
      <c r="GL79">
        <v>28222.5</v>
      </c>
      <c r="GM79">
        <v>28813.200000000001</v>
      </c>
      <c r="GN79">
        <v>33210.5</v>
      </c>
      <c r="GO79">
        <v>33181.4</v>
      </c>
      <c r="GP79">
        <v>1.9387000000000001</v>
      </c>
      <c r="GQ79">
        <v>1.7347999999999999</v>
      </c>
      <c r="GR79">
        <v>9.6857499999999995E-4</v>
      </c>
      <c r="GS79">
        <v>0</v>
      </c>
      <c r="GT79">
        <v>29.975200000000001</v>
      </c>
      <c r="GU79">
        <v>999.9</v>
      </c>
      <c r="GV79">
        <v>42.5</v>
      </c>
      <c r="GW79">
        <v>44.6</v>
      </c>
      <c r="GX79">
        <v>40.554699999999997</v>
      </c>
      <c r="GY79">
        <v>62.372100000000003</v>
      </c>
      <c r="GZ79">
        <v>26.5425</v>
      </c>
      <c r="HA79">
        <v>1</v>
      </c>
      <c r="HB79">
        <v>0.60875999999999997</v>
      </c>
      <c r="HC79">
        <v>3.1861000000000002</v>
      </c>
      <c r="HD79">
        <v>20.184200000000001</v>
      </c>
      <c r="HE79">
        <v>5.2328599999999996</v>
      </c>
      <c r="HF79">
        <v>11.9201</v>
      </c>
      <c r="HG79">
        <v>4.9598000000000004</v>
      </c>
      <c r="HH79">
        <v>3.2888999999999999</v>
      </c>
      <c r="HI79">
        <v>9999</v>
      </c>
      <c r="HJ79">
        <v>9999</v>
      </c>
      <c r="HK79">
        <v>9999</v>
      </c>
      <c r="HL79">
        <v>879.4</v>
      </c>
      <c r="HM79">
        <v>1.8806700000000001</v>
      </c>
      <c r="HN79">
        <v>1.8778999999999999</v>
      </c>
      <c r="HO79">
        <v>1.8858299999999999</v>
      </c>
      <c r="HP79">
        <v>1.88354</v>
      </c>
      <c r="HQ79">
        <v>1.8811</v>
      </c>
      <c r="HR79">
        <v>1.8801300000000001</v>
      </c>
      <c r="HS79">
        <v>1.8812599999999999</v>
      </c>
      <c r="HT79">
        <v>1.8808</v>
      </c>
      <c r="HU79">
        <v>5</v>
      </c>
      <c r="HV79">
        <v>0</v>
      </c>
      <c r="HW79">
        <v>0</v>
      </c>
      <c r="HX79">
        <v>0</v>
      </c>
      <c r="HY79" t="s">
        <v>422</v>
      </c>
      <c r="HZ79" t="s">
        <v>423</v>
      </c>
      <c r="IA79" t="s">
        <v>424</v>
      </c>
      <c r="IB79" t="s">
        <v>424</v>
      </c>
      <c r="IC79" t="s">
        <v>424</v>
      </c>
      <c r="ID79" t="s">
        <v>424</v>
      </c>
      <c r="IE79">
        <v>0</v>
      </c>
      <c r="IF79">
        <v>100</v>
      </c>
      <c r="IG79">
        <v>100</v>
      </c>
      <c r="IH79">
        <v>0.253</v>
      </c>
      <c r="II79">
        <v>0.2495</v>
      </c>
      <c r="IJ79">
        <v>0.23437117183020109</v>
      </c>
      <c r="IK79">
        <v>2.2153513873161218E-3</v>
      </c>
      <c r="IL79">
        <v>-2.2967369670569612E-6</v>
      </c>
      <c r="IM79">
        <v>7.7859689150384122E-10</v>
      </c>
      <c r="IN79">
        <v>-0.15101979567889781</v>
      </c>
      <c r="IO79">
        <v>-4.1434251034592161E-3</v>
      </c>
      <c r="IP79">
        <v>8.3987709687394815E-4</v>
      </c>
      <c r="IQ79">
        <v>-7.4586254598011197E-6</v>
      </c>
      <c r="IR79">
        <v>2</v>
      </c>
      <c r="IS79">
        <v>1930</v>
      </c>
      <c r="IT79">
        <v>2</v>
      </c>
      <c r="IU79">
        <v>41</v>
      </c>
      <c r="IV79">
        <v>0.8</v>
      </c>
      <c r="IW79">
        <v>0.5</v>
      </c>
      <c r="IX79">
        <v>0.169678</v>
      </c>
      <c r="IY79">
        <v>2.6293899999999999</v>
      </c>
      <c r="IZ79">
        <v>1.24512</v>
      </c>
      <c r="JA79">
        <v>2.2522000000000002</v>
      </c>
      <c r="JB79">
        <v>1.4501999999999999</v>
      </c>
      <c r="JC79">
        <v>2.3938000000000001</v>
      </c>
      <c r="JD79">
        <v>43.919199999999996</v>
      </c>
      <c r="JE79">
        <v>15.970800000000001</v>
      </c>
      <c r="JF79">
        <v>18</v>
      </c>
      <c r="JG79">
        <v>495.88400000000001</v>
      </c>
      <c r="JH79">
        <v>407.81099999999998</v>
      </c>
      <c r="JI79">
        <v>25.605599999999999</v>
      </c>
      <c r="JJ79">
        <v>34.707299999999996</v>
      </c>
      <c r="JK79">
        <v>30.0002</v>
      </c>
      <c r="JL79">
        <v>34.600700000000003</v>
      </c>
      <c r="JM79">
        <v>34.550699999999999</v>
      </c>
      <c r="JN79">
        <v>3.4628899999999998</v>
      </c>
      <c r="JO79">
        <v>48.176499999999997</v>
      </c>
      <c r="JP79">
        <v>0</v>
      </c>
      <c r="JQ79">
        <v>25.608799999999999</v>
      </c>
      <c r="JR79">
        <v>10</v>
      </c>
      <c r="JS79">
        <v>22.4541</v>
      </c>
      <c r="JT79">
        <v>99.113399999999999</v>
      </c>
      <c r="JU79">
        <v>99.019800000000004</v>
      </c>
    </row>
    <row r="80" spans="1:281" x14ac:dyDescent="0.25">
      <c r="A80">
        <v>64</v>
      </c>
      <c r="B80">
        <v>1693336689.5999999</v>
      </c>
      <c r="C80">
        <v>13976.5</v>
      </c>
      <c r="D80" t="s">
        <v>742</v>
      </c>
      <c r="E80" t="s">
        <v>743</v>
      </c>
      <c r="F80" t="s">
        <v>413</v>
      </c>
      <c r="G80" t="s">
        <v>564</v>
      </c>
      <c r="H80" t="s">
        <v>708</v>
      </c>
      <c r="I80" t="s">
        <v>415</v>
      </c>
      <c r="J80">
        <v>1693336689.5999999</v>
      </c>
      <c r="K80">
        <f t="shared" si="46"/>
        <v>5.5792525049237606E-3</v>
      </c>
      <c r="L80">
        <f t="shared" si="47"/>
        <v>5.5792525049237609</v>
      </c>
      <c r="M80">
        <f t="shared" si="48"/>
        <v>38.703241678575395</v>
      </c>
      <c r="N80">
        <f t="shared" si="49"/>
        <v>351.27800000000002</v>
      </c>
      <c r="O80">
        <f t="shared" si="50"/>
        <v>184.38357387280649</v>
      </c>
      <c r="P80">
        <f t="shared" si="51"/>
        <v>18.262599498253902</v>
      </c>
      <c r="Q80">
        <f t="shared" si="52"/>
        <v>34.792955206373605</v>
      </c>
      <c r="R80">
        <f t="shared" si="53"/>
        <v>0.41110758524639679</v>
      </c>
      <c r="S80">
        <f t="shared" si="54"/>
        <v>2.9131957727978071</v>
      </c>
      <c r="T80">
        <f t="shared" si="55"/>
        <v>0.38138375382994</v>
      </c>
      <c r="U80">
        <f t="shared" si="56"/>
        <v>0.24085608009970744</v>
      </c>
      <c r="V80">
        <f t="shared" si="57"/>
        <v>344.362398643804</v>
      </c>
      <c r="W80">
        <f t="shared" si="58"/>
        <v>31.168069558687446</v>
      </c>
      <c r="X80">
        <f t="shared" si="59"/>
        <v>29.9924</v>
      </c>
      <c r="Y80">
        <f t="shared" si="60"/>
        <v>4.2585902789191197</v>
      </c>
      <c r="Z80">
        <f t="shared" si="61"/>
        <v>64.948275772105973</v>
      </c>
      <c r="AA80">
        <f t="shared" si="62"/>
        <v>2.86171903049912</v>
      </c>
      <c r="AB80">
        <f t="shared" si="63"/>
        <v>4.4061508892714487</v>
      </c>
      <c r="AC80">
        <f t="shared" si="64"/>
        <v>1.3968712484199997</v>
      </c>
      <c r="AD80">
        <f t="shared" si="65"/>
        <v>-246.04503546713784</v>
      </c>
      <c r="AE80">
        <f t="shared" si="66"/>
        <v>93.338505901977783</v>
      </c>
      <c r="AF80">
        <f t="shared" si="67"/>
        <v>7.1445542538397291</v>
      </c>
      <c r="AG80">
        <f t="shared" si="68"/>
        <v>198.80042333248366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51764.215022952609</v>
      </c>
      <c r="AM80" t="s">
        <v>416</v>
      </c>
      <c r="AN80">
        <v>10366.9</v>
      </c>
      <c r="AO80">
        <v>993.59653846153856</v>
      </c>
      <c r="AP80">
        <v>3431.87</v>
      </c>
      <c r="AQ80">
        <f t="shared" si="72"/>
        <v>0.71047955241266758</v>
      </c>
      <c r="AR80">
        <v>-3.9894345373445681</v>
      </c>
      <c r="AS80" t="s">
        <v>744</v>
      </c>
      <c r="AT80">
        <v>10406.4</v>
      </c>
      <c r="AU80">
        <v>822.06807692307677</v>
      </c>
      <c r="AV80">
        <v>1120.1520780914859</v>
      </c>
      <c r="AW80">
        <f t="shared" si="73"/>
        <v>0.26611029609147752</v>
      </c>
      <c r="AX80">
        <v>0.5</v>
      </c>
      <c r="AY80">
        <f t="shared" si="74"/>
        <v>1513.1513993219019</v>
      </c>
      <c r="AZ80">
        <f t="shared" si="75"/>
        <v>38.703241678575395</v>
      </c>
      <c r="BA80">
        <f t="shared" si="76"/>
        <v>201.33258345239241</v>
      </c>
      <c r="BB80">
        <f t="shared" si="77"/>
        <v>2.8214411482586674E-2</v>
      </c>
      <c r="BC80">
        <f t="shared" si="78"/>
        <v>2.06375363410227</v>
      </c>
      <c r="BD80">
        <f t="shared" si="79"/>
        <v>621.97010181280052</v>
      </c>
      <c r="BE80" t="s">
        <v>745</v>
      </c>
      <c r="BF80">
        <v>613.20000000000005</v>
      </c>
      <c r="BG80">
        <f t="shared" si="80"/>
        <v>613.20000000000005</v>
      </c>
      <c r="BH80">
        <f t="shared" si="81"/>
        <v>0.45257433165256489</v>
      </c>
      <c r="BI80">
        <f t="shared" si="82"/>
        <v>0.58799246329278509</v>
      </c>
      <c r="BJ80">
        <f t="shared" si="83"/>
        <v>0.82014493428053437</v>
      </c>
      <c r="BK80">
        <f t="shared" si="84"/>
        <v>2.3553611484729688</v>
      </c>
      <c r="BL80">
        <f t="shared" si="85"/>
        <v>0.94809624858480968</v>
      </c>
      <c r="BM80">
        <f t="shared" si="86"/>
        <v>0.43859746973835378</v>
      </c>
      <c r="BN80">
        <f t="shared" si="87"/>
        <v>0.56140253026164622</v>
      </c>
      <c r="BO80">
        <v>7674</v>
      </c>
      <c r="BP80">
        <v>290.00000000000011</v>
      </c>
      <c r="BQ80">
        <v>1033.1099999999999</v>
      </c>
      <c r="BR80">
        <v>195</v>
      </c>
      <c r="BS80">
        <v>10406.4</v>
      </c>
      <c r="BT80">
        <v>1033.07</v>
      </c>
      <c r="BU80">
        <v>0.04</v>
      </c>
      <c r="BV80">
        <v>300.00000000000011</v>
      </c>
      <c r="BW80">
        <v>38.299999999999997</v>
      </c>
      <c r="BX80">
        <v>1120.1520780914859</v>
      </c>
      <c r="BY80">
        <v>1.351725781549979</v>
      </c>
      <c r="BZ80">
        <v>-90.622820624554038</v>
      </c>
      <c r="CA80">
        <v>1.151708957475835</v>
      </c>
      <c r="CB80">
        <v>0.9954979662457395</v>
      </c>
      <c r="CC80">
        <v>-1.130347252502782E-2</v>
      </c>
      <c r="CD80">
        <v>289.99999999999989</v>
      </c>
      <c r="CE80">
        <v>1019.08</v>
      </c>
      <c r="CF80">
        <v>635</v>
      </c>
      <c r="CG80">
        <v>10388.1</v>
      </c>
      <c r="CH80">
        <v>1032.9100000000001</v>
      </c>
      <c r="CI80">
        <v>-13.83</v>
      </c>
      <c r="CW80">
        <f t="shared" si="88"/>
        <v>1799.96</v>
      </c>
      <c r="CX80">
        <f t="shared" si="89"/>
        <v>1513.1513993219019</v>
      </c>
      <c r="CY80">
        <f t="shared" si="90"/>
        <v>0.84065834758655855</v>
      </c>
      <c r="CZ80">
        <f t="shared" si="91"/>
        <v>0.19131669517311717</v>
      </c>
      <c r="DA80">
        <v>6</v>
      </c>
      <c r="DB80">
        <v>0.5</v>
      </c>
      <c r="DC80" t="s">
        <v>419</v>
      </c>
      <c r="DD80">
        <v>2</v>
      </c>
      <c r="DE80">
        <v>1693336689.5999999</v>
      </c>
      <c r="DF80">
        <v>351.27800000000002</v>
      </c>
      <c r="DG80">
        <v>400.07100000000003</v>
      </c>
      <c r="DH80">
        <v>28.892600000000002</v>
      </c>
      <c r="DI80">
        <v>22.391300000000001</v>
      </c>
      <c r="DJ80">
        <v>350.65100000000001</v>
      </c>
      <c r="DK80">
        <v>28.649899999999999</v>
      </c>
      <c r="DL80">
        <v>500.02800000000002</v>
      </c>
      <c r="DM80">
        <v>98.947000000000003</v>
      </c>
      <c r="DN80">
        <v>9.97812E-2</v>
      </c>
      <c r="DO80">
        <v>30.5867</v>
      </c>
      <c r="DP80">
        <v>29.9924</v>
      </c>
      <c r="DQ80">
        <v>999.9</v>
      </c>
      <c r="DR80">
        <v>0</v>
      </c>
      <c r="DS80">
        <v>0</v>
      </c>
      <c r="DT80">
        <v>10012.5</v>
      </c>
      <c r="DU80">
        <v>0</v>
      </c>
      <c r="DV80">
        <v>177.27199999999999</v>
      </c>
      <c r="DW80">
        <v>-48.792999999999999</v>
      </c>
      <c r="DX80">
        <v>361.72899999999998</v>
      </c>
      <c r="DY80">
        <v>409.23399999999998</v>
      </c>
      <c r="DZ80">
        <v>6.5012699999999999</v>
      </c>
      <c r="EA80">
        <v>400.07100000000003</v>
      </c>
      <c r="EB80">
        <v>22.391300000000001</v>
      </c>
      <c r="EC80">
        <v>2.8588300000000002</v>
      </c>
      <c r="ED80">
        <v>2.2155499999999999</v>
      </c>
      <c r="EE80">
        <v>23.227799999999998</v>
      </c>
      <c r="EF80">
        <v>19.075199999999999</v>
      </c>
      <c r="EG80">
        <v>1799.96</v>
      </c>
      <c r="EH80">
        <v>0.97799499999999995</v>
      </c>
      <c r="EI80">
        <v>2.2004900000000001E-2</v>
      </c>
      <c r="EJ80">
        <v>0</v>
      </c>
      <c r="EK80">
        <v>820.40599999999995</v>
      </c>
      <c r="EL80">
        <v>5.0010300000000001</v>
      </c>
      <c r="EM80">
        <v>15692.4</v>
      </c>
      <c r="EN80">
        <v>14700.7</v>
      </c>
      <c r="EO80">
        <v>50.186999999999998</v>
      </c>
      <c r="EP80">
        <v>51.375</v>
      </c>
      <c r="EQ80">
        <v>51.686999999999998</v>
      </c>
      <c r="ER80">
        <v>50.436999999999998</v>
      </c>
      <c r="ES80">
        <v>51.561999999999998</v>
      </c>
      <c r="ET80">
        <v>1755.46</v>
      </c>
      <c r="EU80">
        <v>39.5</v>
      </c>
      <c r="EV80">
        <v>0</v>
      </c>
      <c r="EW80">
        <v>185</v>
      </c>
      <c r="EX80">
        <v>0</v>
      </c>
      <c r="EY80">
        <v>822.06807692307677</v>
      </c>
      <c r="EZ80">
        <v>-14.619897416648509</v>
      </c>
      <c r="FA80">
        <v>-260.15384576757748</v>
      </c>
      <c r="FB80">
        <v>15720.688461538461</v>
      </c>
      <c r="FC80">
        <v>15</v>
      </c>
      <c r="FD80">
        <v>1693336594.0999999</v>
      </c>
      <c r="FE80" t="s">
        <v>746</v>
      </c>
      <c r="FF80">
        <v>1693336592.0999999</v>
      </c>
      <c r="FG80">
        <v>1693336594.0999999</v>
      </c>
      <c r="FH80">
        <v>72</v>
      </c>
      <c r="FI80">
        <v>-0.13600000000000001</v>
      </c>
      <c r="FJ80">
        <v>-2E-3</v>
      </c>
      <c r="FK80">
        <v>0.66700000000000004</v>
      </c>
      <c r="FL80">
        <v>8.6999999999999994E-2</v>
      </c>
      <c r="FM80">
        <v>400</v>
      </c>
      <c r="FN80">
        <v>22</v>
      </c>
      <c r="FO80">
        <v>0.26</v>
      </c>
      <c r="FP80">
        <v>0.04</v>
      </c>
      <c r="FQ80">
        <v>38.609298007509679</v>
      </c>
      <c r="FR80">
        <v>0.64250391284583386</v>
      </c>
      <c r="FS80">
        <v>0.1144647868279897</v>
      </c>
      <c r="FT80">
        <v>1</v>
      </c>
      <c r="FU80">
        <v>0.41201411007730082</v>
      </c>
      <c r="FV80">
        <v>-3.2509564002001202E-2</v>
      </c>
      <c r="FW80">
        <v>3.005920025452405E-3</v>
      </c>
      <c r="FX80">
        <v>1</v>
      </c>
      <c r="FY80">
        <v>2</v>
      </c>
      <c r="FZ80">
        <v>2</v>
      </c>
      <c r="GA80" t="s">
        <v>421</v>
      </c>
      <c r="GB80">
        <v>2.8969800000000001</v>
      </c>
      <c r="GC80">
        <v>2.8178999999999998</v>
      </c>
      <c r="GD80">
        <v>8.1187800000000004E-2</v>
      </c>
      <c r="GE80">
        <v>8.9964299999999997E-2</v>
      </c>
      <c r="GF80">
        <v>0.13441400000000001</v>
      </c>
      <c r="GG80">
        <v>0.112595</v>
      </c>
      <c r="GH80">
        <v>25424.1</v>
      </c>
      <c r="GI80">
        <v>25304.6</v>
      </c>
      <c r="GJ80">
        <v>24554.2</v>
      </c>
      <c r="GK80">
        <v>24838.799999999999</v>
      </c>
      <c r="GL80">
        <v>28244.400000000001</v>
      </c>
      <c r="GM80">
        <v>28835.5</v>
      </c>
      <c r="GN80">
        <v>33211.300000000003</v>
      </c>
      <c r="GO80">
        <v>33184.199999999997</v>
      </c>
      <c r="GP80">
        <v>1.9395</v>
      </c>
      <c r="GQ80">
        <v>1.7401</v>
      </c>
      <c r="GR80">
        <v>1.04308E-2</v>
      </c>
      <c r="GS80">
        <v>0</v>
      </c>
      <c r="GT80">
        <v>29.822600000000001</v>
      </c>
      <c r="GU80">
        <v>999.9</v>
      </c>
      <c r="GV80">
        <v>42.4</v>
      </c>
      <c r="GW80">
        <v>44.2</v>
      </c>
      <c r="GX80">
        <v>39.628999999999998</v>
      </c>
      <c r="GY80">
        <v>62.122199999999999</v>
      </c>
      <c r="GZ80">
        <v>26.025600000000001</v>
      </c>
      <c r="HA80">
        <v>1</v>
      </c>
      <c r="HB80">
        <v>0.60250000000000004</v>
      </c>
      <c r="HC80">
        <v>2.2913800000000002</v>
      </c>
      <c r="HD80">
        <v>20.198799999999999</v>
      </c>
      <c r="HE80">
        <v>5.2340600000000004</v>
      </c>
      <c r="HF80">
        <v>11.9201</v>
      </c>
      <c r="HG80">
        <v>4.9598000000000004</v>
      </c>
      <c r="HH80">
        <v>3.2890000000000001</v>
      </c>
      <c r="HI80">
        <v>9999</v>
      </c>
      <c r="HJ80">
        <v>9999</v>
      </c>
      <c r="HK80">
        <v>9999</v>
      </c>
      <c r="HL80">
        <v>879.4</v>
      </c>
      <c r="HM80">
        <v>1.8806799999999999</v>
      </c>
      <c r="HN80">
        <v>1.8778999999999999</v>
      </c>
      <c r="HO80">
        <v>1.8858299999999999</v>
      </c>
      <c r="HP80">
        <v>1.88354</v>
      </c>
      <c r="HQ80">
        <v>1.8811</v>
      </c>
      <c r="HR80">
        <v>1.88008</v>
      </c>
      <c r="HS80">
        <v>1.8812599999999999</v>
      </c>
      <c r="HT80">
        <v>1.8807799999999999</v>
      </c>
      <c r="HU80">
        <v>5</v>
      </c>
      <c r="HV80">
        <v>0</v>
      </c>
      <c r="HW80">
        <v>0</v>
      </c>
      <c r="HX80">
        <v>0</v>
      </c>
      <c r="HY80" t="s">
        <v>422</v>
      </c>
      <c r="HZ80" t="s">
        <v>423</v>
      </c>
      <c r="IA80" t="s">
        <v>424</v>
      </c>
      <c r="IB80" t="s">
        <v>424</v>
      </c>
      <c r="IC80" t="s">
        <v>424</v>
      </c>
      <c r="ID80" t="s">
        <v>424</v>
      </c>
      <c r="IE80">
        <v>0</v>
      </c>
      <c r="IF80">
        <v>100</v>
      </c>
      <c r="IG80">
        <v>100</v>
      </c>
      <c r="IH80">
        <v>0.627</v>
      </c>
      <c r="II80">
        <v>0.2427</v>
      </c>
      <c r="IJ80">
        <v>9.8714425388024774E-2</v>
      </c>
      <c r="IK80">
        <v>2.2153513873161218E-3</v>
      </c>
      <c r="IL80">
        <v>-2.2967369670569612E-6</v>
      </c>
      <c r="IM80">
        <v>7.7859689150384122E-10</v>
      </c>
      <c r="IN80">
        <v>-0.1526083998454881</v>
      </c>
      <c r="IO80">
        <v>-4.1434251034592161E-3</v>
      </c>
      <c r="IP80">
        <v>8.3987709687394815E-4</v>
      </c>
      <c r="IQ80">
        <v>-7.4586254598011197E-6</v>
      </c>
      <c r="IR80">
        <v>2</v>
      </c>
      <c r="IS80">
        <v>1930</v>
      </c>
      <c r="IT80">
        <v>2</v>
      </c>
      <c r="IU80">
        <v>41</v>
      </c>
      <c r="IV80">
        <v>1.6</v>
      </c>
      <c r="IW80">
        <v>1.6</v>
      </c>
      <c r="IX80">
        <v>0.99121099999999995</v>
      </c>
      <c r="IY80">
        <v>2.5500500000000001</v>
      </c>
      <c r="IZ80">
        <v>1.24512</v>
      </c>
      <c r="JA80">
        <v>2.2522000000000002</v>
      </c>
      <c r="JB80">
        <v>1.4501999999999999</v>
      </c>
      <c r="JC80">
        <v>2.4340799999999998</v>
      </c>
      <c r="JD80">
        <v>43.535400000000003</v>
      </c>
      <c r="JE80">
        <v>15.9795</v>
      </c>
      <c r="JF80">
        <v>18</v>
      </c>
      <c r="JG80">
        <v>496.202</v>
      </c>
      <c r="JH80">
        <v>410.98</v>
      </c>
      <c r="JI80">
        <v>26.5032</v>
      </c>
      <c r="JJ80">
        <v>34.682000000000002</v>
      </c>
      <c r="JK80">
        <v>30</v>
      </c>
      <c r="JL80">
        <v>34.572299999999998</v>
      </c>
      <c r="JM80">
        <v>34.522300000000001</v>
      </c>
      <c r="JN80">
        <v>19.939699999999998</v>
      </c>
      <c r="JO80">
        <v>47.110999999999997</v>
      </c>
      <c r="JP80">
        <v>0</v>
      </c>
      <c r="JQ80">
        <v>26.492000000000001</v>
      </c>
      <c r="JR80">
        <v>400</v>
      </c>
      <c r="JS80">
        <v>22.3841</v>
      </c>
      <c r="JT80">
        <v>99.115399999999994</v>
      </c>
      <c r="JU80">
        <v>99.028599999999997</v>
      </c>
    </row>
    <row r="81" spans="1:281" x14ac:dyDescent="0.25">
      <c r="A81">
        <v>65</v>
      </c>
      <c r="B81">
        <v>1693336800.0999999</v>
      </c>
      <c r="C81">
        <v>14087</v>
      </c>
      <c r="D81" t="s">
        <v>747</v>
      </c>
      <c r="E81" t="s">
        <v>748</v>
      </c>
      <c r="F81" t="s">
        <v>413</v>
      </c>
      <c r="G81" t="s">
        <v>564</v>
      </c>
      <c r="H81" t="s">
        <v>708</v>
      </c>
      <c r="I81" t="s">
        <v>415</v>
      </c>
      <c r="J81">
        <v>1693336800.0999999</v>
      </c>
      <c r="K81">
        <f t="shared" ref="K81:K112" si="92">(L81)/1000</f>
        <v>5.4694943370471073E-3</v>
      </c>
      <c r="L81">
        <f t="shared" ref="L81:L114" si="93">1000*DL81*AJ81*(DH81-DI81)/(100*DA81*(1000-AJ81*DH81))</f>
        <v>5.4694943370471076</v>
      </c>
      <c r="M81">
        <f t="shared" ref="M81:M114" si="94">DL81*AJ81*(DG81-DF81*(1000-AJ81*DI81)/(1000-AJ81*DH81))/(100*DA81)</f>
        <v>40.696534096362541</v>
      </c>
      <c r="N81">
        <f t="shared" ref="N81:N112" si="95">DF81 - IF(AJ81&gt;1, M81*DA81*100/(AL81*DT81), 0)</f>
        <v>348.822</v>
      </c>
      <c r="O81">
        <f t="shared" ref="O81:O112" si="96">((U81-K81/2)*N81-M81)/(U81+K81/2)</f>
        <v>173.57181224670532</v>
      </c>
      <c r="P81">
        <f t="shared" ref="P81:P112" si="97">O81*(DM81+DN81)/1000</f>
        <v>17.19022735848117</v>
      </c>
      <c r="Q81">
        <f t="shared" ref="Q81:Q114" si="98">(DF81 - IF(AJ81&gt;1, M81*DA81*100/(AL81*DT81), 0))*(DM81+DN81)/1000</f>
        <v>34.546677885215999</v>
      </c>
      <c r="R81">
        <f t="shared" ref="R81:R112" si="99">2/((1/T81-1/S81)+SIGN(T81)*SQRT((1/T81-1/S81)*(1/T81-1/S81) + 4*DB81/((DB81+1)*(DB81+1))*(2*1/T81*1/S81-1/S81*1/S81)))</f>
        <v>0.41027622894697591</v>
      </c>
      <c r="S81">
        <f t="shared" ref="S81:S114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2.9077860533056046</v>
      </c>
      <c r="T81">
        <f t="shared" ref="T81:T114" si="101">K81*(1000-(1000*0.61365*EXP(17.502*X81/(240.97+X81))/(DM81+DN81)+DH81)/2)/(1000*0.61365*EXP(17.502*X81/(240.97+X81))/(DM81+DN81)-DH81)</f>
        <v>0.38061703709120309</v>
      </c>
      <c r="U81">
        <f t="shared" ref="U81:U114" si="102">1/((DB81+1)/(R81/1.6)+1/(S81/1.37)) + DB81/((DB81+1)/(R81/1.6) + DB81/(S81/1.37))</f>
        <v>0.24037149195274682</v>
      </c>
      <c r="V81">
        <f t="shared" ref="V81:V114" si="103">(CW81*CZ81)</f>
        <v>344.35669864378139</v>
      </c>
      <c r="W81">
        <f t="shared" ref="W81:W112" si="104">(DO81+(V81+2*0.95*0.0000000567*(((DO81+$B$7)+273)^4-(DO81+273)^4)-44100*K81)/(1.84*29.3*S81+8*0.95*0.0000000567*(DO81+273)^3))</f>
        <v>31.250888481551499</v>
      </c>
      <c r="X81">
        <f t="shared" ref="X81:X112" si="105">($C$7*DP81+$D$7*DQ81+$E$7*W81)</f>
        <v>30.005800000000001</v>
      </c>
      <c r="Y81">
        <f t="shared" ref="Y81:Y112" si="106">0.61365*EXP(17.502*X81/(240.97+X81))</f>
        <v>4.2618693355957467</v>
      </c>
      <c r="Z81">
        <f t="shared" ref="Z81:Z112" si="107">(AA81/AB81*100)</f>
        <v>65.392518865991761</v>
      </c>
      <c r="AA81">
        <f t="shared" ref="AA81:AA114" si="108">DH81*(DM81+DN81)/1000</f>
        <v>2.8900712284191998</v>
      </c>
      <c r="AB81">
        <f t="shared" ref="AB81:AB114" si="109">0.61365*EXP(17.502*DO81/(240.97+DO81))</f>
        <v>4.4195747136485055</v>
      </c>
      <c r="AC81">
        <f t="shared" ref="AC81:AC114" si="110">(Y81-DH81*(DM81+DN81)/1000)</f>
        <v>1.3717981071765468</v>
      </c>
      <c r="AD81">
        <f t="shared" ref="AD81:AD114" si="111">(-K81*44100)</f>
        <v>-241.20470026377743</v>
      </c>
      <c r="AE81">
        <f t="shared" ref="AE81:AE114" si="112">2*29.3*S81*0.92*(DO81-X81)</f>
        <v>99.404408577655275</v>
      </c>
      <c r="AF81">
        <f t="shared" ref="AF81:AF114" si="113">2*0.95*0.0000000567*(((DO81+$B$7)+273)^4-(X81+273)^4)</f>
        <v>7.6255340148892499</v>
      </c>
      <c r="AG81">
        <f t="shared" ref="AG81:AG112" si="114">V81+AF81+AD81+AE81</f>
        <v>210.18194097254849</v>
      </c>
      <c r="AH81">
        <v>0</v>
      </c>
      <c r="AI81">
        <v>0</v>
      </c>
      <c r="AJ81">
        <f t="shared" ref="AJ81:AJ114" si="115">IF(AH81*$H$13&gt;=AL81,1,(AL81/(AL81-AH81*$H$13)))</f>
        <v>1</v>
      </c>
      <c r="AK81">
        <f t="shared" ref="AK81:AK112" si="116">(AJ81-1)*100</f>
        <v>0</v>
      </c>
      <c r="AL81">
        <f t="shared" ref="AL81:AL114" si="117">MAX(0,($B$13+$C$13*DT81)/(1+$D$13*DT81)*DM81/(DO81+273)*$E$13)</f>
        <v>51601.543187856711</v>
      </c>
      <c r="AM81" t="s">
        <v>416</v>
      </c>
      <c r="AN81">
        <v>10366.9</v>
      </c>
      <c r="AO81">
        <v>993.59653846153856</v>
      </c>
      <c r="AP81">
        <v>3431.87</v>
      </c>
      <c r="AQ81">
        <f t="shared" ref="AQ81:AQ112" si="118">1-AO81/AP81</f>
        <v>0.71047955241266758</v>
      </c>
      <c r="AR81">
        <v>-3.9894345373445681</v>
      </c>
      <c r="AS81" t="s">
        <v>749</v>
      </c>
      <c r="AT81">
        <v>10416.6</v>
      </c>
      <c r="AU81">
        <v>828.32746153846153</v>
      </c>
      <c r="AV81">
        <v>1143.7789679409341</v>
      </c>
      <c r="AW81">
        <f t="shared" ref="AW81:AW112" si="119">1-AU81/AV81</f>
        <v>0.27579761059110752</v>
      </c>
      <c r="AX81">
        <v>0.5</v>
      </c>
      <c r="AY81">
        <f t="shared" ref="AY81:AY114" si="120">CX81</f>
        <v>1513.1261993218907</v>
      </c>
      <c r="AZ81">
        <f t="shared" ref="AZ81:AZ114" si="121">M81</f>
        <v>40.696534096362541</v>
      </c>
      <c r="BA81">
        <f t="shared" ref="BA81:BA114" si="122">AW81*AX81*AY81</f>
        <v>208.65829514789067</v>
      </c>
      <c r="BB81">
        <f t="shared" ref="BB81:BB114" si="123">(AZ81-AR81)/AY81</f>
        <v>2.9532215259859471E-2</v>
      </c>
      <c r="BC81">
        <f t="shared" ref="BC81:BC114" si="124">(AP81-AV81)/AV81</f>
        <v>2.00046608321375</v>
      </c>
      <c r="BD81">
        <f t="shared" ref="BD81:BD114" si="125">AO81/(AQ81+AO81/AV81)</f>
        <v>629.18676688155631</v>
      </c>
      <c r="BE81" t="s">
        <v>750</v>
      </c>
      <c r="BF81">
        <v>616.94000000000005</v>
      </c>
      <c r="BG81">
        <f t="shared" ref="BG81:BG112" si="126">IF(BF81&lt;&gt;0, BF81, BD81)</f>
        <v>616.94000000000005</v>
      </c>
      <c r="BH81">
        <f t="shared" ref="BH81:BH112" si="127">1-BG81/AV81</f>
        <v>0.46061256825640506</v>
      </c>
      <c r="BI81">
        <f t="shared" ref="BI81:BI114" si="128">(AV81-AU81)/(AV81-BG81)</f>
        <v>0.59876266866774186</v>
      </c>
      <c r="BJ81">
        <f t="shared" ref="BJ81:BJ114" si="129">(AP81-AV81)/(AP81-BG81)</f>
        <v>0.81284118328308896</v>
      </c>
      <c r="BK81">
        <f t="shared" ref="BK81:BK114" si="130">(AV81-AU81)/(AV81-AO81)</f>
        <v>2.1004554760232543</v>
      </c>
      <c r="BL81">
        <f t="shared" ref="BL81:BL114" si="131">(AP81-AV81)/(AP81-AO81)</f>
        <v>0.93840624037935583</v>
      </c>
      <c r="BM81">
        <f t="shared" ref="BM81:BM114" si="132">(BI81*BG81/AU81)</f>
        <v>0.44595966928560465</v>
      </c>
      <c r="BN81">
        <f t="shared" ref="BN81:BN112" si="133">(1-BM81)</f>
        <v>0.55404033071439529</v>
      </c>
      <c r="BO81">
        <v>7676</v>
      </c>
      <c r="BP81">
        <v>290.00000000000011</v>
      </c>
      <c r="BQ81">
        <v>1061.71</v>
      </c>
      <c r="BR81">
        <v>135</v>
      </c>
      <c r="BS81">
        <v>10416.6</v>
      </c>
      <c r="BT81">
        <v>1057.3900000000001</v>
      </c>
      <c r="BU81">
        <v>4.32</v>
      </c>
      <c r="BV81">
        <v>300.00000000000011</v>
      </c>
      <c r="BW81">
        <v>38.299999999999997</v>
      </c>
      <c r="BX81">
        <v>1143.7789679409341</v>
      </c>
      <c r="BY81">
        <v>1.1634226475646829</v>
      </c>
      <c r="BZ81">
        <v>-89.991904180207257</v>
      </c>
      <c r="CA81">
        <v>0.99129933020601035</v>
      </c>
      <c r="CB81">
        <v>0.99661399375277837</v>
      </c>
      <c r="CC81">
        <v>-1.1303914126807559E-2</v>
      </c>
      <c r="CD81">
        <v>289.99999999999989</v>
      </c>
      <c r="CE81">
        <v>1048.83</v>
      </c>
      <c r="CF81">
        <v>695</v>
      </c>
      <c r="CG81">
        <v>10383.299999999999</v>
      </c>
      <c r="CH81">
        <v>1057.1099999999999</v>
      </c>
      <c r="CI81">
        <v>-8.2799999999999994</v>
      </c>
      <c r="CW81">
        <f t="shared" ref="CW81:CW114" si="134">$B$11*DU81+$C$11*DV81+$F$11*EG81*(1-EJ81)</f>
        <v>1799.93</v>
      </c>
      <c r="CX81">
        <f t="shared" ref="CX81:CX112" si="135">CW81*CY81</f>
        <v>1513.1261993218907</v>
      </c>
      <c r="CY81">
        <f t="shared" ref="CY81:CY114" si="136">($B$11*$D$9+$C$11*$D$9+$F$11*((ET81+EL81)/MAX(ET81+EL81+EU81, 0.1)*$I$9+EU81/MAX(ET81+EL81+EU81, 0.1)*$J$9))/($B$11+$C$11+$F$11)</f>
        <v>0.84065835855943871</v>
      </c>
      <c r="CZ81">
        <f t="shared" ref="CZ81:CZ114" si="137">($B$11*$K$9+$C$11*$K$9+$F$11*((ET81+EL81)/MAX(ET81+EL81+EU81, 0.1)*$P$9+EU81/MAX(ET81+EL81+EU81, 0.1)*$Q$9))/($B$11+$C$11+$F$11)</f>
        <v>0.1913167171188776</v>
      </c>
      <c r="DA81">
        <v>6</v>
      </c>
      <c r="DB81">
        <v>0.5</v>
      </c>
      <c r="DC81" t="s">
        <v>419</v>
      </c>
      <c r="DD81">
        <v>2</v>
      </c>
      <c r="DE81">
        <v>1693336800.0999999</v>
      </c>
      <c r="DF81">
        <v>348.822</v>
      </c>
      <c r="DG81">
        <v>399.88499999999999</v>
      </c>
      <c r="DH81">
        <v>29.1814</v>
      </c>
      <c r="DI81">
        <v>22.817299999999999</v>
      </c>
      <c r="DJ81">
        <v>348.21100000000001</v>
      </c>
      <c r="DK81">
        <v>28.9316</v>
      </c>
      <c r="DL81">
        <v>500.61</v>
      </c>
      <c r="DM81">
        <v>98.937700000000007</v>
      </c>
      <c r="DN81">
        <v>0.100428</v>
      </c>
      <c r="DO81">
        <v>30.639900000000001</v>
      </c>
      <c r="DP81">
        <v>30.005800000000001</v>
      </c>
      <c r="DQ81">
        <v>999.9</v>
      </c>
      <c r="DR81">
        <v>0</v>
      </c>
      <c r="DS81">
        <v>0</v>
      </c>
      <c r="DT81">
        <v>9982.5</v>
      </c>
      <c r="DU81">
        <v>0</v>
      </c>
      <c r="DV81">
        <v>176.42</v>
      </c>
      <c r="DW81">
        <v>-51.063000000000002</v>
      </c>
      <c r="DX81">
        <v>359.30700000000002</v>
      </c>
      <c r="DY81">
        <v>409.22300000000001</v>
      </c>
      <c r="DZ81">
        <v>6.3640499999999998</v>
      </c>
      <c r="EA81">
        <v>399.88499999999999</v>
      </c>
      <c r="EB81">
        <v>22.817299999999999</v>
      </c>
      <c r="EC81">
        <v>2.88714</v>
      </c>
      <c r="ED81">
        <v>2.2574900000000002</v>
      </c>
      <c r="EE81">
        <v>23.390899999999998</v>
      </c>
      <c r="EF81">
        <v>19.376200000000001</v>
      </c>
      <c r="EG81">
        <v>1799.93</v>
      </c>
      <c r="EH81">
        <v>0.97799499999999995</v>
      </c>
      <c r="EI81">
        <v>2.2004900000000001E-2</v>
      </c>
      <c r="EJ81">
        <v>0</v>
      </c>
      <c r="EK81">
        <v>830.39700000000005</v>
      </c>
      <c r="EL81">
        <v>5.0010300000000001</v>
      </c>
      <c r="EM81">
        <v>15878</v>
      </c>
      <c r="EN81">
        <v>14700.5</v>
      </c>
      <c r="EO81">
        <v>50.125</v>
      </c>
      <c r="EP81">
        <v>51.311999999999998</v>
      </c>
      <c r="EQ81">
        <v>51.5</v>
      </c>
      <c r="ER81">
        <v>50.311999999999998</v>
      </c>
      <c r="ES81">
        <v>51.625</v>
      </c>
      <c r="ET81">
        <v>1755.43</v>
      </c>
      <c r="EU81">
        <v>39.5</v>
      </c>
      <c r="EV81">
        <v>0</v>
      </c>
      <c r="EW81">
        <v>108.7999999523163</v>
      </c>
      <c r="EX81">
        <v>0</v>
      </c>
      <c r="EY81">
        <v>828.32746153846153</v>
      </c>
      <c r="EZ81">
        <v>16.182358978321499</v>
      </c>
      <c r="FA81">
        <v>280.28717963205662</v>
      </c>
      <c r="FB81">
        <v>15842.1</v>
      </c>
      <c r="FC81">
        <v>15</v>
      </c>
      <c r="FD81">
        <v>1693336771.5999999</v>
      </c>
      <c r="FE81" t="s">
        <v>751</v>
      </c>
      <c r="FF81">
        <v>1693336771.5999999</v>
      </c>
      <c r="FG81">
        <v>1693336771.5999999</v>
      </c>
      <c r="FH81">
        <v>73</v>
      </c>
      <c r="FI81">
        <v>-1.2999999999999999E-2</v>
      </c>
      <c r="FJ81">
        <v>0</v>
      </c>
      <c r="FK81">
        <v>0.65400000000000003</v>
      </c>
      <c r="FL81">
        <v>9.2999999999999999E-2</v>
      </c>
      <c r="FM81">
        <v>400</v>
      </c>
      <c r="FN81">
        <v>23</v>
      </c>
      <c r="FO81">
        <v>0.12</v>
      </c>
      <c r="FP81">
        <v>0.03</v>
      </c>
      <c r="FQ81">
        <v>40.504341935206689</v>
      </c>
      <c r="FR81">
        <v>0.52192893936513818</v>
      </c>
      <c r="FS81">
        <v>0.113942701620433</v>
      </c>
      <c r="FT81">
        <v>1</v>
      </c>
      <c r="FU81">
        <v>0.41039776150967772</v>
      </c>
      <c r="FV81">
        <v>3.3781402839425878E-2</v>
      </c>
      <c r="FW81">
        <v>4.4069113611972478E-3</v>
      </c>
      <c r="FX81">
        <v>1</v>
      </c>
      <c r="FY81">
        <v>2</v>
      </c>
      <c r="FZ81">
        <v>2</v>
      </c>
      <c r="GA81" t="s">
        <v>421</v>
      </c>
      <c r="GB81">
        <v>2.8986200000000002</v>
      </c>
      <c r="GC81">
        <v>2.8182900000000002</v>
      </c>
      <c r="GD81">
        <v>8.0745899999999995E-2</v>
      </c>
      <c r="GE81">
        <v>8.9939000000000005E-2</v>
      </c>
      <c r="GF81">
        <v>0.13531799999999999</v>
      </c>
      <c r="GG81">
        <v>0.11407399999999999</v>
      </c>
      <c r="GH81">
        <v>25440.3</v>
      </c>
      <c r="GI81">
        <v>25306.5</v>
      </c>
      <c r="GJ81">
        <v>24557.9</v>
      </c>
      <c r="GK81">
        <v>24839.7</v>
      </c>
      <c r="GL81">
        <v>28218.6</v>
      </c>
      <c r="GM81">
        <v>28788.5</v>
      </c>
      <c r="GN81">
        <v>33216.199999999997</v>
      </c>
      <c r="GO81">
        <v>33185.800000000003</v>
      </c>
      <c r="GP81">
        <v>1.94</v>
      </c>
      <c r="GQ81">
        <v>1.7446999999999999</v>
      </c>
      <c r="GR81">
        <v>7.45058E-3</v>
      </c>
      <c r="GS81">
        <v>0</v>
      </c>
      <c r="GT81">
        <v>29.884599999999999</v>
      </c>
      <c r="GU81">
        <v>999.9</v>
      </c>
      <c r="GV81">
        <v>42.5</v>
      </c>
      <c r="GW81">
        <v>43.9</v>
      </c>
      <c r="GX81">
        <v>39.110799999999998</v>
      </c>
      <c r="GY81">
        <v>62.242199999999997</v>
      </c>
      <c r="GZ81">
        <v>25.488800000000001</v>
      </c>
      <c r="HA81">
        <v>1</v>
      </c>
      <c r="HB81">
        <v>0.60039600000000004</v>
      </c>
      <c r="HC81">
        <v>3.1632600000000002</v>
      </c>
      <c r="HD81">
        <v>20.1846</v>
      </c>
      <c r="HE81">
        <v>5.22987</v>
      </c>
      <c r="HF81">
        <v>11.9201</v>
      </c>
      <c r="HG81">
        <v>4.96</v>
      </c>
      <c r="HH81">
        <v>3.2890000000000001</v>
      </c>
      <c r="HI81">
        <v>9999</v>
      </c>
      <c r="HJ81">
        <v>9999</v>
      </c>
      <c r="HK81">
        <v>9999</v>
      </c>
      <c r="HL81">
        <v>879.5</v>
      </c>
      <c r="HM81">
        <v>1.8806499999999999</v>
      </c>
      <c r="HN81">
        <v>1.8778699999999999</v>
      </c>
      <c r="HO81">
        <v>1.8858299999999999</v>
      </c>
      <c r="HP81">
        <v>1.88354</v>
      </c>
      <c r="HQ81">
        <v>1.8811</v>
      </c>
      <c r="HR81">
        <v>1.88008</v>
      </c>
      <c r="HS81">
        <v>1.8812599999999999</v>
      </c>
      <c r="HT81">
        <v>1.8807799999999999</v>
      </c>
      <c r="HU81">
        <v>5</v>
      </c>
      <c r="HV81">
        <v>0</v>
      </c>
      <c r="HW81">
        <v>0</v>
      </c>
      <c r="HX81">
        <v>0</v>
      </c>
      <c r="HY81" t="s">
        <v>422</v>
      </c>
      <c r="HZ81" t="s">
        <v>423</v>
      </c>
      <c r="IA81" t="s">
        <v>424</v>
      </c>
      <c r="IB81" t="s">
        <v>424</v>
      </c>
      <c r="IC81" t="s">
        <v>424</v>
      </c>
      <c r="ID81" t="s">
        <v>424</v>
      </c>
      <c r="IE81">
        <v>0</v>
      </c>
      <c r="IF81">
        <v>100</v>
      </c>
      <c r="IG81">
        <v>100</v>
      </c>
      <c r="IH81">
        <v>0.61099999999999999</v>
      </c>
      <c r="II81">
        <v>0.24979999999999999</v>
      </c>
      <c r="IJ81">
        <v>8.5617209451574139E-2</v>
      </c>
      <c r="IK81">
        <v>2.2153513873161218E-3</v>
      </c>
      <c r="IL81">
        <v>-2.2967369670569612E-6</v>
      </c>
      <c r="IM81">
        <v>7.7859689150384122E-10</v>
      </c>
      <c r="IN81">
        <v>-0.15277316231531879</v>
      </c>
      <c r="IO81">
        <v>-4.1434251034592161E-3</v>
      </c>
      <c r="IP81">
        <v>8.3987709687394815E-4</v>
      </c>
      <c r="IQ81">
        <v>-7.4586254598011197E-6</v>
      </c>
      <c r="IR81">
        <v>2</v>
      </c>
      <c r="IS81">
        <v>1930</v>
      </c>
      <c r="IT81">
        <v>2</v>
      </c>
      <c r="IU81">
        <v>41</v>
      </c>
      <c r="IV81">
        <v>0.5</v>
      </c>
      <c r="IW81">
        <v>0.5</v>
      </c>
      <c r="IX81">
        <v>0.99121099999999995</v>
      </c>
      <c r="IY81">
        <v>2.5500500000000001</v>
      </c>
      <c r="IZ81">
        <v>1.24512</v>
      </c>
      <c r="JA81">
        <v>2.2534200000000002</v>
      </c>
      <c r="JB81">
        <v>1.4501999999999999</v>
      </c>
      <c r="JC81">
        <v>2.3938000000000001</v>
      </c>
      <c r="JD81">
        <v>43.317599999999999</v>
      </c>
      <c r="JE81">
        <v>15.962</v>
      </c>
      <c r="JF81">
        <v>18</v>
      </c>
      <c r="JG81">
        <v>496.11900000000003</v>
      </c>
      <c r="JH81">
        <v>413.56299999999999</v>
      </c>
      <c r="JI81">
        <v>25.754000000000001</v>
      </c>
      <c r="JJ81">
        <v>34.612699999999997</v>
      </c>
      <c r="JK81">
        <v>30.0002</v>
      </c>
      <c r="JL81">
        <v>34.518599999999999</v>
      </c>
      <c r="JM81">
        <v>34.472000000000001</v>
      </c>
      <c r="JN81">
        <v>19.95</v>
      </c>
      <c r="JO81">
        <v>45.273099999999999</v>
      </c>
      <c r="JP81">
        <v>0</v>
      </c>
      <c r="JQ81">
        <v>25.756</v>
      </c>
      <c r="JR81">
        <v>400</v>
      </c>
      <c r="JS81">
        <v>22.8186</v>
      </c>
      <c r="JT81">
        <v>99.130099999999999</v>
      </c>
      <c r="JU81">
        <v>99.032799999999995</v>
      </c>
    </row>
    <row r="82" spans="1:281" x14ac:dyDescent="0.25">
      <c r="A82">
        <v>66</v>
      </c>
      <c r="B82">
        <v>1693336899.5999999</v>
      </c>
      <c r="C82">
        <v>14186.5</v>
      </c>
      <c r="D82" t="s">
        <v>752</v>
      </c>
      <c r="E82" t="s">
        <v>753</v>
      </c>
      <c r="F82" t="s">
        <v>413</v>
      </c>
      <c r="G82" t="s">
        <v>564</v>
      </c>
      <c r="H82" t="s">
        <v>708</v>
      </c>
      <c r="I82" t="s">
        <v>415</v>
      </c>
      <c r="J82">
        <v>1693336899.5999999</v>
      </c>
      <c r="K82">
        <f t="shared" si="92"/>
        <v>5.373742471405988E-3</v>
      </c>
      <c r="L82">
        <f t="shared" si="93"/>
        <v>5.373742471405988</v>
      </c>
      <c r="M82">
        <f t="shared" si="94"/>
        <v>44.387440675979235</v>
      </c>
      <c r="N82">
        <f t="shared" si="95"/>
        <v>443.77199999999999</v>
      </c>
      <c r="O82">
        <f t="shared" si="96"/>
        <v>241.83396376308355</v>
      </c>
      <c r="P82">
        <f t="shared" si="97"/>
        <v>23.948947779964634</v>
      </c>
      <c r="Q82">
        <f t="shared" si="98"/>
        <v>43.946980353108003</v>
      </c>
      <c r="R82">
        <f t="shared" si="99"/>
        <v>0.38949348165758008</v>
      </c>
      <c r="S82">
        <f t="shared" si="100"/>
        <v>2.9102810576066203</v>
      </c>
      <c r="T82">
        <f t="shared" si="101"/>
        <v>0.3626789617415449</v>
      </c>
      <c r="U82">
        <f t="shared" si="102"/>
        <v>0.22892950966802278</v>
      </c>
      <c r="V82">
        <f t="shared" si="103"/>
        <v>344.37189864384163</v>
      </c>
      <c r="W82">
        <f t="shared" si="104"/>
        <v>31.214311143798096</v>
      </c>
      <c r="X82">
        <f t="shared" si="105"/>
        <v>29.9801</v>
      </c>
      <c r="Y82">
        <f t="shared" si="106"/>
        <v>4.2555823341366743</v>
      </c>
      <c r="Z82">
        <f t="shared" si="107"/>
        <v>64.503911317096168</v>
      </c>
      <c r="AA82">
        <f t="shared" si="108"/>
        <v>2.8408395570235001</v>
      </c>
      <c r="AB82">
        <f t="shared" si="109"/>
        <v>4.4041353446896503</v>
      </c>
      <c r="AC82">
        <f t="shared" si="110"/>
        <v>1.4147427771131742</v>
      </c>
      <c r="AD82">
        <f t="shared" si="111"/>
        <v>-236.98204298900407</v>
      </c>
      <c r="AE82">
        <f t="shared" si="112"/>
        <v>93.919784725284288</v>
      </c>
      <c r="AF82">
        <f t="shared" si="113"/>
        <v>7.1955256111766355</v>
      </c>
      <c r="AG82">
        <f t="shared" si="114"/>
        <v>208.5051659912985</v>
      </c>
      <c r="AH82">
        <v>0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51682.532424246499</v>
      </c>
      <c r="AM82" t="s">
        <v>416</v>
      </c>
      <c r="AN82">
        <v>10366.9</v>
      </c>
      <c r="AO82">
        <v>993.59653846153856</v>
      </c>
      <c r="AP82">
        <v>3431.87</v>
      </c>
      <c r="AQ82">
        <f t="shared" si="118"/>
        <v>0.71047955241266758</v>
      </c>
      <c r="AR82">
        <v>-3.9894345373445681</v>
      </c>
      <c r="AS82" t="s">
        <v>754</v>
      </c>
      <c r="AT82">
        <v>10420.9</v>
      </c>
      <c r="AU82">
        <v>862.7915999999999</v>
      </c>
      <c r="AV82">
        <v>1225.2263001988561</v>
      </c>
      <c r="AW82">
        <f t="shared" si="119"/>
        <v>0.29581041489236104</v>
      </c>
      <c r="AX82">
        <v>0.5</v>
      </c>
      <c r="AY82">
        <f t="shared" si="120"/>
        <v>1513.1933993219209</v>
      </c>
      <c r="AZ82">
        <f t="shared" si="121"/>
        <v>44.387440675979235</v>
      </c>
      <c r="BA82">
        <f t="shared" si="122"/>
        <v>223.80918363289979</v>
      </c>
      <c r="BB82">
        <f t="shared" si="123"/>
        <v>3.1970054346656562E-2</v>
      </c>
      <c r="BC82">
        <f t="shared" si="124"/>
        <v>1.8010090866013915</v>
      </c>
      <c r="BD82">
        <f t="shared" si="125"/>
        <v>653.06798189977258</v>
      </c>
      <c r="BE82" t="s">
        <v>755</v>
      </c>
      <c r="BF82">
        <v>633.79</v>
      </c>
      <c r="BG82">
        <f t="shared" si="126"/>
        <v>633.79</v>
      </c>
      <c r="BH82">
        <f t="shared" si="127"/>
        <v>0.48271596855443366</v>
      </c>
      <c r="BI82">
        <f t="shared" si="128"/>
        <v>0.61280428691474687</v>
      </c>
      <c r="BJ82">
        <f t="shared" si="129"/>
        <v>0.78862780899800722</v>
      </c>
      <c r="BK82">
        <f t="shared" si="130"/>
        <v>1.5647155938876265</v>
      </c>
      <c r="BL82">
        <f t="shared" si="131"/>
        <v>0.90500254979965722</v>
      </c>
      <c r="BM82">
        <f t="shared" si="132"/>
        <v>0.45015416121772328</v>
      </c>
      <c r="BN82">
        <f t="shared" si="133"/>
        <v>0.54984583878227666</v>
      </c>
      <c r="BO82">
        <v>7678</v>
      </c>
      <c r="BP82">
        <v>290.00000000000011</v>
      </c>
      <c r="BQ82">
        <v>1130.22</v>
      </c>
      <c r="BR82">
        <v>115</v>
      </c>
      <c r="BS82">
        <v>10420.9</v>
      </c>
      <c r="BT82">
        <v>1125.98</v>
      </c>
      <c r="BU82">
        <v>4.24</v>
      </c>
      <c r="BV82">
        <v>300.00000000000011</v>
      </c>
      <c r="BW82">
        <v>38.299999999999997</v>
      </c>
      <c r="BX82">
        <v>1225.2263001988561</v>
      </c>
      <c r="BY82">
        <v>1.5299327823009099</v>
      </c>
      <c r="BZ82">
        <v>-103.4227287366959</v>
      </c>
      <c r="CA82">
        <v>1.3036545706152991</v>
      </c>
      <c r="CB82">
        <v>0.99557082061800151</v>
      </c>
      <c r="CC82">
        <v>-1.130451813125696E-2</v>
      </c>
      <c r="CD82">
        <v>289.99999999999989</v>
      </c>
      <c r="CE82">
        <v>1115.21</v>
      </c>
      <c r="CF82">
        <v>625</v>
      </c>
      <c r="CG82">
        <v>10390</v>
      </c>
      <c r="CH82">
        <v>1125.69</v>
      </c>
      <c r="CI82">
        <v>-10.48</v>
      </c>
      <c r="CW82">
        <f t="shared" si="134"/>
        <v>1800.01</v>
      </c>
      <c r="CX82">
        <f t="shared" si="135"/>
        <v>1513.1933993219209</v>
      </c>
      <c r="CY82">
        <f t="shared" si="136"/>
        <v>0.84065832929923767</v>
      </c>
      <c r="CZ82">
        <f t="shared" si="137"/>
        <v>0.19131665859847535</v>
      </c>
      <c r="DA82">
        <v>6</v>
      </c>
      <c r="DB82">
        <v>0.5</v>
      </c>
      <c r="DC82" t="s">
        <v>419</v>
      </c>
      <c r="DD82">
        <v>2</v>
      </c>
      <c r="DE82">
        <v>1693336899.5999999</v>
      </c>
      <c r="DF82">
        <v>443.77199999999999</v>
      </c>
      <c r="DG82">
        <v>499.86</v>
      </c>
      <c r="DH82">
        <v>28.686499999999999</v>
      </c>
      <c r="DI82">
        <v>22.427299999999999</v>
      </c>
      <c r="DJ82">
        <v>443.01299999999998</v>
      </c>
      <c r="DK82">
        <v>28.5945</v>
      </c>
      <c r="DL82">
        <v>500.34399999999999</v>
      </c>
      <c r="DM82">
        <v>98.930400000000006</v>
      </c>
      <c r="DN82">
        <v>0.10013900000000001</v>
      </c>
      <c r="DO82">
        <v>30.578700000000001</v>
      </c>
      <c r="DP82">
        <v>29.9801</v>
      </c>
      <c r="DQ82">
        <v>999.9</v>
      </c>
      <c r="DR82">
        <v>0</v>
      </c>
      <c r="DS82">
        <v>0</v>
      </c>
      <c r="DT82">
        <v>9997.5</v>
      </c>
      <c r="DU82">
        <v>0</v>
      </c>
      <c r="DV82">
        <v>168.35</v>
      </c>
      <c r="DW82">
        <v>-56.1633</v>
      </c>
      <c r="DX82">
        <v>456.87099999999998</v>
      </c>
      <c r="DY82">
        <v>511.32799999999997</v>
      </c>
      <c r="DZ82">
        <v>6.4083199999999998</v>
      </c>
      <c r="EA82">
        <v>499.86</v>
      </c>
      <c r="EB82">
        <v>22.427299999999999</v>
      </c>
      <c r="EC82">
        <v>2.8527200000000001</v>
      </c>
      <c r="ED82">
        <v>2.2187399999999999</v>
      </c>
      <c r="EE82">
        <v>23.192299999999999</v>
      </c>
      <c r="EF82">
        <v>19.098299999999998</v>
      </c>
      <c r="EG82">
        <v>1800.01</v>
      </c>
      <c r="EH82">
        <v>0.97799499999999995</v>
      </c>
      <c r="EI82">
        <v>2.2004900000000001E-2</v>
      </c>
      <c r="EJ82">
        <v>0</v>
      </c>
      <c r="EK82">
        <v>863.13699999999994</v>
      </c>
      <c r="EL82">
        <v>5.0010300000000001</v>
      </c>
      <c r="EM82">
        <v>16470.7</v>
      </c>
      <c r="EN82">
        <v>14701.2</v>
      </c>
      <c r="EO82">
        <v>50.125</v>
      </c>
      <c r="EP82">
        <v>51.25</v>
      </c>
      <c r="EQ82">
        <v>51.436999999999998</v>
      </c>
      <c r="ER82">
        <v>50.436999999999998</v>
      </c>
      <c r="ES82">
        <v>51.5</v>
      </c>
      <c r="ET82">
        <v>1755.51</v>
      </c>
      <c r="EU82">
        <v>39.5</v>
      </c>
      <c r="EV82">
        <v>0</v>
      </c>
      <c r="EW82">
        <v>97.799999952316284</v>
      </c>
      <c r="EX82">
        <v>0</v>
      </c>
      <c r="EY82">
        <v>862.7915999999999</v>
      </c>
      <c r="EZ82">
        <v>3.834076917794849</v>
      </c>
      <c r="FA82">
        <v>44.769230711646571</v>
      </c>
      <c r="FB82">
        <v>16465.596000000001</v>
      </c>
      <c r="FC82">
        <v>15</v>
      </c>
      <c r="FD82">
        <v>1693336930.5999999</v>
      </c>
      <c r="FE82" t="s">
        <v>756</v>
      </c>
      <c r="FF82">
        <v>1693336919.5999999</v>
      </c>
      <c r="FG82">
        <v>1693336930.5999999</v>
      </c>
      <c r="FH82">
        <v>74</v>
      </c>
      <c r="FI82">
        <v>4.2999999999999997E-2</v>
      </c>
      <c r="FJ82">
        <v>2E-3</v>
      </c>
      <c r="FK82">
        <v>0.75900000000000001</v>
      </c>
      <c r="FL82">
        <v>9.1999999999999998E-2</v>
      </c>
      <c r="FM82">
        <v>500</v>
      </c>
      <c r="FN82">
        <v>22</v>
      </c>
      <c r="FO82">
        <v>7.0000000000000007E-2</v>
      </c>
      <c r="FP82">
        <v>0.04</v>
      </c>
      <c r="FQ82">
        <v>44.445436559190348</v>
      </c>
      <c r="FR82">
        <v>0.44878649965599832</v>
      </c>
      <c r="FS82">
        <v>0.11022988445700529</v>
      </c>
      <c r="FT82">
        <v>1</v>
      </c>
      <c r="FU82">
        <v>0.40477004755911561</v>
      </c>
      <c r="FV82">
        <v>6.629660995448297E-4</v>
      </c>
      <c r="FW82">
        <v>5.6580736787858229E-4</v>
      </c>
      <c r="FX82">
        <v>1</v>
      </c>
      <c r="FY82">
        <v>2</v>
      </c>
      <c r="FZ82">
        <v>2</v>
      </c>
      <c r="GA82" t="s">
        <v>421</v>
      </c>
      <c r="GB82">
        <v>2.8979699999999999</v>
      </c>
      <c r="GC82">
        <v>2.81813</v>
      </c>
      <c r="GD82">
        <v>9.7223900000000002E-2</v>
      </c>
      <c r="GE82">
        <v>0.106296</v>
      </c>
      <c r="GF82">
        <v>0.134239</v>
      </c>
      <c r="GG82">
        <v>0.112721</v>
      </c>
      <c r="GH82">
        <v>24985.1</v>
      </c>
      <c r="GI82">
        <v>24852.6</v>
      </c>
      <c r="GJ82">
        <v>24558.5</v>
      </c>
      <c r="GK82">
        <v>24840.400000000001</v>
      </c>
      <c r="GL82">
        <v>28254.2</v>
      </c>
      <c r="GM82">
        <v>28832.7</v>
      </c>
      <c r="GN82">
        <v>33216.5</v>
      </c>
      <c r="GO82">
        <v>33186</v>
      </c>
      <c r="GP82">
        <v>1.9408000000000001</v>
      </c>
      <c r="GQ82">
        <v>1.7464</v>
      </c>
      <c r="GR82">
        <v>7.8231099999999994E-3</v>
      </c>
      <c r="GS82">
        <v>0</v>
      </c>
      <c r="GT82">
        <v>29.852799999999998</v>
      </c>
      <c r="GU82">
        <v>999.9</v>
      </c>
      <c r="GV82">
        <v>42.6</v>
      </c>
      <c r="GW82">
        <v>43.7</v>
      </c>
      <c r="GX82">
        <v>38.802900000000001</v>
      </c>
      <c r="GY82">
        <v>62.362200000000001</v>
      </c>
      <c r="GZ82">
        <v>25.492799999999999</v>
      </c>
      <c r="HA82">
        <v>1</v>
      </c>
      <c r="HB82">
        <v>0.59510200000000002</v>
      </c>
      <c r="HC82">
        <v>2.5295999999999998</v>
      </c>
      <c r="HD82">
        <v>20.1951</v>
      </c>
      <c r="HE82">
        <v>5.2340600000000004</v>
      </c>
      <c r="HF82">
        <v>11.9201</v>
      </c>
      <c r="HG82">
        <v>4.96</v>
      </c>
      <c r="HH82">
        <v>3.2890000000000001</v>
      </c>
      <c r="HI82">
        <v>9999</v>
      </c>
      <c r="HJ82">
        <v>9999</v>
      </c>
      <c r="HK82">
        <v>9999</v>
      </c>
      <c r="HL82">
        <v>879.5</v>
      </c>
      <c r="HM82">
        <v>1.8806700000000001</v>
      </c>
      <c r="HN82">
        <v>1.8778999999999999</v>
      </c>
      <c r="HO82">
        <v>1.8858200000000001</v>
      </c>
      <c r="HP82">
        <v>1.88354</v>
      </c>
      <c r="HQ82">
        <v>1.8811</v>
      </c>
      <c r="HR82">
        <v>1.88008</v>
      </c>
      <c r="HS82">
        <v>1.8812599999999999</v>
      </c>
      <c r="HT82">
        <v>1.8808</v>
      </c>
      <c r="HU82">
        <v>5</v>
      </c>
      <c r="HV82">
        <v>0</v>
      </c>
      <c r="HW82">
        <v>0</v>
      </c>
      <c r="HX82">
        <v>0</v>
      </c>
      <c r="HY82" t="s">
        <v>422</v>
      </c>
      <c r="HZ82" t="s">
        <v>423</v>
      </c>
      <c r="IA82" t="s">
        <v>424</v>
      </c>
      <c r="IB82" t="s">
        <v>424</v>
      </c>
      <c r="IC82" t="s">
        <v>424</v>
      </c>
      <c r="ID82" t="s">
        <v>424</v>
      </c>
      <c r="IE82">
        <v>0</v>
      </c>
      <c r="IF82">
        <v>100</v>
      </c>
      <c r="IG82">
        <v>100</v>
      </c>
      <c r="IH82">
        <v>0.75900000000000001</v>
      </c>
      <c r="II82">
        <v>9.1999999999999998E-2</v>
      </c>
      <c r="IJ82">
        <v>8.5617209451574139E-2</v>
      </c>
      <c r="IK82">
        <v>2.2153513873161218E-3</v>
      </c>
      <c r="IL82">
        <v>-2.2967369670569612E-6</v>
      </c>
      <c r="IM82">
        <v>7.7859689150384122E-10</v>
      </c>
      <c r="IN82">
        <v>-0.15277316231531879</v>
      </c>
      <c r="IO82">
        <v>-4.1434251034592161E-3</v>
      </c>
      <c r="IP82">
        <v>8.3987709687394815E-4</v>
      </c>
      <c r="IQ82">
        <v>-7.4586254598011197E-6</v>
      </c>
      <c r="IR82">
        <v>2</v>
      </c>
      <c r="IS82">
        <v>1930</v>
      </c>
      <c r="IT82">
        <v>2</v>
      </c>
      <c r="IU82">
        <v>41</v>
      </c>
      <c r="IV82">
        <v>2.1</v>
      </c>
      <c r="IW82">
        <v>2.1</v>
      </c>
      <c r="IX82">
        <v>1.1853</v>
      </c>
      <c r="IY82">
        <v>2.5402800000000001</v>
      </c>
      <c r="IZ82">
        <v>1.24512</v>
      </c>
      <c r="JA82">
        <v>2.2534200000000002</v>
      </c>
      <c r="JB82">
        <v>1.4501999999999999</v>
      </c>
      <c r="JC82">
        <v>2.4475099999999999</v>
      </c>
      <c r="JD82">
        <v>43.182000000000002</v>
      </c>
      <c r="JE82">
        <v>15.962</v>
      </c>
      <c r="JF82">
        <v>18</v>
      </c>
      <c r="JG82">
        <v>496.43599999999998</v>
      </c>
      <c r="JH82">
        <v>414.47500000000002</v>
      </c>
      <c r="JI82">
        <v>26.0839</v>
      </c>
      <c r="JJ82">
        <v>34.593800000000002</v>
      </c>
      <c r="JK82">
        <v>29.9999</v>
      </c>
      <c r="JL82">
        <v>34.4893</v>
      </c>
      <c r="JM82">
        <v>34.446599999999997</v>
      </c>
      <c r="JN82">
        <v>23.824100000000001</v>
      </c>
      <c r="JO82">
        <v>46.145299999999999</v>
      </c>
      <c r="JP82">
        <v>0</v>
      </c>
      <c r="JQ82">
        <v>26.091100000000001</v>
      </c>
      <c r="JR82">
        <v>500</v>
      </c>
      <c r="JS82">
        <v>22.4679</v>
      </c>
      <c r="JT82">
        <v>99.131900000000002</v>
      </c>
      <c r="JU82">
        <v>99.034300000000002</v>
      </c>
    </row>
    <row r="83" spans="1:281" x14ac:dyDescent="0.25">
      <c r="A83">
        <v>67</v>
      </c>
      <c r="B83">
        <v>1693337026.5999999</v>
      </c>
      <c r="C83">
        <v>14313.5</v>
      </c>
      <c r="D83" t="s">
        <v>757</v>
      </c>
      <c r="E83" t="s">
        <v>758</v>
      </c>
      <c r="F83" t="s">
        <v>413</v>
      </c>
      <c r="G83" t="s">
        <v>564</v>
      </c>
      <c r="H83" t="s">
        <v>708</v>
      </c>
      <c r="I83" t="s">
        <v>415</v>
      </c>
      <c r="J83">
        <v>1693337026.5999999</v>
      </c>
      <c r="K83">
        <f t="shared" si="92"/>
        <v>5.3597215518982819E-3</v>
      </c>
      <c r="L83">
        <f t="shared" si="93"/>
        <v>5.3597215518982821</v>
      </c>
      <c r="M83">
        <f t="shared" si="94"/>
        <v>46.010645019401778</v>
      </c>
      <c r="N83">
        <f t="shared" si="95"/>
        <v>641.00300000000004</v>
      </c>
      <c r="O83">
        <f t="shared" si="96"/>
        <v>431.04952958079201</v>
      </c>
      <c r="P83">
        <f t="shared" si="97"/>
        <v>42.682659078963063</v>
      </c>
      <c r="Q83">
        <f t="shared" si="98"/>
        <v>63.4723173093372</v>
      </c>
      <c r="R83">
        <f t="shared" si="99"/>
        <v>0.39653522606284486</v>
      </c>
      <c r="S83">
        <f t="shared" si="100"/>
        <v>2.9127379397629261</v>
      </c>
      <c r="T83">
        <f t="shared" si="101"/>
        <v>0.3688010603896969</v>
      </c>
      <c r="U83">
        <f t="shared" si="102"/>
        <v>0.23283061930616303</v>
      </c>
      <c r="V83">
        <f t="shared" si="103"/>
        <v>344.38139864387927</v>
      </c>
      <c r="W83">
        <f t="shared" si="104"/>
        <v>31.257408272811382</v>
      </c>
      <c r="X83">
        <f t="shared" si="105"/>
        <v>30.023800000000001</v>
      </c>
      <c r="Y83">
        <f t="shared" si="106"/>
        <v>4.2662775015427838</v>
      </c>
      <c r="Z83">
        <f t="shared" si="107"/>
        <v>65.224885765845045</v>
      </c>
      <c r="AA83">
        <f t="shared" si="108"/>
        <v>2.8791542114673598</v>
      </c>
      <c r="AB83">
        <f t="shared" si="109"/>
        <v>4.4141958665951799</v>
      </c>
      <c r="AC83">
        <f t="shared" si="110"/>
        <v>1.387123290075424</v>
      </c>
      <c r="AD83">
        <f t="shared" si="111"/>
        <v>-236.36372043871424</v>
      </c>
      <c r="AE83">
        <f t="shared" si="112"/>
        <v>93.402352740495033</v>
      </c>
      <c r="AF83">
        <f t="shared" si="113"/>
        <v>7.1528040035019487</v>
      </c>
      <c r="AG83">
        <f t="shared" si="114"/>
        <v>208.57283494916203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51745.228177072764</v>
      </c>
      <c r="AM83" t="s">
        <v>416</v>
      </c>
      <c r="AN83">
        <v>10366.9</v>
      </c>
      <c r="AO83">
        <v>993.59653846153856</v>
      </c>
      <c r="AP83">
        <v>3431.87</v>
      </c>
      <c r="AQ83">
        <f t="shared" si="118"/>
        <v>0.71047955241266758</v>
      </c>
      <c r="AR83">
        <v>-3.9894345373445681</v>
      </c>
      <c r="AS83" t="s">
        <v>759</v>
      </c>
      <c r="AT83">
        <v>10419.299999999999</v>
      </c>
      <c r="AU83">
        <v>874.46353846153841</v>
      </c>
      <c r="AV83">
        <v>1261.1550283251879</v>
      </c>
      <c r="AW83">
        <f t="shared" si="119"/>
        <v>0.30661693541132307</v>
      </c>
      <c r="AX83">
        <v>0.5</v>
      </c>
      <c r="AY83">
        <f t="shared" si="120"/>
        <v>1513.2353993219394</v>
      </c>
      <c r="AZ83">
        <f t="shared" si="121"/>
        <v>46.010645019401778</v>
      </c>
      <c r="BA83">
        <f t="shared" si="122"/>
        <v>231.9918003480114</v>
      </c>
      <c r="BB83">
        <f t="shared" si="123"/>
        <v>3.3041838420612361E-2</v>
      </c>
      <c r="BC83">
        <f t="shared" si="124"/>
        <v>1.7212118438424799</v>
      </c>
      <c r="BD83">
        <f t="shared" si="125"/>
        <v>663.13774367500639</v>
      </c>
      <c r="BE83" t="s">
        <v>760</v>
      </c>
      <c r="BF83">
        <v>636.03</v>
      </c>
      <c r="BG83">
        <f t="shared" si="126"/>
        <v>636.03</v>
      </c>
      <c r="BH83">
        <f t="shared" si="127"/>
        <v>0.49567659350758253</v>
      </c>
      <c r="BI83">
        <f t="shared" si="128"/>
        <v>0.61858263921964407</v>
      </c>
      <c r="BJ83">
        <f t="shared" si="129"/>
        <v>0.77640886877461213</v>
      </c>
      <c r="BK83">
        <f t="shared" si="130"/>
        <v>1.4452596516773271</v>
      </c>
      <c r="BL83">
        <f t="shared" si="131"/>
        <v>0.89026723454766632</v>
      </c>
      <c r="BM83">
        <f t="shared" si="132"/>
        <v>0.44991826270430002</v>
      </c>
      <c r="BN83">
        <f t="shared" si="133"/>
        <v>0.55008173729569998</v>
      </c>
      <c r="BO83">
        <v>7680</v>
      </c>
      <c r="BP83">
        <v>290.00000000000011</v>
      </c>
      <c r="BQ83">
        <v>1158.57</v>
      </c>
      <c r="BR83">
        <v>125</v>
      </c>
      <c r="BS83">
        <v>10419.299999999999</v>
      </c>
      <c r="BT83">
        <v>1154.08</v>
      </c>
      <c r="BU83">
        <v>4.49</v>
      </c>
      <c r="BV83">
        <v>300.00000000000011</v>
      </c>
      <c r="BW83">
        <v>38.299999999999997</v>
      </c>
      <c r="BX83">
        <v>1261.1550283251879</v>
      </c>
      <c r="BY83">
        <v>1.2822189198300431</v>
      </c>
      <c r="BZ83">
        <v>-111.5600023161732</v>
      </c>
      <c r="CA83">
        <v>1.0926205474295241</v>
      </c>
      <c r="CB83">
        <v>0.99732135692594226</v>
      </c>
      <c r="CC83">
        <v>-1.130502380422692E-2</v>
      </c>
      <c r="CD83">
        <v>289.99999999999989</v>
      </c>
      <c r="CE83">
        <v>1143.83</v>
      </c>
      <c r="CF83">
        <v>655</v>
      </c>
      <c r="CG83">
        <v>10387.5</v>
      </c>
      <c r="CH83">
        <v>1153.76</v>
      </c>
      <c r="CI83">
        <v>-9.93</v>
      </c>
      <c r="CW83">
        <f t="shared" si="134"/>
        <v>1800.06</v>
      </c>
      <c r="CX83">
        <f t="shared" si="135"/>
        <v>1513.2353993219394</v>
      </c>
      <c r="CY83">
        <f t="shared" si="136"/>
        <v>0.84065831101293265</v>
      </c>
      <c r="CZ83">
        <f t="shared" si="137"/>
        <v>0.19131662202586541</v>
      </c>
      <c r="DA83">
        <v>6</v>
      </c>
      <c r="DB83">
        <v>0.5</v>
      </c>
      <c r="DC83" t="s">
        <v>419</v>
      </c>
      <c r="DD83">
        <v>2</v>
      </c>
      <c r="DE83">
        <v>1693337026.5999999</v>
      </c>
      <c r="DF83">
        <v>641.00300000000004</v>
      </c>
      <c r="DG83">
        <v>700.29899999999998</v>
      </c>
      <c r="DH83">
        <v>29.0764</v>
      </c>
      <c r="DI83">
        <v>22.835899999999999</v>
      </c>
      <c r="DJ83">
        <v>640.21699999999998</v>
      </c>
      <c r="DK83">
        <v>28.8276</v>
      </c>
      <c r="DL83">
        <v>500.33300000000003</v>
      </c>
      <c r="DM83">
        <v>98.921099999999996</v>
      </c>
      <c r="DN83">
        <v>9.9212400000000006E-2</v>
      </c>
      <c r="DO83">
        <v>30.618600000000001</v>
      </c>
      <c r="DP83">
        <v>30.023800000000001</v>
      </c>
      <c r="DQ83">
        <v>999.9</v>
      </c>
      <c r="DR83">
        <v>0</v>
      </c>
      <c r="DS83">
        <v>0</v>
      </c>
      <c r="DT83">
        <v>10012.5</v>
      </c>
      <c r="DU83">
        <v>0</v>
      </c>
      <c r="DV83">
        <v>172.13800000000001</v>
      </c>
      <c r="DW83">
        <v>-59.2958</v>
      </c>
      <c r="DX83">
        <v>660.19899999999996</v>
      </c>
      <c r="DY83">
        <v>716.66499999999996</v>
      </c>
      <c r="DZ83">
        <v>6.2404500000000001</v>
      </c>
      <c r="EA83">
        <v>700.29899999999998</v>
      </c>
      <c r="EB83">
        <v>22.835899999999999</v>
      </c>
      <c r="EC83">
        <v>2.8762699999999999</v>
      </c>
      <c r="ED83">
        <v>2.25895</v>
      </c>
      <c r="EE83">
        <v>23.328399999999998</v>
      </c>
      <c r="EF83">
        <v>19.386700000000001</v>
      </c>
      <c r="EG83">
        <v>1800.06</v>
      </c>
      <c r="EH83">
        <v>0.97799499999999995</v>
      </c>
      <c r="EI83">
        <v>2.2004900000000001E-2</v>
      </c>
      <c r="EJ83">
        <v>0</v>
      </c>
      <c r="EK83">
        <v>873.77800000000002</v>
      </c>
      <c r="EL83">
        <v>5.0010300000000001</v>
      </c>
      <c r="EM83">
        <v>16672.8</v>
      </c>
      <c r="EN83">
        <v>14701.6</v>
      </c>
      <c r="EO83">
        <v>50</v>
      </c>
      <c r="EP83">
        <v>51.061999999999998</v>
      </c>
      <c r="EQ83">
        <v>51.311999999999998</v>
      </c>
      <c r="ER83">
        <v>50.125</v>
      </c>
      <c r="ES83">
        <v>51.375</v>
      </c>
      <c r="ET83">
        <v>1755.56</v>
      </c>
      <c r="EU83">
        <v>39.5</v>
      </c>
      <c r="EV83">
        <v>0</v>
      </c>
      <c r="EW83">
        <v>124.7999999523163</v>
      </c>
      <c r="EX83">
        <v>0</v>
      </c>
      <c r="EY83">
        <v>874.46353846153841</v>
      </c>
      <c r="EZ83">
        <v>-4.1184273705307959</v>
      </c>
      <c r="FA83">
        <v>-72.745299228352536</v>
      </c>
      <c r="FB83">
        <v>16681.915384615389</v>
      </c>
      <c r="FC83">
        <v>15</v>
      </c>
      <c r="FD83">
        <v>1693336994.5999999</v>
      </c>
      <c r="FE83" t="s">
        <v>761</v>
      </c>
      <c r="FF83">
        <v>1693336992.5999999</v>
      </c>
      <c r="FG83">
        <v>1693336994.5999999</v>
      </c>
      <c r="FH83">
        <v>75</v>
      </c>
      <c r="FI83">
        <v>-2.4E-2</v>
      </c>
      <c r="FJ83">
        <v>0</v>
      </c>
      <c r="FK83">
        <v>0.79700000000000004</v>
      </c>
      <c r="FL83">
        <v>9.9000000000000005E-2</v>
      </c>
      <c r="FM83">
        <v>700</v>
      </c>
      <c r="FN83">
        <v>23</v>
      </c>
      <c r="FO83">
        <v>0.16</v>
      </c>
      <c r="FP83">
        <v>0.05</v>
      </c>
      <c r="FQ83">
        <v>45.828887890102088</v>
      </c>
      <c r="FR83">
        <v>-0.39811625486798669</v>
      </c>
      <c r="FS83">
        <v>0.1585094043553836</v>
      </c>
      <c r="FT83">
        <v>1</v>
      </c>
      <c r="FU83">
        <v>0.40438748608169439</v>
      </c>
      <c r="FV83">
        <v>-4.2576151274388317E-2</v>
      </c>
      <c r="FW83">
        <v>3.5918502193186472E-3</v>
      </c>
      <c r="FX83">
        <v>1</v>
      </c>
      <c r="FY83">
        <v>2</v>
      </c>
      <c r="FZ83">
        <v>2</v>
      </c>
      <c r="GA83" t="s">
        <v>421</v>
      </c>
      <c r="GB83">
        <v>2.8980899999999998</v>
      </c>
      <c r="GC83">
        <v>2.8173300000000001</v>
      </c>
      <c r="GD83">
        <v>0.12681600000000001</v>
      </c>
      <c r="GE83">
        <v>0.13483999999999999</v>
      </c>
      <c r="GF83">
        <v>0.13499</v>
      </c>
      <c r="GG83">
        <v>0.11414100000000001</v>
      </c>
      <c r="GH83">
        <v>24169.1</v>
      </c>
      <c r="GI83">
        <v>24060.6</v>
      </c>
      <c r="GJ83">
        <v>24561.4</v>
      </c>
      <c r="GK83">
        <v>24842.1</v>
      </c>
      <c r="GL83">
        <v>28232</v>
      </c>
      <c r="GM83">
        <v>28787.4</v>
      </c>
      <c r="GN83">
        <v>33219.699999999997</v>
      </c>
      <c r="GO83">
        <v>33187.300000000003</v>
      </c>
      <c r="GP83">
        <v>1.9408000000000001</v>
      </c>
      <c r="GQ83">
        <v>1.7516</v>
      </c>
      <c r="GR83">
        <v>1.37836E-2</v>
      </c>
      <c r="GS83">
        <v>0</v>
      </c>
      <c r="GT83">
        <v>29.799399999999999</v>
      </c>
      <c r="GU83">
        <v>999.9</v>
      </c>
      <c r="GV83">
        <v>42.7</v>
      </c>
      <c r="GW83">
        <v>43.4</v>
      </c>
      <c r="GX83">
        <v>38.291699999999999</v>
      </c>
      <c r="GY83">
        <v>62.112200000000001</v>
      </c>
      <c r="GZ83">
        <v>25.532900000000001</v>
      </c>
      <c r="HA83">
        <v>1</v>
      </c>
      <c r="HB83">
        <v>0.58963399999999999</v>
      </c>
      <c r="HC83">
        <v>2.7369300000000001</v>
      </c>
      <c r="HD83">
        <v>20.190300000000001</v>
      </c>
      <c r="HE83">
        <v>5.2238800000000003</v>
      </c>
      <c r="HF83">
        <v>11.9201</v>
      </c>
      <c r="HG83">
        <v>4.9577999999999998</v>
      </c>
      <c r="HH83">
        <v>3.2866</v>
      </c>
      <c r="HI83">
        <v>9999</v>
      </c>
      <c r="HJ83">
        <v>9999</v>
      </c>
      <c r="HK83">
        <v>9999</v>
      </c>
      <c r="HL83">
        <v>879.5</v>
      </c>
      <c r="HM83">
        <v>1.8806499999999999</v>
      </c>
      <c r="HN83">
        <v>1.87784</v>
      </c>
      <c r="HO83">
        <v>1.8858200000000001</v>
      </c>
      <c r="HP83">
        <v>1.88354</v>
      </c>
      <c r="HQ83">
        <v>1.8811</v>
      </c>
      <c r="HR83">
        <v>1.8800600000000001</v>
      </c>
      <c r="HS83">
        <v>1.8812599999999999</v>
      </c>
      <c r="HT83">
        <v>1.8807700000000001</v>
      </c>
      <c r="HU83">
        <v>5</v>
      </c>
      <c r="HV83">
        <v>0</v>
      </c>
      <c r="HW83">
        <v>0</v>
      </c>
      <c r="HX83">
        <v>0</v>
      </c>
      <c r="HY83" t="s">
        <v>422</v>
      </c>
      <c r="HZ83" t="s">
        <v>423</v>
      </c>
      <c r="IA83" t="s">
        <v>424</v>
      </c>
      <c r="IB83" t="s">
        <v>424</v>
      </c>
      <c r="IC83" t="s">
        <v>424</v>
      </c>
      <c r="ID83" t="s">
        <v>424</v>
      </c>
      <c r="IE83">
        <v>0</v>
      </c>
      <c r="IF83">
        <v>100</v>
      </c>
      <c r="IG83">
        <v>100</v>
      </c>
      <c r="IH83">
        <v>0.78600000000000003</v>
      </c>
      <c r="II83">
        <v>0.24879999999999999</v>
      </c>
      <c r="IJ83">
        <v>0.1043968139216829</v>
      </c>
      <c r="IK83">
        <v>2.2153513873161218E-3</v>
      </c>
      <c r="IL83">
        <v>-2.2967369670569612E-6</v>
      </c>
      <c r="IM83">
        <v>7.7859689150384122E-10</v>
      </c>
      <c r="IN83">
        <v>-0.1510687721154603</v>
      </c>
      <c r="IO83">
        <v>-4.1434251034592161E-3</v>
      </c>
      <c r="IP83">
        <v>8.3987709687394815E-4</v>
      </c>
      <c r="IQ83">
        <v>-7.4586254598011197E-6</v>
      </c>
      <c r="IR83">
        <v>2</v>
      </c>
      <c r="IS83">
        <v>1930</v>
      </c>
      <c r="IT83">
        <v>2</v>
      </c>
      <c r="IU83">
        <v>41</v>
      </c>
      <c r="IV83">
        <v>0.6</v>
      </c>
      <c r="IW83">
        <v>0.5</v>
      </c>
      <c r="IX83">
        <v>1.55518</v>
      </c>
      <c r="IY83">
        <v>2.5317400000000001</v>
      </c>
      <c r="IZ83">
        <v>1.24512</v>
      </c>
      <c r="JA83">
        <v>2.2534200000000002</v>
      </c>
      <c r="JB83">
        <v>1.4501999999999999</v>
      </c>
      <c r="JC83">
        <v>2.4389599999999998</v>
      </c>
      <c r="JD83">
        <v>42.992899999999999</v>
      </c>
      <c r="JE83">
        <v>15.9533</v>
      </c>
      <c r="JF83">
        <v>18</v>
      </c>
      <c r="JG83">
        <v>495.983</v>
      </c>
      <c r="JH83">
        <v>417.39400000000001</v>
      </c>
      <c r="JI83">
        <v>26.138100000000001</v>
      </c>
      <c r="JJ83">
        <v>34.524700000000003</v>
      </c>
      <c r="JK83">
        <v>29.9999</v>
      </c>
      <c r="JL83">
        <v>34.432699999999997</v>
      </c>
      <c r="JM83">
        <v>34.387300000000003</v>
      </c>
      <c r="JN83">
        <v>31.229299999999999</v>
      </c>
      <c r="JO83">
        <v>44.3322</v>
      </c>
      <c r="JP83">
        <v>0</v>
      </c>
      <c r="JQ83">
        <v>26.142600000000002</v>
      </c>
      <c r="JR83">
        <v>700</v>
      </c>
      <c r="JS83">
        <v>22.794599999999999</v>
      </c>
      <c r="JT83">
        <v>99.142300000000006</v>
      </c>
      <c r="JU83">
        <v>99.039400000000001</v>
      </c>
    </row>
    <row r="84" spans="1:281" x14ac:dyDescent="0.25">
      <c r="A84">
        <v>68</v>
      </c>
      <c r="B84">
        <v>1693337134.5999999</v>
      </c>
      <c r="C84">
        <v>14421.5</v>
      </c>
      <c r="D84" t="s">
        <v>762</v>
      </c>
      <c r="E84" t="s">
        <v>763</v>
      </c>
      <c r="F84" t="s">
        <v>413</v>
      </c>
      <c r="G84" t="s">
        <v>564</v>
      </c>
      <c r="H84" t="s">
        <v>708</v>
      </c>
      <c r="I84" t="s">
        <v>415</v>
      </c>
      <c r="J84">
        <v>1693337134.5999999</v>
      </c>
      <c r="K84">
        <f t="shared" si="92"/>
        <v>5.1109046498585579E-3</v>
      </c>
      <c r="L84">
        <f t="shared" si="93"/>
        <v>5.1109046498585577</v>
      </c>
      <c r="M84">
        <f t="shared" si="94"/>
        <v>45.746784490988674</v>
      </c>
      <c r="N84">
        <f t="shared" si="95"/>
        <v>840.11400000000003</v>
      </c>
      <c r="O84">
        <f t="shared" si="96"/>
        <v>617.44503991828788</v>
      </c>
      <c r="P84">
        <f t="shared" si="97"/>
        <v>61.136959436147571</v>
      </c>
      <c r="Q84">
        <f t="shared" si="98"/>
        <v>83.184756891944403</v>
      </c>
      <c r="R84">
        <f t="shared" si="99"/>
        <v>0.37727062531636524</v>
      </c>
      <c r="S84">
        <f t="shared" si="100"/>
        <v>2.9139838971186416</v>
      </c>
      <c r="T84">
        <f t="shared" si="101"/>
        <v>0.35208399131495999</v>
      </c>
      <c r="U84">
        <f t="shared" si="102"/>
        <v>0.22217513887034429</v>
      </c>
      <c r="V84">
        <f t="shared" si="103"/>
        <v>344.33959864371354</v>
      </c>
      <c r="W84">
        <f t="shared" si="104"/>
        <v>31.312378839670284</v>
      </c>
      <c r="X84">
        <f t="shared" si="105"/>
        <v>30.0258</v>
      </c>
      <c r="Y84">
        <f t="shared" si="106"/>
        <v>4.2667675429518424</v>
      </c>
      <c r="Z84">
        <f t="shared" si="107"/>
        <v>65.308977708719979</v>
      </c>
      <c r="AA84">
        <f t="shared" si="108"/>
        <v>2.8813170988426999</v>
      </c>
      <c r="AB84">
        <f t="shared" si="109"/>
        <v>4.4118239175224296</v>
      </c>
      <c r="AC84">
        <f t="shared" si="110"/>
        <v>1.3854504441091424</v>
      </c>
      <c r="AD84">
        <f t="shared" si="111"/>
        <v>-225.3908950587624</v>
      </c>
      <c r="AE84">
        <f t="shared" si="112"/>
        <v>91.65138149917604</v>
      </c>
      <c r="AF84">
        <f t="shared" si="113"/>
        <v>7.0154556101076873</v>
      </c>
      <c r="AG84">
        <f t="shared" si="114"/>
        <v>217.61554069423485</v>
      </c>
      <c r="AH84">
        <v>0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51782.107348461919</v>
      </c>
      <c r="AM84" t="s">
        <v>416</v>
      </c>
      <c r="AN84">
        <v>10366.9</v>
      </c>
      <c r="AO84">
        <v>993.59653846153856</v>
      </c>
      <c r="AP84">
        <v>3431.87</v>
      </c>
      <c r="AQ84">
        <f t="shared" si="118"/>
        <v>0.71047955241266758</v>
      </c>
      <c r="AR84">
        <v>-3.9894345373445681</v>
      </c>
      <c r="AS84" t="s">
        <v>764</v>
      </c>
      <c r="AT84">
        <v>10416.5</v>
      </c>
      <c r="AU84">
        <v>869.97644000000003</v>
      </c>
      <c r="AV84">
        <v>1258.1116483591079</v>
      </c>
      <c r="AW84">
        <f t="shared" si="119"/>
        <v>0.30850617182134288</v>
      </c>
      <c r="AX84">
        <v>0.5</v>
      </c>
      <c r="AY84">
        <f t="shared" si="120"/>
        <v>1513.0505993218567</v>
      </c>
      <c r="AZ84">
        <f t="shared" si="121"/>
        <v>45.746784490988674</v>
      </c>
      <c r="BA84">
        <f t="shared" si="122"/>
        <v>233.39272408438725</v>
      </c>
      <c r="BB84">
        <f t="shared" si="123"/>
        <v>3.2871484305035677E-2</v>
      </c>
      <c r="BC84">
        <f t="shared" si="124"/>
        <v>1.7277944723554675</v>
      </c>
      <c r="BD84">
        <f t="shared" si="125"/>
        <v>662.29533280880332</v>
      </c>
      <c r="BE84" t="s">
        <v>765</v>
      </c>
      <c r="BF84">
        <v>633.14</v>
      </c>
      <c r="BG84">
        <f t="shared" si="126"/>
        <v>633.14</v>
      </c>
      <c r="BH84">
        <f t="shared" si="127"/>
        <v>0.49675372545372043</v>
      </c>
      <c r="BI84">
        <f t="shared" si="128"/>
        <v>0.62104450558385316</v>
      </c>
      <c r="BJ84">
        <f t="shared" si="129"/>
        <v>0.77669455490200634</v>
      </c>
      <c r="BK84">
        <f t="shared" si="130"/>
        <v>1.4673460752749024</v>
      </c>
      <c r="BL84">
        <f t="shared" si="131"/>
        <v>0.89151540462132173</v>
      </c>
      <c r="BM84">
        <f t="shared" si="132"/>
        <v>0.45197559403489224</v>
      </c>
      <c r="BN84">
        <f t="shared" si="133"/>
        <v>0.54802440596510782</v>
      </c>
      <c r="BO84">
        <v>7682</v>
      </c>
      <c r="BP84">
        <v>290.00000000000011</v>
      </c>
      <c r="BQ84">
        <v>1155.0899999999999</v>
      </c>
      <c r="BR84">
        <v>135</v>
      </c>
      <c r="BS84">
        <v>10416.5</v>
      </c>
      <c r="BT84">
        <v>1150.79</v>
      </c>
      <c r="BU84">
        <v>4.3</v>
      </c>
      <c r="BV84">
        <v>300.00000000000011</v>
      </c>
      <c r="BW84">
        <v>38.299999999999997</v>
      </c>
      <c r="BX84">
        <v>1258.1116483591079</v>
      </c>
      <c r="BY84">
        <v>1.2623707073648549</v>
      </c>
      <c r="BZ84">
        <v>-111.7930202128516</v>
      </c>
      <c r="CA84">
        <v>1.0755950361396951</v>
      </c>
      <c r="CB84">
        <v>0.99741475314096495</v>
      </c>
      <c r="CC84">
        <v>-1.130390077864294E-2</v>
      </c>
      <c r="CD84">
        <v>289.99999999999989</v>
      </c>
      <c r="CE84">
        <v>1140.18</v>
      </c>
      <c r="CF84">
        <v>655</v>
      </c>
      <c r="CG84">
        <v>10386.5</v>
      </c>
      <c r="CH84">
        <v>1150.48</v>
      </c>
      <c r="CI84">
        <v>-10.3</v>
      </c>
      <c r="CW84">
        <f t="shared" si="134"/>
        <v>1799.84</v>
      </c>
      <c r="CX84">
        <f t="shared" si="135"/>
        <v>1513.0505993218567</v>
      </c>
      <c r="CY84">
        <f t="shared" si="136"/>
        <v>0.84065839148027421</v>
      </c>
      <c r="CZ84">
        <f t="shared" si="137"/>
        <v>0.19131678296054846</v>
      </c>
      <c r="DA84">
        <v>6</v>
      </c>
      <c r="DB84">
        <v>0.5</v>
      </c>
      <c r="DC84" t="s">
        <v>419</v>
      </c>
      <c r="DD84">
        <v>2</v>
      </c>
      <c r="DE84">
        <v>1693337134.5999999</v>
      </c>
      <c r="DF84">
        <v>840.11400000000003</v>
      </c>
      <c r="DG84">
        <v>900.10599999999999</v>
      </c>
      <c r="DH84">
        <v>29.099499999999999</v>
      </c>
      <c r="DI84">
        <v>23.150500000000001</v>
      </c>
      <c r="DJ84">
        <v>839.27599999999995</v>
      </c>
      <c r="DK84">
        <v>28.846499999999999</v>
      </c>
      <c r="DL84">
        <v>500.47199999999998</v>
      </c>
      <c r="DM84">
        <v>98.917500000000004</v>
      </c>
      <c r="DN84">
        <v>9.85346E-2</v>
      </c>
      <c r="DO84">
        <v>30.609200000000001</v>
      </c>
      <c r="DP84">
        <v>30.0258</v>
      </c>
      <c r="DQ84">
        <v>999.9</v>
      </c>
      <c r="DR84">
        <v>0</v>
      </c>
      <c r="DS84">
        <v>0</v>
      </c>
      <c r="DT84">
        <v>10020</v>
      </c>
      <c r="DU84">
        <v>0</v>
      </c>
      <c r="DV84">
        <v>171.45</v>
      </c>
      <c r="DW84">
        <v>-59.992199999999997</v>
      </c>
      <c r="DX84">
        <v>865.29300000000001</v>
      </c>
      <c r="DY84">
        <v>921.43799999999999</v>
      </c>
      <c r="DZ84">
        <v>5.9489299999999998</v>
      </c>
      <c r="EA84">
        <v>900.10599999999999</v>
      </c>
      <c r="EB84">
        <v>23.150500000000001</v>
      </c>
      <c r="EC84">
        <v>2.8784399999999999</v>
      </c>
      <c r="ED84">
        <v>2.28999</v>
      </c>
      <c r="EE84">
        <v>23.341000000000001</v>
      </c>
      <c r="EF84">
        <v>19.606200000000001</v>
      </c>
      <c r="EG84">
        <v>1799.84</v>
      </c>
      <c r="EH84">
        <v>0.97799499999999995</v>
      </c>
      <c r="EI84">
        <v>2.2004900000000001E-2</v>
      </c>
      <c r="EJ84">
        <v>0</v>
      </c>
      <c r="EK84">
        <v>869.197</v>
      </c>
      <c r="EL84">
        <v>5.0010300000000001</v>
      </c>
      <c r="EM84">
        <v>16589.8</v>
      </c>
      <c r="EN84">
        <v>14699.7</v>
      </c>
      <c r="EO84">
        <v>50.061999999999998</v>
      </c>
      <c r="EP84">
        <v>51.125</v>
      </c>
      <c r="EQ84">
        <v>51.436999999999998</v>
      </c>
      <c r="ER84">
        <v>50.25</v>
      </c>
      <c r="ES84">
        <v>51.375</v>
      </c>
      <c r="ET84">
        <v>1755.34</v>
      </c>
      <c r="EU84">
        <v>39.5</v>
      </c>
      <c r="EV84">
        <v>0</v>
      </c>
      <c r="EW84">
        <v>106.2000000476837</v>
      </c>
      <c r="EX84">
        <v>0</v>
      </c>
      <c r="EY84">
        <v>869.97644000000003</v>
      </c>
      <c r="EZ84">
        <v>-5.7468461710655054</v>
      </c>
      <c r="FA84">
        <v>-110.52307687970639</v>
      </c>
      <c r="FB84">
        <v>16604.531999999999</v>
      </c>
      <c r="FC84">
        <v>15</v>
      </c>
      <c r="FD84">
        <v>1693337102.0999999</v>
      </c>
      <c r="FE84" t="s">
        <v>766</v>
      </c>
      <c r="FF84">
        <v>1693337101.0999999</v>
      </c>
      <c r="FG84">
        <v>1693337102.0999999</v>
      </c>
      <c r="FH84">
        <v>76</v>
      </c>
      <c r="FI84">
        <v>3.2000000000000001E-2</v>
      </c>
      <c r="FJ84">
        <v>4.0000000000000001E-3</v>
      </c>
      <c r="FK84">
        <v>0.83699999999999997</v>
      </c>
      <c r="FL84">
        <v>0.10199999999999999</v>
      </c>
      <c r="FM84">
        <v>900</v>
      </c>
      <c r="FN84">
        <v>23</v>
      </c>
      <c r="FO84">
        <v>0.17</v>
      </c>
      <c r="FP84">
        <v>0.08</v>
      </c>
      <c r="FQ84">
        <v>45.59212060250389</v>
      </c>
      <c r="FR84">
        <v>-0.14444881683620511</v>
      </c>
      <c r="FS84">
        <v>0.15428709921610179</v>
      </c>
      <c r="FT84">
        <v>1</v>
      </c>
      <c r="FU84">
        <v>0.38095906204765412</v>
      </c>
      <c r="FV84">
        <v>-6.7968315535149437E-3</v>
      </c>
      <c r="FW84">
        <v>2.4867923152020301E-3</v>
      </c>
      <c r="FX84">
        <v>1</v>
      </c>
      <c r="FY84">
        <v>2</v>
      </c>
      <c r="FZ84">
        <v>2</v>
      </c>
      <c r="GA84" t="s">
        <v>421</v>
      </c>
      <c r="GB84">
        <v>2.8985099999999999</v>
      </c>
      <c r="GC84">
        <v>2.8167200000000001</v>
      </c>
      <c r="GD84">
        <v>0.15226799999999999</v>
      </c>
      <c r="GE84">
        <v>0.15933700000000001</v>
      </c>
      <c r="GF84">
        <v>0.13505500000000001</v>
      </c>
      <c r="GG84">
        <v>0.115228</v>
      </c>
      <c r="GH84">
        <v>23464.799999999999</v>
      </c>
      <c r="GI84">
        <v>23379.5</v>
      </c>
      <c r="GJ84">
        <v>24562.1</v>
      </c>
      <c r="GK84">
        <v>24842.7</v>
      </c>
      <c r="GL84">
        <v>28230.9</v>
      </c>
      <c r="GM84">
        <v>28753.8</v>
      </c>
      <c r="GN84">
        <v>33221.199999999997</v>
      </c>
      <c r="GO84">
        <v>33189.4</v>
      </c>
      <c r="GP84">
        <v>1.9402999999999999</v>
      </c>
      <c r="GQ84">
        <v>1.7544999999999999</v>
      </c>
      <c r="GR84">
        <v>5.2899100000000001E-3</v>
      </c>
      <c r="GS84">
        <v>0</v>
      </c>
      <c r="GT84">
        <v>29.939699999999998</v>
      </c>
      <c r="GU84">
        <v>999.9</v>
      </c>
      <c r="GV84">
        <v>42.8</v>
      </c>
      <c r="GW84">
        <v>43.2</v>
      </c>
      <c r="GX84">
        <v>37.984299999999998</v>
      </c>
      <c r="GY84">
        <v>61.992199999999997</v>
      </c>
      <c r="GZ84">
        <v>25.845400000000001</v>
      </c>
      <c r="HA84">
        <v>1</v>
      </c>
      <c r="HB84">
        <v>0.58926800000000001</v>
      </c>
      <c r="HC84">
        <v>3.3725800000000001</v>
      </c>
      <c r="HD84">
        <v>20.178999999999998</v>
      </c>
      <c r="HE84">
        <v>5.2190899999999996</v>
      </c>
      <c r="HF84">
        <v>11.9201</v>
      </c>
      <c r="HG84">
        <v>4.9565999999999999</v>
      </c>
      <c r="HH84">
        <v>3.286</v>
      </c>
      <c r="HI84">
        <v>9999</v>
      </c>
      <c r="HJ84">
        <v>9999</v>
      </c>
      <c r="HK84">
        <v>9999</v>
      </c>
      <c r="HL84">
        <v>879.6</v>
      </c>
      <c r="HM84">
        <v>1.8806499999999999</v>
      </c>
      <c r="HN84">
        <v>1.87785</v>
      </c>
      <c r="HO84">
        <v>1.8857900000000001</v>
      </c>
      <c r="HP84">
        <v>1.88354</v>
      </c>
      <c r="HQ84">
        <v>1.8811</v>
      </c>
      <c r="HR84">
        <v>1.8800600000000001</v>
      </c>
      <c r="HS84">
        <v>1.8812599999999999</v>
      </c>
      <c r="HT84">
        <v>1.8807400000000001</v>
      </c>
      <c r="HU84">
        <v>5</v>
      </c>
      <c r="HV84">
        <v>0</v>
      </c>
      <c r="HW84">
        <v>0</v>
      </c>
      <c r="HX84">
        <v>0</v>
      </c>
      <c r="HY84" t="s">
        <v>422</v>
      </c>
      <c r="HZ84" t="s">
        <v>423</v>
      </c>
      <c r="IA84" t="s">
        <v>424</v>
      </c>
      <c r="IB84" t="s">
        <v>424</v>
      </c>
      <c r="IC84" t="s">
        <v>424</v>
      </c>
      <c r="ID84" t="s">
        <v>424</v>
      </c>
      <c r="IE84">
        <v>0</v>
      </c>
      <c r="IF84">
        <v>100</v>
      </c>
      <c r="IG84">
        <v>100</v>
      </c>
      <c r="IH84">
        <v>0.83799999999999997</v>
      </c>
      <c r="II84">
        <v>0.253</v>
      </c>
      <c r="IJ84">
        <v>0.13592378339179151</v>
      </c>
      <c r="IK84">
        <v>2.2153513873161218E-3</v>
      </c>
      <c r="IL84">
        <v>-2.2967369670569612E-6</v>
      </c>
      <c r="IM84">
        <v>7.7859689150384122E-10</v>
      </c>
      <c r="IN84">
        <v>-0.14736306056712969</v>
      </c>
      <c r="IO84">
        <v>-4.1434251034592161E-3</v>
      </c>
      <c r="IP84">
        <v>8.3987709687394815E-4</v>
      </c>
      <c r="IQ84">
        <v>-7.4586254598011197E-6</v>
      </c>
      <c r="IR84">
        <v>2</v>
      </c>
      <c r="IS84">
        <v>1930</v>
      </c>
      <c r="IT84">
        <v>2</v>
      </c>
      <c r="IU84">
        <v>41</v>
      </c>
      <c r="IV84">
        <v>0.6</v>
      </c>
      <c r="IW84">
        <v>0.5</v>
      </c>
      <c r="IX84">
        <v>1.9079600000000001</v>
      </c>
      <c r="IY84">
        <v>2.5268600000000001</v>
      </c>
      <c r="IZ84">
        <v>1.24512</v>
      </c>
      <c r="JA84">
        <v>2.2534200000000002</v>
      </c>
      <c r="JB84">
        <v>1.4501999999999999</v>
      </c>
      <c r="JC84">
        <v>2.3754900000000001</v>
      </c>
      <c r="JD84">
        <v>42.831499999999998</v>
      </c>
      <c r="JE84">
        <v>15.927</v>
      </c>
      <c r="JF84">
        <v>18</v>
      </c>
      <c r="JG84">
        <v>495.36799999999999</v>
      </c>
      <c r="JH84">
        <v>419.041</v>
      </c>
      <c r="JI84">
        <v>25.464300000000001</v>
      </c>
      <c r="JJ84">
        <v>34.499600000000001</v>
      </c>
      <c r="JK84">
        <v>30.0001</v>
      </c>
      <c r="JL84">
        <v>34.399000000000001</v>
      </c>
      <c r="JM84">
        <v>34.356000000000002</v>
      </c>
      <c r="JN84">
        <v>38.281300000000002</v>
      </c>
      <c r="JO84">
        <v>43.189799999999998</v>
      </c>
      <c r="JP84">
        <v>0</v>
      </c>
      <c r="JQ84">
        <v>25.445699999999999</v>
      </c>
      <c r="JR84">
        <v>900</v>
      </c>
      <c r="JS84">
        <v>23.178000000000001</v>
      </c>
      <c r="JT84">
        <v>99.146000000000001</v>
      </c>
      <c r="JU84">
        <v>99.0441</v>
      </c>
    </row>
    <row r="85" spans="1:281" x14ac:dyDescent="0.25">
      <c r="A85">
        <v>69</v>
      </c>
      <c r="B85">
        <v>1693337281.0999999</v>
      </c>
      <c r="C85">
        <v>14568</v>
      </c>
      <c r="D85" t="s">
        <v>767</v>
      </c>
      <c r="E85" t="s">
        <v>768</v>
      </c>
      <c r="F85" t="s">
        <v>413</v>
      </c>
      <c r="G85" t="s">
        <v>564</v>
      </c>
      <c r="H85" t="s">
        <v>708</v>
      </c>
      <c r="I85" t="s">
        <v>415</v>
      </c>
      <c r="J85">
        <v>1693337281.0999999</v>
      </c>
      <c r="K85">
        <f t="shared" si="92"/>
        <v>4.9076916306363544E-3</v>
      </c>
      <c r="L85">
        <f t="shared" si="93"/>
        <v>4.9076916306363545</v>
      </c>
      <c r="M85">
        <f t="shared" si="94"/>
        <v>44.581708394731066</v>
      </c>
      <c r="N85">
        <f t="shared" si="95"/>
        <v>1139.72</v>
      </c>
      <c r="O85">
        <f t="shared" si="96"/>
        <v>903.73699242742907</v>
      </c>
      <c r="P85">
        <f t="shared" si="97"/>
        <v>89.485210100851702</v>
      </c>
      <c r="Q85">
        <f t="shared" si="98"/>
        <v>112.85150935583999</v>
      </c>
      <c r="R85">
        <f t="shared" si="99"/>
        <v>0.35576375987236697</v>
      </c>
      <c r="S85">
        <f t="shared" si="100"/>
        <v>2.9060970072945755</v>
      </c>
      <c r="T85">
        <f t="shared" si="101"/>
        <v>0.33321820153033044</v>
      </c>
      <c r="U85">
        <f t="shared" si="102"/>
        <v>0.21016783070335987</v>
      </c>
      <c r="V85">
        <f t="shared" si="103"/>
        <v>344.33139864402676</v>
      </c>
      <c r="W85">
        <f t="shared" si="104"/>
        <v>31.265068487380482</v>
      </c>
      <c r="X85">
        <f t="shared" si="105"/>
        <v>29.999400000000001</v>
      </c>
      <c r="Y85">
        <f t="shared" si="106"/>
        <v>4.2603029445810465</v>
      </c>
      <c r="Z85">
        <f t="shared" si="107"/>
        <v>65.077287483870478</v>
      </c>
      <c r="AA85">
        <f t="shared" si="108"/>
        <v>2.8543593691439999</v>
      </c>
      <c r="AB85">
        <f t="shared" si="109"/>
        <v>4.3861068577135418</v>
      </c>
      <c r="AC85">
        <f t="shared" si="110"/>
        <v>1.4059435754370466</v>
      </c>
      <c r="AD85">
        <f t="shared" si="111"/>
        <v>-216.42920091106322</v>
      </c>
      <c r="AE85">
        <f t="shared" si="112"/>
        <v>79.527469542747809</v>
      </c>
      <c r="AF85">
        <f t="shared" si="113"/>
        <v>6.1000689764739642</v>
      </c>
      <c r="AG85">
        <f t="shared" si="114"/>
        <v>213.5297362521853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51575.811412671843</v>
      </c>
      <c r="AM85" t="s">
        <v>416</v>
      </c>
      <c r="AN85">
        <v>10366.9</v>
      </c>
      <c r="AO85">
        <v>993.59653846153856</v>
      </c>
      <c r="AP85">
        <v>3431.87</v>
      </c>
      <c r="AQ85">
        <f t="shared" si="118"/>
        <v>0.71047955241266758</v>
      </c>
      <c r="AR85">
        <v>-3.9894345373445681</v>
      </c>
      <c r="AS85" t="s">
        <v>769</v>
      </c>
      <c r="AT85">
        <v>10414.4</v>
      </c>
      <c r="AU85">
        <v>862.40899999999988</v>
      </c>
      <c r="AV85">
        <v>1246.1538148096879</v>
      </c>
      <c r="AW85">
        <f t="shared" si="119"/>
        <v>0.30794337765462232</v>
      </c>
      <c r="AX85">
        <v>0.5</v>
      </c>
      <c r="AY85">
        <f t="shared" si="120"/>
        <v>1513.0166993220134</v>
      </c>
      <c r="AZ85">
        <f t="shared" si="121"/>
        <v>44.581708394731066</v>
      </c>
      <c r="BA85">
        <f t="shared" si="122"/>
        <v>232.96173641853446</v>
      </c>
      <c r="BB85">
        <f t="shared" si="123"/>
        <v>3.2102185622829203E-2</v>
      </c>
      <c r="BC85">
        <f t="shared" si="124"/>
        <v>1.7539698223562503</v>
      </c>
      <c r="BD85">
        <f t="shared" si="125"/>
        <v>658.96661654882712</v>
      </c>
      <c r="BE85" t="s">
        <v>770</v>
      </c>
      <c r="BF85">
        <v>631.39</v>
      </c>
      <c r="BG85">
        <f t="shared" si="126"/>
        <v>631.39</v>
      </c>
      <c r="BH85">
        <f t="shared" si="127"/>
        <v>0.49332899960152543</v>
      </c>
      <c r="BI85">
        <f t="shared" si="128"/>
        <v>0.62421503277398283</v>
      </c>
      <c r="BJ85">
        <f t="shared" si="129"/>
        <v>0.7804791268605068</v>
      </c>
      <c r="BK85">
        <f t="shared" si="130"/>
        <v>1.5194367802759208</v>
      </c>
      <c r="BL85">
        <f t="shared" si="131"/>
        <v>0.89641962629212424</v>
      </c>
      <c r="BM85">
        <f t="shared" si="132"/>
        <v>0.45700257017629115</v>
      </c>
      <c r="BN85">
        <f t="shared" si="133"/>
        <v>0.5429974298237088</v>
      </c>
      <c r="BO85">
        <v>7684</v>
      </c>
      <c r="BP85">
        <v>290.00000000000011</v>
      </c>
      <c r="BQ85">
        <v>1146.28</v>
      </c>
      <c r="BR85">
        <v>135</v>
      </c>
      <c r="BS85">
        <v>10414.4</v>
      </c>
      <c r="BT85">
        <v>1141.1099999999999</v>
      </c>
      <c r="BU85">
        <v>5.17</v>
      </c>
      <c r="BV85">
        <v>300.00000000000011</v>
      </c>
      <c r="BW85">
        <v>38.299999999999997</v>
      </c>
      <c r="BX85">
        <v>1246.1538148096879</v>
      </c>
      <c r="BY85">
        <v>1.457046894889904</v>
      </c>
      <c r="BZ85">
        <v>-109.40109250141749</v>
      </c>
      <c r="CA85">
        <v>1.2412140979101991</v>
      </c>
      <c r="CB85">
        <v>0.99640874994638007</v>
      </c>
      <c r="CC85">
        <v>-1.130176129032257E-2</v>
      </c>
      <c r="CD85">
        <v>289.99999999999989</v>
      </c>
      <c r="CE85">
        <v>1131.53</v>
      </c>
      <c r="CF85">
        <v>685</v>
      </c>
      <c r="CG85">
        <v>10381.9</v>
      </c>
      <c r="CH85">
        <v>1140.78</v>
      </c>
      <c r="CI85">
        <v>-9.25</v>
      </c>
      <c r="CW85">
        <f t="shared" si="134"/>
        <v>1799.8</v>
      </c>
      <c r="CX85">
        <f t="shared" si="135"/>
        <v>1513.0166993220134</v>
      </c>
      <c r="CY85">
        <f t="shared" si="136"/>
        <v>0.84065823942772167</v>
      </c>
      <c r="CZ85">
        <f t="shared" si="137"/>
        <v>0.19131647885544326</v>
      </c>
      <c r="DA85">
        <v>6</v>
      </c>
      <c r="DB85">
        <v>0.5</v>
      </c>
      <c r="DC85" t="s">
        <v>419</v>
      </c>
      <c r="DD85">
        <v>2</v>
      </c>
      <c r="DE85">
        <v>1693337281.0999999</v>
      </c>
      <c r="DF85">
        <v>1139.72</v>
      </c>
      <c r="DG85">
        <v>1199.8599999999999</v>
      </c>
      <c r="DH85">
        <v>28.827000000000002</v>
      </c>
      <c r="DI85">
        <v>23.1142</v>
      </c>
      <c r="DJ85">
        <v>1138.8699999999999</v>
      </c>
      <c r="DK85">
        <v>28.584599999999998</v>
      </c>
      <c r="DL85">
        <v>500.58300000000003</v>
      </c>
      <c r="DM85">
        <v>98.916399999999996</v>
      </c>
      <c r="DN85">
        <v>0.10047200000000001</v>
      </c>
      <c r="DO85">
        <v>30.507000000000001</v>
      </c>
      <c r="DP85">
        <v>29.999400000000001</v>
      </c>
      <c r="DQ85">
        <v>999.9</v>
      </c>
      <c r="DR85">
        <v>0</v>
      </c>
      <c r="DS85">
        <v>0</v>
      </c>
      <c r="DT85">
        <v>9975</v>
      </c>
      <c r="DU85">
        <v>0</v>
      </c>
      <c r="DV85">
        <v>169.184</v>
      </c>
      <c r="DW85">
        <v>-60.138100000000001</v>
      </c>
      <c r="DX85">
        <v>1173.55</v>
      </c>
      <c r="DY85">
        <v>1228.25</v>
      </c>
      <c r="DZ85">
        <v>5.7127800000000004</v>
      </c>
      <c r="EA85">
        <v>1199.8599999999999</v>
      </c>
      <c r="EB85">
        <v>23.1142</v>
      </c>
      <c r="EC85">
        <v>2.8514599999999999</v>
      </c>
      <c r="ED85">
        <v>2.2863699999999998</v>
      </c>
      <c r="EE85">
        <v>23.185099999999998</v>
      </c>
      <c r="EF85">
        <v>19.5807</v>
      </c>
      <c r="EG85">
        <v>1799.8</v>
      </c>
      <c r="EH85">
        <v>0.97799899999999995</v>
      </c>
      <c r="EI85">
        <v>2.2001300000000001E-2</v>
      </c>
      <c r="EJ85">
        <v>0</v>
      </c>
      <c r="EK85">
        <v>861.94100000000003</v>
      </c>
      <c r="EL85">
        <v>5.0010300000000001</v>
      </c>
      <c r="EM85">
        <v>16456.7</v>
      </c>
      <c r="EN85">
        <v>14699.5</v>
      </c>
      <c r="EO85">
        <v>50.186999999999998</v>
      </c>
      <c r="EP85">
        <v>51.5</v>
      </c>
      <c r="EQ85">
        <v>51.625</v>
      </c>
      <c r="ER85">
        <v>50.5</v>
      </c>
      <c r="ES85">
        <v>51.561999999999998</v>
      </c>
      <c r="ET85">
        <v>1755.31</v>
      </c>
      <c r="EU85">
        <v>39.49</v>
      </c>
      <c r="EV85">
        <v>0</v>
      </c>
      <c r="EW85">
        <v>144.5999999046326</v>
      </c>
      <c r="EX85">
        <v>0</v>
      </c>
      <c r="EY85">
        <v>862.40899999999988</v>
      </c>
      <c r="EZ85">
        <v>-4.7759316226773709</v>
      </c>
      <c r="FA85">
        <v>-61.497435848613698</v>
      </c>
      <c r="FB85">
        <v>16465.646153846152</v>
      </c>
      <c r="FC85">
        <v>15</v>
      </c>
      <c r="FD85">
        <v>1693337228.5999999</v>
      </c>
      <c r="FE85" t="s">
        <v>771</v>
      </c>
      <c r="FF85">
        <v>1693337228.5999999</v>
      </c>
      <c r="FG85">
        <v>1693337210.5999999</v>
      </c>
      <c r="FH85">
        <v>77</v>
      </c>
      <c r="FI85">
        <v>2.1999999999999999E-2</v>
      </c>
      <c r="FJ85">
        <v>-4.0000000000000001E-3</v>
      </c>
      <c r="FK85">
        <v>0.85299999999999998</v>
      </c>
      <c r="FL85">
        <v>0.10199999999999999</v>
      </c>
      <c r="FM85">
        <v>1201</v>
      </c>
      <c r="FN85">
        <v>23</v>
      </c>
      <c r="FO85">
        <v>0.14000000000000001</v>
      </c>
      <c r="FP85">
        <v>0.04</v>
      </c>
      <c r="FQ85">
        <v>44.799478691747588</v>
      </c>
      <c r="FR85">
        <v>-0.2379826798158651</v>
      </c>
      <c r="FS85">
        <v>0.19058391290925261</v>
      </c>
      <c r="FT85">
        <v>1</v>
      </c>
      <c r="FU85">
        <v>0.35908961223241342</v>
      </c>
      <c r="FV85">
        <v>-1.7475735311713019E-2</v>
      </c>
      <c r="FW85">
        <v>1.447586794264606E-3</v>
      </c>
      <c r="FX85">
        <v>1</v>
      </c>
      <c r="FY85">
        <v>2</v>
      </c>
      <c r="FZ85">
        <v>2</v>
      </c>
      <c r="GA85" t="s">
        <v>421</v>
      </c>
      <c r="GB85">
        <v>2.8985799999999999</v>
      </c>
      <c r="GC85">
        <v>2.81826</v>
      </c>
      <c r="GD85">
        <v>0.185113</v>
      </c>
      <c r="GE85">
        <v>0.191111</v>
      </c>
      <c r="GF85">
        <v>0.13420000000000001</v>
      </c>
      <c r="GG85">
        <v>0.115091</v>
      </c>
      <c r="GH85">
        <v>22550.3</v>
      </c>
      <c r="GI85">
        <v>22491.3</v>
      </c>
      <c r="GJ85">
        <v>24558.1</v>
      </c>
      <c r="GK85">
        <v>24839.8</v>
      </c>
      <c r="GL85">
        <v>28254.400000000001</v>
      </c>
      <c r="GM85">
        <v>28754.9</v>
      </c>
      <c r="GN85">
        <v>33215.300000000003</v>
      </c>
      <c r="GO85">
        <v>33185.199999999997</v>
      </c>
      <c r="GP85">
        <v>1.9408000000000001</v>
      </c>
      <c r="GQ85">
        <v>1.7558</v>
      </c>
      <c r="GR85">
        <v>-7.4505800000000005E-4</v>
      </c>
      <c r="GS85">
        <v>0</v>
      </c>
      <c r="GT85">
        <v>30.011500000000002</v>
      </c>
      <c r="GU85">
        <v>999.9</v>
      </c>
      <c r="GV85">
        <v>43.1</v>
      </c>
      <c r="GW85">
        <v>42.9</v>
      </c>
      <c r="GX85">
        <v>37.656300000000002</v>
      </c>
      <c r="GY85">
        <v>62.3523</v>
      </c>
      <c r="GZ85">
        <v>26.3582</v>
      </c>
      <c r="HA85">
        <v>1</v>
      </c>
      <c r="HB85">
        <v>0.59662599999999999</v>
      </c>
      <c r="HC85">
        <v>3.0517400000000001</v>
      </c>
      <c r="HD85">
        <v>20.187000000000001</v>
      </c>
      <c r="HE85">
        <v>5.2340600000000004</v>
      </c>
      <c r="HF85">
        <v>11.9201</v>
      </c>
      <c r="HG85">
        <v>4.96</v>
      </c>
      <c r="HH85">
        <v>3.2890000000000001</v>
      </c>
      <c r="HI85">
        <v>9999</v>
      </c>
      <c r="HJ85">
        <v>9999</v>
      </c>
      <c r="HK85">
        <v>9999</v>
      </c>
      <c r="HL85">
        <v>879.6</v>
      </c>
      <c r="HM85">
        <v>1.8806499999999999</v>
      </c>
      <c r="HN85">
        <v>1.8778900000000001</v>
      </c>
      <c r="HO85">
        <v>1.8858299999999999</v>
      </c>
      <c r="HP85">
        <v>1.88354</v>
      </c>
      <c r="HQ85">
        <v>1.8810899999999999</v>
      </c>
      <c r="HR85">
        <v>1.8801000000000001</v>
      </c>
      <c r="HS85">
        <v>1.8812599999999999</v>
      </c>
      <c r="HT85">
        <v>1.8807799999999999</v>
      </c>
      <c r="HU85">
        <v>5</v>
      </c>
      <c r="HV85">
        <v>0</v>
      </c>
      <c r="HW85">
        <v>0</v>
      </c>
      <c r="HX85">
        <v>0</v>
      </c>
      <c r="HY85" t="s">
        <v>422</v>
      </c>
      <c r="HZ85" t="s">
        <v>423</v>
      </c>
      <c r="IA85" t="s">
        <v>424</v>
      </c>
      <c r="IB85" t="s">
        <v>424</v>
      </c>
      <c r="IC85" t="s">
        <v>424</v>
      </c>
      <c r="ID85" t="s">
        <v>424</v>
      </c>
      <c r="IE85">
        <v>0</v>
      </c>
      <c r="IF85">
        <v>100</v>
      </c>
      <c r="IG85">
        <v>100</v>
      </c>
      <c r="IH85">
        <v>0.85</v>
      </c>
      <c r="II85">
        <v>0.2424</v>
      </c>
      <c r="IJ85">
        <v>0.15682376434329379</v>
      </c>
      <c r="IK85">
        <v>2.2153513873161218E-3</v>
      </c>
      <c r="IL85">
        <v>-2.2967369670569612E-6</v>
      </c>
      <c r="IM85">
        <v>7.7859689150384122E-10</v>
      </c>
      <c r="IN85">
        <v>-0.15118145605924899</v>
      </c>
      <c r="IO85">
        <v>-4.1434251034592161E-3</v>
      </c>
      <c r="IP85">
        <v>8.3987709687394815E-4</v>
      </c>
      <c r="IQ85">
        <v>-7.4586254598011197E-6</v>
      </c>
      <c r="IR85">
        <v>2</v>
      </c>
      <c r="IS85">
        <v>1930</v>
      </c>
      <c r="IT85">
        <v>2</v>
      </c>
      <c r="IU85">
        <v>41</v>
      </c>
      <c r="IV85">
        <v>0.9</v>
      </c>
      <c r="IW85">
        <v>1.2</v>
      </c>
      <c r="IX85">
        <v>2.4084500000000002</v>
      </c>
      <c r="IY85">
        <v>2.5146500000000001</v>
      </c>
      <c r="IZ85">
        <v>1.24512</v>
      </c>
      <c r="JA85">
        <v>2.2534200000000002</v>
      </c>
      <c r="JB85">
        <v>1.4501999999999999</v>
      </c>
      <c r="JC85">
        <v>2.3083499999999999</v>
      </c>
      <c r="JD85">
        <v>42.724200000000003</v>
      </c>
      <c r="JE85">
        <v>15.918200000000001</v>
      </c>
      <c r="JF85">
        <v>18</v>
      </c>
      <c r="JG85">
        <v>496.11200000000002</v>
      </c>
      <c r="JH85">
        <v>420.19400000000002</v>
      </c>
      <c r="JI85">
        <v>25.558399999999999</v>
      </c>
      <c r="JJ85">
        <v>34.590699999999998</v>
      </c>
      <c r="JK85">
        <v>30.0002</v>
      </c>
      <c r="JL85">
        <v>34.449300000000001</v>
      </c>
      <c r="JM85">
        <v>34.399799999999999</v>
      </c>
      <c r="JN85">
        <v>48.295699999999997</v>
      </c>
      <c r="JO85">
        <v>43.052700000000002</v>
      </c>
      <c r="JP85">
        <v>0</v>
      </c>
      <c r="JQ85">
        <v>25.558499999999999</v>
      </c>
      <c r="JR85">
        <v>1200</v>
      </c>
      <c r="JS85">
        <v>23.144500000000001</v>
      </c>
      <c r="JT85">
        <v>99.129000000000005</v>
      </c>
      <c r="JU85">
        <v>99.031999999999996</v>
      </c>
    </row>
    <row r="86" spans="1:281" x14ac:dyDescent="0.25">
      <c r="A86">
        <v>70</v>
      </c>
      <c r="B86">
        <v>1693337471</v>
      </c>
      <c r="C86">
        <v>14757.900000095369</v>
      </c>
      <c r="D86" t="s">
        <v>772</v>
      </c>
      <c r="E86" t="s">
        <v>773</v>
      </c>
      <c r="F86" t="s">
        <v>413</v>
      </c>
      <c r="G86" t="s">
        <v>564</v>
      </c>
      <c r="H86" t="s">
        <v>708</v>
      </c>
      <c r="I86" t="s">
        <v>415</v>
      </c>
      <c r="J86">
        <v>1693337471</v>
      </c>
      <c r="K86">
        <f t="shared" si="92"/>
        <v>4.4893184805248005E-3</v>
      </c>
      <c r="L86">
        <f t="shared" si="93"/>
        <v>4.4893184805248003</v>
      </c>
      <c r="M86">
        <f t="shared" si="94"/>
        <v>44.165939220023802</v>
      </c>
      <c r="N86">
        <f t="shared" si="95"/>
        <v>1439.46</v>
      </c>
      <c r="O86">
        <f t="shared" si="96"/>
        <v>1179.3136546772146</v>
      </c>
      <c r="P86">
        <f t="shared" si="97"/>
        <v>116.76867518245786</v>
      </c>
      <c r="Q86">
        <f t="shared" si="98"/>
        <v>142.52683034026799</v>
      </c>
      <c r="R86">
        <f t="shared" si="99"/>
        <v>0.32403560736882475</v>
      </c>
      <c r="S86">
        <f t="shared" si="100"/>
        <v>2.9086956176838354</v>
      </c>
      <c r="T86">
        <f t="shared" si="101"/>
        <v>0.3052337474918938</v>
      </c>
      <c r="U86">
        <f t="shared" si="102"/>
        <v>0.1923693897758075</v>
      </c>
      <c r="V86">
        <f t="shared" si="103"/>
        <v>344.35741180497234</v>
      </c>
      <c r="W86">
        <f t="shared" si="104"/>
        <v>31.318390338213465</v>
      </c>
      <c r="X86">
        <f t="shared" si="105"/>
        <v>29.967199999999998</v>
      </c>
      <c r="Y86">
        <f t="shared" si="106"/>
        <v>4.2524296497863192</v>
      </c>
      <c r="Z86">
        <f t="shared" si="107"/>
        <v>65.14731363036077</v>
      </c>
      <c r="AA86">
        <f t="shared" si="108"/>
        <v>2.8483681981073401</v>
      </c>
      <c r="AB86">
        <f t="shared" si="109"/>
        <v>4.3721959346914767</v>
      </c>
      <c r="AC86">
        <f t="shared" si="110"/>
        <v>1.4040614516789791</v>
      </c>
      <c r="AD86">
        <f t="shared" si="111"/>
        <v>-197.97894499114369</v>
      </c>
      <c r="AE86">
        <f t="shared" si="112"/>
        <v>75.944825579478675</v>
      </c>
      <c r="AF86">
        <f t="shared" si="113"/>
        <v>5.8175371517319006</v>
      </c>
      <c r="AG86">
        <f t="shared" si="114"/>
        <v>228.14082954503925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51658.892716901275</v>
      </c>
      <c r="AM86" t="s">
        <v>416</v>
      </c>
      <c r="AN86">
        <v>10366.9</v>
      </c>
      <c r="AO86">
        <v>993.59653846153856</v>
      </c>
      <c r="AP86">
        <v>3431.87</v>
      </c>
      <c r="AQ86">
        <f t="shared" si="118"/>
        <v>0.71047955241266758</v>
      </c>
      <c r="AR86">
        <v>-3.9894345373445681</v>
      </c>
      <c r="AS86" t="s">
        <v>774</v>
      </c>
      <c r="AT86">
        <v>10408.1</v>
      </c>
      <c r="AU86">
        <v>856.92</v>
      </c>
      <c r="AV86">
        <v>1239.5761569566839</v>
      </c>
      <c r="AW86">
        <f t="shared" si="119"/>
        <v>0.30869919109782906</v>
      </c>
      <c r="AX86">
        <v>0.5</v>
      </c>
      <c r="AY86">
        <f t="shared" si="120"/>
        <v>1513.134005902486</v>
      </c>
      <c r="AZ86">
        <f t="shared" si="121"/>
        <v>44.165939220023802</v>
      </c>
      <c r="BA86">
        <f t="shared" si="122"/>
        <v>233.55162182235756</v>
      </c>
      <c r="BB86">
        <f t="shared" si="123"/>
        <v>3.1824923350821675E-2</v>
      </c>
      <c r="BC86">
        <f t="shared" si="124"/>
        <v>1.768583423244986</v>
      </c>
      <c r="BD86">
        <f t="shared" si="125"/>
        <v>657.12272101938254</v>
      </c>
      <c r="BE86" t="s">
        <v>775</v>
      </c>
      <c r="BF86">
        <v>626.53</v>
      </c>
      <c r="BG86">
        <f t="shared" si="126"/>
        <v>626.53</v>
      </c>
      <c r="BH86">
        <f t="shared" si="127"/>
        <v>0.49456110745288107</v>
      </c>
      <c r="BI86">
        <f t="shared" si="128"/>
        <v>0.62418816693393175</v>
      </c>
      <c r="BJ86">
        <f t="shared" si="129"/>
        <v>0.78147170861404169</v>
      </c>
      <c r="BK86">
        <f t="shared" si="130"/>
        <v>1.5556417206340047</v>
      </c>
      <c r="BL86">
        <f t="shared" si="131"/>
        <v>0.89911729657265704</v>
      </c>
      <c r="BM86">
        <f t="shared" si="132"/>
        <v>0.45637003714362634</v>
      </c>
      <c r="BN86">
        <f t="shared" si="133"/>
        <v>0.54362996285637366</v>
      </c>
      <c r="BO86">
        <v>7686</v>
      </c>
      <c r="BP86">
        <v>290.00000000000011</v>
      </c>
      <c r="BQ86">
        <v>1138.9100000000001</v>
      </c>
      <c r="BR86">
        <v>165</v>
      </c>
      <c r="BS86">
        <v>10408.1</v>
      </c>
      <c r="BT86">
        <v>1134.47</v>
      </c>
      <c r="BU86">
        <v>4.4400000000000004</v>
      </c>
      <c r="BV86">
        <v>300.00000000000011</v>
      </c>
      <c r="BW86">
        <v>38.299999999999997</v>
      </c>
      <c r="BX86">
        <v>1239.5761569566839</v>
      </c>
      <c r="BY86">
        <v>1.64614064588904</v>
      </c>
      <c r="BZ86">
        <v>-109.3942127768227</v>
      </c>
      <c r="CA86">
        <v>1.402139778286364</v>
      </c>
      <c r="CB86">
        <v>0.99542112476262568</v>
      </c>
      <c r="CC86">
        <v>-1.1300328587319251E-2</v>
      </c>
      <c r="CD86">
        <v>289.99999999999989</v>
      </c>
      <c r="CE86">
        <v>1124.99</v>
      </c>
      <c r="CF86">
        <v>655</v>
      </c>
      <c r="CG86">
        <v>10383.200000000001</v>
      </c>
      <c r="CH86">
        <v>1134.22</v>
      </c>
      <c r="CI86">
        <v>-9.23</v>
      </c>
      <c r="CW86">
        <f t="shared" si="134"/>
        <v>1799.94</v>
      </c>
      <c r="CX86">
        <f t="shared" si="135"/>
        <v>1513.134005902486</v>
      </c>
      <c r="CY86">
        <f t="shared" si="136"/>
        <v>0.84065802521333266</v>
      </c>
      <c r="CZ86">
        <f t="shared" si="137"/>
        <v>0.19131605042666552</v>
      </c>
      <c r="DA86">
        <v>6</v>
      </c>
      <c r="DB86">
        <v>0.5</v>
      </c>
      <c r="DC86" t="s">
        <v>419</v>
      </c>
      <c r="DD86">
        <v>2</v>
      </c>
      <c r="DE86">
        <v>1693337471</v>
      </c>
      <c r="DF86">
        <v>1439.46</v>
      </c>
      <c r="DG86">
        <v>1500.18</v>
      </c>
      <c r="DH86">
        <v>28.767299999999999</v>
      </c>
      <c r="DI86">
        <v>23.538</v>
      </c>
      <c r="DJ86">
        <v>1438.64</v>
      </c>
      <c r="DK86">
        <v>28.522400000000001</v>
      </c>
      <c r="DL86">
        <v>500.27800000000002</v>
      </c>
      <c r="DM86">
        <v>98.914900000000003</v>
      </c>
      <c r="DN86">
        <v>9.9195800000000001E-2</v>
      </c>
      <c r="DO86">
        <v>30.451499999999999</v>
      </c>
      <c r="DP86">
        <v>29.967199999999998</v>
      </c>
      <c r="DQ86">
        <v>999.9</v>
      </c>
      <c r="DR86">
        <v>0</v>
      </c>
      <c r="DS86">
        <v>0</v>
      </c>
      <c r="DT86">
        <v>9990</v>
      </c>
      <c r="DU86">
        <v>0</v>
      </c>
      <c r="DV86">
        <v>162.65299999999999</v>
      </c>
      <c r="DW86">
        <v>-60.728099999999998</v>
      </c>
      <c r="DX86">
        <v>1482.09</v>
      </c>
      <c r="DY86">
        <v>1536.35</v>
      </c>
      <c r="DZ86">
        <v>5.22926</v>
      </c>
      <c r="EA86">
        <v>1500.18</v>
      </c>
      <c r="EB86">
        <v>23.538</v>
      </c>
      <c r="EC86">
        <v>2.84551</v>
      </c>
      <c r="ED86">
        <v>2.3282600000000002</v>
      </c>
      <c r="EE86">
        <v>23.150500000000001</v>
      </c>
      <c r="EF86">
        <v>19.8733</v>
      </c>
      <c r="EG86">
        <v>1799.94</v>
      </c>
      <c r="EH86">
        <v>0.97800200000000004</v>
      </c>
      <c r="EI86">
        <v>2.1997599999999999E-2</v>
      </c>
      <c r="EJ86">
        <v>0</v>
      </c>
      <c r="EK86">
        <v>857.09199999999998</v>
      </c>
      <c r="EL86">
        <v>5.0010300000000001</v>
      </c>
      <c r="EM86">
        <v>16355.5</v>
      </c>
      <c r="EN86">
        <v>14700.6</v>
      </c>
      <c r="EO86">
        <v>50.311999999999998</v>
      </c>
      <c r="EP86">
        <v>51.5</v>
      </c>
      <c r="EQ86">
        <v>51.686999999999998</v>
      </c>
      <c r="ER86">
        <v>50.625</v>
      </c>
      <c r="ES86">
        <v>51.686999999999998</v>
      </c>
      <c r="ET86">
        <v>1755.45</v>
      </c>
      <c r="EU86">
        <v>39.479999999999997</v>
      </c>
      <c r="EV86">
        <v>0</v>
      </c>
      <c r="EW86">
        <v>188</v>
      </c>
      <c r="EX86">
        <v>0</v>
      </c>
      <c r="EY86">
        <v>856.92</v>
      </c>
      <c r="EZ86">
        <v>-0.67972649921956108</v>
      </c>
      <c r="FA86">
        <v>-49.490598204468583</v>
      </c>
      <c r="FB86">
        <v>16357.73076923077</v>
      </c>
      <c r="FC86">
        <v>15</v>
      </c>
      <c r="FD86">
        <v>1693337351</v>
      </c>
      <c r="FE86" t="s">
        <v>776</v>
      </c>
      <c r="FF86">
        <v>1693337351</v>
      </c>
      <c r="FG86">
        <v>1693337348.5</v>
      </c>
      <c r="FH86">
        <v>78</v>
      </c>
      <c r="FI86">
        <v>-9.0999999999999998E-2</v>
      </c>
      <c r="FJ86">
        <v>4.0000000000000001E-3</v>
      </c>
      <c r="FK86">
        <v>0.84699999999999998</v>
      </c>
      <c r="FL86">
        <v>0.11</v>
      </c>
      <c r="FM86">
        <v>1501</v>
      </c>
      <c r="FN86">
        <v>23</v>
      </c>
      <c r="FO86">
        <v>0.15</v>
      </c>
      <c r="FP86">
        <v>0.04</v>
      </c>
      <c r="FQ86">
        <v>43.974401407532461</v>
      </c>
      <c r="FR86">
        <v>0.2232828756590414</v>
      </c>
      <c r="FS86">
        <v>0.30159728475060982</v>
      </c>
      <c r="FT86">
        <v>0</v>
      </c>
      <c r="FU86">
        <v>0.32665734429765442</v>
      </c>
      <c r="FV86">
        <v>-3.3784769069520222E-2</v>
      </c>
      <c r="FW86">
        <v>2.7235092144125279E-3</v>
      </c>
      <c r="FX86">
        <v>1</v>
      </c>
      <c r="FY86">
        <v>1</v>
      </c>
      <c r="FZ86">
        <v>2</v>
      </c>
      <c r="GA86" t="s">
        <v>460</v>
      </c>
      <c r="GB86">
        <v>2.8976199999999999</v>
      </c>
      <c r="GC86">
        <v>2.8171200000000001</v>
      </c>
      <c r="GD86">
        <v>0.213475</v>
      </c>
      <c r="GE86">
        <v>0.218746</v>
      </c>
      <c r="GF86">
        <v>0.13397899999999999</v>
      </c>
      <c r="GG86">
        <v>0.116524</v>
      </c>
      <c r="GH86">
        <v>21760.3</v>
      </c>
      <c r="GI86">
        <v>21717</v>
      </c>
      <c r="GJ86">
        <v>24554.6</v>
      </c>
      <c r="GK86">
        <v>24835.5</v>
      </c>
      <c r="GL86">
        <v>28258.1</v>
      </c>
      <c r="GM86">
        <v>28703</v>
      </c>
      <c r="GN86">
        <v>33210.699999999997</v>
      </c>
      <c r="GO86">
        <v>33179</v>
      </c>
      <c r="GP86">
        <v>1.9391</v>
      </c>
      <c r="GQ86">
        <v>1.7597</v>
      </c>
      <c r="GR86">
        <v>5.36442E-3</v>
      </c>
      <c r="GS86">
        <v>0</v>
      </c>
      <c r="GT86">
        <v>29.879899999999999</v>
      </c>
      <c r="GU86">
        <v>999.9</v>
      </c>
      <c r="GV86">
        <v>43.3</v>
      </c>
      <c r="GW86">
        <v>42.6</v>
      </c>
      <c r="GX86">
        <v>37.243200000000002</v>
      </c>
      <c r="GY86">
        <v>62.252299999999998</v>
      </c>
      <c r="GZ86">
        <v>25.084099999999999</v>
      </c>
      <c r="HA86">
        <v>1</v>
      </c>
      <c r="HB86">
        <v>0.60242899999999999</v>
      </c>
      <c r="HC86">
        <v>2.6548099999999999</v>
      </c>
      <c r="HD86">
        <v>20.192499999999999</v>
      </c>
      <c r="HE86">
        <v>5.2286700000000002</v>
      </c>
      <c r="HF86">
        <v>11.9213</v>
      </c>
      <c r="HG86">
        <v>4.9592000000000001</v>
      </c>
      <c r="HH86">
        <v>3.2877999999999998</v>
      </c>
      <c r="HI86">
        <v>9999</v>
      </c>
      <c r="HJ86">
        <v>9999</v>
      </c>
      <c r="HK86">
        <v>9999</v>
      </c>
      <c r="HL86">
        <v>879.7</v>
      </c>
      <c r="HM86">
        <v>1.8806499999999999</v>
      </c>
      <c r="HN86">
        <v>1.87785</v>
      </c>
      <c r="HO86">
        <v>1.8857900000000001</v>
      </c>
      <c r="HP86">
        <v>1.88354</v>
      </c>
      <c r="HQ86">
        <v>1.8810899999999999</v>
      </c>
      <c r="HR86">
        <v>1.8800699999999999</v>
      </c>
      <c r="HS86">
        <v>1.8812599999999999</v>
      </c>
      <c r="HT86">
        <v>1.88076</v>
      </c>
      <c r="HU86">
        <v>5</v>
      </c>
      <c r="HV86">
        <v>0</v>
      </c>
      <c r="HW86">
        <v>0</v>
      </c>
      <c r="HX86">
        <v>0</v>
      </c>
      <c r="HY86" t="s">
        <v>422</v>
      </c>
      <c r="HZ86" t="s">
        <v>423</v>
      </c>
      <c r="IA86" t="s">
        <v>424</v>
      </c>
      <c r="IB86" t="s">
        <v>424</v>
      </c>
      <c r="IC86" t="s">
        <v>424</v>
      </c>
      <c r="ID86" t="s">
        <v>424</v>
      </c>
      <c r="IE86">
        <v>0</v>
      </c>
      <c r="IF86">
        <v>100</v>
      </c>
      <c r="IG86">
        <v>100</v>
      </c>
      <c r="IH86">
        <v>0.82</v>
      </c>
      <c r="II86">
        <v>0.24490000000000001</v>
      </c>
      <c r="IJ86">
        <v>6.4351342417385438E-2</v>
      </c>
      <c r="IK86">
        <v>2.2153513873161218E-3</v>
      </c>
      <c r="IL86">
        <v>-2.2967369670569612E-6</v>
      </c>
      <c r="IM86">
        <v>7.7859689150384122E-10</v>
      </c>
      <c r="IN86">
        <v>-0.14714716470582301</v>
      </c>
      <c r="IO86">
        <v>-4.1434251034592161E-3</v>
      </c>
      <c r="IP86">
        <v>8.3987709687394815E-4</v>
      </c>
      <c r="IQ86">
        <v>-7.4586254598011197E-6</v>
      </c>
      <c r="IR86">
        <v>2</v>
      </c>
      <c r="IS86">
        <v>1930</v>
      </c>
      <c r="IT86">
        <v>2</v>
      </c>
      <c r="IU86">
        <v>41</v>
      </c>
      <c r="IV86">
        <v>2</v>
      </c>
      <c r="IW86">
        <v>2</v>
      </c>
      <c r="IX86">
        <v>2.8796400000000002</v>
      </c>
      <c r="IY86">
        <v>2.49878</v>
      </c>
      <c r="IZ86">
        <v>1.24512</v>
      </c>
      <c r="JA86">
        <v>2.2546400000000002</v>
      </c>
      <c r="JB86">
        <v>1.4501999999999999</v>
      </c>
      <c r="JC86">
        <v>2.4377399999999998</v>
      </c>
      <c r="JD86">
        <v>42.510300000000001</v>
      </c>
      <c r="JE86">
        <v>15.900700000000001</v>
      </c>
      <c r="JF86">
        <v>18</v>
      </c>
      <c r="JG86">
        <v>495.47500000000002</v>
      </c>
      <c r="JH86">
        <v>423.13</v>
      </c>
      <c r="JI86">
        <v>25.837299999999999</v>
      </c>
      <c r="JJ86">
        <v>34.669400000000003</v>
      </c>
      <c r="JK86">
        <v>29.9999</v>
      </c>
      <c r="JL86">
        <v>34.5154</v>
      </c>
      <c r="JM86">
        <v>34.456299999999999</v>
      </c>
      <c r="JN86">
        <v>57.752099999999999</v>
      </c>
      <c r="JO86">
        <v>41.130400000000002</v>
      </c>
      <c r="JP86">
        <v>0</v>
      </c>
      <c r="JQ86">
        <v>25.8443</v>
      </c>
      <c r="JR86">
        <v>1500</v>
      </c>
      <c r="JS86">
        <v>23.551300000000001</v>
      </c>
      <c r="JT86">
        <v>99.115200000000002</v>
      </c>
      <c r="JU86">
        <v>99.013999999999996</v>
      </c>
    </row>
    <row r="87" spans="1:281" x14ac:dyDescent="0.25">
      <c r="A87">
        <v>71</v>
      </c>
      <c r="B87">
        <v>1693339916.0999999</v>
      </c>
      <c r="C87">
        <v>17203</v>
      </c>
      <c r="D87" t="s">
        <v>777</v>
      </c>
      <c r="E87" t="s">
        <v>778</v>
      </c>
      <c r="F87" t="s">
        <v>413</v>
      </c>
      <c r="G87" t="s">
        <v>493</v>
      </c>
      <c r="H87" t="s">
        <v>779</v>
      </c>
      <c r="I87" t="s">
        <v>31</v>
      </c>
      <c r="J87">
        <v>1693339916.0999999</v>
      </c>
      <c r="K87">
        <f t="shared" si="92"/>
        <v>4.2832875640755859E-3</v>
      </c>
      <c r="L87">
        <f t="shared" si="93"/>
        <v>4.2832875640755859</v>
      </c>
      <c r="M87">
        <f t="shared" si="94"/>
        <v>38.12443318621856</v>
      </c>
      <c r="N87">
        <f t="shared" si="95"/>
        <v>352.483</v>
      </c>
      <c r="O87">
        <f t="shared" si="96"/>
        <v>134.33924800225142</v>
      </c>
      <c r="P87">
        <f t="shared" si="97"/>
        <v>13.295921314894382</v>
      </c>
      <c r="Q87">
        <f t="shared" si="98"/>
        <v>34.886202673692004</v>
      </c>
      <c r="R87">
        <f t="shared" si="99"/>
        <v>0.3013579358146849</v>
      </c>
      <c r="S87">
        <f t="shared" si="100"/>
        <v>2.9131862585163342</v>
      </c>
      <c r="T87">
        <f t="shared" si="101"/>
        <v>0.28504819666212833</v>
      </c>
      <c r="U87">
        <f t="shared" si="102"/>
        <v>0.17954689358700715</v>
      </c>
      <c r="V87">
        <f t="shared" si="103"/>
        <v>344.3408986440644</v>
      </c>
      <c r="W87">
        <f t="shared" si="104"/>
        <v>31.236570756440788</v>
      </c>
      <c r="X87">
        <f t="shared" si="105"/>
        <v>30.0044</v>
      </c>
      <c r="Y87">
        <f t="shared" si="106"/>
        <v>4.2615266446801447</v>
      </c>
      <c r="Z87">
        <f t="shared" si="107"/>
        <v>65.171045220295156</v>
      </c>
      <c r="AA87">
        <f t="shared" si="108"/>
        <v>2.8275715465007996</v>
      </c>
      <c r="AB87">
        <f t="shared" si="109"/>
        <v>4.3386929532016394</v>
      </c>
      <c r="AC87">
        <f t="shared" si="110"/>
        <v>1.4339550981793452</v>
      </c>
      <c r="AD87">
        <f t="shared" si="111"/>
        <v>-188.89298157573333</v>
      </c>
      <c r="AE87">
        <f t="shared" si="112"/>
        <v>49.127022199624577</v>
      </c>
      <c r="AF87">
        <f t="shared" si="113"/>
        <v>3.7556286589041088</v>
      </c>
      <c r="AG87">
        <f t="shared" si="114"/>
        <v>208.33056792685977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51808.325361573799</v>
      </c>
      <c r="AM87" t="s">
        <v>416</v>
      </c>
      <c r="AN87">
        <v>10366.9</v>
      </c>
      <c r="AO87">
        <v>993.59653846153856</v>
      </c>
      <c r="AP87">
        <v>3431.87</v>
      </c>
      <c r="AQ87">
        <f t="shared" si="118"/>
        <v>0.71047955241266758</v>
      </c>
      <c r="AR87">
        <v>-3.9894345373445681</v>
      </c>
      <c r="AS87" t="s">
        <v>780</v>
      </c>
      <c r="AT87">
        <v>10425.799999999999</v>
      </c>
      <c r="AU87">
        <v>859.80295999999998</v>
      </c>
      <c r="AV87">
        <v>1159.5844028523111</v>
      </c>
      <c r="AW87">
        <f t="shared" si="119"/>
        <v>0.25852490091701619</v>
      </c>
      <c r="AX87">
        <v>0.5</v>
      </c>
      <c r="AY87">
        <f t="shared" si="120"/>
        <v>1513.058699322032</v>
      </c>
      <c r="AZ87">
        <f t="shared" si="121"/>
        <v>38.12443318621856</v>
      </c>
      <c r="BA87">
        <f t="shared" si="122"/>
        <v>195.58167516192884</v>
      </c>
      <c r="BB87">
        <f t="shared" si="123"/>
        <v>2.7833598090036705E-2</v>
      </c>
      <c r="BC87">
        <f t="shared" si="124"/>
        <v>1.9595689555312994</v>
      </c>
      <c r="BD87">
        <f t="shared" si="125"/>
        <v>633.9400066171936</v>
      </c>
      <c r="BE87" t="s">
        <v>781</v>
      </c>
      <c r="BF87">
        <v>638.83000000000004</v>
      </c>
      <c r="BG87">
        <f t="shared" si="126"/>
        <v>638.83000000000004</v>
      </c>
      <c r="BH87">
        <f t="shared" si="127"/>
        <v>0.44908710532098817</v>
      </c>
      <c r="BI87">
        <f t="shared" si="128"/>
        <v>0.5756676107015668</v>
      </c>
      <c r="BJ87">
        <f t="shared" si="129"/>
        <v>0.8135528303023547</v>
      </c>
      <c r="BK87">
        <f t="shared" si="130"/>
        <v>1.8060443391605943</v>
      </c>
      <c r="BL87">
        <f t="shared" si="131"/>
        <v>0.9319240163135597</v>
      </c>
      <c r="BM87">
        <f t="shared" si="132"/>
        <v>0.42771862490969087</v>
      </c>
      <c r="BN87">
        <f t="shared" si="133"/>
        <v>0.57228137509030907</v>
      </c>
      <c r="BO87">
        <v>7688</v>
      </c>
      <c r="BP87">
        <v>290.00000000000011</v>
      </c>
      <c r="BQ87">
        <v>1083.96</v>
      </c>
      <c r="BR87">
        <v>265</v>
      </c>
      <c r="BS87">
        <v>10425.799999999999</v>
      </c>
      <c r="BT87">
        <v>1083.06</v>
      </c>
      <c r="BU87">
        <v>0.9</v>
      </c>
      <c r="BV87">
        <v>300.00000000000011</v>
      </c>
      <c r="BW87">
        <v>38.200000000000003</v>
      </c>
      <c r="BX87">
        <v>1159.5844028523111</v>
      </c>
      <c r="BY87">
        <v>1.3834159424183341</v>
      </c>
      <c r="BZ87">
        <v>-79.78450697373215</v>
      </c>
      <c r="CA87">
        <v>1.182060039428048</v>
      </c>
      <c r="CB87">
        <v>0.99389143891012077</v>
      </c>
      <c r="CC87">
        <v>-1.1333112124582861E-2</v>
      </c>
      <c r="CD87">
        <v>289.99999999999989</v>
      </c>
      <c r="CE87">
        <v>1079.3900000000001</v>
      </c>
      <c r="CF87">
        <v>645</v>
      </c>
      <c r="CG87">
        <v>10416.9</v>
      </c>
      <c r="CH87">
        <v>1082.99</v>
      </c>
      <c r="CI87">
        <v>-3.6</v>
      </c>
      <c r="CW87">
        <f t="shared" si="134"/>
        <v>1799.85</v>
      </c>
      <c r="CX87">
        <f t="shared" si="135"/>
        <v>1513.058699322032</v>
      </c>
      <c r="CY87">
        <f t="shared" si="136"/>
        <v>0.84065822114177968</v>
      </c>
      <c r="CZ87">
        <f t="shared" si="137"/>
        <v>0.1913164422835594</v>
      </c>
      <c r="DA87">
        <v>6</v>
      </c>
      <c r="DB87">
        <v>0.5</v>
      </c>
      <c r="DC87" t="s">
        <v>419</v>
      </c>
      <c r="DD87">
        <v>2</v>
      </c>
      <c r="DE87">
        <v>1693339916.0999999</v>
      </c>
      <c r="DF87">
        <v>352.483</v>
      </c>
      <c r="DG87">
        <v>400.005</v>
      </c>
      <c r="DH87">
        <v>28.569199999999999</v>
      </c>
      <c r="DI87">
        <v>23.580200000000001</v>
      </c>
      <c r="DJ87">
        <v>352.017</v>
      </c>
      <c r="DK87">
        <v>28.334</v>
      </c>
      <c r="DL87">
        <v>500.411</v>
      </c>
      <c r="DM87">
        <v>98.872399999999999</v>
      </c>
      <c r="DN87">
        <v>0.100324</v>
      </c>
      <c r="DO87">
        <v>30.3172</v>
      </c>
      <c r="DP87">
        <v>30.0044</v>
      </c>
      <c r="DQ87">
        <v>999.9</v>
      </c>
      <c r="DR87">
        <v>0</v>
      </c>
      <c r="DS87">
        <v>0</v>
      </c>
      <c r="DT87">
        <v>10020</v>
      </c>
      <c r="DU87">
        <v>0</v>
      </c>
      <c r="DV87">
        <v>1218.1300000000001</v>
      </c>
      <c r="DW87">
        <v>-47.521799999999999</v>
      </c>
      <c r="DX87">
        <v>362.84899999999999</v>
      </c>
      <c r="DY87">
        <v>409.66500000000002</v>
      </c>
      <c r="DZ87">
        <v>4.9890600000000003</v>
      </c>
      <c r="EA87">
        <v>400.005</v>
      </c>
      <c r="EB87">
        <v>23.580200000000001</v>
      </c>
      <c r="EC87">
        <v>2.8247100000000001</v>
      </c>
      <c r="ED87">
        <v>2.3314300000000001</v>
      </c>
      <c r="EE87">
        <v>23.029199999999999</v>
      </c>
      <c r="EF87">
        <v>19.895199999999999</v>
      </c>
      <c r="EG87">
        <v>1799.85</v>
      </c>
      <c r="EH87">
        <v>0.97799800000000003</v>
      </c>
      <c r="EI87">
        <v>2.2002500000000001E-2</v>
      </c>
      <c r="EJ87">
        <v>0</v>
      </c>
      <c r="EK87">
        <v>859.95600000000002</v>
      </c>
      <c r="EL87">
        <v>5.0010300000000001</v>
      </c>
      <c r="EM87">
        <v>16059.7</v>
      </c>
      <c r="EN87">
        <v>14699.8</v>
      </c>
      <c r="EO87">
        <v>45.936999999999998</v>
      </c>
      <c r="EP87">
        <v>48.186999999999998</v>
      </c>
      <c r="EQ87">
        <v>47.25</v>
      </c>
      <c r="ER87">
        <v>47.061999999999998</v>
      </c>
      <c r="ES87">
        <v>47.625</v>
      </c>
      <c r="ET87">
        <v>1755.36</v>
      </c>
      <c r="EU87">
        <v>39.49</v>
      </c>
      <c r="EV87">
        <v>0</v>
      </c>
      <c r="EW87">
        <v>2442.7999999523158</v>
      </c>
      <c r="EX87">
        <v>0</v>
      </c>
      <c r="EY87">
        <v>859.80295999999998</v>
      </c>
      <c r="EZ87">
        <v>0.89615385926625224</v>
      </c>
      <c r="FA87">
        <v>4.8307693482342353</v>
      </c>
      <c r="FB87">
        <v>16060.092000000001</v>
      </c>
      <c r="FC87">
        <v>15</v>
      </c>
      <c r="FD87">
        <v>1693339881.5999999</v>
      </c>
      <c r="FE87" t="s">
        <v>782</v>
      </c>
      <c r="FF87">
        <v>1693339876.0999999</v>
      </c>
      <c r="FG87">
        <v>1693339881.5999999</v>
      </c>
      <c r="FH87">
        <v>80</v>
      </c>
      <c r="FI87">
        <v>0.109</v>
      </c>
      <c r="FJ87">
        <v>1E-3</v>
      </c>
      <c r="FK87">
        <v>0.505</v>
      </c>
      <c r="FL87">
        <v>0.11600000000000001</v>
      </c>
      <c r="FM87">
        <v>400</v>
      </c>
      <c r="FN87">
        <v>24</v>
      </c>
      <c r="FO87">
        <v>0.09</v>
      </c>
      <c r="FP87">
        <v>0.05</v>
      </c>
      <c r="FQ87">
        <v>38.081357713350137</v>
      </c>
      <c r="FR87">
        <v>0.69444540732564652</v>
      </c>
      <c r="FS87">
        <v>9.222013089814389E-2</v>
      </c>
      <c r="FT87">
        <v>1</v>
      </c>
      <c r="FU87">
        <v>0.3061872923647721</v>
      </c>
      <c r="FV87">
        <v>-3.0864616069081151E-2</v>
      </c>
      <c r="FW87">
        <v>2.5252967463348899E-3</v>
      </c>
      <c r="FX87">
        <v>1</v>
      </c>
      <c r="FY87">
        <v>2</v>
      </c>
      <c r="FZ87">
        <v>2</v>
      </c>
      <c r="GA87" t="s">
        <v>421</v>
      </c>
      <c r="GB87">
        <v>2.8985400000000001</v>
      </c>
      <c r="GC87">
        <v>2.8185099999999998</v>
      </c>
      <c r="GD87">
        <v>8.1434999999999994E-2</v>
      </c>
      <c r="GE87">
        <v>8.9962500000000001E-2</v>
      </c>
      <c r="GF87">
        <v>0.133385</v>
      </c>
      <c r="GG87">
        <v>0.116677</v>
      </c>
      <c r="GH87">
        <v>25427.200000000001</v>
      </c>
      <c r="GI87">
        <v>25306.2</v>
      </c>
      <c r="GJ87">
        <v>24563.3</v>
      </c>
      <c r="GK87">
        <v>24839.3</v>
      </c>
      <c r="GL87">
        <v>28284</v>
      </c>
      <c r="GM87">
        <v>28696.400000000001</v>
      </c>
      <c r="GN87">
        <v>33219.5</v>
      </c>
      <c r="GO87">
        <v>33177.9</v>
      </c>
      <c r="GP87">
        <v>1.9416</v>
      </c>
      <c r="GQ87">
        <v>1.7856000000000001</v>
      </c>
      <c r="GR87">
        <v>2.2202699999999999E-2</v>
      </c>
      <c r="GS87">
        <v>0</v>
      </c>
      <c r="GT87">
        <v>29.642900000000001</v>
      </c>
      <c r="GU87">
        <v>999.9</v>
      </c>
      <c r="GV87">
        <v>46.7</v>
      </c>
      <c r="GW87">
        <v>39</v>
      </c>
      <c r="GX87">
        <v>33.189500000000002</v>
      </c>
      <c r="GY87">
        <v>61.999000000000002</v>
      </c>
      <c r="GZ87">
        <v>24.747599999999998</v>
      </c>
      <c r="HA87">
        <v>1</v>
      </c>
      <c r="HB87">
        <v>0.58289599999999997</v>
      </c>
      <c r="HC87">
        <v>2.5376599999999998</v>
      </c>
      <c r="HD87">
        <v>20.147300000000001</v>
      </c>
      <c r="HE87">
        <v>5.2346599999999999</v>
      </c>
      <c r="HF87">
        <v>11.9201</v>
      </c>
      <c r="HG87">
        <v>4.96</v>
      </c>
      <c r="HH87">
        <v>3.2890000000000001</v>
      </c>
      <c r="HI87">
        <v>9999</v>
      </c>
      <c r="HJ87">
        <v>9999</v>
      </c>
      <c r="HK87">
        <v>9999</v>
      </c>
      <c r="HL87">
        <v>880.3</v>
      </c>
      <c r="HM87">
        <v>1.8811</v>
      </c>
      <c r="HN87">
        <v>1.8782000000000001</v>
      </c>
      <c r="HO87">
        <v>1.88619</v>
      </c>
      <c r="HP87">
        <v>1.88398</v>
      </c>
      <c r="HQ87">
        <v>1.88148</v>
      </c>
      <c r="HR87">
        <v>1.88049</v>
      </c>
      <c r="HS87">
        <v>1.88171</v>
      </c>
      <c r="HT87">
        <v>1.8811</v>
      </c>
      <c r="HU87">
        <v>5</v>
      </c>
      <c r="HV87">
        <v>0</v>
      </c>
      <c r="HW87">
        <v>0</v>
      </c>
      <c r="HX87">
        <v>0</v>
      </c>
      <c r="HY87" t="s">
        <v>422</v>
      </c>
      <c r="HZ87" t="s">
        <v>423</v>
      </c>
      <c r="IA87" t="s">
        <v>424</v>
      </c>
      <c r="IB87" t="s">
        <v>424</v>
      </c>
      <c r="IC87" t="s">
        <v>424</v>
      </c>
      <c r="ID87" t="s">
        <v>424</v>
      </c>
      <c r="IE87">
        <v>0</v>
      </c>
      <c r="IF87">
        <v>100</v>
      </c>
      <c r="IG87">
        <v>100</v>
      </c>
      <c r="IH87">
        <v>0.46600000000000003</v>
      </c>
      <c r="II87">
        <v>0.23519999999999999</v>
      </c>
      <c r="IJ87">
        <v>-6.2888345378183441E-2</v>
      </c>
      <c r="IK87">
        <v>2.2153513873161218E-3</v>
      </c>
      <c r="IL87">
        <v>-2.2967369670569612E-6</v>
      </c>
      <c r="IM87">
        <v>7.7859689150384122E-10</v>
      </c>
      <c r="IN87">
        <v>-0.15199654708375679</v>
      </c>
      <c r="IO87">
        <v>-4.1434251034592161E-3</v>
      </c>
      <c r="IP87">
        <v>8.3987709687394815E-4</v>
      </c>
      <c r="IQ87">
        <v>-7.4586254598011197E-6</v>
      </c>
      <c r="IR87">
        <v>2</v>
      </c>
      <c r="IS87">
        <v>1930</v>
      </c>
      <c r="IT87">
        <v>2</v>
      </c>
      <c r="IU87">
        <v>41</v>
      </c>
      <c r="IV87">
        <v>0.7</v>
      </c>
      <c r="IW87">
        <v>0.6</v>
      </c>
      <c r="IX87">
        <v>0.98877000000000004</v>
      </c>
      <c r="IY87">
        <v>2.52319</v>
      </c>
      <c r="IZ87">
        <v>1.24512</v>
      </c>
      <c r="JA87">
        <v>2.2595200000000002</v>
      </c>
      <c r="JB87">
        <v>1.4501999999999999</v>
      </c>
      <c r="JC87">
        <v>2.2302200000000001</v>
      </c>
      <c r="JD87">
        <v>41.4041</v>
      </c>
      <c r="JE87">
        <v>23.780999999999999</v>
      </c>
      <c r="JF87">
        <v>18</v>
      </c>
      <c r="JG87">
        <v>495.38200000000001</v>
      </c>
      <c r="JH87">
        <v>438.55399999999997</v>
      </c>
      <c r="JI87">
        <v>26.365400000000001</v>
      </c>
      <c r="JJ87">
        <v>34.437100000000001</v>
      </c>
      <c r="JK87">
        <v>29.9999</v>
      </c>
      <c r="JL87">
        <v>34.289499999999997</v>
      </c>
      <c r="JM87">
        <v>34.231200000000001</v>
      </c>
      <c r="JN87">
        <v>19.8996</v>
      </c>
      <c r="JO87">
        <v>34.889299999999999</v>
      </c>
      <c r="JP87">
        <v>0</v>
      </c>
      <c r="JQ87">
        <v>26.376899999999999</v>
      </c>
      <c r="JR87">
        <v>400</v>
      </c>
      <c r="JS87">
        <v>23.551300000000001</v>
      </c>
      <c r="JT87">
        <v>99.145200000000003</v>
      </c>
      <c r="JU87">
        <v>99.018600000000006</v>
      </c>
    </row>
    <row r="88" spans="1:281" x14ac:dyDescent="0.25">
      <c r="A88">
        <v>72</v>
      </c>
      <c r="B88">
        <v>1693340015.5999999</v>
      </c>
      <c r="C88">
        <v>17302.5</v>
      </c>
      <c r="D88" t="s">
        <v>783</v>
      </c>
      <c r="E88" t="s">
        <v>784</v>
      </c>
      <c r="F88" t="s">
        <v>413</v>
      </c>
      <c r="G88" t="s">
        <v>493</v>
      </c>
      <c r="H88" t="s">
        <v>779</v>
      </c>
      <c r="I88" t="s">
        <v>31</v>
      </c>
      <c r="J88">
        <v>1693340015.5999999</v>
      </c>
      <c r="K88">
        <f t="shared" si="92"/>
        <v>4.436149672827806E-3</v>
      </c>
      <c r="L88">
        <f t="shared" si="93"/>
        <v>4.4361496728278063</v>
      </c>
      <c r="M88">
        <f t="shared" si="94"/>
        <v>30.661208015979192</v>
      </c>
      <c r="N88">
        <f t="shared" si="95"/>
        <v>261.87799999999999</v>
      </c>
      <c r="O88">
        <f t="shared" si="96"/>
        <v>94.278890095375971</v>
      </c>
      <c r="P88">
        <f t="shared" si="97"/>
        <v>9.3310517674805915</v>
      </c>
      <c r="Q88">
        <f t="shared" si="98"/>
        <v>25.918815678592001</v>
      </c>
      <c r="R88">
        <f t="shared" si="99"/>
        <v>0.31571058480501296</v>
      </c>
      <c r="S88">
        <f t="shared" si="100"/>
        <v>2.9053217480881095</v>
      </c>
      <c r="T88">
        <f t="shared" si="101"/>
        <v>0.29781431546074305</v>
      </c>
      <c r="U88">
        <f t="shared" si="102"/>
        <v>0.1876572654211181</v>
      </c>
      <c r="V88">
        <f t="shared" si="103"/>
        <v>344.32759864401169</v>
      </c>
      <c r="W88">
        <f t="shared" si="104"/>
        <v>31.213324072892178</v>
      </c>
      <c r="X88">
        <f t="shared" si="105"/>
        <v>30.0047</v>
      </c>
      <c r="Y88">
        <f t="shared" si="106"/>
        <v>4.2616000764260846</v>
      </c>
      <c r="Z88">
        <f t="shared" si="107"/>
        <v>65.408301793610022</v>
      </c>
      <c r="AA88">
        <f t="shared" si="108"/>
        <v>2.8402242782079998</v>
      </c>
      <c r="AB88">
        <f t="shared" si="109"/>
        <v>4.3422993722877417</v>
      </c>
      <c r="AC88">
        <f t="shared" si="110"/>
        <v>1.4213757982180848</v>
      </c>
      <c r="AD88">
        <f t="shared" si="111"/>
        <v>-195.63420057170623</v>
      </c>
      <c r="AE88">
        <f t="shared" si="112"/>
        <v>51.218567889117132</v>
      </c>
      <c r="AF88">
        <f t="shared" si="113"/>
        <v>3.9264083605456466</v>
      </c>
      <c r="AG88">
        <f t="shared" si="114"/>
        <v>203.83837432196822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51582.714814407016</v>
      </c>
      <c r="AM88" t="s">
        <v>416</v>
      </c>
      <c r="AN88">
        <v>10366.9</v>
      </c>
      <c r="AO88">
        <v>993.59653846153856</v>
      </c>
      <c r="AP88">
        <v>3431.87</v>
      </c>
      <c r="AQ88">
        <f t="shared" si="118"/>
        <v>0.71047955241266758</v>
      </c>
      <c r="AR88">
        <v>-3.9894345373445681</v>
      </c>
      <c r="AS88" t="s">
        <v>785</v>
      </c>
      <c r="AT88">
        <v>10433.1</v>
      </c>
      <c r="AU88">
        <v>843.22724000000005</v>
      </c>
      <c r="AV88">
        <v>1087.1352968564449</v>
      </c>
      <c r="AW88">
        <f t="shared" si="119"/>
        <v>0.22435851136627449</v>
      </c>
      <c r="AX88">
        <v>0.5</v>
      </c>
      <c r="AY88">
        <f t="shared" si="120"/>
        <v>1512.9998993220058</v>
      </c>
      <c r="AZ88">
        <f t="shared" si="121"/>
        <v>30.661208015979192</v>
      </c>
      <c r="BA88">
        <f t="shared" si="122"/>
        <v>169.72720255460422</v>
      </c>
      <c r="BB88">
        <f t="shared" si="123"/>
        <v>2.2901946370816779E-2</v>
      </c>
      <c r="BC88">
        <f t="shared" si="124"/>
        <v>2.1568011910969851</v>
      </c>
      <c r="BD88">
        <f t="shared" si="125"/>
        <v>611.65554499527798</v>
      </c>
      <c r="BE88" t="s">
        <v>786</v>
      </c>
      <c r="BF88">
        <v>627.78</v>
      </c>
      <c r="BG88">
        <f t="shared" si="126"/>
        <v>627.78</v>
      </c>
      <c r="BH88">
        <f t="shared" si="127"/>
        <v>0.42253737707230599</v>
      </c>
      <c r="BI88">
        <f t="shared" si="128"/>
        <v>0.53097908857393583</v>
      </c>
      <c r="BJ88">
        <f t="shared" si="129"/>
        <v>0.83618382546336056</v>
      </c>
      <c r="BK88">
        <f t="shared" si="130"/>
        <v>2.6075614113531662</v>
      </c>
      <c r="BL88">
        <f t="shared" si="131"/>
        <v>0.96163729791986197</v>
      </c>
      <c r="BM88">
        <f t="shared" si="132"/>
        <v>0.39531224373745971</v>
      </c>
      <c r="BN88">
        <f t="shared" si="133"/>
        <v>0.60468775626254034</v>
      </c>
      <c r="BO88">
        <v>7690</v>
      </c>
      <c r="BP88">
        <v>290.00000000000011</v>
      </c>
      <c r="BQ88">
        <v>1024.74</v>
      </c>
      <c r="BR88">
        <v>195</v>
      </c>
      <c r="BS88">
        <v>10433.1</v>
      </c>
      <c r="BT88">
        <v>1023.99</v>
      </c>
      <c r="BU88">
        <v>0.75</v>
      </c>
      <c r="BV88">
        <v>300.00000000000011</v>
      </c>
      <c r="BW88">
        <v>38.200000000000003</v>
      </c>
      <c r="BX88">
        <v>1087.1352968564449</v>
      </c>
      <c r="BY88">
        <v>1.3079595205756771</v>
      </c>
      <c r="BZ88">
        <v>-65.885035925176766</v>
      </c>
      <c r="CA88">
        <v>1.1175212230333651</v>
      </c>
      <c r="CB88">
        <v>0.99200880837660832</v>
      </c>
      <c r="CC88">
        <v>-1.133209054505006E-2</v>
      </c>
      <c r="CD88">
        <v>289.99999999999989</v>
      </c>
      <c r="CE88">
        <v>1021.6</v>
      </c>
      <c r="CF88">
        <v>735</v>
      </c>
      <c r="CG88">
        <v>10409.700000000001</v>
      </c>
      <c r="CH88">
        <v>1023.84</v>
      </c>
      <c r="CI88">
        <v>-2.2400000000000002</v>
      </c>
      <c r="CW88">
        <f t="shared" si="134"/>
        <v>1799.78</v>
      </c>
      <c r="CX88">
        <f t="shared" si="135"/>
        <v>1512.9998993220058</v>
      </c>
      <c r="CY88">
        <f t="shared" si="136"/>
        <v>0.84065824674238288</v>
      </c>
      <c r="CZ88">
        <f t="shared" si="137"/>
        <v>0.19131649348476576</v>
      </c>
      <c r="DA88">
        <v>6</v>
      </c>
      <c r="DB88">
        <v>0.5</v>
      </c>
      <c r="DC88" t="s">
        <v>419</v>
      </c>
      <c r="DD88">
        <v>2</v>
      </c>
      <c r="DE88">
        <v>1693340015.5999999</v>
      </c>
      <c r="DF88">
        <v>261.87799999999999</v>
      </c>
      <c r="DG88">
        <v>300.04399999999998</v>
      </c>
      <c r="DH88">
        <v>28.696999999999999</v>
      </c>
      <c r="DI88">
        <v>23.529299999999999</v>
      </c>
      <c r="DJ88">
        <v>261.48399999999998</v>
      </c>
      <c r="DK88">
        <v>28.457000000000001</v>
      </c>
      <c r="DL88">
        <v>500.28199999999998</v>
      </c>
      <c r="DM88">
        <v>98.872500000000002</v>
      </c>
      <c r="DN88">
        <v>0.10036399999999999</v>
      </c>
      <c r="DO88">
        <v>30.331700000000001</v>
      </c>
      <c r="DP88">
        <v>30.0047</v>
      </c>
      <c r="DQ88">
        <v>999.9</v>
      </c>
      <c r="DR88">
        <v>0</v>
      </c>
      <c r="DS88">
        <v>0</v>
      </c>
      <c r="DT88">
        <v>9975</v>
      </c>
      <c r="DU88">
        <v>0</v>
      </c>
      <c r="DV88">
        <v>1188.57</v>
      </c>
      <c r="DW88">
        <v>-38.166499999999999</v>
      </c>
      <c r="DX88">
        <v>269.61500000000001</v>
      </c>
      <c r="DY88">
        <v>307.274</v>
      </c>
      <c r="DZ88">
        <v>5.16777</v>
      </c>
      <c r="EA88">
        <v>300.04399999999998</v>
      </c>
      <c r="EB88">
        <v>23.529299999999999</v>
      </c>
      <c r="EC88">
        <v>2.8373499999999998</v>
      </c>
      <c r="ED88">
        <v>2.3264</v>
      </c>
      <c r="EE88">
        <v>23.103000000000002</v>
      </c>
      <c r="EF88">
        <v>19.860299999999999</v>
      </c>
      <c r="EG88">
        <v>1799.78</v>
      </c>
      <c r="EH88">
        <v>0.97799700000000001</v>
      </c>
      <c r="EI88">
        <v>2.2002600000000001E-2</v>
      </c>
      <c r="EJ88">
        <v>0</v>
      </c>
      <c r="EK88">
        <v>842.46500000000003</v>
      </c>
      <c r="EL88">
        <v>5.0010300000000001</v>
      </c>
      <c r="EM88">
        <v>15738.5</v>
      </c>
      <c r="EN88">
        <v>14699.3</v>
      </c>
      <c r="EO88">
        <v>46.125</v>
      </c>
      <c r="EP88">
        <v>48.061999999999998</v>
      </c>
      <c r="EQ88">
        <v>47.5</v>
      </c>
      <c r="ER88">
        <v>47.125</v>
      </c>
      <c r="ES88">
        <v>47.75</v>
      </c>
      <c r="ET88">
        <v>1755.29</v>
      </c>
      <c r="EU88">
        <v>39.49</v>
      </c>
      <c r="EV88">
        <v>0</v>
      </c>
      <c r="EW88">
        <v>97.799999952316284</v>
      </c>
      <c r="EX88">
        <v>0</v>
      </c>
      <c r="EY88">
        <v>843.22724000000005</v>
      </c>
      <c r="EZ88">
        <v>-5.6905384678865749</v>
      </c>
      <c r="FA88">
        <v>-116.19230788179441</v>
      </c>
      <c r="FB88">
        <v>15757.268</v>
      </c>
      <c r="FC88">
        <v>15</v>
      </c>
      <c r="FD88">
        <v>1693339988.0999999</v>
      </c>
      <c r="FE88" t="s">
        <v>787</v>
      </c>
      <c r="FF88">
        <v>1693339982.0999999</v>
      </c>
      <c r="FG88">
        <v>1693339988.0999999</v>
      </c>
      <c r="FH88">
        <v>81</v>
      </c>
      <c r="FI88">
        <v>0.02</v>
      </c>
      <c r="FJ88">
        <v>2E-3</v>
      </c>
      <c r="FK88">
        <v>0.436</v>
      </c>
      <c r="FL88">
        <v>0.11700000000000001</v>
      </c>
      <c r="FM88">
        <v>300</v>
      </c>
      <c r="FN88">
        <v>24</v>
      </c>
      <c r="FO88">
        <v>0.1</v>
      </c>
      <c r="FP88">
        <v>0.04</v>
      </c>
      <c r="FQ88">
        <v>30.722915699015601</v>
      </c>
      <c r="FR88">
        <v>0.1932697741502577</v>
      </c>
      <c r="FS88">
        <v>6.879754716568956E-2</v>
      </c>
      <c r="FT88">
        <v>1</v>
      </c>
      <c r="FU88">
        <v>0.31163006406601851</v>
      </c>
      <c r="FV88">
        <v>2.6409842134900451E-2</v>
      </c>
      <c r="FW88">
        <v>3.162114944037335E-3</v>
      </c>
      <c r="FX88">
        <v>1</v>
      </c>
      <c r="FY88">
        <v>2</v>
      </c>
      <c r="FZ88">
        <v>2</v>
      </c>
      <c r="GA88" t="s">
        <v>421</v>
      </c>
      <c r="GB88">
        <v>2.8982199999999998</v>
      </c>
      <c r="GC88">
        <v>2.8181500000000002</v>
      </c>
      <c r="GD88">
        <v>6.3893599999999995E-2</v>
      </c>
      <c r="GE88">
        <v>7.1631799999999995E-2</v>
      </c>
      <c r="GF88">
        <v>0.13377700000000001</v>
      </c>
      <c r="GG88">
        <v>0.11650199999999999</v>
      </c>
      <c r="GH88">
        <v>25913.1</v>
      </c>
      <c r="GI88">
        <v>25816</v>
      </c>
      <c r="GJ88">
        <v>24564</v>
      </c>
      <c r="GK88">
        <v>24839.8</v>
      </c>
      <c r="GL88">
        <v>28271.9</v>
      </c>
      <c r="GM88">
        <v>28702.3</v>
      </c>
      <c r="GN88">
        <v>33220.400000000001</v>
      </c>
      <c r="GO88">
        <v>33178.199999999997</v>
      </c>
      <c r="GP88">
        <v>1.9419</v>
      </c>
      <c r="GQ88">
        <v>1.7863</v>
      </c>
      <c r="GR88">
        <v>1.9818499999999999E-2</v>
      </c>
      <c r="GS88">
        <v>0</v>
      </c>
      <c r="GT88">
        <v>29.682099999999998</v>
      </c>
      <c r="GU88">
        <v>999.9</v>
      </c>
      <c r="GV88">
        <v>46.7</v>
      </c>
      <c r="GW88">
        <v>38.9</v>
      </c>
      <c r="GX88">
        <v>33.0075</v>
      </c>
      <c r="GY88">
        <v>61.939</v>
      </c>
      <c r="GZ88">
        <v>25.9816</v>
      </c>
      <c r="HA88">
        <v>1</v>
      </c>
      <c r="HB88">
        <v>0.58155500000000004</v>
      </c>
      <c r="HC88">
        <v>1.8782399999999999</v>
      </c>
      <c r="HD88">
        <v>20.155799999999999</v>
      </c>
      <c r="HE88">
        <v>5.2340600000000004</v>
      </c>
      <c r="HF88">
        <v>11.9201</v>
      </c>
      <c r="HG88">
        <v>4.9598000000000004</v>
      </c>
      <c r="HH88">
        <v>3.2890000000000001</v>
      </c>
      <c r="HI88">
        <v>9999</v>
      </c>
      <c r="HJ88">
        <v>9999</v>
      </c>
      <c r="HK88">
        <v>9999</v>
      </c>
      <c r="HL88">
        <v>880.4</v>
      </c>
      <c r="HM88">
        <v>1.881</v>
      </c>
      <c r="HN88">
        <v>1.8782000000000001</v>
      </c>
      <c r="HO88">
        <v>1.8861399999999999</v>
      </c>
      <c r="HP88">
        <v>1.8839399999999999</v>
      </c>
      <c r="HQ88">
        <v>1.88141</v>
      </c>
      <c r="HR88">
        <v>1.8804700000000001</v>
      </c>
      <c r="HS88">
        <v>1.88165</v>
      </c>
      <c r="HT88">
        <v>1.8811</v>
      </c>
      <c r="HU88">
        <v>5</v>
      </c>
      <c r="HV88">
        <v>0</v>
      </c>
      <c r="HW88">
        <v>0</v>
      </c>
      <c r="HX88">
        <v>0</v>
      </c>
      <c r="HY88" t="s">
        <v>422</v>
      </c>
      <c r="HZ88" t="s">
        <v>423</v>
      </c>
      <c r="IA88" t="s">
        <v>424</v>
      </c>
      <c r="IB88" t="s">
        <v>424</v>
      </c>
      <c r="IC88" t="s">
        <v>424</v>
      </c>
      <c r="ID88" t="s">
        <v>424</v>
      </c>
      <c r="IE88">
        <v>0</v>
      </c>
      <c r="IF88">
        <v>100</v>
      </c>
      <c r="IG88">
        <v>100</v>
      </c>
      <c r="IH88">
        <v>0.39400000000000002</v>
      </c>
      <c r="II88">
        <v>0.24</v>
      </c>
      <c r="IJ88">
        <v>-4.2422586243402227E-2</v>
      </c>
      <c r="IK88">
        <v>2.2153513873161218E-3</v>
      </c>
      <c r="IL88">
        <v>-2.2967369670569612E-6</v>
      </c>
      <c r="IM88">
        <v>7.7859689150384122E-10</v>
      </c>
      <c r="IN88">
        <v>-0.15027568480262091</v>
      </c>
      <c r="IO88">
        <v>-4.1434251034592161E-3</v>
      </c>
      <c r="IP88">
        <v>8.3987709687394815E-4</v>
      </c>
      <c r="IQ88">
        <v>-7.4586254598011197E-6</v>
      </c>
      <c r="IR88">
        <v>2</v>
      </c>
      <c r="IS88">
        <v>1930</v>
      </c>
      <c r="IT88">
        <v>2</v>
      </c>
      <c r="IU88">
        <v>41</v>
      </c>
      <c r="IV88">
        <v>0.6</v>
      </c>
      <c r="IW88">
        <v>0.5</v>
      </c>
      <c r="IX88">
        <v>0.788574</v>
      </c>
      <c r="IY88">
        <v>2.5109900000000001</v>
      </c>
      <c r="IZ88">
        <v>1.24512</v>
      </c>
      <c r="JA88">
        <v>2.2595200000000002</v>
      </c>
      <c r="JB88">
        <v>1.4501999999999999</v>
      </c>
      <c r="JC88">
        <v>2.4462899999999999</v>
      </c>
      <c r="JD88">
        <v>41.274099999999997</v>
      </c>
      <c r="JE88">
        <v>23.842300000000002</v>
      </c>
      <c r="JF88">
        <v>18</v>
      </c>
      <c r="JG88">
        <v>495.66199999999998</v>
      </c>
      <c r="JH88">
        <v>439.06799999999998</v>
      </c>
      <c r="JI88">
        <v>26.255299999999998</v>
      </c>
      <c r="JJ88">
        <v>34.437100000000001</v>
      </c>
      <c r="JK88">
        <v>29.9983</v>
      </c>
      <c r="JL88">
        <v>34.298900000000003</v>
      </c>
      <c r="JM88">
        <v>34.237400000000001</v>
      </c>
      <c r="JN88">
        <v>15.8703</v>
      </c>
      <c r="JO88">
        <v>34.8078</v>
      </c>
      <c r="JP88">
        <v>0</v>
      </c>
      <c r="JQ88">
        <v>26.376100000000001</v>
      </c>
      <c r="JR88">
        <v>300</v>
      </c>
      <c r="JS88">
        <v>23.512699999999999</v>
      </c>
      <c r="JT88">
        <v>99.147999999999996</v>
      </c>
      <c r="JU88">
        <v>99.02</v>
      </c>
    </row>
    <row r="89" spans="1:281" x14ac:dyDescent="0.25">
      <c r="A89">
        <v>73</v>
      </c>
      <c r="B89">
        <v>1693340115.0999999</v>
      </c>
      <c r="C89">
        <v>17402</v>
      </c>
      <c r="D89" t="s">
        <v>788</v>
      </c>
      <c r="E89" t="s">
        <v>789</v>
      </c>
      <c r="F89" t="s">
        <v>413</v>
      </c>
      <c r="G89" t="s">
        <v>493</v>
      </c>
      <c r="H89" t="s">
        <v>779</v>
      </c>
      <c r="I89" t="s">
        <v>31</v>
      </c>
      <c r="J89">
        <v>1693340115.0999999</v>
      </c>
      <c r="K89">
        <f t="shared" si="92"/>
        <v>4.6343323673426447E-3</v>
      </c>
      <c r="L89">
        <f t="shared" si="93"/>
        <v>4.6343323673426449</v>
      </c>
      <c r="M89">
        <f t="shared" si="94"/>
        <v>21.52186762997049</v>
      </c>
      <c r="N89">
        <f t="shared" si="95"/>
        <v>173.19399999999999</v>
      </c>
      <c r="O89">
        <f t="shared" si="96"/>
        <v>61.10025341568474</v>
      </c>
      <c r="P89">
        <f t="shared" si="97"/>
        <v>6.0470584998510413</v>
      </c>
      <c r="Q89">
        <f t="shared" si="98"/>
        <v>17.140914992577599</v>
      </c>
      <c r="R89">
        <f t="shared" si="99"/>
        <v>0.3319318737457998</v>
      </c>
      <c r="S89">
        <f t="shared" si="100"/>
        <v>2.9157747794206408</v>
      </c>
      <c r="T89">
        <f t="shared" si="101"/>
        <v>0.31227718526234793</v>
      </c>
      <c r="U89">
        <f t="shared" si="102"/>
        <v>0.19684208105594045</v>
      </c>
      <c r="V89">
        <f t="shared" si="103"/>
        <v>344.39979864429796</v>
      </c>
      <c r="W89">
        <f t="shared" si="104"/>
        <v>31.176257527608797</v>
      </c>
      <c r="X89">
        <f t="shared" si="105"/>
        <v>29.997699999999998</v>
      </c>
      <c r="Y89">
        <f t="shared" si="106"/>
        <v>4.2598869563131503</v>
      </c>
      <c r="Z89">
        <f t="shared" si="107"/>
        <v>65.427609580017304</v>
      </c>
      <c r="AA89">
        <f t="shared" si="108"/>
        <v>2.8438475694638399</v>
      </c>
      <c r="AB89">
        <f t="shared" si="109"/>
        <v>4.3465558159905608</v>
      </c>
      <c r="AC89">
        <f t="shared" si="110"/>
        <v>1.4160393868493104</v>
      </c>
      <c r="AD89">
        <f t="shared" si="111"/>
        <v>-204.37405739981062</v>
      </c>
      <c r="AE89">
        <f t="shared" si="112"/>
        <v>55.191252242743282</v>
      </c>
      <c r="AF89">
        <f t="shared" si="113"/>
        <v>4.2159967206674862</v>
      </c>
      <c r="AG89">
        <f t="shared" si="114"/>
        <v>199.43299020789809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51876.415036231185</v>
      </c>
      <c r="AM89" t="s">
        <v>416</v>
      </c>
      <c r="AN89">
        <v>10366.9</v>
      </c>
      <c r="AO89">
        <v>993.59653846153856</v>
      </c>
      <c r="AP89">
        <v>3431.87</v>
      </c>
      <c r="AQ89">
        <f t="shared" si="118"/>
        <v>0.71047955241266758</v>
      </c>
      <c r="AR89">
        <v>-3.9894345373445681</v>
      </c>
      <c r="AS89" t="s">
        <v>790</v>
      </c>
      <c r="AT89">
        <v>10427.4</v>
      </c>
      <c r="AU89">
        <v>843.55996000000005</v>
      </c>
      <c r="AV89">
        <v>1024.6926993994671</v>
      </c>
      <c r="AW89">
        <f t="shared" si="119"/>
        <v>0.17676786367817587</v>
      </c>
      <c r="AX89">
        <v>0.5</v>
      </c>
      <c r="AY89">
        <f t="shared" si="120"/>
        <v>1513.3190993221492</v>
      </c>
      <c r="AZ89">
        <f t="shared" si="121"/>
        <v>21.52186762997049</v>
      </c>
      <c r="BA89">
        <f t="shared" si="122"/>
        <v>133.75309212527878</v>
      </c>
      <c r="BB89">
        <f t="shared" si="123"/>
        <v>1.6857847217247285E-2</v>
      </c>
      <c r="BC89">
        <f t="shared" si="124"/>
        <v>2.3491699531101244</v>
      </c>
      <c r="BD89">
        <f t="shared" si="125"/>
        <v>591.37978625403434</v>
      </c>
      <c r="BE89" t="s">
        <v>791</v>
      </c>
      <c r="BF89">
        <v>622.03</v>
      </c>
      <c r="BG89">
        <f t="shared" si="126"/>
        <v>622.03</v>
      </c>
      <c r="BH89">
        <f t="shared" si="127"/>
        <v>0.39295946934671455</v>
      </c>
      <c r="BI89">
        <f t="shared" si="128"/>
        <v>0.44983739410084217</v>
      </c>
      <c r="BJ89">
        <f t="shared" si="129"/>
        <v>0.8566955060076491</v>
      </c>
      <c r="BK89">
        <f t="shared" si="130"/>
        <v>5.8249228823142714</v>
      </c>
      <c r="BL89">
        <f t="shared" si="131"/>
        <v>0.98724664750347235</v>
      </c>
      <c r="BM89">
        <f t="shared" si="132"/>
        <v>0.33170416748152304</v>
      </c>
      <c r="BN89">
        <f t="shared" si="133"/>
        <v>0.66829583251847691</v>
      </c>
      <c r="BO89">
        <v>7692</v>
      </c>
      <c r="BP89">
        <v>290.00000000000011</v>
      </c>
      <c r="BQ89">
        <v>979.34</v>
      </c>
      <c r="BR89">
        <v>245</v>
      </c>
      <c r="BS89">
        <v>10427.4</v>
      </c>
      <c r="BT89">
        <v>978.28</v>
      </c>
      <c r="BU89">
        <v>1.06</v>
      </c>
      <c r="BV89">
        <v>300.00000000000011</v>
      </c>
      <c r="BW89">
        <v>38.200000000000003</v>
      </c>
      <c r="BX89">
        <v>1024.6926993994671</v>
      </c>
      <c r="BY89">
        <v>1.015244842949995</v>
      </c>
      <c r="BZ89">
        <v>-48.395649111814457</v>
      </c>
      <c r="CA89">
        <v>0.86744126637817498</v>
      </c>
      <c r="CB89">
        <v>0.99108469266852117</v>
      </c>
      <c r="CC89">
        <v>-1.133289477196885E-2</v>
      </c>
      <c r="CD89">
        <v>289.99999999999989</v>
      </c>
      <c r="CE89">
        <v>977.16</v>
      </c>
      <c r="CF89">
        <v>685</v>
      </c>
      <c r="CG89">
        <v>10413.4</v>
      </c>
      <c r="CH89">
        <v>978.22</v>
      </c>
      <c r="CI89">
        <v>-1.06</v>
      </c>
      <c r="CW89">
        <f t="shared" si="134"/>
        <v>1800.16</v>
      </c>
      <c r="CX89">
        <f t="shared" si="135"/>
        <v>1513.3190993221492</v>
      </c>
      <c r="CY89">
        <f t="shared" si="136"/>
        <v>0.84065810779161243</v>
      </c>
      <c r="CZ89">
        <f t="shared" si="137"/>
        <v>0.19131621558322479</v>
      </c>
      <c r="DA89">
        <v>6</v>
      </c>
      <c r="DB89">
        <v>0.5</v>
      </c>
      <c r="DC89" t="s">
        <v>419</v>
      </c>
      <c r="DD89">
        <v>2</v>
      </c>
      <c r="DE89">
        <v>1693340115.0999999</v>
      </c>
      <c r="DF89">
        <v>173.19399999999999</v>
      </c>
      <c r="DG89">
        <v>199.97200000000001</v>
      </c>
      <c r="DH89">
        <v>28.7346</v>
      </c>
      <c r="DI89">
        <v>23.3355</v>
      </c>
      <c r="DJ89">
        <v>172.97900000000001</v>
      </c>
      <c r="DK89">
        <v>28.497299999999999</v>
      </c>
      <c r="DL89">
        <v>500.21300000000002</v>
      </c>
      <c r="DM89">
        <v>98.870800000000003</v>
      </c>
      <c r="DN89">
        <v>9.8650399999999999E-2</v>
      </c>
      <c r="DO89">
        <v>30.348800000000001</v>
      </c>
      <c r="DP89">
        <v>29.997699999999998</v>
      </c>
      <c r="DQ89">
        <v>999.9</v>
      </c>
      <c r="DR89">
        <v>0</v>
      </c>
      <c r="DS89">
        <v>0</v>
      </c>
      <c r="DT89">
        <v>10035</v>
      </c>
      <c r="DU89">
        <v>0</v>
      </c>
      <c r="DV89">
        <v>1148.73</v>
      </c>
      <c r="DW89">
        <v>-26.778400000000001</v>
      </c>
      <c r="DX89">
        <v>178.31800000000001</v>
      </c>
      <c r="DY89">
        <v>204.75</v>
      </c>
      <c r="DZ89">
        <v>5.3990999999999998</v>
      </c>
      <c r="EA89">
        <v>199.97200000000001</v>
      </c>
      <c r="EB89">
        <v>23.3355</v>
      </c>
      <c r="EC89">
        <v>2.8410099999999998</v>
      </c>
      <c r="ED89">
        <v>2.3071899999999999</v>
      </c>
      <c r="EE89">
        <v>23.124300000000002</v>
      </c>
      <c r="EF89">
        <v>19.726700000000001</v>
      </c>
      <c r="EG89">
        <v>1800.16</v>
      </c>
      <c r="EH89">
        <v>0.97800100000000001</v>
      </c>
      <c r="EI89">
        <v>2.1998899999999998E-2</v>
      </c>
      <c r="EJ89">
        <v>0</v>
      </c>
      <c r="EK89">
        <v>842.85599999999999</v>
      </c>
      <c r="EL89">
        <v>5.0010300000000001</v>
      </c>
      <c r="EM89">
        <v>15745.5</v>
      </c>
      <c r="EN89">
        <v>14702.4</v>
      </c>
      <c r="EO89">
        <v>46.061999999999998</v>
      </c>
      <c r="EP89">
        <v>48.061999999999998</v>
      </c>
      <c r="EQ89">
        <v>47.25</v>
      </c>
      <c r="ER89">
        <v>47.125</v>
      </c>
      <c r="ES89">
        <v>47.625</v>
      </c>
      <c r="ET89">
        <v>1755.67</v>
      </c>
      <c r="EU89">
        <v>39.49</v>
      </c>
      <c r="EV89">
        <v>0</v>
      </c>
      <c r="EW89">
        <v>97.799999952316284</v>
      </c>
      <c r="EX89">
        <v>0</v>
      </c>
      <c r="EY89">
        <v>843.55996000000005</v>
      </c>
      <c r="EZ89">
        <v>-6.2964615313582764</v>
      </c>
      <c r="FA89">
        <v>-105.16153860755669</v>
      </c>
      <c r="FB89">
        <v>15755.5</v>
      </c>
      <c r="FC89">
        <v>15</v>
      </c>
      <c r="FD89">
        <v>1693340082.5999999</v>
      </c>
      <c r="FE89" t="s">
        <v>792</v>
      </c>
      <c r="FF89">
        <v>1693340082.5999999</v>
      </c>
      <c r="FG89">
        <v>1693340081.5999999</v>
      </c>
      <c r="FH89">
        <v>82</v>
      </c>
      <c r="FI89">
        <v>-6.0999999999999999E-2</v>
      </c>
      <c r="FJ89">
        <v>-4.0000000000000001E-3</v>
      </c>
      <c r="FK89">
        <v>0.254</v>
      </c>
      <c r="FL89">
        <v>0.112</v>
      </c>
      <c r="FM89">
        <v>200</v>
      </c>
      <c r="FN89">
        <v>23</v>
      </c>
      <c r="FO89">
        <v>0.16</v>
      </c>
      <c r="FP89">
        <v>0.04</v>
      </c>
      <c r="FQ89">
        <v>21.45073296076108</v>
      </c>
      <c r="FR89">
        <v>0.73627076025176863</v>
      </c>
      <c r="FS89">
        <v>7.8519288347868102E-2</v>
      </c>
      <c r="FT89">
        <v>0</v>
      </c>
      <c r="FU89">
        <v>0.33525217797538859</v>
      </c>
      <c r="FV89">
        <v>-2.7121128181072419E-2</v>
      </c>
      <c r="FW89">
        <v>2.1153471928289872E-3</v>
      </c>
      <c r="FX89">
        <v>1</v>
      </c>
      <c r="FY89">
        <v>1</v>
      </c>
      <c r="FZ89">
        <v>2</v>
      </c>
      <c r="GA89" t="s">
        <v>460</v>
      </c>
      <c r="GB89">
        <v>2.8980399999999999</v>
      </c>
      <c r="GC89">
        <v>2.8169599999999999</v>
      </c>
      <c r="GD89">
        <v>4.45259E-2</v>
      </c>
      <c r="GE89">
        <v>5.0718899999999997E-2</v>
      </c>
      <c r="GF89">
        <v>0.133904</v>
      </c>
      <c r="GG89">
        <v>0.115837</v>
      </c>
      <c r="GH89">
        <v>26448.5</v>
      </c>
      <c r="GI89">
        <v>26396.400000000001</v>
      </c>
      <c r="GJ89">
        <v>24564</v>
      </c>
      <c r="GK89">
        <v>24839.4</v>
      </c>
      <c r="GL89">
        <v>28268.3</v>
      </c>
      <c r="GM89">
        <v>28723.1</v>
      </c>
      <c r="GN89">
        <v>33221.1</v>
      </c>
      <c r="GO89">
        <v>33177.1</v>
      </c>
      <c r="GP89">
        <v>1.9415</v>
      </c>
      <c r="GQ89">
        <v>1.786</v>
      </c>
      <c r="GR89">
        <v>2.0697699999999999E-2</v>
      </c>
      <c r="GS89">
        <v>0</v>
      </c>
      <c r="GT89">
        <v>29.660799999999998</v>
      </c>
      <c r="GU89">
        <v>999.9</v>
      </c>
      <c r="GV89">
        <v>46.8</v>
      </c>
      <c r="GW89">
        <v>38.799999999999997</v>
      </c>
      <c r="GX89">
        <v>32.904499999999999</v>
      </c>
      <c r="GY89">
        <v>61.899000000000001</v>
      </c>
      <c r="GZ89">
        <v>25.913499999999999</v>
      </c>
      <c r="HA89">
        <v>1</v>
      </c>
      <c r="HB89">
        <v>0.58252000000000004</v>
      </c>
      <c r="HC89">
        <v>2.4902600000000001</v>
      </c>
      <c r="HD89">
        <v>20.145</v>
      </c>
      <c r="HE89">
        <v>5.2220800000000001</v>
      </c>
      <c r="HF89">
        <v>11.9201</v>
      </c>
      <c r="HG89">
        <v>4.9576000000000002</v>
      </c>
      <c r="HH89">
        <v>3.286</v>
      </c>
      <c r="HI89">
        <v>9999</v>
      </c>
      <c r="HJ89">
        <v>9999</v>
      </c>
      <c r="HK89">
        <v>9999</v>
      </c>
      <c r="HL89">
        <v>880.4</v>
      </c>
      <c r="HM89">
        <v>1.88106</v>
      </c>
      <c r="HN89">
        <v>1.8782000000000001</v>
      </c>
      <c r="HO89">
        <v>1.8861399999999999</v>
      </c>
      <c r="HP89">
        <v>1.8838600000000001</v>
      </c>
      <c r="HQ89">
        <v>1.88141</v>
      </c>
      <c r="HR89">
        <v>1.88046</v>
      </c>
      <c r="HS89">
        <v>1.8816200000000001</v>
      </c>
      <c r="HT89">
        <v>1.8810899999999999</v>
      </c>
      <c r="HU89">
        <v>5</v>
      </c>
      <c r="HV89">
        <v>0</v>
      </c>
      <c r="HW89">
        <v>0</v>
      </c>
      <c r="HX89">
        <v>0</v>
      </c>
      <c r="HY89" t="s">
        <v>422</v>
      </c>
      <c r="HZ89" t="s">
        <v>423</v>
      </c>
      <c r="IA89" t="s">
        <v>424</v>
      </c>
      <c r="IB89" t="s">
        <v>424</v>
      </c>
      <c r="IC89" t="s">
        <v>424</v>
      </c>
      <c r="ID89" t="s">
        <v>424</v>
      </c>
      <c r="IE89">
        <v>0</v>
      </c>
      <c r="IF89">
        <v>100</v>
      </c>
      <c r="IG89">
        <v>100</v>
      </c>
      <c r="IH89">
        <v>0.215</v>
      </c>
      <c r="II89">
        <v>0.23730000000000001</v>
      </c>
      <c r="IJ89">
        <v>-0.103185045246352</v>
      </c>
      <c r="IK89">
        <v>2.2153513873161218E-3</v>
      </c>
      <c r="IL89">
        <v>-2.2967369670569612E-6</v>
      </c>
      <c r="IM89">
        <v>7.7859689150384122E-10</v>
      </c>
      <c r="IN89">
        <v>-0.15413602346117031</v>
      </c>
      <c r="IO89">
        <v>-4.1434251034592161E-3</v>
      </c>
      <c r="IP89">
        <v>8.3987709687394815E-4</v>
      </c>
      <c r="IQ89">
        <v>-7.4586254598011197E-6</v>
      </c>
      <c r="IR89">
        <v>2</v>
      </c>
      <c r="IS89">
        <v>1930</v>
      </c>
      <c r="IT89">
        <v>2</v>
      </c>
      <c r="IU89">
        <v>41</v>
      </c>
      <c r="IV89">
        <v>0.5</v>
      </c>
      <c r="IW89">
        <v>0.6</v>
      </c>
      <c r="IX89">
        <v>0.57983399999999996</v>
      </c>
      <c r="IY89">
        <v>2.52075</v>
      </c>
      <c r="IZ89">
        <v>1.24512</v>
      </c>
      <c r="JA89">
        <v>2.2595200000000002</v>
      </c>
      <c r="JB89">
        <v>1.4501999999999999</v>
      </c>
      <c r="JC89">
        <v>2.4365199999999998</v>
      </c>
      <c r="JD89">
        <v>41.196399999999997</v>
      </c>
      <c r="JE89">
        <v>23.842300000000002</v>
      </c>
      <c r="JF89">
        <v>18</v>
      </c>
      <c r="JG89">
        <v>495.41300000000001</v>
      </c>
      <c r="JH89">
        <v>438.91500000000002</v>
      </c>
      <c r="JI89">
        <v>26.438199999999998</v>
      </c>
      <c r="JJ89">
        <v>34.440199999999997</v>
      </c>
      <c r="JK89">
        <v>30.0001</v>
      </c>
      <c r="JL89">
        <v>34.302</v>
      </c>
      <c r="JM89">
        <v>34.243600000000001</v>
      </c>
      <c r="JN89">
        <v>11.681699999999999</v>
      </c>
      <c r="JO89">
        <v>35.623899999999999</v>
      </c>
      <c r="JP89">
        <v>0</v>
      </c>
      <c r="JQ89">
        <v>26.432200000000002</v>
      </c>
      <c r="JR89">
        <v>200</v>
      </c>
      <c r="JS89">
        <v>23.219000000000001</v>
      </c>
      <c r="JT89">
        <v>99.149199999999993</v>
      </c>
      <c r="JU89">
        <v>99.017499999999998</v>
      </c>
    </row>
    <row r="90" spans="1:281" x14ac:dyDescent="0.25">
      <c r="A90">
        <v>74</v>
      </c>
      <c r="B90">
        <v>1693340214.5999999</v>
      </c>
      <c r="C90">
        <v>17501.5</v>
      </c>
      <c r="D90" t="s">
        <v>793</v>
      </c>
      <c r="E90" t="s">
        <v>794</v>
      </c>
      <c r="F90" t="s">
        <v>413</v>
      </c>
      <c r="G90" t="s">
        <v>493</v>
      </c>
      <c r="H90" t="s">
        <v>779</v>
      </c>
      <c r="I90" t="s">
        <v>31</v>
      </c>
      <c r="J90">
        <v>1693340214.5999999</v>
      </c>
      <c r="K90">
        <f t="shared" si="92"/>
        <v>5.0481237602921884E-3</v>
      </c>
      <c r="L90">
        <f t="shared" si="93"/>
        <v>5.0481237602921887</v>
      </c>
      <c r="M90">
        <f t="shared" si="94"/>
        <v>13.722329852410898</v>
      </c>
      <c r="N90">
        <f t="shared" si="95"/>
        <v>102.943</v>
      </c>
      <c r="O90">
        <f t="shared" si="96"/>
        <v>37.743897915552395</v>
      </c>
      <c r="P90">
        <f t="shared" si="97"/>
        <v>3.7353622689642569</v>
      </c>
      <c r="Q90">
        <f t="shared" si="98"/>
        <v>10.187856032101601</v>
      </c>
      <c r="R90">
        <f t="shared" si="99"/>
        <v>0.36602677877589757</v>
      </c>
      <c r="S90">
        <f t="shared" si="100"/>
        <v>2.9117707465291454</v>
      </c>
      <c r="T90">
        <f t="shared" si="101"/>
        <v>0.34225155980794714</v>
      </c>
      <c r="U90">
        <f t="shared" si="102"/>
        <v>0.21591451167904249</v>
      </c>
      <c r="V90">
        <f t="shared" si="103"/>
        <v>344.39159864461112</v>
      </c>
      <c r="W90">
        <f t="shared" si="104"/>
        <v>31.08028803186189</v>
      </c>
      <c r="X90">
        <f t="shared" si="105"/>
        <v>29.975999999999999</v>
      </c>
      <c r="Y90">
        <f t="shared" si="106"/>
        <v>4.2545800974264791</v>
      </c>
      <c r="Z90">
        <f t="shared" si="107"/>
        <v>65.46420166344133</v>
      </c>
      <c r="AA90">
        <f t="shared" si="108"/>
        <v>2.8472317736257602</v>
      </c>
      <c r="AB90">
        <f t="shared" si="109"/>
        <v>4.3492958002660629</v>
      </c>
      <c r="AC90">
        <f t="shared" si="110"/>
        <v>1.4073483238007189</v>
      </c>
      <c r="AD90">
        <f t="shared" si="111"/>
        <v>-222.62225782888552</v>
      </c>
      <c r="AE90">
        <f t="shared" si="112"/>
        <v>60.2486877660644</v>
      </c>
      <c r="AF90">
        <f t="shared" si="113"/>
        <v>4.6084135188051807</v>
      </c>
      <c r="AG90">
        <f t="shared" si="114"/>
        <v>186.6264421005952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51760.734912030202</v>
      </c>
      <c r="AM90" t="s">
        <v>416</v>
      </c>
      <c r="AN90">
        <v>10366.9</v>
      </c>
      <c r="AO90">
        <v>993.59653846153856</v>
      </c>
      <c r="AP90">
        <v>3431.87</v>
      </c>
      <c r="AQ90">
        <f t="shared" si="118"/>
        <v>0.71047955241266758</v>
      </c>
      <c r="AR90">
        <v>-3.9894345373445681</v>
      </c>
      <c r="AS90" t="s">
        <v>795</v>
      </c>
      <c r="AT90">
        <v>10433.4</v>
      </c>
      <c r="AU90">
        <v>851.12619999999993</v>
      </c>
      <c r="AV90">
        <v>978.52757004692864</v>
      </c>
      <c r="AW90">
        <f t="shared" si="119"/>
        <v>0.13019701636083569</v>
      </c>
      <c r="AX90">
        <v>0.5</v>
      </c>
      <c r="AY90">
        <f t="shared" si="120"/>
        <v>1513.2851993223055</v>
      </c>
      <c r="AZ90">
        <f t="shared" si="121"/>
        <v>13.722329852410898</v>
      </c>
      <c r="BA90">
        <f t="shared" si="122"/>
        <v>98.512608927388357</v>
      </c>
      <c r="BB90">
        <f t="shared" si="123"/>
        <v>1.1704181338512611E-2</v>
      </c>
      <c r="BC90">
        <f t="shared" si="124"/>
        <v>2.507177625905229</v>
      </c>
      <c r="BD90">
        <f t="shared" si="125"/>
        <v>575.70457139798521</v>
      </c>
      <c r="BE90" t="s">
        <v>796</v>
      </c>
      <c r="BF90">
        <v>625.29</v>
      </c>
      <c r="BG90">
        <f t="shared" si="126"/>
        <v>625.29</v>
      </c>
      <c r="BH90">
        <f t="shared" si="127"/>
        <v>0.36098887845335614</v>
      </c>
      <c r="BI90">
        <f t="shared" si="128"/>
        <v>0.36066766632440334</v>
      </c>
      <c r="BJ90">
        <f t="shared" si="129"/>
        <v>0.87413949716490225</v>
      </c>
      <c r="BK90">
        <f t="shared" si="130"/>
        <v>-8.4545515354195349</v>
      </c>
      <c r="BL90">
        <f t="shared" si="131"/>
        <v>1.0061801798085033</v>
      </c>
      <c r="BM90">
        <f t="shared" si="132"/>
        <v>0.2649687967260157</v>
      </c>
      <c r="BN90">
        <f t="shared" si="133"/>
        <v>0.7350312032739843</v>
      </c>
      <c r="BO90">
        <v>7694</v>
      </c>
      <c r="BP90">
        <v>290.00000000000011</v>
      </c>
      <c r="BQ90">
        <v>946.27</v>
      </c>
      <c r="BR90">
        <v>185</v>
      </c>
      <c r="BS90">
        <v>10433.4</v>
      </c>
      <c r="BT90">
        <v>945.56</v>
      </c>
      <c r="BU90">
        <v>0.71</v>
      </c>
      <c r="BV90">
        <v>300.00000000000011</v>
      </c>
      <c r="BW90">
        <v>38.200000000000003</v>
      </c>
      <c r="BX90">
        <v>978.52757004692864</v>
      </c>
      <c r="BY90">
        <v>0.91688062857189212</v>
      </c>
      <c r="BZ90">
        <v>-34.393506980050319</v>
      </c>
      <c r="CA90">
        <v>0.78328405038315785</v>
      </c>
      <c r="CB90">
        <v>0.98568530961647438</v>
      </c>
      <c r="CC90">
        <v>-1.133107363737487E-2</v>
      </c>
      <c r="CD90">
        <v>289.99999999999989</v>
      </c>
      <c r="CE90">
        <v>943.82</v>
      </c>
      <c r="CF90">
        <v>725</v>
      </c>
      <c r="CG90">
        <v>10409.200000000001</v>
      </c>
      <c r="CH90">
        <v>945.49</v>
      </c>
      <c r="CI90">
        <v>-1.67</v>
      </c>
      <c r="CW90">
        <f t="shared" si="134"/>
        <v>1800.12</v>
      </c>
      <c r="CX90">
        <f t="shared" si="135"/>
        <v>1513.2851993223055</v>
      </c>
      <c r="CY90">
        <f t="shared" si="136"/>
        <v>0.84065795575978575</v>
      </c>
      <c r="CZ90">
        <f t="shared" si="137"/>
        <v>0.19131591151957156</v>
      </c>
      <c r="DA90">
        <v>6</v>
      </c>
      <c r="DB90">
        <v>0.5</v>
      </c>
      <c r="DC90" t="s">
        <v>419</v>
      </c>
      <c r="DD90">
        <v>2</v>
      </c>
      <c r="DE90">
        <v>1693340214.5999999</v>
      </c>
      <c r="DF90">
        <v>102.943</v>
      </c>
      <c r="DG90">
        <v>120.021</v>
      </c>
      <c r="DH90">
        <v>28.7698</v>
      </c>
      <c r="DI90">
        <v>22.890599999999999</v>
      </c>
      <c r="DJ90">
        <v>102.874</v>
      </c>
      <c r="DK90">
        <v>28.529499999999999</v>
      </c>
      <c r="DL90">
        <v>500.363</v>
      </c>
      <c r="DM90">
        <v>98.866399999999999</v>
      </c>
      <c r="DN90">
        <v>9.9591200000000005E-2</v>
      </c>
      <c r="DO90">
        <v>30.3598</v>
      </c>
      <c r="DP90">
        <v>29.975999999999999</v>
      </c>
      <c r="DQ90">
        <v>999.9</v>
      </c>
      <c r="DR90">
        <v>0</v>
      </c>
      <c r="DS90">
        <v>0</v>
      </c>
      <c r="DT90">
        <v>10012.5</v>
      </c>
      <c r="DU90">
        <v>0</v>
      </c>
      <c r="DV90">
        <v>1148.1500000000001</v>
      </c>
      <c r="DW90">
        <v>-17.078600000000002</v>
      </c>
      <c r="DX90">
        <v>105.992</v>
      </c>
      <c r="DY90">
        <v>122.833</v>
      </c>
      <c r="DZ90">
        <v>5.8792799999999996</v>
      </c>
      <c r="EA90">
        <v>120.021</v>
      </c>
      <c r="EB90">
        <v>22.890599999999999</v>
      </c>
      <c r="EC90">
        <v>2.8443700000000001</v>
      </c>
      <c r="ED90">
        <v>2.2631100000000002</v>
      </c>
      <c r="EE90">
        <v>23.143899999999999</v>
      </c>
      <c r="EF90">
        <v>19.4162</v>
      </c>
      <c r="EG90">
        <v>1800.12</v>
      </c>
      <c r="EH90">
        <v>0.97800500000000001</v>
      </c>
      <c r="EI90">
        <v>2.1995299999999999E-2</v>
      </c>
      <c r="EJ90">
        <v>0</v>
      </c>
      <c r="EK90">
        <v>850.55899999999997</v>
      </c>
      <c r="EL90">
        <v>5.0010300000000001</v>
      </c>
      <c r="EM90">
        <v>15886.5</v>
      </c>
      <c r="EN90">
        <v>14702.1</v>
      </c>
      <c r="EO90">
        <v>46.186999999999998</v>
      </c>
      <c r="EP90">
        <v>48.25</v>
      </c>
      <c r="EQ90">
        <v>47.5</v>
      </c>
      <c r="ER90">
        <v>47.311999999999998</v>
      </c>
      <c r="ES90">
        <v>47.875</v>
      </c>
      <c r="ET90">
        <v>1755.64</v>
      </c>
      <c r="EU90">
        <v>39.479999999999997</v>
      </c>
      <c r="EV90">
        <v>0</v>
      </c>
      <c r="EW90">
        <v>97.799999952316284</v>
      </c>
      <c r="EX90">
        <v>0</v>
      </c>
      <c r="EY90">
        <v>851.12619999999993</v>
      </c>
      <c r="EZ90">
        <v>-3.8225384635566519</v>
      </c>
      <c r="FA90">
        <v>-75.73846159632825</v>
      </c>
      <c r="FB90">
        <v>15897.995999999999</v>
      </c>
      <c r="FC90">
        <v>15</v>
      </c>
      <c r="FD90">
        <v>1693340186.0999999</v>
      </c>
      <c r="FE90" t="s">
        <v>797</v>
      </c>
      <c r="FF90">
        <v>1693340179.0999999</v>
      </c>
      <c r="FG90">
        <v>1693340186.0999999</v>
      </c>
      <c r="FH90">
        <v>83</v>
      </c>
      <c r="FI90">
        <v>-3.3000000000000002E-2</v>
      </c>
      <c r="FJ90">
        <v>2E-3</v>
      </c>
      <c r="FK90">
        <v>9.8000000000000004E-2</v>
      </c>
      <c r="FL90">
        <v>0.107</v>
      </c>
      <c r="FM90">
        <v>120</v>
      </c>
      <c r="FN90">
        <v>23</v>
      </c>
      <c r="FO90">
        <v>0.26</v>
      </c>
      <c r="FP90">
        <v>0.05</v>
      </c>
      <c r="FQ90">
        <v>13.65659077609031</v>
      </c>
      <c r="FR90">
        <v>0.47615121955245671</v>
      </c>
      <c r="FS90">
        <v>5.3818575210142557E-2</v>
      </c>
      <c r="FT90">
        <v>1</v>
      </c>
      <c r="FU90">
        <v>0.36593857565357812</v>
      </c>
      <c r="FV90">
        <v>1.491440563277221E-2</v>
      </c>
      <c r="FW90">
        <v>1.910239838661216E-3</v>
      </c>
      <c r="FX90">
        <v>1</v>
      </c>
      <c r="FY90">
        <v>2</v>
      </c>
      <c r="FZ90">
        <v>2</v>
      </c>
      <c r="GA90" t="s">
        <v>421</v>
      </c>
      <c r="GB90">
        <v>2.8984800000000002</v>
      </c>
      <c r="GC90">
        <v>2.8177099999999999</v>
      </c>
      <c r="GD90">
        <v>2.7419700000000002E-2</v>
      </c>
      <c r="GE90">
        <v>3.1787799999999998E-2</v>
      </c>
      <c r="GF90">
        <v>0.13400400000000001</v>
      </c>
      <c r="GG90">
        <v>0.11430700000000001</v>
      </c>
      <c r="GH90">
        <v>26921.200000000001</v>
      </c>
      <c r="GI90">
        <v>26922.9</v>
      </c>
      <c r="GJ90">
        <v>24563.9</v>
      </c>
      <c r="GK90">
        <v>24840.3</v>
      </c>
      <c r="GL90">
        <v>28264.400000000001</v>
      </c>
      <c r="GM90">
        <v>28773.599999999999</v>
      </c>
      <c r="GN90">
        <v>33220.5</v>
      </c>
      <c r="GO90">
        <v>33178</v>
      </c>
      <c r="GP90">
        <v>1.9419</v>
      </c>
      <c r="GQ90">
        <v>1.7867</v>
      </c>
      <c r="GR90">
        <v>2.55108E-2</v>
      </c>
      <c r="GS90">
        <v>0</v>
      </c>
      <c r="GT90">
        <v>29.560700000000001</v>
      </c>
      <c r="GU90">
        <v>999.9</v>
      </c>
      <c r="GV90">
        <v>46.9</v>
      </c>
      <c r="GW90">
        <v>38.700000000000003</v>
      </c>
      <c r="GX90">
        <v>32.796799999999998</v>
      </c>
      <c r="GY90">
        <v>61.869</v>
      </c>
      <c r="GZ90">
        <v>25.456700000000001</v>
      </c>
      <c r="HA90">
        <v>1</v>
      </c>
      <c r="HB90">
        <v>0.57929900000000001</v>
      </c>
      <c r="HC90">
        <v>2.17414</v>
      </c>
      <c r="HD90">
        <v>20.1526</v>
      </c>
      <c r="HE90">
        <v>5.2340600000000004</v>
      </c>
      <c r="HF90">
        <v>11.9201</v>
      </c>
      <c r="HG90">
        <v>4.9598000000000004</v>
      </c>
      <c r="HH90">
        <v>3.2890000000000001</v>
      </c>
      <c r="HI90">
        <v>9999</v>
      </c>
      <c r="HJ90">
        <v>9999</v>
      </c>
      <c r="HK90">
        <v>9999</v>
      </c>
      <c r="HL90">
        <v>880.4</v>
      </c>
      <c r="HM90">
        <v>1.8809499999999999</v>
      </c>
      <c r="HN90">
        <v>1.87819</v>
      </c>
      <c r="HO90">
        <v>1.88611</v>
      </c>
      <c r="HP90">
        <v>1.88385</v>
      </c>
      <c r="HQ90">
        <v>1.88141</v>
      </c>
      <c r="HR90">
        <v>1.8804700000000001</v>
      </c>
      <c r="HS90">
        <v>1.8815599999999999</v>
      </c>
      <c r="HT90">
        <v>1.88104</v>
      </c>
      <c r="HU90">
        <v>5</v>
      </c>
      <c r="HV90">
        <v>0</v>
      </c>
      <c r="HW90">
        <v>0</v>
      </c>
      <c r="HX90">
        <v>0</v>
      </c>
      <c r="HY90" t="s">
        <v>422</v>
      </c>
      <c r="HZ90" t="s">
        <v>423</v>
      </c>
      <c r="IA90" t="s">
        <v>424</v>
      </c>
      <c r="IB90" t="s">
        <v>424</v>
      </c>
      <c r="IC90" t="s">
        <v>424</v>
      </c>
      <c r="ID90" t="s">
        <v>424</v>
      </c>
      <c r="IE90">
        <v>0</v>
      </c>
      <c r="IF90">
        <v>100</v>
      </c>
      <c r="IG90">
        <v>100</v>
      </c>
      <c r="IH90">
        <v>6.9000000000000006E-2</v>
      </c>
      <c r="II90">
        <v>0.24030000000000001</v>
      </c>
      <c r="IJ90">
        <v>-0.13625868533412011</v>
      </c>
      <c r="IK90">
        <v>2.2153513873161218E-3</v>
      </c>
      <c r="IL90">
        <v>-2.2967369670569612E-6</v>
      </c>
      <c r="IM90">
        <v>7.7859689150384122E-10</v>
      </c>
      <c r="IN90">
        <v>-0.15189229687419101</v>
      </c>
      <c r="IO90">
        <v>-4.1434251034592161E-3</v>
      </c>
      <c r="IP90">
        <v>8.3987709687394815E-4</v>
      </c>
      <c r="IQ90">
        <v>-7.4586254598011197E-6</v>
      </c>
      <c r="IR90">
        <v>2</v>
      </c>
      <c r="IS90">
        <v>1930</v>
      </c>
      <c r="IT90">
        <v>2</v>
      </c>
      <c r="IU90">
        <v>41</v>
      </c>
      <c r="IV90">
        <v>0.6</v>
      </c>
      <c r="IW90">
        <v>0.5</v>
      </c>
      <c r="IX90">
        <v>0.40649400000000002</v>
      </c>
      <c r="IY90">
        <v>2.5390600000000001</v>
      </c>
      <c r="IZ90">
        <v>1.24512</v>
      </c>
      <c r="JA90">
        <v>2.2595200000000002</v>
      </c>
      <c r="JB90">
        <v>1.4501999999999999</v>
      </c>
      <c r="JC90">
        <v>2.4084500000000002</v>
      </c>
      <c r="JD90">
        <v>41.041200000000003</v>
      </c>
      <c r="JE90">
        <v>23.868600000000001</v>
      </c>
      <c r="JF90">
        <v>18</v>
      </c>
      <c r="JG90">
        <v>495.61099999999999</v>
      </c>
      <c r="JH90">
        <v>439.31200000000001</v>
      </c>
      <c r="JI90">
        <v>26.759499999999999</v>
      </c>
      <c r="JJ90">
        <v>34.418399999999998</v>
      </c>
      <c r="JK90">
        <v>29.9999</v>
      </c>
      <c r="JL90">
        <v>34.2926</v>
      </c>
      <c r="JM90">
        <v>34.234299999999998</v>
      </c>
      <c r="JN90">
        <v>8.2271800000000006</v>
      </c>
      <c r="JO90">
        <v>36.426499999999997</v>
      </c>
      <c r="JP90">
        <v>0</v>
      </c>
      <c r="JQ90">
        <v>26.7636</v>
      </c>
      <c r="JR90">
        <v>120</v>
      </c>
      <c r="JS90">
        <v>22.834900000000001</v>
      </c>
      <c r="JT90">
        <v>99.147900000000007</v>
      </c>
      <c r="JU90">
        <v>99.020499999999998</v>
      </c>
    </row>
    <row r="91" spans="1:281" x14ac:dyDescent="0.25">
      <c r="A91">
        <v>75</v>
      </c>
      <c r="B91">
        <v>1693340329.0999999</v>
      </c>
      <c r="C91">
        <v>17616</v>
      </c>
      <c r="D91" t="s">
        <v>798</v>
      </c>
      <c r="E91" t="s">
        <v>799</v>
      </c>
      <c r="F91" t="s">
        <v>413</v>
      </c>
      <c r="G91" t="s">
        <v>493</v>
      </c>
      <c r="H91" t="s">
        <v>779</v>
      </c>
      <c r="I91" t="s">
        <v>31</v>
      </c>
      <c r="J91">
        <v>1693340329.0999999</v>
      </c>
      <c r="K91">
        <f t="shared" si="92"/>
        <v>5.458146880338033E-3</v>
      </c>
      <c r="L91">
        <f t="shared" si="93"/>
        <v>5.4581468803380329</v>
      </c>
      <c r="M91">
        <f t="shared" si="94"/>
        <v>8.6841869355568893</v>
      </c>
      <c r="N91">
        <f t="shared" si="95"/>
        <v>59.201999999999998</v>
      </c>
      <c r="O91">
        <f t="shared" si="96"/>
        <v>21.495047940048398</v>
      </c>
      <c r="P91">
        <f t="shared" si="97"/>
        <v>2.1270664358859426</v>
      </c>
      <c r="Q91">
        <f t="shared" si="98"/>
        <v>5.8583999202300001</v>
      </c>
      <c r="R91">
        <f t="shared" si="99"/>
        <v>0.40265775312907637</v>
      </c>
      <c r="S91">
        <f t="shared" si="100"/>
        <v>2.901086752329832</v>
      </c>
      <c r="T91">
        <f t="shared" si="101"/>
        <v>0.37398764247033078</v>
      </c>
      <c r="U91">
        <f t="shared" si="102"/>
        <v>0.23614783532842115</v>
      </c>
      <c r="V91">
        <f t="shared" si="103"/>
        <v>344.40479864362641</v>
      </c>
      <c r="W91">
        <f t="shared" si="104"/>
        <v>31.093924682883834</v>
      </c>
      <c r="X91">
        <f t="shared" si="105"/>
        <v>30.0138</v>
      </c>
      <c r="Y91">
        <f t="shared" si="106"/>
        <v>4.2638280301582858</v>
      </c>
      <c r="Z91">
        <f t="shared" si="107"/>
        <v>65.579965484794471</v>
      </c>
      <c r="AA91">
        <f t="shared" si="108"/>
        <v>2.8716866660770002</v>
      </c>
      <c r="AB91">
        <f t="shared" si="109"/>
        <v>4.3789084743309852</v>
      </c>
      <c r="AC91">
        <f t="shared" si="110"/>
        <v>1.3921413640812856</v>
      </c>
      <c r="AD91">
        <f t="shared" si="111"/>
        <v>-240.70427742290727</v>
      </c>
      <c r="AE91">
        <f t="shared" si="112"/>
        <v>72.649374186601108</v>
      </c>
      <c r="AF91">
        <f t="shared" si="113"/>
        <v>5.5817204512707166</v>
      </c>
      <c r="AG91">
        <f t="shared" si="114"/>
        <v>181.93161585859096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51437.510271548977</v>
      </c>
      <c r="AM91" t="s">
        <v>416</v>
      </c>
      <c r="AN91">
        <v>10366.9</v>
      </c>
      <c r="AO91">
        <v>993.59653846153856</v>
      </c>
      <c r="AP91">
        <v>3431.87</v>
      </c>
      <c r="AQ91">
        <f t="shared" si="118"/>
        <v>0.71047955241266758</v>
      </c>
      <c r="AR91">
        <v>-3.9894345373445681</v>
      </c>
      <c r="AS91" t="s">
        <v>800</v>
      </c>
      <c r="AT91">
        <v>10422.1</v>
      </c>
      <c r="AU91">
        <v>854.44611538461527</v>
      </c>
      <c r="AV91">
        <v>945.30034721920015</v>
      </c>
      <c r="AW91">
        <f t="shared" si="119"/>
        <v>9.6111497368906895E-2</v>
      </c>
      <c r="AX91">
        <v>0.5</v>
      </c>
      <c r="AY91">
        <f t="shared" si="120"/>
        <v>1513.3364993218131</v>
      </c>
      <c r="AZ91">
        <f t="shared" si="121"/>
        <v>8.6841869355568893</v>
      </c>
      <c r="BA91">
        <f t="shared" si="122"/>
        <v>72.724518486419612</v>
      </c>
      <c r="BB91">
        <f t="shared" si="123"/>
        <v>8.3746222195665125E-3</v>
      </c>
      <c r="BC91">
        <f t="shared" si="124"/>
        <v>2.6304546064069134</v>
      </c>
      <c r="BD91">
        <f t="shared" si="125"/>
        <v>564.04021166503981</v>
      </c>
      <c r="BE91" t="s">
        <v>801</v>
      </c>
      <c r="BF91">
        <v>635.55999999999995</v>
      </c>
      <c r="BG91">
        <f t="shared" si="126"/>
        <v>635.55999999999995</v>
      </c>
      <c r="BH91">
        <f t="shared" si="127"/>
        <v>0.32766342266811455</v>
      </c>
      <c r="BI91">
        <f t="shared" si="128"/>
        <v>0.2933238522209321</v>
      </c>
      <c r="BJ91">
        <f t="shared" si="129"/>
        <v>0.88923247164327257</v>
      </c>
      <c r="BK91">
        <f t="shared" si="130"/>
        <v>-1.8811883400639335</v>
      </c>
      <c r="BL91">
        <f t="shared" si="131"/>
        <v>1.0198075367690156</v>
      </c>
      <c r="BM91">
        <f t="shared" si="132"/>
        <v>0.21818216990034461</v>
      </c>
      <c r="BN91">
        <f t="shared" si="133"/>
        <v>0.78181783009965544</v>
      </c>
      <c r="BO91">
        <v>7696</v>
      </c>
      <c r="BP91">
        <v>290.00000000000011</v>
      </c>
      <c r="BQ91">
        <v>919.97</v>
      </c>
      <c r="BR91">
        <v>245</v>
      </c>
      <c r="BS91">
        <v>10422.1</v>
      </c>
      <c r="BT91">
        <v>920.28</v>
      </c>
      <c r="BU91">
        <v>-0.31</v>
      </c>
      <c r="BV91">
        <v>300.00000000000011</v>
      </c>
      <c r="BW91">
        <v>38.200000000000003</v>
      </c>
      <c r="BX91">
        <v>945.30034721920015</v>
      </c>
      <c r="BY91">
        <v>0.94499140022405781</v>
      </c>
      <c r="BZ91">
        <v>-26.07769794101435</v>
      </c>
      <c r="CA91">
        <v>0.8069790585274691</v>
      </c>
      <c r="CB91">
        <v>0.97388724245009883</v>
      </c>
      <c r="CC91">
        <v>-1.132766896551725E-2</v>
      </c>
      <c r="CD91">
        <v>289.99999999999989</v>
      </c>
      <c r="CE91">
        <v>917.68</v>
      </c>
      <c r="CF91">
        <v>635</v>
      </c>
      <c r="CG91">
        <v>10411.5</v>
      </c>
      <c r="CH91">
        <v>920.25</v>
      </c>
      <c r="CI91">
        <v>-2.57</v>
      </c>
      <c r="CW91">
        <f t="shared" si="134"/>
        <v>1800.18</v>
      </c>
      <c r="CX91">
        <f t="shared" si="135"/>
        <v>1513.3364993218131</v>
      </c>
      <c r="CY91">
        <f t="shared" si="136"/>
        <v>0.8406584337798515</v>
      </c>
      <c r="CZ91">
        <f t="shared" si="137"/>
        <v>0.19131686755970315</v>
      </c>
      <c r="DA91">
        <v>6</v>
      </c>
      <c r="DB91">
        <v>0.5</v>
      </c>
      <c r="DC91" t="s">
        <v>419</v>
      </c>
      <c r="DD91">
        <v>2</v>
      </c>
      <c r="DE91">
        <v>1693340329.0999999</v>
      </c>
      <c r="DF91">
        <v>59.201999999999998</v>
      </c>
      <c r="DG91">
        <v>70.006699999999995</v>
      </c>
      <c r="DH91">
        <v>29.0198</v>
      </c>
      <c r="DI91">
        <v>22.662500000000001</v>
      </c>
      <c r="DJ91">
        <v>59.159500000000001</v>
      </c>
      <c r="DK91">
        <v>28.7729</v>
      </c>
      <c r="DL91">
        <v>500.18900000000002</v>
      </c>
      <c r="DM91">
        <v>98.855900000000005</v>
      </c>
      <c r="DN91">
        <v>0.100215</v>
      </c>
      <c r="DO91">
        <v>30.478300000000001</v>
      </c>
      <c r="DP91">
        <v>30.0138</v>
      </c>
      <c r="DQ91">
        <v>999.9</v>
      </c>
      <c r="DR91">
        <v>0</v>
      </c>
      <c r="DS91">
        <v>0</v>
      </c>
      <c r="DT91">
        <v>9952.5</v>
      </c>
      <c r="DU91">
        <v>0</v>
      </c>
      <c r="DV91">
        <v>1138.4000000000001</v>
      </c>
      <c r="DW91">
        <v>-10.8048</v>
      </c>
      <c r="DX91">
        <v>60.971299999999999</v>
      </c>
      <c r="DY91">
        <v>71.63</v>
      </c>
      <c r="DZ91">
        <v>6.3573199999999996</v>
      </c>
      <c r="EA91">
        <v>70.006699999999995</v>
      </c>
      <c r="EB91">
        <v>22.662500000000001</v>
      </c>
      <c r="EC91">
        <v>2.8687800000000001</v>
      </c>
      <c r="ED91">
        <v>2.2403200000000001</v>
      </c>
      <c r="EE91">
        <v>23.285299999999999</v>
      </c>
      <c r="EF91">
        <v>19.253599999999999</v>
      </c>
      <c r="EG91">
        <v>1800.18</v>
      </c>
      <c r="EH91">
        <v>0.977993</v>
      </c>
      <c r="EI91">
        <v>2.2006999999999999E-2</v>
      </c>
      <c r="EJ91">
        <v>0</v>
      </c>
      <c r="EK91">
        <v>854.07299999999998</v>
      </c>
      <c r="EL91">
        <v>5.0010300000000001</v>
      </c>
      <c r="EM91">
        <v>15976.1</v>
      </c>
      <c r="EN91">
        <v>14702.5</v>
      </c>
      <c r="EO91">
        <v>46.811999999999998</v>
      </c>
      <c r="EP91">
        <v>48.811999999999998</v>
      </c>
      <c r="EQ91">
        <v>48.186999999999998</v>
      </c>
      <c r="ER91">
        <v>47.936999999999998</v>
      </c>
      <c r="ES91">
        <v>48.5</v>
      </c>
      <c r="ET91">
        <v>1755.67</v>
      </c>
      <c r="EU91">
        <v>39.51</v>
      </c>
      <c r="EV91">
        <v>0</v>
      </c>
      <c r="EW91">
        <v>112.7999999523163</v>
      </c>
      <c r="EX91">
        <v>0</v>
      </c>
      <c r="EY91">
        <v>854.44611538461527</v>
      </c>
      <c r="EZ91">
        <v>-3.0757948663626551</v>
      </c>
      <c r="FA91">
        <v>-40.006837477040733</v>
      </c>
      <c r="FB91">
        <v>15978.792307692311</v>
      </c>
      <c r="FC91">
        <v>15</v>
      </c>
      <c r="FD91">
        <v>1693340301.5999999</v>
      </c>
      <c r="FE91" t="s">
        <v>802</v>
      </c>
      <c r="FF91">
        <v>1693340291.5999999</v>
      </c>
      <c r="FG91">
        <v>1693340301.5999999</v>
      </c>
      <c r="FH91">
        <v>84</v>
      </c>
      <c r="FI91">
        <v>5.6000000000000001E-2</v>
      </c>
      <c r="FJ91">
        <v>0</v>
      </c>
      <c r="FK91">
        <v>6.3E-2</v>
      </c>
      <c r="FL91">
        <v>9.7000000000000003E-2</v>
      </c>
      <c r="FM91">
        <v>70</v>
      </c>
      <c r="FN91">
        <v>23</v>
      </c>
      <c r="FO91">
        <v>0.41</v>
      </c>
      <c r="FP91">
        <v>0.05</v>
      </c>
      <c r="FQ91">
        <v>8.6450917874070328</v>
      </c>
      <c r="FR91">
        <v>1.391845698518296E-2</v>
      </c>
      <c r="FS91">
        <v>6.2143531354854488E-2</v>
      </c>
      <c r="FT91">
        <v>1</v>
      </c>
      <c r="FU91">
        <v>0.39868257071254543</v>
      </c>
      <c r="FV91">
        <v>3.4406802631508207E-2</v>
      </c>
      <c r="FW91">
        <v>3.6660990001095512E-3</v>
      </c>
      <c r="FX91">
        <v>1</v>
      </c>
      <c r="FY91">
        <v>2</v>
      </c>
      <c r="FZ91">
        <v>2</v>
      </c>
      <c r="GA91" t="s">
        <v>421</v>
      </c>
      <c r="GB91">
        <v>2.8981300000000001</v>
      </c>
      <c r="GC91">
        <v>2.8178100000000001</v>
      </c>
      <c r="GD91">
        <v>1.60129E-2</v>
      </c>
      <c r="GE91">
        <v>1.8925899999999999E-2</v>
      </c>
      <c r="GF91">
        <v>0.13477900000000001</v>
      </c>
      <c r="GG91">
        <v>0.113514</v>
      </c>
      <c r="GH91">
        <v>27239.1</v>
      </c>
      <c r="GI91">
        <v>27282.1</v>
      </c>
      <c r="GJ91">
        <v>24566.400000000001</v>
      </c>
      <c r="GK91">
        <v>24842.2</v>
      </c>
      <c r="GL91">
        <v>28241.4</v>
      </c>
      <c r="GM91">
        <v>28801.7</v>
      </c>
      <c r="GN91">
        <v>33223.599999999999</v>
      </c>
      <c r="GO91">
        <v>33180.699999999997</v>
      </c>
      <c r="GP91">
        <v>1.9433</v>
      </c>
      <c r="GQ91">
        <v>1.7877000000000001</v>
      </c>
      <c r="GR91">
        <v>2.487E-2</v>
      </c>
      <c r="GS91">
        <v>0</v>
      </c>
      <c r="GT91">
        <v>29.608899999999998</v>
      </c>
      <c r="GU91">
        <v>999.9</v>
      </c>
      <c r="GV91">
        <v>47</v>
      </c>
      <c r="GW91">
        <v>38.6</v>
      </c>
      <c r="GX91">
        <v>32.6937</v>
      </c>
      <c r="GY91">
        <v>62.279000000000003</v>
      </c>
      <c r="GZ91">
        <v>25.100200000000001</v>
      </c>
      <c r="HA91">
        <v>1</v>
      </c>
      <c r="HB91">
        <v>0.57733699999999999</v>
      </c>
      <c r="HC91">
        <v>2.75901</v>
      </c>
      <c r="HD91">
        <v>20.144200000000001</v>
      </c>
      <c r="HE91">
        <v>5.2346599999999999</v>
      </c>
      <c r="HF91">
        <v>11.9201</v>
      </c>
      <c r="HG91">
        <v>4.9603999999999999</v>
      </c>
      <c r="HH91">
        <v>3.2890000000000001</v>
      </c>
      <c r="HI91">
        <v>9999</v>
      </c>
      <c r="HJ91">
        <v>9999</v>
      </c>
      <c r="HK91">
        <v>9999</v>
      </c>
      <c r="HL91">
        <v>880.4</v>
      </c>
      <c r="HM91">
        <v>1.8809499999999999</v>
      </c>
      <c r="HN91">
        <v>1.8781000000000001</v>
      </c>
      <c r="HO91">
        <v>1.88611</v>
      </c>
      <c r="HP91">
        <v>1.88385</v>
      </c>
      <c r="HQ91">
        <v>1.88137</v>
      </c>
      <c r="HR91">
        <v>1.88036</v>
      </c>
      <c r="HS91">
        <v>1.8815599999999999</v>
      </c>
      <c r="HT91">
        <v>1.8810100000000001</v>
      </c>
      <c r="HU91">
        <v>5</v>
      </c>
      <c r="HV91">
        <v>0</v>
      </c>
      <c r="HW91">
        <v>0</v>
      </c>
      <c r="HX91">
        <v>0</v>
      </c>
      <c r="HY91" t="s">
        <v>422</v>
      </c>
      <c r="HZ91" t="s">
        <v>423</v>
      </c>
      <c r="IA91" t="s">
        <v>424</v>
      </c>
      <c r="IB91" t="s">
        <v>424</v>
      </c>
      <c r="IC91" t="s">
        <v>424</v>
      </c>
      <c r="ID91" t="s">
        <v>424</v>
      </c>
      <c r="IE91">
        <v>0</v>
      </c>
      <c r="IF91">
        <v>100</v>
      </c>
      <c r="IG91">
        <v>100</v>
      </c>
      <c r="IH91">
        <v>4.2000000000000003E-2</v>
      </c>
      <c r="II91">
        <v>0.24690000000000001</v>
      </c>
      <c r="IJ91">
        <v>-8.0727074997911624E-2</v>
      </c>
      <c r="IK91">
        <v>2.2153513873161218E-3</v>
      </c>
      <c r="IL91">
        <v>-2.2967369670569612E-6</v>
      </c>
      <c r="IM91">
        <v>7.7859689150384122E-10</v>
      </c>
      <c r="IN91">
        <v>-0.1515098823144064</v>
      </c>
      <c r="IO91">
        <v>-4.1434251034592161E-3</v>
      </c>
      <c r="IP91">
        <v>8.3987709687394815E-4</v>
      </c>
      <c r="IQ91">
        <v>-7.4586254598011197E-6</v>
      </c>
      <c r="IR91">
        <v>2</v>
      </c>
      <c r="IS91">
        <v>1930</v>
      </c>
      <c r="IT91">
        <v>2</v>
      </c>
      <c r="IU91">
        <v>41</v>
      </c>
      <c r="IV91">
        <v>0.6</v>
      </c>
      <c r="IW91">
        <v>0.5</v>
      </c>
      <c r="IX91">
        <v>0.299072</v>
      </c>
      <c r="IY91">
        <v>2.5634800000000002</v>
      </c>
      <c r="IZ91">
        <v>1.24512</v>
      </c>
      <c r="JA91">
        <v>2.2595200000000002</v>
      </c>
      <c r="JB91">
        <v>1.4501999999999999</v>
      </c>
      <c r="JC91">
        <v>2.3290999999999999</v>
      </c>
      <c r="JD91">
        <v>40.835000000000001</v>
      </c>
      <c r="JE91">
        <v>23.886099999999999</v>
      </c>
      <c r="JF91">
        <v>18</v>
      </c>
      <c r="JG91">
        <v>496.31799999999998</v>
      </c>
      <c r="JH91">
        <v>439.77199999999999</v>
      </c>
      <c r="JI91">
        <v>26.545400000000001</v>
      </c>
      <c r="JJ91">
        <v>34.371600000000001</v>
      </c>
      <c r="JK91">
        <v>30</v>
      </c>
      <c r="JL91">
        <v>34.261400000000002</v>
      </c>
      <c r="JM91">
        <v>34.206400000000002</v>
      </c>
      <c r="JN91">
        <v>6.0532599999999999</v>
      </c>
      <c r="JO91">
        <v>36.914000000000001</v>
      </c>
      <c r="JP91">
        <v>0</v>
      </c>
      <c r="JQ91">
        <v>26.527699999999999</v>
      </c>
      <c r="JR91">
        <v>70</v>
      </c>
      <c r="JS91">
        <v>22.558599999999998</v>
      </c>
      <c r="JT91">
        <v>99.157399999999996</v>
      </c>
      <c r="JU91">
        <v>99.028400000000005</v>
      </c>
    </row>
    <row r="92" spans="1:281" x14ac:dyDescent="0.25">
      <c r="A92">
        <v>76</v>
      </c>
      <c r="B92">
        <v>1693340438.5999999</v>
      </c>
      <c r="C92">
        <v>17725.5</v>
      </c>
      <c r="D92" t="s">
        <v>803</v>
      </c>
      <c r="E92" t="s">
        <v>804</v>
      </c>
      <c r="F92" t="s">
        <v>413</v>
      </c>
      <c r="G92" t="s">
        <v>493</v>
      </c>
      <c r="H92" t="s">
        <v>779</v>
      </c>
      <c r="I92" t="s">
        <v>31</v>
      </c>
      <c r="J92">
        <v>1693340438.5999999</v>
      </c>
      <c r="K92">
        <f t="shared" si="92"/>
        <v>5.9556444241520238E-3</v>
      </c>
      <c r="L92">
        <f t="shared" si="93"/>
        <v>5.9556444241520241</v>
      </c>
      <c r="M92">
        <f t="shared" si="94"/>
        <v>3.902401696487753</v>
      </c>
      <c r="N92">
        <f t="shared" si="95"/>
        <v>25.131499999999999</v>
      </c>
      <c r="O92">
        <f t="shared" si="96"/>
        <v>9.7830789034760492</v>
      </c>
      <c r="P92">
        <f t="shared" si="97"/>
        <v>0.96802335038569454</v>
      </c>
      <c r="Q92">
        <f t="shared" si="98"/>
        <v>2.4867303095730002</v>
      </c>
      <c r="R92">
        <f t="shared" si="99"/>
        <v>0.44794828941256426</v>
      </c>
      <c r="S92">
        <f t="shared" si="100"/>
        <v>2.9206143303941472</v>
      </c>
      <c r="T92">
        <f t="shared" si="101"/>
        <v>0.41298331015184375</v>
      </c>
      <c r="U92">
        <f t="shared" si="102"/>
        <v>0.26102822432850442</v>
      </c>
      <c r="V92">
        <f t="shared" si="103"/>
        <v>344.31869864363063</v>
      </c>
      <c r="W92">
        <f t="shared" si="104"/>
        <v>30.965154263514563</v>
      </c>
      <c r="X92">
        <f t="shared" si="105"/>
        <v>29.9712</v>
      </c>
      <c r="Y92">
        <f t="shared" si="106"/>
        <v>4.2534070085267306</v>
      </c>
      <c r="Z92">
        <f t="shared" si="107"/>
        <v>65.702700225735839</v>
      </c>
      <c r="AA92">
        <f t="shared" si="108"/>
        <v>2.8778845815732002</v>
      </c>
      <c r="AB92">
        <f t="shared" si="109"/>
        <v>4.3801618071793174</v>
      </c>
      <c r="AC92">
        <f t="shared" si="110"/>
        <v>1.3755224269535304</v>
      </c>
      <c r="AD92">
        <f t="shared" si="111"/>
        <v>-262.64391910510426</v>
      </c>
      <c r="AE92">
        <f t="shared" si="112"/>
        <v>80.633299423445209</v>
      </c>
      <c r="AF92">
        <f t="shared" si="113"/>
        <v>6.1525679456382658</v>
      </c>
      <c r="AG92">
        <f t="shared" si="114"/>
        <v>168.46064690760986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51990.444539623088</v>
      </c>
      <c r="AM92" t="s">
        <v>416</v>
      </c>
      <c r="AN92">
        <v>10366.9</v>
      </c>
      <c r="AO92">
        <v>993.59653846153856</v>
      </c>
      <c r="AP92">
        <v>3431.87</v>
      </c>
      <c r="AQ92">
        <f t="shared" si="118"/>
        <v>0.71047955241266758</v>
      </c>
      <c r="AR92">
        <v>-3.9894345373445681</v>
      </c>
      <c r="AS92" t="s">
        <v>805</v>
      </c>
      <c r="AT92">
        <v>10423.799999999999</v>
      </c>
      <c r="AU92">
        <v>858.16844000000015</v>
      </c>
      <c r="AV92">
        <v>917.93331300348564</v>
      </c>
      <c r="AW92">
        <f t="shared" si="119"/>
        <v>6.5108077195645375E-2</v>
      </c>
      <c r="AX92">
        <v>0.5</v>
      </c>
      <c r="AY92">
        <f t="shared" si="120"/>
        <v>1512.9581993218151</v>
      </c>
      <c r="AZ92">
        <f t="shared" si="121"/>
        <v>3.902401696487753</v>
      </c>
      <c r="BA92">
        <f t="shared" si="122"/>
        <v>49.25289961761468</v>
      </c>
      <c r="BB92">
        <f t="shared" si="123"/>
        <v>5.2161627712978744E-3</v>
      </c>
      <c r="BC92">
        <f t="shared" si="124"/>
        <v>2.7386920720535701</v>
      </c>
      <c r="BD92">
        <f t="shared" si="125"/>
        <v>554.18175175925558</v>
      </c>
      <c r="BE92" t="s">
        <v>806</v>
      </c>
      <c r="BF92">
        <v>654.21</v>
      </c>
      <c r="BG92">
        <f t="shared" si="126"/>
        <v>654.21</v>
      </c>
      <c r="BH92">
        <f t="shared" si="127"/>
        <v>0.28730116803428851</v>
      </c>
      <c r="BI92">
        <f t="shared" si="128"/>
        <v>0.22661960492926003</v>
      </c>
      <c r="BJ92">
        <f t="shared" si="129"/>
        <v>0.90505558167540823</v>
      </c>
      <c r="BK92">
        <f t="shared" si="130"/>
        <v>-0.78988005919227766</v>
      </c>
      <c r="BL92">
        <f t="shared" si="131"/>
        <v>1.031031476432636</v>
      </c>
      <c r="BM92">
        <f t="shared" si="132"/>
        <v>0.17275957123379088</v>
      </c>
      <c r="BN92">
        <f t="shared" si="133"/>
        <v>0.82724042876620918</v>
      </c>
      <c r="BO92">
        <v>7698</v>
      </c>
      <c r="BP92">
        <v>290.00000000000011</v>
      </c>
      <c r="BQ92">
        <v>903.42</v>
      </c>
      <c r="BR92">
        <v>205</v>
      </c>
      <c r="BS92">
        <v>10423.799999999999</v>
      </c>
      <c r="BT92">
        <v>902.66</v>
      </c>
      <c r="BU92">
        <v>0.76</v>
      </c>
      <c r="BV92">
        <v>300.00000000000011</v>
      </c>
      <c r="BW92">
        <v>38.200000000000003</v>
      </c>
      <c r="BX92">
        <v>917.93331300348564</v>
      </c>
      <c r="BY92">
        <v>0.91466704639003193</v>
      </c>
      <c r="BZ92">
        <v>-15.917813303642021</v>
      </c>
      <c r="CA92">
        <v>0.78084468426074938</v>
      </c>
      <c r="CB92">
        <v>0.93687489196918239</v>
      </c>
      <c r="CC92">
        <v>-1.132329276974417E-2</v>
      </c>
      <c r="CD92">
        <v>289.99999999999989</v>
      </c>
      <c r="CE92">
        <v>901.05</v>
      </c>
      <c r="CF92">
        <v>675</v>
      </c>
      <c r="CG92">
        <v>10405.1</v>
      </c>
      <c r="CH92">
        <v>902.64</v>
      </c>
      <c r="CI92">
        <v>-1.59</v>
      </c>
      <c r="CW92">
        <f t="shared" si="134"/>
        <v>1799.73</v>
      </c>
      <c r="CX92">
        <f t="shared" si="135"/>
        <v>1512.9581993218151</v>
      </c>
      <c r="CY92">
        <f t="shared" si="136"/>
        <v>0.84065843172132215</v>
      </c>
      <c r="CZ92">
        <f t="shared" si="137"/>
        <v>0.19131686344264454</v>
      </c>
      <c r="DA92">
        <v>6</v>
      </c>
      <c r="DB92">
        <v>0.5</v>
      </c>
      <c r="DC92" t="s">
        <v>419</v>
      </c>
      <c r="DD92">
        <v>2</v>
      </c>
      <c r="DE92">
        <v>1693340438.5999999</v>
      </c>
      <c r="DF92">
        <v>25.131499999999999</v>
      </c>
      <c r="DG92">
        <v>29.991599999999998</v>
      </c>
      <c r="DH92">
        <v>29.084599999999998</v>
      </c>
      <c r="DI92">
        <v>22.149100000000001</v>
      </c>
      <c r="DJ92">
        <v>25.031400000000001</v>
      </c>
      <c r="DK92">
        <v>28.835899999999999</v>
      </c>
      <c r="DL92">
        <v>500.24599999999998</v>
      </c>
      <c r="DM92">
        <v>98.849000000000004</v>
      </c>
      <c r="DN92">
        <v>9.9741999999999997E-2</v>
      </c>
      <c r="DO92">
        <v>30.4833</v>
      </c>
      <c r="DP92">
        <v>29.9712</v>
      </c>
      <c r="DQ92">
        <v>999.9</v>
      </c>
      <c r="DR92">
        <v>0</v>
      </c>
      <c r="DS92">
        <v>0</v>
      </c>
      <c r="DT92">
        <v>10065</v>
      </c>
      <c r="DU92">
        <v>0</v>
      </c>
      <c r="DV92">
        <v>1086.8599999999999</v>
      </c>
      <c r="DW92">
        <v>-4.8601000000000001</v>
      </c>
      <c r="DX92">
        <v>25.884399999999999</v>
      </c>
      <c r="DY92">
        <v>30.670999999999999</v>
      </c>
      <c r="DZ92">
        <v>6.9355000000000002</v>
      </c>
      <c r="EA92">
        <v>29.991599999999998</v>
      </c>
      <c r="EB92">
        <v>22.149100000000001</v>
      </c>
      <c r="EC92">
        <v>2.8749799999999999</v>
      </c>
      <c r="ED92">
        <v>2.1894200000000001</v>
      </c>
      <c r="EE92">
        <v>23.321100000000001</v>
      </c>
      <c r="EF92">
        <v>18.885100000000001</v>
      </c>
      <c r="EG92">
        <v>1799.73</v>
      </c>
      <c r="EH92">
        <v>0.977993</v>
      </c>
      <c r="EI92">
        <v>2.2006999999999999E-2</v>
      </c>
      <c r="EJ92">
        <v>0</v>
      </c>
      <c r="EK92">
        <v>857.91300000000001</v>
      </c>
      <c r="EL92">
        <v>5.0010300000000001</v>
      </c>
      <c r="EM92">
        <v>16049.5</v>
      </c>
      <c r="EN92">
        <v>14698.9</v>
      </c>
      <c r="EO92">
        <v>47.311999999999998</v>
      </c>
      <c r="EP92">
        <v>49.186999999999998</v>
      </c>
      <c r="EQ92">
        <v>48.686999999999998</v>
      </c>
      <c r="ER92">
        <v>48.311999999999998</v>
      </c>
      <c r="ES92">
        <v>48.936999999999998</v>
      </c>
      <c r="ET92">
        <v>1755.23</v>
      </c>
      <c r="EU92">
        <v>39.5</v>
      </c>
      <c r="EV92">
        <v>0</v>
      </c>
      <c r="EW92">
        <v>107.4000000953674</v>
      </c>
      <c r="EX92">
        <v>0</v>
      </c>
      <c r="EY92">
        <v>858.16844000000015</v>
      </c>
      <c r="EZ92">
        <v>-2.699999994705121</v>
      </c>
      <c r="FA92">
        <v>-75.915384484735384</v>
      </c>
      <c r="FB92">
        <v>16057.924000000001</v>
      </c>
      <c r="FC92">
        <v>15</v>
      </c>
      <c r="FD92">
        <v>1693340410.5999999</v>
      </c>
      <c r="FE92" t="s">
        <v>807</v>
      </c>
      <c r="FF92">
        <v>1693340402.0999999</v>
      </c>
      <c r="FG92">
        <v>1693340410.5999999</v>
      </c>
      <c r="FH92">
        <v>85</v>
      </c>
      <c r="FI92">
        <v>0.127</v>
      </c>
      <c r="FJ92">
        <v>0</v>
      </c>
      <c r="FK92">
        <v>0.11</v>
      </c>
      <c r="FL92">
        <v>8.7999999999999995E-2</v>
      </c>
      <c r="FM92">
        <v>30</v>
      </c>
      <c r="FN92">
        <v>22</v>
      </c>
      <c r="FO92">
        <v>1.02</v>
      </c>
      <c r="FP92">
        <v>0.05</v>
      </c>
      <c r="FQ92">
        <v>3.9224674822356511</v>
      </c>
      <c r="FR92">
        <v>2.9923299319661961E-2</v>
      </c>
      <c r="FS92">
        <v>4.5373419781909417E-2</v>
      </c>
      <c r="FT92">
        <v>1</v>
      </c>
      <c r="FU92">
        <v>0.44494082777143301</v>
      </c>
      <c r="FV92">
        <v>2.582238155070251E-2</v>
      </c>
      <c r="FW92">
        <v>4.0431362537816824E-3</v>
      </c>
      <c r="FX92">
        <v>1</v>
      </c>
      <c r="FY92">
        <v>2</v>
      </c>
      <c r="FZ92">
        <v>2</v>
      </c>
      <c r="GA92" t="s">
        <v>421</v>
      </c>
      <c r="GB92">
        <v>2.89832</v>
      </c>
      <c r="GC92">
        <v>2.8183099999999999</v>
      </c>
      <c r="GD92">
        <v>6.8222400000000002E-3</v>
      </c>
      <c r="GE92">
        <v>8.1912200000000008E-3</v>
      </c>
      <c r="GF92">
        <v>0.13497799999999999</v>
      </c>
      <c r="GG92">
        <v>0.11172600000000001</v>
      </c>
      <c r="GH92">
        <v>27495.1</v>
      </c>
      <c r="GI92">
        <v>27580.799999999999</v>
      </c>
      <c r="GJ92">
        <v>24568.2</v>
      </c>
      <c r="GK92">
        <v>24843</v>
      </c>
      <c r="GL92">
        <v>28236.799999999999</v>
      </c>
      <c r="GM92">
        <v>28860.7</v>
      </c>
      <c r="GN92">
        <v>33225.9</v>
      </c>
      <c r="GO92">
        <v>33181.599999999999</v>
      </c>
      <c r="GP92">
        <v>1.9434</v>
      </c>
      <c r="GQ92">
        <v>1.7886</v>
      </c>
      <c r="GR92">
        <v>2.0951000000000001E-2</v>
      </c>
      <c r="GS92">
        <v>0</v>
      </c>
      <c r="GT92">
        <v>29.630199999999999</v>
      </c>
      <c r="GU92">
        <v>999.9</v>
      </c>
      <c r="GV92">
        <v>47</v>
      </c>
      <c r="GW92">
        <v>38.4</v>
      </c>
      <c r="GX92">
        <v>32.3446</v>
      </c>
      <c r="GY92">
        <v>61.6691</v>
      </c>
      <c r="GZ92">
        <v>25.3325</v>
      </c>
      <c r="HA92">
        <v>1</v>
      </c>
      <c r="HB92">
        <v>0.57344499999999998</v>
      </c>
      <c r="HC92">
        <v>2.3383699999999998</v>
      </c>
      <c r="HD92">
        <v>20.151299999999999</v>
      </c>
      <c r="HE92">
        <v>5.2346599999999999</v>
      </c>
      <c r="HF92">
        <v>11.9201</v>
      </c>
      <c r="HG92">
        <v>4.9598000000000004</v>
      </c>
      <c r="HH92">
        <v>3.2890000000000001</v>
      </c>
      <c r="HI92">
        <v>9999</v>
      </c>
      <c r="HJ92">
        <v>9999</v>
      </c>
      <c r="HK92">
        <v>9999</v>
      </c>
      <c r="HL92">
        <v>880.5</v>
      </c>
      <c r="HM92">
        <v>1.8809499999999999</v>
      </c>
      <c r="HN92">
        <v>1.87812</v>
      </c>
      <c r="HO92">
        <v>1.88602</v>
      </c>
      <c r="HP92">
        <v>1.88385</v>
      </c>
      <c r="HQ92">
        <v>1.8813500000000001</v>
      </c>
      <c r="HR92">
        <v>1.8803399999999999</v>
      </c>
      <c r="HS92">
        <v>1.8815599999999999</v>
      </c>
      <c r="HT92">
        <v>1.88096</v>
      </c>
      <c r="HU92">
        <v>5</v>
      </c>
      <c r="HV92">
        <v>0</v>
      </c>
      <c r="HW92">
        <v>0</v>
      </c>
      <c r="HX92">
        <v>0</v>
      </c>
      <c r="HY92" t="s">
        <v>422</v>
      </c>
      <c r="HZ92" t="s">
        <v>423</v>
      </c>
      <c r="IA92" t="s">
        <v>424</v>
      </c>
      <c r="IB92" t="s">
        <v>424</v>
      </c>
      <c r="IC92" t="s">
        <v>424</v>
      </c>
      <c r="ID92" t="s">
        <v>424</v>
      </c>
      <c r="IE92">
        <v>0</v>
      </c>
      <c r="IF92">
        <v>100</v>
      </c>
      <c r="IG92">
        <v>100</v>
      </c>
      <c r="IH92">
        <v>0.1</v>
      </c>
      <c r="II92">
        <v>0.2487</v>
      </c>
      <c r="IJ92">
        <v>4.6133302049740477E-2</v>
      </c>
      <c r="IK92">
        <v>2.2153513873161218E-3</v>
      </c>
      <c r="IL92">
        <v>-2.2967369670569612E-6</v>
      </c>
      <c r="IM92">
        <v>7.7859689150384122E-10</v>
      </c>
      <c r="IN92">
        <v>-0.15137630321022541</v>
      </c>
      <c r="IO92">
        <v>-4.1434251034592161E-3</v>
      </c>
      <c r="IP92">
        <v>8.3987709687394815E-4</v>
      </c>
      <c r="IQ92">
        <v>-7.4586254598011197E-6</v>
      </c>
      <c r="IR92">
        <v>2</v>
      </c>
      <c r="IS92">
        <v>1930</v>
      </c>
      <c r="IT92">
        <v>2</v>
      </c>
      <c r="IU92">
        <v>41</v>
      </c>
      <c r="IV92">
        <v>0.6</v>
      </c>
      <c r="IW92">
        <v>0.5</v>
      </c>
      <c r="IX92">
        <v>0.21240200000000001</v>
      </c>
      <c r="IY92">
        <v>2.5939899999999998</v>
      </c>
      <c r="IZ92">
        <v>1.24512</v>
      </c>
      <c r="JA92">
        <v>2.2595200000000002</v>
      </c>
      <c r="JB92">
        <v>1.4501999999999999</v>
      </c>
      <c r="JC92">
        <v>2.323</v>
      </c>
      <c r="JD92">
        <v>40.604199999999999</v>
      </c>
      <c r="JE92">
        <v>23.912400000000002</v>
      </c>
      <c r="JF92">
        <v>18</v>
      </c>
      <c r="JG92">
        <v>496.21300000000002</v>
      </c>
      <c r="JH92">
        <v>440.23399999999998</v>
      </c>
      <c r="JI92">
        <v>26.640499999999999</v>
      </c>
      <c r="JJ92">
        <v>34.349800000000002</v>
      </c>
      <c r="JK92">
        <v>30.0001</v>
      </c>
      <c r="JL92">
        <v>34.239600000000003</v>
      </c>
      <c r="JM92">
        <v>34.1877</v>
      </c>
      <c r="JN92">
        <v>4.3396400000000002</v>
      </c>
      <c r="JO92">
        <v>38.115600000000001</v>
      </c>
      <c r="JP92">
        <v>0</v>
      </c>
      <c r="JQ92">
        <v>26.654</v>
      </c>
      <c r="JR92">
        <v>30</v>
      </c>
      <c r="JS92">
        <v>22.0702</v>
      </c>
      <c r="JT92">
        <v>99.164599999999993</v>
      </c>
      <c r="JU92">
        <v>99.031300000000002</v>
      </c>
    </row>
    <row r="93" spans="1:281" x14ac:dyDescent="0.25">
      <c r="A93">
        <v>77</v>
      </c>
      <c r="B93">
        <v>1693340538.0999999</v>
      </c>
      <c r="C93">
        <v>17825</v>
      </c>
      <c r="D93" t="s">
        <v>808</v>
      </c>
      <c r="E93" t="s">
        <v>809</v>
      </c>
      <c r="F93" t="s">
        <v>413</v>
      </c>
      <c r="G93" t="s">
        <v>493</v>
      </c>
      <c r="H93" t="s">
        <v>779</v>
      </c>
      <c r="I93" t="s">
        <v>31</v>
      </c>
      <c r="J93">
        <v>1693340538.0999999</v>
      </c>
      <c r="K93">
        <f t="shared" si="92"/>
        <v>6.2532650919251568E-3</v>
      </c>
      <c r="L93">
        <f t="shared" si="93"/>
        <v>6.2532650919251571</v>
      </c>
      <c r="M93">
        <f t="shared" si="94"/>
        <v>1.2271965435381431</v>
      </c>
      <c r="N93">
        <f t="shared" si="95"/>
        <v>8.4052799999999994</v>
      </c>
      <c r="O93">
        <f t="shared" si="96"/>
        <v>3.7545843567663755</v>
      </c>
      <c r="P93">
        <f t="shared" si="97"/>
        <v>0.37149001610154181</v>
      </c>
      <c r="Q93">
        <f t="shared" si="98"/>
        <v>0.83164401324763193</v>
      </c>
      <c r="R93">
        <f t="shared" si="99"/>
        <v>0.46844678595099515</v>
      </c>
      <c r="S93">
        <f t="shared" si="100"/>
        <v>2.9074304209614401</v>
      </c>
      <c r="T93">
        <f t="shared" si="101"/>
        <v>0.43019660123262204</v>
      </c>
      <c r="U93">
        <f t="shared" si="102"/>
        <v>0.27204875748669627</v>
      </c>
      <c r="V93">
        <f t="shared" si="103"/>
        <v>344.37319864419254</v>
      </c>
      <c r="W93">
        <f t="shared" si="104"/>
        <v>30.973422557752535</v>
      </c>
      <c r="X93">
        <f t="shared" si="105"/>
        <v>30.03</v>
      </c>
      <c r="Y93">
        <f t="shared" si="106"/>
        <v>4.2677967895855726</v>
      </c>
      <c r="Z93">
        <f t="shared" si="107"/>
        <v>65.471810141289723</v>
      </c>
      <c r="AA93">
        <f t="shared" si="108"/>
        <v>2.88153814347808</v>
      </c>
      <c r="AB93">
        <f t="shared" si="109"/>
        <v>4.4011890571830108</v>
      </c>
      <c r="AC93">
        <f t="shared" si="110"/>
        <v>1.3862586461074926</v>
      </c>
      <c r="AD93">
        <f t="shared" si="111"/>
        <v>-275.76899055389941</v>
      </c>
      <c r="AE93">
        <f t="shared" si="112"/>
        <v>84.172273815066745</v>
      </c>
      <c r="AF93">
        <f t="shared" si="113"/>
        <v>6.4562756550496108</v>
      </c>
      <c r="AG93">
        <f t="shared" si="114"/>
        <v>159.23275756040951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51601.858443896352</v>
      </c>
      <c r="AM93" t="s">
        <v>416</v>
      </c>
      <c r="AN93">
        <v>10366.9</v>
      </c>
      <c r="AO93">
        <v>993.59653846153856</v>
      </c>
      <c r="AP93">
        <v>3431.87</v>
      </c>
      <c r="AQ93">
        <f t="shared" si="118"/>
        <v>0.71047955241266758</v>
      </c>
      <c r="AR93">
        <v>-3.9894345373445681</v>
      </c>
      <c r="AS93" t="s">
        <v>810</v>
      </c>
      <c r="AT93">
        <v>10424.4</v>
      </c>
      <c r="AU93">
        <v>858.24203846153841</v>
      </c>
      <c r="AV93">
        <v>907.7038205374198</v>
      </c>
      <c r="AW93">
        <f t="shared" si="119"/>
        <v>5.449110266672319E-2</v>
      </c>
      <c r="AX93">
        <v>0.5</v>
      </c>
      <c r="AY93">
        <f t="shared" si="120"/>
        <v>1513.2014993220962</v>
      </c>
      <c r="AZ93">
        <f t="shared" si="121"/>
        <v>1.2271965435381431</v>
      </c>
      <c r="BA93">
        <f t="shared" si="122"/>
        <v>41.228009127499902</v>
      </c>
      <c r="BB93">
        <f t="shared" si="123"/>
        <v>3.4474133704068665E-3</v>
      </c>
      <c r="BC93">
        <f t="shared" si="124"/>
        <v>2.7808257741694966</v>
      </c>
      <c r="BD93">
        <f t="shared" si="125"/>
        <v>550.43669510559653</v>
      </c>
      <c r="BE93" t="s">
        <v>811</v>
      </c>
      <c r="BF93">
        <v>662.95</v>
      </c>
      <c r="BG93">
        <f t="shared" si="126"/>
        <v>662.95</v>
      </c>
      <c r="BH93">
        <f t="shared" si="127"/>
        <v>0.26964061954978835</v>
      </c>
      <c r="BI93">
        <f t="shared" si="128"/>
        <v>0.20208788556303378</v>
      </c>
      <c r="BJ93">
        <f t="shared" si="129"/>
        <v>0.91160675623079757</v>
      </c>
      <c r="BK93">
        <f t="shared" si="130"/>
        <v>-0.57585536086514355</v>
      </c>
      <c r="BL93">
        <f t="shared" si="131"/>
        <v>1.0352268600216497</v>
      </c>
      <c r="BM93">
        <f t="shared" si="132"/>
        <v>0.15610300792789378</v>
      </c>
      <c r="BN93">
        <f t="shared" si="133"/>
        <v>0.84389699207210622</v>
      </c>
      <c r="BO93">
        <v>7700</v>
      </c>
      <c r="BP93">
        <v>290.00000000000011</v>
      </c>
      <c r="BQ93">
        <v>893.53</v>
      </c>
      <c r="BR93">
        <v>185</v>
      </c>
      <c r="BS93">
        <v>10424.4</v>
      </c>
      <c r="BT93">
        <v>892.56</v>
      </c>
      <c r="BU93">
        <v>0.97</v>
      </c>
      <c r="BV93">
        <v>300.00000000000011</v>
      </c>
      <c r="BW93">
        <v>38.200000000000003</v>
      </c>
      <c r="BX93">
        <v>907.7038205374198</v>
      </c>
      <c r="BY93">
        <v>0.86389157343983058</v>
      </c>
      <c r="BZ93">
        <v>-15.79044060555217</v>
      </c>
      <c r="CA93">
        <v>0.73733392898576255</v>
      </c>
      <c r="CB93">
        <v>0.94246111863504267</v>
      </c>
      <c r="CC93">
        <v>-1.1321241156840941E-2</v>
      </c>
      <c r="CD93">
        <v>289.99999999999989</v>
      </c>
      <c r="CE93">
        <v>890.4</v>
      </c>
      <c r="CF93">
        <v>685</v>
      </c>
      <c r="CG93">
        <v>10402</v>
      </c>
      <c r="CH93">
        <v>892.52</v>
      </c>
      <c r="CI93">
        <v>-2.12</v>
      </c>
      <c r="CW93">
        <f t="shared" si="134"/>
        <v>1800.02</v>
      </c>
      <c r="CX93">
        <f t="shared" si="135"/>
        <v>1513.2014993220962</v>
      </c>
      <c r="CY93">
        <f t="shared" si="136"/>
        <v>0.84065815897717588</v>
      </c>
      <c r="CZ93">
        <f t="shared" si="137"/>
        <v>0.19131631795435192</v>
      </c>
      <c r="DA93">
        <v>6</v>
      </c>
      <c r="DB93">
        <v>0.5</v>
      </c>
      <c r="DC93" t="s">
        <v>419</v>
      </c>
      <c r="DD93">
        <v>2</v>
      </c>
      <c r="DE93">
        <v>1693340538.0999999</v>
      </c>
      <c r="DF93">
        <v>8.4052799999999994</v>
      </c>
      <c r="DG93">
        <v>9.9397699999999993</v>
      </c>
      <c r="DH93">
        <v>29.123200000000001</v>
      </c>
      <c r="DI93">
        <v>21.843599999999999</v>
      </c>
      <c r="DJ93">
        <v>8.2487399999999997</v>
      </c>
      <c r="DK93">
        <v>28.87</v>
      </c>
      <c r="DL93">
        <v>500.39699999999999</v>
      </c>
      <c r="DM93">
        <v>98.843299999999999</v>
      </c>
      <c r="DN93">
        <v>9.9746899999999999E-2</v>
      </c>
      <c r="DO93">
        <v>30.567</v>
      </c>
      <c r="DP93">
        <v>30.03</v>
      </c>
      <c r="DQ93">
        <v>999.9</v>
      </c>
      <c r="DR93">
        <v>0</v>
      </c>
      <c r="DS93">
        <v>0</v>
      </c>
      <c r="DT93">
        <v>9990</v>
      </c>
      <c r="DU93">
        <v>0</v>
      </c>
      <c r="DV93">
        <v>1093.6199999999999</v>
      </c>
      <c r="DW93">
        <v>-1.5344899999999999</v>
      </c>
      <c r="DX93">
        <v>8.6574100000000005</v>
      </c>
      <c r="DY93">
        <v>10.1617</v>
      </c>
      <c r="DZ93">
        <v>7.2795899999999998</v>
      </c>
      <c r="EA93">
        <v>9.9397699999999993</v>
      </c>
      <c r="EB93">
        <v>21.843599999999999</v>
      </c>
      <c r="EC93">
        <v>2.8786299999999998</v>
      </c>
      <c r="ED93">
        <v>2.15909</v>
      </c>
      <c r="EE93">
        <v>23.342099999999999</v>
      </c>
      <c r="EF93">
        <v>18.661999999999999</v>
      </c>
      <c r="EG93">
        <v>1800.02</v>
      </c>
      <c r="EH93">
        <v>0.97799999999999998</v>
      </c>
      <c r="EI93">
        <v>2.1999700000000001E-2</v>
      </c>
      <c r="EJ93">
        <v>0</v>
      </c>
      <c r="EK93">
        <v>857.82100000000003</v>
      </c>
      <c r="EL93">
        <v>5.0010300000000001</v>
      </c>
      <c r="EM93">
        <v>16062</v>
      </c>
      <c r="EN93">
        <v>14701.3</v>
      </c>
      <c r="EO93">
        <v>47.686999999999998</v>
      </c>
      <c r="EP93">
        <v>49.5</v>
      </c>
      <c r="EQ93">
        <v>49.061999999999998</v>
      </c>
      <c r="ER93">
        <v>48.686999999999998</v>
      </c>
      <c r="ES93">
        <v>49.311999999999998</v>
      </c>
      <c r="ET93">
        <v>1755.53</v>
      </c>
      <c r="EU93">
        <v>39.49</v>
      </c>
      <c r="EV93">
        <v>0</v>
      </c>
      <c r="EW93">
        <v>97.400000095367432</v>
      </c>
      <c r="EX93">
        <v>0</v>
      </c>
      <c r="EY93">
        <v>858.24203846153841</v>
      </c>
      <c r="EZ93">
        <v>-2.7260512712150731</v>
      </c>
      <c r="FA93">
        <v>-36.003418799717288</v>
      </c>
      <c r="FB93">
        <v>16066.711538461541</v>
      </c>
      <c r="FC93">
        <v>15</v>
      </c>
      <c r="FD93">
        <v>1693340510.5999999</v>
      </c>
      <c r="FE93" t="s">
        <v>812</v>
      </c>
      <c r="FF93">
        <v>1693340505.0999999</v>
      </c>
      <c r="FG93">
        <v>1693340510.5999999</v>
      </c>
      <c r="FH93">
        <v>86</v>
      </c>
      <c r="FI93">
        <v>9.1999999999999998E-2</v>
      </c>
      <c r="FJ93">
        <v>4.0000000000000001E-3</v>
      </c>
      <c r="FK93">
        <v>0.16</v>
      </c>
      <c r="FL93">
        <v>8.5000000000000006E-2</v>
      </c>
      <c r="FM93">
        <v>10</v>
      </c>
      <c r="FN93">
        <v>22</v>
      </c>
      <c r="FO93">
        <v>0.68</v>
      </c>
      <c r="FP93">
        <v>0.04</v>
      </c>
      <c r="FQ93">
        <v>1.276138019940892</v>
      </c>
      <c r="FR93">
        <v>1.570433719328761E-2</v>
      </c>
      <c r="FS93">
        <v>3.9332588936666538E-2</v>
      </c>
      <c r="FT93">
        <v>1</v>
      </c>
      <c r="FU93">
        <v>0.4736871494923916</v>
      </c>
      <c r="FV93">
        <v>3.5064268101694017E-2</v>
      </c>
      <c r="FW93">
        <v>4.9072672837783236E-3</v>
      </c>
      <c r="FX93">
        <v>1</v>
      </c>
      <c r="FY93">
        <v>2</v>
      </c>
      <c r="FZ93">
        <v>2</v>
      </c>
      <c r="GA93" t="s">
        <v>421</v>
      </c>
      <c r="GB93">
        <v>2.8987500000000002</v>
      </c>
      <c r="GC93">
        <v>2.8176700000000001</v>
      </c>
      <c r="GD93">
        <v>2.25128E-3</v>
      </c>
      <c r="GE93">
        <v>2.7213300000000001E-3</v>
      </c>
      <c r="GF93">
        <v>0.13508400000000001</v>
      </c>
      <c r="GG93">
        <v>0.110654</v>
      </c>
      <c r="GH93">
        <v>27623</v>
      </c>
      <c r="GI93">
        <v>27734</v>
      </c>
      <c r="GJ93">
        <v>24569.7</v>
      </c>
      <c r="GK93">
        <v>24844.3</v>
      </c>
      <c r="GL93">
        <v>28235</v>
      </c>
      <c r="GM93">
        <v>28897.200000000001</v>
      </c>
      <c r="GN93">
        <v>33228</v>
      </c>
      <c r="GO93">
        <v>33183.5</v>
      </c>
      <c r="GP93">
        <v>1.9434</v>
      </c>
      <c r="GQ93">
        <v>1.7889999999999999</v>
      </c>
      <c r="GR93">
        <v>2.4408099999999999E-2</v>
      </c>
      <c r="GS93">
        <v>0</v>
      </c>
      <c r="GT93">
        <v>29.6327</v>
      </c>
      <c r="GU93">
        <v>999.9</v>
      </c>
      <c r="GV93">
        <v>47.1</v>
      </c>
      <c r="GW93">
        <v>38.299999999999997</v>
      </c>
      <c r="GX93">
        <v>32.242800000000003</v>
      </c>
      <c r="GY93">
        <v>62.079099999999997</v>
      </c>
      <c r="GZ93">
        <v>25.605</v>
      </c>
      <c r="HA93">
        <v>1</v>
      </c>
      <c r="HB93">
        <v>0.57243900000000003</v>
      </c>
      <c r="HC93">
        <v>2.5302600000000002</v>
      </c>
      <c r="HD93">
        <v>20.147500000000001</v>
      </c>
      <c r="HE93">
        <v>5.2328599999999996</v>
      </c>
      <c r="HF93">
        <v>11.9201</v>
      </c>
      <c r="HG93">
        <v>4.9596</v>
      </c>
      <c r="HH93">
        <v>3.2890000000000001</v>
      </c>
      <c r="HI93">
        <v>9999</v>
      </c>
      <c r="HJ93">
        <v>9999</v>
      </c>
      <c r="HK93">
        <v>9999</v>
      </c>
      <c r="HL93">
        <v>880.5</v>
      </c>
      <c r="HM93">
        <v>1.88087</v>
      </c>
      <c r="HN93">
        <v>1.8780600000000001</v>
      </c>
      <c r="HO93">
        <v>1.8859900000000001</v>
      </c>
      <c r="HP93">
        <v>1.88381</v>
      </c>
      <c r="HQ93">
        <v>1.8812599999999999</v>
      </c>
      <c r="HR93">
        <v>1.8803399999999999</v>
      </c>
      <c r="HS93">
        <v>1.88148</v>
      </c>
      <c r="HT93">
        <v>1.8809499999999999</v>
      </c>
      <c r="HU93">
        <v>5</v>
      </c>
      <c r="HV93">
        <v>0</v>
      </c>
      <c r="HW93">
        <v>0</v>
      </c>
      <c r="HX93">
        <v>0</v>
      </c>
      <c r="HY93" t="s">
        <v>422</v>
      </c>
      <c r="HZ93" t="s">
        <v>423</v>
      </c>
      <c r="IA93" t="s">
        <v>424</v>
      </c>
      <c r="IB93" t="s">
        <v>424</v>
      </c>
      <c r="IC93" t="s">
        <v>424</v>
      </c>
      <c r="ID93" t="s">
        <v>424</v>
      </c>
      <c r="IE93">
        <v>0</v>
      </c>
      <c r="IF93">
        <v>100</v>
      </c>
      <c r="IG93">
        <v>100</v>
      </c>
      <c r="IH93">
        <v>0.157</v>
      </c>
      <c r="II93">
        <v>0.25319999999999998</v>
      </c>
      <c r="IJ93">
        <v>0.1384268607405171</v>
      </c>
      <c r="IK93">
        <v>2.2153513873161218E-3</v>
      </c>
      <c r="IL93">
        <v>-2.2967369670569612E-6</v>
      </c>
      <c r="IM93">
        <v>7.7859689150384122E-10</v>
      </c>
      <c r="IN93">
        <v>-0.14770001252399659</v>
      </c>
      <c r="IO93">
        <v>-4.1434251034592161E-3</v>
      </c>
      <c r="IP93">
        <v>8.3987709687394815E-4</v>
      </c>
      <c r="IQ93">
        <v>-7.4586254598011197E-6</v>
      </c>
      <c r="IR93">
        <v>2</v>
      </c>
      <c r="IS93">
        <v>1930</v>
      </c>
      <c r="IT93">
        <v>2</v>
      </c>
      <c r="IU93">
        <v>41</v>
      </c>
      <c r="IV93">
        <v>0.6</v>
      </c>
      <c r="IW93">
        <v>0.5</v>
      </c>
      <c r="IX93">
        <v>0.17089799999999999</v>
      </c>
      <c r="IY93">
        <v>2.6049799999999999</v>
      </c>
      <c r="IZ93">
        <v>1.24512</v>
      </c>
      <c r="JA93">
        <v>2.2595200000000002</v>
      </c>
      <c r="JB93">
        <v>1.4501999999999999</v>
      </c>
      <c r="JC93">
        <v>2.4206500000000002</v>
      </c>
      <c r="JD93">
        <v>40.4255</v>
      </c>
      <c r="JE93">
        <v>23.9299</v>
      </c>
      <c r="JF93">
        <v>18</v>
      </c>
      <c r="JG93">
        <v>496.08800000000002</v>
      </c>
      <c r="JH93">
        <v>440.38499999999999</v>
      </c>
      <c r="JI93">
        <v>26.7364</v>
      </c>
      <c r="JJ93">
        <v>34.334200000000003</v>
      </c>
      <c r="JK93">
        <v>30</v>
      </c>
      <c r="JL93">
        <v>34.223999999999997</v>
      </c>
      <c r="JM93">
        <v>34.172199999999997</v>
      </c>
      <c r="JN93">
        <v>3.5010300000000001</v>
      </c>
      <c r="JO93">
        <v>38.976500000000001</v>
      </c>
      <c r="JP93">
        <v>0</v>
      </c>
      <c r="JQ93">
        <v>26.724599999999999</v>
      </c>
      <c r="JR93">
        <v>10</v>
      </c>
      <c r="JS93">
        <v>21.745000000000001</v>
      </c>
      <c r="JT93">
        <v>99.170699999999997</v>
      </c>
      <c r="JU93">
        <v>99.036699999999996</v>
      </c>
    </row>
    <row r="94" spans="1:281" x14ac:dyDescent="0.25">
      <c r="A94">
        <v>78</v>
      </c>
      <c r="B94">
        <v>1693340728</v>
      </c>
      <c r="C94">
        <v>18014.900000095371</v>
      </c>
      <c r="D94" t="s">
        <v>813</v>
      </c>
      <c r="E94" t="s">
        <v>814</v>
      </c>
      <c r="F94" t="s">
        <v>413</v>
      </c>
      <c r="G94" t="s">
        <v>493</v>
      </c>
      <c r="H94" t="s">
        <v>779</v>
      </c>
      <c r="I94" t="s">
        <v>31</v>
      </c>
      <c r="J94">
        <v>1693340728</v>
      </c>
      <c r="K94">
        <f t="shared" si="92"/>
        <v>6.1058587284474886E-3</v>
      </c>
      <c r="L94">
        <f t="shared" si="93"/>
        <v>6.1058587284474886</v>
      </c>
      <c r="M94">
        <f t="shared" si="94"/>
        <v>35.603162440404162</v>
      </c>
      <c r="N94">
        <f t="shared" si="95"/>
        <v>354.90800000000002</v>
      </c>
      <c r="O94">
        <f t="shared" si="96"/>
        <v>212.83132280523574</v>
      </c>
      <c r="P94">
        <f t="shared" si="97"/>
        <v>21.057448925459418</v>
      </c>
      <c r="Q94">
        <f t="shared" si="98"/>
        <v>35.114460525511994</v>
      </c>
      <c r="R94">
        <f t="shared" si="99"/>
        <v>0.45137202240117691</v>
      </c>
      <c r="S94">
        <f t="shared" si="100"/>
        <v>2.9047299952717847</v>
      </c>
      <c r="T94">
        <f t="shared" si="101"/>
        <v>0.41571558438856576</v>
      </c>
      <c r="U94">
        <f t="shared" si="102"/>
        <v>0.26279070729560017</v>
      </c>
      <c r="V94">
        <f t="shared" si="103"/>
        <v>344.37639864455087</v>
      </c>
      <c r="W94">
        <f t="shared" si="104"/>
        <v>31.042626813367217</v>
      </c>
      <c r="X94">
        <f t="shared" si="105"/>
        <v>30.008800000000001</v>
      </c>
      <c r="Y94">
        <f t="shared" si="106"/>
        <v>4.2626037541442869</v>
      </c>
      <c r="Z94">
        <f t="shared" si="107"/>
        <v>64.909375329336001</v>
      </c>
      <c r="AA94">
        <f t="shared" si="108"/>
        <v>2.8617392892973998</v>
      </c>
      <c r="AB94">
        <f t="shared" si="109"/>
        <v>4.408822723647484</v>
      </c>
      <c r="AC94">
        <f t="shared" si="110"/>
        <v>1.4008644648468871</v>
      </c>
      <c r="AD94">
        <f t="shared" si="111"/>
        <v>-269.26836992453423</v>
      </c>
      <c r="AE94">
        <f t="shared" si="112"/>
        <v>92.158984362746892</v>
      </c>
      <c r="AF94">
        <f t="shared" si="113"/>
        <v>7.0757724803731268</v>
      </c>
      <c r="AG94">
        <f t="shared" si="114"/>
        <v>174.34278556313666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51520.126057028516</v>
      </c>
      <c r="AM94" t="s">
        <v>416</v>
      </c>
      <c r="AN94">
        <v>10366.9</v>
      </c>
      <c r="AO94">
        <v>993.59653846153856</v>
      </c>
      <c r="AP94">
        <v>3431.87</v>
      </c>
      <c r="AQ94">
        <f t="shared" si="118"/>
        <v>0.71047955241266758</v>
      </c>
      <c r="AR94">
        <v>-3.9894345373445681</v>
      </c>
      <c r="AS94" t="s">
        <v>815</v>
      </c>
      <c r="AT94">
        <v>10417.799999999999</v>
      </c>
      <c r="AU94">
        <v>827.84800000000007</v>
      </c>
      <c r="AV94">
        <v>1092.011304131383</v>
      </c>
      <c r="AW94">
        <f t="shared" si="119"/>
        <v>0.24190528351856755</v>
      </c>
      <c r="AX94">
        <v>0.5</v>
      </c>
      <c r="AY94">
        <f t="shared" si="120"/>
        <v>1513.2179993222753</v>
      </c>
      <c r="AZ94">
        <f t="shared" si="121"/>
        <v>35.603162440404162</v>
      </c>
      <c r="BA94">
        <f t="shared" si="122"/>
        <v>183.02771457572729</v>
      </c>
      <c r="BB94">
        <f t="shared" si="123"/>
        <v>2.6164503062665826E-2</v>
      </c>
      <c r="BC94">
        <f t="shared" si="124"/>
        <v>2.1427055626771256</v>
      </c>
      <c r="BD94">
        <f t="shared" si="125"/>
        <v>613.19603850165493</v>
      </c>
      <c r="BE94" t="s">
        <v>816</v>
      </c>
      <c r="BF94">
        <v>631.30999999999995</v>
      </c>
      <c r="BG94">
        <f t="shared" si="126"/>
        <v>631.30999999999995</v>
      </c>
      <c r="BH94">
        <f t="shared" si="127"/>
        <v>0.4218832739078997</v>
      </c>
      <c r="BI94">
        <f t="shared" si="128"/>
        <v>0.57339387095819616</v>
      </c>
      <c r="BJ94">
        <f t="shared" si="129"/>
        <v>0.83549672060895575</v>
      </c>
      <c r="BK94">
        <f t="shared" si="130"/>
        <v>2.6841836418894811</v>
      </c>
      <c r="BL94">
        <f t="shared" si="131"/>
        <v>0.95963751924374041</v>
      </c>
      <c r="BM94">
        <f t="shared" si="132"/>
        <v>0.4372653973611324</v>
      </c>
      <c r="BN94">
        <f t="shared" si="133"/>
        <v>0.56273460263886754</v>
      </c>
      <c r="BO94">
        <v>7702</v>
      </c>
      <c r="BP94">
        <v>290.00000000000011</v>
      </c>
      <c r="BQ94">
        <v>1012.86</v>
      </c>
      <c r="BR94">
        <v>215</v>
      </c>
      <c r="BS94">
        <v>10417.799999999999</v>
      </c>
      <c r="BT94">
        <v>1011.49</v>
      </c>
      <c r="BU94">
        <v>1.37</v>
      </c>
      <c r="BV94">
        <v>300.00000000000011</v>
      </c>
      <c r="BW94">
        <v>38.200000000000003</v>
      </c>
      <c r="BX94">
        <v>1092.011304131383</v>
      </c>
      <c r="BY94">
        <v>1.5514170385619199</v>
      </c>
      <c r="BZ94">
        <v>-83.888791291446154</v>
      </c>
      <c r="CA94">
        <v>1.32375285773822</v>
      </c>
      <c r="CB94">
        <v>0.99307616773095631</v>
      </c>
      <c r="CC94">
        <v>-1.1318790878754179E-2</v>
      </c>
      <c r="CD94">
        <v>289.99999999999989</v>
      </c>
      <c r="CE94">
        <v>998.63</v>
      </c>
      <c r="CF94">
        <v>635</v>
      </c>
      <c r="CG94">
        <v>10403.1</v>
      </c>
      <c r="CH94">
        <v>1011.37</v>
      </c>
      <c r="CI94">
        <v>-12.74</v>
      </c>
      <c r="CW94">
        <f t="shared" si="134"/>
        <v>1800.04</v>
      </c>
      <c r="CX94">
        <f t="shared" si="135"/>
        <v>1513.2179993222753</v>
      </c>
      <c r="CY94">
        <f t="shared" si="136"/>
        <v>0.84065798500159739</v>
      </c>
      <c r="CZ94">
        <f t="shared" si="137"/>
        <v>0.19131597000319486</v>
      </c>
      <c r="DA94">
        <v>6</v>
      </c>
      <c r="DB94">
        <v>0.5</v>
      </c>
      <c r="DC94" t="s">
        <v>419</v>
      </c>
      <c r="DD94">
        <v>2</v>
      </c>
      <c r="DE94">
        <v>1693340728</v>
      </c>
      <c r="DF94">
        <v>354.90800000000002</v>
      </c>
      <c r="DG94">
        <v>400.21499999999997</v>
      </c>
      <c r="DH94">
        <v>28.924099999999999</v>
      </c>
      <c r="DI94">
        <v>21.811699999999998</v>
      </c>
      <c r="DJ94">
        <v>354.37900000000002</v>
      </c>
      <c r="DK94">
        <v>28.674600000000002</v>
      </c>
      <c r="DL94">
        <v>500.19</v>
      </c>
      <c r="DM94">
        <v>98.838999999999999</v>
      </c>
      <c r="DN94">
        <v>0.100614</v>
      </c>
      <c r="DO94">
        <v>30.597300000000001</v>
      </c>
      <c r="DP94">
        <v>30.008800000000001</v>
      </c>
      <c r="DQ94">
        <v>999.9</v>
      </c>
      <c r="DR94">
        <v>0</v>
      </c>
      <c r="DS94">
        <v>0</v>
      </c>
      <c r="DT94">
        <v>9975</v>
      </c>
      <c r="DU94">
        <v>0</v>
      </c>
      <c r="DV94">
        <v>1058.56</v>
      </c>
      <c r="DW94">
        <v>-45.306600000000003</v>
      </c>
      <c r="DX94">
        <v>365.47899999999998</v>
      </c>
      <c r="DY94">
        <v>409.13799999999998</v>
      </c>
      <c r="DZ94">
        <v>7.1124599999999996</v>
      </c>
      <c r="EA94">
        <v>400.21499999999997</v>
      </c>
      <c r="EB94">
        <v>21.811699999999998</v>
      </c>
      <c r="EC94">
        <v>2.8588300000000002</v>
      </c>
      <c r="ED94">
        <v>2.15584</v>
      </c>
      <c r="EE94">
        <v>23.227799999999998</v>
      </c>
      <c r="EF94">
        <v>18.637899999999998</v>
      </c>
      <c r="EG94">
        <v>1800.04</v>
      </c>
      <c r="EH94">
        <v>0.97800799999999999</v>
      </c>
      <c r="EI94">
        <v>2.1992399999999999E-2</v>
      </c>
      <c r="EJ94">
        <v>0</v>
      </c>
      <c r="EK94">
        <v>826.59199999999998</v>
      </c>
      <c r="EL94">
        <v>5.0010300000000001</v>
      </c>
      <c r="EM94">
        <v>15567.4</v>
      </c>
      <c r="EN94">
        <v>14701.5</v>
      </c>
      <c r="EO94">
        <v>48.25</v>
      </c>
      <c r="EP94">
        <v>50.061999999999998</v>
      </c>
      <c r="EQ94">
        <v>49.686999999999998</v>
      </c>
      <c r="ER94">
        <v>49.125</v>
      </c>
      <c r="ES94">
        <v>49.875</v>
      </c>
      <c r="ET94">
        <v>1755.56</v>
      </c>
      <c r="EU94">
        <v>39.479999999999997</v>
      </c>
      <c r="EV94">
        <v>0</v>
      </c>
      <c r="EW94">
        <v>188</v>
      </c>
      <c r="EX94">
        <v>0</v>
      </c>
      <c r="EY94">
        <v>827.84800000000007</v>
      </c>
      <c r="EZ94">
        <v>-10.08095724950998</v>
      </c>
      <c r="FA94">
        <v>-166.1743589983343</v>
      </c>
      <c r="FB94">
        <v>15586.9</v>
      </c>
      <c r="FC94">
        <v>15</v>
      </c>
      <c r="FD94">
        <v>1693340612.5999999</v>
      </c>
      <c r="FE94" t="s">
        <v>817</v>
      </c>
      <c r="FF94">
        <v>1693340601.0999999</v>
      </c>
      <c r="FG94">
        <v>1693340612.5999999</v>
      </c>
      <c r="FH94">
        <v>87</v>
      </c>
      <c r="FI94">
        <v>-0.14099999999999999</v>
      </c>
      <c r="FJ94">
        <v>1E-3</v>
      </c>
      <c r="FK94">
        <v>0.56599999999999995</v>
      </c>
      <c r="FL94">
        <v>0.08</v>
      </c>
      <c r="FM94">
        <v>400</v>
      </c>
      <c r="FN94">
        <v>22</v>
      </c>
      <c r="FO94">
        <v>0.14000000000000001</v>
      </c>
      <c r="FP94">
        <v>0.03</v>
      </c>
      <c r="FQ94">
        <v>35.133778611278402</v>
      </c>
      <c r="FR94">
        <v>2.6450292577185319</v>
      </c>
      <c r="FS94">
        <v>0.20998192943948049</v>
      </c>
      <c r="FT94">
        <v>0</v>
      </c>
      <c r="FU94">
        <v>0.45217537128424612</v>
      </c>
      <c r="FV94">
        <v>-9.0407802188379495E-3</v>
      </c>
      <c r="FW94">
        <v>9.0020723059313561E-4</v>
      </c>
      <c r="FX94">
        <v>1</v>
      </c>
      <c r="FY94">
        <v>1</v>
      </c>
      <c r="FZ94">
        <v>2</v>
      </c>
      <c r="GA94" t="s">
        <v>460</v>
      </c>
      <c r="GB94">
        <v>2.89818</v>
      </c>
      <c r="GC94">
        <v>2.8184</v>
      </c>
      <c r="GD94">
        <v>8.1855499999999998E-2</v>
      </c>
      <c r="GE94">
        <v>8.9966000000000004E-2</v>
      </c>
      <c r="GF94">
        <v>0.13445299999999999</v>
      </c>
      <c r="GG94">
        <v>0.11053499999999999</v>
      </c>
      <c r="GH94">
        <v>25420.9</v>
      </c>
      <c r="GI94">
        <v>25309.7</v>
      </c>
      <c r="GJ94">
        <v>24568.2</v>
      </c>
      <c r="GK94">
        <v>24842.7</v>
      </c>
      <c r="GL94">
        <v>28253.8</v>
      </c>
      <c r="GM94">
        <v>28898.7</v>
      </c>
      <c r="GN94">
        <v>33225.699999999997</v>
      </c>
      <c r="GO94">
        <v>33180.6</v>
      </c>
      <c r="GP94">
        <v>1.944</v>
      </c>
      <c r="GQ94">
        <v>1.7921</v>
      </c>
      <c r="GR94">
        <v>1.6808500000000001E-2</v>
      </c>
      <c r="GS94">
        <v>0</v>
      </c>
      <c r="GT94">
        <v>29.735199999999999</v>
      </c>
      <c r="GU94">
        <v>999.9</v>
      </c>
      <c r="GV94">
        <v>47.4</v>
      </c>
      <c r="GW94">
        <v>38.1</v>
      </c>
      <c r="GX94">
        <v>32.097900000000003</v>
      </c>
      <c r="GY94">
        <v>62.0991</v>
      </c>
      <c r="GZ94">
        <v>24.823699999999999</v>
      </c>
      <c r="HA94">
        <v>1</v>
      </c>
      <c r="HB94">
        <v>0.57478700000000005</v>
      </c>
      <c r="HC94">
        <v>2.6242399999999999</v>
      </c>
      <c r="HD94">
        <v>20.146699999999999</v>
      </c>
      <c r="HE94">
        <v>5.23346</v>
      </c>
      <c r="HF94">
        <v>11.9201</v>
      </c>
      <c r="HG94">
        <v>4.9602000000000004</v>
      </c>
      <c r="HH94">
        <v>3.2890000000000001</v>
      </c>
      <c r="HI94">
        <v>9999</v>
      </c>
      <c r="HJ94">
        <v>9999</v>
      </c>
      <c r="HK94">
        <v>9999</v>
      </c>
      <c r="HL94">
        <v>880.6</v>
      </c>
      <c r="HM94">
        <v>1.88086</v>
      </c>
      <c r="HN94">
        <v>1.87805</v>
      </c>
      <c r="HO94">
        <v>1.8859900000000001</v>
      </c>
      <c r="HP94">
        <v>1.88384</v>
      </c>
      <c r="HQ94">
        <v>1.8812599999999999</v>
      </c>
      <c r="HR94">
        <v>1.88032</v>
      </c>
      <c r="HS94">
        <v>1.88144</v>
      </c>
      <c r="HT94">
        <v>1.8809499999999999</v>
      </c>
      <c r="HU94">
        <v>5</v>
      </c>
      <c r="HV94">
        <v>0</v>
      </c>
      <c r="HW94">
        <v>0</v>
      </c>
      <c r="HX94">
        <v>0</v>
      </c>
      <c r="HY94" t="s">
        <v>422</v>
      </c>
      <c r="HZ94" t="s">
        <v>423</v>
      </c>
      <c r="IA94" t="s">
        <v>424</v>
      </c>
      <c r="IB94" t="s">
        <v>424</v>
      </c>
      <c r="IC94" t="s">
        <v>424</v>
      </c>
      <c r="ID94" t="s">
        <v>424</v>
      </c>
      <c r="IE94">
        <v>0</v>
      </c>
      <c r="IF94">
        <v>100</v>
      </c>
      <c r="IG94">
        <v>100</v>
      </c>
      <c r="IH94">
        <v>0.52900000000000003</v>
      </c>
      <c r="II94">
        <v>0.2495</v>
      </c>
      <c r="IJ94">
        <v>-2.038039259454671E-3</v>
      </c>
      <c r="IK94">
        <v>2.2153513873161218E-3</v>
      </c>
      <c r="IL94">
        <v>-2.2967369670569612E-6</v>
      </c>
      <c r="IM94">
        <v>7.7859689150384122E-10</v>
      </c>
      <c r="IN94">
        <v>-0.1463973225134742</v>
      </c>
      <c r="IO94">
        <v>-4.1434251034592161E-3</v>
      </c>
      <c r="IP94">
        <v>8.3987709687394815E-4</v>
      </c>
      <c r="IQ94">
        <v>-7.4586254598011197E-6</v>
      </c>
      <c r="IR94">
        <v>2</v>
      </c>
      <c r="IS94">
        <v>1930</v>
      </c>
      <c r="IT94">
        <v>2</v>
      </c>
      <c r="IU94">
        <v>41</v>
      </c>
      <c r="IV94">
        <v>2.1</v>
      </c>
      <c r="IW94">
        <v>1.9</v>
      </c>
      <c r="IX94">
        <v>0.98877000000000004</v>
      </c>
      <c r="IY94">
        <v>2.5354000000000001</v>
      </c>
      <c r="IZ94">
        <v>1.24512</v>
      </c>
      <c r="JA94">
        <v>2.2595200000000002</v>
      </c>
      <c r="JB94">
        <v>1.4501999999999999</v>
      </c>
      <c r="JC94">
        <v>2.2143600000000001</v>
      </c>
      <c r="JD94">
        <v>40.171300000000002</v>
      </c>
      <c r="JE94">
        <v>23.9299</v>
      </c>
      <c r="JF94">
        <v>18</v>
      </c>
      <c r="JG94">
        <v>496.49700000000001</v>
      </c>
      <c r="JH94">
        <v>442.512</v>
      </c>
      <c r="JI94">
        <v>26.484300000000001</v>
      </c>
      <c r="JJ94">
        <v>34.349800000000002</v>
      </c>
      <c r="JK94">
        <v>30.0002</v>
      </c>
      <c r="JL94">
        <v>34.223999999999997</v>
      </c>
      <c r="JM94">
        <v>34.178400000000003</v>
      </c>
      <c r="JN94">
        <v>19.883900000000001</v>
      </c>
      <c r="JO94">
        <v>38.632599999999996</v>
      </c>
      <c r="JP94">
        <v>0</v>
      </c>
      <c r="JQ94">
        <v>26.4894</v>
      </c>
      <c r="JR94">
        <v>400</v>
      </c>
      <c r="JS94">
        <v>21.812799999999999</v>
      </c>
      <c r="JT94">
        <v>99.164199999999994</v>
      </c>
      <c r="JU94">
        <v>99.0291</v>
      </c>
    </row>
    <row r="95" spans="1:281" x14ac:dyDescent="0.25">
      <c r="A95">
        <v>79</v>
      </c>
      <c r="B95">
        <v>1693340864.5</v>
      </c>
      <c r="C95">
        <v>18151.400000095371</v>
      </c>
      <c r="D95" t="s">
        <v>818</v>
      </c>
      <c r="E95" t="s">
        <v>819</v>
      </c>
      <c r="F95" t="s">
        <v>413</v>
      </c>
      <c r="G95" t="s">
        <v>493</v>
      </c>
      <c r="H95" t="s">
        <v>779</v>
      </c>
      <c r="I95" t="s">
        <v>31</v>
      </c>
      <c r="J95">
        <v>1693340864.5</v>
      </c>
      <c r="K95">
        <f t="shared" si="92"/>
        <v>5.8517450292161583E-3</v>
      </c>
      <c r="L95">
        <f t="shared" si="93"/>
        <v>5.8517450292161586</v>
      </c>
      <c r="M95">
        <f t="shared" si="94"/>
        <v>39.501410319367281</v>
      </c>
      <c r="N95">
        <f t="shared" si="95"/>
        <v>350.06900000000002</v>
      </c>
      <c r="O95">
        <f t="shared" si="96"/>
        <v>188.12058051057392</v>
      </c>
      <c r="P95">
        <f t="shared" si="97"/>
        <v>18.611717721998591</v>
      </c>
      <c r="Q95">
        <f t="shared" si="98"/>
        <v>34.634091567966998</v>
      </c>
      <c r="R95">
        <f t="shared" si="99"/>
        <v>0.43450212085320805</v>
      </c>
      <c r="S95">
        <f t="shared" si="100"/>
        <v>2.9085896230545849</v>
      </c>
      <c r="T95">
        <f t="shared" si="101"/>
        <v>0.40139675223120375</v>
      </c>
      <c r="U95">
        <f t="shared" si="102"/>
        <v>0.25363683418542748</v>
      </c>
      <c r="V95">
        <f t="shared" si="103"/>
        <v>344.35669864378139</v>
      </c>
      <c r="W95">
        <f t="shared" si="104"/>
        <v>31.099327301002297</v>
      </c>
      <c r="X95">
        <f t="shared" si="105"/>
        <v>29.994499999999999</v>
      </c>
      <c r="Y95">
        <f t="shared" si="106"/>
        <v>4.2591040156030502</v>
      </c>
      <c r="Z95">
        <f t="shared" si="107"/>
        <v>65.101669745676801</v>
      </c>
      <c r="AA95">
        <f t="shared" si="108"/>
        <v>2.8687402938365998</v>
      </c>
      <c r="AB95">
        <f t="shared" si="109"/>
        <v>4.4065540946084623</v>
      </c>
      <c r="AC95">
        <f t="shared" si="110"/>
        <v>1.3903637217664504</v>
      </c>
      <c r="AD95">
        <f t="shared" si="111"/>
        <v>-258.06195578843256</v>
      </c>
      <c r="AE95">
        <f t="shared" si="112"/>
        <v>93.112521375571191</v>
      </c>
      <c r="AF95">
        <f t="shared" si="113"/>
        <v>7.1386739749422574</v>
      </c>
      <c r="AG95">
        <f t="shared" si="114"/>
        <v>186.54593820586229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51630.904782625083</v>
      </c>
      <c r="AM95" t="s">
        <v>416</v>
      </c>
      <c r="AN95">
        <v>10366.9</v>
      </c>
      <c r="AO95">
        <v>993.59653846153856</v>
      </c>
      <c r="AP95">
        <v>3431.87</v>
      </c>
      <c r="AQ95">
        <f t="shared" si="118"/>
        <v>0.71047955241266758</v>
      </c>
      <c r="AR95">
        <v>-3.9894345373445681</v>
      </c>
      <c r="AS95" t="s">
        <v>820</v>
      </c>
      <c r="AT95">
        <v>10425.700000000001</v>
      </c>
      <c r="AU95">
        <v>828.09480769230765</v>
      </c>
      <c r="AV95">
        <v>1112.2787531121769</v>
      </c>
      <c r="AW95">
        <f t="shared" si="119"/>
        <v>0.25549705469489303</v>
      </c>
      <c r="AX95">
        <v>0.5</v>
      </c>
      <c r="AY95">
        <f t="shared" si="120"/>
        <v>1513.1261993218907</v>
      </c>
      <c r="AZ95">
        <f t="shared" si="121"/>
        <v>39.501410319367281</v>
      </c>
      <c r="BA95">
        <f t="shared" si="122"/>
        <v>193.29964365421037</v>
      </c>
      <c r="BB95">
        <f t="shared" si="123"/>
        <v>2.8742377784617253E-2</v>
      </c>
      <c r="BC95">
        <f t="shared" si="124"/>
        <v>2.0854405789893615</v>
      </c>
      <c r="BD95">
        <f t="shared" si="125"/>
        <v>619.53507942679994</v>
      </c>
      <c r="BE95" t="s">
        <v>821</v>
      </c>
      <c r="BF95">
        <v>631.86</v>
      </c>
      <c r="BG95">
        <f t="shared" si="126"/>
        <v>631.86</v>
      </c>
      <c r="BH95">
        <f t="shared" si="127"/>
        <v>0.43192297953004688</v>
      </c>
      <c r="BI95">
        <f t="shared" si="128"/>
        <v>0.59153383080679367</v>
      </c>
      <c r="BJ95">
        <f t="shared" si="129"/>
        <v>0.82842248666534168</v>
      </c>
      <c r="BK95">
        <f t="shared" si="130"/>
        <v>2.3944947965153323</v>
      </c>
      <c r="BL95">
        <f t="shared" si="131"/>
        <v>0.95132530599100473</v>
      </c>
      <c r="BM95">
        <f t="shared" si="132"/>
        <v>0.45135721521449246</v>
      </c>
      <c r="BN95">
        <f t="shared" si="133"/>
        <v>0.54864278478550754</v>
      </c>
      <c r="BO95">
        <v>7704</v>
      </c>
      <c r="BP95">
        <v>290.00000000000011</v>
      </c>
      <c r="BQ95">
        <v>1040.24</v>
      </c>
      <c r="BR95">
        <v>145</v>
      </c>
      <c r="BS95">
        <v>10425.700000000001</v>
      </c>
      <c r="BT95">
        <v>1037.0899999999999</v>
      </c>
      <c r="BU95">
        <v>3.15</v>
      </c>
      <c r="BV95">
        <v>300.00000000000011</v>
      </c>
      <c r="BW95">
        <v>38.200000000000003</v>
      </c>
      <c r="BX95">
        <v>1112.2787531121769</v>
      </c>
      <c r="BY95">
        <v>1.3504510351786121</v>
      </c>
      <c r="BZ95">
        <v>-78.391458375426922</v>
      </c>
      <c r="CA95">
        <v>1.151984411345973</v>
      </c>
      <c r="CB95">
        <v>0.9939897071273408</v>
      </c>
      <c r="CC95">
        <v>-1.131624137931036E-2</v>
      </c>
      <c r="CD95">
        <v>289.99999999999989</v>
      </c>
      <c r="CE95">
        <v>1031.3</v>
      </c>
      <c r="CF95">
        <v>665</v>
      </c>
      <c r="CG95">
        <v>10397.9</v>
      </c>
      <c r="CH95">
        <v>1036.8900000000001</v>
      </c>
      <c r="CI95">
        <v>-5.59</v>
      </c>
      <c r="CW95">
        <f t="shared" si="134"/>
        <v>1799.93</v>
      </c>
      <c r="CX95">
        <f t="shared" si="135"/>
        <v>1513.1261993218907</v>
      </c>
      <c r="CY95">
        <f t="shared" si="136"/>
        <v>0.84065835855943871</v>
      </c>
      <c r="CZ95">
        <f t="shared" si="137"/>
        <v>0.1913167171188776</v>
      </c>
      <c r="DA95">
        <v>6</v>
      </c>
      <c r="DB95">
        <v>0.5</v>
      </c>
      <c r="DC95" t="s">
        <v>419</v>
      </c>
      <c r="DD95">
        <v>2</v>
      </c>
      <c r="DE95">
        <v>1693340864.5</v>
      </c>
      <c r="DF95">
        <v>350.06900000000002</v>
      </c>
      <c r="DG95">
        <v>399.90199999999999</v>
      </c>
      <c r="DH95">
        <v>28.996200000000002</v>
      </c>
      <c r="DI95">
        <v>22.1814</v>
      </c>
      <c r="DJ95">
        <v>349.55099999999999</v>
      </c>
      <c r="DK95">
        <v>28.749199999999998</v>
      </c>
      <c r="DL95">
        <v>500.27</v>
      </c>
      <c r="DM95">
        <v>98.834699999999998</v>
      </c>
      <c r="DN95">
        <v>0.100343</v>
      </c>
      <c r="DO95">
        <v>30.5883</v>
      </c>
      <c r="DP95">
        <v>29.994499999999999</v>
      </c>
      <c r="DQ95">
        <v>999.9</v>
      </c>
      <c r="DR95">
        <v>0</v>
      </c>
      <c r="DS95">
        <v>0</v>
      </c>
      <c r="DT95">
        <v>9997.5</v>
      </c>
      <c r="DU95">
        <v>0</v>
      </c>
      <c r="DV95">
        <v>1208.72</v>
      </c>
      <c r="DW95">
        <v>-49.833300000000001</v>
      </c>
      <c r="DX95">
        <v>360.52300000000002</v>
      </c>
      <c r="DY95">
        <v>408.97399999999999</v>
      </c>
      <c r="DZ95">
        <v>6.8148099999999996</v>
      </c>
      <c r="EA95">
        <v>399.90199999999999</v>
      </c>
      <c r="EB95">
        <v>22.1814</v>
      </c>
      <c r="EC95">
        <v>2.8658299999999999</v>
      </c>
      <c r="ED95">
        <v>2.1922899999999998</v>
      </c>
      <c r="EE95">
        <v>23.2683</v>
      </c>
      <c r="EF95">
        <v>18.906099999999999</v>
      </c>
      <c r="EG95">
        <v>1799.93</v>
      </c>
      <c r="EH95">
        <v>0.97799199999999997</v>
      </c>
      <c r="EI95">
        <v>2.2007800000000001E-2</v>
      </c>
      <c r="EJ95">
        <v>0</v>
      </c>
      <c r="EK95">
        <v>828.86800000000005</v>
      </c>
      <c r="EL95">
        <v>5.0010300000000001</v>
      </c>
      <c r="EM95">
        <v>15645.5</v>
      </c>
      <c r="EN95">
        <v>14700.5</v>
      </c>
      <c r="EO95">
        <v>48.625</v>
      </c>
      <c r="EP95">
        <v>50.375</v>
      </c>
      <c r="EQ95">
        <v>50</v>
      </c>
      <c r="ER95">
        <v>49.375</v>
      </c>
      <c r="ES95">
        <v>50.125</v>
      </c>
      <c r="ET95">
        <v>1755.43</v>
      </c>
      <c r="EU95">
        <v>39.5</v>
      </c>
      <c r="EV95">
        <v>0</v>
      </c>
      <c r="EW95">
        <v>134.5999999046326</v>
      </c>
      <c r="EX95">
        <v>0</v>
      </c>
      <c r="EY95">
        <v>828.09480769230765</v>
      </c>
      <c r="EZ95">
        <v>6.723453006712945</v>
      </c>
      <c r="FA95">
        <v>159.2957264782537</v>
      </c>
      <c r="FB95">
        <v>15625.24615384615</v>
      </c>
      <c r="FC95">
        <v>15</v>
      </c>
      <c r="FD95">
        <v>1693340795.5</v>
      </c>
      <c r="FE95" t="s">
        <v>822</v>
      </c>
      <c r="FF95">
        <v>1693340790.5</v>
      </c>
      <c r="FG95">
        <v>1693340795.5</v>
      </c>
      <c r="FH95">
        <v>88</v>
      </c>
      <c r="FI95">
        <v>-8.0000000000000002E-3</v>
      </c>
      <c r="FJ95">
        <v>-4.0000000000000001E-3</v>
      </c>
      <c r="FK95">
        <v>0.55900000000000005</v>
      </c>
      <c r="FL95">
        <v>8.1000000000000003E-2</v>
      </c>
      <c r="FM95">
        <v>400</v>
      </c>
      <c r="FN95">
        <v>22</v>
      </c>
      <c r="FO95">
        <v>0.11</v>
      </c>
      <c r="FP95">
        <v>0.05</v>
      </c>
      <c r="FQ95">
        <v>39.463796949323253</v>
      </c>
      <c r="FR95">
        <v>0.56007768766173383</v>
      </c>
      <c r="FS95">
        <v>9.0400442174814508E-2</v>
      </c>
      <c r="FT95">
        <v>1</v>
      </c>
      <c r="FU95">
        <v>0.43541383590837218</v>
      </c>
      <c r="FV95">
        <v>-1.0892021142431801E-2</v>
      </c>
      <c r="FW95">
        <v>9.5841917349044094E-4</v>
      </c>
      <c r="FX95">
        <v>1</v>
      </c>
      <c r="FY95">
        <v>2</v>
      </c>
      <c r="FZ95">
        <v>2</v>
      </c>
      <c r="GA95" t="s">
        <v>421</v>
      </c>
      <c r="GB95">
        <v>2.89832</v>
      </c>
      <c r="GC95">
        <v>2.81833</v>
      </c>
      <c r="GD95">
        <v>8.0965099999999998E-2</v>
      </c>
      <c r="GE95">
        <v>8.9907299999999996E-2</v>
      </c>
      <c r="GF95">
        <v>0.13467899999999999</v>
      </c>
      <c r="GG95">
        <v>0.111821</v>
      </c>
      <c r="GH95">
        <v>25442.400000000001</v>
      </c>
      <c r="GI95">
        <v>25309.7</v>
      </c>
      <c r="GJ95">
        <v>24565.3</v>
      </c>
      <c r="GK95">
        <v>24841.1</v>
      </c>
      <c r="GL95">
        <v>28243.1</v>
      </c>
      <c r="GM95">
        <v>28855</v>
      </c>
      <c r="GN95">
        <v>33221.599999999999</v>
      </c>
      <c r="GO95">
        <v>33178.5</v>
      </c>
      <c r="GP95">
        <v>1.9437</v>
      </c>
      <c r="GQ95">
        <v>1.7929999999999999</v>
      </c>
      <c r="GR95">
        <v>1.9237400000000002E-2</v>
      </c>
      <c r="GS95">
        <v>0</v>
      </c>
      <c r="GT95">
        <v>29.6813</v>
      </c>
      <c r="GU95">
        <v>999.9</v>
      </c>
      <c r="GV95">
        <v>47.6</v>
      </c>
      <c r="GW95">
        <v>38</v>
      </c>
      <c r="GX95">
        <v>32.064</v>
      </c>
      <c r="GY95">
        <v>62.119100000000003</v>
      </c>
      <c r="GZ95">
        <v>25.625</v>
      </c>
      <c r="HA95">
        <v>1</v>
      </c>
      <c r="HB95">
        <v>0.57764199999999999</v>
      </c>
      <c r="HC95">
        <v>2.52948</v>
      </c>
      <c r="HD95">
        <v>20.148</v>
      </c>
      <c r="HE95">
        <v>5.2352600000000002</v>
      </c>
      <c r="HF95">
        <v>11.9201</v>
      </c>
      <c r="HG95">
        <v>4.9606000000000003</v>
      </c>
      <c r="HH95">
        <v>3.2890000000000001</v>
      </c>
      <c r="HI95">
        <v>9999</v>
      </c>
      <c r="HJ95">
        <v>9999</v>
      </c>
      <c r="HK95">
        <v>9999</v>
      </c>
      <c r="HL95">
        <v>880.6</v>
      </c>
      <c r="HM95">
        <v>1.8809</v>
      </c>
      <c r="HN95">
        <v>1.87805</v>
      </c>
      <c r="HO95">
        <v>1.8859900000000001</v>
      </c>
      <c r="HP95">
        <v>1.8836999999999999</v>
      </c>
      <c r="HQ95">
        <v>1.8812599999999999</v>
      </c>
      <c r="HR95">
        <v>1.8803099999999999</v>
      </c>
      <c r="HS95">
        <v>1.8814299999999999</v>
      </c>
      <c r="HT95">
        <v>1.8809499999999999</v>
      </c>
      <c r="HU95">
        <v>5</v>
      </c>
      <c r="HV95">
        <v>0</v>
      </c>
      <c r="HW95">
        <v>0</v>
      </c>
      <c r="HX95">
        <v>0</v>
      </c>
      <c r="HY95" t="s">
        <v>422</v>
      </c>
      <c r="HZ95" t="s">
        <v>423</v>
      </c>
      <c r="IA95" t="s">
        <v>424</v>
      </c>
      <c r="IB95" t="s">
        <v>424</v>
      </c>
      <c r="IC95" t="s">
        <v>424</v>
      </c>
      <c r="ID95" t="s">
        <v>424</v>
      </c>
      <c r="IE95">
        <v>0</v>
      </c>
      <c r="IF95">
        <v>100</v>
      </c>
      <c r="IG95">
        <v>100</v>
      </c>
      <c r="IH95">
        <v>0.51800000000000002</v>
      </c>
      <c r="II95">
        <v>0.247</v>
      </c>
      <c r="IJ95">
        <v>-9.5059251320352978E-3</v>
      </c>
      <c r="IK95">
        <v>2.2153513873161218E-3</v>
      </c>
      <c r="IL95">
        <v>-2.2967369670569612E-6</v>
      </c>
      <c r="IM95">
        <v>7.7859689150384122E-10</v>
      </c>
      <c r="IN95">
        <v>-0.15078640996032369</v>
      </c>
      <c r="IO95">
        <v>-4.1434251034592161E-3</v>
      </c>
      <c r="IP95">
        <v>8.3987709687394815E-4</v>
      </c>
      <c r="IQ95">
        <v>-7.4586254598011197E-6</v>
      </c>
      <c r="IR95">
        <v>2</v>
      </c>
      <c r="IS95">
        <v>1930</v>
      </c>
      <c r="IT95">
        <v>2</v>
      </c>
      <c r="IU95">
        <v>41</v>
      </c>
      <c r="IV95">
        <v>1.2</v>
      </c>
      <c r="IW95">
        <v>1.1000000000000001</v>
      </c>
      <c r="IX95">
        <v>0.98754900000000001</v>
      </c>
      <c r="IY95">
        <v>2.5341800000000001</v>
      </c>
      <c r="IZ95">
        <v>1.24512</v>
      </c>
      <c r="JA95">
        <v>2.2595200000000002</v>
      </c>
      <c r="JB95">
        <v>1.4501999999999999</v>
      </c>
      <c r="JC95">
        <v>2.36938</v>
      </c>
      <c r="JD95">
        <v>40.120600000000003</v>
      </c>
      <c r="JE95">
        <v>23.956199999999999</v>
      </c>
      <c r="JF95">
        <v>18</v>
      </c>
      <c r="JG95">
        <v>496.49299999999999</v>
      </c>
      <c r="JH95">
        <v>443.25900000000001</v>
      </c>
      <c r="JI95">
        <v>26.5169</v>
      </c>
      <c r="JJ95">
        <v>34.380899999999997</v>
      </c>
      <c r="JK95">
        <v>30.0001</v>
      </c>
      <c r="JL95">
        <v>34.248899999999999</v>
      </c>
      <c r="JM95">
        <v>34.197000000000003</v>
      </c>
      <c r="JN95">
        <v>19.890999999999998</v>
      </c>
      <c r="JO95">
        <v>37.161299999999997</v>
      </c>
      <c r="JP95">
        <v>0</v>
      </c>
      <c r="JQ95">
        <v>26.517499999999998</v>
      </c>
      <c r="JR95">
        <v>400</v>
      </c>
      <c r="JS95">
        <v>22.134</v>
      </c>
      <c r="JT95">
        <v>99.152199999999993</v>
      </c>
      <c r="JU95">
        <v>99.022800000000004</v>
      </c>
    </row>
    <row r="96" spans="1:281" x14ac:dyDescent="0.25">
      <c r="A96">
        <v>80</v>
      </c>
      <c r="B96">
        <v>1693340964</v>
      </c>
      <c r="C96">
        <v>18250.900000095371</v>
      </c>
      <c r="D96" t="s">
        <v>823</v>
      </c>
      <c r="E96" t="s">
        <v>824</v>
      </c>
      <c r="F96" t="s">
        <v>413</v>
      </c>
      <c r="G96" t="s">
        <v>493</v>
      </c>
      <c r="H96" t="s">
        <v>779</v>
      </c>
      <c r="I96" t="s">
        <v>31</v>
      </c>
      <c r="J96">
        <v>1693340964</v>
      </c>
      <c r="K96">
        <f t="shared" si="92"/>
        <v>5.7875023414652423E-3</v>
      </c>
      <c r="L96">
        <f t="shared" si="93"/>
        <v>5.7875023414652427</v>
      </c>
      <c r="M96">
        <f t="shared" si="94"/>
        <v>42.000937662150491</v>
      </c>
      <c r="N96">
        <f t="shared" si="95"/>
        <v>446.45100000000002</v>
      </c>
      <c r="O96">
        <f t="shared" si="96"/>
        <v>271.42387718021683</v>
      </c>
      <c r="P96">
        <f t="shared" si="97"/>
        <v>26.853424158474205</v>
      </c>
      <c r="Q96">
        <f t="shared" si="98"/>
        <v>44.169798889928998</v>
      </c>
      <c r="R96">
        <f t="shared" si="99"/>
        <v>0.43127154385485544</v>
      </c>
      <c r="S96">
        <f t="shared" si="100"/>
        <v>2.9020340811570366</v>
      </c>
      <c r="T96">
        <f t="shared" si="101"/>
        <v>0.39856909376552269</v>
      </c>
      <c r="U96">
        <f t="shared" si="102"/>
        <v>0.25183690515106916</v>
      </c>
      <c r="V96">
        <f t="shared" si="103"/>
        <v>344.36429864381148</v>
      </c>
      <c r="W96">
        <f t="shared" si="104"/>
        <v>31.128852335135427</v>
      </c>
      <c r="X96">
        <f t="shared" si="105"/>
        <v>29.984400000000001</v>
      </c>
      <c r="Y96">
        <f t="shared" si="106"/>
        <v>4.2566336814945096</v>
      </c>
      <c r="Z96">
        <f t="shared" si="107"/>
        <v>65.127374876906913</v>
      </c>
      <c r="AA96">
        <f t="shared" si="108"/>
        <v>2.8717774591572001</v>
      </c>
      <c r="AB96">
        <f t="shared" si="109"/>
        <v>4.40947829477998</v>
      </c>
      <c r="AC96">
        <f t="shared" si="110"/>
        <v>1.3848562223373095</v>
      </c>
      <c r="AD96">
        <f t="shared" si="111"/>
        <v>-255.22885325861719</v>
      </c>
      <c r="AE96">
        <f t="shared" si="112"/>
        <v>96.297720981444783</v>
      </c>
      <c r="AF96">
        <f t="shared" si="113"/>
        <v>7.3996071763012976</v>
      </c>
      <c r="AG96">
        <f t="shared" si="114"/>
        <v>192.83277354294034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51443.285245381747</v>
      </c>
      <c r="AM96" t="s">
        <v>416</v>
      </c>
      <c r="AN96">
        <v>10366.9</v>
      </c>
      <c r="AO96">
        <v>993.59653846153856</v>
      </c>
      <c r="AP96">
        <v>3431.87</v>
      </c>
      <c r="AQ96">
        <f t="shared" si="118"/>
        <v>0.71047955241266758</v>
      </c>
      <c r="AR96">
        <v>-3.9894345373445681</v>
      </c>
      <c r="AS96" t="s">
        <v>825</v>
      </c>
      <c r="AT96">
        <v>10421.1</v>
      </c>
      <c r="AU96">
        <v>840.63857692307693</v>
      </c>
      <c r="AV96">
        <v>1151.980693542321</v>
      </c>
      <c r="AW96">
        <f t="shared" si="119"/>
        <v>0.27026678343182331</v>
      </c>
      <c r="AX96">
        <v>0.5</v>
      </c>
      <c r="AY96">
        <f t="shared" si="120"/>
        <v>1513.1597993219059</v>
      </c>
      <c r="AZ96">
        <f t="shared" si="121"/>
        <v>42.000937662150491</v>
      </c>
      <c r="BA96">
        <f t="shared" si="122"/>
        <v>204.47841589053738</v>
      </c>
      <c r="BB96">
        <f t="shared" si="123"/>
        <v>3.0393599023781082E-2</v>
      </c>
      <c r="BC96">
        <f t="shared" si="124"/>
        <v>1.9791037464760437</v>
      </c>
      <c r="BD96">
        <f t="shared" si="125"/>
        <v>631.66066231874981</v>
      </c>
      <c r="BE96" t="s">
        <v>826</v>
      </c>
      <c r="BF96">
        <v>639.83000000000004</v>
      </c>
      <c r="BG96">
        <f t="shared" si="126"/>
        <v>639.83000000000004</v>
      </c>
      <c r="BH96">
        <f t="shared" si="127"/>
        <v>0.44458270560721491</v>
      </c>
      <c r="BI96">
        <f t="shared" si="128"/>
        <v>0.6079111490913498</v>
      </c>
      <c r="BJ96">
        <f t="shared" si="129"/>
        <v>0.81656756581484458</v>
      </c>
      <c r="BK96">
        <f t="shared" si="130"/>
        <v>1.9657403006029661</v>
      </c>
      <c r="BL96">
        <f t="shared" si="131"/>
        <v>0.93504249725096533</v>
      </c>
      <c r="BM96">
        <f t="shared" si="132"/>
        <v>0.4626956235422805</v>
      </c>
      <c r="BN96">
        <f t="shared" si="133"/>
        <v>0.53730437645771945</v>
      </c>
      <c r="BO96">
        <v>7706</v>
      </c>
      <c r="BP96">
        <v>290.00000000000011</v>
      </c>
      <c r="BQ96">
        <v>1073.1300000000001</v>
      </c>
      <c r="BR96">
        <v>165</v>
      </c>
      <c r="BS96">
        <v>10421.1</v>
      </c>
      <c r="BT96">
        <v>1069.23</v>
      </c>
      <c r="BU96">
        <v>3.9</v>
      </c>
      <c r="BV96">
        <v>300.00000000000011</v>
      </c>
      <c r="BW96">
        <v>38.200000000000003</v>
      </c>
      <c r="BX96">
        <v>1151.980693542321</v>
      </c>
      <c r="BY96">
        <v>1.33679227232151</v>
      </c>
      <c r="BZ96">
        <v>-86.236872217096547</v>
      </c>
      <c r="CA96">
        <v>1.1401805191039329</v>
      </c>
      <c r="CB96">
        <v>0.99512921736644155</v>
      </c>
      <c r="CC96">
        <v>-1.1314540155728589E-2</v>
      </c>
      <c r="CD96">
        <v>289.99999999999989</v>
      </c>
      <c r="CE96">
        <v>1063</v>
      </c>
      <c r="CF96">
        <v>685</v>
      </c>
      <c r="CG96">
        <v>10394.9</v>
      </c>
      <c r="CH96">
        <v>1069.02</v>
      </c>
      <c r="CI96">
        <v>-6.02</v>
      </c>
      <c r="CW96">
        <f t="shared" si="134"/>
        <v>1799.97</v>
      </c>
      <c r="CX96">
        <f t="shared" si="135"/>
        <v>1513.1597993219059</v>
      </c>
      <c r="CY96">
        <f t="shared" si="136"/>
        <v>0.84065834392901317</v>
      </c>
      <c r="CZ96">
        <f t="shared" si="137"/>
        <v>0.19131668785802625</v>
      </c>
      <c r="DA96">
        <v>6</v>
      </c>
      <c r="DB96">
        <v>0.5</v>
      </c>
      <c r="DC96" t="s">
        <v>419</v>
      </c>
      <c r="DD96">
        <v>2</v>
      </c>
      <c r="DE96">
        <v>1693340964</v>
      </c>
      <c r="DF96">
        <v>446.45100000000002</v>
      </c>
      <c r="DG96">
        <v>499.90899999999999</v>
      </c>
      <c r="DH96">
        <v>29.026800000000001</v>
      </c>
      <c r="DI96">
        <v>22.288900000000002</v>
      </c>
      <c r="DJ96">
        <v>445.90800000000002</v>
      </c>
      <c r="DK96">
        <v>28.779399999999999</v>
      </c>
      <c r="DL96">
        <v>500.40899999999999</v>
      </c>
      <c r="DM96">
        <v>98.835099999999997</v>
      </c>
      <c r="DN96">
        <v>0.10027899999999999</v>
      </c>
      <c r="DO96">
        <v>30.599900000000002</v>
      </c>
      <c r="DP96">
        <v>29.984400000000001</v>
      </c>
      <c r="DQ96">
        <v>999.9</v>
      </c>
      <c r="DR96">
        <v>0</v>
      </c>
      <c r="DS96">
        <v>0</v>
      </c>
      <c r="DT96">
        <v>9960</v>
      </c>
      <c r="DU96">
        <v>0</v>
      </c>
      <c r="DV96">
        <v>714.90200000000004</v>
      </c>
      <c r="DW96">
        <v>-53.457999999999998</v>
      </c>
      <c r="DX96">
        <v>459.798</v>
      </c>
      <c r="DY96">
        <v>511.30599999999998</v>
      </c>
      <c r="DZ96">
        <v>6.7378799999999996</v>
      </c>
      <c r="EA96">
        <v>499.90899999999999</v>
      </c>
      <c r="EB96">
        <v>22.288900000000002</v>
      </c>
      <c r="EC96">
        <v>2.8688600000000002</v>
      </c>
      <c r="ED96">
        <v>2.2029299999999998</v>
      </c>
      <c r="EE96">
        <v>23.285799999999998</v>
      </c>
      <c r="EF96">
        <v>18.983599999999999</v>
      </c>
      <c r="EG96">
        <v>1799.97</v>
      </c>
      <c r="EH96">
        <v>0.97799599999999998</v>
      </c>
      <c r="EI96">
        <v>2.2004099999999999E-2</v>
      </c>
      <c r="EJ96">
        <v>0</v>
      </c>
      <c r="EK96">
        <v>840.952</v>
      </c>
      <c r="EL96">
        <v>5.0010300000000001</v>
      </c>
      <c r="EM96">
        <v>15535.5</v>
      </c>
      <c r="EN96">
        <v>14700.8</v>
      </c>
      <c r="EO96">
        <v>48.811999999999998</v>
      </c>
      <c r="EP96">
        <v>50.436999999999998</v>
      </c>
      <c r="EQ96">
        <v>50.25</v>
      </c>
      <c r="ER96">
        <v>49.561999999999998</v>
      </c>
      <c r="ES96">
        <v>50.436999999999998</v>
      </c>
      <c r="ET96">
        <v>1755.47</v>
      </c>
      <c r="EU96">
        <v>39.5</v>
      </c>
      <c r="EV96">
        <v>0</v>
      </c>
      <c r="EW96">
        <v>97.400000095367432</v>
      </c>
      <c r="EX96">
        <v>0</v>
      </c>
      <c r="EY96">
        <v>840.63857692307693</v>
      </c>
      <c r="EZ96">
        <v>2.1363760688907489</v>
      </c>
      <c r="FA96">
        <v>-1169.7333308662101</v>
      </c>
      <c r="FB96">
        <v>15445.49615384615</v>
      </c>
      <c r="FC96">
        <v>15</v>
      </c>
      <c r="FD96">
        <v>1693340930</v>
      </c>
      <c r="FE96" t="s">
        <v>827</v>
      </c>
      <c r="FF96">
        <v>1693340924</v>
      </c>
      <c r="FG96">
        <v>1693340930</v>
      </c>
      <c r="FH96">
        <v>89</v>
      </c>
      <c r="FI96">
        <v>-4.7E-2</v>
      </c>
      <c r="FJ96">
        <v>0</v>
      </c>
      <c r="FK96">
        <v>0.57399999999999995</v>
      </c>
      <c r="FL96">
        <v>8.5999999999999993E-2</v>
      </c>
      <c r="FM96">
        <v>500</v>
      </c>
      <c r="FN96">
        <v>22</v>
      </c>
      <c r="FO96">
        <v>0.11</v>
      </c>
      <c r="FP96">
        <v>0.04</v>
      </c>
      <c r="FQ96">
        <v>41.97663208186745</v>
      </c>
      <c r="FR96">
        <v>0.20192669828543691</v>
      </c>
      <c r="FS96">
        <v>9.7745931933813715E-2</v>
      </c>
      <c r="FT96">
        <v>1</v>
      </c>
      <c r="FU96">
        <v>0.43757134348925147</v>
      </c>
      <c r="FV96">
        <v>-2.696139183342167E-2</v>
      </c>
      <c r="FW96">
        <v>2.6485743629159611E-3</v>
      </c>
      <c r="FX96">
        <v>1</v>
      </c>
      <c r="FY96">
        <v>2</v>
      </c>
      <c r="FZ96">
        <v>2</v>
      </c>
      <c r="GA96" t="s">
        <v>421</v>
      </c>
      <c r="GB96">
        <v>2.8986800000000001</v>
      </c>
      <c r="GC96">
        <v>2.8179400000000001</v>
      </c>
      <c r="GD96">
        <v>9.76664E-2</v>
      </c>
      <c r="GE96">
        <v>0.106265</v>
      </c>
      <c r="GF96">
        <v>0.134774</v>
      </c>
      <c r="GG96">
        <v>0.112196</v>
      </c>
      <c r="GH96">
        <v>24979.9</v>
      </c>
      <c r="GI96">
        <v>24854.2</v>
      </c>
      <c r="GJ96">
        <v>24564.9</v>
      </c>
      <c r="GK96">
        <v>24840.3</v>
      </c>
      <c r="GL96">
        <v>28240.1</v>
      </c>
      <c r="GM96">
        <v>28841.599999999999</v>
      </c>
      <c r="GN96">
        <v>33221.800000000003</v>
      </c>
      <c r="GO96">
        <v>33177.1</v>
      </c>
      <c r="GP96">
        <v>1.9432</v>
      </c>
      <c r="GQ96">
        <v>1.7941</v>
      </c>
      <c r="GR96">
        <v>2.5525699999999998E-2</v>
      </c>
      <c r="GS96">
        <v>0</v>
      </c>
      <c r="GT96">
        <v>29.568899999999999</v>
      </c>
      <c r="GU96">
        <v>999.9</v>
      </c>
      <c r="GV96">
        <v>47.7</v>
      </c>
      <c r="GW96">
        <v>37.9</v>
      </c>
      <c r="GX96">
        <v>31.954699999999999</v>
      </c>
      <c r="GY96">
        <v>62.019100000000002</v>
      </c>
      <c r="GZ96">
        <v>25.276399999999999</v>
      </c>
      <c r="HA96">
        <v>1</v>
      </c>
      <c r="HB96">
        <v>0.57743900000000004</v>
      </c>
      <c r="HC96">
        <v>2.3633199999999999</v>
      </c>
      <c r="HD96">
        <v>20.150400000000001</v>
      </c>
      <c r="HE96">
        <v>5.2352600000000002</v>
      </c>
      <c r="HF96">
        <v>11.9201</v>
      </c>
      <c r="HG96">
        <v>4.9602000000000004</v>
      </c>
      <c r="HH96">
        <v>3.2890000000000001</v>
      </c>
      <c r="HI96">
        <v>9999</v>
      </c>
      <c r="HJ96">
        <v>9999</v>
      </c>
      <c r="HK96">
        <v>9999</v>
      </c>
      <c r="HL96">
        <v>880.6</v>
      </c>
      <c r="HM96">
        <v>1.8809</v>
      </c>
      <c r="HN96">
        <v>1.87805</v>
      </c>
      <c r="HO96">
        <v>1.8859900000000001</v>
      </c>
      <c r="HP96">
        <v>1.8838200000000001</v>
      </c>
      <c r="HQ96">
        <v>1.8812599999999999</v>
      </c>
      <c r="HR96">
        <v>1.8803399999999999</v>
      </c>
      <c r="HS96">
        <v>1.88147</v>
      </c>
      <c r="HT96">
        <v>1.8809499999999999</v>
      </c>
      <c r="HU96">
        <v>5</v>
      </c>
      <c r="HV96">
        <v>0</v>
      </c>
      <c r="HW96">
        <v>0</v>
      </c>
      <c r="HX96">
        <v>0</v>
      </c>
      <c r="HY96" t="s">
        <v>422</v>
      </c>
      <c r="HZ96" t="s">
        <v>423</v>
      </c>
      <c r="IA96" t="s">
        <v>424</v>
      </c>
      <c r="IB96" t="s">
        <v>424</v>
      </c>
      <c r="IC96" t="s">
        <v>424</v>
      </c>
      <c r="ID96" t="s">
        <v>424</v>
      </c>
      <c r="IE96">
        <v>0</v>
      </c>
      <c r="IF96">
        <v>100</v>
      </c>
      <c r="IG96">
        <v>100</v>
      </c>
      <c r="IH96">
        <v>0.54300000000000004</v>
      </c>
      <c r="II96">
        <v>0.24740000000000001</v>
      </c>
      <c r="IJ96">
        <v>-5.6789575265935921E-2</v>
      </c>
      <c r="IK96">
        <v>2.2153513873161218E-3</v>
      </c>
      <c r="IL96">
        <v>-2.2967369670569612E-6</v>
      </c>
      <c r="IM96">
        <v>7.7859689150384122E-10</v>
      </c>
      <c r="IN96">
        <v>-0.151221792716698</v>
      </c>
      <c r="IO96">
        <v>-4.1434251034592161E-3</v>
      </c>
      <c r="IP96">
        <v>8.3987709687394815E-4</v>
      </c>
      <c r="IQ96">
        <v>-7.4586254598011197E-6</v>
      </c>
      <c r="IR96">
        <v>2</v>
      </c>
      <c r="IS96">
        <v>1930</v>
      </c>
      <c r="IT96">
        <v>2</v>
      </c>
      <c r="IU96">
        <v>41</v>
      </c>
      <c r="IV96">
        <v>0.7</v>
      </c>
      <c r="IW96">
        <v>0.6</v>
      </c>
      <c r="IX96">
        <v>1.18164</v>
      </c>
      <c r="IY96">
        <v>2.51831</v>
      </c>
      <c r="IZ96">
        <v>1.24512</v>
      </c>
      <c r="JA96">
        <v>2.2595200000000002</v>
      </c>
      <c r="JB96">
        <v>1.4501999999999999</v>
      </c>
      <c r="JC96">
        <v>2.4133300000000002</v>
      </c>
      <c r="JD96">
        <v>40.120600000000003</v>
      </c>
      <c r="JE96">
        <v>23.947399999999998</v>
      </c>
      <c r="JF96">
        <v>18</v>
      </c>
      <c r="JG96">
        <v>496.2</v>
      </c>
      <c r="JH96">
        <v>444.024</v>
      </c>
      <c r="JI96">
        <v>26.680599999999998</v>
      </c>
      <c r="JJ96">
        <v>34.384</v>
      </c>
      <c r="JK96">
        <v>29.9999</v>
      </c>
      <c r="JL96">
        <v>34.255200000000002</v>
      </c>
      <c r="JM96">
        <v>34.200099999999999</v>
      </c>
      <c r="JN96">
        <v>23.746099999999998</v>
      </c>
      <c r="JO96">
        <v>36.777999999999999</v>
      </c>
      <c r="JP96">
        <v>0</v>
      </c>
      <c r="JQ96">
        <v>26.682700000000001</v>
      </c>
      <c r="JR96">
        <v>500</v>
      </c>
      <c r="JS96">
        <v>22.3659</v>
      </c>
      <c r="JT96">
        <v>99.151799999999994</v>
      </c>
      <c r="JU96">
        <v>99.018900000000002</v>
      </c>
    </row>
    <row r="97" spans="1:281" x14ac:dyDescent="0.25">
      <c r="A97">
        <v>81</v>
      </c>
      <c r="B97">
        <v>1693341064</v>
      </c>
      <c r="C97">
        <v>18350.900000095371</v>
      </c>
      <c r="D97" t="s">
        <v>828</v>
      </c>
      <c r="E97" t="s">
        <v>829</v>
      </c>
      <c r="F97" t="s">
        <v>413</v>
      </c>
      <c r="G97" t="s">
        <v>493</v>
      </c>
      <c r="H97" t="s">
        <v>779</v>
      </c>
      <c r="I97" t="s">
        <v>31</v>
      </c>
      <c r="J97">
        <v>1693341064</v>
      </c>
      <c r="K97">
        <f t="shared" si="92"/>
        <v>5.5828028826271376E-3</v>
      </c>
      <c r="L97">
        <f t="shared" si="93"/>
        <v>5.5828028826271376</v>
      </c>
      <c r="M97">
        <f t="shared" si="94"/>
        <v>43.17065844252717</v>
      </c>
      <c r="N97">
        <f t="shared" si="95"/>
        <v>643.99800000000005</v>
      </c>
      <c r="O97">
        <f t="shared" si="96"/>
        <v>452.3993586557861</v>
      </c>
      <c r="P97">
        <f t="shared" si="97"/>
        <v>44.756073036327031</v>
      </c>
      <c r="Q97">
        <f t="shared" si="98"/>
        <v>63.711013227096011</v>
      </c>
      <c r="R97">
        <f t="shared" si="99"/>
        <v>0.41195698414436205</v>
      </c>
      <c r="S97">
        <f t="shared" si="100"/>
        <v>2.9072024085267385</v>
      </c>
      <c r="T97">
        <f t="shared" si="101"/>
        <v>0.38205824105704111</v>
      </c>
      <c r="U97">
        <f t="shared" si="102"/>
        <v>0.24129160460316307</v>
      </c>
      <c r="V97">
        <f t="shared" si="103"/>
        <v>344.3940986442754</v>
      </c>
      <c r="W97">
        <f t="shared" si="104"/>
        <v>31.250908782050935</v>
      </c>
      <c r="X97">
        <f t="shared" si="105"/>
        <v>30.067799999999998</v>
      </c>
      <c r="Y97">
        <f t="shared" si="106"/>
        <v>4.277069750312017</v>
      </c>
      <c r="Z97">
        <f t="shared" si="107"/>
        <v>65.140822454082397</v>
      </c>
      <c r="AA97">
        <f t="shared" si="108"/>
        <v>2.8837732105740002</v>
      </c>
      <c r="AB97">
        <f t="shared" si="109"/>
        <v>4.4269831143239937</v>
      </c>
      <c r="AC97">
        <f t="shared" si="110"/>
        <v>1.3932965397380168</v>
      </c>
      <c r="AD97">
        <f t="shared" si="111"/>
        <v>-246.20160712385677</v>
      </c>
      <c r="AE97">
        <f t="shared" si="112"/>
        <v>94.259284083844278</v>
      </c>
      <c r="AF97">
        <f t="shared" si="113"/>
        <v>7.2355567519179997</v>
      </c>
      <c r="AG97">
        <f t="shared" si="114"/>
        <v>199.68733235618092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51577.759544590452</v>
      </c>
      <c r="AM97" t="s">
        <v>416</v>
      </c>
      <c r="AN97">
        <v>10366.9</v>
      </c>
      <c r="AO97">
        <v>993.59653846153856</v>
      </c>
      <c r="AP97">
        <v>3431.87</v>
      </c>
      <c r="AQ97">
        <f t="shared" si="118"/>
        <v>0.71047955241266758</v>
      </c>
      <c r="AR97">
        <v>-3.9894345373445681</v>
      </c>
      <c r="AS97" t="s">
        <v>830</v>
      </c>
      <c r="AT97">
        <v>10425.1</v>
      </c>
      <c r="AU97">
        <v>844.01160000000004</v>
      </c>
      <c r="AV97">
        <v>1167.9242502122361</v>
      </c>
      <c r="AW97">
        <f t="shared" si="119"/>
        <v>0.27734046121002653</v>
      </c>
      <c r="AX97">
        <v>0.5</v>
      </c>
      <c r="AY97">
        <f t="shared" si="120"/>
        <v>1513.2938993221378</v>
      </c>
      <c r="AZ97">
        <f t="shared" si="121"/>
        <v>43.17065844252717</v>
      </c>
      <c r="BA97">
        <f t="shared" si="122"/>
        <v>209.84881399216059</v>
      </c>
      <c r="BB97">
        <f t="shared" si="123"/>
        <v>3.1163869094428084E-2</v>
      </c>
      <c r="BC97">
        <f t="shared" si="124"/>
        <v>1.9384354330996705</v>
      </c>
      <c r="BD97">
        <f t="shared" si="125"/>
        <v>636.42449004442096</v>
      </c>
      <c r="BE97" t="s">
        <v>831</v>
      </c>
      <c r="BF97">
        <v>642.02</v>
      </c>
      <c r="BG97">
        <f t="shared" si="126"/>
        <v>642.02</v>
      </c>
      <c r="BH97">
        <f t="shared" si="127"/>
        <v>0.45028969140478792</v>
      </c>
      <c r="BI97">
        <f t="shared" si="128"/>
        <v>0.61591563498776913</v>
      </c>
      <c r="BJ97">
        <f t="shared" si="129"/>
        <v>0.81149371822419269</v>
      </c>
      <c r="BK97">
        <f t="shared" si="130"/>
        <v>1.8580674693617092</v>
      </c>
      <c r="BL97">
        <f t="shared" si="131"/>
        <v>0.92850362582353529</v>
      </c>
      <c r="BM97">
        <f t="shared" si="132"/>
        <v>0.46851270287617791</v>
      </c>
      <c r="BN97">
        <f t="shared" si="133"/>
        <v>0.53148729712382203</v>
      </c>
      <c r="BO97">
        <v>7708</v>
      </c>
      <c r="BP97">
        <v>290.00000000000011</v>
      </c>
      <c r="BQ97">
        <v>1084.45</v>
      </c>
      <c r="BR97">
        <v>135</v>
      </c>
      <c r="BS97">
        <v>10425.1</v>
      </c>
      <c r="BT97">
        <v>1080.53</v>
      </c>
      <c r="BU97">
        <v>3.92</v>
      </c>
      <c r="BV97">
        <v>300.00000000000011</v>
      </c>
      <c r="BW97">
        <v>38.200000000000003</v>
      </c>
      <c r="BX97">
        <v>1167.9242502122361</v>
      </c>
      <c r="BY97">
        <v>1.311524632966264</v>
      </c>
      <c r="BZ97">
        <v>-91.108715745503005</v>
      </c>
      <c r="CA97">
        <v>1.1184945300960529</v>
      </c>
      <c r="CB97">
        <v>0.99579779658307777</v>
      </c>
      <c r="CC97">
        <v>-1.131350700778644E-2</v>
      </c>
      <c r="CD97">
        <v>289.99999999999989</v>
      </c>
      <c r="CE97">
        <v>1073.2</v>
      </c>
      <c r="CF97">
        <v>655</v>
      </c>
      <c r="CG97">
        <v>10396</v>
      </c>
      <c r="CH97">
        <v>1080.29</v>
      </c>
      <c r="CI97">
        <v>-7.09</v>
      </c>
      <c r="CW97">
        <f t="shared" si="134"/>
        <v>1800.13</v>
      </c>
      <c r="CX97">
        <f t="shared" si="135"/>
        <v>1513.2938993221378</v>
      </c>
      <c r="CY97">
        <f t="shared" si="136"/>
        <v>0.84065811875927721</v>
      </c>
      <c r="CZ97">
        <f t="shared" si="137"/>
        <v>0.19131623751855442</v>
      </c>
      <c r="DA97">
        <v>6</v>
      </c>
      <c r="DB97">
        <v>0.5</v>
      </c>
      <c r="DC97" t="s">
        <v>419</v>
      </c>
      <c r="DD97">
        <v>2</v>
      </c>
      <c r="DE97">
        <v>1693341064</v>
      </c>
      <c r="DF97">
        <v>643.99800000000005</v>
      </c>
      <c r="DG97">
        <v>700.08799999999997</v>
      </c>
      <c r="DH97">
        <v>29.1495</v>
      </c>
      <c r="DI97">
        <v>22.648800000000001</v>
      </c>
      <c r="DJ97">
        <v>643.52300000000002</v>
      </c>
      <c r="DK97">
        <v>28.895199999999999</v>
      </c>
      <c r="DL97">
        <v>500.26</v>
      </c>
      <c r="DM97">
        <v>98.830399999999997</v>
      </c>
      <c r="DN97">
        <v>0.100052</v>
      </c>
      <c r="DO97">
        <v>30.6692</v>
      </c>
      <c r="DP97">
        <v>30.067799999999998</v>
      </c>
      <c r="DQ97">
        <v>999.9</v>
      </c>
      <c r="DR97">
        <v>0</v>
      </c>
      <c r="DS97">
        <v>0</v>
      </c>
      <c r="DT97">
        <v>9990</v>
      </c>
      <c r="DU97">
        <v>0</v>
      </c>
      <c r="DV97">
        <v>1034.79</v>
      </c>
      <c r="DW97">
        <v>-56.0901</v>
      </c>
      <c r="DX97">
        <v>663.33399999999995</v>
      </c>
      <c r="DY97">
        <v>716.31100000000004</v>
      </c>
      <c r="DZ97">
        <v>6.5007799999999998</v>
      </c>
      <c r="EA97">
        <v>700.08799999999997</v>
      </c>
      <c r="EB97">
        <v>22.648800000000001</v>
      </c>
      <c r="EC97">
        <v>2.8808600000000002</v>
      </c>
      <c r="ED97">
        <v>2.2383899999999999</v>
      </c>
      <c r="EE97">
        <v>23.354900000000001</v>
      </c>
      <c r="EF97">
        <v>19.239699999999999</v>
      </c>
      <c r="EG97">
        <v>1800.13</v>
      </c>
      <c r="EH97">
        <v>0.97799999999999998</v>
      </c>
      <c r="EI97">
        <v>2.2000499999999999E-2</v>
      </c>
      <c r="EJ97">
        <v>0</v>
      </c>
      <c r="EK97">
        <v>844.33699999999999</v>
      </c>
      <c r="EL97">
        <v>5.0010300000000001</v>
      </c>
      <c r="EM97">
        <v>15908.7</v>
      </c>
      <c r="EN97">
        <v>14702.1</v>
      </c>
      <c r="EO97">
        <v>48.811999999999998</v>
      </c>
      <c r="EP97">
        <v>50.561999999999998</v>
      </c>
      <c r="EQ97">
        <v>50.25</v>
      </c>
      <c r="ER97">
        <v>49.5</v>
      </c>
      <c r="ES97">
        <v>50.375</v>
      </c>
      <c r="ET97">
        <v>1755.64</v>
      </c>
      <c r="EU97">
        <v>39.49</v>
      </c>
      <c r="EV97">
        <v>0</v>
      </c>
      <c r="EW97">
        <v>97.799999952316284</v>
      </c>
      <c r="EX97">
        <v>0</v>
      </c>
      <c r="EY97">
        <v>844.01160000000004</v>
      </c>
      <c r="EZ97">
        <v>-1.659461545696703</v>
      </c>
      <c r="FA97">
        <v>-33.01538459528259</v>
      </c>
      <c r="FB97">
        <v>15912.031999999999</v>
      </c>
      <c r="FC97">
        <v>15</v>
      </c>
      <c r="FD97">
        <v>1693341036.5</v>
      </c>
      <c r="FE97" t="s">
        <v>832</v>
      </c>
      <c r="FF97">
        <v>1693341036</v>
      </c>
      <c r="FG97">
        <v>1693341036.5</v>
      </c>
      <c r="FH97">
        <v>90</v>
      </c>
      <c r="FI97">
        <v>-0.15</v>
      </c>
      <c r="FJ97">
        <v>4.0000000000000001E-3</v>
      </c>
      <c r="FK97">
        <v>0.48499999999999999</v>
      </c>
      <c r="FL97">
        <v>9.4E-2</v>
      </c>
      <c r="FM97">
        <v>700</v>
      </c>
      <c r="FN97">
        <v>22</v>
      </c>
      <c r="FO97">
        <v>0.12</v>
      </c>
      <c r="FP97">
        <v>0.04</v>
      </c>
      <c r="FQ97">
        <v>43.096321115124709</v>
      </c>
      <c r="FR97">
        <v>4.0987517523169308E-2</v>
      </c>
      <c r="FS97">
        <v>8.2499435351508707E-2</v>
      </c>
      <c r="FT97">
        <v>1</v>
      </c>
      <c r="FU97">
        <v>0.41575987148787419</v>
      </c>
      <c r="FV97">
        <v>4.011721499206998E-2</v>
      </c>
      <c r="FW97">
        <v>3.6956784477981809E-3</v>
      </c>
      <c r="FX97">
        <v>1</v>
      </c>
      <c r="FY97">
        <v>2</v>
      </c>
      <c r="FZ97">
        <v>2</v>
      </c>
      <c r="GA97" t="s">
        <v>421</v>
      </c>
      <c r="GB97">
        <v>2.8983699999999999</v>
      </c>
      <c r="GC97">
        <v>2.8179699999999999</v>
      </c>
      <c r="GD97">
        <v>0.12721499999999999</v>
      </c>
      <c r="GE97">
        <v>0.13475100000000001</v>
      </c>
      <c r="GF97">
        <v>0.13514399999999999</v>
      </c>
      <c r="GG97">
        <v>0.11344600000000001</v>
      </c>
      <c r="GH97">
        <v>24164.1</v>
      </c>
      <c r="GI97">
        <v>24064</v>
      </c>
      <c r="GJ97">
        <v>24567.200000000001</v>
      </c>
      <c r="GK97">
        <v>24842.400000000001</v>
      </c>
      <c r="GL97">
        <v>28229.9</v>
      </c>
      <c r="GM97">
        <v>28803.200000000001</v>
      </c>
      <c r="GN97">
        <v>33224.199999999997</v>
      </c>
      <c r="GO97">
        <v>33179.9</v>
      </c>
      <c r="GP97">
        <v>1.9430000000000001</v>
      </c>
      <c r="GQ97">
        <v>1.7964</v>
      </c>
      <c r="GR97">
        <v>3.4868700000000002E-2</v>
      </c>
      <c r="GS97">
        <v>0</v>
      </c>
      <c r="GT97">
        <v>29.5001</v>
      </c>
      <c r="GU97">
        <v>999.9</v>
      </c>
      <c r="GV97">
        <v>47.9</v>
      </c>
      <c r="GW97">
        <v>37.799999999999997</v>
      </c>
      <c r="GX97">
        <v>31.918500000000002</v>
      </c>
      <c r="GY97">
        <v>62.0092</v>
      </c>
      <c r="GZ97">
        <v>25.360600000000002</v>
      </c>
      <c r="HA97">
        <v>1</v>
      </c>
      <c r="HB97">
        <v>0.57420700000000002</v>
      </c>
      <c r="HC97">
        <v>2.5764100000000001</v>
      </c>
      <c r="HD97">
        <v>20.147300000000001</v>
      </c>
      <c r="HE97">
        <v>5.2346599999999999</v>
      </c>
      <c r="HF97">
        <v>11.9207</v>
      </c>
      <c r="HG97">
        <v>4.9607999999999999</v>
      </c>
      <c r="HH97">
        <v>3.2890000000000001</v>
      </c>
      <c r="HI97">
        <v>9999</v>
      </c>
      <c r="HJ97">
        <v>9999</v>
      </c>
      <c r="HK97">
        <v>9999</v>
      </c>
      <c r="HL97">
        <v>880.7</v>
      </c>
      <c r="HM97">
        <v>1.88086</v>
      </c>
      <c r="HN97">
        <v>1.8780300000000001</v>
      </c>
      <c r="HO97">
        <v>1.8859399999999999</v>
      </c>
      <c r="HP97">
        <v>1.8837200000000001</v>
      </c>
      <c r="HQ97">
        <v>1.8812599999999999</v>
      </c>
      <c r="HR97">
        <v>1.8803399999999999</v>
      </c>
      <c r="HS97">
        <v>1.88141</v>
      </c>
      <c r="HT97">
        <v>1.8809499999999999</v>
      </c>
      <c r="HU97">
        <v>5</v>
      </c>
      <c r="HV97">
        <v>0</v>
      </c>
      <c r="HW97">
        <v>0</v>
      </c>
      <c r="HX97">
        <v>0</v>
      </c>
      <c r="HY97" t="s">
        <v>422</v>
      </c>
      <c r="HZ97" t="s">
        <v>423</v>
      </c>
      <c r="IA97" t="s">
        <v>424</v>
      </c>
      <c r="IB97" t="s">
        <v>424</v>
      </c>
      <c r="IC97" t="s">
        <v>424</v>
      </c>
      <c r="ID97" t="s">
        <v>424</v>
      </c>
      <c r="IE97">
        <v>0</v>
      </c>
      <c r="IF97">
        <v>100</v>
      </c>
      <c r="IG97">
        <v>100</v>
      </c>
      <c r="IH97">
        <v>0.47499999999999998</v>
      </c>
      <c r="II97">
        <v>0.25430000000000003</v>
      </c>
      <c r="IJ97">
        <v>-0.2069992192554361</v>
      </c>
      <c r="IK97">
        <v>2.2153513873161218E-3</v>
      </c>
      <c r="IL97">
        <v>-2.2967369670569612E-6</v>
      </c>
      <c r="IM97">
        <v>7.7859689150384122E-10</v>
      </c>
      <c r="IN97">
        <v>-0.14720716216693261</v>
      </c>
      <c r="IO97">
        <v>-4.1434251034592161E-3</v>
      </c>
      <c r="IP97">
        <v>8.3987709687394815E-4</v>
      </c>
      <c r="IQ97">
        <v>-7.4586254598011197E-6</v>
      </c>
      <c r="IR97">
        <v>2</v>
      </c>
      <c r="IS97">
        <v>1930</v>
      </c>
      <c r="IT97">
        <v>2</v>
      </c>
      <c r="IU97">
        <v>41</v>
      </c>
      <c r="IV97">
        <v>0.5</v>
      </c>
      <c r="IW97">
        <v>0.5</v>
      </c>
      <c r="IX97">
        <v>1.5490699999999999</v>
      </c>
      <c r="IY97">
        <v>2.5134300000000001</v>
      </c>
      <c r="IZ97">
        <v>1.24512</v>
      </c>
      <c r="JA97">
        <v>2.2595200000000002</v>
      </c>
      <c r="JB97">
        <v>1.4501999999999999</v>
      </c>
      <c r="JC97">
        <v>2.3315399999999999</v>
      </c>
      <c r="JD97">
        <v>40.07</v>
      </c>
      <c r="JE97">
        <v>23.973700000000001</v>
      </c>
      <c r="JF97">
        <v>18</v>
      </c>
      <c r="JG97">
        <v>495.88900000000001</v>
      </c>
      <c r="JH97">
        <v>445.41</v>
      </c>
      <c r="JI97">
        <v>26.642499999999998</v>
      </c>
      <c r="JJ97">
        <v>34.346600000000002</v>
      </c>
      <c r="JK97">
        <v>30.0002</v>
      </c>
      <c r="JL97">
        <v>34.2333</v>
      </c>
      <c r="JM97">
        <v>34.178400000000003</v>
      </c>
      <c r="JN97">
        <v>31.105899999999998</v>
      </c>
      <c r="JO97">
        <v>35.596200000000003</v>
      </c>
      <c r="JP97">
        <v>0</v>
      </c>
      <c r="JQ97">
        <v>26.6387</v>
      </c>
      <c r="JR97">
        <v>700</v>
      </c>
      <c r="JS97">
        <v>22.638500000000001</v>
      </c>
      <c r="JT97">
        <v>99.16</v>
      </c>
      <c r="JU97">
        <v>99.0274</v>
      </c>
    </row>
    <row r="98" spans="1:281" x14ac:dyDescent="0.25">
      <c r="A98">
        <v>82</v>
      </c>
      <c r="B98">
        <v>1693341169.5</v>
      </c>
      <c r="C98">
        <v>18456.400000095371</v>
      </c>
      <c r="D98" t="s">
        <v>833</v>
      </c>
      <c r="E98" t="s">
        <v>834</v>
      </c>
      <c r="F98" t="s">
        <v>413</v>
      </c>
      <c r="G98" t="s">
        <v>493</v>
      </c>
      <c r="H98" t="s">
        <v>779</v>
      </c>
      <c r="I98" t="s">
        <v>31</v>
      </c>
      <c r="J98">
        <v>1693341169.5</v>
      </c>
      <c r="K98">
        <f t="shared" si="92"/>
        <v>5.3149050834680111E-3</v>
      </c>
      <c r="L98">
        <f t="shared" si="93"/>
        <v>5.3149050834680107</v>
      </c>
      <c r="M98">
        <f t="shared" si="94"/>
        <v>43.025803552313491</v>
      </c>
      <c r="N98">
        <f t="shared" si="95"/>
        <v>843.11599999999999</v>
      </c>
      <c r="O98">
        <f t="shared" si="96"/>
        <v>639.58101859627254</v>
      </c>
      <c r="P98">
        <f t="shared" si="97"/>
        <v>63.271853172428088</v>
      </c>
      <c r="Q98">
        <f t="shared" si="98"/>
        <v>83.406965197944004</v>
      </c>
      <c r="R98">
        <f t="shared" si="99"/>
        <v>0.39288540639496117</v>
      </c>
      <c r="S98">
        <f t="shared" si="100"/>
        <v>2.8992544214971914</v>
      </c>
      <c r="T98">
        <f t="shared" si="101"/>
        <v>0.3655233882240444</v>
      </c>
      <c r="U98">
        <f t="shared" si="102"/>
        <v>0.23075149140993537</v>
      </c>
      <c r="V98">
        <f t="shared" si="103"/>
        <v>344.39979864429796</v>
      </c>
      <c r="W98">
        <f t="shared" si="104"/>
        <v>31.268016262796039</v>
      </c>
      <c r="X98">
        <f t="shared" si="105"/>
        <v>30.021000000000001</v>
      </c>
      <c r="Y98">
        <f t="shared" si="106"/>
        <v>4.2655915259724431</v>
      </c>
      <c r="Z98">
        <f t="shared" si="107"/>
        <v>65.238199981862309</v>
      </c>
      <c r="AA98">
        <f t="shared" si="108"/>
        <v>2.8790833632054005</v>
      </c>
      <c r="AB98">
        <f t="shared" si="109"/>
        <v>4.4131863908045448</v>
      </c>
      <c r="AC98">
        <f t="shared" si="110"/>
        <v>1.3865081627670426</v>
      </c>
      <c r="AD98">
        <f t="shared" si="111"/>
        <v>-234.38731418093928</v>
      </c>
      <c r="AE98">
        <f t="shared" si="112"/>
        <v>92.782413155074494</v>
      </c>
      <c r="AF98">
        <f t="shared" si="113"/>
        <v>7.1381332576271301</v>
      </c>
      <c r="AG98">
        <f t="shared" si="114"/>
        <v>209.93303087606031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51361.981213770348</v>
      </c>
      <c r="AM98" t="s">
        <v>416</v>
      </c>
      <c r="AN98">
        <v>10366.9</v>
      </c>
      <c r="AO98">
        <v>993.59653846153856</v>
      </c>
      <c r="AP98">
        <v>3431.87</v>
      </c>
      <c r="AQ98">
        <f t="shared" si="118"/>
        <v>0.71047955241266758</v>
      </c>
      <c r="AR98">
        <v>-3.9894345373445681</v>
      </c>
      <c r="AS98" t="s">
        <v>835</v>
      </c>
      <c r="AT98">
        <v>10418.6</v>
      </c>
      <c r="AU98">
        <v>840.94284000000005</v>
      </c>
      <c r="AV98">
        <v>1166.995600743016</v>
      </c>
      <c r="AW98">
        <f t="shared" si="119"/>
        <v>0.27939502131406579</v>
      </c>
      <c r="AX98">
        <v>0.5</v>
      </c>
      <c r="AY98">
        <f t="shared" si="120"/>
        <v>1513.3190993221492</v>
      </c>
      <c r="AZ98">
        <f t="shared" si="121"/>
        <v>43.025803552313491</v>
      </c>
      <c r="BA98">
        <f t="shared" si="122"/>
        <v>211.40691100504736</v>
      </c>
      <c r="BB98">
        <f t="shared" si="123"/>
        <v>3.1067630158581407E-2</v>
      </c>
      <c r="BC98">
        <f t="shared" si="124"/>
        <v>1.9407737251236921</v>
      </c>
      <c r="BD98">
        <f t="shared" si="125"/>
        <v>636.14863977904417</v>
      </c>
      <c r="BE98" t="s">
        <v>836</v>
      </c>
      <c r="BF98">
        <v>638.12</v>
      </c>
      <c r="BG98">
        <f t="shared" si="126"/>
        <v>638.12</v>
      </c>
      <c r="BH98">
        <f t="shared" si="127"/>
        <v>0.45319416834672344</v>
      </c>
      <c r="BI98">
        <f t="shared" si="128"/>
        <v>0.6165018017184859</v>
      </c>
      <c r="BJ98">
        <f t="shared" si="129"/>
        <v>0.81069329727319339</v>
      </c>
      <c r="BK98">
        <f t="shared" si="130"/>
        <v>1.8803605766548892</v>
      </c>
      <c r="BL98">
        <f t="shared" si="131"/>
        <v>0.92888448936647605</v>
      </c>
      <c r="BM98">
        <f t="shared" si="132"/>
        <v>0.46781078451491448</v>
      </c>
      <c r="BN98">
        <f t="shared" si="133"/>
        <v>0.53218921548508558</v>
      </c>
      <c r="BO98">
        <v>7710</v>
      </c>
      <c r="BP98">
        <v>290.00000000000011</v>
      </c>
      <c r="BQ98">
        <v>1082.17</v>
      </c>
      <c r="BR98">
        <v>165</v>
      </c>
      <c r="BS98">
        <v>10418.6</v>
      </c>
      <c r="BT98">
        <v>1078.71</v>
      </c>
      <c r="BU98">
        <v>3.46</v>
      </c>
      <c r="BV98">
        <v>300.00000000000011</v>
      </c>
      <c r="BW98">
        <v>38.200000000000003</v>
      </c>
      <c r="BX98">
        <v>1166.995600743016</v>
      </c>
      <c r="BY98">
        <v>1.056723894569793</v>
      </c>
      <c r="BZ98">
        <v>-91.979836355914102</v>
      </c>
      <c r="CA98">
        <v>0.90105673679592313</v>
      </c>
      <c r="CB98">
        <v>0.99732014292201987</v>
      </c>
      <c r="CC98">
        <v>-1.131193904338154E-2</v>
      </c>
      <c r="CD98">
        <v>289.99999999999989</v>
      </c>
      <c r="CE98">
        <v>1071.47</v>
      </c>
      <c r="CF98">
        <v>655</v>
      </c>
      <c r="CG98">
        <v>10394.4</v>
      </c>
      <c r="CH98">
        <v>1078.51</v>
      </c>
      <c r="CI98">
        <v>-7.04</v>
      </c>
      <c r="CW98">
        <f t="shared" si="134"/>
        <v>1800.16</v>
      </c>
      <c r="CX98">
        <f t="shared" si="135"/>
        <v>1513.3190993221492</v>
      </c>
      <c r="CY98">
        <f t="shared" si="136"/>
        <v>0.84065810779161243</v>
      </c>
      <c r="CZ98">
        <f t="shared" si="137"/>
        <v>0.19131621558322479</v>
      </c>
      <c r="DA98">
        <v>6</v>
      </c>
      <c r="DB98">
        <v>0.5</v>
      </c>
      <c r="DC98" t="s">
        <v>419</v>
      </c>
      <c r="DD98">
        <v>2</v>
      </c>
      <c r="DE98">
        <v>1693341169.5</v>
      </c>
      <c r="DF98">
        <v>843.11599999999999</v>
      </c>
      <c r="DG98">
        <v>900.096</v>
      </c>
      <c r="DH98">
        <v>29.103100000000001</v>
      </c>
      <c r="DI98">
        <v>22.913900000000002</v>
      </c>
      <c r="DJ98">
        <v>842.50800000000004</v>
      </c>
      <c r="DK98">
        <v>28.848400000000002</v>
      </c>
      <c r="DL98">
        <v>500.24799999999999</v>
      </c>
      <c r="DM98">
        <v>98.826599999999999</v>
      </c>
      <c r="DN98">
        <v>0.100434</v>
      </c>
      <c r="DO98">
        <v>30.614599999999999</v>
      </c>
      <c r="DP98">
        <v>30.021000000000001</v>
      </c>
      <c r="DQ98">
        <v>999.9</v>
      </c>
      <c r="DR98">
        <v>0</v>
      </c>
      <c r="DS98">
        <v>0</v>
      </c>
      <c r="DT98">
        <v>9945</v>
      </c>
      <c r="DU98">
        <v>0</v>
      </c>
      <c r="DV98">
        <v>1172.1500000000001</v>
      </c>
      <c r="DW98">
        <v>-56.979399999999998</v>
      </c>
      <c r="DX98">
        <v>868.38900000000001</v>
      </c>
      <c r="DY98">
        <v>921.20399999999995</v>
      </c>
      <c r="DZ98">
        <v>6.1891400000000001</v>
      </c>
      <c r="EA98">
        <v>900.096</v>
      </c>
      <c r="EB98">
        <v>22.913900000000002</v>
      </c>
      <c r="EC98">
        <v>2.87616</v>
      </c>
      <c r="ED98">
        <v>2.26451</v>
      </c>
      <c r="EE98">
        <v>23.3278</v>
      </c>
      <c r="EF98">
        <v>19.426100000000002</v>
      </c>
      <c r="EG98">
        <v>1800.16</v>
      </c>
      <c r="EH98">
        <v>0.97800299999999996</v>
      </c>
      <c r="EI98">
        <v>2.19968E-2</v>
      </c>
      <c r="EJ98">
        <v>0</v>
      </c>
      <c r="EK98">
        <v>841.17600000000004</v>
      </c>
      <c r="EL98">
        <v>5.0010300000000001</v>
      </c>
      <c r="EM98">
        <v>15859</v>
      </c>
      <c r="EN98">
        <v>14702.4</v>
      </c>
      <c r="EO98">
        <v>49.125</v>
      </c>
      <c r="EP98">
        <v>50.75</v>
      </c>
      <c r="EQ98">
        <v>50.561999999999998</v>
      </c>
      <c r="ER98">
        <v>49.75</v>
      </c>
      <c r="ES98">
        <v>50.686999999999998</v>
      </c>
      <c r="ET98">
        <v>1755.67</v>
      </c>
      <c r="EU98">
        <v>39.49</v>
      </c>
      <c r="EV98">
        <v>0</v>
      </c>
      <c r="EW98">
        <v>103.7999999523163</v>
      </c>
      <c r="EX98">
        <v>0</v>
      </c>
      <c r="EY98">
        <v>840.94284000000005</v>
      </c>
      <c r="EZ98">
        <v>-0.95553846411156484</v>
      </c>
      <c r="FA98">
        <v>-42.169230743446889</v>
      </c>
      <c r="FB98">
        <v>15863.972</v>
      </c>
      <c r="FC98">
        <v>15</v>
      </c>
      <c r="FD98">
        <v>1693341136.5</v>
      </c>
      <c r="FE98" t="s">
        <v>837</v>
      </c>
      <c r="FF98">
        <v>1693341126</v>
      </c>
      <c r="FG98">
        <v>1693341136.5</v>
      </c>
      <c r="FH98">
        <v>91</v>
      </c>
      <c r="FI98">
        <v>0.114</v>
      </c>
      <c r="FJ98">
        <v>1E-3</v>
      </c>
      <c r="FK98">
        <v>0.60799999999999998</v>
      </c>
      <c r="FL98">
        <v>0.10299999999999999</v>
      </c>
      <c r="FM98">
        <v>900</v>
      </c>
      <c r="FN98">
        <v>23</v>
      </c>
      <c r="FO98">
        <v>0.16</v>
      </c>
      <c r="FP98">
        <v>0.02</v>
      </c>
      <c r="FQ98">
        <v>42.907650396169473</v>
      </c>
      <c r="FR98">
        <v>-0.6368044591583375</v>
      </c>
      <c r="FS98">
        <v>0.14037479847002621</v>
      </c>
      <c r="FT98">
        <v>1</v>
      </c>
      <c r="FU98">
        <v>0.40001967942231892</v>
      </c>
      <c r="FV98">
        <v>-4.2164294565039423E-2</v>
      </c>
      <c r="FW98">
        <v>3.3154094504252341E-3</v>
      </c>
      <c r="FX98">
        <v>1</v>
      </c>
      <c r="FY98">
        <v>2</v>
      </c>
      <c r="FZ98">
        <v>2</v>
      </c>
      <c r="GA98" t="s">
        <v>421</v>
      </c>
      <c r="GB98">
        <v>2.8983599999999998</v>
      </c>
      <c r="GC98">
        <v>2.8179599999999998</v>
      </c>
      <c r="GD98">
        <v>0.15257399999999999</v>
      </c>
      <c r="GE98">
        <v>0.159248</v>
      </c>
      <c r="GF98">
        <v>0.134993</v>
      </c>
      <c r="GG98">
        <v>0.114358</v>
      </c>
      <c r="GH98">
        <v>23462</v>
      </c>
      <c r="GI98">
        <v>23382.1</v>
      </c>
      <c r="GJ98">
        <v>24567.7</v>
      </c>
      <c r="GK98">
        <v>24842.3</v>
      </c>
      <c r="GL98">
        <v>28235.7</v>
      </c>
      <c r="GM98">
        <v>28773.200000000001</v>
      </c>
      <c r="GN98">
        <v>33225.300000000003</v>
      </c>
      <c r="GO98">
        <v>33179.5</v>
      </c>
      <c r="GP98">
        <v>1.9432</v>
      </c>
      <c r="GQ98">
        <v>1.7988999999999999</v>
      </c>
      <c r="GR98">
        <v>2.5108499999999999E-2</v>
      </c>
      <c r="GS98">
        <v>0</v>
      </c>
      <c r="GT98">
        <v>29.612200000000001</v>
      </c>
      <c r="GU98">
        <v>999.9</v>
      </c>
      <c r="GV98">
        <v>47.9</v>
      </c>
      <c r="GW98">
        <v>37.799999999999997</v>
      </c>
      <c r="GX98">
        <v>31.9194</v>
      </c>
      <c r="GY98">
        <v>61.859200000000001</v>
      </c>
      <c r="GZ98">
        <v>25.717099999999999</v>
      </c>
      <c r="HA98">
        <v>1</v>
      </c>
      <c r="HB98">
        <v>0.57560999999999996</v>
      </c>
      <c r="HC98">
        <v>2.94285</v>
      </c>
      <c r="HD98">
        <v>20.1404</v>
      </c>
      <c r="HE98">
        <v>5.2280699999999998</v>
      </c>
      <c r="HF98">
        <v>11.9201</v>
      </c>
      <c r="HG98">
        <v>4.9592000000000001</v>
      </c>
      <c r="HH98">
        <v>3.2881</v>
      </c>
      <c r="HI98">
        <v>9999</v>
      </c>
      <c r="HJ98">
        <v>9999</v>
      </c>
      <c r="HK98">
        <v>9999</v>
      </c>
      <c r="HL98">
        <v>880.7</v>
      </c>
      <c r="HM98">
        <v>1.8808</v>
      </c>
      <c r="HN98">
        <v>1.8780300000000001</v>
      </c>
      <c r="HO98">
        <v>1.8858900000000001</v>
      </c>
      <c r="HP98">
        <v>1.8836999999999999</v>
      </c>
      <c r="HQ98">
        <v>1.88123</v>
      </c>
      <c r="HR98">
        <v>1.8803399999999999</v>
      </c>
      <c r="HS98">
        <v>1.88141</v>
      </c>
      <c r="HT98">
        <v>1.8809199999999999</v>
      </c>
      <c r="HU98">
        <v>5</v>
      </c>
      <c r="HV98">
        <v>0</v>
      </c>
      <c r="HW98">
        <v>0</v>
      </c>
      <c r="HX98">
        <v>0</v>
      </c>
      <c r="HY98" t="s">
        <v>422</v>
      </c>
      <c r="HZ98" t="s">
        <v>423</v>
      </c>
      <c r="IA98" t="s">
        <v>424</v>
      </c>
      <c r="IB98" t="s">
        <v>424</v>
      </c>
      <c r="IC98" t="s">
        <v>424</v>
      </c>
      <c r="ID98" t="s">
        <v>424</v>
      </c>
      <c r="IE98">
        <v>0</v>
      </c>
      <c r="IF98">
        <v>100</v>
      </c>
      <c r="IG98">
        <v>100</v>
      </c>
      <c r="IH98">
        <v>0.60799999999999998</v>
      </c>
      <c r="II98">
        <v>0.25469999999999998</v>
      </c>
      <c r="IJ98">
        <v>-9.3164476359221149E-2</v>
      </c>
      <c r="IK98">
        <v>2.2153513873161218E-3</v>
      </c>
      <c r="IL98">
        <v>-2.2967369670569612E-6</v>
      </c>
      <c r="IM98">
        <v>7.7859689150384122E-10</v>
      </c>
      <c r="IN98">
        <v>-0.14573944060548091</v>
      </c>
      <c r="IO98">
        <v>-4.1434251034592161E-3</v>
      </c>
      <c r="IP98">
        <v>8.3987709687394815E-4</v>
      </c>
      <c r="IQ98">
        <v>-7.4586254598011197E-6</v>
      </c>
      <c r="IR98">
        <v>2</v>
      </c>
      <c r="IS98">
        <v>1930</v>
      </c>
      <c r="IT98">
        <v>2</v>
      </c>
      <c r="IU98">
        <v>41</v>
      </c>
      <c r="IV98">
        <v>0.7</v>
      </c>
      <c r="IW98">
        <v>0.6</v>
      </c>
      <c r="IX98">
        <v>1.89819</v>
      </c>
      <c r="IY98">
        <v>2.50854</v>
      </c>
      <c r="IZ98">
        <v>1.24512</v>
      </c>
      <c r="JA98">
        <v>2.2607400000000002</v>
      </c>
      <c r="JB98">
        <v>1.4501999999999999</v>
      </c>
      <c r="JC98">
        <v>2.4609399999999999</v>
      </c>
      <c r="JD98">
        <v>40.044699999999999</v>
      </c>
      <c r="JE98">
        <v>23.991199999999999</v>
      </c>
      <c r="JF98">
        <v>18</v>
      </c>
      <c r="JG98">
        <v>495.95100000000002</v>
      </c>
      <c r="JH98">
        <v>447.07900000000001</v>
      </c>
      <c r="JI98">
        <v>26.041499999999999</v>
      </c>
      <c r="JJ98">
        <v>34.337299999999999</v>
      </c>
      <c r="JK98">
        <v>30.000399999999999</v>
      </c>
      <c r="JL98">
        <v>34.223999999999997</v>
      </c>
      <c r="JM98">
        <v>34.1753</v>
      </c>
      <c r="JN98">
        <v>38.102400000000003</v>
      </c>
      <c r="JO98">
        <v>34.5854</v>
      </c>
      <c r="JP98">
        <v>0</v>
      </c>
      <c r="JQ98">
        <v>26.049199999999999</v>
      </c>
      <c r="JR98">
        <v>900</v>
      </c>
      <c r="JS98">
        <v>22.95</v>
      </c>
      <c r="JT98">
        <v>99.162700000000001</v>
      </c>
      <c r="JU98">
        <v>99.026499999999999</v>
      </c>
    </row>
    <row r="99" spans="1:281" x14ac:dyDescent="0.25">
      <c r="A99">
        <v>83</v>
      </c>
      <c r="B99">
        <v>1693341278</v>
      </c>
      <c r="C99">
        <v>18564.900000095371</v>
      </c>
      <c r="D99" t="s">
        <v>838</v>
      </c>
      <c r="E99" t="s">
        <v>839</v>
      </c>
      <c r="F99" t="s">
        <v>413</v>
      </c>
      <c r="G99" t="s">
        <v>493</v>
      </c>
      <c r="H99" t="s">
        <v>779</v>
      </c>
      <c r="I99" t="s">
        <v>31</v>
      </c>
      <c r="J99">
        <v>1693341278</v>
      </c>
      <c r="K99">
        <f t="shared" si="92"/>
        <v>5.1180785694751501E-3</v>
      </c>
      <c r="L99">
        <f t="shared" si="93"/>
        <v>5.1180785694751503</v>
      </c>
      <c r="M99">
        <f t="shared" si="94"/>
        <v>42.420469529279188</v>
      </c>
      <c r="N99">
        <f t="shared" si="95"/>
        <v>1142.48</v>
      </c>
      <c r="O99">
        <f t="shared" si="96"/>
        <v>927.55324072433996</v>
      </c>
      <c r="P99">
        <f t="shared" si="97"/>
        <v>91.754067451201706</v>
      </c>
      <c r="Q99">
        <f t="shared" si="98"/>
        <v>113.0147385392</v>
      </c>
      <c r="R99">
        <f t="shared" si="99"/>
        <v>0.37707512299241402</v>
      </c>
      <c r="S99">
        <f t="shared" si="100"/>
        <v>2.9030865023120973</v>
      </c>
      <c r="T99">
        <f t="shared" si="101"/>
        <v>0.35182598469637483</v>
      </c>
      <c r="U99">
        <f t="shared" si="102"/>
        <v>0.22201872895595903</v>
      </c>
      <c r="V99">
        <f t="shared" si="103"/>
        <v>344.34599864443044</v>
      </c>
      <c r="W99">
        <f t="shared" si="104"/>
        <v>31.250721726111333</v>
      </c>
      <c r="X99">
        <f t="shared" si="105"/>
        <v>30.002800000000001</v>
      </c>
      <c r="Y99">
        <f t="shared" si="106"/>
        <v>4.261135027325067</v>
      </c>
      <c r="Z99">
        <f t="shared" si="107"/>
        <v>65.376060477914905</v>
      </c>
      <c r="AA99">
        <f t="shared" si="108"/>
        <v>2.874017585052</v>
      </c>
      <c r="AB99">
        <f t="shared" si="109"/>
        <v>4.3961314952938926</v>
      </c>
      <c r="AC99">
        <f t="shared" si="110"/>
        <v>1.387117442273067</v>
      </c>
      <c r="AD99">
        <f t="shared" si="111"/>
        <v>-225.70726491385412</v>
      </c>
      <c r="AE99">
        <f t="shared" si="112"/>
        <v>85.1577436548328</v>
      </c>
      <c r="AF99">
        <f t="shared" si="113"/>
        <v>6.5401079434035214</v>
      </c>
      <c r="AG99">
        <f t="shared" si="114"/>
        <v>210.33658532881265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51481.751036258771</v>
      </c>
      <c r="AM99" t="s">
        <v>416</v>
      </c>
      <c r="AN99">
        <v>10366.9</v>
      </c>
      <c r="AO99">
        <v>993.59653846153856</v>
      </c>
      <c r="AP99">
        <v>3431.87</v>
      </c>
      <c r="AQ99">
        <f t="shared" si="118"/>
        <v>0.71047955241266758</v>
      </c>
      <c r="AR99">
        <v>-3.9894345373445681</v>
      </c>
      <c r="AS99" t="s">
        <v>840</v>
      </c>
      <c r="AT99">
        <v>10421.9</v>
      </c>
      <c r="AU99">
        <v>837.26448000000005</v>
      </c>
      <c r="AV99">
        <v>1162.8694377712261</v>
      </c>
      <c r="AW99">
        <f t="shared" si="119"/>
        <v>0.28000130297970993</v>
      </c>
      <c r="AX99">
        <v>0.5</v>
      </c>
      <c r="AY99">
        <f t="shared" si="120"/>
        <v>1513.0835993222154</v>
      </c>
      <c r="AZ99">
        <f t="shared" si="121"/>
        <v>42.420469529279188</v>
      </c>
      <c r="BA99">
        <f t="shared" si="122"/>
        <v>211.83268966372484</v>
      </c>
      <c r="BB99">
        <f t="shared" si="123"/>
        <v>3.0672399124154828E-2</v>
      </c>
      <c r="BC99">
        <f t="shared" si="124"/>
        <v>1.9512083545488785</v>
      </c>
      <c r="BD99">
        <f t="shared" si="125"/>
        <v>634.92056673163154</v>
      </c>
      <c r="BE99" t="s">
        <v>841</v>
      </c>
      <c r="BF99">
        <v>637.85</v>
      </c>
      <c r="BG99">
        <f t="shared" si="126"/>
        <v>637.85</v>
      </c>
      <c r="BH99">
        <f t="shared" si="127"/>
        <v>0.45148614342938331</v>
      </c>
      <c r="BI99">
        <f t="shared" si="128"/>
        <v>0.62017695793028216</v>
      </c>
      <c r="BJ99">
        <f t="shared" si="129"/>
        <v>0.81209173958267067</v>
      </c>
      <c r="BK99">
        <f t="shared" si="130"/>
        <v>1.9235504271450237</v>
      </c>
      <c r="BL99">
        <f t="shared" si="131"/>
        <v>0.93057673719547318</v>
      </c>
      <c r="BM99">
        <f t="shared" si="132"/>
        <v>0.47246704245214183</v>
      </c>
      <c r="BN99">
        <f t="shared" si="133"/>
        <v>0.52753295754785823</v>
      </c>
      <c r="BO99">
        <v>7712</v>
      </c>
      <c r="BP99">
        <v>290.00000000000011</v>
      </c>
      <c r="BQ99">
        <v>1076.99</v>
      </c>
      <c r="BR99">
        <v>135</v>
      </c>
      <c r="BS99">
        <v>10421.9</v>
      </c>
      <c r="BT99">
        <v>1074.3399999999999</v>
      </c>
      <c r="BU99">
        <v>2.65</v>
      </c>
      <c r="BV99">
        <v>300.00000000000011</v>
      </c>
      <c r="BW99">
        <v>38.200000000000003</v>
      </c>
      <c r="BX99">
        <v>1162.8694377712261</v>
      </c>
      <c r="BY99">
        <v>1.1545530327484881</v>
      </c>
      <c r="BZ99">
        <v>-92.263152046543581</v>
      </c>
      <c r="CA99">
        <v>0.98429997191891649</v>
      </c>
      <c r="CB99">
        <v>0.9968233118173877</v>
      </c>
      <c r="CC99">
        <v>-1.131006095661847E-2</v>
      </c>
      <c r="CD99">
        <v>289.99999999999989</v>
      </c>
      <c r="CE99">
        <v>1066.77</v>
      </c>
      <c r="CF99">
        <v>685</v>
      </c>
      <c r="CG99">
        <v>10390.200000000001</v>
      </c>
      <c r="CH99">
        <v>1074.07</v>
      </c>
      <c r="CI99">
        <v>-7.3</v>
      </c>
      <c r="CW99">
        <f t="shared" si="134"/>
        <v>1799.88</v>
      </c>
      <c r="CX99">
        <f t="shared" si="135"/>
        <v>1513.0835993222154</v>
      </c>
      <c r="CY99">
        <f t="shared" si="136"/>
        <v>0.84065804349301909</v>
      </c>
      <c r="CZ99">
        <f t="shared" si="137"/>
        <v>0.19131608698603819</v>
      </c>
      <c r="DA99">
        <v>6</v>
      </c>
      <c r="DB99">
        <v>0.5</v>
      </c>
      <c r="DC99" t="s">
        <v>419</v>
      </c>
      <c r="DD99">
        <v>2</v>
      </c>
      <c r="DE99">
        <v>1693341278</v>
      </c>
      <c r="DF99">
        <v>1142.48</v>
      </c>
      <c r="DG99">
        <v>1200.3599999999999</v>
      </c>
      <c r="DH99">
        <v>29.053799999999999</v>
      </c>
      <c r="DI99">
        <v>23.094799999999999</v>
      </c>
      <c r="DJ99">
        <v>1141.8</v>
      </c>
      <c r="DK99">
        <v>28.8018</v>
      </c>
      <c r="DL99">
        <v>500.35700000000003</v>
      </c>
      <c r="DM99">
        <v>98.820300000000003</v>
      </c>
      <c r="DN99">
        <v>0.10024</v>
      </c>
      <c r="DO99">
        <v>30.546900000000001</v>
      </c>
      <c r="DP99">
        <v>30.002800000000001</v>
      </c>
      <c r="DQ99">
        <v>999.9</v>
      </c>
      <c r="DR99">
        <v>0</v>
      </c>
      <c r="DS99">
        <v>0</v>
      </c>
      <c r="DT99">
        <v>9967.5</v>
      </c>
      <c r="DU99">
        <v>0</v>
      </c>
      <c r="DV99">
        <v>1200.03</v>
      </c>
      <c r="DW99">
        <v>-57.887</v>
      </c>
      <c r="DX99">
        <v>1176.6600000000001</v>
      </c>
      <c r="DY99">
        <v>1228.74</v>
      </c>
      <c r="DZ99">
        <v>5.9589499999999997</v>
      </c>
      <c r="EA99">
        <v>1200.3599999999999</v>
      </c>
      <c r="EB99">
        <v>23.094799999999999</v>
      </c>
      <c r="EC99">
        <v>2.8711000000000002</v>
      </c>
      <c r="ED99">
        <v>2.2822399999999998</v>
      </c>
      <c r="EE99">
        <v>23.2987</v>
      </c>
      <c r="EF99">
        <v>19.551600000000001</v>
      </c>
      <c r="EG99">
        <v>1799.88</v>
      </c>
      <c r="EH99">
        <v>0.97800299999999996</v>
      </c>
      <c r="EI99">
        <v>2.1996700000000001E-2</v>
      </c>
      <c r="EJ99">
        <v>0</v>
      </c>
      <c r="EK99">
        <v>837.18499999999995</v>
      </c>
      <c r="EL99">
        <v>5.0010300000000001</v>
      </c>
      <c r="EM99">
        <v>15783.7</v>
      </c>
      <c r="EN99">
        <v>14700.1</v>
      </c>
      <c r="EO99">
        <v>49.25</v>
      </c>
      <c r="EP99">
        <v>51</v>
      </c>
      <c r="EQ99">
        <v>50.811999999999998</v>
      </c>
      <c r="ER99">
        <v>49.936999999999998</v>
      </c>
      <c r="ES99">
        <v>50.875</v>
      </c>
      <c r="ET99">
        <v>1755.4</v>
      </c>
      <c r="EU99">
        <v>39.479999999999997</v>
      </c>
      <c r="EV99">
        <v>0</v>
      </c>
      <c r="EW99">
        <v>106.7999999523163</v>
      </c>
      <c r="EX99">
        <v>0</v>
      </c>
      <c r="EY99">
        <v>837.26448000000005</v>
      </c>
      <c r="EZ99">
        <v>-0.83646154713992249</v>
      </c>
      <c r="FA99">
        <v>-66.315384612080791</v>
      </c>
      <c r="FB99">
        <v>15791.58</v>
      </c>
      <c r="FC99">
        <v>15</v>
      </c>
      <c r="FD99">
        <v>1693341247</v>
      </c>
      <c r="FE99" t="s">
        <v>842</v>
      </c>
      <c r="FF99">
        <v>1693341247</v>
      </c>
      <c r="FG99">
        <v>1693341246.5</v>
      </c>
      <c r="FH99">
        <v>92</v>
      </c>
      <c r="FI99">
        <v>0.08</v>
      </c>
      <c r="FJ99">
        <v>-1E-3</v>
      </c>
      <c r="FK99">
        <v>0.68200000000000005</v>
      </c>
      <c r="FL99">
        <v>0.10299999999999999</v>
      </c>
      <c r="FM99">
        <v>1200</v>
      </c>
      <c r="FN99">
        <v>23</v>
      </c>
      <c r="FO99">
        <v>0.13</v>
      </c>
      <c r="FP99">
        <v>0.04</v>
      </c>
      <c r="FQ99">
        <v>42.10536375870921</v>
      </c>
      <c r="FR99">
        <v>0.37641536137040599</v>
      </c>
      <c r="FS99">
        <v>0.19523260309232171</v>
      </c>
      <c r="FT99">
        <v>1</v>
      </c>
      <c r="FU99">
        <v>0.3825192669926753</v>
      </c>
      <c r="FV99">
        <v>-9.6359912590311646E-3</v>
      </c>
      <c r="FW99">
        <v>2.0592371792956892E-3</v>
      </c>
      <c r="FX99">
        <v>1</v>
      </c>
      <c r="FY99">
        <v>2</v>
      </c>
      <c r="FZ99">
        <v>2</v>
      </c>
      <c r="GA99" t="s">
        <v>421</v>
      </c>
      <c r="GB99">
        <v>2.8985699999999999</v>
      </c>
      <c r="GC99">
        <v>2.8179699999999999</v>
      </c>
      <c r="GD99">
        <v>0.18531600000000001</v>
      </c>
      <c r="GE99">
        <v>0.191057</v>
      </c>
      <c r="GF99">
        <v>0.134829</v>
      </c>
      <c r="GG99">
        <v>0.114968</v>
      </c>
      <c r="GH99">
        <v>22552</v>
      </c>
      <c r="GI99">
        <v>22494.5</v>
      </c>
      <c r="GJ99">
        <v>24565.5</v>
      </c>
      <c r="GK99">
        <v>24840.799999999999</v>
      </c>
      <c r="GL99">
        <v>28238.400000000001</v>
      </c>
      <c r="GM99">
        <v>28751.3</v>
      </c>
      <c r="GN99">
        <v>33221.9</v>
      </c>
      <c r="GO99">
        <v>33177.1</v>
      </c>
      <c r="GP99">
        <v>1.9428000000000001</v>
      </c>
      <c r="GQ99">
        <v>1.7995000000000001</v>
      </c>
      <c r="GR99">
        <v>2.1010600000000001E-2</v>
      </c>
      <c r="GS99">
        <v>0</v>
      </c>
      <c r="GT99">
        <v>29.660799999999998</v>
      </c>
      <c r="GU99">
        <v>999.9</v>
      </c>
      <c r="GV99">
        <v>48.1</v>
      </c>
      <c r="GW99">
        <v>37.700000000000003</v>
      </c>
      <c r="GX99">
        <v>31.8794</v>
      </c>
      <c r="GY99">
        <v>61.999200000000002</v>
      </c>
      <c r="GZ99">
        <v>25.685099999999998</v>
      </c>
      <c r="HA99">
        <v>1</v>
      </c>
      <c r="HB99">
        <v>0.57750000000000001</v>
      </c>
      <c r="HC99">
        <v>2.71495</v>
      </c>
      <c r="HD99">
        <v>20.145099999999999</v>
      </c>
      <c r="HE99">
        <v>5.2352600000000002</v>
      </c>
      <c r="HF99">
        <v>11.9201</v>
      </c>
      <c r="HG99">
        <v>4.9603999999999999</v>
      </c>
      <c r="HH99">
        <v>3.2890000000000001</v>
      </c>
      <c r="HI99">
        <v>9999</v>
      </c>
      <c r="HJ99">
        <v>9999</v>
      </c>
      <c r="HK99">
        <v>9999</v>
      </c>
      <c r="HL99">
        <v>880.7</v>
      </c>
      <c r="HM99">
        <v>1.8808</v>
      </c>
      <c r="HN99">
        <v>1.87799</v>
      </c>
      <c r="HO99">
        <v>1.8858900000000001</v>
      </c>
      <c r="HP99">
        <v>1.8836999999999999</v>
      </c>
      <c r="HQ99">
        <v>1.88124</v>
      </c>
      <c r="HR99">
        <v>1.88026</v>
      </c>
      <c r="HS99">
        <v>1.88141</v>
      </c>
      <c r="HT99">
        <v>1.88086</v>
      </c>
      <c r="HU99">
        <v>5</v>
      </c>
      <c r="HV99">
        <v>0</v>
      </c>
      <c r="HW99">
        <v>0</v>
      </c>
      <c r="HX99">
        <v>0</v>
      </c>
      <c r="HY99" t="s">
        <v>422</v>
      </c>
      <c r="HZ99" t="s">
        <v>423</v>
      </c>
      <c r="IA99" t="s">
        <v>424</v>
      </c>
      <c r="IB99" t="s">
        <v>424</v>
      </c>
      <c r="IC99" t="s">
        <v>424</v>
      </c>
      <c r="ID99" t="s">
        <v>424</v>
      </c>
      <c r="IE99">
        <v>0</v>
      </c>
      <c r="IF99">
        <v>100</v>
      </c>
      <c r="IG99">
        <v>100</v>
      </c>
      <c r="IH99">
        <v>0.68</v>
      </c>
      <c r="II99">
        <v>0.252</v>
      </c>
      <c r="IJ99">
        <v>-1.401286894297565E-2</v>
      </c>
      <c r="IK99">
        <v>2.2153513873161218E-3</v>
      </c>
      <c r="IL99">
        <v>-2.2967369670569612E-6</v>
      </c>
      <c r="IM99">
        <v>7.7859689150384122E-10</v>
      </c>
      <c r="IN99">
        <v>-0.14717050308219101</v>
      </c>
      <c r="IO99">
        <v>-4.1434251034592161E-3</v>
      </c>
      <c r="IP99">
        <v>8.3987709687394815E-4</v>
      </c>
      <c r="IQ99">
        <v>-7.4586254598011197E-6</v>
      </c>
      <c r="IR99">
        <v>2</v>
      </c>
      <c r="IS99">
        <v>1930</v>
      </c>
      <c r="IT99">
        <v>2</v>
      </c>
      <c r="IU99">
        <v>41</v>
      </c>
      <c r="IV99">
        <v>0.5</v>
      </c>
      <c r="IW99">
        <v>0.5</v>
      </c>
      <c r="IX99">
        <v>2.3962400000000001</v>
      </c>
      <c r="IY99">
        <v>2.49634</v>
      </c>
      <c r="IZ99">
        <v>1.24512</v>
      </c>
      <c r="JA99">
        <v>2.2607400000000002</v>
      </c>
      <c r="JB99">
        <v>1.4501999999999999</v>
      </c>
      <c r="JC99">
        <v>2.4389599999999998</v>
      </c>
      <c r="JD99">
        <v>39.968899999999998</v>
      </c>
      <c r="JE99">
        <v>23.9999</v>
      </c>
      <c r="JF99">
        <v>18</v>
      </c>
      <c r="JG99">
        <v>495.85300000000001</v>
      </c>
      <c r="JH99">
        <v>447.62900000000002</v>
      </c>
      <c r="JI99">
        <v>26.138100000000001</v>
      </c>
      <c r="JJ99">
        <v>34.374699999999997</v>
      </c>
      <c r="JK99">
        <v>30.000399999999999</v>
      </c>
      <c r="JL99">
        <v>34.245800000000003</v>
      </c>
      <c r="JM99">
        <v>34.193899999999999</v>
      </c>
      <c r="JN99">
        <v>48.061799999999998</v>
      </c>
      <c r="JO99">
        <v>34.113</v>
      </c>
      <c r="JP99">
        <v>0</v>
      </c>
      <c r="JQ99">
        <v>26.130500000000001</v>
      </c>
      <c r="JR99">
        <v>1200</v>
      </c>
      <c r="JS99">
        <v>23.071999999999999</v>
      </c>
      <c r="JT99">
        <v>99.153099999999995</v>
      </c>
      <c r="JU99">
        <v>99.0197</v>
      </c>
    </row>
    <row r="100" spans="1:281" x14ac:dyDescent="0.25">
      <c r="A100">
        <v>84</v>
      </c>
      <c r="B100">
        <v>1693341394.5</v>
      </c>
      <c r="C100">
        <v>18681.400000095371</v>
      </c>
      <c r="D100" t="s">
        <v>843</v>
      </c>
      <c r="E100" t="s">
        <v>844</v>
      </c>
      <c r="F100" t="s">
        <v>413</v>
      </c>
      <c r="G100" t="s">
        <v>493</v>
      </c>
      <c r="H100" t="s">
        <v>779</v>
      </c>
      <c r="I100" t="s">
        <v>31</v>
      </c>
      <c r="J100">
        <v>1693341394.5</v>
      </c>
      <c r="K100">
        <f t="shared" si="92"/>
        <v>4.7385204076098291E-3</v>
      </c>
      <c r="L100">
        <f t="shared" si="93"/>
        <v>4.7385204076098288</v>
      </c>
      <c r="M100">
        <f t="shared" si="94"/>
        <v>41.388014196376389</v>
      </c>
      <c r="N100">
        <f t="shared" si="95"/>
        <v>1441.96</v>
      </c>
      <c r="O100">
        <f t="shared" si="96"/>
        <v>1207.8413109140645</v>
      </c>
      <c r="P100">
        <f t="shared" si="97"/>
        <v>119.4751850078797</v>
      </c>
      <c r="Q100">
        <f t="shared" si="98"/>
        <v>142.63333785428</v>
      </c>
      <c r="R100">
        <f t="shared" si="99"/>
        <v>0.34401611871263793</v>
      </c>
      <c r="S100">
        <f t="shared" si="100"/>
        <v>2.906951395154687</v>
      </c>
      <c r="T100">
        <f t="shared" si="101"/>
        <v>0.32289329393639848</v>
      </c>
      <c r="U100">
        <f t="shared" si="102"/>
        <v>0.20359794075567733</v>
      </c>
      <c r="V100">
        <f t="shared" si="103"/>
        <v>344.41059864468644</v>
      </c>
      <c r="W100">
        <f t="shared" si="104"/>
        <v>31.333422904816484</v>
      </c>
      <c r="X100">
        <f t="shared" si="105"/>
        <v>30.0091</v>
      </c>
      <c r="Y100">
        <f t="shared" si="106"/>
        <v>4.2626772020649577</v>
      </c>
      <c r="Z100">
        <f t="shared" si="107"/>
        <v>65.193044825512487</v>
      </c>
      <c r="AA100">
        <f t="shared" si="108"/>
        <v>2.8633497167295996</v>
      </c>
      <c r="AB100">
        <f t="shared" si="109"/>
        <v>4.3921091956868743</v>
      </c>
      <c r="AC100">
        <f t="shared" si="110"/>
        <v>1.3993274853353581</v>
      </c>
      <c r="AD100">
        <f t="shared" si="111"/>
        <v>-208.96874997559345</v>
      </c>
      <c r="AE100">
        <f t="shared" si="112"/>
        <v>81.77626829460921</v>
      </c>
      <c r="AF100">
        <f t="shared" si="113"/>
        <v>6.2717595696957131</v>
      </c>
      <c r="AG100">
        <f t="shared" si="114"/>
        <v>223.48987653339788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51593.846201525288</v>
      </c>
      <c r="AM100" t="s">
        <v>416</v>
      </c>
      <c r="AN100">
        <v>10366.9</v>
      </c>
      <c r="AO100">
        <v>993.59653846153856</v>
      </c>
      <c r="AP100">
        <v>3431.87</v>
      </c>
      <c r="AQ100">
        <f t="shared" si="118"/>
        <v>0.71047955241266758</v>
      </c>
      <c r="AR100">
        <v>-3.9894345373445681</v>
      </c>
      <c r="AS100" t="s">
        <v>845</v>
      </c>
      <c r="AT100">
        <v>10412.200000000001</v>
      </c>
      <c r="AU100">
        <v>833.45727999999986</v>
      </c>
      <c r="AV100">
        <v>1155.0816565836301</v>
      </c>
      <c r="AW100">
        <f t="shared" si="119"/>
        <v>0.27844297825219944</v>
      </c>
      <c r="AX100">
        <v>0.5</v>
      </c>
      <c r="AY100">
        <f t="shared" si="120"/>
        <v>1513.3691993223431</v>
      </c>
      <c r="AZ100">
        <f t="shared" si="121"/>
        <v>41.388014196376389</v>
      </c>
      <c r="BA100">
        <f t="shared" si="122"/>
        <v>210.69351352722981</v>
      </c>
      <c r="BB100">
        <f t="shared" si="123"/>
        <v>2.9984387652424855E-2</v>
      </c>
      <c r="BC100">
        <f t="shared" si="124"/>
        <v>1.9711059650539311</v>
      </c>
      <c r="BD100">
        <f t="shared" si="125"/>
        <v>632.59186912008954</v>
      </c>
      <c r="BE100" t="s">
        <v>846</v>
      </c>
      <c r="BF100">
        <v>634.25</v>
      </c>
      <c r="BG100">
        <f t="shared" si="126"/>
        <v>634.25</v>
      </c>
      <c r="BH100">
        <f t="shared" si="127"/>
        <v>0.45090462099804018</v>
      </c>
      <c r="BI100">
        <f t="shared" si="128"/>
        <v>0.61752079106195212</v>
      </c>
      <c r="BJ100">
        <f t="shared" si="129"/>
        <v>0.81383044995974063</v>
      </c>
      <c r="BK100">
        <f t="shared" si="130"/>
        <v>1.9916657356652809</v>
      </c>
      <c r="BL100">
        <f t="shared" si="131"/>
        <v>0.93377071084545182</v>
      </c>
      <c r="BM100">
        <f t="shared" si="132"/>
        <v>0.46992517928578559</v>
      </c>
      <c r="BN100">
        <f t="shared" si="133"/>
        <v>0.53007482071421441</v>
      </c>
      <c r="BO100">
        <v>7714</v>
      </c>
      <c r="BP100">
        <v>290.00000000000011</v>
      </c>
      <c r="BQ100">
        <v>1070.54</v>
      </c>
      <c r="BR100">
        <v>185</v>
      </c>
      <c r="BS100">
        <v>10412.200000000001</v>
      </c>
      <c r="BT100">
        <v>1068.3900000000001</v>
      </c>
      <c r="BU100">
        <v>2.15</v>
      </c>
      <c r="BV100">
        <v>300.00000000000011</v>
      </c>
      <c r="BW100">
        <v>38.299999999999997</v>
      </c>
      <c r="BX100">
        <v>1155.0816565836301</v>
      </c>
      <c r="BY100">
        <v>1.0332666924712131</v>
      </c>
      <c r="BZ100">
        <v>-90.266472425646072</v>
      </c>
      <c r="CA100">
        <v>0.88076600494942325</v>
      </c>
      <c r="CB100">
        <v>0.99734129605954225</v>
      </c>
      <c r="CC100">
        <v>-1.1308543047830929E-2</v>
      </c>
      <c r="CD100">
        <v>289.99999999999989</v>
      </c>
      <c r="CE100">
        <v>1062.3900000000001</v>
      </c>
      <c r="CF100">
        <v>645</v>
      </c>
      <c r="CG100">
        <v>10391.799999999999</v>
      </c>
      <c r="CH100">
        <v>1068.22</v>
      </c>
      <c r="CI100">
        <v>-5.83</v>
      </c>
      <c r="CW100">
        <f t="shared" si="134"/>
        <v>1800.22</v>
      </c>
      <c r="CX100">
        <f t="shared" si="135"/>
        <v>1513.3691993223431</v>
      </c>
      <c r="CY100">
        <f t="shared" si="136"/>
        <v>0.84065791921117594</v>
      </c>
      <c r="CZ100">
        <f t="shared" si="137"/>
        <v>0.19131583842235195</v>
      </c>
      <c r="DA100">
        <v>6</v>
      </c>
      <c r="DB100">
        <v>0.5</v>
      </c>
      <c r="DC100" t="s">
        <v>419</v>
      </c>
      <c r="DD100">
        <v>2</v>
      </c>
      <c r="DE100">
        <v>1693341394.5</v>
      </c>
      <c r="DF100">
        <v>1441.96</v>
      </c>
      <c r="DG100">
        <v>1499.81</v>
      </c>
      <c r="DH100">
        <v>28.947199999999999</v>
      </c>
      <c r="DI100">
        <v>23.427</v>
      </c>
      <c r="DJ100">
        <v>1441.38</v>
      </c>
      <c r="DK100">
        <v>28.700199999999999</v>
      </c>
      <c r="DL100">
        <v>500.12900000000002</v>
      </c>
      <c r="DM100">
        <v>98.816199999999995</v>
      </c>
      <c r="DN100">
        <v>0.100093</v>
      </c>
      <c r="DO100">
        <v>30.530899999999999</v>
      </c>
      <c r="DP100">
        <v>30.0091</v>
      </c>
      <c r="DQ100">
        <v>999.9</v>
      </c>
      <c r="DR100">
        <v>0</v>
      </c>
      <c r="DS100">
        <v>0</v>
      </c>
      <c r="DT100">
        <v>9990</v>
      </c>
      <c r="DU100">
        <v>0</v>
      </c>
      <c r="DV100">
        <v>1172.8499999999999</v>
      </c>
      <c r="DW100">
        <v>-57.8489</v>
      </c>
      <c r="DX100">
        <v>1484.94</v>
      </c>
      <c r="DY100">
        <v>1535.79</v>
      </c>
      <c r="DZ100">
        <v>5.5202400000000003</v>
      </c>
      <c r="EA100">
        <v>1499.81</v>
      </c>
      <c r="EB100">
        <v>23.427</v>
      </c>
      <c r="EC100">
        <v>2.8604500000000002</v>
      </c>
      <c r="ED100">
        <v>2.3149600000000001</v>
      </c>
      <c r="EE100">
        <v>23.237200000000001</v>
      </c>
      <c r="EF100">
        <v>19.780899999999999</v>
      </c>
      <c r="EG100">
        <v>1800.22</v>
      </c>
      <c r="EH100">
        <v>0.97801000000000005</v>
      </c>
      <c r="EI100">
        <v>2.1989499999999999E-2</v>
      </c>
      <c r="EJ100">
        <v>0</v>
      </c>
      <c r="EK100">
        <v>833.45699999999999</v>
      </c>
      <c r="EL100">
        <v>5.0010300000000001</v>
      </c>
      <c r="EM100">
        <v>15723.4</v>
      </c>
      <c r="EN100">
        <v>14702.9</v>
      </c>
      <c r="EO100">
        <v>49.561999999999998</v>
      </c>
      <c r="EP100">
        <v>51.186999999999998</v>
      </c>
      <c r="EQ100">
        <v>50.936999999999998</v>
      </c>
      <c r="ER100">
        <v>50.125</v>
      </c>
      <c r="ES100">
        <v>51</v>
      </c>
      <c r="ET100">
        <v>1755.74</v>
      </c>
      <c r="EU100">
        <v>39.479999999999997</v>
      </c>
      <c r="EV100">
        <v>0</v>
      </c>
      <c r="EW100">
        <v>114.5999999046326</v>
      </c>
      <c r="EX100">
        <v>0</v>
      </c>
      <c r="EY100">
        <v>833.45727999999986</v>
      </c>
      <c r="EZ100">
        <v>-0.87530770402036706</v>
      </c>
      <c r="FA100">
        <v>-23.661538542409719</v>
      </c>
      <c r="FB100">
        <v>15724.987999999999</v>
      </c>
      <c r="FC100">
        <v>15</v>
      </c>
      <c r="FD100">
        <v>1693341357.5</v>
      </c>
      <c r="FE100" t="s">
        <v>847</v>
      </c>
      <c r="FF100">
        <v>1693341357.5</v>
      </c>
      <c r="FG100">
        <v>1693341356</v>
      </c>
      <c r="FH100">
        <v>93</v>
      </c>
      <c r="FI100">
        <v>-0.156</v>
      </c>
      <c r="FJ100">
        <v>-2E-3</v>
      </c>
      <c r="FK100">
        <v>0.61199999999999999</v>
      </c>
      <c r="FL100">
        <v>0.109</v>
      </c>
      <c r="FM100">
        <v>1500</v>
      </c>
      <c r="FN100">
        <v>23</v>
      </c>
      <c r="FO100">
        <v>0.12</v>
      </c>
      <c r="FP100">
        <v>0.06</v>
      </c>
      <c r="FQ100">
        <v>41.419406586031499</v>
      </c>
      <c r="FR100">
        <v>-8.7640332878017285E-2</v>
      </c>
      <c r="FS100">
        <v>0.1843857087861526</v>
      </c>
      <c r="FT100">
        <v>1</v>
      </c>
      <c r="FU100">
        <v>0.34813121435233241</v>
      </c>
      <c r="FV100">
        <v>-4.8664147405255348E-2</v>
      </c>
      <c r="FW100">
        <v>3.6822775475308322E-3</v>
      </c>
      <c r="FX100">
        <v>1</v>
      </c>
      <c r="FY100">
        <v>2</v>
      </c>
      <c r="FZ100">
        <v>2</v>
      </c>
      <c r="GA100" t="s">
        <v>421</v>
      </c>
      <c r="GB100">
        <v>2.8978700000000002</v>
      </c>
      <c r="GC100">
        <v>2.8180100000000001</v>
      </c>
      <c r="GD100">
        <v>0.213612</v>
      </c>
      <c r="GE100">
        <v>0.21859300000000001</v>
      </c>
      <c r="GF100">
        <v>0.134487</v>
      </c>
      <c r="GG100">
        <v>0.116091</v>
      </c>
      <c r="GH100">
        <v>21765</v>
      </c>
      <c r="GI100">
        <v>21723.599999999999</v>
      </c>
      <c r="GJ100">
        <v>24563.5</v>
      </c>
      <c r="GK100">
        <v>24837</v>
      </c>
      <c r="GL100">
        <v>28247.599999999999</v>
      </c>
      <c r="GM100">
        <v>28710.3</v>
      </c>
      <c r="GN100">
        <v>33219.300000000003</v>
      </c>
      <c r="GO100">
        <v>33171.9</v>
      </c>
      <c r="GP100">
        <v>1.9413</v>
      </c>
      <c r="GQ100">
        <v>1.8015000000000001</v>
      </c>
      <c r="GR100">
        <v>1.5720700000000001E-2</v>
      </c>
      <c r="GS100">
        <v>0</v>
      </c>
      <c r="GT100">
        <v>29.7532</v>
      </c>
      <c r="GU100">
        <v>999.9</v>
      </c>
      <c r="GV100">
        <v>48.2</v>
      </c>
      <c r="GW100">
        <v>37.6</v>
      </c>
      <c r="GX100">
        <v>31.774999999999999</v>
      </c>
      <c r="GY100">
        <v>62.099200000000003</v>
      </c>
      <c r="GZ100">
        <v>25.705100000000002</v>
      </c>
      <c r="HA100">
        <v>1</v>
      </c>
      <c r="HB100">
        <v>0.58545700000000001</v>
      </c>
      <c r="HC100">
        <v>3.3105899999999999</v>
      </c>
      <c r="HD100">
        <v>20.135000000000002</v>
      </c>
      <c r="HE100">
        <v>5.2340600000000004</v>
      </c>
      <c r="HF100">
        <v>11.9207</v>
      </c>
      <c r="HG100">
        <v>4.96</v>
      </c>
      <c r="HH100">
        <v>3.2890000000000001</v>
      </c>
      <c r="HI100">
        <v>9999</v>
      </c>
      <c r="HJ100">
        <v>9999</v>
      </c>
      <c r="HK100">
        <v>9999</v>
      </c>
      <c r="HL100">
        <v>880.7</v>
      </c>
      <c r="HM100">
        <v>1.8808</v>
      </c>
      <c r="HN100">
        <v>1.8778999999999999</v>
      </c>
      <c r="HO100">
        <v>1.8858299999999999</v>
      </c>
      <c r="HP100">
        <v>1.8836999999999999</v>
      </c>
      <c r="HQ100">
        <v>1.8811599999999999</v>
      </c>
      <c r="HR100">
        <v>1.8802000000000001</v>
      </c>
      <c r="HS100">
        <v>1.88141</v>
      </c>
      <c r="HT100">
        <v>1.8808</v>
      </c>
      <c r="HU100">
        <v>5</v>
      </c>
      <c r="HV100">
        <v>0</v>
      </c>
      <c r="HW100">
        <v>0</v>
      </c>
      <c r="HX100">
        <v>0</v>
      </c>
      <c r="HY100" t="s">
        <v>422</v>
      </c>
      <c r="HZ100" t="s">
        <v>423</v>
      </c>
      <c r="IA100" t="s">
        <v>424</v>
      </c>
      <c r="IB100" t="s">
        <v>424</v>
      </c>
      <c r="IC100" t="s">
        <v>424</v>
      </c>
      <c r="ID100" t="s">
        <v>424</v>
      </c>
      <c r="IE100">
        <v>0</v>
      </c>
      <c r="IF100">
        <v>100</v>
      </c>
      <c r="IG100">
        <v>100</v>
      </c>
      <c r="IH100">
        <v>0.57999999999999996</v>
      </c>
      <c r="II100">
        <v>0.247</v>
      </c>
      <c r="IJ100">
        <v>-0.17091496289918859</v>
      </c>
      <c r="IK100">
        <v>2.2153513873161218E-3</v>
      </c>
      <c r="IL100">
        <v>-2.2967369670569612E-6</v>
      </c>
      <c r="IM100">
        <v>7.7859689150384122E-10</v>
      </c>
      <c r="IN100">
        <v>-0.1495442460707635</v>
      </c>
      <c r="IO100">
        <v>-4.1434251034592161E-3</v>
      </c>
      <c r="IP100">
        <v>8.3987709687394815E-4</v>
      </c>
      <c r="IQ100">
        <v>-7.4586254598011197E-6</v>
      </c>
      <c r="IR100">
        <v>2</v>
      </c>
      <c r="IS100">
        <v>1930</v>
      </c>
      <c r="IT100">
        <v>2</v>
      </c>
      <c r="IU100">
        <v>41</v>
      </c>
      <c r="IV100">
        <v>0.6</v>
      </c>
      <c r="IW100">
        <v>0.6</v>
      </c>
      <c r="IX100">
        <v>2.8662100000000001</v>
      </c>
      <c r="IY100">
        <v>2.4877899999999999</v>
      </c>
      <c r="IZ100">
        <v>1.24512</v>
      </c>
      <c r="JA100">
        <v>2.2607400000000002</v>
      </c>
      <c r="JB100">
        <v>1.4501999999999999</v>
      </c>
      <c r="JC100">
        <v>2.4267599999999998</v>
      </c>
      <c r="JD100">
        <v>39.8932</v>
      </c>
      <c r="JE100">
        <v>23.991199999999999</v>
      </c>
      <c r="JF100">
        <v>18</v>
      </c>
      <c r="JG100">
        <v>495.12599999999998</v>
      </c>
      <c r="JH100">
        <v>449.245</v>
      </c>
      <c r="JI100">
        <v>25.6328</v>
      </c>
      <c r="JJ100">
        <v>34.424599999999998</v>
      </c>
      <c r="JK100">
        <v>30.000499999999999</v>
      </c>
      <c r="JL100">
        <v>34.283299999999997</v>
      </c>
      <c r="JM100">
        <v>34.227800000000002</v>
      </c>
      <c r="JN100">
        <v>57.482399999999998</v>
      </c>
      <c r="JO100">
        <v>33.084000000000003</v>
      </c>
      <c r="JP100">
        <v>0</v>
      </c>
      <c r="JQ100">
        <v>25.639700000000001</v>
      </c>
      <c r="JR100">
        <v>1500</v>
      </c>
      <c r="JS100">
        <v>23.4298</v>
      </c>
      <c r="JT100">
        <v>99.145200000000003</v>
      </c>
      <c r="JU100">
        <v>99.004599999999996</v>
      </c>
    </row>
    <row r="101" spans="1:281" x14ac:dyDescent="0.25">
      <c r="A101">
        <v>85</v>
      </c>
      <c r="B101">
        <v>1693345380</v>
      </c>
      <c r="C101">
        <v>22666.900000095371</v>
      </c>
      <c r="D101" t="s">
        <v>848</v>
      </c>
      <c r="E101" t="s">
        <v>849</v>
      </c>
      <c r="F101" t="s">
        <v>413</v>
      </c>
      <c r="G101" t="s">
        <v>636</v>
      </c>
      <c r="H101" t="s">
        <v>31</v>
      </c>
      <c r="I101" t="s">
        <v>31</v>
      </c>
      <c r="J101">
        <v>1693345380</v>
      </c>
      <c r="K101">
        <f t="shared" si="92"/>
        <v>3.8738648184587061E-3</v>
      </c>
      <c r="L101">
        <f t="shared" si="93"/>
        <v>3.8738648184587059</v>
      </c>
      <c r="M101">
        <f t="shared" si="94"/>
        <v>34.915779877271447</v>
      </c>
      <c r="N101">
        <f t="shared" si="95"/>
        <v>356.45600000000002</v>
      </c>
      <c r="O101">
        <f t="shared" si="96"/>
        <v>137.35790086275622</v>
      </c>
      <c r="P101">
        <f t="shared" si="97"/>
        <v>13.580585822785372</v>
      </c>
      <c r="Q101">
        <f t="shared" si="98"/>
        <v>35.242831097744002</v>
      </c>
      <c r="R101">
        <f t="shared" si="99"/>
        <v>0.27364035831347167</v>
      </c>
      <c r="S101">
        <f t="shared" si="100"/>
        <v>2.9100830474757302</v>
      </c>
      <c r="T101">
        <f t="shared" si="101"/>
        <v>0.26010691031215422</v>
      </c>
      <c r="U101">
        <f t="shared" si="102"/>
        <v>0.16372695229779233</v>
      </c>
      <c r="V101">
        <f t="shared" si="103"/>
        <v>344.35039864410214</v>
      </c>
      <c r="W101">
        <f t="shared" si="104"/>
        <v>31.331838964242305</v>
      </c>
      <c r="X101">
        <f t="shared" si="105"/>
        <v>29.951899999999998</v>
      </c>
      <c r="Y101">
        <f t="shared" si="106"/>
        <v>4.248693058485661</v>
      </c>
      <c r="Z101">
        <f t="shared" si="107"/>
        <v>65.248538503187561</v>
      </c>
      <c r="AA101">
        <f t="shared" si="108"/>
        <v>2.8288903313028002</v>
      </c>
      <c r="AB101">
        <f t="shared" si="109"/>
        <v>4.3355612189912911</v>
      </c>
      <c r="AC101">
        <f t="shared" si="110"/>
        <v>1.4198027271828608</v>
      </c>
      <c r="AD101">
        <f t="shared" si="111"/>
        <v>-170.83743849402893</v>
      </c>
      <c r="AE101">
        <f t="shared" si="112"/>
        <v>55.334537712019291</v>
      </c>
      <c r="AF101">
        <f t="shared" si="113"/>
        <v>4.2333238627291925</v>
      </c>
      <c r="AG101">
        <f t="shared" si="114"/>
        <v>233.0808217248217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51720.200102447656</v>
      </c>
      <c r="AM101" t="s">
        <v>416</v>
      </c>
      <c r="AN101">
        <v>10366.9</v>
      </c>
      <c r="AO101">
        <v>993.59653846153856</v>
      </c>
      <c r="AP101">
        <v>3431.87</v>
      </c>
      <c r="AQ101">
        <f t="shared" si="118"/>
        <v>0.71047955241266758</v>
      </c>
      <c r="AR101">
        <v>-3.9894345373445681</v>
      </c>
      <c r="AS101" t="s">
        <v>850</v>
      </c>
      <c r="AT101">
        <v>10448.4</v>
      </c>
      <c r="AU101">
        <v>904.97799999999984</v>
      </c>
      <c r="AV101">
        <v>1192.1801013474401</v>
      </c>
      <c r="AW101">
        <f t="shared" si="119"/>
        <v>0.24090496144234852</v>
      </c>
      <c r="AX101">
        <v>0.5</v>
      </c>
      <c r="AY101">
        <f t="shared" si="120"/>
        <v>1513.100699322051</v>
      </c>
      <c r="AZ101">
        <f t="shared" si="121"/>
        <v>34.915779877271447</v>
      </c>
      <c r="BA101">
        <f t="shared" si="122"/>
        <v>182.25673281428465</v>
      </c>
      <c r="BB101">
        <f t="shared" si="123"/>
        <v>2.5712244024503856E-2</v>
      </c>
      <c r="BC101">
        <f t="shared" si="124"/>
        <v>1.8786506301532719</v>
      </c>
      <c r="BD101">
        <f t="shared" si="125"/>
        <v>643.55951626792819</v>
      </c>
      <c r="BE101" t="s">
        <v>851</v>
      </c>
      <c r="BF101">
        <v>653.33000000000004</v>
      </c>
      <c r="BG101">
        <f t="shared" si="126"/>
        <v>653.33000000000004</v>
      </c>
      <c r="BH101">
        <f t="shared" si="127"/>
        <v>0.45198716262619587</v>
      </c>
      <c r="BI101">
        <f t="shared" si="128"/>
        <v>0.53299071602523074</v>
      </c>
      <c r="BJ101">
        <f t="shared" si="129"/>
        <v>0.80606717868109146</v>
      </c>
      <c r="BK101">
        <f t="shared" si="130"/>
        <v>1.4462531398555656</v>
      </c>
      <c r="BL101">
        <f t="shared" si="131"/>
        <v>0.9185556640719853</v>
      </c>
      <c r="BM101">
        <f t="shared" si="132"/>
        <v>0.38478153557408473</v>
      </c>
      <c r="BN101">
        <f t="shared" si="133"/>
        <v>0.61521846442591532</v>
      </c>
      <c r="BO101">
        <v>7716</v>
      </c>
      <c r="BP101">
        <v>290.00000000000011</v>
      </c>
      <c r="BQ101">
        <v>1119.8499999999999</v>
      </c>
      <c r="BR101">
        <v>95</v>
      </c>
      <c r="BS101">
        <v>10448.4</v>
      </c>
      <c r="BT101">
        <v>1118.74</v>
      </c>
      <c r="BU101">
        <v>1.1100000000000001</v>
      </c>
      <c r="BV101">
        <v>300.00000000000011</v>
      </c>
      <c r="BW101">
        <v>38.200000000000003</v>
      </c>
      <c r="BX101">
        <v>1192.1801013474401</v>
      </c>
      <c r="BY101">
        <v>1.0840700392121441</v>
      </c>
      <c r="BZ101">
        <v>-76.738236514222123</v>
      </c>
      <c r="CA101">
        <v>0.92605206920305627</v>
      </c>
      <c r="CB101">
        <v>0.99593895376392194</v>
      </c>
      <c r="CC101">
        <v>-1.1331089432702999E-2</v>
      </c>
      <c r="CD101">
        <v>289.99999999999989</v>
      </c>
      <c r="CE101">
        <v>1117.42</v>
      </c>
      <c r="CF101">
        <v>785</v>
      </c>
      <c r="CG101">
        <v>10404.700000000001</v>
      </c>
      <c r="CH101">
        <v>1118.43</v>
      </c>
      <c r="CI101">
        <v>-1.01</v>
      </c>
      <c r="CW101">
        <f t="shared" si="134"/>
        <v>1799.9</v>
      </c>
      <c r="CX101">
        <f t="shared" si="135"/>
        <v>1513.100699322051</v>
      </c>
      <c r="CY101">
        <f t="shared" si="136"/>
        <v>0.84065820285685366</v>
      </c>
      <c r="CZ101">
        <f t="shared" si="137"/>
        <v>0.1913164057137075</v>
      </c>
      <c r="DA101">
        <v>6</v>
      </c>
      <c r="DB101">
        <v>0.5</v>
      </c>
      <c r="DC101" t="s">
        <v>419</v>
      </c>
      <c r="DD101">
        <v>2</v>
      </c>
      <c r="DE101">
        <v>1693345380</v>
      </c>
      <c r="DF101">
        <v>356.45600000000002</v>
      </c>
      <c r="DG101">
        <v>400.00299999999999</v>
      </c>
      <c r="DH101">
        <v>28.612200000000001</v>
      </c>
      <c r="DI101">
        <v>24.0975</v>
      </c>
      <c r="DJ101">
        <v>356.18</v>
      </c>
      <c r="DK101">
        <v>28.3813</v>
      </c>
      <c r="DL101">
        <v>500.10300000000001</v>
      </c>
      <c r="DM101">
        <v>98.771000000000001</v>
      </c>
      <c r="DN101">
        <v>9.9073999999999995E-2</v>
      </c>
      <c r="DO101">
        <v>30.304600000000001</v>
      </c>
      <c r="DP101">
        <v>29.951899999999998</v>
      </c>
      <c r="DQ101">
        <v>999.9</v>
      </c>
      <c r="DR101">
        <v>0</v>
      </c>
      <c r="DS101">
        <v>0</v>
      </c>
      <c r="DT101">
        <v>10012.5</v>
      </c>
      <c r="DU101">
        <v>0</v>
      </c>
      <c r="DV101">
        <v>411.029</v>
      </c>
      <c r="DW101">
        <v>-43.546100000000003</v>
      </c>
      <c r="DX101">
        <v>366.95600000000002</v>
      </c>
      <c r="DY101">
        <v>409.88</v>
      </c>
      <c r="DZ101">
        <v>4.51478</v>
      </c>
      <c r="EA101">
        <v>400.00299999999999</v>
      </c>
      <c r="EB101">
        <v>24.0975</v>
      </c>
      <c r="EC101">
        <v>2.82606</v>
      </c>
      <c r="ED101">
        <v>2.3801299999999999</v>
      </c>
      <c r="EE101">
        <v>23.037099999999999</v>
      </c>
      <c r="EF101">
        <v>20.229199999999999</v>
      </c>
      <c r="EG101">
        <v>1799.9</v>
      </c>
      <c r="EH101">
        <v>0.97800100000000001</v>
      </c>
      <c r="EI101">
        <v>2.1998899999999998E-2</v>
      </c>
      <c r="EJ101">
        <v>0</v>
      </c>
      <c r="EK101">
        <v>904.57600000000002</v>
      </c>
      <c r="EL101">
        <v>5.0010300000000001</v>
      </c>
      <c r="EM101">
        <v>16485.8</v>
      </c>
      <c r="EN101">
        <v>14700.3</v>
      </c>
      <c r="EO101">
        <v>47</v>
      </c>
      <c r="EP101">
        <v>48.75</v>
      </c>
      <c r="EQ101">
        <v>48.25</v>
      </c>
      <c r="ER101">
        <v>47.686999999999998</v>
      </c>
      <c r="ES101">
        <v>48.561999999999998</v>
      </c>
      <c r="ET101">
        <v>1755.41</v>
      </c>
      <c r="EU101">
        <v>39.49</v>
      </c>
      <c r="EV101">
        <v>0</v>
      </c>
      <c r="EW101">
        <v>3983.599999904633</v>
      </c>
      <c r="EX101">
        <v>0</v>
      </c>
      <c r="EY101">
        <v>904.97799999999984</v>
      </c>
      <c r="EZ101">
        <v>-1.690153857135215</v>
      </c>
      <c r="FA101">
        <v>49.061538600469618</v>
      </c>
      <c r="FB101">
        <v>16476.096000000001</v>
      </c>
      <c r="FC101">
        <v>15</v>
      </c>
      <c r="FD101">
        <v>1693345348</v>
      </c>
      <c r="FE101" t="s">
        <v>852</v>
      </c>
      <c r="FF101">
        <v>1693345348</v>
      </c>
      <c r="FG101">
        <v>1693345344</v>
      </c>
      <c r="FH101">
        <v>99</v>
      </c>
      <c r="FI101">
        <v>-7.4999999999999997E-2</v>
      </c>
      <c r="FJ101">
        <v>-7.0000000000000001E-3</v>
      </c>
      <c r="FK101">
        <v>0.312</v>
      </c>
      <c r="FL101">
        <v>0.11899999999999999</v>
      </c>
      <c r="FM101">
        <v>400</v>
      </c>
      <c r="FN101">
        <v>24</v>
      </c>
      <c r="FO101">
        <v>0.11</v>
      </c>
      <c r="FP101">
        <v>0.05</v>
      </c>
      <c r="FQ101">
        <v>34.941511147339902</v>
      </c>
      <c r="FR101">
        <v>-0.58537755249474932</v>
      </c>
      <c r="FS101">
        <v>7.0954182706844268E-2</v>
      </c>
      <c r="FT101">
        <v>1</v>
      </c>
      <c r="FU101">
        <v>0.27471200583981098</v>
      </c>
      <c r="FV101">
        <v>-1.402399275373866E-3</v>
      </c>
      <c r="FW101">
        <v>1.1996894037872359E-3</v>
      </c>
      <c r="FX101">
        <v>1</v>
      </c>
      <c r="FY101">
        <v>2</v>
      </c>
      <c r="FZ101">
        <v>2</v>
      </c>
      <c r="GA101" t="s">
        <v>421</v>
      </c>
      <c r="GB101">
        <v>2.8977599999999999</v>
      </c>
      <c r="GC101">
        <v>2.8171900000000001</v>
      </c>
      <c r="GD101">
        <v>8.2105999999999998E-2</v>
      </c>
      <c r="GE101">
        <v>8.9869299999999999E-2</v>
      </c>
      <c r="GF101">
        <v>0.13339300000000001</v>
      </c>
      <c r="GG101">
        <v>0.11830300000000001</v>
      </c>
      <c r="GH101">
        <v>25404.6</v>
      </c>
      <c r="GI101">
        <v>25302.400000000001</v>
      </c>
      <c r="GJ101">
        <v>24559.4</v>
      </c>
      <c r="GK101">
        <v>24832.9</v>
      </c>
      <c r="GL101">
        <v>28276.2</v>
      </c>
      <c r="GM101">
        <v>28627.8</v>
      </c>
      <c r="GN101">
        <v>33210.800000000003</v>
      </c>
      <c r="GO101">
        <v>33159.9</v>
      </c>
      <c r="GP101">
        <v>1.9426000000000001</v>
      </c>
      <c r="GQ101">
        <v>1.7834000000000001</v>
      </c>
      <c r="GR101">
        <v>2.8371799999999999E-2</v>
      </c>
      <c r="GS101">
        <v>0</v>
      </c>
      <c r="GT101">
        <v>29.49</v>
      </c>
      <c r="GU101">
        <v>999.9</v>
      </c>
      <c r="GV101">
        <v>46.3</v>
      </c>
      <c r="GW101">
        <v>39.6</v>
      </c>
      <c r="GX101">
        <v>34.0182</v>
      </c>
      <c r="GY101">
        <v>62.248899999999999</v>
      </c>
      <c r="GZ101">
        <v>22.8886</v>
      </c>
      <c r="HA101">
        <v>1</v>
      </c>
      <c r="HB101">
        <v>0.582256</v>
      </c>
      <c r="HC101">
        <v>2.3838599999999999</v>
      </c>
      <c r="HD101">
        <v>20.195399999999999</v>
      </c>
      <c r="HE101">
        <v>5.2226800000000004</v>
      </c>
      <c r="HF101">
        <v>11.9201</v>
      </c>
      <c r="HG101">
        <v>4.9573999999999998</v>
      </c>
      <c r="HH101">
        <v>3.2863000000000002</v>
      </c>
      <c r="HI101">
        <v>9999</v>
      </c>
      <c r="HJ101">
        <v>9999</v>
      </c>
      <c r="HK101">
        <v>9999</v>
      </c>
      <c r="HL101">
        <v>881.9</v>
      </c>
      <c r="HM101">
        <v>1.8806499999999999</v>
      </c>
      <c r="HN101">
        <v>1.87775</v>
      </c>
      <c r="HO101">
        <v>1.88571</v>
      </c>
      <c r="HP101">
        <v>1.88351</v>
      </c>
      <c r="HQ101">
        <v>1.8809800000000001</v>
      </c>
      <c r="HR101">
        <v>1.8800399999999999</v>
      </c>
      <c r="HS101">
        <v>1.8812599999999999</v>
      </c>
      <c r="HT101">
        <v>1.8806499999999999</v>
      </c>
      <c r="HU101">
        <v>5</v>
      </c>
      <c r="HV101">
        <v>0</v>
      </c>
      <c r="HW101">
        <v>0</v>
      </c>
      <c r="HX101">
        <v>0</v>
      </c>
      <c r="HY101" t="s">
        <v>422</v>
      </c>
      <c r="HZ101" t="s">
        <v>423</v>
      </c>
      <c r="IA101" t="s">
        <v>424</v>
      </c>
      <c r="IB101" t="s">
        <v>424</v>
      </c>
      <c r="IC101" t="s">
        <v>424</v>
      </c>
      <c r="ID101" t="s">
        <v>424</v>
      </c>
      <c r="IE101">
        <v>0</v>
      </c>
      <c r="IF101">
        <v>100</v>
      </c>
      <c r="IG101">
        <v>100</v>
      </c>
      <c r="IH101">
        <v>0.27600000000000002</v>
      </c>
      <c r="II101">
        <v>0.23089999999999999</v>
      </c>
      <c r="IJ101">
        <v>-0.25614298001223151</v>
      </c>
      <c r="IK101">
        <v>2.2153513873161218E-3</v>
      </c>
      <c r="IL101">
        <v>-2.2967369670569612E-6</v>
      </c>
      <c r="IM101">
        <v>7.7859689150384122E-10</v>
      </c>
      <c r="IN101">
        <v>-0.15742297633279059</v>
      </c>
      <c r="IO101">
        <v>-4.1434251034592161E-3</v>
      </c>
      <c r="IP101">
        <v>8.3987709687394815E-4</v>
      </c>
      <c r="IQ101">
        <v>-7.4586254598011197E-6</v>
      </c>
      <c r="IR101">
        <v>2</v>
      </c>
      <c r="IS101">
        <v>1930</v>
      </c>
      <c r="IT101">
        <v>2</v>
      </c>
      <c r="IU101">
        <v>41</v>
      </c>
      <c r="IV101">
        <v>0.5</v>
      </c>
      <c r="IW101">
        <v>0.6</v>
      </c>
      <c r="IX101">
        <v>0.98999000000000004</v>
      </c>
      <c r="IY101">
        <v>2.5329600000000001</v>
      </c>
      <c r="IZ101">
        <v>1.24512</v>
      </c>
      <c r="JA101">
        <v>2.2607400000000002</v>
      </c>
      <c r="JB101">
        <v>1.4501999999999999</v>
      </c>
      <c r="JC101">
        <v>2.3986800000000001</v>
      </c>
      <c r="JD101">
        <v>41.430100000000003</v>
      </c>
      <c r="JE101">
        <v>15.734400000000001</v>
      </c>
      <c r="JF101">
        <v>18</v>
      </c>
      <c r="JG101">
        <v>496.31400000000002</v>
      </c>
      <c r="JH101">
        <v>437.34199999999998</v>
      </c>
      <c r="JI101">
        <v>26.197800000000001</v>
      </c>
      <c r="JJ101">
        <v>34.433999999999997</v>
      </c>
      <c r="JK101">
        <v>29.9998</v>
      </c>
      <c r="JL101">
        <v>34.320700000000002</v>
      </c>
      <c r="JM101">
        <v>34.2654</v>
      </c>
      <c r="JN101">
        <v>19.914100000000001</v>
      </c>
      <c r="JO101">
        <v>35.299900000000001</v>
      </c>
      <c r="JP101">
        <v>0</v>
      </c>
      <c r="JQ101">
        <v>26.212</v>
      </c>
      <c r="JR101">
        <v>400</v>
      </c>
      <c r="JS101">
        <v>24.052700000000002</v>
      </c>
      <c r="JT101">
        <v>99.123599999999996</v>
      </c>
      <c r="JU101">
        <v>98.977000000000004</v>
      </c>
    </row>
    <row r="102" spans="1:281" x14ac:dyDescent="0.25">
      <c r="A102">
        <v>86</v>
      </c>
      <c r="B102">
        <v>1693345486.5</v>
      </c>
      <c r="C102">
        <v>22773.400000095371</v>
      </c>
      <c r="D102" t="s">
        <v>853</v>
      </c>
      <c r="E102" t="s">
        <v>854</v>
      </c>
      <c r="F102" t="s">
        <v>413</v>
      </c>
      <c r="G102" t="s">
        <v>636</v>
      </c>
      <c r="H102" t="s">
        <v>31</v>
      </c>
      <c r="I102" t="s">
        <v>31</v>
      </c>
      <c r="J102">
        <v>1693345486.5</v>
      </c>
      <c r="K102">
        <f t="shared" si="92"/>
        <v>3.8724756862174585E-3</v>
      </c>
      <c r="L102">
        <f t="shared" si="93"/>
        <v>3.8724756862174585</v>
      </c>
      <c r="M102">
        <f t="shared" si="94"/>
        <v>27.6474150071571</v>
      </c>
      <c r="N102">
        <f t="shared" si="95"/>
        <v>265.57600000000002</v>
      </c>
      <c r="O102">
        <f t="shared" si="96"/>
        <v>91.716971084092194</v>
      </c>
      <c r="P102">
        <f t="shared" si="97"/>
        <v>9.0674936237911918</v>
      </c>
      <c r="Q102">
        <f t="shared" si="98"/>
        <v>26.255868005323205</v>
      </c>
      <c r="R102">
        <f t="shared" si="99"/>
        <v>0.27237775443386919</v>
      </c>
      <c r="S102">
        <f t="shared" si="100"/>
        <v>2.9090914939917285</v>
      </c>
      <c r="T102">
        <f t="shared" si="101"/>
        <v>0.25896128999030876</v>
      </c>
      <c r="U102">
        <f t="shared" si="102"/>
        <v>0.16300113577968961</v>
      </c>
      <c r="V102">
        <f t="shared" si="103"/>
        <v>344.35039864410214</v>
      </c>
      <c r="W102">
        <f t="shared" si="104"/>
        <v>31.372997633678743</v>
      </c>
      <c r="X102">
        <f t="shared" si="105"/>
        <v>30.021100000000001</v>
      </c>
      <c r="Y102">
        <f t="shared" si="106"/>
        <v>4.2656160234446583</v>
      </c>
      <c r="Z102">
        <f t="shared" si="107"/>
        <v>65.360967303079022</v>
      </c>
      <c r="AA102">
        <f t="shared" si="108"/>
        <v>2.8403487597001802</v>
      </c>
      <c r="AB102">
        <f t="shared" si="109"/>
        <v>4.3456345230165789</v>
      </c>
      <c r="AC102">
        <f t="shared" si="110"/>
        <v>1.4252672637444781</v>
      </c>
      <c r="AD102">
        <f t="shared" si="111"/>
        <v>-170.77617776218992</v>
      </c>
      <c r="AE102">
        <f t="shared" si="112"/>
        <v>50.814520762202292</v>
      </c>
      <c r="AF102">
        <f t="shared" si="113"/>
        <v>3.8909598827591818</v>
      </c>
      <c r="AG102">
        <f t="shared" si="114"/>
        <v>228.27970152687374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51685.025752775575</v>
      </c>
      <c r="AM102" t="s">
        <v>416</v>
      </c>
      <c r="AN102">
        <v>10366.9</v>
      </c>
      <c r="AO102">
        <v>993.59653846153856</v>
      </c>
      <c r="AP102">
        <v>3431.87</v>
      </c>
      <c r="AQ102">
        <f t="shared" si="118"/>
        <v>0.71047955241266758</v>
      </c>
      <c r="AR102">
        <v>-3.9894345373445681</v>
      </c>
      <c r="AS102" t="s">
        <v>855</v>
      </c>
      <c r="AT102">
        <v>10439.1</v>
      </c>
      <c r="AU102">
        <v>886.08764000000008</v>
      </c>
      <c r="AV102">
        <v>1119.2631519522461</v>
      </c>
      <c r="AW102">
        <f t="shared" si="119"/>
        <v>0.2083294813606037</v>
      </c>
      <c r="AX102">
        <v>0.5</v>
      </c>
      <c r="AY102">
        <f t="shared" si="120"/>
        <v>1513.100699322051</v>
      </c>
      <c r="AZ102">
        <f t="shared" si="121"/>
        <v>27.6474150071571</v>
      </c>
      <c r="BA102">
        <f t="shared" si="122"/>
        <v>157.61174196806482</v>
      </c>
      <c r="BB102">
        <f t="shared" si="123"/>
        <v>2.0908621322213813E-2</v>
      </c>
      <c r="BC102">
        <f t="shared" si="124"/>
        <v>2.0661868873410589</v>
      </c>
      <c r="BD102">
        <f t="shared" si="125"/>
        <v>621.69594185605558</v>
      </c>
      <c r="BE102" t="s">
        <v>856</v>
      </c>
      <c r="BF102">
        <v>638.4</v>
      </c>
      <c r="BG102">
        <f t="shared" si="126"/>
        <v>638.4</v>
      </c>
      <c r="BH102">
        <f t="shared" si="127"/>
        <v>0.42962475009877066</v>
      </c>
      <c r="BI102">
        <f t="shared" si="128"/>
        <v>0.48491033468790795</v>
      </c>
      <c r="BJ102">
        <f t="shared" si="129"/>
        <v>0.82786170893109789</v>
      </c>
      <c r="BK102">
        <f t="shared" si="130"/>
        <v>1.8555088378305691</v>
      </c>
      <c r="BL102">
        <f t="shared" si="131"/>
        <v>0.9484608205465942</v>
      </c>
      <c r="BM102">
        <f t="shared" si="132"/>
        <v>0.34936358853257493</v>
      </c>
      <c r="BN102">
        <f t="shared" si="133"/>
        <v>0.65063641146742501</v>
      </c>
      <c r="BO102">
        <v>7718</v>
      </c>
      <c r="BP102">
        <v>290.00000000000011</v>
      </c>
      <c r="BQ102">
        <v>1061.3</v>
      </c>
      <c r="BR102">
        <v>155</v>
      </c>
      <c r="BS102">
        <v>10439.1</v>
      </c>
      <c r="BT102">
        <v>1059.58</v>
      </c>
      <c r="BU102">
        <v>1.72</v>
      </c>
      <c r="BV102">
        <v>300.00000000000011</v>
      </c>
      <c r="BW102">
        <v>38.200000000000003</v>
      </c>
      <c r="BX102">
        <v>1119.2631519522461</v>
      </c>
      <c r="BY102">
        <v>1.184966700603115</v>
      </c>
      <c r="BZ102">
        <v>-62.305240682729313</v>
      </c>
      <c r="CA102">
        <v>1.012386203033445</v>
      </c>
      <c r="CB102">
        <v>0.99266158066731414</v>
      </c>
      <c r="CC102">
        <v>-1.1332086985539501E-2</v>
      </c>
      <c r="CD102">
        <v>289.99999999999989</v>
      </c>
      <c r="CE102">
        <v>1059.69</v>
      </c>
      <c r="CF102">
        <v>855</v>
      </c>
      <c r="CG102">
        <v>10403</v>
      </c>
      <c r="CH102">
        <v>1059.3699999999999</v>
      </c>
      <c r="CI102">
        <v>0.32</v>
      </c>
      <c r="CW102">
        <f t="shared" si="134"/>
        <v>1799.9</v>
      </c>
      <c r="CX102">
        <f t="shared" si="135"/>
        <v>1513.100699322051</v>
      </c>
      <c r="CY102">
        <f t="shared" si="136"/>
        <v>0.84065820285685366</v>
      </c>
      <c r="CZ102">
        <f t="shared" si="137"/>
        <v>0.1913164057137075</v>
      </c>
      <c r="DA102">
        <v>6</v>
      </c>
      <c r="DB102">
        <v>0.5</v>
      </c>
      <c r="DC102" t="s">
        <v>419</v>
      </c>
      <c r="DD102">
        <v>2</v>
      </c>
      <c r="DE102">
        <v>1693345486.5</v>
      </c>
      <c r="DF102">
        <v>265.57600000000002</v>
      </c>
      <c r="DG102">
        <v>299.96899999999999</v>
      </c>
      <c r="DH102">
        <v>28.729900000000001</v>
      </c>
      <c r="DI102">
        <v>24.218800000000002</v>
      </c>
      <c r="DJ102">
        <v>265.26400000000001</v>
      </c>
      <c r="DK102">
        <v>28.4923</v>
      </c>
      <c r="DL102">
        <v>500.262</v>
      </c>
      <c r="DM102">
        <v>98.764300000000006</v>
      </c>
      <c r="DN102">
        <v>9.9558199999999999E-2</v>
      </c>
      <c r="DO102">
        <v>30.345099999999999</v>
      </c>
      <c r="DP102">
        <v>30.021100000000001</v>
      </c>
      <c r="DQ102">
        <v>999.9</v>
      </c>
      <c r="DR102">
        <v>0</v>
      </c>
      <c r="DS102">
        <v>0</v>
      </c>
      <c r="DT102">
        <v>10007.5</v>
      </c>
      <c r="DU102">
        <v>0</v>
      </c>
      <c r="DV102">
        <v>929.35</v>
      </c>
      <c r="DW102">
        <v>-34.393500000000003</v>
      </c>
      <c r="DX102">
        <v>273.43099999999998</v>
      </c>
      <c r="DY102">
        <v>307.41399999999999</v>
      </c>
      <c r="DZ102">
        <v>4.5111400000000001</v>
      </c>
      <c r="EA102">
        <v>299.96899999999999</v>
      </c>
      <c r="EB102">
        <v>24.218800000000002</v>
      </c>
      <c r="EC102">
        <v>2.8374899999999998</v>
      </c>
      <c r="ED102">
        <v>2.39195</v>
      </c>
      <c r="EE102">
        <v>23.1038</v>
      </c>
      <c r="EF102">
        <v>20.3094</v>
      </c>
      <c r="EG102">
        <v>1799.9</v>
      </c>
      <c r="EH102">
        <v>0.97799700000000001</v>
      </c>
      <c r="EI102">
        <v>2.2002600000000001E-2</v>
      </c>
      <c r="EJ102">
        <v>0</v>
      </c>
      <c r="EK102">
        <v>885.54100000000005</v>
      </c>
      <c r="EL102">
        <v>5.0010300000000001</v>
      </c>
      <c r="EM102">
        <v>16397.599999999999</v>
      </c>
      <c r="EN102">
        <v>14700.3</v>
      </c>
      <c r="EO102">
        <v>46.686999999999998</v>
      </c>
      <c r="EP102">
        <v>48.436999999999998</v>
      </c>
      <c r="EQ102">
        <v>47.936999999999998</v>
      </c>
      <c r="ER102">
        <v>47.375</v>
      </c>
      <c r="ES102">
        <v>48.25</v>
      </c>
      <c r="ET102">
        <v>1755.41</v>
      </c>
      <c r="EU102">
        <v>39.49</v>
      </c>
      <c r="EV102">
        <v>0</v>
      </c>
      <c r="EW102">
        <v>104.6000001430511</v>
      </c>
      <c r="EX102">
        <v>0</v>
      </c>
      <c r="EY102">
        <v>886.08764000000008</v>
      </c>
      <c r="EZ102">
        <v>-4.8814615439782703</v>
      </c>
      <c r="FA102">
        <v>-199.49230747345021</v>
      </c>
      <c r="FB102">
        <v>16407.116000000002</v>
      </c>
      <c r="FC102">
        <v>15</v>
      </c>
      <c r="FD102">
        <v>1693345460</v>
      </c>
      <c r="FE102" t="s">
        <v>857</v>
      </c>
      <c r="FF102">
        <v>1693345449.5</v>
      </c>
      <c r="FG102">
        <v>1693345460</v>
      </c>
      <c r="FH102">
        <v>100</v>
      </c>
      <c r="FI102">
        <v>0.127</v>
      </c>
      <c r="FJ102">
        <v>4.0000000000000001E-3</v>
      </c>
      <c r="FK102">
        <v>0.34899999999999998</v>
      </c>
      <c r="FL102">
        <v>0.125</v>
      </c>
      <c r="FM102">
        <v>300</v>
      </c>
      <c r="FN102">
        <v>24</v>
      </c>
      <c r="FO102">
        <v>0.14000000000000001</v>
      </c>
      <c r="FP102">
        <v>7.0000000000000007E-2</v>
      </c>
      <c r="FQ102">
        <v>27.62309174171402</v>
      </c>
      <c r="FR102">
        <v>-0.210430116159387</v>
      </c>
      <c r="FS102">
        <v>0.1203387152025826</v>
      </c>
      <c r="FT102">
        <v>1</v>
      </c>
      <c r="FU102">
        <v>0.27216285861750239</v>
      </c>
      <c r="FV102">
        <v>4.8524988259367567E-2</v>
      </c>
      <c r="FW102">
        <v>5.161469495233004E-3</v>
      </c>
      <c r="FX102">
        <v>1</v>
      </c>
      <c r="FY102">
        <v>2</v>
      </c>
      <c r="FZ102">
        <v>2</v>
      </c>
      <c r="GA102" t="s">
        <v>421</v>
      </c>
      <c r="GB102">
        <v>2.8982700000000001</v>
      </c>
      <c r="GC102">
        <v>2.8176299999999999</v>
      </c>
      <c r="GD102">
        <v>6.46037E-2</v>
      </c>
      <c r="GE102">
        <v>7.1546100000000001E-2</v>
      </c>
      <c r="GF102">
        <v>0.13375300000000001</v>
      </c>
      <c r="GG102">
        <v>0.118713</v>
      </c>
      <c r="GH102">
        <v>25891.4</v>
      </c>
      <c r="GI102">
        <v>25811.8</v>
      </c>
      <c r="GJ102">
        <v>24561.9</v>
      </c>
      <c r="GK102">
        <v>24833.1</v>
      </c>
      <c r="GL102">
        <v>28267</v>
      </c>
      <c r="GM102">
        <v>28614.3</v>
      </c>
      <c r="GN102">
        <v>33214.1</v>
      </c>
      <c r="GO102">
        <v>33159.9</v>
      </c>
      <c r="GP102">
        <v>1.9436</v>
      </c>
      <c r="GQ102">
        <v>1.7839</v>
      </c>
      <c r="GR102">
        <v>3.5896900000000002E-2</v>
      </c>
      <c r="GS102">
        <v>0</v>
      </c>
      <c r="GT102">
        <v>29.436599999999999</v>
      </c>
      <c r="GU102">
        <v>999.9</v>
      </c>
      <c r="GV102">
        <v>46.3</v>
      </c>
      <c r="GW102">
        <v>39.6</v>
      </c>
      <c r="GX102">
        <v>34.016399999999997</v>
      </c>
      <c r="GY102">
        <v>62.088900000000002</v>
      </c>
      <c r="GZ102">
        <v>23.6538</v>
      </c>
      <c r="HA102">
        <v>1</v>
      </c>
      <c r="HB102">
        <v>0.57757099999999995</v>
      </c>
      <c r="HC102">
        <v>2.64466</v>
      </c>
      <c r="HD102">
        <v>20.1934</v>
      </c>
      <c r="HE102">
        <v>5.2340600000000004</v>
      </c>
      <c r="HF102">
        <v>11.9201</v>
      </c>
      <c r="HG102">
        <v>4.9603999999999999</v>
      </c>
      <c r="HH102">
        <v>3.2890000000000001</v>
      </c>
      <c r="HI102">
        <v>9999</v>
      </c>
      <c r="HJ102">
        <v>9999</v>
      </c>
      <c r="HK102">
        <v>9999</v>
      </c>
      <c r="HL102">
        <v>881.9</v>
      </c>
      <c r="HM102">
        <v>1.88062</v>
      </c>
      <c r="HN102">
        <v>1.87775</v>
      </c>
      <c r="HO102">
        <v>1.8856900000000001</v>
      </c>
      <c r="HP102">
        <v>1.88351</v>
      </c>
      <c r="HQ102">
        <v>1.8809499999999999</v>
      </c>
      <c r="HR102">
        <v>1.8800399999999999</v>
      </c>
      <c r="HS102">
        <v>1.8812</v>
      </c>
      <c r="HT102">
        <v>1.8806499999999999</v>
      </c>
      <c r="HU102">
        <v>5</v>
      </c>
      <c r="HV102">
        <v>0</v>
      </c>
      <c r="HW102">
        <v>0</v>
      </c>
      <c r="HX102">
        <v>0</v>
      </c>
      <c r="HY102" t="s">
        <v>422</v>
      </c>
      <c r="HZ102" t="s">
        <v>423</v>
      </c>
      <c r="IA102" t="s">
        <v>424</v>
      </c>
      <c r="IB102" t="s">
        <v>424</v>
      </c>
      <c r="IC102" t="s">
        <v>424</v>
      </c>
      <c r="ID102" t="s">
        <v>424</v>
      </c>
      <c r="IE102">
        <v>0</v>
      </c>
      <c r="IF102">
        <v>100</v>
      </c>
      <c r="IG102">
        <v>100</v>
      </c>
      <c r="IH102">
        <v>0.312</v>
      </c>
      <c r="II102">
        <v>0.23760000000000001</v>
      </c>
      <c r="IJ102">
        <v>-0.12933536020800479</v>
      </c>
      <c r="IK102">
        <v>2.2153513873161218E-3</v>
      </c>
      <c r="IL102">
        <v>-2.2967369670569612E-6</v>
      </c>
      <c r="IM102">
        <v>7.7859689150384122E-10</v>
      </c>
      <c r="IN102">
        <v>-0.15360935348470309</v>
      </c>
      <c r="IO102">
        <v>-4.1434251034592161E-3</v>
      </c>
      <c r="IP102">
        <v>8.3987709687394815E-4</v>
      </c>
      <c r="IQ102">
        <v>-7.4586254598011197E-6</v>
      </c>
      <c r="IR102">
        <v>2</v>
      </c>
      <c r="IS102">
        <v>1930</v>
      </c>
      <c r="IT102">
        <v>2</v>
      </c>
      <c r="IU102">
        <v>41</v>
      </c>
      <c r="IV102">
        <v>0.6</v>
      </c>
      <c r="IW102">
        <v>0.4</v>
      </c>
      <c r="IX102">
        <v>0.788574</v>
      </c>
      <c r="IY102">
        <v>2.5134300000000001</v>
      </c>
      <c r="IZ102">
        <v>1.24512</v>
      </c>
      <c r="JA102">
        <v>2.2607400000000002</v>
      </c>
      <c r="JB102">
        <v>1.4501999999999999</v>
      </c>
      <c r="JC102">
        <v>2.4560499999999998</v>
      </c>
      <c r="JD102">
        <v>41.3001</v>
      </c>
      <c r="JE102">
        <v>15.716900000000001</v>
      </c>
      <c r="JF102">
        <v>18</v>
      </c>
      <c r="JG102">
        <v>496.67500000000001</v>
      </c>
      <c r="JH102">
        <v>437.42</v>
      </c>
      <c r="JI102">
        <v>26.207100000000001</v>
      </c>
      <c r="JJ102">
        <v>34.371600000000001</v>
      </c>
      <c r="JK102">
        <v>30</v>
      </c>
      <c r="JL102">
        <v>34.280099999999997</v>
      </c>
      <c r="JM102">
        <v>34.231200000000001</v>
      </c>
      <c r="JN102">
        <v>15.883100000000001</v>
      </c>
      <c r="JO102">
        <v>34.681399999999996</v>
      </c>
      <c r="JP102">
        <v>0</v>
      </c>
      <c r="JQ102">
        <v>26.214500000000001</v>
      </c>
      <c r="JR102">
        <v>300</v>
      </c>
      <c r="JS102">
        <v>24.116700000000002</v>
      </c>
      <c r="JT102">
        <v>99.133600000000001</v>
      </c>
      <c r="JU102">
        <v>98.977400000000003</v>
      </c>
    </row>
    <row r="103" spans="1:281" x14ac:dyDescent="0.25">
      <c r="A103">
        <v>87</v>
      </c>
      <c r="B103">
        <v>1693345586</v>
      </c>
      <c r="C103">
        <v>22872.900000095371</v>
      </c>
      <c r="D103" t="s">
        <v>858</v>
      </c>
      <c r="E103" t="s">
        <v>859</v>
      </c>
      <c r="F103" t="s">
        <v>413</v>
      </c>
      <c r="G103" t="s">
        <v>636</v>
      </c>
      <c r="H103" t="s">
        <v>31</v>
      </c>
      <c r="I103" t="s">
        <v>31</v>
      </c>
      <c r="J103">
        <v>1693345586</v>
      </c>
      <c r="K103">
        <f t="shared" si="92"/>
        <v>4.1564065487288719E-3</v>
      </c>
      <c r="L103">
        <f t="shared" si="93"/>
        <v>4.1564065487288717</v>
      </c>
      <c r="M103">
        <f t="shared" si="94"/>
        <v>19.180820988946209</v>
      </c>
      <c r="N103">
        <f t="shared" si="95"/>
        <v>176.13399999999999</v>
      </c>
      <c r="O103">
        <f t="shared" si="96"/>
        <v>63.890086988052857</v>
      </c>
      <c r="P103">
        <f t="shared" si="97"/>
        <v>6.316263445760689</v>
      </c>
      <c r="Q103">
        <f t="shared" si="98"/>
        <v>17.412853827599999</v>
      </c>
      <c r="R103">
        <f t="shared" si="99"/>
        <v>0.29398907386194806</v>
      </c>
      <c r="S103">
        <f t="shared" si="100"/>
        <v>2.9033552009534671</v>
      </c>
      <c r="T103">
        <f t="shared" si="101"/>
        <v>0.27839547592296698</v>
      </c>
      <c r="U103">
        <f t="shared" si="102"/>
        <v>0.17532923883682169</v>
      </c>
      <c r="V103">
        <f t="shared" si="103"/>
        <v>344.39469864393209</v>
      </c>
      <c r="W103">
        <f t="shared" si="104"/>
        <v>31.273478028977781</v>
      </c>
      <c r="X103">
        <f t="shared" si="105"/>
        <v>29.9983</v>
      </c>
      <c r="Y103">
        <f t="shared" si="106"/>
        <v>4.260033771659546</v>
      </c>
      <c r="Z103">
        <f t="shared" si="107"/>
        <v>65.387072556776232</v>
      </c>
      <c r="AA103">
        <f t="shared" si="108"/>
        <v>2.8370255957999997</v>
      </c>
      <c r="AB103">
        <f t="shared" si="109"/>
        <v>4.3388172690199314</v>
      </c>
      <c r="AC103">
        <f t="shared" si="110"/>
        <v>1.4230081758595463</v>
      </c>
      <c r="AD103">
        <f t="shared" si="111"/>
        <v>-183.29752879894326</v>
      </c>
      <c r="AE103">
        <f t="shared" si="112"/>
        <v>49.99430397866049</v>
      </c>
      <c r="AF103">
        <f t="shared" si="113"/>
        <v>3.8347652507349266</v>
      </c>
      <c r="AG103">
        <f t="shared" si="114"/>
        <v>214.92623907438423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51527.026739022731</v>
      </c>
      <c r="AM103" t="s">
        <v>416</v>
      </c>
      <c r="AN103">
        <v>10366.9</v>
      </c>
      <c r="AO103">
        <v>993.59653846153856</v>
      </c>
      <c r="AP103">
        <v>3431.87</v>
      </c>
      <c r="AQ103">
        <f t="shared" si="118"/>
        <v>0.71047955241266758</v>
      </c>
      <c r="AR103">
        <v>-3.9894345373445681</v>
      </c>
      <c r="AS103" t="s">
        <v>860</v>
      </c>
      <c r="AT103">
        <v>10447</v>
      </c>
      <c r="AU103">
        <v>885.05099999999993</v>
      </c>
      <c r="AV103">
        <v>1061.3168136698371</v>
      </c>
      <c r="AW103">
        <f t="shared" si="119"/>
        <v>0.16608218337778202</v>
      </c>
      <c r="AX103">
        <v>0.5</v>
      </c>
      <c r="AY103">
        <f t="shared" si="120"/>
        <v>1513.2941993219661</v>
      </c>
      <c r="AZ103">
        <f t="shared" si="121"/>
        <v>19.180820988946209</v>
      </c>
      <c r="BA103">
        <f t="shared" si="122"/>
        <v>125.66560235816229</v>
      </c>
      <c r="BB103">
        <f t="shared" si="123"/>
        <v>1.5311137475232673E-2</v>
      </c>
      <c r="BC103">
        <f t="shared" si="124"/>
        <v>2.2335961852269435</v>
      </c>
      <c r="BD103">
        <f t="shared" si="125"/>
        <v>603.39683852419046</v>
      </c>
      <c r="BE103" t="s">
        <v>861</v>
      </c>
      <c r="BF103">
        <v>631.79999999999995</v>
      </c>
      <c r="BG103">
        <f t="shared" si="126"/>
        <v>631.79999999999995</v>
      </c>
      <c r="BH103">
        <f t="shared" si="127"/>
        <v>0.40470178945403446</v>
      </c>
      <c r="BI103">
        <f t="shared" si="128"/>
        <v>0.4103816382967721</v>
      </c>
      <c r="BJ103">
        <f t="shared" si="129"/>
        <v>0.8466049728507371</v>
      </c>
      <c r="BK103">
        <f t="shared" si="130"/>
        <v>2.6028514079080018</v>
      </c>
      <c r="BL103">
        <f t="shared" si="131"/>
        <v>0.9722261361260236</v>
      </c>
      <c r="BM103">
        <f t="shared" si="132"/>
        <v>0.29295387393031658</v>
      </c>
      <c r="BN103">
        <f t="shared" si="133"/>
        <v>0.70704612606968342</v>
      </c>
      <c r="BO103">
        <v>7720</v>
      </c>
      <c r="BP103">
        <v>290.00000000000011</v>
      </c>
      <c r="BQ103">
        <v>1016.53</v>
      </c>
      <c r="BR103">
        <v>115</v>
      </c>
      <c r="BS103">
        <v>10447</v>
      </c>
      <c r="BT103">
        <v>1016.09</v>
      </c>
      <c r="BU103">
        <v>0.44</v>
      </c>
      <c r="BV103">
        <v>300.00000000000011</v>
      </c>
      <c r="BW103">
        <v>38.200000000000003</v>
      </c>
      <c r="BX103">
        <v>1061.3168136698371</v>
      </c>
      <c r="BY103">
        <v>1.201352875173535</v>
      </c>
      <c r="BZ103">
        <v>-47.243739930886399</v>
      </c>
      <c r="CA103">
        <v>1.0265116203279501</v>
      </c>
      <c r="CB103">
        <v>0.98695350284415495</v>
      </c>
      <c r="CC103">
        <v>-1.1333274972191351E-2</v>
      </c>
      <c r="CD103">
        <v>289.99999999999989</v>
      </c>
      <c r="CE103">
        <v>1015.71</v>
      </c>
      <c r="CF103">
        <v>705</v>
      </c>
      <c r="CG103">
        <v>10412.4</v>
      </c>
      <c r="CH103">
        <v>1015.94</v>
      </c>
      <c r="CI103">
        <v>-0.23</v>
      </c>
      <c r="CW103">
        <f t="shared" si="134"/>
        <v>1800.13</v>
      </c>
      <c r="CX103">
        <f t="shared" si="135"/>
        <v>1513.2941993219661</v>
      </c>
      <c r="CY103">
        <f t="shared" si="136"/>
        <v>0.84065828541381227</v>
      </c>
      <c r="CZ103">
        <f t="shared" si="137"/>
        <v>0.19131657082762471</v>
      </c>
      <c r="DA103">
        <v>6</v>
      </c>
      <c r="DB103">
        <v>0.5</v>
      </c>
      <c r="DC103" t="s">
        <v>419</v>
      </c>
      <c r="DD103">
        <v>2</v>
      </c>
      <c r="DE103">
        <v>1693345586</v>
      </c>
      <c r="DF103">
        <v>176.13399999999999</v>
      </c>
      <c r="DG103">
        <v>200.00800000000001</v>
      </c>
      <c r="DH103">
        <v>28.696999999999999</v>
      </c>
      <c r="DI103">
        <v>23.8568</v>
      </c>
      <c r="DJ103">
        <v>176.00700000000001</v>
      </c>
      <c r="DK103">
        <v>28.460999999999999</v>
      </c>
      <c r="DL103">
        <v>500.45</v>
      </c>
      <c r="DM103">
        <v>98.761200000000002</v>
      </c>
      <c r="DN103">
        <v>0.1002</v>
      </c>
      <c r="DO103">
        <v>30.317699999999999</v>
      </c>
      <c r="DP103">
        <v>29.9983</v>
      </c>
      <c r="DQ103">
        <v>999.9</v>
      </c>
      <c r="DR103">
        <v>0</v>
      </c>
      <c r="DS103">
        <v>0</v>
      </c>
      <c r="DT103">
        <v>9975</v>
      </c>
      <c r="DU103">
        <v>0</v>
      </c>
      <c r="DV103">
        <v>1002.32</v>
      </c>
      <c r="DW103">
        <v>-23.874400000000001</v>
      </c>
      <c r="DX103">
        <v>181.33799999999999</v>
      </c>
      <c r="DY103">
        <v>204.89699999999999</v>
      </c>
      <c r="DZ103">
        <v>4.84016</v>
      </c>
      <c r="EA103">
        <v>200.00800000000001</v>
      </c>
      <c r="EB103">
        <v>23.8568</v>
      </c>
      <c r="EC103">
        <v>2.8341500000000002</v>
      </c>
      <c r="ED103">
        <v>2.3561299999999998</v>
      </c>
      <c r="EE103">
        <v>23.084399999999999</v>
      </c>
      <c r="EF103">
        <v>20.0654</v>
      </c>
      <c r="EG103">
        <v>1800.13</v>
      </c>
      <c r="EH103">
        <v>0.97799700000000001</v>
      </c>
      <c r="EI103">
        <v>2.2002600000000001E-2</v>
      </c>
      <c r="EJ103">
        <v>0</v>
      </c>
      <c r="EK103">
        <v>884.28</v>
      </c>
      <c r="EL103">
        <v>5.0010300000000001</v>
      </c>
      <c r="EM103">
        <v>16413.3</v>
      </c>
      <c r="EN103">
        <v>14702.2</v>
      </c>
      <c r="EO103">
        <v>46.5</v>
      </c>
      <c r="EP103">
        <v>48.186999999999998</v>
      </c>
      <c r="EQ103">
        <v>47.75</v>
      </c>
      <c r="ER103">
        <v>47.125</v>
      </c>
      <c r="ES103">
        <v>48.061999999999998</v>
      </c>
      <c r="ET103">
        <v>1755.63</v>
      </c>
      <c r="EU103">
        <v>39.5</v>
      </c>
      <c r="EV103">
        <v>0</v>
      </c>
      <c r="EW103">
        <v>97.400000095367432</v>
      </c>
      <c r="EX103">
        <v>0</v>
      </c>
      <c r="EY103">
        <v>885.05099999999993</v>
      </c>
      <c r="EZ103">
        <v>-6.2630769116413836</v>
      </c>
      <c r="FA103">
        <v>136.3615380562679</v>
      </c>
      <c r="FB103">
        <v>16401.567999999999</v>
      </c>
      <c r="FC103">
        <v>15</v>
      </c>
      <c r="FD103">
        <v>1693345557</v>
      </c>
      <c r="FE103" t="s">
        <v>862</v>
      </c>
      <c r="FF103">
        <v>1693345547</v>
      </c>
      <c r="FG103">
        <v>1693345557</v>
      </c>
      <c r="FH103">
        <v>101</v>
      </c>
      <c r="FI103">
        <v>-6.7000000000000004E-2</v>
      </c>
      <c r="FJ103">
        <v>-1E-3</v>
      </c>
      <c r="FK103">
        <v>0.161</v>
      </c>
      <c r="FL103">
        <v>0.125</v>
      </c>
      <c r="FM103">
        <v>200</v>
      </c>
      <c r="FN103">
        <v>24</v>
      </c>
      <c r="FO103">
        <v>0.17</v>
      </c>
      <c r="FP103">
        <v>0.05</v>
      </c>
      <c r="FQ103">
        <v>19.114911055168221</v>
      </c>
      <c r="FR103">
        <v>0.15280908239382179</v>
      </c>
      <c r="FS103">
        <v>6.2712357861488544E-2</v>
      </c>
      <c r="FT103">
        <v>1</v>
      </c>
      <c r="FU103">
        <v>0.29433395687281683</v>
      </c>
      <c r="FV103">
        <v>3.100444243137921E-2</v>
      </c>
      <c r="FW103">
        <v>2.6660997734588091E-3</v>
      </c>
      <c r="FX103">
        <v>1</v>
      </c>
      <c r="FY103">
        <v>2</v>
      </c>
      <c r="FZ103">
        <v>2</v>
      </c>
      <c r="GA103" t="s">
        <v>421</v>
      </c>
      <c r="GB103">
        <v>2.8988999999999998</v>
      </c>
      <c r="GC103">
        <v>2.81799</v>
      </c>
      <c r="GD103">
        <v>4.51902E-2</v>
      </c>
      <c r="GE103">
        <v>5.0682499999999998E-2</v>
      </c>
      <c r="GF103">
        <v>0.13366400000000001</v>
      </c>
      <c r="GG103">
        <v>0.11749999999999999</v>
      </c>
      <c r="GH103">
        <v>26430.9</v>
      </c>
      <c r="GI103">
        <v>26394.5</v>
      </c>
      <c r="GJ103">
        <v>24564.400000000001</v>
      </c>
      <c r="GK103">
        <v>24836.1</v>
      </c>
      <c r="GL103">
        <v>28272.3</v>
      </c>
      <c r="GM103">
        <v>28656.7</v>
      </c>
      <c r="GN103">
        <v>33217.300000000003</v>
      </c>
      <c r="GO103">
        <v>33163.4</v>
      </c>
      <c r="GP103">
        <v>1.9441999999999999</v>
      </c>
      <c r="GQ103">
        <v>1.784</v>
      </c>
      <c r="GR103">
        <v>3.3408399999999998E-2</v>
      </c>
      <c r="GS103">
        <v>0</v>
      </c>
      <c r="GT103">
        <v>29.4544</v>
      </c>
      <c r="GU103">
        <v>999.9</v>
      </c>
      <c r="GV103">
        <v>46.4</v>
      </c>
      <c r="GW103">
        <v>39.5</v>
      </c>
      <c r="GX103">
        <v>33.9116</v>
      </c>
      <c r="GY103">
        <v>62.198900000000002</v>
      </c>
      <c r="GZ103">
        <v>22.756399999999999</v>
      </c>
      <c r="HA103">
        <v>1</v>
      </c>
      <c r="HB103">
        <v>0.57027399999999995</v>
      </c>
      <c r="HC103">
        <v>2.52027</v>
      </c>
      <c r="HD103">
        <v>20.195699999999999</v>
      </c>
      <c r="HE103">
        <v>5.2340600000000004</v>
      </c>
      <c r="HF103">
        <v>11.9201</v>
      </c>
      <c r="HG103">
        <v>4.96</v>
      </c>
      <c r="HH103">
        <v>3.2890000000000001</v>
      </c>
      <c r="HI103">
        <v>9999</v>
      </c>
      <c r="HJ103">
        <v>9999</v>
      </c>
      <c r="HK103">
        <v>9999</v>
      </c>
      <c r="HL103">
        <v>881.9</v>
      </c>
      <c r="HM103">
        <v>1.88063</v>
      </c>
      <c r="HN103">
        <v>1.87775</v>
      </c>
      <c r="HO103">
        <v>1.88568</v>
      </c>
      <c r="HP103">
        <v>1.88344</v>
      </c>
      <c r="HQ103">
        <v>1.8809800000000001</v>
      </c>
      <c r="HR103">
        <v>1.8800399999999999</v>
      </c>
      <c r="HS103">
        <v>1.8811800000000001</v>
      </c>
      <c r="HT103">
        <v>1.8806499999999999</v>
      </c>
      <c r="HU103">
        <v>5</v>
      </c>
      <c r="HV103">
        <v>0</v>
      </c>
      <c r="HW103">
        <v>0</v>
      </c>
      <c r="HX103">
        <v>0</v>
      </c>
      <c r="HY103" t="s">
        <v>422</v>
      </c>
      <c r="HZ103" t="s">
        <v>423</v>
      </c>
      <c r="IA103" t="s">
        <v>424</v>
      </c>
      <c r="IB103" t="s">
        <v>424</v>
      </c>
      <c r="IC103" t="s">
        <v>424</v>
      </c>
      <c r="ID103" t="s">
        <v>424</v>
      </c>
      <c r="IE103">
        <v>0</v>
      </c>
      <c r="IF103">
        <v>100</v>
      </c>
      <c r="IG103">
        <v>100</v>
      </c>
      <c r="IH103">
        <v>0.127</v>
      </c>
      <c r="II103">
        <v>0.23599999999999999</v>
      </c>
      <c r="IJ103">
        <v>-0.1958765172667182</v>
      </c>
      <c r="IK103">
        <v>2.2153513873161218E-3</v>
      </c>
      <c r="IL103">
        <v>-2.2967369670569612E-6</v>
      </c>
      <c r="IM103">
        <v>7.7859689150384122E-10</v>
      </c>
      <c r="IN103">
        <v>-0.1544479533987331</v>
      </c>
      <c r="IO103">
        <v>-4.1434251034592161E-3</v>
      </c>
      <c r="IP103">
        <v>8.3987709687394815E-4</v>
      </c>
      <c r="IQ103">
        <v>-7.4586254598011197E-6</v>
      </c>
      <c r="IR103">
        <v>2</v>
      </c>
      <c r="IS103">
        <v>1930</v>
      </c>
      <c r="IT103">
        <v>2</v>
      </c>
      <c r="IU103">
        <v>41</v>
      </c>
      <c r="IV103">
        <v>0.7</v>
      </c>
      <c r="IW103">
        <v>0.5</v>
      </c>
      <c r="IX103">
        <v>0.57983399999999996</v>
      </c>
      <c r="IY103">
        <v>2.5366200000000001</v>
      </c>
      <c r="IZ103">
        <v>1.24512</v>
      </c>
      <c r="JA103">
        <v>2.2595200000000002</v>
      </c>
      <c r="JB103">
        <v>1.4501999999999999</v>
      </c>
      <c r="JC103">
        <v>2.2326700000000002</v>
      </c>
      <c r="JD103">
        <v>41.274099999999997</v>
      </c>
      <c r="JE103">
        <v>15.681800000000001</v>
      </c>
      <c r="JF103">
        <v>18</v>
      </c>
      <c r="JG103">
        <v>496.678</v>
      </c>
      <c r="JH103">
        <v>437.13900000000001</v>
      </c>
      <c r="JI103">
        <v>26.2638</v>
      </c>
      <c r="JJ103">
        <v>34.309399999999997</v>
      </c>
      <c r="JK103">
        <v>30</v>
      </c>
      <c r="JL103">
        <v>34.228999999999999</v>
      </c>
      <c r="JM103">
        <v>34.184600000000003</v>
      </c>
      <c r="JN103">
        <v>11.683999999999999</v>
      </c>
      <c r="JO103">
        <v>35.546399999999998</v>
      </c>
      <c r="JP103">
        <v>0</v>
      </c>
      <c r="JQ103">
        <v>26.258099999999999</v>
      </c>
      <c r="JR103">
        <v>200</v>
      </c>
      <c r="JS103">
        <v>23.831299999999999</v>
      </c>
      <c r="JT103">
        <v>99.1434</v>
      </c>
      <c r="JU103">
        <v>98.988500000000002</v>
      </c>
    </row>
    <row r="104" spans="1:281" x14ac:dyDescent="0.25">
      <c r="A104">
        <v>88</v>
      </c>
      <c r="B104">
        <v>1693345711.5999999</v>
      </c>
      <c r="C104">
        <v>22998.5</v>
      </c>
      <c r="D104" t="s">
        <v>863</v>
      </c>
      <c r="E104" t="s">
        <v>864</v>
      </c>
      <c r="F104" t="s">
        <v>413</v>
      </c>
      <c r="G104" t="s">
        <v>636</v>
      </c>
      <c r="H104" t="s">
        <v>31</v>
      </c>
      <c r="I104" t="s">
        <v>31</v>
      </c>
      <c r="J104">
        <v>1693345711.5999999</v>
      </c>
      <c r="K104">
        <f t="shared" si="92"/>
        <v>4.6111592105601857E-3</v>
      </c>
      <c r="L104">
        <f t="shared" si="93"/>
        <v>4.611159210560186</v>
      </c>
      <c r="M104">
        <f t="shared" si="94"/>
        <v>12.439446807710496</v>
      </c>
      <c r="N104">
        <f t="shared" si="95"/>
        <v>104.48399999999999</v>
      </c>
      <c r="O104">
        <f t="shared" si="96"/>
        <v>39.162958637304371</v>
      </c>
      <c r="P104">
        <f t="shared" si="97"/>
        <v>3.871630861871219</v>
      </c>
      <c r="Q104">
        <f t="shared" si="98"/>
        <v>10.329236938356001</v>
      </c>
      <c r="R104">
        <f t="shared" si="99"/>
        <v>0.32960174338329773</v>
      </c>
      <c r="S104">
        <f t="shared" si="100"/>
        <v>2.9085699653584434</v>
      </c>
      <c r="T104">
        <f t="shared" si="101"/>
        <v>0.31016839744556507</v>
      </c>
      <c r="U104">
        <f t="shared" si="102"/>
        <v>0.19550570596381212</v>
      </c>
      <c r="V104">
        <f t="shared" si="103"/>
        <v>344.3832986438868</v>
      </c>
      <c r="W104">
        <f t="shared" si="104"/>
        <v>31.172523134047871</v>
      </c>
      <c r="X104">
        <f t="shared" si="105"/>
        <v>30.016500000000001</v>
      </c>
      <c r="Y104">
        <f t="shared" si="106"/>
        <v>4.2644892666155956</v>
      </c>
      <c r="Z104">
        <f t="shared" si="107"/>
        <v>65.558605119748208</v>
      </c>
      <c r="AA104">
        <f t="shared" si="108"/>
        <v>2.847648156745</v>
      </c>
      <c r="AB104">
        <f t="shared" si="109"/>
        <v>4.3436680074927398</v>
      </c>
      <c r="AC104">
        <f t="shared" si="110"/>
        <v>1.4168411098705955</v>
      </c>
      <c r="AD104">
        <f t="shared" si="111"/>
        <v>-203.35212118570419</v>
      </c>
      <c r="AE104">
        <f t="shared" si="112"/>
        <v>50.287948447949887</v>
      </c>
      <c r="AF104">
        <f t="shared" si="113"/>
        <v>3.8510915375461483</v>
      </c>
      <c r="AG104">
        <f t="shared" si="114"/>
        <v>195.17021744367867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51671.478148132963</v>
      </c>
      <c r="AM104" t="s">
        <v>416</v>
      </c>
      <c r="AN104">
        <v>10366.9</v>
      </c>
      <c r="AO104">
        <v>993.59653846153856</v>
      </c>
      <c r="AP104">
        <v>3431.87</v>
      </c>
      <c r="AQ104">
        <f t="shared" si="118"/>
        <v>0.71047955241266758</v>
      </c>
      <c r="AR104">
        <v>-3.9894345373445681</v>
      </c>
      <c r="AS104" t="s">
        <v>865</v>
      </c>
      <c r="AT104">
        <v>10434.200000000001</v>
      </c>
      <c r="AU104">
        <v>886.65544</v>
      </c>
      <c r="AV104">
        <v>1006.8791807334341</v>
      </c>
      <c r="AW104">
        <f t="shared" si="119"/>
        <v>0.11940235038513791</v>
      </c>
      <c r="AX104">
        <v>0.5</v>
      </c>
      <c r="AY104">
        <f t="shared" si="120"/>
        <v>1513.2437993219432</v>
      </c>
      <c r="AZ104">
        <f t="shared" si="121"/>
        <v>12.439446807710496</v>
      </c>
      <c r="BA104">
        <f t="shared" si="122"/>
        <v>90.342433172387999</v>
      </c>
      <c r="BB104">
        <f t="shared" si="123"/>
        <v>1.0856731316141222E-2</v>
      </c>
      <c r="BC104">
        <f t="shared" si="124"/>
        <v>2.4084228432453498</v>
      </c>
      <c r="BD104">
        <f t="shared" si="125"/>
        <v>585.40255852769633</v>
      </c>
      <c r="BE104" t="s">
        <v>866</v>
      </c>
      <c r="BF104">
        <v>630.71</v>
      </c>
      <c r="BG104">
        <f t="shared" si="126"/>
        <v>630.71</v>
      </c>
      <c r="BH104">
        <f t="shared" si="127"/>
        <v>0.37359912483186286</v>
      </c>
      <c r="BI104">
        <f t="shared" si="128"/>
        <v>0.31960018760449327</v>
      </c>
      <c r="BJ104">
        <f t="shared" si="129"/>
        <v>0.86570949866004288</v>
      </c>
      <c r="BK104">
        <f t="shared" si="130"/>
        <v>9.051191643383584</v>
      </c>
      <c r="BL104">
        <f t="shared" si="131"/>
        <v>0.99455243946939609</v>
      </c>
      <c r="BM104">
        <f t="shared" si="132"/>
        <v>0.22734314281546614</v>
      </c>
      <c r="BN104">
        <f t="shared" si="133"/>
        <v>0.77265685718453381</v>
      </c>
      <c r="BO104">
        <v>7722</v>
      </c>
      <c r="BP104">
        <v>290.00000000000011</v>
      </c>
      <c r="BQ104">
        <v>976.08</v>
      </c>
      <c r="BR104">
        <v>205</v>
      </c>
      <c r="BS104">
        <v>10434.200000000001</v>
      </c>
      <c r="BT104">
        <v>975.78</v>
      </c>
      <c r="BU104">
        <v>0.3</v>
      </c>
      <c r="BV104">
        <v>300.00000000000011</v>
      </c>
      <c r="BW104">
        <v>38.200000000000003</v>
      </c>
      <c r="BX104">
        <v>1006.8791807334341</v>
      </c>
      <c r="BY104">
        <v>1.3046969092872549</v>
      </c>
      <c r="BZ104">
        <v>-32.449502406543957</v>
      </c>
      <c r="CA104">
        <v>1.1149594041359969</v>
      </c>
      <c r="CB104">
        <v>0.96800103867997733</v>
      </c>
      <c r="CC104">
        <v>-1.133442380422693E-2</v>
      </c>
      <c r="CD104">
        <v>289.99999999999989</v>
      </c>
      <c r="CE104">
        <v>973.85</v>
      </c>
      <c r="CF104">
        <v>635</v>
      </c>
      <c r="CG104">
        <v>10419.200000000001</v>
      </c>
      <c r="CH104">
        <v>975.74</v>
      </c>
      <c r="CI104">
        <v>-1.89</v>
      </c>
      <c r="CW104">
        <f t="shared" si="134"/>
        <v>1800.07</v>
      </c>
      <c r="CX104">
        <f t="shared" si="135"/>
        <v>1513.2437993219432</v>
      </c>
      <c r="CY104">
        <f t="shared" si="136"/>
        <v>0.84065830735579361</v>
      </c>
      <c r="CZ104">
        <f t="shared" si="137"/>
        <v>0.19131661471158723</v>
      </c>
      <c r="DA104">
        <v>6</v>
      </c>
      <c r="DB104">
        <v>0.5</v>
      </c>
      <c r="DC104" t="s">
        <v>419</v>
      </c>
      <c r="DD104">
        <v>2</v>
      </c>
      <c r="DE104">
        <v>1693345711.5999999</v>
      </c>
      <c r="DF104">
        <v>104.48399999999999</v>
      </c>
      <c r="DG104">
        <v>119.98399999999999</v>
      </c>
      <c r="DH104">
        <v>28.805</v>
      </c>
      <c r="DI104">
        <v>23.4329</v>
      </c>
      <c r="DJ104">
        <v>104.492</v>
      </c>
      <c r="DK104">
        <v>28.562000000000001</v>
      </c>
      <c r="DL104">
        <v>500.17700000000002</v>
      </c>
      <c r="DM104">
        <v>98.759500000000003</v>
      </c>
      <c r="DN104">
        <v>0.100009</v>
      </c>
      <c r="DO104">
        <v>30.337199999999999</v>
      </c>
      <c r="DP104">
        <v>30.016500000000001</v>
      </c>
      <c r="DQ104">
        <v>999.9</v>
      </c>
      <c r="DR104">
        <v>0</v>
      </c>
      <c r="DS104">
        <v>0</v>
      </c>
      <c r="DT104">
        <v>10005</v>
      </c>
      <c r="DU104">
        <v>0</v>
      </c>
      <c r="DV104">
        <v>1082.6199999999999</v>
      </c>
      <c r="DW104">
        <v>-15.5</v>
      </c>
      <c r="DX104">
        <v>107.583</v>
      </c>
      <c r="DY104">
        <v>122.863</v>
      </c>
      <c r="DZ104">
        <v>5.3720800000000004</v>
      </c>
      <c r="EA104">
        <v>119.98399999999999</v>
      </c>
      <c r="EB104">
        <v>23.4329</v>
      </c>
      <c r="EC104">
        <v>2.84477</v>
      </c>
      <c r="ED104">
        <v>2.3142299999999998</v>
      </c>
      <c r="EE104">
        <v>23.1462</v>
      </c>
      <c r="EF104">
        <v>19.7758</v>
      </c>
      <c r="EG104">
        <v>1800.07</v>
      </c>
      <c r="EH104">
        <v>0.97799400000000003</v>
      </c>
      <c r="EI104">
        <v>2.20062E-2</v>
      </c>
      <c r="EJ104">
        <v>0</v>
      </c>
      <c r="EK104">
        <v>886.08100000000002</v>
      </c>
      <c r="EL104">
        <v>5.0010300000000001</v>
      </c>
      <c r="EM104">
        <v>16495.2</v>
      </c>
      <c r="EN104">
        <v>14701.6</v>
      </c>
      <c r="EO104">
        <v>46.311999999999998</v>
      </c>
      <c r="EP104">
        <v>48.125</v>
      </c>
      <c r="EQ104">
        <v>47.561999999999998</v>
      </c>
      <c r="ER104">
        <v>47</v>
      </c>
      <c r="ES104">
        <v>47.875</v>
      </c>
      <c r="ET104">
        <v>1755.57</v>
      </c>
      <c r="EU104">
        <v>39.5</v>
      </c>
      <c r="EV104">
        <v>0</v>
      </c>
      <c r="EW104">
        <v>123.80000019073491</v>
      </c>
      <c r="EX104">
        <v>0</v>
      </c>
      <c r="EY104">
        <v>886.65544</v>
      </c>
      <c r="EZ104">
        <v>-3.9656153886451202</v>
      </c>
      <c r="FA104">
        <v>6.6999998866193362</v>
      </c>
      <c r="FB104">
        <v>16503.34</v>
      </c>
      <c r="FC104">
        <v>15</v>
      </c>
      <c r="FD104">
        <v>1693345684</v>
      </c>
      <c r="FE104" t="s">
        <v>867</v>
      </c>
      <c r="FF104">
        <v>1693345669.5</v>
      </c>
      <c r="FG104">
        <v>1693345684</v>
      </c>
      <c r="FH104">
        <v>102</v>
      </c>
      <c r="FI104">
        <v>-1.9E-2</v>
      </c>
      <c r="FJ104">
        <v>4.0000000000000001E-3</v>
      </c>
      <c r="FK104">
        <v>1.9E-2</v>
      </c>
      <c r="FL104">
        <v>0.11899999999999999</v>
      </c>
      <c r="FM104">
        <v>120</v>
      </c>
      <c r="FN104">
        <v>24</v>
      </c>
      <c r="FO104">
        <v>0.22</v>
      </c>
      <c r="FP104">
        <v>0.03</v>
      </c>
      <c r="FQ104">
        <v>12.412570761108711</v>
      </c>
      <c r="FR104">
        <v>0.16286784997916881</v>
      </c>
      <c r="FS104">
        <v>5.5314649377893918E-2</v>
      </c>
      <c r="FT104">
        <v>1</v>
      </c>
      <c r="FU104">
        <v>0.32945059524913373</v>
      </c>
      <c r="FV104">
        <v>4.4541949816051689E-2</v>
      </c>
      <c r="FW104">
        <v>4.186088154256239E-3</v>
      </c>
      <c r="FX104">
        <v>1</v>
      </c>
      <c r="FY104">
        <v>2</v>
      </c>
      <c r="FZ104">
        <v>2</v>
      </c>
      <c r="GA104" t="s">
        <v>421</v>
      </c>
      <c r="GB104">
        <v>2.8982899999999998</v>
      </c>
      <c r="GC104">
        <v>2.81806</v>
      </c>
      <c r="GD104">
        <v>2.7812E-2</v>
      </c>
      <c r="GE104">
        <v>3.1754999999999999E-2</v>
      </c>
      <c r="GF104">
        <v>0.13399900000000001</v>
      </c>
      <c r="GG104">
        <v>0.11607000000000001</v>
      </c>
      <c r="GH104">
        <v>26914.1</v>
      </c>
      <c r="GI104">
        <v>26922.7</v>
      </c>
      <c r="GJ104">
        <v>24567</v>
      </c>
      <c r="GK104">
        <v>24838.6</v>
      </c>
      <c r="GL104">
        <v>28264</v>
      </c>
      <c r="GM104">
        <v>28706</v>
      </c>
      <c r="GN104">
        <v>33220.699999999997</v>
      </c>
      <c r="GO104">
        <v>33166.800000000003</v>
      </c>
      <c r="GP104">
        <v>1.9457</v>
      </c>
      <c r="GQ104">
        <v>1.7842</v>
      </c>
      <c r="GR104">
        <v>2.6404899999999999E-2</v>
      </c>
      <c r="GS104">
        <v>0</v>
      </c>
      <c r="GT104">
        <v>29.5867</v>
      </c>
      <c r="GU104">
        <v>999.9</v>
      </c>
      <c r="GV104">
        <v>46.4</v>
      </c>
      <c r="GW104">
        <v>39.4</v>
      </c>
      <c r="GX104">
        <v>33.727600000000002</v>
      </c>
      <c r="GY104">
        <v>61.979799999999997</v>
      </c>
      <c r="GZ104">
        <v>23.044899999999998</v>
      </c>
      <c r="HA104">
        <v>1</v>
      </c>
      <c r="HB104">
        <v>0.56786599999999998</v>
      </c>
      <c r="HC104">
        <v>2.8338800000000002</v>
      </c>
      <c r="HD104">
        <v>20.190899999999999</v>
      </c>
      <c r="HE104">
        <v>5.2310699999999999</v>
      </c>
      <c r="HF104">
        <v>11.9201</v>
      </c>
      <c r="HG104">
        <v>4.9598000000000004</v>
      </c>
      <c r="HH104">
        <v>3.2890000000000001</v>
      </c>
      <c r="HI104">
        <v>9999</v>
      </c>
      <c r="HJ104">
        <v>9999</v>
      </c>
      <c r="HK104">
        <v>9999</v>
      </c>
      <c r="HL104">
        <v>881.9</v>
      </c>
      <c r="HM104">
        <v>1.8806499999999999</v>
      </c>
      <c r="HN104">
        <v>1.87775</v>
      </c>
      <c r="HO104">
        <v>1.8857299999999999</v>
      </c>
      <c r="HP104">
        <v>1.8834500000000001</v>
      </c>
      <c r="HQ104">
        <v>1.88096</v>
      </c>
      <c r="HR104">
        <v>1.8800399999999999</v>
      </c>
      <c r="HS104">
        <v>1.88121</v>
      </c>
      <c r="HT104">
        <v>1.8806499999999999</v>
      </c>
      <c r="HU104">
        <v>5</v>
      </c>
      <c r="HV104">
        <v>0</v>
      </c>
      <c r="HW104">
        <v>0</v>
      </c>
      <c r="HX104">
        <v>0</v>
      </c>
      <c r="HY104" t="s">
        <v>422</v>
      </c>
      <c r="HZ104" t="s">
        <v>423</v>
      </c>
      <c r="IA104" t="s">
        <v>424</v>
      </c>
      <c r="IB104" t="s">
        <v>424</v>
      </c>
      <c r="IC104" t="s">
        <v>424</v>
      </c>
      <c r="ID104" t="s">
        <v>424</v>
      </c>
      <c r="IE104">
        <v>0</v>
      </c>
      <c r="IF104">
        <v>100</v>
      </c>
      <c r="IG104">
        <v>100</v>
      </c>
      <c r="IH104">
        <v>-8.0000000000000002E-3</v>
      </c>
      <c r="II104">
        <v>0.24299999999999999</v>
      </c>
      <c r="IJ104">
        <v>-0.2153021738135926</v>
      </c>
      <c r="IK104">
        <v>2.2153513873161218E-3</v>
      </c>
      <c r="IL104">
        <v>-2.2967369670569612E-6</v>
      </c>
      <c r="IM104">
        <v>7.7859689150384122E-10</v>
      </c>
      <c r="IN104">
        <v>-0.14996010137628729</v>
      </c>
      <c r="IO104">
        <v>-4.1434251034592161E-3</v>
      </c>
      <c r="IP104">
        <v>8.3987709687394815E-4</v>
      </c>
      <c r="IQ104">
        <v>-7.4586254598011197E-6</v>
      </c>
      <c r="IR104">
        <v>2</v>
      </c>
      <c r="IS104">
        <v>1930</v>
      </c>
      <c r="IT104">
        <v>2</v>
      </c>
      <c r="IU104">
        <v>41</v>
      </c>
      <c r="IV104">
        <v>0.7</v>
      </c>
      <c r="IW104">
        <v>0.5</v>
      </c>
      <c r="IX104">
        <v>0.40649400000000002</v>
      </c>
      <c r="IY104">
        <v>2.5549300000000001</v>
      </c>
      <c r="IZ104">
        <v>1.24512</v>
      </c>
      <c r="JA104">
        <v>2.2595200000000002</v>
      </c>
      <c r="JB104">
        <v>1.4501999999999999</v>
      </c>
      <c r="JC104">
        <v>2.2363300000000002</v>
      </c>
      <c r="JD104">
        <v>41.248199999999997</v>
      </c>
      <c r="JE104">
        <v>15.6381</v>
      </c>
      <c r="JF104">
        <v>18</v>
      </c>
      <c r="JG104">
        <v>497.33800000000002</v>
      </c>
      <c r="JH104">
        <v>436.93099999999998</v>
      </c>
      <c r="JI104">
        <v>26.1067</v>
      </c>
      <c r="JJ104">
        <v>34.262799999999999</v>
      </c>
      <c r="JK104">
        <v>30.000800000000002</v>
      </c>
      <c r="JL104">
        <v>34.183500000000002</v>
      </c>
      <c r="JM104">
        <v>34.1387</v>
      </c>
      <c r="JN104">
        <v>8.2247400000000006</v>
      </c>
      <c r="JO104">
        <v>37.341099999999997</v>
      </c>
      <c r="JP104">
        <v>0</v>
      </c>
      <c r="JQ104">
        <v>26.093399999999999</v>
      </c>
      <c r="JR104">
        <v>120</v>
      </c>
      <c r="JS104">
        <v>23.2989</v>
      </c>
      <c r="JT104">
        <v>99.153499999999994</v>
      </c>
      <c r="JU104">
        <v>98.998400000000004</v>
      </c>
    </row>
    <row r="105" spans="1:281" x14ac:dyDescent="0.25">
      <c r="A105">
        <v>89</v>
      </c>
      <c r="B105">
        <v>1693345837.0999999</v>
      </c>
      <c r="C105">
        <v>23124</v>
      </c>
      <c r="D105" t="s">
        <v>868</v>
      </c>
      <c r="E105" t="s">
        <v>869</v>
      </c>
      <c r="F105" t="s">
        <v>413</v>
      </c>
      <c r="G105" t="s">
        <v>636</v>
      </c>
      <c r="H105" t="s">
        <v>31</v>
      </c>
      <c r="I105" t="s">
        <v>31</v>
      </c>
      <c r="J105">
        <v>1693345837.0999999</v>
      </c>
      <c r="K105">
        <f t="shared" si="92"/>
        <v>5.1955532207224858E-3</v>
      </c>
      <c r="L105">
        <f t="shared" si="93"/>
        <v>5.1955532207224859</v>
      </c>
      <c r="M105">
        <f t="shared" si="94"/>
        <v>8.0368136174876899</v>
      </c>
      <c r="N105">
        <f t="shared" si="95"/>
        <v>59.9086</v>
      </c>
      <c r="O105">
        <f t="shared" si="96"/>
        <v>22.693985840236021</v>
      </c>
      <c r="P105">
        <f t="shared" si="97"/>
        <v>2.2435773941673647</v>
      </c>
      <c r="Q105">
        <f t="shared" si="98"/>
        <v>5.9226960668103201</v>
      </c>
      <c r="R105">
        <f t="shared" si="99"/>
        <v>0.37647033327091095</v>
      </c>
      <c r="S105">
        <f t="shared" si="100"/>
        <v>2.9125515831581401</v>
      </c>
      <c r="T105">
        <f t="shared" si="101"/>
        <v>0.35137517822251652</v>
      </c>
      <c r="U105">
        <f t="shared" si="102"/>
        <v>0.2217246334333926</v>
      </c>
      <c r="V105">
        <f t="shared" si="103"/>
        <v>344.35539864343053</v>
      </c>
      <c r="W105">
        <f t="shared" si="104"/>
        <v>30.993557967935701</v>
      </c>
      <c r="X105">
        <f t="shared" si="105"/>
        <v>29.989799999999999</v>
      </c>
      <c r="Y105">
        <f t="shared" si="106"/>
        <v>4.2579542988007386</v>
      </c>
      <c r="Z105">
        <f t="shared" si="107"/>
        <v>65.677613962786808</v>
      </c>
      <c r="AA105">
        <f t="shared" si="108"/>
        <v>2.8486846689176399</v>
      </c>
      <c r="AB105">
        <f t="shared" si="109"/>
        <v>4.3373753963286727</v>
      </c>
      <c r="AC105">
        <f t="shared" si="110"/>
        <v>1.4092696298830987</v>
      </c>
      <c r="AD105">
        <f t="shared" si="111"/>
        <v>-229.12389703386162</v>
      </c>
      <c r="AE105">
        <f t="shared" si="112"/>
        <v>50.576619014388889</v>
      </c>
      <c r="AF105">
        <f t="shared" si="113"/>
        <v>3.8669082652470137</v>
      </c>
      <c r="AG105">
        <f t="shared" si="114"/>
        <v>169.67502888920478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51788.8256911969</v>
      </c>
      <c r="AM105" t="s">
        <v>416</v>
      </c>
      <c r="AN105">
        <v>10366.9</v>
      </c>
      <c r="AO105">
        <v>993.59653846153856</v>
      </c>
      <c r="AP105">
        <v>3431.87</v>
      </c>
      <c r="AQ105">
        <f t="shared" si="118"/>
        <v>0.71047955241266758</v>
      </c>
      <c r="AR105">
        <v>-3.9894345373445681</v>
      </c>
      <c r="AS105" t="s">
        <v>870</v>
      </c>
      <c r="AT105">
        <v>10427.9</v>
      </c>
      <c r="AU105">
        <v>889.24936000000002</v>
      </c>
      <c r="AV105">
        <v>975.16605407160205</v>
      </c>
      <c r="AW105">
        <f t="shared" si="119"/>
        <v>8.8104680954463888E-2</v>
      </c>
      <c r="AX105">
        <v>0.5</v>
      </c>
      <c r="AY105">
        <f t="shared" si="120"/>
        <v>1513.1180993217151</v>
      </c>
      <c r="AZ105">
        <f t="shared" si="121"/>
        <v>8.0368136174876899</v>
      </c>
      <c r="BA105">
        <f t="shared" si="122"/>
        <v>66.65639369358226</v>
      </c>
      <c r="BB105">
        <f t="shared" si="123"/>
        <v>7.9479904180798974E-3</v>
      </c>
      <c r="BC105">
        <f t="shared" si="124"/>
        <v>2.5192672936787988</v>
      </c>
      <c r="BD105">
        <f t="shared" si="125"/>
        <v>574.53936461000285</v>
      </c>
      <c r="BE105" t="s">
        <v>871</v>
      </c>
      <c r="BF105">
        <v>634.08000000000004</v>
      </c>
      <c r="BG105">
        <f t="shared" si="126"/>
        <v>634.08000000000004</v>
      </c>
      <c r="BH105">
        <f t="shared" si="127"/>
        <v>0.34977227995936533</v>
      </c>
      <c r="BI105">
        <f t="shared" si="128"/>
        <v>0.25189154773700034</v>
      </c>
      <c r="BJ105">
        <f t="shared" si="129"/>
        <v>0.87808732818703261</v>
      </c>
      <c r="BK105">
        <f t="shared" si="130"/>
        <v>-4.6616622902496596</v>
      </c>
      <c r="BL105">
        <f t="shared" si="131"/>
        <v>1.007558825816981</v>
      </c>
      <c r="BM105">
        <f t="shared" si="132"/>
        <v>0.17961147881970607</v>
      </c>
      <c r="BN105">
        <f t="shared" si="133"/>
        <v>0.82038852118029393</v>
      </c>
      <c r="BO105">
        <v>7724</v>
      </c>
      <c r="BP105">
        <v>290.00000000000011</v>
      </c>
      <c r="BQ105">
        <v>950.38</v>
      </c>
      <c r="BR105">
        <v>265</v>
      </c>
      <c r="BS105">
        <v>10427.9</v>
      </c>
      <c r="BT105">
        <v>950.63</v>
      </c>
      <c r="BU105">
        <v>-0.25</v>
      </c>
      <c r="BV105">
        <v>300.00000000000011</v>
      </c>
      <c r="BW105">
        <v>38.200000000000003</v>
      </c>
      <c r="BX105">
        <v>975.16605407160205</v>
      </c>
      <c r="BY105">
        <v>0.90725094110872606</v>
      </c>
      <c r="BZ105">
        <v>-25.58107919031147</v>
      </c>
      <c r="CA105">
        <v>0.77536681431247922</v>
      </c>
      <c r="CB105">
        <v>0.97492134142050813</v>
      </c>
      <c r="CC105">
        <v>-1.133536195773082E-2</v>
      </c>
      <c r="CD105">
        <v>289.99999999999989</v>
      </c>
      <c r="CE105">
        <v>946.82</v>
      </c>
      <c r="CF105">
        <v>635</v>
      </c>
      <c r="CG105">
        <v>10419.9</v>
      </c>
      <c r="CH105">
        <v>950.62</v>
      </c>
      <c r="CI105">
        <v>-3.8</v>
      </c>
      <c r="CW105">
        <f t="shared" si="134"/>
        <v>1799.92</v>
      </c>
      <c r="CX105">
        <f t="shared" si="135"/>
        <v>1513.1180993217151</v>
      </c>
      <c r="CY105">
        <f t="shared" si="136"/>
        <v>0.8406585288911258</v>
      </c>
      <c r="CZ105">
        <f t="shared" si="137"/>
        <v>0.19131705778225172</v>
      </c>
      <c r="DA105">
        <v>6</v>
      </c>
      <c r="DB105">
        <v>0.5</v>
      </c>
      <c r="DC105" t="s">
        <v>419</v>
      </c>
      <c r="DD105">
        <v>2</v>
      </c>
      <c r="DE105">
        <v>1693345837.0999999</v>
      </c>
      <c r="DF105">
        <v>59.9086</v>
      </c>
      <c r="DG105">
        <v>69.921300000000002</v>
      </c>
      <c r="DH105">
        <v>28.814699999999998</v>
      </c>
      <c r="DI105">
        <v>22.762699999999999</v>
      </c>
      <c r="DJ105">
        <v>59.897300000000001</v>
      </c>
      <c r="DK105">
        <v>28.578399999999998</v>
      </c>
      <c r="DL105">
        <v>500.24900000000002</v>
      </c>
      <c r="DM105">
        <v>98.762600000000006</v>
      </c>
      <c r="DN105">
        <v>9.9601200000000001E-2</v>
      </c>
      <c r="DO105">
        <v>30.311900000000001</v>
      </c>
      <c r="DP105">
        <v>29.989799999999999</v>
      </c>
      <c r="DQ105">
        <v>999.9</v>
      </c>
      <c r="DR105">
        <v>0</v>
      </c>
      <c r="DS105">
        <v>0</v>
      </c>
      <c r="DT105">
        <v>10027.5</v>
      </c>
      <c r="DU105">
        <v>0</v>
      </c>
      <c r="DV105">
        <v>1074.6500000000001</v>
      </c>
      <c r="DW105">
        <v>-10.012700000000001</v>
      </c>
      <c r="DX105">
        <v>61.686</v>
      </c>
      <c r="DY105">
        <v>71.549899999999994</v>
      </c>
      <c r="DZ105">
        <v>6.05199</v>
      </c>
      <c r="EA105">
        <v>69.921300000000002</v>
      </c>
      <c r="EB105">
        <v>22.762699999999999</v>
      </c>
      <c r="EC105">
        <v>2.8458100000000002</v>
      </c>
      <c r="ED105">
        <v>2.2481</v>
      </c>
      <c r="EE105">
        <v>23.1523</v>
      </c>
      <c r="EF105">
        <v>19.3093</v>
      </c>
      <c r="EG105">
        <v>1799.92</v>
      </c>
      <c r="EH105">
        <v>0.97799000000000003</v>
      </c>
      <c r="EI105">
        <v>2.2009899999999999E-2</v>
      </c>
      <c r="EJ105">
        <v>0</v>
      </c>
      <c r="EK105">
        <v>889.23599999999999</v>
      </c>
      <c r="EL105">
        <v>5.0010300000000001</v>
      </c>
      <c r="EM105">
        <v>16488.900000000001</v>
      </c>
      <c r="EN105">
        <v>14700.4</v>
      </c>
      <c r="EO105">
        <v>46.311999999999998</v>
      </c>
      <c r="EP105">
        <v>48.125</v>
      </c>
      <c r="EQ105">
        <v>47.5</v>
      </c>
      <c r="ER105">
        <v>47.061999999999998</v>
      </c>
      <c r="ES105">
        <v>47.875</v>
      </c>
      <c r="ET105">
        <v>1755.41</v>
      </c>
      <c r="EU105">
        <v>39.51</v>
      </c>
      <c r="EV105">
        <v>0</v>
      </c>
      <c r="EW105">
        <v>123.5999999046326</v>
      </c>
      <c r="EX105">
        <v>0</v>
      </c>
      <c r="EY105">
        <v>889.24936000000002</v>
      </c>
      <c r="EZ105">
        <v>-1.1368461376976551</v>
      </c>
      <c r="FA105">
        <v>-323.60000019562563</v>
      </c>
      <c r="FB105">
        <v>16595.196</v>
      </c>
      <c r="FC105">
        <v>15</v>
      </c>
      <c r="FD105">
        <v>1693345809.0999999</v>
      </c>
      <c r="FE105" t="s">
        <v>872</v>
      </c>
      <c r="FF105">
        <v>1693345800.5999999</v>
      </c>
      <c r="FG105">
        <v>1693345809.0999999</v>
      </c>
      <c r="FH105">
        <v>103</v>
      </c>
      <c r="FI105">
        <v>0.10199999999999999</v>
      </c>
      <c r="FJ105">
        <v>-7.0000000000000001E-3</v>
      </c>
      <c r="FK105">
        <v>3.1E-2</v>
      </c>
      <c r="FL105">
        <v>9.9000000000000005E-2</v>
      </c>
      <c r="FM105">
        <v>70</v>
      </c>
      <c r="FN105">
        <v>23</v>
      </c>
      <c r="FO105">
        <v>0.37</v>
      </c>
      <c r="FP105">
        <v>0.04</v>
      </c>
      <c r="FQ105">
        <v>7.9890475916448827</v>
      </c>
      <c r="FR105">
        <v>0.18449741761708799</v>
      </c>
      <c r="FS105">
        <v>4.4383782792139732E-2</v>
      </c>
      <c r="FT105">
        <v>1</v>
      </c>
      <c r="FU105">
        <v>0.37389291442831329</v>
      </c>
      <c r="FV105">
        <v>4.529045289710032E-2</v>
      </c>
      <c r="FW105">
        <v>3.9933367184965558E-3</v>
      </c>
      <c r="FX105">
        <v>1</v>
      </c>
      <c r="FY105">
        <v>2</v>
      </c>
      <c r="FZ105">
        <v>2</v>
      </c>
      <c r="GA105" t="s">
        <v>421</v>
      </c>
      <c r="GB105">
        <v>2.89846</v>
      </c>
      <c r="GC105">
        <v>2.81785</v>
      </c>
      <c r="GD105">
        <v>1.61986E-2</v>
      </c>
      <c r="GE105">
        <v>1.8890199999999999E-2</v>
      </c>
      <c r="GF105">
        <v>0.13405600000000001</v>
      </c>
      <c r="GG105">
        <v>0.113774</v>
      </c>
      <c r="GH105">
        <v>27233.3</v>
      </c>
      <c r="GI105">
        <v>27278.400000000001</v>
      </c>
      <c r="GJ105">
        <v>24565.5</v>
      </c>
      <c r="GK105">
        <v>24837.599999999999</v>
      </c>
      <c r="GL105">
        <v>28260.6</v>
      </c>
      <c r="GM105">
        <v>28779.3</v>
      </c>
      <c r="GN105">
        <v>33218.800000000003</v>
      </c>
      <c r="GO105">
        <v>33164.9</v>
      </c>
      <c r="GP105">
        <v>1.9460999999999999</v>
      </c>
      <c r="GQ105">
        <v>1.7829999999999999</v>
      </c>
      <c r="GR105">
        <v>1.6748900000000001E-2</v>
      </c>
      <c r="GS105">
        <v>0</v>
      </c>
      <c r="GT105">
        <v>29.717199999999998</v>
      </c>
      <c r="GU105">
        <v>999.9</v>
      </c>
      <c r="GV105">
        <v>46.4</v>
      </c>
      <c r="GW105">
        <v>39.4</v>
      </c>
      <c r="GX105">
        <v>33.729599999999998</v>
      </c>
      <c r="GY105">
        <v>62.069800000000001</v>
      </c>
      <c r="GZ105">
        <v>23.165099999999999</v>
      </c>
      <c r="HA105">
        <v>1</v>
      </c>
      <c r="HB105">
        <v>0.569268</v>
      </c>
      <c r="HC105">
        <v>2.6268400000000001</v>
      </c>
      <c r="HD105">
        <v>20.194299999999998</v>
      </c>
      <c r="HE105">
        <v>5.2346599999999999</v>
      </c>
      <c r="HF105">
        <v>11.9201</v>
      </c>
      <c r="HG105">
        <v>4.9598000000000004</v>
      </c>
      <c r="HH105">
        <v>3.2890000000000001</v>
      </c>
      <c r="HI105">
        <v>9999</v>
      </c>
      <c r="HJ105">
        <v>9999</v>
      </c>
      <c r="HK105">
        <v>9999</v>
      </c>
      <c r="HL105">
        <v>882</v>
      </c>
      <c r="HM105">
        <v>1.88063</v>
      </c>
      <c r="HN105">
        <v>1.87775</v>
      </c>
      <c r="HO105">
        <v>1.8856900000000001</v>
      </c>
      <c r="HP105">
        <v>1.88354</v>
      </c>
      <c r="HQ105">
        <v>1.88096</v>
      </c>
      <c r="HR105">
        <v>1.8800399999999999</v>
      </c>
      <c r="HS105">
        <v>1.8811800000000001</v>
      </c>
      <c r="HT105">
        <v>1.8806499999999999</v>
      </c>
      <c r="HU105">
        <v>5</v>
      </c>
      <c r="HV105">
        <v>0</v>
      </c>
      <c r="HW105">
        <v>0</v>
      </c>
      <c r="HX105">
        <v>0</v>
      </c>
      <c r="HY105" t="s">
        <v>422</v>
      </c>
      <c r="HZ105" t="s">
        <v>423</v>
      </c>
      <c r="IA105" t="s">
        <v>424</v>
      </c>
      <c r="IB105" t="s">
        <v>424</v>
      </c>
      <c r="IC105" t="s">
        <v>424</v>
      </c>
      <c r="ID105" t="s">
        <v>424</v>
      </c>
      <c r="IE105">
        <v>0</v>
      </c>
      <c r="IF105">
        <v>100</v>
      </c>
      <c r="IG105">
        <v>100</v>
      </c>
      <c r="IH105">
        <v>1.0999999999999999E-2</v>
      </c>
      <c r="II105">
        <v>0.23630000000000001</v>
      </c>
      <c r="IJ105">
        <v>-0.1134005538003338</v>
      </c>
      <c r="IK105">
        <v>2.2153513873161218E-3</v>
      </c>
      <c r="IL105">
        <v>-2.2967369670569612E-6</v>
      </c>
      <c r="IM105">
        <v>7.7859689150384122E-10</v>
      </c>
      <c r="IN105">
        <v>-0.1571898803346313</v>
      </c>
      <c r="IO105">
        <v>-4.1434251034592161E-3</v>
      </c>
      <c r="IP105">
        <v>8.3987709687394815E-4</v>
      </c>
      <c r="IQ105">
        <v>-7.4586254598011197E-6</v>
      </c>
      <c r="IR105">
        <v>2</v>
      </c>
      <c r="IS105">
        <v>1930</v>
      </c>
      <c r="IT105">
        <v>2</v>
      </c>
      <c r="IU105">
        <v>41</v>
      </c>
      <c r="IV105">
        <v>0.6</v>
      </c>
      <c r="IW105">
        <v>0.5</v>
      </c>
      <c r="IX105">
        <v>0.29785200000000001</v>
      </c>
      <c r="IY105">
        <v>2.5732400000000002</v>
      </c>
      <c r="IZ105">
        <v>1.24512</v>
      </c>
      <c r="JA105">
        <v>2.2607400000000002</v>
      </c>
      <c r="JB105">
        <v>1.4501999999999999</v>
      </c>
      <c r="JC105">
        <v>2.2265600000000001</v>
      </c>
      <c r="JD105">
        <v>41.3001</v>
      </c>
      <c r="JE105">
        <v>15.611800000000001</v>
      </c>
      <c r="JF105">
        <v>18</v>
      </c>
      <c r="JG105">
        <v>497.61200000000002</v>
      </c>
      <c r="JH105">
        <v>436.125</v>
      </c>
      <c r="JI105">
        <v>26.110299999999999</v>
      </c>
      <c r="JJ105">
        <v>34.281399999999998</v>
      </c>
      <c r="JK105">
        <v>30.000299999999999</v>
      </c>
      <c r="JL105">
        <v>34.183500000000002</v>
      </c>
      <c r="JM105">
        <v>34.138100000000001</v>
      </c>
      <c r="JN105">
        <v>6.0401100000000003</v>
      </c>
      <c r="JO105">
        <v>39.295200000000001</v>
      </c>
      <c r="JP105">
        <v>0</v>
      </c>
      <c r="JQ105">
        <v>26.1174</v>
      </c>
      <c r="JR105">
        <v>70</v>
      </c>
      <c r="JS105">
        <v>22.666899999999998</v>
      </c>
      <c r="JT105">
        <v>99.1477</v>
      </c>
      <c r="JU105">
        <v>98.993600000000001</v>
      </c>
    </row>
    <row r="106" spans="1:281" x14ac:dyDescent="0.25">
      <c r="A106">
        <v>90</v>
      </c>
      <c r="B106">
        <v>1693345946.5999999</v>
      </c>
      <c r="C106">
        <v>23233.5</v>
      </c>
      <c r="D106" t="s">
        <v>873</v>
      </c>
      <c r="E106" t="s">
        <v>874</v>
      </c>
      <c r="F106" t="s">
        <v>413</v>
      </c>
      <c r="G106" t="s">
        <v>636</v>
      </c>
      <c r="H106" t="s">
        <v>31</v>
      </c>
      <c r="I106" t="s">
        <v>31</v>
      </c>
      <c r="J106">
        <v>1693345946.5999999</v>
      </c>
      <c r="K106">
        <f t="shared" si="92"/>
        <v>5.668852804650279E-3</v>
      </c>
      <c r="L106">
        <f t="shared" si="93"/>
        <v>5.6688528046502791</v>
      </c>
      <c r="M106">
        <f t="shared" si="94"/>
        <v>3.7567692697958979</v>
      </c>
      <c r="N106">
        <f t="shared" si="95"/>
        <v>25.333200000000001</v>
      </c>
      <c r="O106">
        <f t="shared" si="96"/>
        <v>9.4794656272483415</v>
      </c>
      <c r="P106">
        <f t="shared" si="97"/>
        <v>0.93715151789890516</v>
      </c>
      <c r="Q106">
        <f t="shared" si="98"/>
        <v>2.5044710078376</v>
      </c>
      <c r="R106">
        <f t="shared" si="99"/>
        <v>0.41541231397321454</v>
      </c>
      <c r="S106">
        <f t="shared" si="100"/>
        <v>2.9072845097796289</v>
      </c>
      <c r="T106">
        <f t="shared" si="101"/>
        <v>0.38503052084178585</v>
      </c>
      <c r="U106">
        <f t="shared" si="102"/>
        <v>0.24318833138844348</v>
      </c>
      <c r="V106">
        <f t="shared" si="103"/>
        <v>344.32699864435506</v>
      </c>
      <c r="W106">
        <f t="shared" si="104"/>
        <v>30.92343572937299</v>
      </c>
      <c r="X106">
        <f t="shared" si="105"/>
        <v>29.9711</v>
      </c>
      <c r="Y106">
        <f t="shared" si="106"/>
        <v>4.2533825721724847</v>
      </c>
      <c r="Z106">
        <f t="shared" si="107"/>
        <v>65.513182465038128</v>
      </c>
      <c r="AA106">
        <f t="shared" si="108"/>
        <v>2.8501293704528003</v>
      </c>
      <c r="AB106">
        <f t="shared" si="109"/>
        <v>4.3504669796400215</v>
      </c>
      <c r="AC106">
        <f t="shared" si="110"/>
        <v>1.4032532017196844</v>
      </c>
      <c r="AD106">
        <f t="shared" si="111"/>
        <v>-249.99640868507731</v>
      </c>
      <c r="AE106">
        <f t="shared" si="112"/>
        <v>61.660541348053535</v>
      </c>
      <c r="AF106">
        <f t="shared" si="113"/>
        <v>4.7236793149719203</v>
      </c>
      <c r="AG106">
        <f t="shared" si="114"/>
        <v>160.71481062230322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51630.412958336186</v>
      </c>
      <c r="AM106" t="s">
        <v>416</v>
      </c>
      <c r="AN106">
        <v>10366.9</v>
      </c>
      <c r="AO106">
        <v>993.59653846153856</v>
      </c>
      <c r="AP106">
        <v>3431.87</v>
      </c>
      <c r="AQ106">
        <f t="shared" si="118"/>
        <v>0.71047955241266758</v>
      </c>
      <c r="AR106">
        <v>-3.9894345373445681</v>
      </c>
      <c r="AS106" t="s">
        <v>875</v>
      </c>
      <c r="AT106">
        <v>10441.4</v>
      </c>
      <c r="AU106">
        <v>895.11236000000008</v>
      </c>
      <c r="AV106">
        <v>950.98606420591261</v>
      </c>
      <c r="AW106">
        <f t="shared" si="119"/>
        <v>5.875344162121654E-2</v>
      </c>
      <c r="AX106">
        <v>0.5</v>
      </c>
      <c r="AY106">
        <f t="shared" si="120"/>
        <v>1512.9995993221773</v>
      </c>
      <c r="AZ106">
        <f t="shared" si="121"/>
        <v>3.7567692697958979</v>
      </c>
      <c r="BA106">
        <f t="shared" si="122"/>
        <v>44.446966815849784</v>
      </c>
      <c r="BB106">
        <f t="shared" si="123"/>
        <v>5.1197659342479395E-3</v>
      </c>
      <c r="BC106">
        <f t="shared" si="124"/>
        <v>2.6087489913594708</v>
      </c>
      <c r="BD106">
        <f t="shared" si="125"/>
        <v>566.05957037734402</v>
      </c>
      <c r="BE106" t="s">
        <v>876</v>
      </c>
      <c r="BF106">
        <v>640.02</v>
      </c>
      <c r="BG106">
        <f t="shared" si="126"/>
        <v>640.02</v>
      </c>
      <c r="BH106">
        <f t="shared" si="127"/>
        <v>0.32699329244700748</v>
      </c>
      <c r="BI106">
        <f t="shared" si="128"/>
        <v>0.1796778190205173</v>
      </c>
      <c r="BJ106">
        <f t="shared" si="129"/>
        <v>0.8886164857689659</v>
      </c>
      <c r="BK106">
        <f t="shared" si="130"/>
        <v>-1.3112668934571976</v>
      </c>
      <c r="BL106">
        <f t="shared" si="131"/>
        <v>1.0174756748690281</v>
      </c>
      <c r="BM106">
        <f t="shared" si="132"/>
        <v>0.12847258385473692</v>
      </c>
      <c r="BN106">
        <f t="shared" si="133"/>
        <v>0.87152741614526308</v>
      </c>
      <c r="BO106">
        <v>7726</v>
      </c>
      <c r="BP106">
        <v>290.00000000000011</v>
      </c>
      <c r="BQ106">
        <v>937.41</v>
      </c>
      <c r="BR106">
        <v>165</v>
      </c>
      <c r="BS106">
        <v>10441.4</v>
      </c>
      <c r="BT106">
        <v>935.26</v>
      </c>
      <c r="BU106">
        <v>2.15</v>
      </c>
      <c r="BV106">
        <v>300.00000000000011</v>
      </c>
      <c r="BW106">
        <v>38.200000000000003</v>
      </c>
      <c r="BX106">
        <v>950.98606420591261</v>
      </c>
      <c r="BY106">
        <v>0.83286325511470216</v>
      </c>
      <c r="BZ106">
        <v>-16.41845912863328</v>
      </c>
      <c r="CA106">
        <v>0.71185633981046792</v>
      </c>
      <c r="CB106">
        <v>0.94999654869297179</v>
      </c>
      <c r="CC106">
        <v>-1.1336046273637381E-2</v>
      </c>
      <c r="CD106">
        <v>289.99999999999989</v>
      </c>
      <c r="CE106">
        <v>932.73</v>
      </c>
      <c r="CF106">
        <v>625</v>
      </c>
      <c r="CG106">
        <v>10421.799999999999</v>
      </c>
      <c r="CH106">
        <v>935.23</v>
      </c>
      <c r="CI106">
        <v>-2.5</v>
      </c>
      <c r="CW106">
        <f t="shared" si="134"/>
        <v>1799.78</v>
      </c>
      <c r="CX106">
        <f t="shared" si="135"/>
        <v>1512.9995993221773</v>
      </c>
      <c r="CY106">
        <f t="shared" si="136"/>
        <v>0.84065808005543863</v>
      </c>
      <c r="CZ106">
        <f t="shared" si="137"/>
        <v>0.19131616011087749</v>
      </c>
      <c r="DA106">
        <v>6</v>
      </c>
      <c r="DB106">
        <v>0.5</v>
      </c>
      <c r="DC106" t="s">
        <v>419</v>
      </c>
      <c r="DD106">
        <v>2</v>
      </c>
      <c r="DE106">
        <v>1693345946.5999999</v>
      </c>
      <c r="DF106">
        <v>25.333200000000001</v>
      </c>
      <c r="DG106">
        <v>30.009399999999999</v>
      </c>
      <c r="DH106">
        <v>28.829599999999999</v>
      </c>
      <c r="DI106">
        <v>22.229099999999999</v>
      </c>
      <c r="DJ106">
        <v>25.340399999999999</v>
      </c>
      <c r="DK106">
        <v>28.588000000000001</v>
      </c>
      <c r="DL106">
        <v>500.45499999999998</v>
      </c>
      <c r="DM106">
        <v>98.760900000000007</v>
      </c>
      <c r="DN106">
        <v>0.100318</v>
      </c>
      <c r="DO106">
        <v>30.3645</v>
      </c>
      <c r="DP106">
        <v>29.9711</v>
      </c>
      <c r="DQ106">
        <v>999.9</v>
      </c>
      <c r="DR106">
        <v>0</v>
      </c>
      <c r="DS106">
        <v>0</v>
      </c>
      <c r="DT106">
        <v>9997.5</v>
      </c>
      <c r="DU106">
        <v>0</v>
      </c>
      <c r="DV106">
        <v>1136.32</v>
      </c>
      <c r="DW106">
        <v>-4.6761999999999997</v>
      </c>
      <c r="DX106">
        <v>26.0852</v>
      </c>
      <c r="DY106">
        <v>30.691700000000001</v>
      </c>
      <c r="DZ106">
        <v>6.60053</v>
      </c>
      <c r="EA106">
        <v>30.009399999999999</v>
      </c>
      <c r="EB106">
        <v>22.229099999999999</v>
      </c>
      <c r="EC106">
        <v>2.8472400000000002</v>
      </c>
      <c r="ED106">
        <v>2.19536</v>
      </c>
      <c r="EE106">
        <v>23.160499999999999</v>
      </c>
      <c r="EF106">
        <v>18.9285</v>
      </c>
      <c r="EG106">
        <v>1799.78</v>
      </c>
      <c r="EH106">
        <v>0.97800600000000004</v>
      </c>
      <c r="EI106">
        <v>2.19945E-2</v>
      </c>
      <c r="EJ106">
        <v>0</v>
      </c>
      <c r="EK106">
        <v>894.87800000000004</v>
      </c>
      <c r="EL106">
        <v>5.0010300000000001</v>
      </c>
      <c r="EM106">
        <v>16697.900000000001</v>
      </c>
      <c r="EN106">
        <v>14699.3</v>
      </c>
      <c r="EO106">
        <v>46.186999999999998</v>
      </c>
      <c r="EP106">
        <v>48</v>
      </c>
      <c r="EQ106">
        <v>47.436999999999998</v>
      </c>
      <c r="ER106">
        <v>47</v>
      </c>
      <c r="ES106">
        <v>47.811999999999998</v>
      </c>
      <c r="ET106">
        <v>1755.3</v>
      </c>
      <c r="EU106">
        <v>39.479999999999997</v>
      </c>
      <c r="EV106">
        <v>0</v>
      </c>
      <c r="EW106">
        <v>107.6000001430511</v>
      </c>
      <c r="EX106">
        <v>0</v>
      </c>
      <c r="EY106">
        <v>895.11236000000008</v>
      </c>
      <c r="EZ106">
        <v>-2.7320769284929889</v>
      </c>
      <c r="FA106">
        <v>81.084614631463523</v>
      </c>
      <c r="FB106">
        <v>16691.864000000001</v>
      </c>
      <c r="FC106">
        <v>15</v>
      </c>
      <c r="FD106">
        <v>1693345912.5999999</v>
      </c>
      <c r="FE106" t="s">
        <v>877</v>
      </c>
      <c r="FF106">
        <v>1693345897.5999999</v>
      </c>
      <c r="FG106">
        <v>1693345912.5999999</v>
      </c>
      <c r="FH106">
        <v>104</v>
      </c>
      <c r="FI106">
        <v>5.1999999999999998E-2</v>
      </c>
      <c r="FJ106">
        <v>5.0000000000000001E-3</v>
      </c>
      <c r="FK106">
        <v>3.0000000000000001E-3</v>
      </c>
      <c r="FL106">
        <v>9.0999999999999998E-2</v>
      </c>
      <c r="FM106">
        <v>30</v>
      </c>
      <c r="FN106">
        <v>22</v>
      </c>
      <c r="FO106">
        <v>0.73</v>
      </c>
      <c r="FP106">
        <v>0.04</v>
      </c>
      <c r="FQ106">
        <v>3.70665413273916</v>
      </c>
      <c r="FR106">
        <v>-4.0664933575628753E-2</v>
      </c>
      <c r="FS106">
        <v>6.0791890501674897E-2</v>
      </c>
      <c r="FT106">
        <v>1</v>
      </c>
      <c r="FU106">
        <v>0.41581111132587989</v>
      </c>
      <c r="FV106">
        <v>3.0014275326731898E-2</v>
      </c>
      <c r="FW106">
        <v>3.200476287604568E-3</v>
      </c>
      <c r="FX106">
        <v>1</v>
      </c>
      <c r="FY106">
        <v>2</v>
      </c>
      <c r="FZ106">
        <v>2</v>
      </c>
      <c r="GA106" t="s">
        <v>421</v>
      </c>
      <c r="GB106">
        <v>2.8989500000000001</v>
      </c>
      <c r="GC106">
        <v>2.8182999999999998</v>
      </c>
      <c r="GD106">
        <v>6.9013099999999999E-3</v>
      </c>
      <c r="GE106">
        <v>8.1902299999999997E-3</v>
      </c>
      <c r="GF106">
        <v>0.13408100000000001</v>
      </c>
      <c r="GG106">
        <v>0.11192000000000001</v>
      </c>
      <c r="GH106">
        <v>27488.7</v>
      </c>
      <c r="GI106">
        <v>27574.1</v>
      </c>
      <c r="GJ106">
        <v>24564.3</v>
      </c>
      <c r="GK106">
        <v>24836.7</v>
      </c>
      <c r="GL106">
        <v>28258.3</v>
      </c>
      <c r="GM106">
        <v>28838.5</v>
      </c>
      <c r="GN106">
        <v>33217</v>
      </c>
      <c r="GO106">
        <v>33163.599999999999</v>
      </c>
      <c r="GP106">
        <v>1.9464999999999999</v>
      </c>
      <c r="GQ106">
        <v>1.7822</v>
      </c>
      <c r="GR106">
        <v>1.6540300000000001E-2</v>
      </c>
      <c r="GS106">
        <v>0</v>
      </c>
      <c r="GT106">
        <v>29.701799999999999</v>
      </c>
      <c r="GU106">
        <v>999.9</v>
      </c>
      <c r="GV106">
        <v>46.4</v>
      </c>
      <c r="GW106">
        <v>39.4</v>
      </c>
      <c r="GX106">
        <v>33.7316</v>
      </c>
      <c r="GY106">
        <v>62.119799999999998</v>
      </c>
      <c r="GZ106">
        <v>23.000800000000002</v>
      </c>
      <c r="HA106">
        <v>1</v>
      </c>
      <c r="HB106">
        <v>0.56975600000000004</v>
      </c>
      <c r="HC106">
        <v>2.3712599999999999</v>
      </c>
      <c r="HD106">
        <v>20.1981</v>
      </c>
      <c r="HE106">
        <v>5.23346</v>
      </c>
      <c r="HF106">
        <v>11.9201</v>
      </c>
      <c r="HG106">
        <v>4.9598000000000004</v>
      </c>
      <c r="HH106">
        <v>3.2890000000000001</v>
      </c>
      <c r="HI106">
        <v>9999</v>
      </c>
      <c r="HJ106">
        <v>9999</v>
      </c>
      <c r="HK106">
        <v>9999</v>
      </c>
      <c r="HL106">
        <v>882</v>
      </c>
      <c r="HM106">
        <v>1.8806499999999999</v>
      </c>
      <c r="HN106">
        <v>1.8777699999999999</v>
      </c>
      <c r="HO106">
        <v>1.88571</v>
      </c>
      <c r="HP106">
        <v>1.88354</v>
      </c>
      <c r="HQ106">
        <v>1.881</v>
      </c>
      <c r="HR106">
        <v>1.8800399999999999</v>
      </c>
      <c r="HS106">
        <v>1.8812599999999999</v>
      </c>
      <c r="HT106">
        <v>1.8806799999999999</v>
      </c>
      <c r="HU106">
        <v>5</v>
      </c>
      <c r="HV106">
        <v>0</v>
      </c>
      <c r="HW106">
        <v>0</v>
      </c>
      <c r="HX106">
        <v>0</v>
      </c>
      <c r="HY106" t="s">
        <v>422</v>
      </c>
      <c r="HZ106" t="s">
        <v>423</v>
      </c>
      <c r="IA106" t="s">
        <v>424</v>
      </c>
      <c r="IB106" t="s">
        <v>424</v>
      </c>
      <c r="IC106" t="s">
        <v>424</v>
      </c>
      <c r="ID106" t="s">
        <v>424</v>
      </c>
      <c r="IE106">
        <v>0</v>
      </c>
      <c r="IF106">
        <v>100</v>
      </c>
      <c r="IG106">
        <v>100</v>
      </c>
      <c r="IH106">
        <v>-7.0000000000000001E-3</v>
      </c>
      <c r="II106">
        <v>0.24160000000000001</v>
      </c>
      <c r="IJ106">
        <v>-6.1909273672030633E-2</v>
      </c>
      <c r="IK106">
        <v>2.2153513873161218E-3</v>
      </c>
      <c r="IL106">
        <v>-2.2967369670569612E-6</v>
      </c>
      <c r="IM106">
        <v>7.7859689150384122E-10</v>
      </c>
      <c r="IN106">
        <v>-0.15207853203403501</v>
      </c>
      <c r="IO106">
        <v>-4.1434251034592161E-3</v>
      </c>
      <c r="IP106">
        <v>8.3987709687394815E-4</v>
      </c>
      <c r="IQ106">
        <v>-7.4586254598011197E-6</v>
      </c>
      <c r="IR106">
        <v>2</v>
      </c>
      <c r="IS106">
        <v>1930</v>
      </c>
      <c r="IT106">
        <v>2</v>
      </c>
      <c r="IU106">
        <v>41</v>
      </c>
      <c r="IV106">
        <v>0.8</v>
      </c>
      <c r="IW106">
        <v>0.6</v>
      </c>
      <c r="IX106">
        <v>0.21240200000000001</v>
      </c>
      <c r="IY106">
        <v>2.5903299999999998</v>
      </c>
      <c r="IZ106">
        <v>1.24512</v>
      </c>
      <c r="JA106">
        <v>2.2607400000000002</v>
      </c>
      <c r="JB106">
        <v>1.4501999999999999</v>
      </c>
      <c r="JC106">
        <v>2.4194300000000002</v>
      </c>
      <c r="JD106">
        <v>41.3001</v>
      </c>
      <c r="JE106">
        <v>15.611800000000001</v>
      </c>
      <c r="JF106">
        <v>18</v>
      </c>
      <c r="JG106">
        <v>497.96199999999999</v>
      </c>
      <c r="JH106">
        <v>435.61700000000002</v>
      </c>
      <c r="JI106">
        <v>26.401800000000001</v>
      </c>
      <c r="JJ106">
        <v>34.293900000000001</v>
      </c>
      <c r="JK106">
        <v>30.0001</v>
      </c>
      <c r="JL106">
        <v>34.192900000000002</v>
      </c>
      <c r="JM106">
        <v>34.141199999999998</v>
      </c>
      <c r="JN106">
        <v>4.3198999999999996</v>
      </c>
      <c r="JO106">
        <v>40.6736</v>
      </c>
      <c r="JP106">
        <v>0</v>
      </c>
      <c r="JQ106">
        <v>26.413699999999999</v>
      </c>
      <c r="JR106">
        <v>30</v>
      </c>
      <c r="JS106">
        <v>22.145800000000001</v>
      </c>
      <c r="JT106">
        <v>99.142600000000002</v>
      </c>
      <c r="JU106">
        <v>98.989699999999999</v>
      </c>
    </row>
    <row r="107" spans="1:281" x14ac:dyDescent="0.25">
      <c r="A107">
        <v>91</v>
      </c>
      <c r="B107">
        <v>1693346046.0999999</v>
      </c>
      <c r="C107">
        <v>23333</v>
      </c>
      <c r="D107" t="s">
        <v>878</v>
      </c>
      <c r="E107" t="s">
        <v>879</v>
      </c>
      <c r="F107" t="s">
        <v>413</v>
      </c>
      <c r="G107" t="s">
        <v>636</v>
      </c>
      <c r="H107" t="s">
        <v>31</v>
      </c>
      <c r="I107" t="s">
        <v>31</v>
      </c>
      <c r="J107">
        <v>1693346046.0999999</v>
      </c>
      <c r="K107">
        <f t="shared" si="92"/>
        <v>5.9957501674286658E-3</v>
      </c>
      <c r="L107">
        <f t="shared" si="93"/>
        <v>5.9957501674286657</v>
      </c>
      <c r="M107">
        <f t="shared" si="94"/>
        <v>1.2565463302440134</v>
      </c>
      <c r="N107">
        <f t="shared" si="95"/>
        <v>8.4622299999999999</v>
      </c>
      <c r="O107">
        <f t="shared" si="96"/>
        <v>3.4150726535495264</v>
      </c>
      <c r="P107">
        <f t="shared" si="97"/>
        <v>0.33761176779366159</v>
      </c>
      <c r="Q107">
        <f t="shared" si="98"/>
        <v>0.83657032210050597</v>
      </c>
      <c r="R107">
        <f t="shared" si="99"/>
        <v>0.43883937252344579</v>
      </c>
      <c r="S107">
        <f t="shared" si="100"/>
        <v>2.9111884393359118</v>
      </c>
      <c r="T107">
        <f t="shared" si="101"/>
        <v>0.40512491415930957</v>
      </c>
      <c r="U107">
        <f t="shared" si="102"/>
        <v>0.25601599301031486</v>
      </c>
      <c r="V107">
        <f t="shared" si="103"/>
        <v>344.362398643804</v>
      </c>
      <c r="W107">
        <f t="shared" si="104"/>
        <v>30.903613500698068</v>
      </c>
      <c r="X107">
        <f t="shared" si="105"/>
        <v>30.0244</v>
      </c>
      <c r="Y107">
        <f t="shared" si="106"/>
        <v>4.2664245088151089</v>
      </c>
      <c r="Z107">
        <f t="shared" si="107"/>
        <v>65.401273633171328</v>
      </c>
      <c r="AA107">
        <f t="shared" si="108"/>
        <v>2.85603593242578</v>
      </c>
      <c r="AB107">
        <f t="shared" si="109"/>
        <v>4.366942375533811</v>
      </c>
      <c r="AC107">
        <f t="shared" si="110"/>
        <v>1.4103885763893289</v>
      </c>
      <c r="AD107">
        <f t="shared" si="111"/>
        <v>-264.41258238360416</v>
      </c>
      <c r="AE107">
        <f t="shared" si="112"/>
        <v>63.73657920255387</v>
      </c>
      <c r="AF107">
        <f t="shared" si="113"/>
        <v>4.8790512115818823</v>
      </c>
      <c r="AG107">
        <f t="shared" si="114"/>
        <v>148.56544667433559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51729.843712005466</v>
      </c>
      <c r="AM107" t="s">
        <v>416</v>
      </c>
      <c r="AN107">
        <v>10366.9</v>
      </c>
      <c r="AO107">
        <v>993.59653846153856</v>
      </c>
      <c r="AP107">
        <v>3431.87</v>
      </c>
      <c r="AQ107">
        <f t="shared" si="118"/>
        <v>0.71047955241266758</v>
      </c>
      <c r="AR107">
        <v>-3.9894345373445681</v>
      </c>
      <c r="AS107" t="s">
        <v>880</v>
      </c>
      <c r="AT107">
        <v>10454</v>
      </c>
      <c r="AU107">
        <v>897.46888461538458</v>
      </c>
      <c r="AV107">
        <v>943.35191173870419</v>
      </c>
      <c r="AW107">
        <f t="shared" si="119"/>
        <v>4.8638293464367877E-2</v>
      </c>
      <c r="AX107">
        <v>0.5</v>
      </c>
      <c r="AY107">
        <f t="shared" si="120"/>
        <v>1513.1513993219019</v>
      </c>
      <c r="AZ107">
        <f t="shared" si="121"/>
        <v>1.2565463302440134</v>
      </c>
      <c r="BA107">
        <f t="shared" si="122"/>
        <v>36.798550908118784</v>
      </c>
      <c r="BB107">
        <f t="shared" si="123"/>
        <v>3.4669239772963209E-3</v>
      </c>
      <c r="BC107">
        <f t="shared" si="124"/>
        <v>2.6379530875966273</v>
      </c>
      <c r="BD107">
        <f t="shared" si="125"/>
        <v>563.34594275790096</v>
      </c>
      <c r="BE107" t="s">
        <v>881</v>
      </c>
      <c r="BF107">
        <v>647.28</v>
      </c>
      <c r="BG107">
        <f t="shared" si="126"/>
        <v>647.28</v>
      </c>
      <c r="BH107">
        <f t="shared" si="127"/>
        <v>0.31385096913940658</v>
      </c>
      <c r="BI107">
        <f t="shared" si="128"/>
        <v>0.15497257694547292</v>
      </c>
      <c r="BJ107">
        <f t="shared" si="129"/>
        <v>0.89367486353872405</v>
      </c>
      <c r="BK107">
        <f t="shared" si="130"/>
        <v>-0.91319271563952986</v>
      </c>
      <c r="BL107">
        <f t="shared" si="131"/>
        <v>1.0206066413449506</v>
      </c>
      <c r="BM107">
        <f t="shared" si="132"/>
        <v>0.11177061547738718</v>
      </c>
      <c r="BN107">
        <f t="shared" si="133"/>
        <v>0.8882293845226128</v>
      </c>
      <c r="BO107">
        <v>7728</v>
      </c>
      <c r="BP107">
        <v>290.00000000000011</v>
      </c>
      <c r="BQ107">
        <v>931.57</v>
      </c>
      <c r="BR107">
        <v>85</v>
      </c>
      <c r="BS107">
        <v>10454</v>
      </c>
      <c r="BT107">
        <v>928.9</v>
      </c>
      <c r="BU107">
        <v>2.67</v>
      </c>
      <c r="BV107">
        <v>300.00000000000011</v>
      </c>
      <c r="BW107">
        <v>38.200000000000003</v>
      </c>
      <c r="BX107">
        <v>943.35191173870419</v>
      </c>
      <c r="BY107">
        <v>1.040299477763889</v>
      </c>
      <c r="BZ107">
        <v>-15.1126850916992</v>
      </c>
      <c r="CA107">
        <v>0.8890074466945922</v>
      </c>
      <c r="CB107">
        <v>0.91166721926039151</v>
      </c>
      <c r="CC107">
        <v>-1.1334831813125701E-2</v>
      </c>
      <c r="CD107">
        <v>289.99999999999989</v>
      </c>
      <c r="CE107">
        <v>926.57</v>
      </c>
      <c r="CF107">
        <v>645</v>
      </c>
      <c r="CG107">
        <v>10418.4</v>
      </c>
      <c r="CH107">
        <v>928.85</v>
      </c>
      <c r="CI107">
        <v>-2.2799999999999998</v>
      </c>
      <c r="CW107">
        <f t="shared" si="134"/>
        <v>1799.96</v>
      </c>
      <c r="CX107">
        <f t="shared" si="135"/>
        <v>1513.1513993219019</v>
      </c>
      <c r="CY107">
        <f t="shared" si="136"/>
        <v>0.84065834758655855</v>
      </c>
      <c r="CZ107">
        <f t="shared" si="137"/>
        <v>0.19131669517311717</v>
      </c>
      <c r="DA107">
        <v>6</v>
      </c>
      <c r="DB107">
        <v>0.5</v>
      </c>
      <c r="DC107" t="s">
        <v>419</v>
      </c>
      <c r="DD107">
        <v>2</v>
      </c>
      <c r="DE107">
        <v>1693346046.0999999</v>
      </c>
      <c r="DF107">
        <v>8.4622299999999999</v>
      </c>
      <c r="DG107">
        <v>10.029299999999999</v>
      </c>
      <c r="DH107">
        <v>28.889900000000001</v>
      </c>
      <c r="DI107">
        <v>21.910299999999999</v>
      </c>
      <c r="DJ107">
        <v>8.4344800000000006</v>
      </c>
      <c r="DK107">
        <v>28.648299999999999</v>
      </c>
      <c r="DL107">
        <v>500.53300000000002</v>
      </c>
      <c r="DM107">
        <v>98.759500000000003</v>
      </c>
      <c r="DN107">
        <v>9.98222E-2</v>
      </c>
      <c r="DO107">
        <v>30.430499999999999</v>
      </c>
      <c r="DP107">
        <v>30.0244</v>
      </c>
      <c r="DQ107">
        <v>999.9</v>
      </c>
      <c r="DR107">
        <v>0</v>
      </c>
      <c r="DS107">
        <v>0</v>
      </c>
      <c r="DT107">
        <v>10020</v>
      </c>
      <c r="DU107">
        <v>0</v>
      </c>
      <c r="DV107">
        <v>1150.07</v>
      </c>
      <c r="DW107">
        <v>-1.56707</v>
      </c>
      <c r="DX107">
        <v>8.7139799999999994</v>
      </c>
      <c r="DY107">
        <v>10.254</v>
      </c>
      <c r="DZ107">
        <v>6.9796199999999997</v>
      </c>
      <c r="EA107">
        <v>10.029299999999999</v>
      </c>
      <c r="EB107">
        <v>21.910299999999999</v>
      </c>
      <c r="EC107">
        <v>2.8531599999999999</v>
      </c>
      <c r="ED107">
        <v>2.1638500000000001</v>
      </c>
      <c r="EE107">
        <v>23.194900000000001</v>
      </c>
      <c r="EF107">
        <v>18.697199999999999</v>
      </c>
      <c r="EG107">
        <v>1799.96</v>
      </c>
      <c r="EH107">
        <v>0.97799400000000003</v>
      </c>
      <c r="EI107">
        <v>2.20062E-2</v>
      </c>
      <c r="EJ107">
        <v>0</v>
      </c>
      <c r="EK107">
        <v>897.13900000000001</v>
      </c>
      <c r="EL107">
        <v>5.0010300000000001</v>
      </c>
      <c r="EM107">
        <v>16783.099999999999</v>
      </c>
      <c r="EN107">
        <v>14700.7</v>
      </c>
      <c r="EO107">
        <v>46.561999999999998</v>
      </c>
      <c r="EP107">
        <v>48.311999999999998</v>
      </c>
      <c r="EQ107">
        <v>47.875</v>
      </c>
      <c r="ER107">
        <v>47.436999999999998</v>
      </c>
      <c r="ES107">
        <v>48.311999999999998</v>
      </c>
      <c r="ET107">
        <v>1755.46</v>
      </c>
      <c r="EU107">
        <v>39.5</v>
      </c>
      <c r="EV107">
        <v>0</v>
      </c>
      <c r="EW107">
        <v>97.400000095367432</v>
      </c>
      <c r="EX107">
        <v>0</v>
      </c>
      <c r="EY107">
        <v>897.46888461538458</v>
      </c>
      <c r="EZ107">
        <v>-3.1895726497052448</v>
      </c>
      <c r="FA107">
        <v>3.900854687040503</v>
      </c>
      <c r="FB107">
        <v>16782.188461538459</v>
      </c>
      <c r="FC107">
        <v>15</v>
      </c>
      <c r="FD107">
        <v>1693346012.5999999</v>
      </c>
      <c r="FE107" t="s">
        <v>882</v>
      </c>
      <c r="FF107">
        <v>1693346000.5999999</v>
      </c>
      <c r="FG107">
        <v>1693346012.5999999</v>
      </c>
      <c r="FH107">
        <v>105</v>
      </c>
      <c r="FI107">
        <v>7.0999999999999994E-2</v>
      </c>
      <c r="FJ107">
        <v>-2E-3</v>
      </c>
      <c r="FK107">
        <v>3.1E-2</v>
      </c>
      <c r="FL107">
        <v>8.1000000000000003E-2</v>
      </c>
      <c r="FM107">
        <v>10</v>
      </c>
      <c r="FN107">
        <v>22</v>
      </c>
      <c r="FO107">
        <v>0.71</v>
      </c>
      <c r="FP107">
        <v>0.03</v>
      </c>
      <c r="FQ107">
        <v>1.244470102663046</v>
      </c>
      <c r="FR107">
        <v>0.23672427218556569</v>
      </c>
      <c r="FS107">
        <v>4.3669999134700259E-2</v>
      </c>
      <c r="FT107">
        <v>1</v>
      </c>
      <c r="FU107">
        <v>0.44497609735688831</v>
      </c>
      <c r="FV107">
        <v>-3.2025528147067529E-2</v>
      </c>
      <c r="FW107">
        <v>2.6498059944255331E-3</v>
      </c>
      <c r="FX107">
        <v>1</v>
      </c>
      <c r="FY107">
        <v>2</v>
      </c>
      <c r="FZ107">
        <v>2</v>
      </c>
      <c r="GA107" t="s">
        <v>421</v>
      </c>
      <c r="GB107">
        <v>2.89913</v>
      </c>
      <c r="GC107">
        <v>2.8180200000000002</v>
      </c>
      <c r="GD107">
        <v>2.3003199999999998E-3</v>
      </c>
      <c r="GE107">
        <v>2.7438499999999999E-3</v>
      </c>
      <c r="GF107">
        <v>0.134274</v>
      </c>
      <c r="GG107">
        <v>0.110804</v>
      </c>
      <c r="GH107">
        <v>27615.9</v>
      </c>
      <c r="GI107">
        <v>27726.1</v>
      </c>
      <c r="GJ107">
        <v>24564.5</v>
      </c>
      <c r="GK107">
        <v>24837.599999999999</v>
      </c>
      <c r="GL107">
        <v>28251.9</v>
      </c>
      <c r="GM107">
        <v>28876.1</v>
      </c>
      <c r="GN107">
        <v>33216.9</v>
      </c>
      <c r="GO107">
        <v>33165</v>
      </c>
      <c r="GP107">
        <v>1.9474</v>
      </c>
      <c r="GQ107">
        <v>1.7816000000000001</v>
      </c>
      <c r="GR107">
        <v>1.6540300000000001E-2</v>
      </c>
      <c r="GS107">
        <v>0</v>
      </c>
      <c r="GT107">
        <v>29.755199999999999</v>
      </c>
      <c r="GU107">
        <v>999.9</v>
      </c>
      <c r="GV107">
        <v>46.4</v>
      </c>
      <c r="GW107">
        <v>39.4</v>
      </c>
      <c r="GX107">
        <v>33.7318</v>
      </c>
      <c r="GY107">
        <v>61.959800000000001</v>
      </c>
      <c r="GZ107">
        <v>23.0288</v>
      </c>
      <c r="HA107">
        <v>1</v>
      </c>
      <c r="HB107">
        <v>0.57077199999999995</v>
      </c>
      <c r="HC107">
        <v>2.6059199999999998</v>
      </c>
      <c r="HD107">
        <v>20.195499999999999</v>
      </c>
      <c r="HE107">
        <v>5.2346599999999999</v>
      </c>
      <c r="HF107">
        <v>11.9207</v>
      </c>
      <c r="HG107">
        <v>4.9603999999999999</v>
      </c>
      <c r="HH107">
        <v>3.2890000000000001</v>
      </c>
      <c r="HI107">
        <v>9999</v>
      </c>
      <c r="HJ107">
        <v>9999</v>
      </c>
      <c r="HK107">
        <v>9999</v>
      </c>
      <c r="HL107">
        <v>882</v>
      </c>
      <c r="HM107">
        <v>1.8806499999999999</v>
      </c>
      <c r="HN107">
        <v>1.87778</v>
      </c>
      <c r="HO107">
        <v>1.88574</v>
      </c>
      <c r="HP107">
        <v>1.88354</v>
      </c>
      <c r="HQ107">
        <v>1.8810100000000001</v>
      </c>
      <c r="HR107">
        <v>1.8800399999999999</v>
      </c>
      <c r="HS107">
        <v>1.88124</v>
      </c>
      <c r="HT107">
        <v>1.8806499999999999</v>
      </c>
      <c r="HU107">
        <v>5</v>
      </c>
      <c r="HV107">
        <v>0</v>
      </c>
      <c r="HW107">
        <v>0</v>
      </c>
      <c r="HX107">
        <v>0</v>
      </c>
      <c r="HY107" t="s">
        <v>422</v>
      </c>
      <c r="HZ107" t="s">
        <v>423</v>
      </c>
      <c r="IA107" t="s">
        <v>424</v>
      </c>
      <c r="IB107" t="s">
        <v>424</v>
      </c>
      <c r="IC107" t="s">
        <v>424</v>
      </c>
      <c r="ID107" t="s">
        <v>424</v>
      </c>
      <c r="IE107">
        <v>0</v>
      </c>
      <c r="IF107">
        <v>100</v>
      </c>
      <c r="IG107">
        <v>100</v>
      </c>
      <c r="IH107">
        <v>2.8000000000000001E-2</v>
      </c>
      <c r="II107">
        <v>0.24160000000000001</v>
      </c>
      <c r="IJ107">
        <v>9.2286659280983729E-3</v>
      </c>
      <c r="IK107">
        <v>2.2153513873161218E-3</v>
      </c>
      <c r="IL107">
        <v>-2.2967369670569612E-6</v>
      </c>
      <c r="IM107">
        <v>7.7859689150384122E-10</v>
      </c>
      <c r="IN107">
        <v>-0.1536289639714121</v>
      </c>
      <c r="IO107">
        <v>-4.1434251034592161E-3</v>
      </c>
      <c r="IP107">
        <v>8.3987709687394815E-4</v>
      </c>
      <c r="IQ107">
        <v>-7.4586254598011197E-6</v>
      </c>
      <c r="IR107">
        <v>2</v>
      </c>
      <c r="IS107">
        <v>1930</v>
      </c>
      <c r="IT107">
        <v>2</v>
      </c>
      <c r="IU107">
        <v>41</v>
      </c>
      <c r="IV107">
        <v>0.8</v>
      </c>
      <c r="IW107">
        <v>0.6</v>
      </c>
      <c r="IX107">
        <v>0.169678</v>
      </c>
      <c r="IY107">
        <v>2.6122999999999998</v>
      </c>
      <c r="IZ107">
        <v>1.24512</v>
      </c>
      <c r="JA107">
        <v>2.2607400000000002</v>
      </c>
      <c r="JB107">
        <v>1.4501999999999999</v>
      </c>
      <c r="JC107">
        <v>2.2436500000000001</v>
      </c>
      <c r="JD107">
        <v>41.3521</v>
      </c>
      <c r="JE107">
        <v>15.568</v>
      </c>
      <c r="JF107">
        <v>18</v>
      </c>
      <c r="JG107">
        <v>498.55599999999998</v>
      </c>
      <c r="JH107">
        <v>435.21800000000002</v>
      </c>
      <c r="JI107">
        <v>26.3659</v>
      </c>
      <c r="JJ107">
        <v>34.293900000000001</v>
      </c>
      <c r="JK107">
        <v>30</v>
      </c>
      <c r="JL107">
        <v>34.189799999999998</v>
      </c>
      <c r="JM107">
        <v>34.141199999999998</v>
      </c>
      <c r="JN107">
        <v>3.4776699999999998</v>
      </c>
      <c r="JO107">
        <v>42.045499999999997</v>
      </c>
      <c r="JP107">
        <v>0</v>
      </c>
      <c r="JQ107">
        <v>26.364599999999999</v>
      </c>
      <c r="JR107">
        <v>10</v>
      </c>
      <c r="JS107">
        <v>21.796299999999999</v>
      </c>
      <c r="JT107">
        <v>99.142700000000005</v>
      </c>
      <c r="JU107">
        <v>98.993700000000004</v>
      </c>
    </row>
    <row r="108" spans="1:281" x14ac:dyDescent="0.25">
      <c r="A108">
        <v>92</v>
      </c>
      <c r="B108">
        <v>1693346233.0999999</v>
      </c>
      <c r="C108">
        <v>23520</v>
      </c>
      <c r="D108" t="s">
        <v>883</v>
      </c>
      <c r="E108" t="s">
        <v>884</v>
      </c>
      <c r="F108" t="s">
        <v>413</v>
      </c>
      <c r="G108" t="s">
        <v>636</v>
      </c>
      <c r="H108" t="s">
        <v>31</v>
      </c>
      <c r="I108" t="s">
        <v>31</v>
      </c>
      <c r="J108">
        <v>1693346233.0999999</v>
      </c>
      <c r="K108">
        <f t="shared" si="92"/>
        <v>5.6518920341759715E-3</v>
      </c>
      <c r="L108">
        <f t="shared" si="93"/>
        <v>5.6518920341759715</v>
      </c>
      <c r="M108">
        <f t="shared" si="94"/>
        <v>32.874100277713687</v>
      </c>
      <c r="N108">
        <f t="shared" si="95"/>
        <v>357.98099999999999</v>
      </c>
      <c r="O108">
        <f t="shared" si="96"/>
        <v>214.63206607490935</v>
      </c>
      <c r="P108">
        <f t="shared" si="97"/>
        <v>21.217121070661012</v>
      </c>
      <c r="Q108">
        <f t="shared" si="98"/>
        <v>35.387658316374001</v>
      </c>
      <c r="R108">
        <f t="shared" si="99"/>
        <v>0.41079201332250315</v>
      </c>
      <c r="S108">
        <f t="shared" si="100"/>
        <v>2.9005857438445588</v>
      </c>
      <c r="T108">
        <f t="shared" si="101"/>
        <v>0.38099303171549243</v>
      </c>
      <c r="U108">
        <f t="shared" si="102"/>
        <v>0.24061758219384546</v>
      </c>
      <c r="V108">
        <f t="shared" si="103"/>
        <v>344.35549864446807</v>
      </c>
      <c r="W108">
        <f t="shared" si="104"/>
        <v>31.201836147332692</v>
      </c>
      <c r="X108">
        <f t="shared" si="105"/>
        <v>29.992999999999999</v>
      </c>
      <c r="Y108">
        <f t="shared" si="106"/>
        <v>4.2587370553178223</v>
      </c>
      <c r="Z108">
        <f t="shared" si="107"/>
        <v>64.382030195828648</v>
      </c>
      <c r="AA108">
        <f t="shared" si="108"/>
        <v>2.8449727500837998</v>
      </c>
      <c r="AB108">
        <f t="shared" si="109"/>
        <v>4.4188925720893577</v>
      </c>
      <c r="AC108">
        <f t="shared" si="110"/>
        <v>1.4137643052340225</v>
      </c>
      <c r="AD108">
        <f t="shared" si="111"/>
        <v>-249.24843870716035</v>
      </c>
      <c r="AE108">
        <f t="shared" si="112"/>
        <v>100.73766310838788</v>
      </c>
      <c r="AF108">
        <f t="shared" si="113"/>
        <v>7.7464006570206152</v>
      </c>
      <c r="AG108">
        <f t="shared" si="114"/>
        <v>203.59112370271623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51394.29030974624</v>
      </c>
      <c r="AM108" t="s">
        <v>416</v>
      </c>
      <c r="AN108">
        <v>10366.9</v>
      </c>
      <c r="AO108">
        <v>993.59653846153856</v>
      </c>
      <c r="AP108">
        <v>3431.87</v>
      </c>
      <c r="AQ108">
        <f t="shared" si="118"/>
        <v>0.71047955241266758</v>
      </c>
      <c r="AR108">
        <v>-3.9894345373445681</v>
      </c>
      <c r="AS108" t="s">
        <v>885</v>
      </c>
      <c r="AT108">
        <v>10435.299999999999</v>
      </c>
      <c r="AU108">
        <v>867.06784000000005</v>
      </c>
      <c r="AV108">
        <v>1108.3660848243039</v>
      </c>
      <c r="AW108">
        <f t="shared" si="119"/>
        <v>0.21770626882953936</v>
      </c>
      <c r="AX108">
        <v>0.5</v>
      </c>
      <c r="AY108">
        <f t="shared" si="120"/>
        <v>1513.1255993222339</v>
      </c>
      <c r="AZ108">
        <f t="shared" si="121"/>
        <v>32.874100277713687</v>
      </c>
      <c r="BA108">
        <f t="shared" si="122"/>
        <v>164.70846424945205</v>
      </c>
      <c r="BB108">
        <f t="shared" si="123"/>
        <v>2.4362508195995322E-2</v>
      </c>
      <c r="BC108">
        <f t="shared" si="124"/>
        <v>2.0963325628499478</v>
      </c>
      <c r="BD108">
        <f t="shared" si="125"/>
        <v>618.31929978904873</v>
      </c>
      <c r="BE108" t="s">
        <v>886</v>
      </c>
      <c r="BF108">
        <v>644.34</v>
      </c>
      <c r="BG108">
        <f t="shared" si="126"/>
        <v>644.34</v>
      </c>
      <c r="BH108">
        <f t="shared" si="127"/>
        <v>0.41865778029274547</v>
      </c>
      <c r="BI108">
        <f t="shared" si="128"/>
        <v>0.52001008718220576</v>
      </c>
      <c r="BJ108">
        <f t="shared" si="129"/>
        <v>0.83353503466355383</v>
      </c>
      <c r="BK108">
        <f t="shared" si="130"/>
        <v>2.1024588183140902</v>
      </c>
      <c r="BL108">
        <f t="shared" si="131"/>
        <v>0.95292999404162393</v>
      </c>
      <c r="BM108">
        <f t="shared" si="132"/>
        <v>0.3864326228210499</v>
      </c>
      <c r="BN108">
        <f t="shared" si="133"/>
        <v>0.61356737717895005</v>
      </c>
      <c r="BO108">
        <v>7730</v>
      </c>
      <c r="BP108">
        <v>290.00000000000011</v>
      </c>
      <c r="BQ108">
        <v>1034.93</v>
      </c>
      <c r="BR108">
        <v>165</v>
      </c>
      <c r="BS108">
        <v>10435.299999999999</v>
      </c>
      <c r="BT108">
        <v>1034.4000000000001</v>
      </c>
      <c r="BU108">
        <v>0.53</v>
      </c>
      <c r="BV108">
        <v>300.00000000000011</v>
      </c>
      <c r="BW108">
        <v>38.200000000000003</v>
      </c>
      <c r="BX108">
        <v>1108.3660848243039</v>
      </c>
      <c r="BY108">
        <v>1.461963636230962</v>
      </c>
      <c r="BZ108">
        <v>-77.19092878773111</v>
      </c>
      <c r="CA108">
        <v>1.2487262121423179</v>
      </c>
      <c r="CB108">
        <v>0.99272573305871903</v>
      </c>
      <c r="CC108">
        <v>-1.1330029810900999E-2</v>
      </c>
      <c r="CD108">
        <v>289.99999999999989</v>
      </c>
      <c r="CE108">
        <v>1022.82</v>
      </c>
      <c r="CF108">
        <v>635</v>
      </c>
      <c r="CG108">
        <v>10414</v>
      </c>
      <c r="CH108">
        <v>1034.24</v>
      </c>
      <c r="CI108">
        <v>-11.42</v>
      </c>
      <c r="CW108">
        <f t="shared" si="134"/>
        <v>1799.93</v>
      </c>
      <c r="CX108">
        <f t="shared" si="135"/>
        <v>1513.1255993222339</v>
      </c>
      <c r="CY108">
        <f t="shared" si="136"/>
        <v>0.84065802521333266</v>
      </c>
      <c r="CZ108">
        <f t="shared" si="137"/>
        <v>0.19131605042666552</v>
      </c>
      <c r="DA108">
        <v>6</v>
      </c>
      <c r="DB108">
        <v>0.5</v>
      </c>
      <c r="DC108" t="s">
        <v>419</v>
      </c>
      <c r="DD108">
        <v>2</v>
      </c>
      <c r="DE108">
        <v>1693346233.0999999</v>
      </c>
      <c r="DF108">
        <v>357.98099999999999</v>
      </c>
      <c r="DG108">
        <v>399.83699999999999</v>
      </c>
      <c r="DH108">
        <v>28.779699999999998</v>
      </c>
      <c r="DI108">
        <v>22.195900000000002</v>
      </c>
      <c r="DJ108">
        <v>357.63099999999997</v>
      </c>
      <c r="DK108">
        <v>28.540600000000001</v>
      </c>
      <c r="DL108">
        <v>500.24900000000002</v>
      </c>
      <c r="DM108">
        <v>98.753100000000003</v>
      </c>
      <c r="DN108">
        <v>0.100354</v>
      </c>
      <c r="DO108">
        <v>30.6372</v>
      </c>
      <c r="DP108">
        <v>29.992999999999999</v>
      </c>
      <c r="DQ108">
        <v>999.9</v>
      </c>
      <c r="DR108">
        <v>0</v>
      </c>
      <c r="DS108">
        <v>0</v>
      </c>
      <c r="DT108">
        <v>9960</v>
      </c>
      <c r="DU108">
        <v>0</v>
      </c>
      <c r="DV108">
        <v>273.43200000000002</v>
      </c>
      <c r="DW108">
        <v>-41.855899999999998</v>
      </c>
      <c r="DX108">
        <v>368.589</v>
      </c>
      <c r="DY108">
        <v>408.91300000000001</v>
      </c>
      <c r="DZ108">
        <v>6.5838400000000004</v>
      </c>
      <c r="EA108">
        <v>399.83699999999999</v>
      </c>
      <c r="EB108">
        <v>22.195900000000002</v>
      </c>
      <c r="EC108">
        <v>2.8420899999999998</v>
      </c>
      <c r="ED108">
        <v>2.19191</v>
      </c>
      <c r="EE108">
        <v>23.130600000000001</v>
      </c>
      <c r="EF108">
        <v>18.903300000000002</v>
      </c>
      <c r="EG108">
        <v>1799.93</v>
      </c>
      <c r="EH108">
        <v>0.97800500000000001</v>
      </c>
      <c r="EI108">
        <v>2.1995299999999999E-2</v>
      </c>
      <c r="EJ108">
        <v>0</v>
      </c>
      <c r="EK108">
        <v>865.13499999999999</v>
      </c>
      <c r="EL108">
        <v>5.0010300000000001</v>
      </c>
      <c r="EM108">
        <v>15695.6</v>
      </c>
      <c r="EN108">
        <v>14700.6</v>
      </c>
      <c r="EO108">
        <v>47.436999999999998</v>
      </c>
      <c r="EP108">
        <v>48.75</v>
      </c>
      <c r="EQ108">
        <v>48.686999999999998</v>
      </c>
      <c r="ER108">
        <v>48.125</v>
      </c>
      <c r="ES108">
        <v>49</v>
      </c>
      <c r="ET108">
        <v>1755.45</v>
      </c>
      <c r="EU108">
        <v>39.479999999999997</v>
      </c>
      <c r="EV108">
        <v>0</v>
      </c>
      <c r="EW108">
        <v>185</v>
      </c>
      <c r="EX108">
        <v>0</v>
      </c>
      <c r="EY108">
        <v>867.06784000000005</v>
      </c>
      <c r="EZ108">
        <v>-17.718999996183769</v>
      </c>
      <c r="FA108">
        <v>-274.56923078877838</v>
      </c>
      <c r="FB108">
        <v>15727.64</v>
      </c>
      <c r="FC108">
        <v>15</v>
      </c>
      <c r="FD108">
        <v>1693346159.0999999</v>
      </c>
      <c r="FE108" t="s">
        <v>887</v>
      </c>
      <c r="FF108">
        <v>1693346150.0999999</v>
      </c>
      <c r="FG108">
        <v>1693346159.0999999</v>
      </c>
      <c r="FH108">
        <v>106</v>
      </c>
      <c r="FI108">
        <v>-0.193</v>
      </c>
      <c r="FJ108">
        <v>0</v>
      </c>
      <c r="FK108">
        <v>0.38400000000000001</v>
      </c>
      <c r="FL108">
        <v>7.2999999999999995E-2</v>
      </c>
      <c r="FM108">
        <v>400</v>
      </c>
      <c r="FN108">
        <v>22</v>
      </c>
      <c r="FO108">
        <v>0.21</v>
      </c>
      <c r="FP108">
        <v>0.04</v>
      </c>
      <c r="FQ108">
        <v>32.93401407065349</v>
      </c>
      <c r="FR108">
        <v>0.69281697172723489</v>
      </c>
      <c r="FS108">
        <v>0.1019856682222751</v>
      </c>
      <c r="FT108">
        <v>1</v>
      </c>
      <c r="FU108">
        <v>0.41814632713711142</v>
      </c>
      <c r="FV108">
        <v>-1.86601633050071E-2</v>
      </c>
      <c r="FW108">
        <v>1.577575256542935E-3</v>
      </c>
      <c r="FX108">
        <v>1</v>
      </c>
      <c r="FY108">
        <v>2</v>
      </c>
      <c r="FZ108">
        <v>2</v>
      </c>
      <c r="GA108" t="s">
        <v>421</v>
      </c>
      <c r="GB108">
        <v>2.8985300000000001</v>
      </c>
      <c r="GC108">
        <v>2.8180100000000001</v>
      </c>
      <c r="GD108">
        <v>8.2391900000000004E-2</v>
      </c>
      <c r="GE108">
        <v>8.98447E-2</v>
      </c>
      <c r="GF108">
        <v>0.13393099999999999</v>
      </c>
      <c r="GG108">
        <v>0.111805</v>
      </c>
      <c r="GH108">
        <v>25405.1</v>
      </c>
      <c r="GI108">
        <v>25310.2</v>
      </c>
      <c r="GJ108">
        <v>24567</v>
      </c>
      <c r="GK108">
        <v>24839.4</v>
      </c>
      <c r="GL108">
        <v>28265.7</v>
      </c>
      <c r="GM108">
        <v>28845.599999999999</v>
      </c>
      <c r="GN108">
        <v>33220.300000000003</v>
      </c>
      <c r="GO108">
        <v>33167.5</v>
      </c>
      <c r="GP108">
        <v>1.9470000000000001</v>
      </c>
      <c r="GQ108">
        <v>1.7853000000000001</v>
      </c>
      <c r="GR108">
        <v>3.7252899999999999E-2</v>
      </c>
      <c r="GS108">
        <v>0</v>
      </c>
      <c r="GT108">
        <v>29.386500000000002</v>
      </c>
      <c r="GU108">
        <v>999.9</v>
      </c>
      <c r="GV108">
        <v>46.4</v>
      </c>
      <c r="GW108">
        <v>39.299999999999997</v>
      </c>
      <c r="GX108">
        <v>33.551099999999998</v>
      </c>
      <c r="GY108">
        <v>62.249899999999997</v>
      </c>
      <c r="GZ108">
        <v>23.525600000000001</v>
      </c>
      <c r="HA108">
        <v>1</v>
      </c>
      <c r="HB108">
        <v>0.56018299999999999</v>
      </c>
      <c r="HC108">
        <v>1.4033</v>
      </c>
      <c r="HD108">
        <v>20.209099999999999</v>
      </c>
      <c r="HE108">
        <v>5.2340600000000004</v>
      </c>
      <c r="HF108">
        <v>11.9201</v>
      </c>
      <c r="HG108">
        <v>4.9598000000000004</v>
      </c>
      <c r="HH108">
        <v>3.2890000000000001</v>
      </c>
      <c r="HI108">
        <v>9999</v>
      </c>
      <c r="HJ108">
        <v>9999</v>
      </c>
      <c r="HK108">
        <v>9999</v>
      </c>
      <c r="HL108">
        <v>882.1</v>
      </c>
      <c r="HM108">
        <v>1.88062</v>
      </c>
      <c r="HN108">
        <v>1.87775</v>
      </c>
      <c r="HO108">
        <v>1.88571</v>
      </c>
      <c r="HP108">
        <v>1.88354</v>
      </c>
      <c r="HQ108">
        <v>1.8809800000000001</v>
      </c>
      <c r="HR108">
        <v>1.8800600000000001</v>
      </c>
      <c r="HS108">
        <v>1.88124</v>
      </c>
      <c r="HT108">
        <v>1.8806700000000001</v>
      </c>
      <c r="HU108">
        <v>5</v>
      </c>
      <c r="HV108">
        <v>0</v>
      </c>
      <c r="HW108">
        <v>0</v>
      </c>
      <c r="HX108">
        <v>0</v>
      </c>
      <c r="HY108" t="s">
        <v>422</v>
      </c>
      <c r="HZ108" t="s">
        <v>423</v>
      </c>
      <c r="IA108" t="s">
        <v>424</v>
      </c>
      <c r="IB108" t="s">
        <v>424</v>
      </c>
      <c r="IC108" t="s">
        <v>424</v>
      </c>
      <c r="ID108" t="s">
        <v>424</v>
      </c>
      <c r="IE108">
        <v>0</v>
      </c>
      <c r="IF108">
        <v>100</v>
      </c>
      <c r="IG108">
        <v>100</v>
      </c>
      <c r="IH108">
        <v>0.35</v>
      </c>
      <c r="II108">
        <v>0.23910000000000001</v>
      </c>
      <c r="IJ108">
        <v>-0.18393928154063111</v>
      </c>
      <c r="IK108">
        <v>2.2153513873161218E-3</v>
      </c>
      <c r="IL108">
        <v>-2.2967369670569612E-6</v>
      </c>
      <c r="IM108">
        <v>7.7859689150384122E-10</v>
      </c>
      <c r="IN108">
        <v>-0.1532965186055919</v>
      </c>
      <c r="IO108">
        <v>-4.1434251034592161E-3</v>
      </c>
      <c r="IP108">
        <v>8.3987709687394815E-4</v>
      </c>
      <c r="IQ108">
        <v>-7.4586254598011197E-6</v>
      </c>
      <c r="IR108">
        <v>2</v>
      </c>
      <c r="IS108">
        <v>1930</v>
      </c>
      <c r="IT108">
        <v>2</v>
      </c>
      <c r="IU108">
        <v>41</v>
      </c>
      <c r="IV108">
        <v>1.4</v>
      </c>
      <c r="IW108">
        <v>1.2</v>
      </c>
      <c r="IX108">
        <v>0.98877000000000004</v>
      </c>
      <c r="IY108">
        <v>2.5390600000000001</v>
      </c>
      <c r="IZ108">
        <v>1.24512</v>
      </c>
      <c r="JA108">
        <v>2.2607400000000002</v>
      </c>
      <c r="JB108">
        <v>1.4501999999999999</v>
      </c>
      <c r="JC108">
        <v>2.20825</v>
      </c>
      <c r="JD108">
        <v>41.274099999999997</v>
      </c>
      <c r="JE108">
        <v>15.541700000000001</v>
      </c>
      <c r="JF108">
        <v>18</v>
      </c>
      <c r="JG108">
        <v>497.97899999999998</v>
      </c>
      <c r="JH108">
        <v>437.42500000000001</v>
      </c>
      <c r="JI108">
        <v>27.784600000000001</v>
      </c>
      <c r="JJ108">
        <v>34.234900000000003</v>
      </c>
      <c r="JK108">
        <v>29.9998</v>
      </c>
      <c r="JL108">
        <v>34.152500000000003</v>
      </c>
      <c r="JM108">
        <v>34.107100000000003</v>
      </c>
      <c r="JN108">
        <v>19.8904</v>
      </c>
      <c r="JO108">
        <v>40.131300000000003</v>
      </c>
      <c r="JP108">
        <v>0</v>
      </c>
      <c r="JQ108">
        <v>27.7819</v>
      </c>
      <c r="JR108">
        <v>400</v>
      </c>
      <c r="JS108">
        <v>22.2803</v>
      </c>
      <c r="JT108">
        <v>99.152900000000002</v>
      </c>
      <c r="JU108">
        <v>99.001000000000005</v>
      </c>
    </row>
    <row r="109" spans="1:281" x14ac:dyDescent="0.25">
      <c r="A109">
        <v>93</v>
      </c>
      <c r="B109">
        <v>1693346422.5999999</v>
      </c>
      <c r="C109">
        <v>23709.5</v>
      </c>
      <c r="D109" t="s">
        <v>888</v>
      </c>
      <c r="E109" t="s">
        <v>889</v>
      </c>
      <c r="F109" t="s">
        <v>413</v>
      </c>
      <c r="G109" t="s">
        <v>636</v>
      </c>
      <c r="H109" t="s">
        <v>31</v>
      </c>
      <c r="I109" t="s">
        <v>31</v>
      </c>
      <c r="J109">
        <v>1693346422.5999999</v>
      </c>
      <c r="K109">
        <f t="shared" si="92"/>
        <v>4.7440787723184623E-3</v>
      </c>
      <c r="L109">
        <f t="shared" si="93"/>
        <v>4.7440787723184625</v>
      </c>
      <c r="M109">
        <f t="shared" si="94"/>
        <v>36.380172413864706</v>
      </c>
      <c r="N109">
        <f t="shared" si="95"/>
        <v>354.31400000000002</v>
      </c>
      <c r="O109">
        <f t="shared" si="96"/>
        <v>169.76798710570006</v>
      </c>
      <c r="P109">
        <f t="shared" si="97"/>
        <v>16.782926215815102</v>
      </c>
      <c r="Q109">
        <f t="shared" si="98"/>
        <v>35.026778726709999</v>
      </c>
      <c r="R109">
        <f t="shared" si="99"/>
        <v>0.34449886218435666</v>
      </c>
      <c r="S109">
        <f t="shared" si="100"/>
        <v>2.907233211561131</v>
      </c>
      <c r="T109">
        <f t="shared" si="101"/>
        <v>0.32332058995601454</v>
      </c>
      <c r="U109">
        <f t="shared" si="102"/>
        <v>0.20386956585404553</v>
      </c>
      <c r="V109">
        <f t="shared" si="103"/>
        <v>344.40289864361893</v>
      </c>
      <c r="W109">
        <f t="shared" si="104"/>
        <v>31.444788877362239</v>
      </c>
      <c r="X109">
        <f t="shared" si="105"/>
        <v>30.018599999999999</v>
      </c>
      <c r="Y109">
        <f t="shared" si="106"/>
        <v>4.2650036234208688</v>
      </c>
      <c r="Z109">
        <f t="shared" si="107"/>
        <v>64.85076697176018</v>
      </c>
      <c r="AA109">
        <f t="shared" si="108"/>
        <v>2.8667835769849996</v>
      </c>
      <c r="AB109">
        <f t="shared" si="109"/>
        <v>4.4205854623637144</v>
      </c>
      <c r="AC109">
        <f t="shared" si="110"/>
        <v>1.3982200464358692</v>
      </c>
      <c r="AD109">
        <f t="shared" si="111"/>
        <v>-209.21387385924419</v>
      </c>
      <c r="AE109">
        <f t="shared" si="112"/>
        <v>98.006243490622708</v>
      </c>
      <c r="AF109">
        <f t="shared" si="113"/>
        <v>7.5203318585820425</v>
      </c>
      <c r="AG109">
        <f t="shared" si="114"/>
        <v>240.71560013357947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51581.390210108395</v>
      </c>
      <c r="AM109" t="s">
        <v>416</v>
      </c>
      <c r="AN109">
        <v>10366.9</v>
      </c>
      <c r="AO109">
        <v>993.59653846153856</v>
      </c>
      <c r="AP109">
        <v>3431.87</v>
      </c>
      <c r="AQ109">
        <f t="shared" si="118"/>
        <v>0.71047955241266758</v>
      </c>
      <c r="AR109">
        <v>-3.9894345373445681</v>
      </c>
      <c r="AS109" t="s">
        <v>890</v>
      </c>
      <c r="AT109">
        <v>10431.4</v>
      </c>
      <c r="AU109">
        <v>863.72588000000007</v>
      </c>
      <c r="AV109">
        <v>1136.8295748019841</v>
      </c>
      <c r="AW109">
        <f t="shared" si="119"/>
        <v>0.24023274979414033</v>
      </c>
      <c r="AX109">
        <v>0.5</v>
      </c>
      <c r="AY109">
        <f t="shared" si="120"/>
        <v>1513.3280993218093</v>
      </c>
      <c r="AZ109">
        <f t="shared" si="121"/>
        <v>36.380172413864706</v>
      </c>
      <c r="BA109">
        <f t="shared" si="122"/>
        <v>181.77548532040908</v>
      </c>
      <c r="BB109">
        <f t="shared" si="123"/>
        <v>2.6676043991584325E-2</v>
      </c>
      <c r="BC109">
        <f t="shared" si="124"/>
        <v>2.0188078108345939</v>
      </c>
      <c r="BD109">
        <f t="shared" si="125"/>
        <v>627.07808718570982</v>
      </c>
      <c r="BE109" t="s">
        <v>891</v>
      </c>
      <c r="BF109">
        <v>650.75</v>
      </c>
      <c r="BG109">
        <f t="shared" si="126"/>
        <v>650.75</v>
      </c>
      <c r="BH109">
        <f t="shared" si="127"/>
        <v>0.42757470915255757</v>
      </c>
      <c r="BI109">
        <f t="shared" si="128"/>
        <v>0.56184976485226568</v>
      </c>
      <c r="BJ109">
        <f t="shared" si="129"/>
        <v>0.82522164638635365</v>
      </c>
      <c r="BK109">
        <f t="shared" si="130"/>
        <v>1.9067088276537927</v>
      </c>
      <c r="BL109">
        <f t="shared" si="131"/>
        <v>0.94125636906613785</v>
      </c>
      <c r="BM109">
        <f t="shared" si="132"/>
        <v>0.42330992152002189</v>
      </c>
      <c r="BN109">
        <f t="shared" si="133"/>
        <v>0.57669007847997811</v>
      </c>
      <c r="BO109">
        <v>7732</v>
      </c>
      <c r="BP109">
        <v>290.00000000000011</v>
      </c>
      <c r="BQ109">
        <v>1063.8699999999999</v>
      </c>
      <c r="BR109">
        <v>175</v>
      </c>
      <c r="BS109">
        <v>10431.4</v>
      </c>
      <c r="BT109">
        <v>1062</v>
      </c>
      <c r="BU109">
        <v>1.87</v>
      </c>
      <c r="BV109">
        <v>300.00000000000011</v>
      </c>
      <c r="BW109">
        <v>38.200000000000003</v>
      </c>
      <c r="BX109">
        <v>1136.8295748019841</v>
      </c>
      <c r="BY109">
        <v>1.322204613654905</v>
      </c>
      <c r="BZ109">
        <v>-78.053295737036635</v>
      </c>
      <c r="CA109">
        <v>1.1290694752795369</v>
      </c>
      <c r="CB109">
        <v>0.99417521626523608</v>
      </c>
      <c r="CC109">
        <v>-1.132745339265852E-2</v>
      </c>
      <c r="CD109">
        <v>289.99999999999989</v>
      </c>
      <c r="CE109">
        <v>1057.74</v>
      </c>
      <c r="CF109">
        <v>705</v>
      </c>
      <c r="CG109">
        <v>10405.799999999999</v>
      </c>
      <c r="CH109">
        <v>1061.82</v>
      </c>
      <c r="CI109">
        <v>-4.08</v>
      </c>
      <c r="CW109">
        <f t="shared" si="134"/>
        <v>1800.17</v>
      </c>
      <c r="CX109">
        <f t="shared" si="135"/>
        <v>1513.3280993218093</v>
      </c>
      <c r="CY109">
        <f t="shared" si="136"/>
        <v>0.84065843743746937</v>
      </c>
      <c r="CZ109">
        <f t="shared" si="137"/>
        <v>0.19131687487493898</v>
      </c>
      <c r="DA109">
        <v>6</v>
      </c>
      <c r="DB109">
        <v>0.5</v>
      </c>
      <c r="DC109" t="s">
        <v>419</v>
      </c>
      <c r="DD109">
        <v>2</v>
      </c>
      <c r="DE109">
        <v>1693346422.5999999</v>
      </c>
      <c r="DF109">
        <v>354.31400000000002</v>
      </c>
      <c r="DG109">
        <v>399.93599999999998</v>
      </c>
      <c r="DH109">
        <v>28.998999999999999</v>
      </c>
      <c r="DI109">
        <v>23.477399999999999</v>
      </c>
      <c r="DJ109">
        <v>353.976</v>
      </c>
      <c r="DK109">
        <v>28.750399999999999</v>
      </c>
      <c r="DL109">
        <v>500.56200000000001</v>
      </c>
      <c r="DM109">
        <v>98.757999999999996</v>
      </c>
      <c r="DN109">
        <v>0.10001500000000001</v>
      </c>
      <c r="DO109">
        <v>30.643899999999999</v>
      </c>
      <c r="DP109">
        <v>30.018599999999999</v>
      </c>
      <c r="DQ109">
        <v>999.9</v>
      </c>
      <c r="DR109">
        <v>0</v>
      </c>
      <c r="DS109">
        <v>0</v>
      </c>
      <c r="DT109">
        <v>9997.5</v>
      </c>
      <c r="DU109">
        <v>0</v>
      </c>
      <c r="DV109">
        <v>379.31</v>
      </c>
      <c r="DW109">
        <v>-45.621899999999997</v>
      </c>
      <c r="DX109">
        <v>364.89600000000002</v>
      </c>
      <c r="DY109">
        <v>409.55099999999999</v>
      </c>
      <c r="DZ109">
        <v>5.5216599999999998</v>
      </c>
      <c r="EA109">
        <v>399.93599999999998</v>
      </c>
      <c r="EB109">
        <v>23.477399999999999</v>
      </c>
      <c r="EC109">
        <v>2.86389</v>
      </c>
      <c r="ED109">
        <v>2.3185799999999999</v>
      </c>
      <c r="EE109">
        <v>23.257000000000001</v>
      </c>
      <c r="EF109">
        <v>19.806100000000001</v>
      </c>
      <c r="EG109">
        <v>1800.17</v>
      </c>
      <c r="EH109">
        <v>0.977993</v>
      </c>
      <c r="EI109">
        <v>2.2006999999999999E-2</v>
      </c>
      <c r="EJ109">
        <v>0</v>
      </c>
      <c r="EK109">
        <v>864.70799999999997</v>
      </c>
      <c r="EL109">
        <v>5.0010300000000001</v>
      </c>
      <c r="EM109">
        <v>15764.3</v>
      </c>
      <c r="EN109">
        <v>14702.5</v>
      </c>
      <c r="EO109">
        <v>47.936999999999998</v>
      </c>
      <c r="EP109">
        <v>48.811999999999998</v>
      </c>
      <c r="EQ109">
        <v>49.061999999999998</v>
      </c>
      <c r="ER109">
        <v>48.311999999999998</v>
      </c>
      <c r="ES109">
        <v>49.436999999999998</v>
      </c>
      <c r="ET109">
        <v>1755.66</v>
      </c>
      <c r="EU109">
        <v>39.51</v>
      </c>
      <c r="EV109">
        <v>0</v>
      </c>
      <c r="EW109">
        <v>187.39999985694891</v>
      </c>
      <c r="EX109">
        <v>0</v>
      </c>
      <c r="EY109">
        <v>863.72588000000007</v>
      </c>
      <c r="EZ109">
        <v>7.1101538577085144</v>
      </c>
      <c r="FA109">
        <v>417.02307771606888</v>
      </c>
      <c r="FB109">
        <v>15714.415999999999</v>
      </c>
      <c r="FC109">
        <v>15</v>
      </c>
      <c r="FD109">
        <v>1693346335.5999999</v>
      </c>
      <c r="FE109" t="s">
        <v>892</v>
      </c>
      <c r="FF109">
        <v>1693346329.0999999</v>
      </c>
      <c r="FG109">
        <v>1693346335.5999999</v>
      </c>
      <c r="FH109">
        <v>107</v>
      </c>
      <c r="FI109">
        <v>-8.0000000000000002E-3</v>
      </c>
      <c r="FJ109">
        <v>4.0000000000000001E-3</v>
      </c>
      <c r="FK109">
        <v>0.376</v>
      </c>
      <c r="FL109">
        <v>0.107</v>
      </c>
      <c r="FM109">
        <v>400</v>
      </c>
      <c r="FN109">
        <v>23</v>
      </c>
      <c r="FO109">
        <v>0.16</v>
      </c>
      <c r="FP109">
        <v>0.04</v>
      </c>
      <c r="FQ109">
        <v>36.229425702630593</v>
      </c>
      <c r="FR109">
        <v>1.5568116344770211</v>
      </c>
      <c r="FS109">
        <v>0.14132851707584901</v>
      </c>
      <c r="FT109">
        <v>0</v>
      </c>
      <c r="FU109">
        <v>0.3461459673512795</v>
      </c>
      <c r="FV109">
        <v>-5.7771732687775801E-3</v>
      </c>
      <c r="FW109">
        <v>5.8499403110941943E-4</v>
      </c>
      <c r="FX109">
        <v>1</v>
      </c>
      <c r="FY109">
        <v>1</v>
      </c>
      <c r="FZ109">
        <v>2</v>
      </c>
      <c r="GA109" t="s">
        <v>460</v>
      </c>
      <c r="GB109">
        <v>2.8997799999999998</v>
      </c>
      <c r="GC109">
        <v>2.8180100000000001</v>
      </c>
      <c r="GD109">
        <v>8.1766800000000001E-2</v>
      </c>
      <c r="GE109">
        <v>8.9909600000000006E-2</v>
      </c>
      <c r="GF109">
        <v>0.134658</v>
      </c>
      <c r="GG109">
        <v>0.11626599999999999</v>
      </c>
      <c r="GH109">
        <v>25432.400000000001</v>
      </c>
      <c r="GI109">
        <v>25317.1</v>
      </c>
      <c r="GJ109">
        <v>24576.3</v>
      </c>
      <c r="GK109">
        <v>24847</v>
      </c>
      <c r="GL109">
        <v>28251.7</v>
      </c>
      <c r="GM109">
        <v>28708.1</v>
      </c>
      <c r="GN109">
        <v>33233</v>
      </c>
      <c r="GO109">
        <v>33177.199999999997</v>
      </c>
      <c r="GP109">
        <v>1.9491000000000001</v>
      </c>
      <c r="GQ109">
        <v>1.7910999999999999</v>
      </c>
      <c r="GR109">
        <v>4.99934E-2</v>
      </c>
      <c r="GS109">
        <v>0</v>
      </c>
      <c r="GT109">
        <v>29.204499999999999</v>
      </c>
      <c r="GU109">
        <v>999.9</v>
      </c>
      <c r="GV109">
        <v>46.4</v>
      </c>
      <c r="GW109">
        <v>39.200000000000003</v>
      </c>
      <c r="GX109">
        <v>33.371200000000002</v>
      </c>
      <c r="GY109">
        <v>62.1599</v>
      </c>
      <c r="GZ109">
        <v>23.441500000000001</v>
      </c>
      <c r="HA109">
        <v>1</v>
      </c>
      <c r="HB109">
        <v>0.54298800000000003</v>
      </c>
      <c r="HC109">
        <v>2.0910099999999998</v>
      </c>
      <c r="HD109">
        <v>20.1998</v>
      </c>
      <c r="HE109">
        <v>5.2346599999999999</v>
      </c>
      <c r="HF109">
        <v>11.9201</v>
      </c>
      <c r="HG109">
        <v>4.9596</v>
      </c>
      <c r="HH109">
        <v>3.2890000000000001</v>
      </c>
      <c r="HI109">
        <v>9999</v>
      </c>
      <c r="HJ109">
        <v>9999</v>
      </c>
      <c r="HK109">
        <v>9999</v>
      </c>
      <c r="HL109">
        <v>882.1</v>
      </c>
      <c r="HM109">
        <v>1.8806499999999999</v>
      </c>
      <c r="HN109">
        <v>1.8777699999999999</v>
      </c>
      <c r="HO109">
        <v>1.88568</v>
      </c>
      <c r="HP109">
        <v>1.88354</v>
      </c>
      <c r="HQ109">
        <v>1.8809800000000001</v>
      </c>
      <c r="HR109">
        <v>1.8800699999999999</v>
      </c>
      <c r="HS109">
        <v>1.88124</v>
      </c>
      <c r="HT109">
        <v>1.8806499999999999</v>
      </c>
      <c r="HU109">
        <v>5</v>
      </c>
      <c r="HV109">
        <v>0</v>
      </c>
      <c r="HW109">
        <v>0</v>
      </c>
      <c r="HX109">
        <v>0</v>
      </c>
      <c r="HY109" t="s">
        <v>422</v>
      </c>
      <c r="HZ109" t="s">
        <v>423</v>
      </c>
      <c r="IA109" t="s">
        <v>424</v>
      </c>
      <c r="IB109" t="s">
        <v>424</v>
      </c>
      <c r="IC109" t="s">
        <v>424</v>
      </c>
      <c r="ID109" t="s">
        <v>424</v>
      </c>
      <c r="IE109">
        <v>0</v>
      </c>
      <c r="IF109">
        <v>100</v>
      </c>
      <c r="IG109">
        <v>100</v>
      </c>
      <c r="IH109">
        <v>0.33800000000000002</v>
      </c>
      <c r="II109">
        <v>0.24859999999999999</v>
      </c>
      <c r="IJ109">
        <v>-0.19249595457146459</v>
      </c>
      <c r="IK109">
        <v>2.2153513873161218E-3</v>
      </c>
      <c r="IL109">
        <v>-2.2967369670569612E-6</v>
      </c>
      <c r="IM109">
        <v>7.7859689150384122E-10</v>
      </c>
      <c r="IN109">
        <v>-0.1492530210242656</v>
      </c>
      <c r="IO109">
        <v>-4.1434251034592161E-3</v>
      </c>
      <c r="IP109">
        <v>8.3987709687394815E-4</v>
      </c>
      <c r="IQ109">
        <v>-7.4586254598011197E-6</v>
      </c>
      <c r="IR109">
        <v>2</v>
      </c>
      <c r="IS109">
        <v>1930</v>
      </c>
      <c r="IT109">
        <v>2</v>
      </c>
      <c r="IU109">
        <v>41</v>
      </c>
      <c r="IV109">
        <v>1.6</v>
      </c>
      <c r="IW109">
        <v>1.4</v>
      </c>
      <c r="IX109">
        <v>0.98877000000000004</v>
      </c>
      <c r="IY109">
        <v>2.5317400000000001</v>
      </c>
      <c r="IZ109">
        <v>1.24512</v>
      </c>
      <c r="JA109">
        <v>2.2607400000000002</v>
      </c>
      <c r="JB109">
        <v>1.4501999999999999</v>
      </c>
      <c r="JC109">
        <v>2.4523899999999998</v>
      </c>
      <c r="JD109">
        <v>41.041200000000003</v>
      </c>
      <c r="JE109">
        <v>15.5067</v>
      </c>
      <c r="JF109">
        <v>18</v>
      </c>
      <c r="JG109">
        <v>498.07</v>
      </c>
      <c r="JH109">
        <v>440.16300000000001</v>
      </c>
      <c r="JI109">
        <v>26.975899999999999</v>
      </c>
      <c r="JJ109">
        <v>34.026800000000001</v>
      </c>
      <c r="JK109">
        <v>29.999500000000001</v>
      </c>
      <c r="JL109">
        <v>33.985399999999998</v>
      </c>
      <c r="JM109">
        <v>33.9559</v>
      </c>
      <c r="JN109">
        <v>19.905000000000001</v>
      </c>
      <c r="JO109">
        <v>35.274099999999997</v>
      </c>
      <c r="JP109">
        <v>0</v>
      </c>
      <c r="JQ109">
        <v>26.980499999999999</v>
      </c>
      <c r="JR109">
        <v>400</v>
      </c>
      <c r="JS109">
        <v>23.6082</v>
      </c>
      <c r="JT109">
        <v>99.190600000000003</v>
      </c>
      <c r="JU109">
        <v>99.030699999999996</v>
      </c>
    </row>
    <row r="110" spans="1:281" x14ac:dyDescent="0.25">
      <c r="A110">
        <v>94</v>
      </c>
      <c r="B110">
        <v>1693346522.0999999</v>
      </c>
      <c r="C110">
        <v>23809</v>
      </c>
      <c r="D110" t="s">
        <v>893</v>
      </c>
      <c r="E110" t="s">
        <v>894</v>
      </c>
      <c r="F110" t="s">
        <v>413</v>
      </c>
      <c r="G110" t="s">
        <v>636</v>
      </c>
      <c r="H110" t="s">
        <v>31</v>
      </c>
      <c r="I110" t="s">
        <v>31</v>
      </c>
      <c r="J110">
        <v>1693346522.0999999</v>
      </c>
      <c r="K110">
        <f t="shared" si="92"/>
        <v>4.494851650502181E-3</v>
      </c>
      <c r="L110">
        <f t="shared" si="93"/>
        <v>4.4948516505021807</v>
      </c>
      <c r="M110">
        <f t="shared" si="94"/>
        <v>38.98188914133803</v>
      </c>
      <c r="N110">
        <f t="shared" si="95"/>
        <v>450.87</v>
      </c>
      <c r="O110">
        <f t="shared" si="96"/>
        <v>243.24835943229141</v>
      </c>
      <c r="P110">
        <f t="shared" si="97"/>
        <v>24.048773744981972</v>
      </c>
      <c r="Q110">
        <f t="shared" si="98"/>
        <v>44.575308313304994</v>
      </c>
      <c r="R110">
        <f t="shared" si="99"/>
        <v>0.32914742358220905</v>
      </c>
      <c r="S110">
        <f t="shared" si="100"/>
        <v>2.9139140974644193</v>
      </c>
      <c r="T110">
        <f t="shared" si="101"/>
        <v>0.30979922700418228</v>
      </c>
      <c r="U110">
        <f t="shared" si="102"/>
        <v>0.19526802965842932</v>
      </c>
      <c r="V110">
        <f t="shared" si="103"/>
        <v>344.41179864399987</v>
      </c>
      <c r="W110">
        <f t="shared" si="104"/>
        <v>31.453343482859832</v>
      </c>
      <c r="X110">
        <f t="shared" si="105"/>
        <v>29.970300000000002</v>
      </c>
      <c r="Y110">
        <f t="shared" si="106"/>
        <v>4.2531870857431482</v>
      </c>
      <c r="Z110">
        <f t="shared" si="107"/>
        <v>65.137249708730067</v>
      </c>
      <c r="AA110">
        <f t="shared" si="108"/>
        <v>2.8704394704408496</v>
      </c>
      <c r="AB110">
        <f t="shared" si="109"/>
        <v>4.4067557093313026</v>
      </c>
      <c r="AC110">
        <f t="shared" si="110"/>
        <v>1.3827476153022986</v>
      </c>
      <c r="AD110">
        <f t="shared" si="111"/>
        <v>-198.22295778714619</v>
      </c>
      <c r="AE110">
        <f t="shared" si="112"/>
        <v>97.2103469057636</v>
      </c>
      <c r="AF110">
        <f t="shared" si="113"/>
        <v>7.4383641148469382</v>
      </c>
      <c r="AG110">
        <f t="shared" si="114"/>
        <v>250.83755187746422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51780.252118410746</v>
      </c>
      <c r="AM110" t="s">
        <v>416</v>
      </c>
      <c r="AN110">
        <v>10366.9</v>
      </c>
      <c r="AO110">
        <v>993.59653846153856</v>
      </c>
      <c r="AP110">
        <v>3431.87</v>
      </c>
      <c r="AQ110">
        <f t="shared" si="118"/>
        <v>0.71047955241266758</v>
      </c>
      <c r="AR110">
        <v>-3.9894345373445681</v>
      </c>
      <c r="AS110" t="s">
        <v>895</v>
      </c>
      <c r="AT110">
        <v>10434.9</v>
      </c>
      <c r="AU110">
        <v>874.56146153846157</v>
      </c>
      <c r="AV110">
        <v>1167.954901655829</v>
      </c>
      <c r="AW110">
        <f t="shared" si="119"/>
        <v>0.25120271313679887</v>
      </c>
      <c r="AX110">
        <v>0.5</v>
      </c>
      <c r="AY110">
        <f t="shared" si="120"/>
        <v>1513.3697993219998</v>
      </c>
      <c r="AZ110">
        <f t="shared" si="121"/>
        <v>38.98188914133803</v>
      </c>
      <c r="BA110">
        <f t="shared" si="122"/>
        <v>190.0812997844896</v>
      </c>
      <c r="BB110">
        <f t="shared" si="123"/>
        <v>2.8394463599005375E-2</v>
      </c>
      <c r="BC110">
        <f t="shared" si="124"/>
        <v>1.9383583177180739</v>
      </c>
      <c r="BD110">
        <f t="shared" si="125"/>
        <v>636.43359148547927</v>
      </c>
      <c r="BE110" t="s">
        <v>896</v>
      </c>
      <c r="BF110">
        <v>655.83</v>
      </c>
      <c r="BG110">
        <f t="shared" si="126"/>
        <v>655.83</v>
      </c>
      <c r="BH110">
        <f t="shared" si="127"/>
        <v>0.43848003114656309</v>
      </c>
      <c r="BI110">
        <f t="shared" si="128"/>
        <v>0.57289430599596392</v>
      </c>
      <c r="BJ110">
        <f t="shared" si="129"/>
        <v>0.81551962448097681</v>
      </c>
      <c r="BK110">
        <f t="shared" si="130"/>
        <v>1.6827035694894328</v>
      </c>
      <c r="BL110">
        <f t="shared" si="131"/>
        <v>0.92849105486130468</v>
      </c>
      <c r="BM110">
        <f t="shared" si="132"/>
        <v>0.42961105562597385</v>
      </c>
      <c r="BN110">
        <f t="shared" si="133"/>
        <v>0.57038894437402621</v>
      </c>
      <c r="BO110">
        <v>7734</v>
      </c>
      <c r="BP110">
        <v>290.00000000000011</v>
      </c>
      <c r="BQ110">
        <v>1093.5899999999999</v>
      </c>
      <c r="BR110">
        <v>145</v>
      </c>
      <c r="BS110">
        <v>10434.9</v>
      </c>
      <c r="BT110">
        <v>1088.82</v>
      </c>
      <c r="BU110">
        <v>4.7699999999999996</v>
      </c>
      <c r="BV110">
        <v>300.00000000000011</v>
      </c>
      <c r="BW110">
        <v>38.200000000000003</v>
      </c>
      <c r="BX110">
        <v>1167.954901655829</v>
      </c>
      <c r="BY110">
        <v>1.138958074324373</v>
      </c>
      <c r="BZ110">
        <v>-82.580632448696136</v>
      </c>
      <c r="CA110">
        <v>0.97245771898442956</v>
      </c>
      <c r="CB110">
        <v>0.99613223506177073</v>
      </c>
      <c r="CC110">
        <v>-1.132614860956619E-2</v>
      </c>
      <c r="CD110">
        <v>289.99999999999989</v>
      </c>
      <c r="CE110">
        <v>1084.23</v>
      </c>
      <c r="CF110">
        <v>695</v>
      </c>
      <c r="CG110">
        <v>10405.1</v>
      </c>
      <c r="CH110">
        <v>1088.5899999999999</v>
      </c>
      <c r="CI110">
        <v>-4.3600000000000003</v>
      </c>
      <c r="CW110">
        <f t="shared" si="134"/>
        <v>1800.22</v>
      </c>
      <c r="CX110">
        <f t="shared" si="135"/>
        <v>1513.3697993219998</v>
      </c>
      <c r="CY110">
        <f t="shared" si="136"/>
        <v>0.84065825250358284</v>
      </c>
      <c r="CZ110">
        <f t="shared" si="137"/>
        <v>0.19131650500716571</v>
      </c>
      <c r="DA110">
        <v>6</v>
      </c>
      <c r="DB110">
        <v>0.5</v>
      </c>
      <c r="DC110" t="s">
        <v>419</v>
      </c>
      <c r="DD110">
        <v>2</v>
      </c>
      <c r="DE110">
        <v>1693346522.0999999</v>
      </c>
      <c r="DF110">
        <v>450.87</v>
      </c>
      <c r="DG110">
        <v>500.04899999999998</v>
      </c>
      <c r="DH110">
        <v>29.033899999999999</v>
      </c>
      <c r="DI110">
        <v>23.8</v>
      </c>
      <c r="DJ110">
        <v>450.50700000000001</v>
      </c>
      <c r="DK110">
        <v>28.783899999999999</v>
      </c>
      <c r="DL110">
        <v>500.31700000000001</v>
      </c>
      <c r="DM110">
        <v>98.765699999999995</v>
      </c>
      <c r="DN110">
        <v>9.9401500000000004E-2</v>
      </c>
      <c r="DO110">
        <v>30.589099999999998</v>
      </c>
      <c r="DP110">
        <v>29.970300000000002</v>
      </c>
      <c r="DQ110">
        <v>999.9</v>
      </c>
      <c r="DR110">
        <v>0</v>
      </c>
      <c r="DS110">
        <v>0</v>
      </c>
      <c r="DT110">
        <v>10035</v>
      </c>
      <c r="DU110">
        <v>0</v>
      </c>
      <c r="DV110">
        <v>243.36699999999999</v>
      </c>
      <c r="DW110">
        <v>-49.178800000000003</v>
      </c>
      <c r="DX110">
        <v>464.35199999999998</v>
      </c>
      <c r="DY110">
        <v>512.24</v>
      </c>
      <c r="DZ110">
        <v>5.2339399999999996</v>
      </c>
      <c r="EA110">
        <v>500.04899999999998</v>
      </c>
      <c r="EB110">
        <v>23.8</v>
      </c>
      <c r="EC110">
        <v>2.8675600000000001</v>
      </c>
      <c r="ED110">
        <v>2.3506200000000002</v>
      </c>
      <c r="EE110">
        <v>23.278199999999998</v>
      </c>
      <c r="EF110">
        <v>20.0276</v>
      </c>
      <c r="EG110">
        <v>1800.22</v>
      </c>
      <c r="EH110">
        <v>0.97799700000000001</v>
      </c>
      <c r="EI110">
        <v>2.2003399999999999E-2</v>
      </c>
      <c r="EJ110">
        <v>0</v>
      </c>
      <c r="EK110">
        <v>874.61300000000006</v>
      </c>
      <c r="EL110">
        <v>5.0010300000000001</v>
      </c>
      <c r="EM110">
        <v>15881.2</v>
      </c>
      <c r="EN110">
        <v>14702.9</v>
      </c>
      <c r="EO110">
        <v>48.125</v>
      </c>
      <c r="EP110">
        <v>49</v>
      </c>
      <c r="EQ110">
        <v>49.375</v>
      </c>
      <c r="ER110">
        <v>48.311999999999998</v>
      </c>
      <c r="ES110">
        <v>49.561999999999998</v>
      </c>
      <c r="ET110">
        <v>1755.72</v>
      </c>
      <c r="EU110">
        <v>39.5</v>
      </c>
      <c r="EV110">
        <v>0</v>
      </c>
      <c r="EW110">
        <v>97.400000095367432</v>
      </c>
      <c r="EX110">
        <v>0</v>
      </c>
      <c r="EY110">
        <v>874.56146153846157</v>
      </c>
      <c r="EZ110">
        <v>0.49757264176120852</v>
      </c>
      <c r="FA110">
        <v>6.6529913990734704</v>
      </c>
      <c r="FB110">
        <v>15875.08461538462</v>
      </c>
      <c r="FC110">
        <v>15</v>
      </c>
      <c r="FD110">
        <v>1693346492.0999999</v>
      </c>
      <c r="FE110" t="s">
        <v>897</v>
      </c>
      <c r="FF110">
        <v>1693346487.0999999</v>
      </c>
      <c r="FG110">
        <v>1693346492.0999999</v>
      </c>
      <c r="FH110">
        <v>108</v>
      </c>
      <c r="FI110">
        <v>-4.7E-2</v>
      </c>
      <c r="FJ110">
        <v>1E-3</v>
      </c>
      <c r="FK110">
        <v>0.39100000000000001</v>
      </c>
      <c r="FL110">
        <v>0.11899999999999999</v>
      </c>
      <c r="FM110">
        <v>500</v>
      </c>
      <c r="FN110">
        <v>24</v>
      </c>
      <c r="FO110">
        <v>0.12</v>
      </c>
      <c r="FP110">
        <v>0.04</v>
      </c>
      <c r="FQ110">
        <v>38.875144002137048</v>
      </c>
      <c r="FR110">
        <v>0.49157246596930648</v>
      </c>
      <c r="FS110">
        <v>8.8335795352978794E-2</v>
      </c>
      <c r="FT110">
        <v>1</v>
      </c>
      <c r="FU110">
        <v>0.33477993988068239</v>
      </c>
      <c r="FV110">
        <v>-3.9356775986563827E-2</v>
      </c>
      <c r="FW110">
        <v>3.4451901157893511E-3</v>
      </c>
      <c r="FX110">
        <v>1</v>
      </c>
      <c r="FY110">
        <v>2</v>
      </c>
      <c r="FZ110">
        <v>2</v>
      </c>
      <c r="GA110" t="s">
        <v>421</v>
      </c>
      <c r="GB110">
        <v>2.8993500000000001</v>
      </c>
      <c r="GC110">
        <v>2.8177099999999999</v>
      </c>
      <c r="GD110">
        <v>9.8438399999999995E-2</v>
      </c>
      <c r="GE110">
        <v>0.10631500000000001</v>
      </c>
      <c r="GF110">
        <v>0.13480300000000001</v>
      </c>
      <c r="GG110">
        <v>0.117396</v>
      </c>
      <c r="GH110">
        <v>24975.9</v>
      </c>
      <c r="GI110">
        <v>24864.6</v>
      </c>
      <c r="GJ110">
        <v>24581</v>
      </c>
      <c r="GK110">
        <v>24850.3</v>
      </c>
      <c r="GL110">
        <v>28251.599999999999</v>
      </c>
      <c r="GM110">
        <v>28674.7</v>
      </c>
      <c r="GN110">
        <v>33239</v>
      </c>
      <c r="GO110">
        <v>33181.5</v>
      </c>
      <c r="GP110">
        <v>1.9495</v>
      </c>
      <c r="GQ110">
        <v>1.7937000000000001</v>
      </c>
      <c r="GR110">
        <v>5.1751699999999998E-2</v>
      </c>
      <c r="GS110">
        <v>0</v>
      </c>
      <c r="GT110">
        <v>29.127500000000001</v>
      </c>
      <c r="GU110">
        <v>999.9</v>
      </c>
      <c r="GV110">
        <v>46.4</v>
      </c>
      <c r="GW110">
        <v>39.1</v>
      </c>
      <c r="GX110">
        <v>33.188800000000001</v>
      </c>
      <c r="GY110">
        <v>62.029899999999998</v>
      </c>
      <c r="GZ110">
        <v>22.7804</v>
      </c>
      <c r="HA110">
        <v>1</v>
      </c>
      <c r="HB110">
        <v>0.53218500000000002</v>
      </c>
      <c r="HC110">
        <v>1.7870699999999999</v>
      </c>
      <c r="HD110">
        <v>20.2056</v>
      </c>
      <c r="HE110">
        <v>5.2316700000000003</v>
      </c>
      <c r="HF110">
        <v>11.9201</v>
      </c>
      <c r="HG110">
        <v>4.9596</v>
      </c>
      <c r="HH110">
        <v>3.2890000000000001</v>
      </c>
      <c r="HI110">
        <v>9999</v>
      </c>
      <c r="HJ110">
        <v>9999</v>
      </c>
      <c r="HK110">
        <v>9999</v>
      </c>
      <c r="HL110">
        <v>882.2</v>
      </c>
      <c r="HM110">
        <v>1.88059</v>
      </c>
      <c r="HN110">
        <v>1.87775</v>
      </c>
      <c r="HO110">
        <v>1.88568</v>
      </c>
      <c r="HP110">
        <v>1.88348</v>
      </c>
      <c r="HQ110">
        <v>1.88096</v>
      </c>
      <c r="HR110">
        <v>1.8800399999999999</v>
      </c>
      <c r="HS110">
        <v>1.8811599999999999</v>
      </c>
      <c r="HT110">
        <v>1.8806499999999999</v>
      </c>
      <c r="HU110">
        <v>5</v>
      </c>
      <c r="HV110">
        <v>0</v>
      </c>
      <c r="HW110">
        <v>0</v>
      </c>
      <c r="HX110">
        <v>0</v>
      </c>
      <c r="HY110" t="s">
        <v>422</v>
      </c>
      <c r="HZ110" t="s">
        <v>423</v>
      </c>
      <c r="IA110" t="s">
        <v>424</v>
      </c>
      <c r="IB110" t="s">
        <v>424</v>
      </c>
      <c r="IC110" t="s">
        <v>424</v>
      </c>
      <c r="ID110" t="s">
        <v>424</v>
      </c>
      <c r="IE110">
        <v>0</v>
      </c>
      <c r="IF110">
        <v>100</v>
      </c>
      <c r="IG110">
        <v>100</v>
      </c>
      <c r="IH110">
        <v>0.36299999999999999</v>
      </c>
      <c r="II110">
        <v>0.25</v>
      </c>
      <c r="IJ110">
        <v>-0.2398950060696145</v>
      </c>
      <c r="IK110">
        <v>2.2153513873161218E-3</v>
      </c>
      <c r="IL110">
        <v>-2.2967369670569612E-6</v>
      </c>
      <c r="IM110">
        <v>7.7859689150384122E-10</v>
      </c>
      <c r="IN110">
        <v>-0.1486575572013846</v>
      </c>
      <c r="IO110">
        <v>-4.1434251034592161E-3</v>
      </c>
      <c r="IP110">
        <v>8.3987709687394815E-4</v>
      </c>
      <c r="IQ110">
        <v>-7.4586254598011197E-6</v>
      </c>
      <c r="IR110">
        <v>2</v>
      </c>
      <c r="IS110">
        <v>1930</v>
      </c>
      <c r="IT110">
        <v>2</v>
      </c>
      <c r="IU110">
        <v>41</v>
      </c>
      <c r="IV110">
        <v>0.6</v>
      </c>
      <c r="IW110">
        <v>0.5</v>
      </c>
      <c r="IX110">
        <v>1.18286</v>
      </c>
      <c r="IY110">
        <v>2.5329600000000001</v>
      </c>
      <c r="IZ110">
        <v>1.24512</v>
      </c>
      <c r="JA110">
        <v>2.2607400000000002</v>
      </c>
      <c r="JB110">
        <v>1.4501999999999999</v>
      </c>
      <c r="JC110">
        <v>2.2973599999999998</v>
      </c>
      <c r="JD110">
        <v>40.938000000000002</v>
      </c>
      <c r="JE110">
        <v>15.4892</v>
      </c>
      <c r="JF110">
        <v>18</v>
      </c>
      <c r="JG110">
        <v>497.63200000000001</v>
      </c>
      <c r="JH110">
        <v>441.25</v>
      </c>
      <c r="JI110">
        <v>27.0563</v>
      </c>
      <c r="JJ110">
        <v>33.930199999999999</v>
      </c>
      <c r="JK110">
        <v>29.999199999999998</v>
      </c>
      <c r="JL110">
        <v>33.897300000000001</v>
      </c>
      <c r="JM110">
        <v>33.869999999999997</v>
      </c>
      <c r="JN110">
        <v>23.779199999999999</v>
      </c>
      <c r="JO110">
        <v>34.384900000000002</v>
      </c>
      <c r="JP110">
        <v>0</v>
      </c>
      <c r="JQ110">
        <v>27.069400000000002</v>
      </c>
      <c r="JR110">
        <v>500</v>
      </c>
      <c r="JS110">
        <v>23.861599999999999</v>
      </c>
      <c r="JT110">
        <v>99.209000000000003</v>
      </c>
      <c r="JU110">
        <v>99.043700000000001</v>
      </c>
    </row>
    <row r="111" spans="1:281" x14ac:dyDescent="0.25">
      <c r="A111">
        <v>95</v>
      </c>
      <c r="B111">
        <v>1693346621.5999999</v>
      </c>
      <c r="C111">
        <v>23908.5</v>
      </c>
      <c r="D111" t="s">
        <v>898</v>
      </c>
      <c r="E111" t="s">
        <v>899</v>
      </c>
      <c r="F111" t="s">
        <v>413</v>
      </c>
      <c r="G111" t="s">
        <v>636</v>
      </c>
      <c r="H111" t="s">
        <v>31</v>
      </c>
      <c r="I111" t="s">
        <v>31</v>
      </c>
      <c r="J111">
        <v>1693346621.5999999</v>
      </c>
      <c r="K111">
        <f t="shared" si="92"/>
        <v>3.9632670479911253E-3</v>
      </c>
      <c r="L111">
        <f t="shared" si="93"/>
        <v>3.9632670479911249</v>
      </c>
      <c r="M111">
        <f t="shared" si="94"/>
        <v>40.077085954016788</v>
      </c>
      <c r="N111">
        <f t="shared" si="95"/>
        <v>648.92200000000003</v>
      </c>
      <c r="O111">
        <f t="shared" si="96"/>
        <v>401.11686132060208</v>
      </c>
      <c r="P111">
        <f t="shared" si="97"/>
        <v>39.655091399325649</v>
      </c>
      <c r="Q111">
        <f t="shared" si="98"/>
        <v>64.153526571563006</v>
      </c>
      <c r="R111">
        <f t="shared" si="99"/>
        <v>0.28484658311315719</v>
      </c>
      <c r="S111">
        <f t="shared" si="100"/>
        <v>2.9060036914238569</v>
      </c>
      <c r="T111">
        <f t="shared" si="101"/>
        <v>0.27019441406109779</v>
      </c>
      <c r="U111">
        <f t="shared" si="102"/>
        <v>0.17012511680659806</v>
      </c>
      <c r="V111">
        <f t="shared" si="103"/>
        <v>344.39089864391701</v>
      </c>
      <c r="W111">
        <f t="shared" si="104"/>
        <v>31.611532443393124</v>
      </c>
      <c r="X111">
        <f t="shared" si="105"/>
        <v>30.010200000000001</v>
      </c>
      <c r="Y111">
        <f t="shared" si="106"/>
        <v>4.2629465205437258</v>
      </c>
      <c r="Z111">
        <f t="shared" si="107"/>
        <v>64.952183150146098</v>
      </c>
      <c r="AA111">
        <f t="shared" si="108"/>
        <v>2.8651007951923502</v>
      </c>
      <c r="AB111">
        <f t="shared" si="109"/>
        <v>4.4110923701660143</v>
      </c>
      <c r="AC111">
        <f t="shared" si="110"/>
        <v>1.3978457253513756</v>
      </c>
      <c r="AD111">
        <f t="shared" si="111"/>
        <v>-174.78007681640864</v>
      </c>
      <c r="AE111">
        <f t="shared" si="112"/>
        <v>93.390075570278796</v>
      </c>
      <c r="AF111">
        <f t="shared" si="113"/>
        <v>7.1675191553341522</v>
      </c>
      <c r="AG111">
        <f t="shared" si="114"/>
        <v>270.16841655312135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51553.05433109132</v>
      </c>
      <c r="AM111" t="s">
        <v>416</v>
      </c>
      <c r="AN111">
        <v>10366.9</v>
      </c>
      <c r="AO111">
        <v>993.59653846153856</v>
      </c>
      <c r="AP111">
        <v>3431.87</v>
      </c>
      <c r="AQ111">
        <f t="shared" si="118"/>
        <v>0.71047955241266758</v>
      </c>
      <c r="AR111">
        <v>-3.9894345373445681</v>
      </c>
      <c r="AS111" t="s">
        <v>900</v>
      </c>
      <c r="AT111">
        <v>10434.200000000001</v>
      </c>
      <c r="AU111">
        <v>876.97816000000012</v>
      </c>
      <c r="AV111">
        <v>1185.0757505623401</v>
      </c>
      <c r="AW111">
        <f t="shared" si="119"/>
        <v>0.25998134753507696</v>
      </c>
      <c r="AX111">
        <v>0.5</v>
      </c>
      <c r="AY111">
        <f t="shared" si="120"/>
        <v>1513.2773993219585</v>
      </c>
      <c r="AZ111">
        <f t="shared" si="121"/>
        <v>40.077085954016788</v>
      </c>
      <c r="BA111">
        <f t="shared" si="122"/>
        <v>196.71194873504976</v>
      </c>
      <c r="BB111">
        <f t="shared" si="123"/>
        <v>2.9119922435308872E-2</v>
      </c>
      <c r="BC111">
        <f t="shared" si="124"/>
        <v>1.8959077074790491</v>
      </c>
      <c r="BD111">
        <f t="shared" si="125"/>
        <v>641.48359590777579</v>
      </c>
      <c r="BE111" t="s">
        <v>901</v>
      </c>
      <c r="BF111">
        <v>654.92999999999995</v>
      </c>
      <c r="BG111">
        <f t="shared" si="126"/>
        <v>654.92999999999995</v>
      </c>
      <c r="BH111">
        <f t="shared" si="127"/>
        <v>0.44735178347103655</v>
      </c>
      <c r="BI111">
        <f t="shared" si="128"/>
        <v>0.58115638998432484</v>
      </c>
      <c r="BJ111">
        <f t="shared" si="129"/>
        <v>0.80908995132687767</v>
      </c>
      <c r="BK111">
        <f t="shared" si="130"/>
        <v>1.6090393687234641</v>
      </c>
      <c r="BL111">
        <f t="shared" si="131"/>
        <v>0.9214693449601894</v>
      </c>
      <c r="BM111">
        <f t="shared" si="132"/>
        <v>0.43400938797886796</v>
      </c>
      <c r="BN111">
        <f t="shared" si="133"/>
        <v>0.56599061202113199</v>
      </c>
      <c r="BO111">
        <v>7736</v>
      </c>
      <c r="BP111">
        <v>290.00000000000011</v>
      </c>
      <c r="BQ111">
        <v>1103.1300000000001</v>
      </c>
      <c r="BR111">
        <v>145</v>
      </c>
      <c r="BS111">
        <v>10434.200000000001</v>
      </c>
      <c r="BT111">
        <v>1099.79</v>
      </c>
      <c r="BU111">
        <v>3.34</v>
      </c>
      <c r="BV111">
        <v>300.00000000000011</v>
      </c>
      <c r="BW111">
        <v>38.200000000000003</v>
      </c>
      <c r="BX111">
        <v>1185.0757505623401</v>
      </c>
      <c r="BY111">
        <v>1.544165882658685</v>
      </c>
      <c r="BZ111">
        <v>-88.987653996792005</v>
      </c>
      <c r="CA111">
        <v>1.318325477922069</v>
      </c>
      <c r="CB111">
        <v>0.9938922240190422</v>
      </c>
      <c r="CC111">
        <v>-1.1325378642936611E-2</v>
      </c>
      <c r="CD111">
        <v>289.99999999999989</v>
      </c>
      <c r="CE111">
        <v>1094.0999999999999</v>
      </c>
      <c r="CF111">
        <v>655</v>
      </c>
      <c r="CG111">
        <v>10407.4</v>
      </c>
      <c r="CH111">
        <v>1099.57</v>
      </c>
      <c r="CI111">
        <v>-5.47</v>
      </c>
      <c r="CW111">
        <f t="shared" si="134"/>
        <v>1800.11</v>
      </c>
      <c r="CX111">
        <f t="shared" si="135"/>
        <v>1513.2773993219585</v>
      </c>
      <c r="CY111">
        <f t="shared" si="136"/>
        <v>0.84065829272764359</v>
      </c>
      <c r="CZ111">
        <f t="shared" si="137"/>
        <v>0.19131658545528718</v>
      </c>
      <c r="DA111">
        <v>6</v>
      </c>
      <c r="DB111">
        <v>0.5</v>
      </c>
      <c r="DC111" t="s">
        <v>419</v>
      </c>
      <c r="DD111">
        <v>2</v>
      </c>
      <c r="DE111">
        <v>1693346621.5999999</v>
      </c>
      <c r="DF111">
        <v>648.92200000000003</v>
      </c>
      <c r="DG111">
        <v>700.08199999999999</v>
      </c>
      <c r="DH111">
        <v>28.980899999999998</v>
      </c>
      <c r="DI111">
        <v>24.3645</v>
      </c>
      <c r="DJ111">
        <v>648.5</v>
      </c>
      <c r="DK111">
        <v>28.727499999999999</v>
      </c>
      <c r="DL111">
        <v>500.18299999999999</v>
      </c>
      <c r="DM111">
        <v>98.762600000000006</v>
      </c>
      <c r="DN111">
        <v>9.9091499999999999E-2</v>
      </c>
      <c r="DO111">
        <v>30.606300000000001</v>
      </c>
      <c r="DP111">
        <v>30.010200000000001</v>
      </c>
      <c r="DQ111">
        <v>999.9</v>
      </c>
      <c r="DR111">
        <v>0</v>
      </c>
      <c r="DS111">
        <v>0</v>
      </c>
      <c r="DT111">
        <v>9990</v>
      </c>
      <c r="DU111">
        <v>0</v>
      </c>
      <c r="DV111">
        <v>212.71</v>
      </c>
      <c r="DW111">
        <v>-51.159700000000001</v>
      </c>
      <c r="DX111">
        <v>668.29</v>
      </c>
      <c r="DY111">
        <v>717.56500000000005</v>
      </c>
      <c r="DZ111">
        <v>4.6163800000000004</v>
      </c>
      <c r="EA111">
        <v>700.08199999999999</v>
      </c>
      <c r="EB111">
        <v>24.3645</v>
      </c>
      <c r="EC111">
        <v>2.8622299999999998</v>
      </c>
      <c r="ED111">
        <v>2.4062999999999999</v>
      </c>
      <c r="EE111">
        <v>23.247399999999999</v>
      </c>
      <c r="EF111">
        <v>20.406199999999998</v>
      </c>
      <c r="EG111">
        <v>1800.11</v>
      </c>
      <c r="EH111">
        <v>0.97799700000000001</v>
      </c>
      <c r="EI111">
        <v>2.2003399999999999E-2</v>
      </c>
      <c r="EJ111">
        <v>0</v>
      </c>
      <c r="EK111">
        <v>876.84900000000005</v>
      </c>
      <c r="EL111">
        <v>5.0010300000000001</v>
      </c>
      <c r="EM111">
        <v>15907.2</v>
      </c>
      <c r="EN111">
        <v>14702</v>
      </c>
      <c r="EO111">
        <v>48.186999999999998</v>
      </c>
      <c r="EP111">
        <v>48.936999999999998</v>
      </c>
      <c r="EQ111">
        <v>49.375</v>
      </c>
      <c r="ER111">
        <v>48.375</v>
      </c>
      <c r="ES111">
        <v>49.686999999999998</v>
      </c>
      <c r="ET111">
        <v>1755.61</v>
      </c>
      <c r="EU111">
        <v>39.5</v>
      </c>
      <c r="EV111">
        <v>0</v>
      </c>
      <c r="EW111">
        <v>97.399999856948853</v>
      </c>
      <c r="EX111">
        <v>0</v>
      </c>
      <c r="EY111">
        <v>876.97816000000012</v>
      </c>
      <c r="EZ111">
        <v>-1.809769237753265</v>
      </c>
      <c r="FA111">
        <v>-31.39230775402379</v>
      </c>
      <c r="FB111">
        <v>15909.147999999999</v>
      </c>
      <c r="FC111">
        <v>15</v>
      </c>
      <c r="FD111">
        <v>1693346589.5999999</v>
      </c>
      <c r="FE111" t="s">
        <v>902</v>
      </c>
      <c r="FF111">
        <v>1693346586.5999999</v>
      </c>
      <c r="FG111">
        <v>1693346589.5999999</v>
      </c>
      <c r="FH111">
        <v>109</v>
      </c>
      <c r="FI111">
        <v>-0.02</v>
      </c>
      <c r="FJ111">
        <v>5.0000000000000001E-3</v>
      </c>
      <c r="FK111">
        <v>0.432</v>
      </c>
      <c r="FL111">
        <v>0.128</v>
      </c>
      <c r="FM111">
        <v>700</v>
      </c>
      <c r="FN111">
        <v>24</v>
      </c>
      <c r="FO111">
        <v>0.11</v>
      </c>
      <c r="FP111">
        <v>0.05</v>
      </c>
      <c r="FQ111">
        <v>40.029743242118698</v>
      </c>
      <c r="FR111">
        <v>-6.2622405232283046E-2</v>
      </c>
      <c r="FS111">
        <v>0.1240589547893617</v>
      </c>
      <c r="FT111">
        <v>1</v>
      </c>
      <c r="FU111">
        <v>0.28861035328043277</v>
      </c>
      <c r="FV111">
        <v>-1.940787131912616E-2</v>
      </c>
      <c r="FW111">
        <v>1.854000658810209E-3</v>
      </c>
      <c r="FX111">
        <v>1</v>
      </c>
      <c r="FY111">
        <v>2</v>
      </c>
      <c r="FZ111">
        <v>2</v>
      </c>
      <c r="GA111" t="s">
        <v>421</v>
      </c>
      <c r="GB111">
        <v>2.8992300000000002</v>
      </c>
      <c r="GC111">
        <v>2.8170099999999998</v>
      </c>
      <c r="GD111">
        <v>0.12793299999999999</v>
      </c>
      <c r="GE111">
        <v>0.13481199999999999</v>
      </c>
      <c r="GF111">
        <v>0.13464799999999999</v>
      </c>
      <c r="GG111">
        <v>0.119323</v>
      </c>
      <c r="GH111">
        <v>24164.1</v>
      </c>
      <c r="GI111">
        <v>24075.5</v>
      </c>
      <c r="GJ111">
        <v>24586.2</v>
      </c>
      <c r="GK111">
        <v>24853.8</v>
      </c>
      <c r="GL111">
        <v>28261.7</v>
      </c>
      <c r="GM111">
        <v>28614.9</v>
      </c>
      <c r="GN111">
        <v>33245.5</v>
      </c>
      <c r="GO111">
        <v>33185.599999999999</v>
      </c>
      <c r="GP111">
        <v>1.9497</v>
      </c>
      <c r="GQ111">
        <v>1.7970999999999999</v>
      </c>
      <c r="GR111">
        <v>6.1750399999999997E-2</v>
      </c>
      <c r="GS111">
        <v>0</v>
      </c>
      <c r="GT111">
        <v>29.0045</v>
      </c>
      <c r="GU111">
        <v>999.9</v>
      </c>
      <c r="GV111">
        <v>46.4</v>
      </c>
      <c r="GW111">
        <v>39</v>
      </c>
      <c r="GX111">
        <v>33.012099999999997</v>
      </c>
      <c r="GY111">
        <v>62.179900000000004</v>
      </c>
      <c r="GZ111">
        <v>23.9984</v>
      </c>
      <c r="HA111">
        <v>1</v>
      </c>
      <c r="HB111">
        <v>0.52227599999999996</v>
      </c>
      <c r="HC111">
        <v>1.90126</v>
      </c>
      <c r="HD111">
        <v>20.203199999999999</v>
      </c>
      <c r="HE111">
        <v>5.2280699999999998</v>
      </c>
      <c r="HF111">
        <v>11.9201</v>
      </c>
      <c r="HG111">
        <v>4.9588000000000001</v>
      </c>
      <c r="HH111">
        <v>3.2875000000000001</v>
      </c>
      <c r="HI111">
        <v>9999</v>
      </c>
      <c r="HJ111">
        <v>9999</v>
      </c>
      <c r="HK111">
        <v>9999</v>
      </c>
      <c r="HL111">
        <v>882.2</v>
      </c>
      <c r="HM111">
        <v>1.88059</v>
      </c>
      <c r="HN111">
        <v>1.87775</v>
      </c>
      <c r="HO111">
        <v>1.88568</v>
      </c>
      <c r="HP111">
        <v>1.8834500000000001</v>
      </c>
      <c r="HQ111">
        <v>1.8809499999999999</v>
      </c>
      <c r="HR111">
        <v>1.8800399999999999</v>
      </c>
      <c r="HS111">
        <v>1.8811199999999999</v>
      </c>
      <c r="HT111">
        <v>1.8806499999999999</v>
      </c>
      <c r="HU111">
        <v>5</v>
      </c>
      <c r="HV111">
        <v>0</v>
      </c>
      <c r="HW111">
        <v>0</v>
      </c>
      <c r="HX111">
        <v>0</v>
      </c>
      <c r="HY111" t="s">
        <v>422</v>
      </c>
      <c r="HZ111" t="s">
        <v>423</v>
      </c>
      <c r="IA111" t="s">
        <v>424</v>
      </c>
      <c r="IB111" t="s">
        <v>424</v>
      </c>
      <c r="IC111" t="s">
        <v>424</v>
      </c>
      <c r="ID111" t="s">
        <v>424</v>
      </c>
      <c r="IE111">
        <v>0</v>
      </c>
      <c r="IF111">
        <v>100</v>
      </c>
      <c r="IG111">
        <v>100</v>
      </c>
      <c r="IH111">
        <v>0.42199999999999999</v>
      </c>
      <c r="II111">
        <v>0.25340000000000001</v>
      </c>
      <c r="IJ111">
        <v>-0.26019006745410789</v>
      </c>
      <c r="IK111">
        <v>2.2153513873161218E-3</v>
      </c>
      <c r="IL111">
        <v>-2.2967369670569612E-6</v>
      </c>
      <c r="IM111">
        <v>7.7859689150384122E-10</v>
      </c>
      <c r="IN111">
        <v>-0.14387035061080539</v>
      </c>
      <c r="IO111">
        <v>-4.1434251034592161E-3</v>
      </c>
      <c r="IP111">
        <v>8.3987709687394815E-4</v>
      </c>
      <c r="IQ111">
        <v>-7.4586254598011197E-6</v>
      </c>
      <c r="IR111">
        <v>2</v>
      </c>
      <c r="IS111">
        <v>1930</v>
      </c>
      <c r="IT111">
        <v>2</v>
      </c>
      <c r="IU111">
        <v>41</v>
      </c>
      <c r="IV111">
        <v>0.6</v>
      </c>
      <c r="IW111">
        <v>0.5</v>
      </c>
      <c r="IX111">
        <v>1.5515099999999999</v>
      </c>
      <c r="IY111">
        <v>2.52197</v>
      </c>
      <c r="IZ111">
        <v>1.24512</v>
      </c>
      <c r="JA111">
        <v>2.2595200000000002</v>
      </c>
      <c r="JB111">
        <v>1.4501999999999999</v>
      </c>
      <c r="JC111">
        <v>2.3071299999999999</v>
      </c>
      <c r="JD111">
        <v>40.732300000000002</v>
      </c>
      <c r="JE111">
        <v>15.462899999999999</v>
      </c>
      <c r="JF111">
        <v>18</v>
      </c>
      <c r="JG111">
        <v>496.96100000000001</v>
      </c>
      <c r="JH111">
        <v>442.791</v>
      </c>
      <c r="JI111">
        <v>27.130700000000001</v>
      </c>
      <c r="JJ111">
        <v>33.816099999999999</v>
      </c>
      <c r="JK111">
        <v>29.999600000000001</v>
      </c>
      <c r="JL111">
        <v>33.797699999999999</v>
      </c>
      <c r="JM111">
        <v>33.772399999999998</v>
      </c>
      <c r="JN111">
        <v>31.173300000000001</v>
      </c>
      <c r="JO111">
        <v>32.530799999999999</v>
      </c>
      <c r="JP111">
        <v>0</v>
      </c>
      <c r="JQ111">
        <v>27.127600000000001</v>
      </c>
      <c r="JR111">
        <v>700</v>
      </c>
      <c r="JS111">
        <v>24.321100000000001</v>
      </c>
      <c r="JT111">
        <v>99.229200000000006</v>
      </c>
      <c r="JU111">
        <v>99.056600000000003</v>
      </c>
    </row>
    <row r="112" spans="1:281" x14ac:dyDescent="0.25">
      <c r="A112">
        <v>96</v>
      </c>
      <c r="B112">
        <v>1693346740.0999999</v>
      </c>
      <c r="C112">
        <v>24027</v>
      </c>
      <c r="D112" t="s">
        <v>903</v>
      </c>
      <c r="E112" t="s">
        <v>904</v>
      </c>
      <c r="F112" t="s">
        <v>413</v>
      </c>
      <c r="G112" t="s">
        <v>636</v>
      </c>
      <c r="H112" t="s">
        <v>31</v>
      </c>
      <c r="I112" t="s">
        <v>31</v>
      </c>
      <c r="J112">
        <v>1693346740.0999999</v>
      </c>
      <c r="K112">
        <f t="shared" si="92"/>
        <v>3.2655594751960833E-3</v>
      </c>
      <c r="L112">
        <f t="shared" si="93"/>
        <v>3.2655594751960835</v>
      </c>
      <c r="M112">
        <f t="shared" si="94"/>
        <v>39.779323868673458</v>
      </c>
      <c r="N112">
        <f t="shared" si="95"/>
        <v>848.91399999999999</v>
      </c>
      <c r="O112">
        <f t="shared" si="96"/>
        <v>544.97349963920647</v>
      </c>
      <c r="P112">
        <f t="shared" si="97"/>
        <v>53.87984130893971</v>
      </c>
      <c r="Q112">
        <f t="shared" si="98"/>
        <v>83.929496819970993</v>
      </c>
      <c r="R112">
        <f t="shared" si="99"/>
        <v>0.22968971509549813</v>
      </c>
      <c r="S112">
        <f t="shared" si="100"/>
        <v>2.9047805441814032</v>
      </c>
      <c r="T112">
        <f t="shared" si="101"/>
        <v>0.22005561370738663</v>
      </c>
      <c r="U112">
        <f t="shared" si="102"/>
        <v>0.13836667072882278</v>
      </c>
      <c r="V112">
        <f t="shared" si="103"/>
        <v>344.42129864403751</v>
      </c>
      <c r="W112">
        <f t="shared" si="104"/>
        <v>31.737782738978055</v>
      </c>
      <c r="X112">
        <f t="shared" si="105"/>
        <v>30.036899999999999</v>
      </c>
      <c r="Y112">
        <f t="shared" si="106"/>
        <v>4.2694881644982665</v>
      </c>
      <c r="Z112">
        <f t="shared" si="107"/>
        <v>64.938284399785772</v>
      </c>
      <c r="AA112">
        <f t="shared" si="108"/>
        <v>2.8551970217988001</v>
      </c>
      <c r="AB112">
        <f t="shared" si="109"/>
        <v>4.3967854220186622</v>
      </c>
      <c r="AC112">
        <f t="shared" si="110"/>
        <v>1.4142911426994664</v>
      </c>
      <c r="AD112">
        <f t="shared" si="111"/>
        <v>-144.01117285614728</v>
      </c>
      <c r="AE112">
        <f t="shared" si="112"/>
        <v>80.274456210547399</v>
      </c>
      <c r="AF112">
        <f t="shared" si="113"/>
        <v>6.1625943730666704</v>
      </c>
      <c r="AG112">
        <f t="shared" si="114"/>
        <v>286.8471763715043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51528.167547662422</v>
      </c>
      <c r="AM112" t="s">
        <v>416</v>
      </c>
      <c r="AN112">
        <v>10366.9</v>
      </c>
      <c r="AO112">
        <v>993.59653846153856</v>
      </c>
      <c r="AP112">
        <v>3431.87</v>
      </c>
      <c r="AQ112">
        <f t="shared" si="118"/>
        <v>0.71047955241266758</v>
      </c>
      <c r="AR112">
        <v>-3.9894345373445681</v>
      </c>
      <c r="AS112" t="s">
        <v>905</v>
      </c>
      <c r="AT112">
        <v>10438.700000000001</v>
      </c>
      <c r="AU112">
        <v>873.80788000000018</v>
      </c>
      <c r="AV112">
        <v>1181.3827823737561</v>
      </c>
      <c r="AW112">
        <f t="shared" si="119"/>
        <v>0.26035160403789248</v>
      </c>
      <c r="AX112">
        <v>0.5</v>
      </c>
      <c r="AY112">
        <f t="shared" si="120"/>
        <v>1513.4117993220186</v>
      </c>
      <c r="AZ112">
        <f t="shared" si="121"/>
        <v>39.779323868673458</v>
      </c>
      <c r="BA112">
        <f t="shared" si="122"/>
        <v>197.00959476168029</v>
      </c>
      <c r="BB112">
        <f t="shared" si="123"/>
        <v>2.8920587526557968E-2</v>
      </c>
      <c r="BC112">
        <f t="shared" si="124"/>
        <v>1.9049602306750508</v>
      </c>
      <c r="BD112">
        <f t="shared" si="125"/>
        <v>640.39997922597388</v>
      </c>
      <c r="BE112" t="s">
        <v>906</v>
      </c>
      <c r="BF112">
        <v>653.94000000000005</v>
      </c>
      <c r="BG112">
        <f t="shared" si="126"/>
        <v>653.94000000000005</v>
      </c>
      <c r="BH112">
        <f t="shared" si="127"/>
        <v>0.44646222227309218</v>
      </c>
      <c r="BI112">
        <f t="shared" si="128"/>
        <v>0.58314363690695548</v>
      </c>
      <c r="BJ112">
        <f t="shared" si="129"/>
        <v>0.81013100316647435</v>
      </c>
      <c r="BK112">
        <f t="shared" si="130"/>
        <v>1.6378990066894077</v>
      </c>
      <c r="BL112">
        <f t="shared" si="131"/>
        <v>0.92298392822857056</v>
      </c>
      <c r="BM112">
        <f t="shared" si="132"/>
        <v>0.43641280726254655</v>
      </c>
      <c r="BN112">
        <f t="shared" si="133"/>
        <v>0.56358719273745339</v>
      </c>
      <c r="BO112">
        <v>7738</v>
      </c>
      <c r="BP112">
        <v>290.00000000000011</v>
      </c>
      <c r="BQ112">
        <v>1101.44</v>
      </c>
      <c r="BR112">
        <v>115</v>
      </c>
      <c r="BS112">
        <v>10438.700000000001</v>
      </c>
      <c r="BT112">
        <v>1097.76</v>
      </c>
      <c r="BU112">
        <v>3.68</v>
      </c>
      <c r="BV112">
        <v>300.00000000000011</v>
      </c>
      <c r="BW112">
        <v>38.200000000000003</v>
      </c>
      <c r="BX112">
        <v>1181.3827823737561</v>
      </c>
      <c r="BY112">
        <v>1.1110818327622849</v>
      </c>
      <c r="BZ112">
        <v>-87.295305729072595</v>
      </c>
      <c r="CA112">
        <v>0.94849890015265981</v>
      </c>
      <c r="CB112">
        <v>0.99670529390778884</v>
      </c>
      <c r="CC112">
        <v>-1.132445450500557E-2</v>
      </c>
      <c r="CD112">
        <v>289.99999999999989</v>
      </c>
      <c r="CE112">
        <v>1092.1300000000001</v>
      </c>
      <c r="CF112">
        <v>745</v>
      </c>
      <c r="CG112">
        <v>10399.9</v>
      </c>
      <c r="CH112">
        <v>1097.44</v>
      </c>
      <c r="CI112">
        <v>-5.31</v>
      </c>
      <c r="CW112">
        <f t="shared" si="134"/>
        <v>1800.27</v>
      </c>
      <c r="CX112">
        <f t="shared" si="135"/>
        <v>1513.4117993220186</v>
      </c>
      <c r="CY112">
        <f t="shared" si="136"/>
        <v>0.84065823422154373</v>
      </c>
      <c r="CZ112">
        <f t="shared" si="137"/>
        <v>0.19131646844308772</v>
      </c>
      <c r="DA112">
        <v>6</v>
      </c>
      <c r="DB112">
        <v>0.5</v>
      </c>
      <c r="DC112" t="s">
        <v>419</v>
      </c>
      <c r="DD112">
        <v>2</v>
      </c>
      <c r="DE112">
        <v>1693346740.0999999</v>
      </c>
      <c r="DF112">
        <v>848.91399999999999</v>
      </c>
      <c r="DG112">
        <v>899.96100000000001</v>
      </c>
      <c r="DH112">
        <v>28.879200000000001</v>
      </c>
      <c r="DI112">
        <v>25.0748</v>
      </c>
      <c r="DJ112">
        <v>848.44</v>
      </c>
      <c r="DK112">
        <v>28.623100000000001</v>
      </c>
      <c r="DL112">
        <v>500.14499999999998</v>
      </c>
      <c r="DM112">
        <v>98.767600000000002</v>
      </c>
      <c r="DN112">
        <v>9.9301500000000001E-2</v>
      </c>
      <c r="DO112">
        <v>30.549499999999998</v>
      </c>
      <c r="DP112">
        <v>30.036899999999999</v>
      </c>
      <c r="DQ112">
        <v>999.9</v>
      </c>
      <c r="DR112">
        <v>0</v>
      </c>
      <c r="DS112">
        <v>0</v>
      </c>
      <c r="DT112">
        <v>9982.5</v>
      </c>
      <c r="DU112">
        <v>0</v>
      </c>
      <c r="DV112">
        <v>230.50899999999999</v>
      </c>
      <c r="DW112">
        <v>-51.047499999999999</v>
      </c>
      <c r="DX112">
        <v>874.15899999999999</v>
      </c>
      <c r="DY112">
        <v>923.10799999999995</v>
      </c>
      <c r="DZ112">
        <v>3.8043999999999998</v>
      </c>
      <c r="EA112">
        <v>899.96100000000001</v>
      </c>
      <c r="EB112">
        <v>25.0748</v>
      </c>
      <c r="EC112">
        <v>2.8523299999999998</v>
      </c>
      <c r="ED112">
        <v>2.4765799999999998</v>
      </c>
      <c r="EE112">
        <v>23.190100000000001</v>
      </c>
      <c r="EF112">
        <v>20.8734</v>
      </c>
      <c r="EG112">
        <v>1800.27</v>
      </c>
      <c r="EH112">
        <v>0.97799999999999998</v>
      </c>
      <c r="EI112">
        <v>2.1999700000000001E-2</v>
      </c>
      <c r="EJ112">
        <v>0</v>
      </c>
      <c r="EK112">
        <v>873.43499999999995</v>
      </c>
      <c r="EL112">
        <v>5.0010300000000001</v>
      </c>
      <c r="EM112">
        <v>15844.7</v>
      </c>
      <c r="EN112">
        <v>14703.3</v>
      </c>
      <c r="EO112">
        <v>48.25</v>
      </c>
      <c r="EP112">
        <v>48.936999999999998</v>
      </c>
      <c r="EQ112">
        <v>49.5</v>
      </c>
      <c r="ER112">
        <v>48.375</v>
      </c>
      <c r="ES112">
        <v>49.625</v>
      </c>
      <c r="ET112">
        <v>1755.77</v>
      </c>
      <c r="EU112">
        <v>39.5</v>
      </c>
      <c r="EV112">
        <v>0</v>
      </c>
      <c r="EW112">
        <v>116.5999999046326</v>
      </c>
      <c r="EX112">
        <v>0</v>
      </c>
      <c r="EY112">
        <v>873.80788000000018</v>
      </c>
      <c r="EZ112">
        <v>-1.7800769269394561</v>
      </c>
      <c r="FA112">
        <v>-598.70769247310341</v>
      </c>
      <c r="FB112">
        <v>15879.912</v>
      </c>
      <c r="FC112">
        <v>15</v>
      </c>
      <c r="FD112">
        <v>1693346707.5999999</v>
      </c>
      <c r="FE112" t="s">
        <v>907</v>
      </c>
      <c r="FF112">
        <v>1693346699.5999999</v>
      </c>
      <c r="FG112">
        <v>1693346707.5999999</v>
      </c>
      <c r="FH112">
        <v>110</v>
      </c>
      <c r="FI112">
        <v>3.2000000000000001E-2</v>
      </c>
      <c r="FJ112">
        <v>5.0000000000000001E-3</v>
      </c>
      <c r="FK112">
        <v>0.47299999999999998</v>
      </c>
      <c r="FL112">
        <v>0.156</v>
      </c>
      <c r="FM112">
        <v>900</v>
      </c>
      <c r="FN112">
        <v>25</v>
      </c>
      <c r="FO112">
        <v>0.16</v>
      </c>
      <c r="FP112">
        <v>7.0000000000000007E-2</v>
      </c>
      <c r="FQ112">
        <v>39.94060406287911</v>
      </c>
      <c r="FR112">
        <v>-0.62474062934108199</v>
      </c>
      <c r="FS112">
        <v>0.16922984353630741</v>
      </c>
      <c r="FT112">
        <v>1</v>
      </c>
      <c r="FU112">
        <v>0.23565808056325591</v>
      </c>
      <c r="FV112">
        <v>-1.9582620955198662E-2</v>
      </c>
      <c r="FW112">
        <v>2.3928650820465758E-3</v>
      </c>
      <c r="FX112">
        <v>1</v>
      </c>
      <c r="FY112">
        <v>2</v>
      </c>
      <c r="FZ112">
        <v>2</v>
      </c>
      <c r="GA112" t="s">
        <v>421</v>
      </c>
      <c r="GB112">
        <v>2.89941</v>
      </c>
      <c r="GC112">
        <v>2.8171599999999999</v>
      </c>
      <c r="GD112">
        <v>0.153366</v>
      </c>
      <c r="GE112">
        <v>0.15936600000000001</v>
      </c>
      <c r="GF112">
        <v>0.13435900000000001</v>
      </c>
      <c r="GG112">
        <v>0.12173399999999999</v>
      </c>
      <c r="GH112">
        <v>23463.8</v>
      </c>
      <c r="GI112">
        <v>23395.200000000001</v>
      </c>
      <c r="GJ112">
        <v>24591.200000000001</v>
      </c>
      <c r="GK112">
        <v>24857</v>
      </c>
      <c r="GL112">
        <v>28276.400000000001</v>
      </c>
      <c r="GM112">
        <v>28539.3</v>
      </c>
      <c r="GN112">
        <v>33252.400000000001</v>
      </c>
      <c r="GO112">
        <v>33189.599999999999</v>
      </c>
      <c r="GP112">
        <v>1.9514</v>
      </c>
      <c r="GQ112">
        <v>1.8023</v>
      </c>
      <c r="GR112">
        <v>6.8426100000000004E-2</v>
      </c>
      <c r="GS112">
        <v>0</v>
      </c>
      <c r="GT112">
        <v>28.9224</v>
      </c>
      <c r="GU112">
        <v>999.9</v>
      </c>
      <c r="GV112">
        <v>46.4</v>
      </c>
      <c r="GW112">
        <v>38.9</v>
      </c>
      <c r="GX112">
        <v>32.832999999999998</v>
      </c>
      <c r="GY112">
        <v>62.1599</v>
      </c>
      <c r="GZ112">
        <v>22.760400000000001</v>
      </c>
      <c r="HA112">
        <v>1</v>
      </c>
      <c r="HB112">
        <v>0.51140200000000002</v>
      </c>
      <c r="HC112">
        <v>2.2593700000000001</v>
      </c>
      <c r="HD112">
        <v>20.1981</v>
      </c>
      <c r="HE112">
        <v>5.2232799999999999</v>
      </c>
      <c r="HF112">
        <v>11.9201</v>
      </c>
      <c r="HG112">
        <v>4.9581999999999997</v>
      </c>
      <c r="HH112">
        <v>3.2866</v>
      </c>
      <c r="HI112">
        <v>9999</v>
      </c>
      <c r="HJ112">
        <v>9999</v>
      </c>
      <c r="HK112">
        <v>9999</v>
      </c>
      <c r="HL112">
        <v>882.2</v>
      </c>
      <c r="HM112">
        <v>1.88059</v>
      </c>
      <c r="HN112">
        <v>1.87775</v>
      </c>
      <c r="HO112">
        <v>1.88568</v>
      </c>
      <c r="HP112">
        <v>1.8833899999999999</v>
      </c>
      <c r="HQ112">
        <v>1.8809499999999999</v>
      </c>
      <c r="HR112">
        <v>1.8800399999999999</v>
      </c>
      <c r="HS112">
        <v>1.8811</v>
      </c>
      <c r="HT112">
        <v>1.8806499999999999</v>
      </c>
      <c r="HU112">
        <v>5</v>
      </c>
      <c r="HV112">
        <v>0</v>
      </c>
      <c r="HW112">
        <v>0</v>
      </c>
      <c r="HX112">
        <v>0</v>
      </c>
      <c r="HY112" t="s">
        <v>422</v>
      </c>
      <c r="HZ112" t="s">
        <v>423</v>
      </c>
      <c r="IA112" t="s">
        <v>424</v>
      </c>
      <c r="IB112" t="s">
        <v>424</v>
      </c>
      <c r="IC112" t="s">
        <v>424</v>
      </c>
      <c r="ID112" t="s">
        <v>424</v>
      </c>
      <c r="IE112">
        <v>0</v>
      </c>
      <c r="IF112">
        <v>100</v>
      </c>
      <c r="IG112">
        <v>100</v>
      </c>
      <c r="IH112">
        <v>0.47399999999999998</v>
      </c>
      <c r="II112">
        <v>0.25609999999999999</v>
      </c>
      <c r="IJ112">
        <v>-0.2284966162060697</v>
      </c>
      <c r="IK112">
        <v>2.2153513873161218E-3</v>
      </c>
      <c r="IL112">
        <v>-2.2967369670569612E-6</v>
      </c>
      <c r="IM112">
        <v>7.7859689150384122E-10</v>
      </c>
      <c r="IN112">
        <v>-0.13844022608108991</v>
      </c>
      <c r="IO112">
        <v>-4.1434251034592161E-3</v>
      </c>
      <c r="IP112">
        <v>8.3987709687394815E-4</v>
      </c>
      <c r="IQ112">
        <v>-7.4586254598011197E-6</v>
      </c>
      <c r="IR112">
        <v>2</v>
      </c>
      <c r="IS112">
        <v>1930</v>
      </c>
      <c r="IT112">
        <v>2</v>
      </c>
      <c r="IU112">
        <v>41</v>
      </c>
      <c r="IV112">
        <v>0.7</v>
      </c>
      <c r="IW112">
        <v>0.5</v>
      </c>
      <c r="IX112">
        <v>1.9043000000000001</v>
      </c>
      <c r="IY112">
        <v>2.51709</v>
      </c>
      <c r="IZ112">
        <v>1.24512</v>
      </c>
      <c r="JA112">
        <v>2.2595200000000002</v>
      </c>
      <c r="JB112">
        <v>1.4501999999999999</v>
      </c>
      <c r="JC112">
        <v>2.2961399999999998</v>
      </c>
      <c r="JD112">
        <v>40.4</v>
      </c>
      <c r="JE112">
        <v>15.445399999999999</v>
      </c>
      <c r="JF112">
        <v>18</v>
      </c>
      <c r="JG112">
        <v>497.08499999999998</v>
      </c>
      <c r="JH112">
        <v>445.35199999999998</v>
      </c>
      <c r="JI112">
        <v>26.8139</v>
      </c>
      <c r="JJ112">
        <v>33.680799999999998</v>
      </c>
      <c r="JK112">
        <v>29.999700000000001</v>
      </c>
      <c r="JL112">
        <v>33.669800000000002</v>
      </c>
      <c r="JM112">
        <v>33.650399999999998</v>
      </c>
      <c r="JN112">
        <v>38.218299999999999</v>
      </c>
      <c r="JO112">
        <v>29.9694</v>
      </c>
      <c r="JP112">
        <v>0</v>
      </c>
      <c r="JQ112">
        <v>26.793399999999998</v>
      </c>
      <c r="JR112">
        <v>900</v>
      </c>
      <c r="JS112">
        <v>25.130800000000001</v>
      </c>
      <c r="JT112">
        <v>99.249499999999998</v>
      </c>
      <c r="JU112">
        <v>99.068799999999996</v>
      </c>
    </row>
    <row r="113" spans="1:281" x14ac:dyDescent="0.25">
      <c r="A113">
        <v>97</v>
      </c>
      <c r="B113">
        <v>1693346843.0999999</v>
      </c>
      <c r="C113">
        <v>24130</v>
      </c>
      <c r="D113" t="s">
        <v>908</v>
      </c>
      <c r="E113" t="s">
        <v>909</v>
      </c>
      <c r="F113" t="s">
        <v>413</v>
      </c>
      <c r="G113" t="s">
        <v>636</v>
      </c>
      <c r="H113" t="s">
        <v>31</v>
      </c>
      <c r="I113" t="s">
        <v>31</v>
      </c>
      <c r="J113">
        <v>1693346843.0999999</v>
      </c>
      <c r="K113">
        <f t="shared" ref="K113:K144" si="138">(L113)/1000</f>
        <v>2.6546060316710841E-3</v>
      </c>
      <c r="L113">
        <f t="shared" si="93"/>
        <v>2.6546060316710842</v>
      </c>
      <c r="M113">
        <f t="shared" si="94"/>
        <v>39.276362018702088</v>
      </c>
      <c r="N113">
        <f t="shared" ref="N113:N144" si="139">DF113 - IF(AJ113&gt;1, M113*DA113*100/(AL113*DT113), 0)</f>
        <v>1149.04</v>
      </c>
      <c r="O113">
        <f t="shared" ref="O113:O144" si="140">((U113-K113/2)*N113-M113)/(U113+K113/2)</f>
        <v>774.9000626234531</v>
      </c>
      <c r="P113">
        <f t="shared" ref="P113:P144" si="141">O113*(DM113+DN113)/1000</f>
        <v>76.612888435051147</v>
      </c>
      <c r="Q113">
        <f t="shared" si="98"/>
        <v>113.60338909946401</v>
      </c>
      <c r="R113">
        <f t="shared" ref="R113:R144" si="142">2/((1/T113-1/S113)+SIGN(T113)*SQRT((1/T113-1/S113)*(1/T113-1/S113) + 4*DB113/((DB113+1)*(DB113+1))*(2*1/T113*1/S113-1/S113*1/S113)))</f>
        <v>0.18426789947066435</v>
      </c>
      <c r="S113">
        <f t="shared" si="100"/>
        <v>2.9061009529129724</v>
      </c>
      <c r="T113">
        <f t="shared" si="101"/>
        <v>0.17801430922060479</v>
      </c>
      <c r="U113">
        <f t="shared" si="102"/>
        <v>0.11180312307587176</v>
      </c>
      <c r="V113">
        <f t="shared" si="103"/>
        <v>344.3484986440946</v>
      </c>
      <c r="W113">
        <f t="shared" ref="W113:W144" si="143">(DO113+(V113+2*0.95*0.0000000567*(((DO113+$B$7)+273)^4-(DO113+273)^4)-44100*K113)/(1.84*29.3*S113+8*0.95*0.0000000567*(DO113+273)^3))</f>
        <v>31.8087183013395</v>
      </c>
      <c r="X113">
        <f t="shared" ref="X113:X144" si="144">($C$7*DP113+$D$7*DQ113+$E$7*W113)</f>
        <v>30.014700000000001</v>
      </c>
      <c r="Y113">
        <f t="shared" ref="Y113:Y144" si="145">0.61365*EXP(17.502*X113/(240.97+X113))</f>
        <v>4.264048432381867</v>
      </c>
      <c r="Z113">
        <f t="shared" ref="Z113:Z144" si="146">(AA113/AB113*100)</f>
        <v>64.9797464664518</v>
      </c>
      <c r="AA113">
        <f t="shared" si="108"/>
        <v>2.8426849582299307</v>
      </c>
      <c r="AB113">
        <f t="shared" si="109"/>
        <v>4.3747246069936141</v>
      </c>
      <c r="AC113">
        <f t="shared" si="110"/>
        <v>1.4213634741519363</v>
      </c>
      <c r="AD113">
        <f t="shared" si="111"/>
        <v>-117.0681259966948</v>
      </c>
      <c r="AE113">
        <f t="shared" si="112"/>
        <v>70.017483042872115</v>
      </c>
      <c r="AF113">
        <f t="shared" si="113"/>
        <v>5.3698079920000623</v>
      </c>
      <c r="AG113">
        <f t="shared" ref="AG113:AG144" si="147">V113+AF113+AD113+AE113</f>
        <v>302.66766368227201</v>
      </c>
      <c r="AH113">
        <v>0</v>
      </c>
      <c r="AI113">
        <v>0</v>
      </c>
      <c r="AJ113">
        <f t="shared" si="115"/>
        <v>1</v>
      </c>
      <c r="AK113">
        <f t="shared" ref="AK113:AK144" si="148">(AJ113-1)*100</f>
        <v>0</v>
      </c>
      <c r="AL113">
        <f t="shared" si="117"/>
        <v>51580.508754829913</v>
      </c>
      <c r="AM113" t="s">
        <v>416</v>
      </c>
      <c r="AN113">
        <v>10366.9</v>
      </c>
      <c r="AO113">
        <v>993.59653846153856</v>
      </c>
      <c r="AP113">
        <v>3431.87</v>
      </c>
      <c r="AQ113">
        <f t="shared" ref="AQ113:AQ144" si="149">1-AO113/AP113</f>
        <v>0.71047955241266758</v>
      </c>
      <c r="AR113">
        <v>-3.9894345373445681</v>
      </c>
      <c r="AS113" t="s">
        <v>910</v>
      </c>
      <c r="AT113">
        <v>10436.299999999999</v>
      </c>
      <c r="AU113">
        <v>871.96996153846146</v>
      </c>
      <c r="AV113">
        <v>1176.413232339363</v>
      </c>
      <c r="AW113">
        <f t="shared" ref="AW113:AW144" si="150">1-AU113/AV113</f>
        <v>0.25878939681382129</v>
      </c>
      <c r="AX113">
        <v>0.5</v>
      </c>
      <c r="AY113">
        <f t="shared" si="120"/>
        <v>1513.0922993220474</v>
      </c>
      <c r="AZ113">
        <f t="shared" si="121"/>
        <v>39.276362018702088</v>
      </c>
      <c r="BA113">
        <f t="shared" si="122"/>
        <v>195.78612173259529</v>
      </c>
      <c r="BB113">
        <f t="shared" si="123"/>
        <v>2.8594287721530422E-2</v>
      </c>
      <c r="BC113">
        <f t="shared" si="124"/>
        <v>1.9172317223732136</v>
      </c>
      <c r="BD113">
        <f t="shared" si="125"/>
        <v>638.93687322742915</v>
      </c>
      <c r="BE113" t="s">
        <v>911</v>
      </c>
      <c r="BF113">
        <v>655.03</v>
      </c>
      <c r="BG113">
        <f t="shared" ref="BG113:BG144" si="151">IF(BF113&lt;&gt;0, BF113, BD113)</f>
        <v>655.03</v>
      </c>
      <c r="BH113">
        <f t="shared" ref="BH113:BH144" si="152">1-BG113/AV113</f>
        <v>0.44319735447259767</v>
      </c>
      <c r="BI113">
        <f t="shared" si="128"/>
        <v>0.58391457936787372</v>
      </c>
      <c r="BJ113">
        <f t="shared" si="129"/>
        <v>0.81223864812543634</v>
      </c>
      <c r="BK113">
        <f t="shared" si="130"/>
        <v>1.6652925088140995</v>
      </c>
      <c r="BL113">
        <f t="shared" si="131"/>
        <v>0.92502207124771219</v>
      </c>
      <c r="BM113">
        <f t="shared" si="132"/>
        <v>0.43864076034053562</v>
      </c>
      <c r="BN113">
        <f t="shared" ref="BN113:BN144" si="153">(1-BM113)</f>
        <v>0.56135923965946444</v>
      </c>
      <c r="BO113">
        <v>7740</v>
      </c>
      <c r="BP113">
        <v>290.00000000000011</v>
      </c>
      <c r="BQ113">
        <v>1098.33</v>
      </c>
      <c r="BR113">
        <v>125</v>
      </c>
      <c r="BS113">
        <v>10436.299999999999</v>
      </c>
      <c r="BT113">
        <v>1094.67</v>
      </c>
      <c r="BU113">
        <v>3.66</v>
      </c>
      <c r="BV113">
        <v>300.00000000000011</v>
      </c>
      <c r="BW113">
        <v>38.200000000000003</v>
      </c>
      <c r="BX113">
        <v>1176.413232339363</v>
      </c>
      <c r="BY113">
        <v>1.033874720228539</v>
      </c>
      <c r="BZ113">
        <v>-85.307122699188284</v>
      </c>
      <c r="CA113">
        <v>0.88254421436459329</v>
      </c>
      <c r="CB113">
        <v>0.99701213595266958</v>
      </c>
      <c r="CC113">
        <v>-1.1323743937708569E-2</v>
      </c>
      <c r="CD113">
        <v>289.99999999999989</v>
      </c>
      <c r="CE113">
        <v>1090.72</v>
      </c>
      <c r="CF113">
        <v>695</v>
      </c>
      <c r="CG113">
        <v>10402.799999999999</v>
      </c>
      <c r="CH113">
        <v>1094.4100000000001</v>
      </c>
      <c r="CI113">
        <v>-3.69</v>
      </c>
      <c r="CW113">
        <f t="shared" si="134"/>
        <v>1799.89</v>
      </c>
      <c r="CX113">
        <f t="shared" ref="CX113:CX144" si="154">CW113*CY113</f>
        <v>1513.0922993220474</v>
      </c>
      <c r="CY113">
        <f t="shared" si="136"/>
        <v>0.84065820651375767</v>
      </c>
      <c r="CZ113">
        <f t="shared" si="137"/>
        <v>0.19131641302751534</v>
      </c>
      <c r="DA113">
        <v>6</v>
      </c>
      <c r="DB113">
        <v>0.5</v>
      </c>
      <c r="DC113" t="s">
        <v>419</v>
      </c>
      <c r="DD113">
        <v>2</v>
      </c>
      <c r="DE113">
        <v>1693346843.0999999</v>
      </c>
      <c r="DF113">
        <v>1149.04</v>
      </c>
      <c r="DG113">
        <v>1199.81</v>
      </c>
      <c r="DH113">
        <v>28.752300000000002</v>
      </c>
      <c r="DI113">
        <v>25.659700000000001</v>
      </c>
      <c r="DJ113">
        <v>1148.54</v>
      </c>
      <c r="DK113">
        <v>28.4983</v>
      </c>
      <c r="DL113">
        <v>500.21600000000001</v>
      </c>
      <c r="DM113">
        <v>98.768100000000004</v>
      </c>
      <c r="DN113">
        <v>9.9989099999999997E-2</v>
      </c>
      <c r="DO113">
        <v>30.461600000000001</v>
      </c>
      <c r="DP113">
        <v>30.014700000000001</v>
      </c>
      <c r="DQ113">
        <v>999.9</v>
      </c>
      <c r="DR113">
        <v>0</v>
      </c>
      <c r="DS113">
        <v>0</v>
      </c>
      <c r="DT113">
        <v>9990</v>
      </c>
      <c r="DU113">
        <v>0</v>
      </c>
      <c r="DV113">
        <v>181.12200000000001</v>
      </c>
      <c r="DW113">
        <v>-50.771700000000003</v>
      </c>
      <c r="DX113">
        <v>1183.05</v>
      </c>
      <c r="DY113">
        <v>1231.4100000000001</v>
      </c>
      <c r="DZ113">
        <v>3.0925500000000001</v>
      </c>
      <c r="EA113">
        <v>1199.81</v>
      </c>
      <c r="EB113">
        <v>25.659700000000001</v>
      </c>
      <c r="EC113">
        <v>2.8397999999999999</v>
      </c>
      <c r="ED113">
        <v>2.5343599999999999</v>
      </c>
      <c r="EE113">
        <v>23.1173</v>
      </c>
      <c r="EF113">
        <v>21.248899999999999</v>
      </c>
      <c r="EG113">
        <v>1799.89</v>
      </c>
      <c r="EH113">
        <v>0.97799700000000001</v>
      </c>
      <c r="EI113">
        <v>2.2003399999999999E-2</v>
      </c>
      <c r="EJ113">
        <v>0</v>
      </c>
      <c r="EK113">
        <v>871.60199999999998</v>
      </c>
      <c r="EL113">
        <v>5.0010300000000001</v>
      </c>
      <c r="EM113">
        <v>15785.6</v>
      </c>
      <c r="EN113">
        <v>14700.2</v>
      </c>
      <c r="EO113">
        <v>48.25</v>
      </c>
      <c r="EP113">
        <v>48.936999999999998</v>
      </c>
      <c r="EQ113">
        <v>49.5</v>
      </c>
      <c r="ER113">
        <v>48.436999999999998</v>
      </c>
      <c r="ES113">
        <v>49.75</v>
      </c>
      <c r="ET113">
        <v>1755.4</v>
      </c>
      <c r="EU113">
        <v>39.49</v>
      </c>
      <c r="EV113">
        <v>0</v>
      </c>
      <c r="EW113">
        <v>101</v>
      </c>
      <c r="EX113">
        <v>0</v>
      </c>
      <c r="EY113">
        <v>871.96996153846146</v>
      </c>
      <c r="EZ113">
        <v>-1.852820512185382</v>
      </c>
      <c r="FA113">
        <v>-38.003418805228549</v>
      </c>
      <c r="FB113">
        <v>15791.23846153846</v>
      </c>
      <c r="FC113">
        <v>15</v>
      </c>
      <c r="FD113">
        <v>1693346815.0999999</v>
      </c>
      <c r="FE113" t="s">
        <v>912</v>
      </c>
      <c r="FF113">
        <v>1693346815.0999999</v>
      </c>
      <c r="FG113">
        <v>1693346808.5999999</v>
      </c>
      <c r="FH113">
        <v>111</v>
      </c>
      <c r="FI113">
        <v>3.4000000000000002E-2</v>
      </c>
      <c r="FJ113">
        <v>1E-3</v>
      </c>
      <c r="FK113">
        <v>0.502</v>
      </c>
      <c r="FL113">
        <v>0.16700000000000001</v>
      </c>
      <c r="FM113">
        <v>1200</v>
      </c>
      <c r="FN113">
        <v>25</v>
      </c>
      <c r="FO113">
        <v>0.14000000000000001</v>
      </c>
      <c r="FP113">
        <v>0.09</v>
      </c>
      <c r="FQ113">
        <v>39.517978722799398</v>
      </c>
      <c r="FR113">
        <v>-7.3122841123337307E-2</v>
      </c>
      <c r="FS113">
        <v>0.124816681773433</v>
      </c>
      <c r="FT113">
        <v>1</v>
      </c>
      <c r="FU113">
        <v>0.18516949299089189</v>
      </c>
      <c r="FV113">
        <v>1.0181544497597979E-2</v>
      </c>
      <c r="FW113">
        <v>1.5661226848450529E-3</v>
      </c>
      <c r="FX113">
        <v>1</v>
      </c>
      <c r="FY113">
        <v>2</v>
      </c>
      <c r="FZ113">
        <v>2</v>
      </c>
      <c r="GA113" t="s">
        <v>421</v>
      </c>
      <c r="GB113">
        <v>2.89981</v>
      </c>
      <c r="GC113">
        <v>2.8179099999999999</v>
      </c>
      <c r="GD113">
        <v>0.18614900000000001</v>
      </c>
      <c r="GE113">
        <v>0.19123000000000001</v>
      </c>
      <c r="GF113">
        <v>0.13399</v>
      </c>
      <c r="GG113">
        <v>0.123696</v>
      </c>
      <c r="GH113">
        <v>22557.9</v>
      </c>
      <c r="GI113">
        <v>22509.9</v>
      </c>
      <c r="GJ113">
        <v>24595</v>
      </c>
      <c r="GK113">
        <v>24859.4</v>
      </c>
      <c r="GL113">
        <v>28291.9</v>
      </c>
      <c r="GM113">
        <v>28477.200000000001</v>
      </c>
      <c r="GN113">
        <v>33256.9</v>
      </c>
      <c r="GO113">
        <v>33192.400000000001</v>
      </c>
      <c r="GP113">
        <v>1.9515</v>
      </c>
      <c r="GQ113">
        <v>1.8067</v>
      </c>
      <c r="GR113">
        <v>7.1257399999999999E-2</v>
      </c>
      <c r="GS113">
        <v>0</v>
      </c>
      <c r="GT113">
        <v>28.853999999999999</v>
      </c>
      <c r="GU113">
        <v>999.9</v>
      </c>
      <c r="GV113">
        <v>46.4</v>
      </c>
      <c r="GW113">
        <v>38.799999999999997</v>
      </c>
      <c r="GX113">
        <v>32.655900000000003</v>
      </c>
      <c r="GY113">
        <v>62.149900000000002</v>
      </c>
      <c r="GZ113">
        <v>22.4679</v>
      </c>
      <c r="HA113">
        <v>1</v>
      </c>
      <c r="HB113">
        <v>0.50056900000000004</v>
      </c>
      <c r="HC113">
        <v>1.87476</v>
      </c>
      <c r="HD113">
        <v>20.205300000000001</v>
      </c>
      <c r="HE113">
        <v>5.2346599999999999</v>
      </c>
      <c r="HF113">
        <v>11.9201</v>
      </c>
      <c r="HG113">
        <v>4.9607999999999999</v>
      </c>
      <c r="HH113">
        <v>3.2890000000000001</v>
      </c>
      <c r="HI113">
        <v>9999</v>
      </c>
      <c r="HJ113">
        <v>9999</v>
      </c>
      <c r="HK113">
        <v>9999</v>
      </c>
      <c r="HL113">
        <v>882.3</v>
      </c>
      <c r="HM113">
        <v>1.88052</v>
      </c>
      <c r="HN113">
        <v>1.87775</v>
      </c>
      <c r="HO113">
        <v>1.88568</v>
      </c>
      <c r="HP113">
        <v>1.8834</v>
      </c>
      <c r="HQ113">
        <v>1.8809499999999999</v>
      </c>
      <c r="HR113">
        <v>1.8800399999999999</v>
      </c>
      <c r="HS113">
        <v>1.8811199999999999</v>
      </c>
      <c r="HT113">
        <v>1.88063</v>
      </c>
      <c r="HU113">
        <v>5</v>
      </c>
      <c r="HV113">
        <v>0</v>
      </c>
      <c r="HW113">
        <v>0</v>
      </c>
      <c r="HX113">
        <v>0</v>
      </c>
      <c r="HY113" t="s">
        <v>422</v>
      </c>
      <c r="HZ113" t="s">
        <v>423</v>
      </c>
      <c r="IA113" t="s">
        <v>424</v>
      </c>
      <c r="IB113" t="s">
        <v>424</v>
      </c>
      <c r="IC113" t="s">
        <v>424</v>
      </c>
      <c r="ID113" t="s">
        <v>424</v>
      </c>
      <c r="IE113">
        <v>0</v>
      </c>
      <c r="IF113">
        <v>100</v>
      </c>
      <c r="IG113">
        <v>100</v>
      </c>
      <c r="IH113">
        <v>0.5</v>
      </c>
      <c r="II113">
        <v>0.254</v>
      </c>
      <c r="IJ113">
        <v>-0.1945992522645649</v>
      </c>
      <c r="IK113">
        <v>2.2153513873161218E-3</v>
      </c>
      <c r="IL113">
        <v>-2.2967369670569612E-6</v>
      </c>
      <c r="IM113">
        <v>7.7859689150384122E-10</v>
      </c>
      <c r="IN113">
        <v>-0.13745331818778331</v>
      </c>
      <c r="IO113">
        <v>-4.1434251034592161E-3</v>
      </c>
      <c r="IP113">
        <v>8.3987709687394815E-4</v>
      </c>
      <c r="IQ113">
        <v>-7.4586254598011197E-6</v>
      </c>
      <c r="IR113">
        <v>2</v>
      </c>
      <c r="IS113">
        <v>1930</v>
      </c>
      <c r="IT113">
        <v>2</v>
      </c>
      <c r="IU113">
        <v>41</v>
      </c>
      <c r="IV113">
        <v>0.5</v>
      </c>
      <c r="IW113">
        <v>0.6</v>
      </c>
      <c r="IX113">
        <v>2.4060100000000002</v>
      </c>
      <c r="IY113">
        <v>2.50122</v>
      </c>
      <c r="IZ113">
        <v>1.24512</v>
      </c>
      <c r="JA113">
        <v>2.2607400000000002</v>
      </c>
      <c r="JB113">
        <v>1.4501999999999999</v>
      </c>
      <c r="JC113">
        <v>2.4511699999999998</v>
      </c>
      <c r="JD113">
        <v>40.171300000000002</v>
      </c>
      <c r="JE113">
        <v>15.4192</v>
      </c>
      <c r="JF113">
        <v>18</v>
      </c>
      <c r="JG113">
        <v>496.303</v>
      </c>
      <c r="JH113">
        <v>447.52</v>
      </c>
      <c r="JI113">
        <v>26.865200000000002</v>
      </c>
      <c r="JJ113">
        <v>33.575099999999999</v>
      </c>
      <c r="JK113">
        <v>29.9999</v>
      </c>
      <c r="JL113">
        <v>33.564799999999998</v>
      </c>
      <c r="JM113">
        <v>33.546100000000003</v>
      </c>
      <c r="JN113">
        <v>48.255099999999999</v>
      </c>
      <c r="JO113">
        <v>27.7042</v>
      </c>
      <c r="JP113">
        <v>0</v>
      </c>
      <c r="JQ113">
        <v>26.8612</v>
      </c>
      <c r="JR113">
        <v>1200</v>
      </c>
      <c r="JS113">
        <v>25.604099999999999</v>
      </c>
      <c r="JT113">
        <v>99.263900000000007</v>
      </c>
      <c r="JU113">
        <v>99.077600000000004</v>
      </c>
    </row>
    <row r="114" spans="1:281" x14ac:dyDescent="0.25">
      <c r="A114">
        <v>98</v>
      </c>
      <c r="B114">
        <v>1693346952.0999999</v>
      </c>
      <c r="C114">
        <v>24239</v>
      </c>
      <c r="D114" t="s">
        <v>913</v>
      </c>
      <c r="E114" t="s">
        <v>914</v>
      </c>
      <c r="F114" t="s">
        <v>413</v>
      </c>
      <c r="G114" t="s">
        <v>636</v>
      </c>
      <c r="H114" t="s">
        <v>31</v>
      </c>
      <c r="I114" t="s">
        <v>31</v>
      </c>
      <c r="J114">
        <v>1693346952.0999999</v>
      </c>
      <c r="K114">
        <f t="shared" si="138"/>
        <v>2.1354577289921504E-3</v>
      </c>
      <c r="L114">
        <f t="shared" si="93"/>
        <v>2.1354577289921504</v>
      </c>
      <c r="M114">
        <f t="shared" si="94"/>
        <v>38.31033560986976</v>
      </c>
      <c r="N114">
        <f t="shared" si="139"/>
        <v>1450.4</v>
      </c>
      <c r="O114">
        <f t="shared" si="140"/>
        <v>990.63696934986501</v>
      </c>
      <c r="P114">
        <f t="shared" si="141"/>
        <v>97.943106226723387</v>
      </c>
      <c r="Q114">
        <f t="shared" si="98"/>
        <v>143.39933362720001</v>
      </c>
      <c r="R114">
        <f t="shared" si="142"/>
        <v>0.1457932875799039</v>
      </c>
      <c r="S114">
        <f t="shared" si="100"/>
        <v>2.8982270021060601</v>
      </c>
      <c r="T114">
        <f t="shared" si="101"/>
        <v>0.14183803207114171</v>
      </c>
      <c r="U114">
        <f t="shared" si="102"/>
        <v>8.8995196467814605E-2</v>
      </c>
      <c r="V114">
        <f t="shared" si="103"/>
        <v>344.34279864407193</v>
      </c>
      <c r="W114">
        <f t="shared" si="143"/>
        <v>31.895877814985468</v>
      </c>
      <c r="X114">
        <f t="shared" si="144"/>
        <v>30.025200000000002</v>
      </c>
      <c r="Y114">
        <f t="shared" si="145"/>
        <v>4.2666205253786744</v>
      </c>
      <c r="Z114">
        <f t="shared" si="146"/>
        <v>64.918723703091032</v>
      </c>
      <c r="AA114">
        <f t="shared" si="108"/>
        <v>2.8315238524656001</v>
      </c>
      <c r="AB114">
        <f t="shared" si="109"/>
        <v>4.3616443622886267</v>
      </c>
      <c r="AC114">
        <f t="shared" si="110"/>
        <v>1.4350966729130743</v>
      </c>
      <c r="AD114">
        <f t="shared" si="111"/>
        <v>-94.173685848553831</v>
      </c>
      <c r="AE114">
        <f t="shared" si="112"/>
        <v>60.015323150229875</v>
      </c>
      <c r="AF114">
        <f t="shared" si="113"/>
        <v>4.6142683337259198</v>
      </c>
      <c r="AG114">
        <f t="shared" si="147"/>
        <v>314.7987042794739</v>
      </c>
      <c r="AH114">
        <v>0</v>
      </c>
      <c r="AI114">
        <v>0</v>
      </c>
      <c r="AJ114">
        <f t="shared" si="115"/>
        <v>1</v>
      </c>
      <c r="AK114">
        <f t="shared" si="148"/>
        <v>0</v>
      </c>
      <c r="AL114">
        <f t="shared" si="117"/>
        <v>51366.466911006057</v>
      </c>
      <c r="AM114" t="s">
        <v>416</v>
      </c>
      <c r="AN114">
        <v>10366.9</v>
      </c>
      <c r="AO114">
        <v>993.59653846153856</v>
      </c>
      <c r="AP114">
        <v>3431.87</v>
      </c>
      <c r="AQ114">
        <f t="shared" si="149"/>
        <v>0.71047955241266758</v>
      </c>
      <c r="AR114">
        <v>-3.9894345373445681</v>
      </c>
      <c r="AS114" t="s">
        <v>915</v>
      </c>
      <c r="AT114">
        <v>10446</v>
      </c>
      <c r="AU114">
        <v>868.77484615384617</v>
      </c>
      <c r="AV114">
        <v>1171.044225669945</v>
      </c>
      <c r="AW114">
        <f t="shared" si="150"/>
        <v>0.25811952519826731</v>
      </c>
      <c r="AX114">
        <v>0.5</v>
      </c>
      <c r="AY114">
        <f t="shared" si="120"/>
        <v>1513.0670993220358</v>
      </c>
      <c r="AZ114">
        <f t="shared" si="121"/>
        <v>38.31033560986976</v>
      </c>
      <c r="BA114">
        <f t="shared" si="122"/>
        <v>195.27608063506173</v>
      </c>
      <c r="BB114">
        <f t="shared" si="123"/>
        <v>2.795630819424182E-2</v>
      </c>
      <c r="BC114">
        <f t="shared" si="124"/>
        <v>1.9306066541053599</v>
      </c>
      <c r="BD114">
        <f t="shared" si="125"/>
        <v>637.3498015087165</v>
      </c>
      <c r="BE114" t="s">
        <v>916</v>
      </c>
      <c r="BF114">
        <v>653.83000000000004</v>
      </c>
      <c r="BG114">
        <f t="shared" si="151"/>
        <v>653.83000000000004</v>
      </c>
      <c r="BH114">
        <f t="shared" si="152"/>
        <v>0.44166925068440599</v>
      </c>
      <c r="BI114">
        <f t="shared" si="128"/>
        <v>0.58441814728620589</v>
      </c>
      <c r="BJ114">
        <f t="shared" si="129"/>
        <v>0.8138204541079519</v>
      </c>
      <c r="BK114">
        <f t="shared" si="130"/>
        <v>1.7034281160345213</v>
      </c>
      <c r="BL114">
        <f t="shared" si="131"/>
        <v>0.92722404192660002</v>
      </c>
      <c r="BM114">
        <f t="shared" si="132"/>
        <v>0.439826404887043</v>
      </c>
      <c r="BN114">
        <f t="shared" si="153"/>
        <v>0.56017359511295695</v>
      </c>
      <c r="BO114">
        <v>7742</v>
      </c>
      <c r="BP114">
        <v>290.00000000000011</v>
      </c>
      <c r="BQ114">
        <v>1090.56</v>
      </c>
      <c r="BR114">
        <v>75</v>
      </c>
      <c r="BS114">
        <v>10446</v>
      </c>
      <c r="BT114">
        <v>1088.69</v>
      </c>
      <c r="BU114">
        <v>1.87</v>
      </c>
      <c r="BV114">
        <v>300.00000000000011</v>
      </c>
      <c r="BW114">
        <v>38.200000000000003</v>
      </c>
      <c r="BX114">
        <v>1171.044225669945</v>
      </c>
      <c r="BY114">
        <v>0.99636678489573116</v>
      </c>
      <c r="BZ114">
        <v>-86.022840652055834</v>
      </c>
      <c r="CA114">
        <v>0.85050407970692465</v>
      </c>
      <c r="CB114">
        <v>0.99727041759018342</v>
      </c>
      <c r="CC114">
        <v>-1.132350545050057E-2</v>
      </c>
      <c r="CD114">
        <v>289.99999999999989</v>
      </c>
      <c r="CE114">
        <v>1084.74</v>
      </c>
      <c r="CF114">
        <v>675</v>
      </c>
      <c r="CG114">
        <v>10404</v>
      </c>
      <c r="CH114">
        <v>1088.3599999999999</v>
      </c>
      <c r="CI114">
        <v>-3.62</v>
      </c>
      <c r="CW114">
        <f t="shared" si="134"/>
        <v>1799.86</v>
      </c>
      <c r="CX114">
        <f t="shared" si="154"/>
        <v>1513.0670993220358</v>
      </c>
      <c r="CY114">
        <f t="shared" si="136"/>
        <v>0.84065821748471325</v>
      </c>
      <c r="CZ114">
        <f t="shared" si="137"/>
        <v>0.19131643496942649</v>
      </c>
      <c r="DA114">
        <v>6</v>
      </c>
      <c r="DB114">
        <v>0.5</v>
      </c>
      <c r="DC114" t="s">
        <v>419</v>
      </c>
      <c r="DD114">
        <v>2</v>
      </c>
      <c r="DE114">
        <v>1693346952.0999999</v>
      </c>
      <c r="DF114">
        <v>1450.4</v>
      </c>
      <c r="DG114">
        <v>1500.05</v>
      </c>
      <c r="DH114">
        <v>28.639199999999999</v>
      </c>
      <c r="DI114">
        <v>26.152000000000001</v>
      </c>
      <c r="DJ114">
        <v>1449.87</v>
      </c>
      <c r="DK114">
        <v>28.3916</v>
      </c>
      <c r="DL114">
        <v>500.39400000000001</v>
      </c>
      <c r="DM114">
        <v>98.7684</v>
      </c>
      <c r="DN114">
        <v>0.10041799999999999</v>
      </c>
      <c r="DO114">
        <v>30.409300000000002</v>
      </c>
      <c r="DP114">
        <v>30.025200000000002</v>
      </c>
      <c r="DQ114">
        <v>999.9</v>
      </c>
      <c r="DR114">
        <v>0</v>
      </c>
      <c r="DS114">
        <v>0</v>
      </c>
      <c r="DT114">
        <v>9945</v>
      </c>
      <c r="DU114">
        <v>0</v>
      </c>
      <c r="DV114">
        <v>215.51599999999999</v>
      </c>
      <c r="DW114">
        <v>-49.654899999999998</v>
      </c>
      <c r="DX114">
        <v>1493.16</v>
      </c>
      <c r="DY114">
        <v>1540.33</v>
      </c>
      <c r="DZ114">
        <v>2.4871400000000001</v>
      </c>
      <c r="EA114">
        <v>1500.05</v>
      </c>
      <c r="EB114">
        <v>26.152000000000001</v>
      </c>
      <c r="EC114">
        <v>2.82864</v>
      </c>
      <c r="ED114">
        <v>2.5829900000000001</v>
      </c>
      <c r="EE114">
        <v>23.052199999999999</v>
      </c>
      <c r="EF114">
        <v>21.559100000000001</v>
      </c>
      <c r="EG114">
        <v>1799.86</v>
      </c>
      <c r="EH114">
        <v>0.97799700000000001</v>
      </c>
      <c r="EI114">
        <v>2.2003399999999999E-2</v>
      </c>
      <c r="EJ114">
        <v>0</v>
      </c>
      <c r="EK114">
        <v>868.22400000000005</v>
      </c>
      <c r="EL114">
        <v>5.0010300000000001</v>
      </c>
      <c r="EM114">
        <v>15768.6</v>
      </c>
      <c r="EN114">
        <v>14699.9</v>
      </c>
      <c r="EO114">
        <v>48.25</v>
      </c>
      <c r="EP114">
        <v>48.936999999999998</v>
      </c>
      <c r="EQ114">
        <v>49.561999999999998</v>
      </c>
      <c r="ER114">
        <v>48.375</v>
      </c>
      <c r="ES114">
        <v>49.75</v>
      </c>
      <c r="ET114">
        <v>1755.37</v>
      </c>
      <c r="EU114">
        <v>39.49</v>
      </c>
      <c r="EV114">
        <v>0</v>
      </c>
      <c r="EW114">
        <v>107</v>
      </c>
      <c r="EX114">
        <v>0</v>
      </c>
      <c r="EY114">
        <v>868.77484615384617</v>
      </c>
      <c r="EZ114">
        <v>-3.1870769332691831</v>
      </c>
      <c r="FA114">
        <v>1.9418804114986521</v>
      </c>
      <c r="FB114">
        <v>15771.107692307691</v>
      </c>
      <c r="FC114">
        <v>15</v>
      </c>
      <c r="FD114">
        <v>1693346921.0999999</v>
      </c>
      <c r="FE114" t="s">
        <v>917</v>
      </c>
      <c r="FF114">
        <v>1693346921.0999999</v>
      </c>
      <c r="FG114">
        <v>1693346912.0999999</v>
      </c>
      <c r="FH114">
        <v>112</v>
      </c>
      <c r="FI114">
        <v>-3.3000000000000002E-2</v>
      </c>
      <c r="FJ114">
        <v>-4.0000000000000001E-3</v>
      </c>
      <c r="FK114">
        <v>0.55700000000000005</v>
      </c>
      <c r="FL114">
        <v>0.18099999999999999</v>
      </c>
      <c r="FM114">
        <v>1500</v>
      </c>
      <c r="FN114">
        <v>26</v>
      </c>
      <c r="FO114">
        <v>0.14000000000000001</v>
      </c>
      <c r="FP114">
        <v>0.06</v>
      </c>
      <c r="FQ114">
        <v>38.460233538087429</v>
      </c>
      <c r="FR114">
        <v>-0.64981215028711203</v>
      </c>
      <c r="FS114">
        <v>0.1806606332870703</v>
      </c>
      <c r="FT114">
        <v>1</v>
      </c>
      <c r="FU114">
        <v>0.14798777201935151</v>
      </c>
      <c r="FV114">
        <v>-1.416097971481416E-2</v>
      </c>
      <c r="FW114">
        <v>1.113014755599717E-3</v>
      </c>
      <c r="FX114">
        <v>1</v>
      </c>
      <c r="FY114">
        <v>2</v>
      </c>
      <c r="FZ114">
        <v>2</v>
      </c>
      <c r="GA114" t="s">
        <v>421</v>
      </c>
      <c r="GB114">
        <v>2.9004799999999999</v>
      </c>
      <c r="GC114">
        <v>2.8179500000000002</v>
      </c>
      <c r="GD114">
        <v>0.21459600000000001</v>
      </c>
      <c r="GE114">
        <v>0.218943</v>
      </c>
      <c r="GF114">
        <v>0.13367999999999999</v>
      </c>
      <c r="GG114">
        <v>0.12534000000000001</v>
      </c>
      <c r="GH114">
        <v>21772.400000000001</v>
      </c>
      <c r="GI114">
        <v>21741.3</v>
      </c>
      <c r="GJ114">
        <v>24599.9</v>
      </c>
      <c r="GK114">
        <v>24863.9</v>
      </c>
      <c r="GL114">
        <v>28307</v>
      </c>
      <c r="GM114">
        <v>28428.400000000001</v>
      </c>
      <c r="GN114">
        <v>33263.300000000003</v>
      </c>
      <c r="GO114">
        <v>33198.5</v>
      </c>
      <c r="GP114">
        <v>1.9538</v>
      </c>
      <c r="GQ114">
        <v>1.8105</v>
      </c>
      <c r="GR114">
        <v>7.6293899999999998E-2</v>
      </c>
      <c r="GS114">
        <v>0</v>
      </c>
      <c r="GT114">
        <v>28.782399999999999</v>
      </c>
      <c r="GU114">
        <v>999.9</v>
      </c>
      <c r="GV114">
        <v>46.5</v>
      </c>
      <c r="GW114">
        <v>38.700000000000003</v>
      </c>
      <c r="GX114">
        <v>32.5505</v>
      </c>
      <c r="GY114">
        <v>62.2</v>
      </c>
      <c r="GZ114">
        <v>22.828499999999998</v>
      </c>
      <c r="HA114">
        <v>1</v>
      </c>
      <c r="HB114">
        <v>0.49085400000000001</v>
      </c>
      <c r="HC114">
        <v>1.90072</v>
      </c>
      <c r="HD114">
        <v>20.204799999999999</v>
      </c>
      <c r="HE114">
        <v>5.2352600000000002</v>
      </c>
      <c r="HF114">
        <v>11.9201</v>
      </c>
      <c r="HG114">
        <v>4.9606000000000003</v>
      </c>
      <c r="HH114">
        <v>3.2890000000000001</v>
      </c>
      <c r="HI114">
        <v>9999</v>
      </c>
      <c r="HJ114">
        <v>9999</v>
      </c>
      <c r="HK114">
        <v>9999</v>
      </c>
      <c r="HL114">
        <v>882.3</v>
      </c>
      <c r="HM114">
        <v>1.8805099999999999</v>
      </c>
      <c r="HN114">
        <v>1.87775</v>
      </c>
      <c r="HO114">
        <v>1.88568</v>
      </c>
      <c r="HP114">
        <v>1.8833899999999999</v>
      </c>
      <c r="HQ114">
        <v>1.8809499999999999</v>
      </c>
      <c r="HR114">
        <v>1.8800399999999999</v>
      </c>
      <c r="HS114">
        <v>1.8811</v>
      </c>
      <c r="HT114">
        <v>1.88062</v>
      </c>
      <c r="HU114">
        <v>5</v>
      </c>
      <c r="HV114">
        <v>0</v>
      </c>
      <c r="HW114">
        <v>0</v>
      </c>
      <c r="HX114">
        <v>0</v>
      </c>
      <c r="HY114" t="s">
        <v>422</v>
      </c>
      <c r="HZ114" t="s">
        <v>423</v>
      </c>
      <c r="IA114" t="s">
        <v>424</v>
      </c>
      <c r="IB114" t="s">
        <v>424</v>
      </c>
      <c r="IC114" t="s">
        <v>424</v>
      </c>
      <c r="ID114" t="s">
        <v>424</v>
      </c>
      <c r="IE114">
        <v>0</v>
      </c>
      <c r="IF114">
        <v>100</v>
      </c>
      <c r="IG114">
        <v>100</v>
      </c>
      <c r="IH114">
        <v>0.53</v>
      </c>
      <c r="II114">
        <v>0.24759999999999999</v>
      </c>
      <c r="IJ114">
        <v>-0.2258297640918582</v>
      </c>
      <c r="IK114">
        <v>2.2153513873161218E-3</v>
      </c>
      <c r="IL114">
        <v>-2.2967369670569612E-6</v>
      </c>
      <c r="IM114">
        <v>7.7859689150384122E-10</v>
      </c>
      <c r="IN114">
        <v>-0.14108057742438329</v>
      </c>
      <c r="IO114">
        <v>-4.1434251034592161E-3</v>
      </c>
      <c r="IP114">
        <v>8.3987709687394815E-4</v>
      </c>
      <c r="IQ114">
        <v>-7.4586254598011197E-6</v>
      </c>
      <c r="IR114">
        <v>2</v>
      </c>
      <c r="IS114">
        <v>1930</v>
      </c>
      <c r="IT114">
        <v>2</v>
      </c>
      <c r="IU114">
        <v>41</v>
      </c>
      <c r="IV114">
        <v>0.5</v>
      </c>
      <c r="IW114">
        <v>0.7</v>
      </c>
      <c r="IX114">
        <v>2.8784200000000002</v>
      </c>
      <c r="IY114">
        <v>2.4939</v>
      </c>
      <c r="IZ114">
        <v>1.24512</v>
      </c>
      <c r="JA114">
        <v>2.2595200000000002</v>
      </c>
      <c r="JB114">
        <v>1.4501999999999999</v>
      </c>
      <c r="JC114">
        <v>2.3303199999999999</v>
      </c>
      <c r="JD114">
        <v>39.918399999999998</v>
      </c>
      <c r="JE114">
        <v>15.4016</v>
      </c>
      <c r="JF114">
        <v>18</v>
      </c>
      <c r="JG114">
        <v>496.98500000000001</v>
      </c>
      <c r="JH114">
        <v>449.25599999999997</v>
      </c>
      <c r="JI114">
        <v>26.869599999999998</v>
      </c>
      <c r="JJ114">
        <v>33.466900000000003</v>
      </c>
      <c r="JK114">
        <v>29.9999</v>
      </c>
      <c r="JL114">
        <v>33.4559</v>
      </c>
      <c r="JM114">
        <v>33.438800000000001</v>
      </c>
      <c r="JN114">
        <v>57.718699999999998</v>
      </c>
      <c r="JO114">
        <v>25.765799999999999</v>
      </c>
      <c r="JP114">
        <v>0</v>
      </c>
      <c r="JQ114">
        <v>26.854099999999999</v>
      </c>
      <c r="JR114">
        <v>1500</v>
      </c>
      <c r="JS114">
        <v>26.108499999999999</v>
      </c>
      <c r="JT114">
        <v>99.283199999999994</v>
      </c>
      <c r="JU114">
        <v>99.095799999999997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2023-08-29T22:09:53Z</dcterms:created>
  <dcterms:modified xsi:type="dcterms:W3CDTF">2023-08-29T22:57:03Z</dcterms:modified>
</cp:coreProperties>
</file>