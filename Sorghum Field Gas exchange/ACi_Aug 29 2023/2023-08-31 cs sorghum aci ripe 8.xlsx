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128" i="1" l="1"/>
  <c r="V128" i="1" s="1"/>
  <c r="CY128" i="1"/>
  <c r="CW128" i="1"/>
  <c r="BL128" i="1"/>
  <c r="BK128" i="1"/>
  <c r="BG128" i="1"/>
  <c r="BH128" i="1" s="1"/>
  <c r="BC128" i="1"/>
  <c r="AW128" i="1"/>
  <c r="AQ128" i="1"/>
  <c r="BD128" i="1" s="1"/>
  <c r="AL128" i="1"/>
  <c r="AJ128" i="1" s="1"/>
  <c r="AB128" i="1"/>
  <c r="AA128" i="1"/>
  <c r="Z128" i="1"/>
  <c r="S128" i="1"/>
  <c r="CZ127" i="1"/>
  <c r="V127" i="1" s="1"/>
  <c r="CY127" i="1"/>
  <c r="CX127" i="1" s="1"/>
  <c r="CW127" i="1"/>
  <c r="BL127" i="1"/>
  <c r="BK127" i="1"/>
  <c r="BJ127" i="1"/>
  <c r="BI127" i="1"/>
  <c r="BM127" i="1" s="1"/>
  <c r="BN127" i="1" s="1"/>
  <c r="BG127" i="1"/>
  <c r="BH127" i="1" s="1"/>
  <c r="BC127" i="1"/>
  <c r="AY127" i="1"/>
  <c r="BA127" i="1" s="1"/>
  <c r="AW127" i="1"/>
  <c r="AQ127" i="1"/>
  <c r="BD127" i="1" s="1"/>
  <c r="AL127" i="1"/>
  <c r="AJ127" i="1" s="1"/>
  <c r="AB127" i="1"/>
  <c r="AA127" i="1"/>
  <c r="S127" i="1"/>
  <c r="CZ126" i="1"/>
  <c r="CY126" i="1"/>
  <c r="CW126" i="1"/>
  <c r="BL126" i="1"/>
  <c r="BK126" i="1"/>
  <c r="BG126" i="1"/>
  <c r="BC126" i="1"/>
  <c r="AW126" i="1"/>
  <c r="AQ126" i="1"/>
  <c r="BD126" i="1" s="1"/>
  <c r="AL126" i="1"/>
  <c r="AJ126" i="1" s="1"/>
  <c r="AB126" i="1"/>
  <c r="Z126" i="1" s="1"/>
  <c r="AA126" i="1"/>
  <c r="S126" i="1"/>
  <c r="CZ125" i="1"/>
  <c r="CY125" i="1"/>
  <c r="CW125" i="1"/>
  <c r="CX125" i="1" s="1"/>
  <c r="AY125" i="1" s="1"/>
  <c r="BL125" i="1"/>
  <c r="BK125" i="1"/>
  <c r="BG125" i="1"/>
  <c r="BJ125" i="1" s="1"/>
  <c r="BC125" i="1"/>
  <c r="AW125" i="1"/>
  <c r="AQ125" i="1"/>
  <c r="BD125" i="1" s="1"/>
  <c r="AL125" i="1"/>
  <c r="AJ125" i="1" s="1"/>
  <c r="AK125" i="1"/>
  <c r="AB125" i="1"/>
  <c r="AA125" i="1"/>
  <c r="Z125" i="1" s="1"/>
  <c r="S125" i="1"/>
  <c r="CZ124" i="1"/>
  <c r="CY124" i="1"/>
  <c r="CW124" i="1"/>
  <c r="BL124" i="1"/>
  <c r="BK124" i="1"/>
  <c r="BG124" i="1"/>
  <c r="BJ124" i="1" s="1"/>
  <c r="BC124" i="1"/>
  <c r="AW124" i="1"/>
  <c r="AQ124" i="1"/>
  <c r="BD124" i="1" s="1"/>
  <c r="AL124" i="1"/>
  <c r="AJ124" i="1" s="1"/>
  <c r="AB124" i="1"/>
  <c r="AA124" i="1"/>
  <c r="S124" i="1"/>
  <c r="CZ123" i="1"/>
  <c r="CY123" i="1"/>
  <c r="CW123" i="1"/>
  <c r="BL123" i="1"/>
  <c r="BK123" i="1"/>
  <c r="BG123" i="1"/>
  <c r="BH123" i="1" s="1"/>
  <c r="BC123" i="1"/>
  <c r="AW123" i="1"/>
  <c r="AQ123" i="1"/>
  <c r="BD123" i="1" s="1"/>
  <c r="AL123" i="1"/>
  <c r="AJ123" i="1" s="1"/>
  <c r="AB123" i="1"/>
  <c r="AA123" i="1"/>
  <c r="S123" i="1"/>
  <c r="CZ122" i="1"/>
  <c r="CY122" i="1"/>
  <c r="CW122" i="1"/>
  <c r="BL122" i="1"/>
  <c r="BK122" i="1"/>
  <c r="BG122" i="1"/>
  <c r="BC122" i="1"/>
  <c r="AW122" i="1"/>
  <c r="AQ122" i="1"/>
  <c r="BD122" i="1" s="1"/>
  <c r="AL122" i="1"/>
  <c r="AJ122" i="1" s="1"/>
  <c r="AB122" i="1"/>
  <c r="AA122" i="1"/>
  <c r="S122" i="1"/>
  <c r="M122" i="1"/>
  <c r="AZ122" i="1" s="1"/>
  <c r="CZ121" i="1"/>
  <c r="CY121" i="1"/>
  <c r="CW121" i="1"/>
  <c r="CX121" i="1" s="1"/>
  <c r="AY121" i="1" s="1"/>
  <c r="BL121" i="1"/>
  <c r="BK121" i="1"/>
  <c r="BG121" i="1"/>
  <c r="BJ121" i="1" s="1"/>
  <c r="BC121" i="1"/>
  <c r="AW121" i="1"/>
  <c r="AQ121" i="1"/>
  <c r="BD121" i="1" s="1"/>
  <c r="AL121" i="1"/>
  <c r="AJ121" i="1" s="1"/>
  <c r="AK121" i="1"/>
  <c r="AB121" i="1"/>
  <c r="AA121" i="1"/>
  <c r="Z121" i="1" s="1"/>
  <c r="S121" i="1"/>
  <c r="CZ120" i="1"/>
  <c r="CY120" i="1"/>
  <c r="CW120" i="1"/>
  <c r="BL120" i="1"/>
  <c r="BK120" i="1"/>
  <c r="BG120" i="1"/>
  <c r="BJ120" i="1" s="1"/>
  <c r="BC120" i="1"/>
  <c r="AW120" i="1"/>
  <c r="AQ120" i="1"/>
  <c r="BD120" i="1" s="1"/>
  <c r="AL120" i="1"/>
  <c r="AJ120" i="1" s="1"/>
  <c r="AB120" i="1"/>
  <c r="AA120" i="1"/>
  <c r="S120" i="1"/>
  <c r="CZ119" i="1"/>
  <c r="CY119" i="1"/>
  <c r="CW119" i="1"/>
  <c r="BL119" i="1"/>
  <c r="BK119" i="1"/>
  <c r="BI119" i="1"/>
  <c r="BM119" i="1" s="1"/>
  <c r="BN119" i="1" s="1"/>
  <c r="BG119" i="1"/>
  <c r="BH119" i="1" s="1"/>
  <c r="BC119" i="1"/>
  <c r="AW119" i="1"/>
  <c r="AQ119" i="1"/>
  <c r="BD119" i="1" s="1"/>
  <c r="AL119" i="1"/>
  <c r="AJ119" i="1" s="1"/>
  <c r="AB119" i="1"/>
  <c r="AA119" i="1"/>
  <c r="S119" i="1"/>
  <c r="CZ118" i="1"/>
  <c r="CY118" i="1"/>
  <c r="CW118" i="1"/>
  <c r="BL118" i="1"/>
  <c r="BK118" i="1"/>
  <c r="BG118" i="1"/>
  <c r="BC118" i="1"/>
  <c r="AW118" i="1"/>
  <c r="AQ118" i="1"/>
  <c r="BD118" i="1" s="1"/>
  <c r="AL118" i="1"/>
  <c r="AJ118" i="1" s="1"/>
  <c r="AB118" i="1"/>
  <c r="AA118" i="1"/>
  <c r="Z118" i="1" s="1"/>
  <c r="S118" i="1"/>
  <c r="M118" i="1"/>
  <c r="AZ118" i="1" s="1"/>
  <c r="CZ117" i="1"/>
  <c r="CY117" i="1"/>
  <c r="CW117" i="1"/>
  <c r="BL117" i="1"/>
  <c r="BK117" i="1"/>
  <c r="BG117" i="1"/>
  <c r="BJ117" i="1" s="1"/>
  <c r="BC117" i="1"/>
  <c r="AW117" i="1"/>
  <c r="AQ117" i="1"/>
  <c r="BD117" i="1" s="1"/>
  <c r="AL117" i="1"/>
  <c r="AJ117" i="1" s="1"/>
  <c r="AK117" i="1" s="1"/>
  <c r="AB117" i="1"/>
  <c r="AA117" i="1"/>
  <c r="S117" i="1"/>
  <c r="CZ116" i="1"/>
  <c r="CY116" i="1"/>
  <c r="CW116" i="1"/>
  <c r="BL116" i="1"/>
  <c r="BK116" i="1"/>
  <c r="BG116" i="1"/>
  <c r="BJ116" i="1" s="1"/>
  <c r="BC116" i="1"/>
  <c r="AW116" i="1"/>
  <c r="AQ116" i="1"/>
  <c r="BD116" i="1" s="1"/>
  <c r="AL116" i="1"/>
  <c r="AJ116" i="1" s="1"/>
  <c r="Q116" i="1" s="1"/>
  <c r="AB116" i="1"/>
  <c r="AA116" i="1"/>
  <c r="Z116" i="1" s="1"/>
  <c r="S116" i="1"/>
  <c r="CZ115" i="1"/>
  <c r="CY115" i="1"/>
  <c r="CW115" i="1"/>
  <c r="BL115" i="1"/>
  <c r="BK115" i="1"/>
  <c r="BG115" i="1"/>
  <c r="BH115" i="1" s="1"/>
  <c r="BC115" i="1"/>
  <c r="AW115" i="1"/>
  <c r="AQ115" i="1"/>
  <c r="BD115" i="1" s="1"/>
  <c r="AL115" i="1"/>
  <c r="AJ115" i="1" s="1"/>
  <c r="AB115" i="1"/>
  <c r="AA115" i="1"/>
  <c r="Z115" i="1" s="1"/>
  <c r="S115" i="1"/>
  <c r="CZ114" i="1"/>
  <c r="CY114" i="1"/>
  <c r="CW114" i="1"/>
  <c r="BL114" i="1"/>
  <c r="BK114" i="1"/>
  <c r="BG114" i="1"/>
  <c r="BC114" i="1"/>
  <c r="AW114" i="1"/>
  <c r="AQ114" i="1"/>
  <c r="BD114" i="1" s="1"/>
  <c r="AL114" i="1"/>
  <c r="AJ114" i="1" s="1"/>
  <c r="AB114" i="1"/>
  <c r="AA114" i="1"/>
  <c r="Z114" i="1" s="1"/>
  <c r="S114" i="1"/>
  <c r="Q114" i="1"/>
  <c r="M114" i="1"/>
  <c r="AZ114" i="1" s="1"/>
  <c r="CZ113" i="1"/>
  <c r="CY113" i="1"/>
  <c r="CW113" i="1"/>
  <c r="BL113" i="1"/>
  <c r="BK113" i="1"/>
  <c r="BI113" i="1"/>
  <c r="BM113" i="1" s="1"/>
  <c r="BN113" i="1" s="1"/>
  <c r="BG113" i="1"/>
  <c r="BC113" i="1"/>
  <c r="AW113" i="1"/>
  <c r="AQ113" i="1"/>
  <c r="BD113" i="1" s="1"/>
  <c r="AL113" i="1"/>
  <c r="AJ113" i="1" s="1"/>
  <c r="AB113" i="1"/>
  <c r="AA113" i="1"/>
  <c r="S113" i="1"/>
  <c r="CZ112" i="1"/>
  <c r="CY112" i="1"/>
  <c r="CW112" i="1"/>
  <c r="BL112" i="1"/>
  <c r="BK112" i="1"/>
  <c r="BG112" i="1"/>
  <c r="BC112" i="1"/>
  <c r="AW112" i="1"/>
  <c r="AQ112" i="1"/>
  <c r="BD112" i="1" s="1"/>
  <c r="AL112" i="1"/>
  <c r="AJ112" i="1" s="1"/>
  <c r="M112" i="1" s="1"/>
  <c r="AZ112" i="1" s="1"/>
  <c r="AB112" i="1"/>
  <c r="AA112" i="1"/>
  <c r="Z112" i="1" s="1"/>
  <c r="S112" i="1"/>
  <c r="Q112" i="1"/>
  <c r="CZ111" i="1"/>
  <c r="CY111" i="1"/>
  <c r="CW111" i="1"/>
  <c r="BL111" i="1"/>
  <c r="BK111" i="1"/>
  <c r="BG111" i="1"/>
  <c r="BC111" i="1"/>
  <c r="AW111" i="1"/>
  <c r="AQ111" i="1"/>
  <c r="BD111" i="1" s="1"/>
  <c r="AL111" i="1"/>
  <c r="AJ111" i="1" s="1"/>
  <c r="AB111" i="1"/>
  <c r="AA111" i="1"/>
  <c r="Z111" i="1" s="1"/>
  <c r="S111" i="1"/>
  <c r="CZ110" i="1"/>
  <c r="CY110" i="1"/>
  <c r="CW110" i="1"/>
  <c r="BL110" i="1"/>
  <c r="BK110" i="1"/>
  <c r="BJ110" i="1"/>
  <c r="BG110" i="1"/>
  <c r="BH110" i="1" s="1"/>
  <c r="BC110" i="1"/>
  <c r="AW110" i="1"/>
  <c r="AQ110" i="1"/>
  <c r="BD110" i="1" s="1"/>
  <c r="AL110" i="1"/>
  <c r="AJ110" i="1" s="1"/>
  <c r="N110" i="1" s="1"/>
  <c r="AB110" i="1"/>
  <c r="AA110" i="1"/>
  <c r="S110" i="1"/>
  <c r="CZ109" i="1"/>
  <c r="CY109" i="1"/>
  <c r="CW109" i="1"/>
  <c r="CX109" i="1" s="1"/>
  <c r="AY109" i="1" s="1"/>
  <c r="BL109" i="1"/>
  <c r="BK109" i="1"/>
  <c r="BI109" i="1"/>
  <c r="BM109" i="1" s="1"/>
  <c r="BN109" i="1" s="1"/>
  <c r="BH109" i="1"/>
  <c r="BG109" i="1"/>
  <c r="BJ109" i="1" s="1"/>
  <c r="BD109" i="1"/>
  <c r="BC109" i="1"/>
  <c r="AW109" i="1"/>
  <c r="AQ109" i="1"/>
  <c r="AL109" i="1"/>
  <c r="AJ109" i="1" s="1"/>
  <c r="AB109" i="1"/>
  <c r="AA109" i="1"/>
  <c r="Z109" i="1" s="1"/>
  <c r="V109" i="1"/>
  <c r="S109" i="1"/>
  <c r="CZ108" i="1"/>
  <c r="CY108" i="1"/>
  <c r="CW108" i="1"/>
  <c r="CX108" i="1" s="1"/>
  <c r="AY108" i="1" s="1"/>
  <c r="BA108" i="1" s="1"/>
  <c r="BL108" i="1"/>
  <c r="BK108" i="1"/>
  <c r="BG108" i="1"/>
  <c r="BJ108" i="1" s="1"/>
  <c r="BC108" i="1"/>
  <c r="AW108" i="1"/>
  <c r="AQ108" i="1"/>
  <c r="BD108" i="1" s="1"/>
  <c r="AL108" i="1"/>
  <c r="AJ108" i="1" s="1"/>
  <c r="Q108" i="1" s="1"/>
  <c r="AB108" i="1"/>
  <c r="AA108" i="1"/>
  <c r="V108" i="1"/>
  <c r="S108" i="1"/>
  <c r="CZ107" i="1"/>
  <c r="CY107" i="1"/>
  <c r="CW107" i="1"/>
  <c r="BL107" i="1"/>
  <c r="BK107" i="1"/>
  <c r="BI107" i="1"/>
  <c r="BM107" i="1" s="1"/>
  <c r="BN107" i="1" s="1"/>
  <c r="BG107" i="1"/>
  <c r="BH107" i="1" s="1"/>
  <c r="BC107" i="1"/>
  <c r="AW107" i="1"/>
  <c r="AQ107" i="1"/>
  <c r="BD107" i="1" s="1"/>
  <c r="AL107" i="1"/>
  <c r="AJ107" i="1" s="1"/>
  <c r="N107" i="1" s="1"/>
  <c r="AB107" i="1"/>
  <c r="Z107" i="1" s="1"/>
  <c r="AA107" i="1"/>
  <c r="S107" i="1"/>
  <c r="CZ106" i="1"/>
  <c r="CY106" i="1"/>
  <c r="CW106" i="1"/>
  <c r="BL106" i="1"/>
  <c r="BK106" i="1"/>
  <c r="BG106" i="1"/>
  <c r="BC106" i="1"/>
  <c r="AW106" i="1"/>
  <c r="AQ106" i="1"/>
  <c r="BD106" i="1" s="1"/>
  <c r="AL106" i="1"/>
  <c r="AJ106" i="1" s="1"/>
  <c r="AB106" i="1"/>
  <c r="AA106" i="1"/>
  <c r="Z106" i="1" s="1"/>
  <c r="S106" i="1"/>
  <c r="CZ105" i="1"/>
  <c r="CY105" i="1"/>
  <c r="CW105" i="1"/>
  <c r="CX105" i="1" s="1"/>
  <c r="AY105" i="1" s="1"/>
  <c r="BL105" i="1"/>
  <c r="BK105" i="1"/>
  <c r="BJ105" i="1"/>
  <c r="BI105" i="1"/>
  <c r="BM105" i="1" s="1"/>
  <c r="BN105" i="1" s="1"/>
  <c r="BG105" i="1"/>
  <c r="BH105" i="1" s="1"/>
  <c r="BC105" i="1"/>
  <c r="AW105" i="1"/>
  <c r="AQ105" i="1"/>
  <c r="BD105" i="1" s="1"/>
  <c r="AL105" i="1"/>
  <c r="AJ105" i="1" s="1"/>
  <c r="AK105" i="1" s="1"/>
  <c r="AB105" i="1"/>
  <c r="AA105" i="1"/>
  <c r="V105" i="1"/>
  <c r="S105" i="1"/>
  <c r="CZ104" i="1"/>
  <c r="CY104" i="1"/>
  <c r="CX104" i="1"/>
  <c r="AY104" i="1" s="1"/>
  <c r="CW104" i="1"/>
  <c r="BL104" i="1"/>
  <c r="BK104" i="1"/>
  <c r="BG104" i="1"/>
  <c r="BJ104" i="1" s="1"/>
  <c r="BC104" i="1"/>
  <c r="BA104" i="1"/>
  <c r="AW104" i="1"/>
  <c r="AQ104" i="1"/>
  <c r="BD104" i="1" s="1"/>
  <c r="AL104" i="1"/>
  <c r="AJ104" i="1" s="1"/>
  <c r="AB104" i="1"/>
  <c r="AA104" i="1"/>
  <c r="V104" i="1"/>
  <c r="S104" i="1"/>
  <c r="CZ103" i="1"/>
  <c r="CY103" i="1"/>
  <c r="CW103" i="1"/>
  <c r="BL103" i="1"/>
  <c r="BK103" i="1"/>
  <c r="BG103" i="1"/>
  <c r="BH103" i="1" s="1"/>
  <c r="BD103" i="1"/>
  <c r="BC103" i="1"/>
  <c r="AW103" i="1"/>
  <c r="AQ103" i="1"/>
  <c r="AL103" i="1"/>
  <c r="AJ103" i="1" s="1"/>
  <c r="N103" i="1" s="1"/>
  <c r="AB103" i="1"/>
  <c r="AA103" i="1"/>
  <c r="Z103" i="1"/>
  <c r="S103" i="1"/>
  <c r="CZ102" i="1"/>
  <c r="CY102" i="1"/>
  <c r="CW102" i="1"/>
  <c r="BL102" i="1"/>
  <c r="BK102" i="1"/>
  <c r="BG102" i="1"/>
  <c r="BC102" i="1"/>
  <c r="AW102" i="1"/>
  <c r="AQ102" i="1"/>
  <c r="BD102" i="1" s="1"/>
  <c r="AL102" i="1"/>
  <c r="AJ102" i="1"/>
  <c r="L102" i="1" s="1"/>
  <c r="K102" i="1" s="1"/>
  <c r="AB102" i="1"/>
  <c r="Z102" i="1" s="1"/>
  <c r="AA102" i="1"/>
  <c r="S102" i="1"/>
  <c r="N102" i="1"/>
  <c r="M102" i="1"/>
  <c r="AZ102" i="1" s="1"/>
  <c r="CZ101" i="1"/>
  <c r="CY101" i="1"/>
  <c r="CW101" i="1"/>
  <c r="CX101" i="1" s="1"/>
  <c r="AY101" i="1" s="1"/>
  <c r="BL101" i="1"/>
  <c r="BK101" i="1"/>
  <c r="BH101" i="1"/>
  <c r="BG101" i="1"/>
  <c r="BJ101" i="1" s="1"/>
  <c r="BC101" i="1"/>
  <c r="AW101" i="1"/>
  <c r="AQ101" i="1"/>
  <c r="BD101" i="1" s="1"/>
  <c r="AL101" i="1"/>
  <c r="AJ101" i="1" s="1"/>
  <c r="AB101" i="1"/>
  <c r="AA101" i="1"/>
  <c r="Z101" i="1" s="1"/>
  <c r="V101" i="1"/>
  <c r="S101" i="1"/>
  <c r="CZ100" i="1"/>
  <c r="V100" i="1" s="1"/>
  <c r="CY100" i="1"/>
  <c r="CW100" i="1"/>
  <c r="BL100" i="1"/>
  <c r="BK100" i="1"/>
  <c r="BG100" i="1"/>
  <c r="BH100" i="1" s="1"/>
  <c r="BD100" i="1"/>
  <c r="BC100" i="1"/>
  <c r="AW100" i="1"/>
  <c r="AQ100" i="1"/>
  <c r="AL100" i="1"/>
  <c r="AJ100" i="1" s="1"/>
  <c r="N100" i="1" s="1"/>
  <c r="AB100" i="1"/>
  <c r="AA100" i="1"/>
  <c r="Z100" i="1"/>
  <c r="S100" i="1"/>
  <c r="CZ99" i="1"/>
  <c r="CY99" i="1"/>
  <c r="CW99" i="1"/>
  <c r="BL99" i="1"/>
  <c r="BK99" i="1"/>
  <c r="BG99" i="1"/>
  <c r="BC99" i="1"/>
  <c r="AW99" i="1"/>
  <c r="AQ99" i="1"/>
  <c r="BD99" i="1" s="1"/>
  <c r="AL99" i="1"/>
  <c r="AJ99" i="1" s="1"/>
  <c r="AB99" i="1"/>
  <c r="AA99" i="1"/>
  <c r="Z99" i="1"/>
  <c r="S99" i="1"/>
  <c r="CZ98" i="1"/>
  <c r="CY98" i="1"/>
  <c r="CW98" i="1"/>
  <c r="CX98" i="1" s="1"/>
  <c r="AY98" i="1" s="1"/>
  <c r="BL98" i="1"/>
  <c r="BK98" i="1"/>
  <c r="BJ98" i="1"/>
  <c r="BG98" i="1"/>
  <c r="BI98" i="1" s="1"/>
  <c r="BM98" i="1" s="1"/>
  <c r="BN98" i="1" s="1"/>
  <c r="BD98" i="1"/>
  <c r="BC98" i="1"/>
  <c r="AW98" i="1"/>
  <c r="AQ98" i="1"/>
  <c r="AL98" i="1"/>
  <c r="AJ98" i="1" s="1"/>
  <c r="AB98" i="1"/>
  <c r="AA98" i="1"/>
  <c r="V98" i="1"/>
  <c r="S98" i="1"/>
  <c r="CZ97" i="1"/>
  <c r="CY97" i="1"/>
  <c r="CW97" i="1"/>
  <c r="CX97" i="1" s="1"/>
  <c r="AY97" i="1" s="1"/>
  <c r="BA97" i="1" s="1"/>
  <c r="BL97" i="1"/>
  <c r="BK97" i="1"/>
  <c r="BG97" i="1"/>
  <c r="BJ97" i="1" s="1"/>
  <c r="BC97" i="1"/>
  <c r="AW97" i="1"/>
  <c r="AQ97" i="1"/>
  <c r="BD97" i="1" s="1"/>
  <c r="AL97" i="1"/>
  <c r="AJ97" i="1" s="1"/>
  <c r="L97" i="1" s="1"/>
  <c r="K97" i="1" s="1"/>
  <c r="AB97" i="1"/>
  <c r="Z97" i="1" s="1"/>
  <c r="AA97" i="1"/>
  <c r="V97" i="1"/>
  <c r="S97" i="1"/>
  <c r="CZ96" i="1"/>
  <c r="CY96" i="1"/>
  <c r="CW96" i="1"/>
  <c r="BL96" i="1"/>
  <c r="BK96" i="1"/>
  <c r="BJ96" i="1"/>
  <c r="BG96" i="1"/>
  <c r="BI96" i="1" s="1"/>
  <c r="BM96" i="1" s="1"/>
  <c r="BN96" i="1" s="1"/>
  <c r="BC96" i="1"/>
  <c r="AW96" i="1"/>
  <c r="AQ96" i="1"/>
  <c r="BD96" i="1" s="1"/>
  <c r="AL96" i="1"/>
  <c r="AJ96" i="1" s="1"/>
  <c r="N96" i="1" s="1"/>
  <c r="AB96" i="1"/>
  <c r="AA96" i="1"/>
  <c r="V96" i="1"/>
  <c r="S96" i="1"/>
  <c r="Q96" i="1"/>
  <c r="CZ95" i="1"/>
  <c r="CY95" i="1"/>
  <c r="CW95" i="1"/>
  <c r="BL95" i="1"/>
  <c r="BK95" i="1"/>
  <c r="BI95" i="1"/>
  <c r="BM95" i="1" s="1"/>
  <c r="BN95" i="1" s="1"/>
  <c r="BG95" i="1"/>
  <c r="BH95" i="1" s="1"/>
  <c r="BC95" i="1"/>
  <c r="AW95" i="1"/>
  <c r="AQ95" i="1"/>
  <c r="BD95" i="1" s="1"/>
  <c r="AL95" i="1"/>
  <c r="AJ95" i="1" s="1"/>
  <c r="L95" i="1" s="1"/>
  <c r="K95" i="1" s="1"/>
  <c r="AD95" i="1" s="1"/>
  <c r="AB95" i="1"/>
  <c r="Z95" i="1" s="1"/>
  <c r="AA95" i="1"/>
  <c r="V95" i="1"/>
  <c r="S95" i="1"/>
  <c r="CZ94" i="1"/>
  <c r="CY94" i="1"/>
  <c r="CW94" i="1"/>
  <c r="BL94" i="1"/>
  <c r="BK94" i="1"/>
  <c r="BG94" i="1"/>
  <c r="BC94" i="1"/>
  <c r="AW94" i="1"/>
  <c r="AQ94" i="1"/>
  <c r="BD94" i="1" s="1"/>
  <c r="AL94" i="1"/>
  <c r="AJ94" i="1"/>
  <c r="M94" i="1" s="1"/>
  <c r="AZ94" i="1" s="1"/>
  <c r="AB94" i="1"/>
  <c r="AA94" i="1"/>
  <c r="Z94" i="1" s="1"/>
  <c r="S94" i="1"/>
  <c r="CZ93" i="1"/>
  <c r="V93" i="1" s="1"/>
  <c r="CY93" i="1"/>
  <c r="CX93" i="1"/>
  <c r="AY93" i="1" s="1"/>
  <c r="CW93" i="1"/>
  <c r="BL93" i="1"/>
  <c r="BK93" i="1"/>
  <c r="BJ93" i="1"/>
  <c r="BG93" i="1"/>
  <c r="BI93" i="1" s="1"/>
  <c r="BM93" i="1" s="1"/>
  <c r="BN93" i="1" s="1"/>
  <c r="BC93" i="1"/>
  <c r="AW93" i="1"/>
  <c r="BA93" i="1" s="1"/>
  <c r="AQ93" i="1"/>
  <c r="BD93" i="1" s="1"/>
  <c r="AL93" i="1"/>
  <c r="AJ93" i="1"/>
  <c r="N93" i="1" s="1"/>
  <c r="AB93" i="1"/>
  <c r="AA93" i="1"/>
  <c r="Z93" i="1" s="1"/>
  <c r="S93" i="1"/>
  <c r="CZ92" i="1"/>
  <c r="V92" i="1" s="1"/>
  <c r="CY92" i="1"/>
  <c r="CX92" i="1" s="1"/>
  <c r="AY92" i="1" s="1"/>
  <c r="CW92" i="1"/>
  <c r="BL92" i="1"/>
  <c r="BK92" i="1"/>
  <c r="BG92" i="1"/>
  <c r="BI92" i="1" s="1"/>
  <c r="BM92" i="1" s="1"/>
  <c r="BN92" i="1" s="1"/>
  <c r="BD92" i="1"/>
  <c r="BC92" i="1"/>
  <c r="AW92" i="1"/>
  <c r="BA92" i="1" s="1"/>
  <c r="AQ92" i="1"/>
  <c r="AL92" i="1"/>
  <c r="AJ92" i="1" s="1"/>
  <c r="Q92" i="1" s="1"/>
  <c r="AB92" i="1"/>
  <c r="AA92" i="1"/>
  <c r="Z92" i="1" s="1"/>
  <c r="S92" i="1"/>
  <c r="N92" i="1"/>
  <c r="CZ91" i="1"/>
  <c r="CY91" i="1"/>
  <c r="CX91" i="1" s="1"/>
  <c r="AY91" i="1" s="1"/>
  <c r="CW91" i="1"/>
  <c r="BN91" i="1"/>
  <c r="BL91" i="1"/>
  <c r="BK91" i="1"/>
  <c r="BI91" i="1"/>
  <c r="BM91" i="1" s="1"/>
  <c r="BG91" i="1"/>
  <c r="BJ91" i="1" s="1"/>
  <c r="BD91" i="1"/>
  <c r="BC91" i="1"/>
  <c r="AW91" i="1"/>
  <c r="AQ91" i="1"/>
  <c r="AL91" i="1"/>
  <c r="AJ91" i="1" s="1"/>
  <c r="AB91" i="1"/>
  <c r="Z91" i="1" s="1"/>
  <c r="AA91" i="1"/>
  <c r="V91" i="1"/>
  <c r="S91" i="1"/>
  <c r="L91" i="1"/>
  <c r="K91" i="1" s="1"/>
  <c r="CZ90" i="1"/>
  <c r="CY90" i="1"/>
  <c r="CW90" i="1"/>
  <c r="BL90" i="1"/>
  <c r="BK90" i="1"/>
  <c r="BG90" i="1"/>
  <c r="BC90" i="1"/>
  <c r="AW90" i="1"/>
  <c r="AQ90" i="1"/>
  <c r="BD90" i="1" s="1"/>
  <c r="AL90" i="1"/>
  <c r="AJ90" i="1" s="1"/>
  <c r="M90" i="1" s="1"/>
  <c r="AZ90" i="1" s="1"/>
  <c r="AB90" i="1"/>
  <c r="AA90" i="1"/>
  <c r="Z90" i="1" s="1"/>
  <c r="S90" i="1"/>
  <c r="CZ89" i="1"/>
  <c r="CY89" i="1"/>
  <c r="CW89" i="1"/>
  <c r="CX89" i="1" s="1"/>
  <c r="AY89" i="1" s="1"/>
  <c r="BL89" i="1"/>
  <c r="BK89" i="1"/>
  <c r="BJ89" i="1"/>
  <c r="BH89" i="1"/>
  <c r="BG89" i="1"/>
  <c r="BI89" i="1" s="1"/>
  <c r="BM89" i="1" s="1"/>
  <c r="BN89" i="1" s="1"/>
  <c r="BC89" i="1"/>
  <c r="AW89" i="1"/>
  <c r="AQ89" i="1"/>
  <c r="BD89" i="1" s="1"/>
  <c r="AL89" i="1"/>
  <c r="AJ89" i="1" s="1"/>
  <c r="AB89" i="1"/>
  <c r="AA89" i="1"/>
  <c r="S89" i="1"/>
  <c r="CZ88" i="1"/>
  <c r="CY88" i="1"/>
  <c r="CW88" i="1"/>
  <c r="CX88" i="1" s="1"/>
  <c r="AY88" i="1" s="1"/>
  <c r="BL88" i="1"/>
  <c r="BK88" i="1"/>
  <c r="BH88" i="1"/>
  <c r="BG88" i="1"/>
  <c r="BI88" i="1" s="1"/>
  <c r="BM88" i="1" s="1"/>
  <c r="BN88" i="1" s="1"/>
  <c r="BC88" i="1"/>
  <c r="AW88" i="1"/>
  <c r="AQ88" i="1"/>
  <c r="BD88" i="1" s="1"/>
  <c r="AL88" i="1"/>
  <c r="AJ88" i="1" s="1"/>
  <c r="Q88" i="1" s="1"/>
  <c r="AB88" i="1"/>
  <c r="AA88" i="1"/>
  <c r="S88" i="1"/>
  <c r="CZ87" i="1"/>
  <c r="CY87" i="1"/>
  <c r="CX87" i="1"/>
  <c r="AY87" i="1" s="1"/>
  <c r="CW87" i="1"/>
  <c r="BL87" i="1"/>
  <c r="BK87" i="1"/>
  <c r="BG87" i="1"/>
  <c r="BJ87" i="1" s="1"/>
  <c r="BD87" i="1"/>
  <c r="BC87" i="1"/>
  <c r="AW87" i="1"/>
  <c r="AQ87" i="1"/>
  <c r="AL87" i="1"/>
  <c r="AJ87" i="1" s="1"/>
  <c r="AB87" i="1"/>
  <c r="AA87" i="1"/>
  <c r="V87" i="1"/>
  <c r="S87" i="1"/>
  <c r="N87" i="1"/>
  <c r="L87" i="1"/>
  <c r="K87" i="1" s="1"/>
  <c r="CZ86" i="1"/>
  <c r="CY86" i="1"/>
  <c r="CW86" i="1"/>
  <c r="BL86" i="1"/>
  <c r="BK86" i="1"/>
  <c r="BG86" i="1"/>
  <c r="BC86" i="1"/>
  <c r="AW86" i="1"/>
  <c r="AQ86" i="1"/>
  <c r="BD86" i="1" s="1"/>
  <c r="AL86" i="1"/>
  <c r="AJ86" i="1"/>
  <c r="M86" i="1" s="1"/>
  <c r="AZ86" i="1" s="1"/>
  <c r="AB86" i="1"/>
  <c r="AA86" i="1"/>
  <c r="S86" i="1"/>
  <c r="CZ85" i="1"/>
  <c r="CY85" i="1"/>
  <c r="CW85" i="1"/>
  <c r="BL85" i="1"/>
  <c r="BK85" i="1"/>
  <c r="BJ85" i="1"/>
  <c r="BG85" i="1"/>
  <c r="BH85" i="1" s="1"/>
  <c r="BC85" i="1"/>
  <c r="AW85" i="1"/>
  <c r="AQ85" i="1"/>
  <c r="BD85" i="1" s="1"/>
  <c r="AL85" i="1"/>
  <c r="AK85" i="1"/>
  <c r="AJ85" i="1"/>
  <c r="AB85" i="1"/>
  <c r="AA85" i="1"/>
  <c r="Z85" i="1" s="1"/>
  <c r="S85" i="1"/>
  <c r="CZ84" i="1"/>
  <c r="CY84" i="1"/>
  <c r="CW84" i="1"/>
  <c r="CX84" i="1" s="1"/>
  <c r="AY84" i="1" s="1"/>
  <c r="BL84" i="1"/>
  <c r="BK84" i="1"/>
  <c r="BG84" i="1"/>
  <c r="BC84" i="1"/>
  <c r="AW84" i="1"/>
  <c r="AQ84" i="1"/>
  <c r="BD84" i="1" s="1"/>
  <c r="AL84" i="1"/>
  <c r="AJ84" i="1" s="1"/>
  <c r="AB84" i="1"/>
  <c r="AA84" i="1"/>
  <c r="S84" i="1"/>
  <c r="N84" i="1"/>
  <c r="M84" i="1"/>
  <c r="AZ84" i="1" s="1"/>
  <c r="CZ83" i="1"/>
  <c r="CY83" i="1"/>
  <c r="CX83" i="1" s="1"/>
  <c r="AY83" i="1" s="1"/>
  <c r="CW83" i="1"/>
  <c r="BL83" i="1"/>
  <c r="BK83" i="1"/>
  <c r="BG83" i="1"/>
  <c r="BJ83" i="1" s="1"/>
  <c r="BC83" i="1"/>
  <c r="AW83" i="1"/>
  <c r="BA83" i="1" s="1"/>
  <c r="AQ83" i="1"/>
  <c r="BD83" i="1" s="1"/>
  <c r="AL83" i="1"/>
  <c r="AJ83" i="1" s="1"/>
  <c r="AB83" i="1"/>
  <c r="AA83" i="1"/>
  <c r="V83" i="1"/>
  <c r="S83" i="1"/>
  <c r="CZ82" i="1"/>
  <c r="CY82" i="1"/>
  <c r="CW82" i="1"/>
  <c r="BL82" i="1"/>
  <c r="BK82" i="1"/>
  <c r="BG82" i="1"/>
  <c r="BC82" i="1"/>
  <c r="AW82" i="1"/>
  <c r="AQ82" i="1"/>
  <c r="BD82" i="1" s="1"/>
  <c r="AL82" i="1"/>
  <c r="AJ82" i="1" s="1"/>
  <c r="M82" i="1" s="1"/>
  <c r="AZ82" i="1" s="1"/>
  <c r="AB82" i="1"/>
  <c r="Z82" i="1" s="1"/>
  <c r="AA82" i="1"/>
  <c r="S82" i="1"/>
  <c r="CZ81" i="1"/>
  <c r="V81" i="1" s="1"/>
  <c r="CY81" i="1"/>
  <c r="CW81" i="1"/>
  <c r="BL81" i="1"/>
  <c r="BK81" i="1"/>
  <c r="BJ81" i="1"/>
  <c r="BH81" i="1"/>
  <c r="BG81" i="1"/>
  <c r="BI81" i="1" s="1"/>
  <c r="BM81" i="1" s="1"/>
  <c r="BN81" i="1" s="1"/>
  <c r="BC81" i="1"/>
  <c r="AW81" i="1"/>
  <c r="AQ81" i="1"/>
  <c r="BD81" i="1" s="1"/>
  <c r="AL81" i="1"/>
  <c r="AJ81" i="1" s="1"/>
  <c r="AB81" i="1"/>
  <c r="AA81" i="1"/>
  <c r="Z81" i="1" s="1"/>
  <c r="S81" i="1"/>
  <c r="CZ80" i="1"/>
  <c r="CY80" i="1"/>
  <c r="CW80" i="1"/>
  <c r="CX80" i="1" s="1"/>
  <c r="AY80" i="1" s="1"/>
  <c r="BL80" i="1"/>
  <c r="BK80" i="1"/>
  <c r="BG80" i="1"/>
  <c r="BC80" i="1"/>
  <c r="AW80" i="1"/>
  <c r="AQ80" i="1"/>
  <c r="BD80" i="1" s="1"/>
  <c r="AL80" i="1"/>
  <c r="AJ80" i="1" s="1"/>
  <c r="N80" i="1" s="1"/>
  <c r="AB80" i="1"/>
  <c r="AA80" i="1"/>
  <c r="Z80" i="1" s="1"/>
  <c r="V80" i="1"/>
  <c r="S80" i="1"/>
  <c r="CZ79" i="1"/>
  <c r="V79" i="1" s="1"/>
  <c r="CY79" i="1"/>
  <c r="CX79" i="1"/>
  <c r="AY79" i="1" s="1"/>
  <c r="CW79" i="1"/>
  <c r="BL79" i="1"/>
  <c r="BK79" i="1"/>
  <c r="BH79" i="1"/>
  <c r="BG79" i="1"/>
  <c r="BI79" i="1" s="1"/>
  <c r="BM79" i="1" s="1"/>
  <c r="BN79" i="1" s="1"/>
  <c r="BC79" i="1"/>
  <c r="AW79" i="1"/>
  <c r="BA79" i="1" s="1"/>
  <c r="AQ79" i="1"/>
  <c r="BD79" i="1" s="1"/>
  <c r="AL79" i="1"/>
  <c r="AJ79" i="1" s="1"/>
  <c r="Q79" i="1" s="1"/>
  <c r="AB79" i="1"/>
  <c r="Z79" i="1" s="1"/>
  <c r="AA79" i="1"/>
  <c r="S79" i="1"/>
  <c r="CZ78" i="1"/>
  <c r="V78" i="1" s="1"/>
  <c r="CY78" i="1"/>
  <c r="CW78" i="1"/>
  <c r="CX78" i="1" s="1"/>
  <c r="AY78" i="1" s="1"/>
  <c r="BL78" i="1"/>
  <c r="BK78" i="1"/>
  <c r="BI78" i="1"/>
  <c r="BM78" i="1" s="1"/>
  <c r="BN78" i="1" s="1"/>
  <c r="BH78" i="1"/>
  <c r="BG78" i="1"/>
  <c r="BJ78" i="1" s="1"/>
  <c r="BC78" i="1"/>
  <c r="AW78" i="1"/>
  <c r="AQ78" i="1"/>
  <c r="BD78" i="1" s="1"/>
  <c r="AL78" i="1"/>
  <c r="AJ78" i="1" s="1"/>
  <c r="AB78" i="1"/>
  <c r="AA78" i="1"/>
  <c r="Z78" i="1" s="1"/>
  <c r="S78" i="1"/>
  <c r="CZ77" i="1"/>
  <c r="CY77" i="1"/>
  <c r="CW77" i="1"/>
  <c r="BL77" i="1"/>
  <c r="BK77" i="1"/>
  <c r="BG77" i="1"/>
  <c r="BC77" i="1"/>
  <c r="AW77" i="1"/>
  <c r="AQ77" i="1"/>
  <c r="BD77" i="1" s="1"/>
  <c r="AL77" i="1"/>
  <c r="AJ77" i="1" s="1"/>
  <c r="M77" i="1" s="1"/>
  <c r="AZ77" i="1" s="1"/>
  <c r="AB77" i="1"/>
  <c r="Z77" i="1" s="1"/>
  <c r="AA77" i="1"/>
  <c r="S77" i="1"/>
  <c r="CZ76" i="1"/>
  <c r="CY76" i="1"/>
  <c r="CW76" i="1"/>
  <c r="CX76" i="1" s="1"/>
  <c r="AY76" i="1" s="1"/>
  <c r="BM76" i="1"/>
  <c r="BN76" i="1" s="1"/>
  <c r="BL76" i="1"/>
  <c r="BK76" i="1"/>
  <c r="BJ76" i="1"/>
  <c r="BI76" i="1"/>
  <c r="BH76" i="1"/>
  <c r="BG76" i="1"/>
  <c r="BD76" i="1"/>
  <c r="BC76" i="1"/>
  <c r="AW76" i="1"/>
  <c r="AQ76" i="1"/>
  <c r="AL76" i="1"/>
  <c r="AJ76" i="1" s="1"/>
  <c r="N76" i="1" s="1"/>
  <c r="AB76" i="1"/>
  <c r="AA76" i="1"/>
  <c r="V76" i="1"/>
  <c r="S76" i="1"/>
  <c r="CZ75" i="1"/>
  <c r="CY75" i="1"/>
  <c r="CW75" i="1"/>
  <c r="CX75" i="1" s="1"/>
  <c r="AY75" i="1" s="1"/>
  <c r="BL75" i="1"/>
  <c r="BK75" i="1"/>
  <c r="BJ75" i="1"/>
  <c r="BH75" i="1"/>
  <c r="BG75" i="1"/>
  <c r="BI75" i="1" s="1"/>
  <c r="BM75" i="1" s="1"/>
  <c r="BN75" i="1" s="1"/>
  <c r="BC75" i="1"/>
  <c r="AW75" i="1"/>
  <c r="AQ75" i="1"/>
  <c r="BD75" i="1" s="1"/>
  <c r="AL75" i="1"/>
  <c r="AJ75" i="1" s="1"/>
  <c r="Q75" i="1" s="1"/>
  <c r="AB75" i="1"/>
  <c r="Z75" i="1" s="1"/>
  <c r="AA75" i="1"/>
  <c r="V75" i="1"/>
  <c r="S75" i="1"/>
  <c r="CZ74" i="1"/>
  <c r="CY74" i="1"/>
  <c r="CW74" i="1"/>
  <c r="CX74" i="1" s="1"/>
  <c r="AY74" i="1" s="1"/>
  <c r="BN74" i="1"/>
  <c r="BL74" i="1"/>
  <c r="BK74" i="1"/>
  <c r="BI74" i="1"/>
  <c r="BM74" i="1" s="1"/>
  <c r="BH74" i="1"/>
  <c r="BG74" i="1"/>
  <c r="BJ74" i="1" s="1"/>
  <c r="BC74" i="1"/>
  <c r="AW74" i="1"/>
  <c r="AQ74" i="1"/>
  <c r="BD74" i="1" s="1"/>
  <c r="AL74" i="1"/>
  <c r="AJ74" i="1" s="1"/>
  <c r="AB74" i="1"/>
  <c r="AA74" i="1"/>
  <c r="Z74" i="1" s="1"/>
  <c r="V74" i="1"/>
  <c r="S74" i="1"/>
  <c r="L74" i="1"/>
  <c r="K74" i="1" s="1"/>
  <c r="AD74" i="1" s="1"/>
  <c r="CZ73" i="1"/>
  <c r="CY73" i="1"/>
  <c r="CW73" i="1"/>
  <c r="BL73" i="1"/>
  <c r="BK73" i="1"/>
  <c r="BG73" i="1"/>
  <c r="BC73" i="1"/>
  <c r="AW73" i="1"/>
  <c r="AQ73" i="1"/>
  <c r="BD73" i="1" s="1"/>
  <c r="AL73" i="1"/>
  <c r="AJ73" i="1"/>
  <c r="L73" i="1" s="1"/>
  <c r="K73" i="1" s="1"/>
  <c r="AD73" i="1" s="1"/>
  <c r="AB73" i="1"/>
  <c r="AA73" i="1"/>
  <c r="Z73" i="1"/>
  <c r="S73" i="1"/>
  <c r="CZ72" i="1"/>
  <c r="CY72" i="1"/>
  <c r="CW72" i="1"/>
  <c r="V72" i="1" s="1"/>
  <c r="BL72" i="1"/>
  <c r="BK72" i="1"/>
  <c r="BJ72" i="1"/>
  <c r="BI72" i="1"/>
  <c r="BM72" i="1" s="1"/>
  <c r="BN72" i="1" s="1"/>
  <c r="BH72" i="1"/>
  <c r="BG72" i="1"/>
  <c r="BD72" i="1"/>
  <c r="BC72" i="1"/>
  <c r="AW72" i="1"/>
  <c r="AQ72" i="1"/>
  <c r="AL72" i="1"/>
  <c r="AJ72" i="1" s="1"/>
  <c r="AB72" i="1"/>
  <c r="AA72" i="1"/>
  <c r="Z72" i="1" s="1"/>
  <c r="S72" i="1"/>
  <c r="CZ71" i="1"/>
  <c r="CY71" i="1"/>
  <c r="CX71" i="1" s="1"/>
  <c r="AY71" i="1" s="1"/>
  <c r="BA71" i="1" s="1"/>
  <c r="CW71" i="1"/>
  <c r="BL71" i="1"/>
  <c r="BK71" i="1"/>
  <c r="BG71" i="1"/>
  <c r="BI71" i="1" s="1"/>
  <c r="BM71" i="1" s="1"/>
  <c r="BN71" i="1" s="1"/>
  <c r="BC71" i="1"/>
  <c r="AW71" i="1"/>
  <c r="AQ71" i="1"/>
  <c r="BD71" i="1" s="1"/>
  <c r="AL71" i="1"/>
  <c r="AJ71" i="1" s="1"/>
  <c r="AB71" i="1"/>
  <c r="Z71" i="1" s="1"/>
  <c r="AA71" i="1"/>
  <c r="V71" i="1"/>
  <c r="S71" i="1"/>
  <c r="CZ70" i="1"/>
  <c r="CY70" i="1"/>
  <c r="CW70" i="1"/>
  <c r="BL70" i="1"/>
  <c r="BK70" i="1"/>
  <c r="BI70" i="1"/>
  <c r="BM70" i="1" s="1"/>
  <c r="BN70" i="1" s="1"/>
  <c r="BH70" i="1"/>
  <c r="BG70" i="1"/>
  <c r="BJ70" i="1" s="1"/>
  <c r="BC70" i="1"/>
  <c r="AW70" i="1"/>
  <c r="AQ70" i="1"/>
  <c r="BD70" i="1" s="1"/>
  <c r="AL70" i="1"/>
  <c r="AJ70" i="1"/>
  <c r="L70" i="1" s="1"/>
  <c r="K70" i="1" s="1"/>
  <c r="W70" i="1" s="1"/>
  <c r="X70" i="1" s="1"/>
  <c r="AB70" i="1"/>
  <c r="AA70" i="1"/>
  <c r="Z70" i="1" s="1"/>
  <c r="V70" i="1"/>
  <c r="S70" i="1"/>
  <c r="CZ69" i="1"/>
  <c r="CY69" i="1"/>
  <c r="CW69" i="1"/>
  <c r="BL69" i="1"/>
  <c r="BK69" i="1"/>
  <c r="BG69" i="1"/>
  <c r="BI69" i="1" s="1"/>
  <c r="BM69" i="1" s="1"/>
  <c r="BN69" i="1" s="1"/>
  <c r="BC69" i="1"/>
  <c r="AW69" i="1"/>
  <c r="AQ69" i="1"/>
  <c r="BD69" i="1" s="1"/>
  <c r="AL69" i="1"/>
  <c r="AJ69" i="1" s="1"/>
  <c r="AB69" i="1"/>
  <c r="Z69" i="1" s="1"/>
  <c r="AA69" i="1"/>
  <c r="S69" i="1"/>
  <c r="CZ68" i="1"/>
  <c r="V68" i="1" s="1"/>
  <c r="CY68" i="1"/>
  <c r="CX68" i="1" s="1"/>
  <c r="AY68" i="1" s="1"/>
  <c r="CW68" i="1"/>
  <c r="BL68" i="1"/>
  <c r="BK68" i="1"/>
  <c r="BG68" i="1"/>
  <c r="BJ68" i="1" s="1"/>
  <c r="BC68" i="1"/>
  <c r="AW68" i="1"/>
  <c r="AQ68" i="1"/>
  <c r="BD68" i="1" s="1"/>
  <c r="AL68" i="1"/>
  <c r="AJ68" i="1"/>
  <c r="L68" i="1" s="1"/>
  <c r="K68" i="1" s="1"/>
  <c r="AB68" i="1"/>
  <c r="AA68" i="1"/>
  <c r="W68" i="1"/>
  <c r="X68" i="1" s="1"/>
  <c r="S68" i="1"/>
  <c r="CZ67" i="1"/>
  <c r="CY67" i="1"/>
  <c r="CW67" i="1"/>
  <c r="BL67" i="1"/>
  <c r="BK67" i="1"/>
  <c r="BG67" i="1"/>
  <c r="BC67" i="1"/>
  <c r="AW67" i="1"/>
  <c r="AQ67" i="1"/>
  <c r="BD67" i="1" s="1"/>
  <c r="AL67" i="1"/>
  <c r="AJ67" i="1" s="1"/>
  <c r="AB67" i="1"/>
  <c r="AA67" i="1"/>
  <c r="Z67" i="1"/>
  <c r="S67" i="1"/>
  <c r="Q67" i="1"/>
  <c r="CZ66" i="1"/>
  <c r="V66" i="1" s="1"/>
  <c r="CY66" i="1"/>
  <c r="CX66" i="1" s="1"/>
  <c r="AY66" i="1" s="1"/>
  <c r="CW66" i="1"/>
  <c r="BL66" i="1"/>
  <c r="BK66" i="1"/>
  <c r="BG66" i="1"/>
  <c r="BJ66" i="1" s="1"/>
  <c r="BD66" i="1"/>
  <c r="BC66" i="1"/>
  <c r="AW66" i="1"/>
  <c r="AQ66" i="1"/>
  <c r="AL66" i="1"/>
  <c r="AJ66" i="1" s="1"/>
  <c r="AB66" i="1"/>
  <c r="AA66" i="1"/>
  <c r="Z66" i="1"/>
  <c r="S66" i="1"/>
  <c r="CZ65" i="1"/>
  <c r="CY65" i="1"/>
  <c r="CW65" i="1"/>
  <c r="CX65" i="1" s="1"/>
  <c r="AY65" i="1" s="1"/>
  <c r="BA65" i="1" s="1"/>
  <c r="BL65" i="1"/>
  <c r="BK65" i="1"/>
  <c r="BG65" i="1"/>
  <c r="BC65" i="1"/>
  <c r="AW65" i="1"/>
  <c r="AQ65" i="1"/>
  <c r="BD65" i="1" s="1"/>
  <c r="AL65" i="1"/>
  <c r="AJ65" i="1" s="1"/>
  <c r="AB65" i="1"/>
  <c r="AA65" i="1"/>
  <c r="Z65" i="1"/>
  <c r="V65" i="1"/>
  <c r="S65" i="1"/>
  <c r="CZ64" i="1"/>
  <c r="CY64" i="1"/>
  <c r="CW64" i="1"/>
  <c r="V64" i="1" s="1"/>
  <c r="BL64" i="1"/>
  <c r="BK64" i="1"/>
  <c r="BG64" i="1"/>
  <c r="BJ64" i="1" s="1"/>
  <c r="BC64" i="1"/>
  <c r="AW64" i="1"/>
  <c r="AQ64" i="1"/>
  <c r="BD64" i="1" s="1"/>
  <c r="AL64" i="1"/>
  <c r="AJ64" i="1" s="1"/>
  <c r="AK64" i="1" s="1"/>
  <c r="AB64" i="1"/>
  <c r="AA64" i="1"/>
  <c r="Z64" i="1" s="1"/>
  <c r="S64" i="1"/>
  <c r="CZ63" i="1"/>
  <c r="V63" i="1" s="1"/>
  <c r="CY63" i="1"/>
  <c r="CW63" i="1"/>
  <c r="BL63" i="1"/>
  <c r="BK63" i="1"/>
  <c r="BJ63" i="1"/>
  <c r="BI63" i="1"/>
  <c r="BM63" i="1" s="1"/>
  <c r="BN63" i="1" s="1"/>
  <c r="BG63" i="1"/>
  <c r="BH63" i="1" s="1"/>
  <c r="BC63" i="1"/>
  <c r="AW63" i="1"/>
  <c r="AQ63" i="1"/>
  <c r="BD63" i="1" s="1"/>
  <c r="AL63" i="1"/>
  <c r="AJ63" i="1" s="1"/>
  <c r="L63" i="1" s="1"/>
  <c r="K63" i="1" s="1"/>
  <c r="AD63" i="1" s="1"/>
  <c r="AB63" i="1"/>
  <c r="AA63" i="1"/>
  <c r="S63" i="1"/>
  <c r="CZ62" i="1"/>
  <c r="CY62" i="1"/>
  <c r="CW62" i="1"/>
  <c r="BL62" i="1"/>
  <c r="BK62" i="1"/>
  <c r="BI62" i="1"/>
  <c r="BM62" i="1" s="1"/>
  <c r="BN62" i="1" s="1"/>
  <c r="BG62" i="1"/>
  <c r="BH62" i="1" s="1"/>
  <c r="BC62" i="1"/>
  <c r="AW62" i="1"/>
  <c r="AQ62" i="1"/>
  <c r="BD62" i="1" s="1"/>
  <c r="AL62" i="1"/>
  <c r="AJ62" i="1"/>
  <c r="AB62" i="1"/>
  <c r="AA62" i="1"/>
  <c r="Z62" i="1" s="1"/>
  <c r="S62" i="1"/>
  <c r="CZ61" i="1"/>
  <c r="CY61" i="1"/>
  <c r="CW61" i="1"/>
  <c r="BL61" i="1"/>
  <c r="BK61" i="1"/>
  <c r="BG61" i="1"/>
  <c r="BC61" i="1"/>
  <c r="AW61" i="1"/>
  <c r="AQ61" i="1"/>
  <c r="BD61" i="1" s="1"/>
  <c r="AL61" i="1"/>
  <c r="AJ61" i="1" s="1"/>
  <c r="AB61" i="1"/>
  <c r="AA61" i="1"/>
  <c r="Z61" i="1" s="1"/>
  <c r="S61" i="1"/>
  <c r="CZ60" i="1"/>
  <c r="CY60" i="1"/>
  <c r="CW60" i="1"/>
  <c r="CX60" i="1" s="1"/>
  <c r="AY60" i="1" s="1"/>
  <c r="BL60" i="1"/>
  <c r="BK60" i="1"/>
  <c r="BG60" i="1"/>
  <c r="BJ60" i="1" s="1"/>
  <c r="BC60" i="1"/>
  <c r="AW60" i="1"/>
  <c r="AQ60" i="1"/>
  <c r="BD60" i="1" s="1"/>
  <c r="AL60" i="1"/>
  <c r="AJ60" i="1" s="1"/>
  <c r="N60" i="1" s="1"/>
  <c r="AK60" i="1"/>
  <c r="AB60" i="1"/>
  <c r="AA60" i="1"/>
  <c r="V60" i="1"/>
  <c r="S60" i="1"/>
  <c r="CZ59" i="1"/>
  <c r="CY59" i="1"/>
  <c r="CW59" i="1"/>
  <c r="CX59" i="1" s="1"/>
  <c r="AY59" i="1" s="1"/>
  <c r="BA59" i="1" s="1"/>
  <c r="BL59" i="1"/>
  <c r="BK59" i="1"/>
  <c r="BG59" i="1"/>
  <c r="BJ59" i="1" s="1"/>
  <c r="BD59" i="1"/>
  <c r="BC59" i="1"/>
  <c r="AW59" i="1"/>
  <c r="AQ59" i="1"/>
  <c r="AL59" i="1"/>
  <c r="AJ59" i="1" s="1"/>
  <c r="L59" i="1" s="1"/>
  <c r="K59" i="1" s="1"/>
  <c r="AD59" i="1" s="1"/>
  <c r="AB59" i="1"/>
  <c r="AA59" i="1"/>
  <c r="S59" i="1"/>
  <c r="CZ58" i="1"/>
  <c r="CY58" i="1"/>
  <c r="CW58" i="1"/>
  <c r="BL58" i="1"/>
  <c r="BK58" i="1"/>
  <c r="BI58" i="1"/>
  <c r="BM58" i="1" s="1"/>
  <c r="BN58" i="1" s="1"/>
  <c r="BG58" i="1"/>
  <c r="BH58" i="1" s="1"/>
  <c r="BC58" i="1"/>
  <c r="AW58" i="1"/>
  <c r="AQ58" i="1"/>
  <c r="BD58" i="1" s="1"/>
  <c r="AL58" i="1"/>
  <c r="AJ58" i="1" s="1"/>
  <c r="AB58" i="1"/>
  <c r="AA58" i="1"/>
  <c r="Z58" i="1"/>
  <c r="S58" i="1"/>
  <c r="CZ57" i="1"/>
  <c r="CY57" i="1"/>
  <c r="CW57" i="1"/>
  <c r="BL57" i="1"/>
  <c r="BK57" i="1"/>
  <c r="BG57" i="1"/>
  <c r="BC57" i="1"/>
  <c r="AW57" i="1"/>
  <c r="AQ57" i="1"/>
  <c r="BD57" i="1" s="1"/>
  <c r="AL57" i="1"/>
  <c r="AJ57" i="1" s="1"/>
  <c r="AB57" i="1"/>
  <c r="AA57" i="1"/>
  <c r="S57" i="1"/>
  <c r="CZ56" i="1"/>
  <c r="CY56" i="1"/>
  <c r="CW56" i="1"/>
  <c r="CX56" i="1" s="1"/>
  <c r="AY56" i="1" s="1"/>
  <c r="BL56" i="1"/>
  <c r="BK56" i="1"/>
  <c r="BG56" i="1"/>
  <c r="BJ56" i="1" s="1"/>
  <c r="BC56" i="1"/>
  <c r="AW56" i="1"/>
  <c r="AQ56" i="1"/>
  <c r="BD56" i="1" s="1"/>
  <c r="AL56" i="1"/>
  <c r="AJ56" i="1" s="1"/>
  <c r="AK56" i="1" s="1"/>
  <c r="AB56" i="1"/>
  <c r="AA56" i="1"/>
  <c r="V56" i="1"/>
  <c r="S56" i="1"/>
  <c r="N56" i="1"/>
  <c r="CZ55" i="1"/>
  <c r="CY55" i="1"/>
  <c r="CW55" i="1"/>
  <c r="BL55" i="1"/>
  <c r="BK55" i="1"/>
  <c r="BI55" i="1"/>
  <c r="BM55" i="1" s="1"/>
  <c r="BN55" i="1" s="1"/>
  <c r="BG55" i="1"/>
  <c r="BJ55" i="1" s="1"/>
  <c r="BC55" i="1"/>
  <c r="AW55" i="1"/>
  <c r="AQ55" i="1"/>
  <c r="BD55" i="1" s="1"/>
  <c r="AL55" i="1"/>
  <c r="AJ55" i="1" s="1"/>
  <c r="AK55" i="1" s="1"/>
  <c r="AB55" i="1"/>
  <c r="AA55" i="1"/>
  <c r="S55" i="1"/>
  <c r="CZ54" i="1"/>
  <c r="CY54" i="1"/>
  <c r="CW54" i="1"/>
  <c r="BL54" i="1"/>
  <c r="BK54" i="1"/>
  <c r="BJ54" i="1"/>
  <c r="BG54" i="1"/>
  <c r="BH54" i="1" s="1"/>
  <c r="BC54" i="1"/>
  <c r="AW54" i="1"/>
  <c r="AQ54" i="1"/>
  <c r="BD54" i="1" s="1"/>
  <c r="AL54" i="1"/>
  <c r="AJ54" i="1" s="1"/>
  <c r="Q54" i="1" s="1"/>
  <c r="AB54" i="1"/>
  <c r="Z54" i="1" s="1"/>
  <c r="AA54" i="1"/>
  <c r="S54" i="1"/>
  <c r="CZ53" i="1"/>
  <c r="CY53" i="1"/>
  <c r="CW53" i="1"/>
  <c r="V53" i="1" s="1"/>
  <c r="BL53" i="1"/>
  <c r="BK53" i="1"/>
  <c r="BG53" i="1"/>
  <c r="BC53" i="1"/>
  <c r="AW53" i="1"/>
  <c r="AQ53" i="1"/>
  <c r="BD53" i="1" s="1"/>
  <c r="AL53" i="1"/>
  <c r="AJ53" i="1" s="1"/>
  <c r="N53" i="1" s="1"/>
  <c r="AB53" i="1"/>
  <c r="AA53" i="1"/>
  <c r="S53" i="1"/>
  <c r="CZ52" i="1"/>
  <c r="CY52" i="1"/>
  <c r="CW52" i="1"/>
  <c r="V52" i="1" s="1"/>
  <c r="BL52" i="1"/>
  <c r="BK52" i="1"/>
  <c r="BG52" i="1"/>
  <c r="BC52" i="1"/>
  <c r="AW52" i="1"/>
  <c r="AQ52" i="1"/>
  <c r="BD52" i="1" s="1"/>
  <c r="AL52" i="1"/>
  <c r="AJ52" i="1" s="1"/>
  <c r="AK52" i="1" s="1"/>
  <c r="AB52" i="1"/>
  <c r="AA52" i="1"/>
  <c r="Z52" i="1" s="1"/>
  <c r="S52" i="1"/>
  <c r="CZ51" i="1"/>
  <c r="CY51" i="1"/>
  <c r="CW51" i="1"/>
  <c r="BL51" i="1"/>
  <c r="BK51" i="1"/>
  <c r="BG51" i="1"/>
  <c r="BC51" i="1"/>
  <c r="AW51" i="1"/>
  <c r="AQ51" i="1"/>
  <c r="BD51" i="1" s="1"/>
  <c r="AL51" i="1"/>
  <c r="AJ51" i="1" s="1"/>
  <c r="AB51" i="1"/>
  <c r="AA51" i="1"/>
  <c r="S51" i="1"/>
  <c r="CZ50" i="1"/>
  <c r="CY50" i="1"/>
  <c r="CW50" i="1"/>
  <c r="BL50" i="1"/>
  <c r="BK50" i="1"/>
  <c r="BG50" i="1"/>
  <c r="BJ50" i="1" s="1"/>
  <c r="BC50" i="1"/>
  <c r="AW50" i="1"/>
  <c r="AQ50" i="1"/>
  <c r="BD50" i="1" s="1"/>
  <c r="AL50" i="1"/>
  <c r="AJ50" i="1" s="1"/>
  <c r="Q50" i="1" s="1"/>
  <c r="AB50" i="1"/>
  <c r="AA50" i="1"/>
  <c r="S50" i="1"/>
  <c r="CZ49" i="1"/>
  <c r="CY49" i="1"/>
  <c r="CW49" i="1"/>
  <c r="V49" i="1" s="1"/>
  <c r="BM49" i="1"/>
  <c r="BN49" i="1" s="1"/>
  <c r="BL49" i="1"/>
  <c r="BK49" i="1"/>
  <c r="BI49" i="1"/>
  <c r="BG49" i="1"/>
  <c r="BJ49" i="1" s="1"/>
  <c r="BC49" i="1"/>
  <c r="AW49" i="1"/>
  <c r="AQ49" i="1"/>
  <c r="BD49" i="1" s="1"/>
  <c r="AL49" i="1"/>
  <c r="AJ49" i="1"/>
  <c r="M49" i="1" s="1"/>
  <c r="AZ49" i="1" s="1"/>
  <c r="AB49" i="1"/>
  <c r="AA49" i="1"/>
  <c r="Z49" i="1" s="1"/>
  <c r="S49" i="1"/>
  <c r="Q49" i="1"/>
  <c r="CZ48" i="1"/>
  <c r="CY48" i="1"/>
  <c r="CW48" i="1"/>
  <c r="BL48" i="1"/>
  <c r="BK48" i="1"/>
  <c r="BG48" i="1"/>
  <c r="BC48" i="1"/>
  <c r="AW48" i="1"/>
  <c r="AQ48" i="1"/>
  <c r="BD48" i="1" s="1"/>
  <c r="AL48" i="1"/>
  <c r="AJ48" i="1" s="1"/>
  <c r="M48" i="1" s="1"/>
  <c r="AZ48" i="1" s="1"/>
  <c r="AB48" i="1"/>
  <c r="AA48" i="1"/>
  <c r="Z48" i="1" s="1"/>
  <c r="S48" i="1"/>
  <c r="Q48" i="1"/>
  <c r="L48" i="1"/>
  <c r="K48" i="1" s="1"/>
  <c r="AD48" i="1" s="1"/>
  <c r="CZ47" i="1"/>
  <c r="CY47" i="1"/>
  <c r="CW47" i="1"/>
  <c r="CX47" i="1" s="1"/>
  <c r="AY47" i="1" s="1"/>
  <c r="BL47" i="1"/>
  <c r="BK47" i="1"/>
  <c r="BG47" i="1"/>
  <c r="BH47" i="1" s="1"/>
  <c r="BC47" i="1"/>
  <c r="AW47" i="1"/>
  <c r="AQ47" i="1"/>
  <c r="BD47" i="1" s="1"/>
  <c r="AL47" i="1"/>
  <c r="AJ47" i="1" s="1"/>
  <c r="AB47" i="1"/>
  <c r="AA47" i="1"/>
  <c r="Z47" i="1" s="1"/>
  <c r="S47" i="1"/>
  <c r="CZ46" i="1"/>
  <c r="CY46" i="1"/>
  <c r="CW46" i="1"/>
  <c r="BL46" i="1"/>
  <c r="BK46" i="1"/>
  <c r="BG46" i="1"/>
  <c r="BC46" i="1"/>
  <c r="AW46" i="1"/>
  <c r="AQ46" i="1"/>
  <c r="BD46" i="1" s="1"/>
  <c r="AL46" i="1"/>
  <c r="AJ46" i="1" s="1"/>
  <c r="Q46" i="1" s="1"/>
  <c r="AB46" i="1"/>
  <c r="AA46" i="1"/>
  <c r="Z46" i="1" s="1"/>
  <c r="S46" i="1"/>
  <c r="M46" i="1"/>
  <c r="AZ46" i="1" s="1"/>
  <c r="CZ45" i="1"/>
  <c r="CY45" i="1"/>
  <c r="CW45" i="1"/>
  <c r="V45" i="1" s="1"/>
  <c r="BL45" i="1"/>
  <c r="BK45" i="1"/>
  <c r="BG45" i="1"/>
  <c r="BJ45" i="1" s="1"/>
  <c r="BC45" i="1"/>
  <c r="AW45" i="1"/>
  <c r="AQ45" i="1"/>
  <c r="BD45" i="1" s="1"/>
  <c r="AL45" i="1"/>
  <c r="AJ45" i="1" s="1"/>
  <c r="AB45" i="1"/>
  <c r="AA45" i="1"/>
  <c r="Z45" i="1" s="1"/>
  <c r="S45" i="1"/>
  <c r="CZ44" i="1"/>
  <c r="CY44" i="1"/>
  <c r="CW44" i="1"/>
  <c r="BL44" i="1"/>
  <c r="BK44" i="1"/>
  <c r="BG44" i="1"/>
  <c r="BC44" i="1"/>
  <c r="AW44" i="1"/>
  <c r="AQ44" i="1"/>
  <c r="BD44" i="1" s="1"/>
  <c r="AL44" i="1"/>
  <c r="AJ44" i="1" s="1"/>
  <c r="Q44" i="1" s="1"/>
  <c r="AB44" i="1"/>
  <c r="AA44" i="1"/>
  <c r="S44" i="1"/>
  <c r="CZ43" i="1"/>
  <c r="CY43" i="1"/>
  <c r="CW43" i="1"/>
  <c r="CX43" i="1" s="1"/>
  <c r="AY43" i="1" s="1"/>
  <c r="BL43" i="1"/>
  <c r="BK43" i="1"/>
  <c r="BI43" i="1"/>
  <c r="BM43" i="1" s="1"/>
  <c r="BN43" i="1" s="1"/>
  <c r="BG43" i="1"/>
  <c r="BH43" i="1" s="1"/>
  <c r="BC43" i="1"/>
  <c r="AW43" i="1"/>
  <c r="AQ43" i="1"/>
  <c r="BD43" i="1" s="1"/>
  <c r="AL43" i="1"/>
  <c r="AJ43" i="1" s="1"/>
  <c r="AB43" i="1"/>
  <c r="AA43" i="1"/>
  <c r="S43" i="1"/>
  <c r="CZ42" i="1"/>
  <c r="CY42" i="1"/>
  <c r="CW42" i="1"/>
  <c r="BL42" i="1"/>
  <c r="BK42" i="1"/>
  <c r="BG42" i="1"/>
  <c r="BC42" i="1"/>
  <c r="AW42" i="1"/>
  <c r="AQ42" i="1"/>
  <c r="BD42" i="1" s="1"/>
  <c r="AL42" i="1"/>
  <c r="AJ42" i="1" s="1"/>
  <c r="AB42" i="1"/>
  <c r="AA42" i="1"/>
  <c r="Z42" i="1" s="1"/>
  <c r="S42" i="1"/>
  <c r="CZ41" i="1"/>
  <c r="V41" i="1" s="1"/>
  <c r="CY41" i="1"/>
  <c r="CW41" i="1"/>
  <c r="BL41" i="1"/>
  <c r="BK41" i="1"/>
  <c r="BG41" i="1"/>
  <c r="BJ41" i="1" s="1"/>
  <c r="BC41" i="1"/>
  <c r="AW41" i="1"/>
  <c r="AQ41" i="1"/>
  <c r="BD41" i="1" s="1"/>
  <c r="AL41" i="1"/>
  <c r="AJ41" i="1" s="1"/>
  <c r="AB41" i="1"/>
  <c r="AA41" i="1"/>
  <c r="Z41" i="1" s="1"/>
  <c r="S41" i="1"/>
  <c r="CZ40" i="1"/>
  <c r="CY40" i="1"/>
  <c r="CW40" i="1"/>
  <c r="BL40" i="1"/>
  <c r="BK40" i="1"/>
  <c r="BI40" i="1"/>
  <c r="BM40" i="1" s="1"/>
  <c r="BN40" i="1" s="1"/>
  <c r="BG40" i="1"/>
  <c r="BC40" i="1"/>
  <c r="AW40" i="1"/>
  <c r="AQ40" i="1"/>
  <c r="BD40" i="1" s="1"/>
  <c r="AL40" i="1"/>
  <c r="AJ40" i="1" s="1"/>
  <c r="AB40" i="1"/>
  <c r="AA40" i="1"/>
  <c r="S40" i="1"/>
  <c r="CZ39" i="1"/>
  <c r="CY39" i="1"/>
  <c r="CW39" i="1"/>
  <c r="BL39" i="1"/>
  <c r="BK39" i="1"/>
  <c r="BI39" i="1"/>
  <c r="BM39" i="1" s="1"/>
  <c r="BN39" i="1" s="1"/>
  <c r="BG39" i="1"/>
  <c r="BC39" i="1"/>
  <c r="AW39" i="1"/>
  <c r="AQ39" i="1"/>
  <c r="BD39" i="1" s="1"/>
  <c r="AL39" i="1"/>
  <c r="AJ39" i="1" s="1"/>
  <c r="AK39" i="1" s="1"/>
  <c r="AB39" i="1"/>
  <c r="AA39" i="1"/>
  <c r="S39" i="1"/>
  <c r="CZ38" i="1"/>
  <c r="CY38" i="1"/>
  <c r="CW38" i="1"/>
  <c r="BL38" i="1"/>
  <c r="BK38" i="1"/>
  <c r="BG38" i="1"/>
  <c r="BC38" i="1"/>
  <c r="AW38" i="1"/>
  <c r="AQ38" i="1"/>
  <c r="BD38" i="1" s="1"/>
  <c r="AL38" i="1"/>
  <c r="AJ38" i="1" s="1"/>
  <c r="AB38" i="1"/>
  <c r="AA38" i="1"/>
  <c r="S38" i="1"/>
  <c r="CZ37" i="1"/>
  <c r="CY37" i="1"/>
  <c r="CW37" i="1"/>
  <c r="V37" i="1" s="1"/>
  <c r="BL37" i="1"/>
  <c r="BK37" i="1"/>
  <c r="BG37" i="1"/>
  <c r="BJ37" i="1" s="1"/>
  <c r="BC37" i="1"/>
  <c r="AW37" i="1"/>
  <c r="AQ37" i="1"/>
  <c r="BD37" i="1" s="1"/>
  <c r="AL37" i="1"/>
  <c r="AJ37" i="1" s="1"/>
  <c r="AB37" i="1"/>
  <c r="AA37" i="1"/>
  <c r="Z37" i="1" s="1"/>
  <c r="S37" i="1"/>
  <c r="CZ36" i="1"/>
  <c r="CY36" i="1"/>
  <c r="CW36" i="1"/>
  <c r="BL36" i="1"/>
  <c r="BK36" i="1"/>
  <c r="BI36" i="1"/>
  <c r="BM36" i="1" s="1"/>
  <c r="BN36" i="1" s="1"/>
  <c r="BG36" i="1"/>
  <c r="BH36" i="1" s="1"/>
  <c r="BC36" i="1"/>
  <c r="AW36" i="1"/>
  <c r="AQ36" i="1"/>
  <c r="BD36" i="1" s="1"/>
  <c r="AL36" i="1"/>
  <c r="AJ36" i="1" s="1"/>
  <c r="Q36" i="1" s="1"/>
  <c r="AB36" i="1"/>
  <c r="AA36" i="1"/>
  <c r="S36" i="1"/>
  <c r="CZ35" i="1"/>
  <c r="CY35" i="1"/>
  <c r="CW35" i="1"/>
  <c r="BL35" i="1"/>
  <c r="BK35" i="1"/>
  <c r="BG35" i="1"/>
  <c r="BJ35" i="1" s="1"/>
  <c r="BC35" i="1"/>
  <c r="AW35" i="1"/>
  <c r="AQ35" i="1"/>
  <c r="BD35" i="1" s="1"/>
  <c r="AL35" i="1"/>
  <c r="AJ35" i="1"/>
  <c r="AK35" i="1" s="1"/>
  <c r="AB35" i="1"/>
  <c r="AA35" i="1"/>
  <c r="Z35" i="1" s="1"/>
  <c r="S35" i="1"/>
  <c r="CZ34" i="1"/>
  <c r="CY34" i="1"/>
  <c r="CW34" i="1"/>
  <c r="BL34" i="1"/>
  <c r="BK34" i="1"/>
  <c r="BG34" i="1"/>
  <c r="BJ34" i="1" s="1"/>
  <c r="BC34" i="1"/>
  <c r="AW34" i="1"/>
  <c r="AQ34" i="1"/>
  <c r="BD34" i="1" s="1"/>
  <c r="AL34" i="1"/>
  <c r="AJ34" i="1" s="1"/>
  <c r="AB34" i="1"/>
  <c r="AA34" i="1"/>
  <c r="S34" i="1"/>
  <c r="CZ33" i="1"/>
  <c r="CY33" i="1"/>
  <c r="CX33" i="1"/>
  <c r="AY33" i="1" s="1"/>
  <c r="CW33" i="1"/>
  <c r="BL33" i="1"/>
  <c r="BK33" i="1"/>
  <c r="BG33" i="1"/>
  <c r="BJ33" i="1" s="1"/>
  <c r="BC33" i="1"/>
  <c r="AW33" i="1"/>
  <c r="BA33" i="1" s="1"/>
  <c r="AQ33" i="1"/>
  <c r="BD33" i="1" s="1"/>
  <c r="AL33" i="1"/>
  <c r="AJ33" i="1" s="1"/>
  <c r="AB33" i="1"/>
  <c r="AA33" i="1"/>
  <c r="Z33" i="1" s="1"/>
  <c r="V33" i="1"/>
  <c r="S33" i="1"/>
  <c r="CZ32" i="1"/>
  <c r="CY32" i="1"/>
  <c r="CW32" i="1"/>
  <c r="BL32" i="1"/>
  <c r="BK32" i="1"/>
  <c r="BG32" i="1"/>
  <c r="BC32" i="1"/>
  <c r="AW32" i="1"/>
  <c r="AQ32" i="1"/>
  <c r="BD32" i="1" s="1"/>
  <c r="AL32" i="1"/>
  <c r="AJ32" i="1" s="1"/>
  <c r="Q32" i="1" s="1"/>
  <c r="AB32" i="1"/>
  <c r="AA32" i="1"/>
  <c r="S32" i="1"/>
  <c r="CZ31" i="1"/>
  <c r="CY31" i="1"/>
  <c r="CW31" i="1"/>
  <c r="BL31" i="1"/>
  <c r="BK31" i="1"/>
  <c r="BH31" i="1"/>
  <c r="BG31" i="1"/>
  <c r="BJ31" i="1" s="1"/>
  <c r="BC31" i="1"/>
  <c r="AW31" i="1"/>
  <c r="AQ31" i="1"/>
  <c r="BD31" i="1" s="1"/>
  <c r="AL31" i="1"/>
  <c r="AJ31" i="1" s="1"/>
  <c r="N31" i="1" s="1"/>
  <c r="AB31" i="1"/>
  <c r="AA31" i="1"/>
  <c r="Z31" i="1" s="1"/>
  <c r="S31" i="1"/>
  <c r="CZ30" i="1"/>
  <c r="CY30" i="1"/>
  <c r="CW30" i="1"/>
  <c r="BL30" i="1"/>
  <c r="BK30" i="1"/>
  <c r="BG30" i="1"/>
  <c r="BC30" i="1"/>
  <c r="AW30" i="1"/>
  <c r="AQ30" i="1"/>
  <c r="BD30" i="1" s="1"/>
  <c r="AL30" i="1"/>
  <c r="AJ30" i="1" s="1"/>
  <c r="N30" i="1" s="1"/>
  <c r="AB30" i="1"/>
  <c r="AA30" i="1"/>
  <c r="S30" i="1"/>
  <c r="CZ29" i="1"/>
  <c r="CY29" i="1"/>
  <c r="CW29" i="1"/>
  <c r="CX29" i="1" s="1"/>
  <c r="AY29" i="1" s="1"/>
  <c r="BA29" i="1" s="1"/>
  <c r="BL29" i="1"/>
  <c r="BK29" i="1"/>
  <c r="BG29" i="1"/>
  <c r="BJ29" i="1" s="1"/>
  <c r="BC29" i="1"/>
  <c r="AW29" i="1"/>
  <c r="AQ29" i="1"/>
  <c r="BD29" i="1" s="1"/>
  <c r="AL29" i="1"/>
  <c r="AJ29" i="1" s="1"/>
  <c r="AB29" i="1"/>
  <c r="AA29" i="1"/>
  <c r="V29" i="1"/>
  <c r="S29" i="1"/>
  <c r="CZ28" i="1"/>
  <c r="CY28" i="1"/>
  <c r="CW28" i="1"/>
  <c r="BL28" i="1"/>
  <c r="BK28" i="1"/>
  <c r="BG28" i="1"/>
  <c r="BD28" i="1"/>
  <c r="BC28" i="1"/>
  <c r="AW28" i="1"/>
  <c r="AQ28" i="1"/>
  <c r="AL28" i="1"/>
  <c r="AJ28" i="1" s="1"/>
  <c r="AB28" i="1"/>
  <c r="AA28" i="1"/>
  <c r="S28" i="1"/>
  <c r="M28" i="1"/>
  <c r="AZ28" i="1" s="1"/>
  <c r="CZ27" i="1"/>
  <c r="CY27" i="1"/>
  <c r="CW27" i="1"/>
  <c r="BL27" i="1"/>
  <c r="BK27" i="1"/>
  <c r="BG27" i="1"/>
  <c r="BC27" i="1"/>
  <c r="AW27" i="1"/>
  <c r="AQ27" i="1"/>
  <c r="BD27" i="1" s="1"/>
  <c r="AL27" i="1"/>
  <c r="AJ27" i="1" s="1"/>
  <c r="AB27" i="1"/>
  <c r="AA27" i="1"/>
  <c r="V27" i="1"/>
  <c r="S27" i="1"/>
  <c r="CZ26" i="1"/>
  <c r="CY26" i="1"/>
  <c r="CW26" i="1"/>
  <c r="BL26" i="1"/>
  <c r="BK26" i="1"/>
  <c r="BG26" i="1"/>
  <c r="BC26" i="1"/>
  <c r="AW26" i="1"/>
  <c r="AQ26" i="1"/>
  <c r="BD26" i="1" s="1"/>
  <c r="AL26" i="1"/>
  <c r="AJ26" i="1" s="1"/>
  <c r="N26" i="1" s="1"/>
  <c r="AB26" i="1"/>
  <c r="AA26" i="1"/>
  <c r="Z26" i="1" s="1"/>
  <c r="S26" i="1"/>
  <c r="CZ25" i="1"/>
  <c r="V25" i="1" s="1"/>
  <c r="CY25" i="1"/>
  <c r="CW25" i="1"/>
  <c r="CX25" i="1" s="1"/>
  <c r="AY25" i="1" s="1"/>
  <c r="BL25" i="1"/>
  <c r="BK25" i="1"/>
  <c r="BG25" i="1"/>
  <c r="BJ25" i="1" s="1"/>
  <c r="BC25" i="1"/>
  <c r="AW25" i="1"/>
  <c r="AQ25" i="1"/>
  <c r="BD25" i="1" s="1"/>
  <c r="AL25" i="1"/>
  <c r="AJ25" i="1" s="1"/>
  <c r="AB25" i="1"/>
  <c r="AA25" i="1"/>
  <c r="Z25" i="1" s="1"/>
  <c r="S25" i="1"/>
  <c r="CZ24" i="1"/>
  <c r="CY24" i="1"/>
  <c r="CW24" i="1"/>
  <c r="BL24" i="1"/>
  <c r="BK24" i="1"/>
  <c r="BG24" i="1"/>
  <c r="BH24" i="1" s="1"/>
  <c r="BC24" i="1"/>
  <c r="AW24" i="1"/>
  <c r="AQ24" i="1"/>
  <c r="BD24" i="1" s="1"/>
  <c r="AL24" i="1"/>
  <c r="AJ24" i="1" s="1"/>
  <c r="L24" i="1" s="1"/>
  <c r="K24" i="1" s="1"/>
  <c r="AD24" i="1" s="1"/>
  <c r="AB24" i="1"/>
  <c r="AA24" i="1"/>
  <c r="Z24" i="1" s="1"/>
  <c r="S24" i="1"/>
  <c r="CZ23" i="1"/>
  <c r="CY23" i="1"/>
  <c r="CW23" i="1"/>
  <c r="BL23" i="1"/>
  <c r="BK23" i="1"/>
  <c r="BG23" i="1"/>
  <c r="BJ23" i="1" s="1"/>
  <c r="BC23" i="1"/>
  <c r="AW23" i="1"/>
  <c r="AQ23" i="1"/>
  <c r="BD23" i="1" s="1"/>
  <c r="AL23" i="1"/>
  <c r="AJ23" i="1" s="1"/>
  <c r="AB23" i="1"/>
  <c r="AA23" i="1"/>
  <c r="Z23" i="1" s="1"/>
  <c r="S23" i="1"/>
  <c r="CZ22" i="1"/>
  <c r="CY22" i="1"/>
  <c r="CW22" i="1"/>
  <c r="BL22" i="1"/>
  <c r="BK22" i="1"/>
  <c r="BG22" i="1"/>
  <c r="BH22" i="1" s="1"/>
  <c r="BC22" i="1"/>
  <c r="AW22" i="1"/>
  <c r="AQ22" i="1"/>
  <c r="BD22" i="1" s="1"/>
  <c r="AL22" i="1"/>
  <c r="AJ22" i="1" s="1"/>
  <c r="N22" i="1" s="1"/>
  <c r="AB22" i="1"/>
  <c r="AA22" i="1"/>
  <c r="Z22" i="1" s="1"/>
  <c r="S22" i="1"/>
  <c r="CZ21" i="1"/>
  <c r="CY21" i="1"/>
  <c r="CW21" i="1"/>
  <c r="BL21" i="1"/>
  <c r="BK21" i="1"/>
  <c r="BG21" i="1"/>
  <c r="BC21" i="1"/>
  <c r="AW21" i="1"/>
  <c r="AQ21" i="1"/>
  <c r="BD21" i="1" s="1"/>
  <c r="AL21" i="1"/>
  <c r="AJ21" i="1" s="1"/>
  <c r="AB21" i="1"/>
  <c r="AA21" i="1"/>
  <c r="Z21" i="1" s="1"/>
  <c r="S21" i="1"/>
  <c r="CZ20" i="1"/>
  <c r="CY20" i="1"/>
  <c r="CW20" i="1"/>
  <c r="CX20" i="1" s="1"/>
  <c r="AY20" i="1" s="1"/>
  <c r="BL20" i="1"/>
  <c r="BK20" i="1"/>
  <c r="BG20" i="1"/>
  <c r="BJ20" i="1" s="1"/>
  <c r="BC20" i="1"/>
  <c r="AW20" i="1"/>
  <c r="AQ20" i="1"/>
  <c r="BD20" i="1" s="1"/>
  <c r="AL20" i="1"/>
  <c r="AJ20" i="1" s="1"/>
  <c r="AK20" i="1" s="1"/>
  <c r="AB20" i="1"/>
  <c r="AA20" i="1"/>
  <c r="V20" i="1"/>
  <c r="S20" i="1"/>
  <c r="M20" i="1"/>
  <c r="AZ20" i="1" s="1"/>
  <c r="CZ19" i="1"/>
  <c r="CY19" i="1"/>
  <c r="CW19" i="1"/>
  <c r="CX19" i="1" s="1"/>
  <c r="AY19" i="1" s="1"/>
  <c r="BL19" i="1"/>
  <c r="BK19" i="1"/>
  <c r="BH19" i="1"/>
  <c r="BG19" i="1"/>
  <c r="BI19" i="1" s="1"/>
  <c r="BM19" i="1" s="1"/>
  <c r="BN19" i="1" s="1"/>
  <c r="BC19" i="1"/>
  <c r="AW19" i="1"/>
  <c r="AQ19" i="1"/>
  <c r="BD19" i="1" s="1"/>
  <c r="AL19" i="1"/>
  <c r="AJ19" i="1" s="1"/>
  <c r="AB19" i="1"/>
  <c r="AA19" i="1"/>
  <c r="Z19" i="1" s="1"/>
  <c r="S19" i="1"/>
  <c r="CZ18" i="1"/>
  <c r="CY18" i="1"/>
  <c r="CW18" i="1"/>
  <c r="CX18" i="1" s="1"/>
  <c r="AY18" i="1" s="1"/>
  <c r="BL18" i="1"/>
  <c r="BK18" i="1"/>
  <c r="BG18" i="1"/>
  <c r="BJ18" i="1" s="1"/>
  <c r="BC18" i="1"/>
  <c r="AW18" i="1"/>
  <c r="AQ18" i="1"/>
  <c r="BD18" i="1" s="1"/>
  <c r="AL18" i="1"/>
  <c r="AJ18" i="1" s="1"/>
  <c r="Q18" i="1" s="1"/>
  <c r="AB18" i="1"/>
  <c r="AA18" i="1"/>
  <c r="Z18" i="1" s="1"/>
  <c r="V18" i="1"/>
  <c r="S18" i="1"/>
  <c r="CZ17" i="1"/>
  <c r="CY17" i="1"/>
  <c r="CX17" i="1" s="1"/>
  <c r="AY17" i="1" s="1"/>
  <c r="CW17" i="1"/>
  <c r="BL17" i="1"/>
  <c r="BK17" i="1"/>
  <c r="BG17" i="1"/>
  <c r="BJ17" i="1" s="1"/>
  <c r="BC17" i="1"/>
  <c r="AW17" i="1"/>
  <c r="AQ17" i="1"/>
  <c r="BD17" i="1" s="1"/>
  <c r="AL17" i="1"/>
  <c r="AJ17" i="1" s="1"/>
  <c r="L17" i="1" s="1"/>
  <c r="K17" i="1" s="1"/>
  <c r="AB17" i="1"/>
  <c r="Z17" i="1" s="1"/>
  <c r="AA17" i="1"/>
  <c r="V17" i="1"/>
  <c r="S17" i="1"/>
  <c r="AD17" i="1" l="1"/>
  <c r="W17" i="1"/>
  <c r="X17" i="1" s="1"/>
  <c r="L21" i="1"/>
  <c r="K21" i="1" s="1"/>
  <c r="AK21" i="1"/>
  <c r="M21" i="1"/>
  <c r="AZ21" i="1" s="1"/>
  <c r="Q21" i="1"/>
  <c r="N21" i="1"/>
  <c r="L123" i="1"/>
  <c r="K123" i="1" s="1"/>
  <c r="N123" i="1"/>
  <c r="M123" i="1"/>
  <c r="AZ123" i="1" s="1"/>
  <c r="AK123" i="1"/>
  <c r="Q123" i="1"/>
  <c r="Q37" i="1"/>
  <c r="AK37" i="1"/>
  <c r="N89" i="1"/>
  <c r="AK89" i="1"/>
  <c r="L119" i="1"/>
  <c r="K119" i="1" s="1"/>
  <c r="N119" i="1"/>
  <c r="M119" i="1"/>
  <c r="AZ119" i="1" s="1"/>
  <c r="AK119" i="1"/>
  <c r="Q119" i="1"/>
  <c r="L23" i="1"/>
  <c r="K23" i="1" s="1"/>
  <c r="Q23" i="1"/>
  <c r="N23" i="1"/>
  <c r="M23" i="1"/>
  <c r="AZ23" i="1" s="1"/>
  <c r="AK23" i="1"/>
  <c r="L99" i="1"/>
  <c r="K99" i="1" s="1"/>
  <c r="M99" i="1"/>
  <c r="AZ99" i="1" s="1"/>
  <c r="N99" i="1"/>
  <c r="M19" i="1"/>
  <c r="AZ19" i="1" s="1"/>
  <c r="BB19" i="1" s="1"/>
  <c r="AK19" i="1"/>
  <c r="N19" i="1"/>
  <c r="Q25" i="1"/>
  <c r="N25" i="1"/>
  <c r="M45" i="1"/>
  <c r="AZ45" i="1" s="1"/>
  <c r="Q45" i="1"/>
  <c r="N45" i="1"/>
  <c r="AK45" i="1"/>
  <c r="N72" i="1"/>
  <c r="AK72" i="1"/>
  <c r="L106" i="1"/>
  <c r="K106" i="1" s="1"/>
  <c r="N106" i="1"/>
  <c r="M106" i="1"/>
  <c r="AZ106" i="1" s="1"/>
  <c r="L111" i="1"/>
  <c r="K111" i="1" s="1"/>
  <c r="Q111" i="1"/>
  <c r="N111" i="1"/>
  <c r="M111" i="1"/>
  <c r="AZ111" i="1" s="1"/>
  <c r="AK111" i="1"/>
  <c r="L115" i="1"/>
  <c r="K115" i="1" s="1"/>
  <c r="AK115" i="1"/>
  <c r="Q115" i="1"/>
  <c r="N115" i="1"/>
  <c r="M115" i="1"/>
  <c r="AZ115" i="1" s="1"/>
  <c r="N124" i="1"/>
  <c r="AK124" i="1"/>
  <c r="Q124" i="1"/>
  <c r="M124" i="1"/>
  <c r="AZ124" i="1" s="1"/>
  <c r="N128" i="1"/>
  <c r="Q128" i="1"/>
  <c r="M41" i="1"/>
  <c r="AZ41" i="1" s="1"/>
  <c r="Q41" i="1"/>
  <c r="N41" i="1"/>
  <c r="AK41" i="1"/>
  <c r="N113" i="1"/>
  <c r="M113" i="1"/>
  <c r="AZ113" i="1" s="1"/>
  <c r="AK113" i="1"/>
  <c r="Q113" i="1"/>
  <c r="N120" i="1"/>
  <c r="AK120" i="1"/>
  <c r="Q120" i="1"/>
  <c r="M120" i="1"/>
  <c r="AZ120" i="1" s="1"/>
  <c r="BB20" i="1"/>
  <c r="BA56" i="1"/>
  <c r="BH18" i="1"/>
  <c r="N20" i="1"/>
  <c r="BH25" i="1"/>
  <c r="L26" i="1"/>
  <c r="K26" i="1" s="1"/>
  <c r="Z29" i="1"/>
  <c r="BH45" i="1"/>
  <c r="BI47" i="1"/>
  <c r="BM47" i="1" s="1"/>
  <c r="BN47" i="1" s="1"/>
  <c r="L52" i="1"/>
  <c r="K52" i="1" s="1"/>
  <c r="AD52" i="1" s="1"/>
  <c r="CX52" i="1"/>
  <c r="AY52" i="1" s="1"/>
  <c r="BA52" i="1" s="1"/>
  <c r="CX53" i="1"/>
  <c r="AY53" i="1" s="1"/>
  <c r="BH66" i="1"/>
  <c r="CX70" i="1"/>
  <c r="AY70" i="1" s="1"/>
  <c r="CX72" i="1"/>
  <c r="AY72" i="1" s="1"/>
  <c r="BA72" i="1" s="1"/>
  <c r="L79" i="1"/>
  <c r="K79" i="1" s="1"/>
  <c r="Z86" i="1"/>
  <c r="BA88" i="1"/>
  <c r="BH92" i="1"/>
  <c r="BJ95" i="1"/>
  <c r="BI128" i="1"/>
  <c r="BM128" i="1" s="1"/>
  <c r="BN128" i="1" s="1"/>
  <c r="BI18" i="1"/>
  <c r="BM18" i="1" s="1"/>
  <c r="BN18" i="1" s="1"/>
  <c r="BA19" i="1"/>
  <c r="Q20" i="1"/>
  <c r="L22" i="1"/>
  <c r="K22" i="1" s="1"/>
  <c r="BI25" i="1"/>
  <c r="BM25" i="1" s="1"/>
  <c r="BN25" i="1" s="1"/>
  <c r="M26" i="1"/>
  <c r="AZ26" i="1" s="1"/>
  <c r="BH29" i="1"/>
  <c r="M30" i="1"/>
  <c r="AZ30" i="1" s="1"/>
  <c r="M32" i="1"/>
  <c r="AZ32" i="1" s="1"/>
  <c r="L36" i="1"/>
  <c r="K36" i="1" s="1"/>
  <c r="AD36" i="1" s="1"/>
  <c r="BH37" i="1"/>
  <c r="BH41" i="1"/>
  <c r="BI45" i="1"/>
  <c r="BM45" i="1" s="1"/>
  <c r="BN45" i="1" s="1"/>
  <c r="CX49" i="1"/>
  <c r="AY49" i="1" s="1"/>
  <c r="M52" i="1"/>
  <c r="AZ52" i="1" s="1"/>
  <c r="V62" i="1"/>
  <c r="BI66" i="1"/>
  <c r="BM66" i="1" s="1"/>
  <c r="BN66" i="1" s="1"/>
  <c r="L75" i="1"/>
  <c r="K75" i="1" s="1"/>
  <c r="AD75" i="1" s="1"/>
  <c r="Z83" i="1"/>
  <c r="BH87" i="1"/>
  <c r="BJ92" i="1"/>
  <c r="N97" i="1"/>
  <c r="BI103" i="1"/>
  <c r="BM103" i="1" s="1"/>
  <c r="BN103" i="1" s="1"/>
  <c r="M110" i="1"/>
  <c r="AZ110" i="1" s="1"/>
  <c r="Z113" i="1"/>
  <c r="Z119" i="1"/>
  <c r="Z122" i="1"/>
  <c r="Z123" i="1"/>
  <c r="BJ128" i="1"/>
  <c r="BI22" i="1"/>
  <c r="BM22" i="1" s="1"/>
  <c r="BN22" i="1" s="1"/>
  <c r="Z27" i="1"/>
  <c r="BI29" i="1"/>
  <c r="BM29" i="1" s="1"/>
  <c r="BN29" i="1" s="1"/>
  <c r="Q30" i="1"/>
  <c r="BH33" i="1"/>
  <c r="M36" i="1"/>
  <c r="AZ36" i="1" s="1"/>
  <c r="BI37" i="1"/>
  <c r="BM37" i="1" s="1"/>
  <c r="BN37" i="1" s="1"/>
  <c r="BI41" i="1"/>
  <c r="BM41" i="1" s="1"/>
  <c r="BN41" i="1" s="1"/>
  <c r="Z56" i="1"/>
  <c r="BH56" i="1"/>
  <c r="Z57" i="1"/>
  <c r="BJ58" i="1"/>
  <c r="Z59" i="1"/>
  <c r="BI59" i="1"/>
  <c r="BM59" i="1" s="1"/>
  <c r="BN59" i="1" s="1"/>
  <c r="BA60" i="1"/>
  <c r="CX63" i="1"/>
  <c r="AY63" i="1" s="1"/>
  <c r="BA63" i="1" s="1"/>
  <c r="CX64" i="1"/>
  <c r="AY64" i="1" s="1"/>
  <c r="Z68" i="1"/>
  <c r="BA74" i="1"/>
  <c r="N75" i="1"/>
  <c r="BA75" i="1"/>
  <c r="Z76" i="1"/>
  <c r="BH83" i="1"/>
  <c r="BA84" i="1"/>
  <c r="V84" i="1"/>
  <c r="CX85" i="1"/>
  <c r="AY85" i="1" s="1"/>
  <c r="Z87" i="1"/>
  <c r="BI87" i="1"/>
  <c r="BM87" i="1" s="1"/>
  <c r="BN87" i="1" s="1"/>
  <c r="V88" i="1"/>
  <c r="BA89" i="1"/>
  <c r="BH91" i="1"/>
  <c r="BH93" i="1"/>
  <c r="Z96" i="1"/>
  <c r="BH96" i="1"/>
  <c r="Q97" i="1"/>
  <c r="BA98" i="1"/>
  <c r="BI100" i="1"/>
  <c r="BM100" i="1" s="1"/>
  <c r="BN100" i="1" s="1"/>
  <c r="BJ103" i="1"/>
  <c r="Q110" i="1"/>
  <c r="Z117" i="1"/>
  <c r="BI123" i="1"/>
  <c r="BM123" i="1" s="1"/>
  <c r="BN123" i="1" s="1"/>
  <c r="M24" i="1"/>
  <c r="AZ24" i="1" s="1"/>
  <c r="BI33" i="1"/>
  <c r="BM33" i="1" s="1"/>
  <c r="BN33" i="1" s="1"/>
  <c r="BH35" i="1"/>
  <c r="BH49" i="1"/>
  <c r="M50" i="1"/>
  <c r="AZ50" i="1" s="1"/>
  <c r="M53" i="1"/>
  <c r="AZ53" i="1" s="1"/>
  <c r="BB53" i="1" s="1"/>
  <c r="BI83" i="1"/>
  <c r="BM83" i="1" s="1"/>
  <c r="BN83" i="1" s="1"/>
  <c r="BB84" i="1"/>
  <c r="BJ100" i="1"/>
  <c r="Z104" i="1"/>
  <c r="BH104" i="1"/>
  <c r="AK112" i="1"/>
  <c r="Z120" i="1"/>
  <c r="Z124" i="1"/>
  <c r="BH17" i="1"/>
  <c r="N18" i="1"/>
  <c r="BA18" i="1"/>
  <c r="BH20" i="1"/>
  <c r="BA25" i="1"/>
  <c r="CX27" i="1"/>
  <c r="AY27" i="1" s="1"/>
  <c r="Z30" i="1"/>
  <c r="BA47" i="1"/>
  <c r="CX55" i="1"/>
  <c r="AY55" i="1" s="1"/>
  <c r="BA55" i="1" s="1"/>
  <c r="BJ62" i="1"/>
  <c r="V67" i="1"/>
  <c r="BH68" i="1"/>
  <c r="BH71" i="1"/>
  <c r="Z88" i="1"/>
  <c r="BJ88" i="1"/>
  <c r="Z89" i="1"/>
  <c r="AK93" i="1"/>
  <c r="BI101" i="1"/>
  <c r="BM101" i="1" s="1"/>
  <c r="BN101" i="1" s="1"/>
  <c r="Z105" i="1"/>
  <c r="BJ107" i="1"/>
  <c r="BI115" i="1"/>
  <c r="BM115" i="1" s="1"/>
  <c r="BN115" i="1" s="1"/>
  <c r="CX117" i="1"/>
  <c r="AY117" i="1" s="1"/>
  <c r="BA117" i="1" s="1"/>
  <c r="BA121" i="1"/>
  <c r="BA125" i="1"/>
  <c r="CX128" i="1"/>
  <c r="AY128" i="1" s="1"/>
  <c r="BA128" i="1" s="1"/>
  <c r="BI17" i="1"/>
  <c r="BM17" i="1" s="1"/>
  <c r="BN17" i="1" s="1"/>
  <c r="V19" i="1"/>
  <c r="BI20" i="1"/>
  <c r="BM20" i="1" s="1"/>
  <c r="BN20" i="1" s="1"/>
  <c r="BH23" i="1"/>
  <c r="BJ24" i="1"/>
  <c r="AK26" i="1"/>
  <c r="CX45" i="1"/>
  <c r="AY45" i="1" s="1"/>
  <c r="AK49" i="1"/>
  <c r="Q55" i="1"/>
  <c r="CX58" i="1"/>
  <c r="AY58" i="1" s="1"/>
  <c r="BA58" i="1" s="1"/>
  <c r="Z60" i="1"/>
  <c r="BH60" i="1"/>
  <c r="CX67" i="1"/>
  <c r="AY67" i="1" s="1"/>
  <c r="BA67" i="1" s="1"/>
  <c r="BI68" i="1"/>
  <c r="BM68" i="1" s="1"/>
  <c r="BN68" i="1" s="1"/>
  <c r="BH69" i="1"/>
  <c r="BJ71" i="1"/>
  <c r="BJ79" i="1"/>
  <c r="BI85" i="1"/>
  <c r="BM85" i="1" s="1"/>
  <c r="BN85" i="1" s="1"/>
  <c r="L86" i="1"/>
  <c r="K86" i="1" s="1"/>
  <c r="BA87" i="1"/>
  <c r="CX95" i="1"/>
  <c r="AY95" i="1" s="1"/>
  <c r="BA95" i="1" s="1"/>
  <c r="BH97" i="1"/>
  <c r="CX119" i="1"/>
  <c r="AY119" i="1" s="1"/>
  <c r="BA119" i="1" s="1"/>
  <c r="CX123" i="1"/>
  <c r="AY123" i="1" s="1"/>
  <c r="BA123" i="1" s="1"/>
  <c r="Z127" i="1"/>
  <c r="BJ19" i="1"/>
  <c r="L20" i="1"/>
  <c r="K20" i="1" s="1"/>
  <c r="CX21" i="1"/>
  <c r="AY21" i="1" s="1"/>
  <c r="BB21" i="1" s="1"/>
  <c r="CX37" i="1"/>
  <c r="AY37" i="1" s="1"/>
  <c r="BA37" i="1" s="1"/>
  <c r="Z39" i="1"/>
  <c r="Z40" i="1"/>
  <c r="CX41" i="1"/>
  <c r="AY41" i="1" s="1"/>
  <c r="Z43" i="1"/>
  <c r="N49" i="1"/>
  <c r="Z50" i="1"/>
  <c r="Z53" i="1"/>
  <c r="BI54" i="1"/>
  <c r="BM54" i="1" s="1"/>
  <c r="BN54" i="1" s="1"/>
  <c r="BH64" i="1"/>
  <c r="BJ69" i="1"/>
  <c r="Z84" i="1"/>
  <c r="V89" i="1"/>
  <c r="BA96" i="1"/>
  <c r="CX96" i="1"/>
  <c r="AY96" i="1" s="1"/>
  <c r="Z98" i="1"/>
  <c r="BH98" i="1"/>
  <c r="Z108" i="1"/>
  <c r="BH108" i="1"/>
  <c r="AK110" i="1"/>
  <c r="CX116" i="1"/>
  <c r="AY116" i="1" s="1"/>
  <c r="BA116" i="1" s="1"/>
  <c r="CX120" i="1"/>
  <c r="AY120" i="1" s="1"/>
  <c r="BA120" i="1" s="1"/>
  <c r="CX124" i="1"/>
  <c r="AY124" i="1" s="1"/>
  <c r="BA124" i="1" s="1"/>
  <c r="BA20" i="1"/>
  <c r="CX44" i="1"/>
  <c r="AY44" i="1" s="1"/>
  <c r="BA44" i="1" s="1"/>
  <c r="V44" i="1"/>
  <c r="Y17" i="1"/>
  <c r="AC17" i="1" s="1"/>
  <c r="AF17" i="1"/>
  <c r="AD23" i="1"/>
  <c r="L27" i="1"/>
  <c r="K27" i="1" s="1"/>
  <c r="W27" i="1" s="1"/>
  <c r="X27" i="1" s="1"/>
  <c r="Q27" i="1"/>
  <c r="M27" i="1"/>
  <c r="AZ27" i="1" s="1"/>
  <c r="BB27" i="1" s="1"/>
  <c r="AK27" i="1"/>
  <c r="BH28" i="1"/>
  <c r="BJ28" i="1"/>
  <c r="BI28" i="1"/>
  <c r="BM28" i="1" s="1"/>
  <c r="BN28" i="1" s="1"/>
  <c r="V35" i="1"/>
  <c r="CX35" i="1"/>
  <c r="AY35" i="1" s="1"/>
  <c r="L42" i="1"/>
  <c r="K42" i="1" s="1"/>
  <c r="AK42" i="1"/>
  <c r="N42" i="1"/>
  <c r="Q42" i="1"/>
  <c r="M42" i="1"/>
  <c r="AZ42" i="1" s="1"/>
  <c r="CX46" i="1"/>
  <c r="AY46" i="1" s="1"/>
  <c r="BA46" i="1" s="1"/>
  <c r="V46" i="1"/>
  <c r="W20" i="1"/>
  <c r="X20" i="1" s="1"/>
  <c r="T20" i="1" s="1"/>
  <c r="R20" i="1" s="1"/>
  <c r="U20" i="1" s="1"/>
  <c r="O20" i="1" s="1"/>
  <c r="P20" i="1" s="1"/>
  <c r="AD26" i="1"/>
  <c r="N28" i="1"/>
  <c r="AK28" i="1"/>
  <c r="Q28" i="1"/>
  <c r="L28" i="1"/>
  <c r="K28" i="1" s="1"/>
  <c r="N40" i="1"/>
  <c r="AK40" i="1"/>
  <c r="Q40" i="1"/>
  <c r="L40" i="1"/>
  <c r="K40" i="1" s="1"/>
  <c r="BA49" i="1"/>
  <c r="L57" i="1"/>
  <c r="K57" i="1" s="1"/>
  <c r="AK57" i="1"/>
  <c r="Q57" i="1"/>
  <c r="N57" i="1"/>
  <c r="M57" i="1"/>
  <c r="AZ57" i="1" s="1"/>
  <c r="AK17" i="1"/>
  <c r="Q17" i="1"/>
  <c r="N17" i="1"/>
  <c r="M17" i="1"/>
  <c r="AZ17" i="1" s="1"/>
  <c r="BB17" i="1" s="1"/>
  <c r="M18" i="1"/>
  <c r="AZ18" i="1" s="1"/>
  <c r="BB18" i="1" s="1"/>
  <c r="L18" i="1"/>
  <c r="K18" i="1" s="1"/>
  <c r="AK18" i="1"/>
  <c r="BA21" i="1"/>
  <c r="AD22" i="1"/>
  <c r="AE17" i="1"/>
  <c r="N34" i="1"/>
  <c r="Q34" i="1"/>
  <c r="M34" i="1"/>
  <c r="AZ34" i="1" s="1"/>
  <c r="BB34" i="1" s="1"/>
  <c r="L34" i="1"/>
  <c r="K34" i="1" s="1"/>
  <c r="AK34" i="1"/>
  <c r="CX34" i="1"/>
  <c r="AY34" i="1" s="1"/>
  <c r="BA34" i="1" s="1"/>
  <c r="V34" i="1"/>
  <c r="AD20" i="1"/>
  <c r="BI26" i="1"/>
  <c r="BM26" i="1" s="1"/>
  <c r="BN26" i="1" s="1"/>
  <c r="BH26" i="1"/>
  <c r="BJ26" i="1"/>
  <c r="BJ27" i="1"/>
  <c r="BI27" i="1"/>
  <c r="BM27" i="1" s="1"/>
  <c r="BN27" i="1" s="1"/>
  <c r="BH27" i="1"/>
  <c r="BB30" i="1"/>
  <c r="V31" i="1"/>
  <c r="CX31" i="1"/>
  <c r="AY31" i="1" s="1"/>
  <c r="BA31" i="1" s="1"/>
  <c r="M40" i="1"/>
  <c r="AZ40" i="1" s="1"/>
  <c r="CX30" i="1"/>
  <c r="AY30" i="1" s="1"/>
  <c r="BA30" i="1" s="1"/>
  <c r="V30" i="1"/>
  <c r="T17" i="1"/>
  <c r="R17" i="1" s="1"/>
  <c r="U17" i="1" s="1"/>
  <c r="BA17" i="1"/>
  <c r="AD21" i="1"/>
  <c r="BJ21" i="1"/>
  <c r="BI21" i="1"/>
  <c r="BM21" i="1" s="1"/>
  <c r="BN21" i="1" s="1"/>
  <c r="BH21" i="1"/>
  <c r="M29" i="1"/>
  <c r="AZ29" i="1" s="1"/>
  <c r="BB29" i="1" s="1"/>
  <c r="L29" i="1"/>
  <c r="K29" i="1" s="1"/>
  <c r="Q29" i="1"/>
  <c r="N29" i="1"/>
  <c r="AK29" i="1"/>
  <c r="N32" i="1"/>
  <c r="AK32" i="1"/>
  <c r="L32" i="1"/>
  <c r="K32" i="1" s="1"/>
  <c r="CX36" i="1"/>
  <c r="AY36" i="1" s="1"/>
  <c r="BA36" i="1" s="1"/>
  <c r="V36" i="1"/>
  <c r="N38" i="1"/>
  <c r="AK38" i="1"/>
  <c r="Q38" i="1"/>
  <c r="M38" i="1"/>
  <c r="AZ38" i="1" s="1"/>
  <c r="BB38" i="1" s="1"/>
  <c r="L38" i="1"/>
  <c r="K38" i="1" s="1"/>
  <c r="CX38" i="1"/>
  <c r="AY38" i="1" s="1"/>
  <c r="BA38" i="1" s="1"/>
  <c r="V38" i="1"/>
  <c r="V23" i="1"/>
  <c r="CX23" i="1"/>
  <c r="AY23" i="1" s="1"/>
  <c r="BB23" i="1" s="1"/>
  <c r="N27" i="1"/>
  <c r="BH32" i="1"/>
  <c r="BJ32" i="1"/>
  <c r="BI32" i="1"/>
  <c r="BM32" i="1" s="1"/>
  <c r="BN32" i="1" s="1"/>
  <c r="AG17" i="1"/>
  <c r="M33" i="1"/>
  <c r="AZ33" i="1" s="1"/>
  <c r="BB33" i="1" s="1"/>
  <c r="L33" i="1"/>
  <c r="K33" i="1" s="1"/>
  <c r="Q33" i="1"/>
  <c r="N33" i="1"/>
  <c r="AK33" i="1"/>
  <c r="AK65" i="1"/>
  <c r="L65" i="1"/>
  <c r="K65" i="1" s="1"/>
  <c r="N65" i="1"/>
  <c r="Q19" i="1"/>
  <c r="Q24" i="1"/>
  <c r="CX28" i="1"/>
  <c r="AY28" i="1" s="1"/>
  <c r="BA28" i="1" s="1"/>
  <c r="V28" i="1"/>
  <c r="N44" i="1"/>
  <c r="AK44" i="1"/>
  <c r="BB45" i="1"/>
  <c r="CX48" i="1"/>
  <c r="AY48" i="1" s="1"/>
  <c r="BA48" i="1" s="1"/>
  <c r="V48" i="1"/>
  <c r="N51" i="1"/>
  <c r="M51" i="1"/>
  <c r="AZ51" i="1" s="1"/>
  <c r="L51" i="1"/>
  <c r="K51" i="1" s="1"/>
  <c r="AK51" i="1"/>
  <c r="Q51" i="1"/>
  <c r="M65" i="1"/>
  <c r="AZ65" i="1" s="1"/>
  <c r="BB65" i="1" s="1"/>
  <c r="CX110" i="1"/>
  <c r="AY110" i="1" s="1"/>
  <c r="BA110" i="1" s="1"/>
  <c r="V110" i="1"/>
  <c r="Z32" i="1"/>
  <c r="BI34" i="1"/>
  <c r="BM34" i="1" s="1"/>
  <c r="BN34" i="1" s="1"/>
  <c r="BH34" i="1"/>
  <c r="L35" i="1"/>
  <c r="K35" i="1" s="1"/>
  <c r="Q35" i="1"/>
  <c r="Z38" i="1"/>
  <c r="N39" i="1"/>
  <c r="L39" i="1"/>
  <c r="K39" i="1" s="1"/>
  <c r="Q39" i="1"/>
  <c r="BH39" i="1"/>
  <c r="BJ39" i="1"/>
  <c r="CX42" i="1"/>
  <c r="AY42" i="1" s="1"/>
  <c r="BA42" i="1" s="1"/>
  <c r="V42" i="1"/>
  <c r="BA43" i="1"/>
  <c r="BI50" i="1"/>
  <c r="BM50" i="1" s="1"/>
  <c r="BN50" i="1" s="1"/>
  <c r="BH50" i="1"/>
  <c r="CX51" i="1"/>
  <c r="AY51" i="1" s="1"/>
  <c r="BA51" i="1" s="1"/>
  <c r="CX62" i="1"/>
  <c r="AY62" i="1" s="1"/>
  <c r="BA62" i="1" s="1"/>
  <c r="Q65" i="1"/>
  <c r="Y70" i="1"/>
  <c r="AC70" i="1" s="1"/>
  <c r="AF70" i="1"/>
  <c r="AE70" i="1"/>
  <c r="BI73" i="1"/>
  <c r="BM73" i="1" s="1"/>
  <c r="BN73" i="1" s="1"/>
  <c r="BH73" i="1"/>
  <c r="BJ73" i="1"/>
  <c r="Y68" i="1"/>
  <c r="AC68" i="1" s="1"/>
  <c r="AF68" i="1"/>
  <c r="AD79" i="1"/>
  <c r="L19" i="1"/>
  <c r="K19" i="1" s="1"/>
  <c r="V21" i="1"/>
  <c r="M22" i="1"/>
  <c r="AZ22" i="1" s="1"/>
  <c r="AK22" i="1"/>
  <c r="CX22" i="1"/>
  <c r="AY22" i="1" s="1"/>
  <c r="BA22" i="1" s="1"/>
  <c r="V22" i="1"/>
  <c r="BI23" i="1"/>
  <c r="BM23" i="1" s="1"/>
  <c r="BN23" i="1" s="1"/>
  <c r="CX24" i="1"/>
  <c r="AY24" i="1" s="1"/>
  <c r="BA24" i="1" s="1"/>
  <c r="V24" i="1"/>
  <c r="BA27" i="1"/>
  <c r="M35" i="1"/>
  <c r="AZ35" i="1" s="1"/>
  <c r="BB35" i="1" s="1"/>
  <c r="BI35" i="1"/>
  <c r="BM35" i="1" s="1"/>
  <c r="BN35" i="1" s="1"/>
  <c r="CX40" i="1"/>
  <c r="AY40" i="1" s="1"/>
  <c r="BA40" i="1" s="1"/>
  <c r="V40" i="1"/>
  <c r="BI46" i="1"/>
  <c r="BM46" i="1" s="1"/>
  <c r="BN46" i="1" s="1"/>
  <c r="BH46" i="1"/>
  <c r="N47" i="1"/>
  <c r="M47" i="1"/>
  <c r="AZ47" i="1" s="1"/>
  <c r="BB47" i="1" s="1"/>
  <c r="L47" i="1"/>
  <c r="K47" i="1" s="1"/>
  <c r="Q47" i="1"/>
  <c r="L50" i="1"/>
  <c r="K50" i="1" s="1"/>
  <c r="AK50" i="1"/>
  <c r="N50" i="1"/>
  <c r="BI57" i="1"/>
  <c r="BM57" i="1" s="1"/>
  <c r="BN57" i="1" s="1"/>
  <c r="BH57" i="1"/>
  <c r="BJ57" i="1"/>
  <c r="AK69" i="1"/>
  <c r="Q69" i="1"/>
  <c r="M69" i="1"/>
  <c r="AZ69" i="1" s="1"/>
  <c r="L69" i="1"/>
  <c r="K69" i="1" s="1"/>
  <c r="BJ52" i="1"/>
  <c r="BI52" i="1"/>
  <c r="BM52" i="1" s="1"/>
  <c r="BN52" i="1" s="1"/>
  <c r="BH52" i="1"/>
  <c r="BI61" i="1"/>
  <c r="BM61" i="1" s="1"/>
  <c r="BN61" i="1" s="1"/>
  <c r="BH61" i="1"/>
  <c r="BJ61" i="1"/>
  <c r="AD102" i="1"/>
  <c r="Q26" i="1"/>
  <c r="Z28" i="1"/>
  <c r="AK30" i="1"/>
  <c r="BI30" i="1"/>
  <c r="BM30" i="1" s="1"/>
  <c r="BN30" i="1" s="1"/>
  <c r="BH30" i="1"/>
  <c r="L31" i="1"/>
  <c r="K31" i="1" s="1"/>
  <c r="Q31" i="1"/>
  <c r="Z34" i="1"/>
  <c r="N35" i="1"/>
  <c r="N36" i="1"/>
  <c r="AK36" i="1"/>
  <c r="M37" i="1"/>
  <c r="AZ37" i="1" s="1"/>
  <c r="BB37" i="1" s="1"/>
  <c r="L37" i="1"/>
  <c r="K37" i="1" s="1"/>
  <c r="Z44" i="1"/>
  <c r="BA45" i="1"/>
  <c r="BJ46" i="1"/>
  <c r="AK47" i="1"/>
  <c r="BJ48" i="1"/>
  <c r="BI48" i="1"/>
  <c r="BM48" i="1" s="1"/>
  <c r="BN48" i="1" s="1"/>
  <c r="BH48" i="1"/>
  <c r="BA53" i="1"/>
  <c r="Q76" i="1"/>
  <c r="M76" i="1"/>
  <c r="AZ76" i="1" s="1"/>
  <c r="BB76" i="1" s="1"/>
  <c r="L76" i="1"/>
  <c r="K76" i="1" s="1"/>
  <c r="AK76" i="1"/>
  <c r="CX102" i="1"/>
  <c r="AY102" i="1" s="1"/>
  <c r="V102" i="1"/>
  <c r="N24" i="1"/>
  <c r="AK24" i="1"/>
  <c r="M25" i="1"/>
  <c r="AZ25" i="1" s="1"/>
  <c r="BB25" i="1" s="1"/>
  <c r="L25" i="1"/>
  <c r="K25" i="1" s="1"/>
  <c r="CX26" i="1"/>
  <c r="AY26" i="1" s="1"/>
  <c r="BA26" i="1" s="1"/>
  <c r="V26" i="1"/>
  <c r="BJ30" i="1"/>
  <c r="AK31" i="1"/>
  <c r="CX32" i="1"/>
  <c r="AY32" i="1" s="1"/>
  <c r="BA32" i="1" s="1"/>
  <c r="V32" i="1"/>
  <c r="BA35" i="1"/>
  <c r="BI38" i="1"/>
  <c r="BM38" i="1" s="1"/>
  <c r="BN38" i="1" s="1"/>
  <c r="BH38" i="1"/>
  <c r="BA39" i="1"/>
  <c r="BI42" i="1"/>
  <c r="BM42" i="1" s="1"/>
  <c r="BN42" i="1" s="1"/>
  <c r="BH42" i="1"/>
  <c r="N43" i="1"/>
  <c r="M43" i="1"/>
  <c r="AZ43" i="1" s="1"/>
  <c r="BB43" i="1" s="1"/>
  <c r="L43" i="1"/>
  <c r="K43" i="1" s="1"/>
  <c r="Q43" i="1"/>
  <c r="L44" i="1"/>
  <c r="K44" i="1" s="1"/>
  <c r="L46" i="1"/>
  <c r="K46" i="1" s="1"/>
  <c r="AK46" i="1"/>
  <c r="N46" i="1"/>
  <c r="CX50" i="1"/>
  <c r="AY50" i="1" s="1"/>
  <c r="BA50" i="1" s="1"/>
  <c r="V50" i="1"/>
  <c r="Z51" i="1"/>
  <c r="BB52" i="1"/>
  <c r="N54" i="1"/>
  <c r="M54" i="1"/>
  <c r="AZ54" i="1" s="1"/>
  <c r="L54" i="1"/>
  <c r="K54" i="1" s="1"/>
  <c r="AK54" i="1"/>
  <c r="CX61" i="1"/>
  <c r="AY61" i="1" s="1"/>
  <c r="V61" i="1"/>
  <c r="T68" i="1"/>
  <c r="R68" i="1" s="1"/>
  <c r="U68" i="1" s="1"/>
  <c r="AD68" i="1"/>
  <c r="Z20" i="1"/>
  <c r="Q22" i="1"/>
  <c r="BJ22" i="1"/>
  <c r="BI24" i="1"/>
  <c r="BM24" i="1" s="1"/>
  <c r="BN24" i="1" s="1"/>
  <c r="AK25" i="1"/>
  <c r="L30" i="1"/>
  <c r="K30" i="1" s="1"/>
  <c r="M31" i="1"/>
  <c r="AZ31" i="1" s="1"/>
  <c r="BB31" i="1" s="1"/>
  <c r="BI31" i="1"/>
  <c r="BM31" i="1" s="1"/>
  <c r="BN31" i="1" s="1"/>
  <c r="Z36" i="1"/>
  <c r="BJ36" i="1"/>
  <c r="N37" i="1"/>
  <c r="BJ38" i="1"/>
  <c r="M39" i="1"/>
  <c r="AZ39" i="1" s="1"/>
  <c r="CX39" i="1"/>
  <c r="AY39" i="1" s="1"/>
  <c r="V39" i="1"/>
  <c r="BJ40" i="1"/>
  <c r="BH40" i="1"/>
  <c r="BA41" i="1"/>
  <c r="BJ42" i="1"/>
  <c r="AK43" i="1"/>
  <c r="M44" i="1"/>
  <c r="AZ44" i="1" s="1"/>
  <c r="BB44" i="1" s="1"/>
  <c r="BJ44" i="1"/>
  <c r="BI44" i="1"/>
  <c r="BM44" i="1" s="1"/>
  <c r="BN44" i="1" s="1"/>
  <c r="BH44" i="1"/>
  <c r="N48" i="1"/>
  <c r="AK48" i="1"/>
  <c r="BB49" i="1"/>
  <c r="BH51" i="1"/>
  <c r="BJ51" i="1"/>
  <c r="BI51" i="1"/>
  <c r="BM51" i="1" s="1"/>
  <c r="BN51" i="1" s="1"/>
  <c r="AE52" i="1"/>
  <c r="BJ53" i="1"/>
  <c r="BI53" i="1"/>
  <c r="BM53" i="1" s="1"/>
  <c r="BN53" i="1" s="1"/>
  <c r="BH53" i="1"/>
  <c r="CX57" i="1"/>
  <c r="AY57" i="1" s="1"/>
  <c r="V57" i="1"/>
  <c r="L61" i="1"/>
  <c r="K61" i="1" s="1"/>
  <c r="AK61" i="1"/>
  <c r="Q61" i="1"/>
  <c r="N61" i="1"/>
  <c r="M61" i="1"/>
  <c r="AZ61" i="1" s="1"/>
  <c r="BB61" i="1" s="1"/>
  <c r="Z63" i="1"/>
  <c r="BA64" i="1"/>
  <c r="N69" i="1"/>
  <c r="CX69" i="1"/>
  <c r="AY69" i="1" s="1"/>
  <c r="BA69" i="1" s="1"/>
  <c r="V69" i="1"/>
  <c r="L41" i="1"/>
  <c r="K41" i="1" s="1"/>
  <c r="BJ43" i="1"/>
  <c r="L45" i="1"/>
  <c r="K45" i="1" s="1"/>
  <c r="BJ47" i="1"/>
  <c r="L49" i="1"/>
  <c r="K49" i="1" s="1"/>
  <c r="W49" i="1" s="1"/>
  <c r="X49" i="1" s="1"/>
  <c r="N52" i="1"/>
  <c r="CX54" i="1"/>
  <c r="AY54" i="1" s="1"/>
  <c r="BA54" i="1" s="1"/>
  <c r="BI65" i="1"/>
  <c r="BM65" i="1" s="1"/>
  <c r="BN65" i="1" s="1"/>
  <c r="BJ65" i="1"/>
  <c r="BH65" i="1"/>
  <c r="BA70" i="1"/>
  <c r="Q52" i="1"/>
  <c r="Z55" i="1"/>
  <c r="BI67" i="1"/>
  <c r="BM67" i="1" s="1"/>
  <c r="BN67" i="1" s="1"/>
  <c r="BJ67" i="1"/>
  <c r="BH67" i="1"/>
  <c r="AE68" i="1"/>
  <c r="M74" i="1"/>
  <c r="AZ74" i="1" s="1"/>
  <c r="BB74" i="1" s="1"/>
  <c r="AK74" i="1"/>
  <c r="Q74" i="1"/>
  <c r="N74" i="1"/>
  <c r="W87" i="1"/>
  <c r="X87" i="1" s="1"/>
  <c r="L55" i="1"/>
  <c r="K55" i="1" s="1"/>
  <c r="Q56" i="1"/>
  <c r="M56" i="1"/>
  <c r="AZ56" i="1" s="1"/>
  <c r="BB56" i="1" s="1"/>
  <c r="L56" i="1"/>
  <c r="K56" i="1" s="1"/>
  <c r="BA57" i="1"/>
  <c r="Q60" i="1"/>
  <c r="M60" i="1"/>
  <c r="AZ60" i="1" s="1"/>
  <c r="BB60" i="1" s="1"/>
  <c r="L60" i="1"/>
  <c r="K60" i="1" s="1"/>
  <c r="W60" i="1" s="1"/>
  <c r="X60" i="1" s="1"/>
  <c r="BA61" i="1"/>
  <c r="W63" i="1"/>
  <c r="X63" i="1" s="1"/>
  <c r="AK67" i="1"/>
  <c r="N67" i="1"/>
  <c r="M67" i="1"/>
  <c r="AZ67" i="1" s="1"/>
  <c r="BB67" i="1" s="1"/>
  <c r="L67" i="1"/>
  <c r="K67" i="1" s="1"/>
  <c r="W67" i="1" s="1"/>
  <c r="X67" i="1" s="1"/>
  <c r="W52" i="1"/>
  <c r="X52" i="1" s="1"/>
  <c r="L53" i="1"/>
  <c r="K53" i="1" s="1"/>
  <c r="AK53" i="1"/>
  <c r="Q53" i="1"/>
  <c r="N55" i="1"/>
  <c r="M55" i="1"/>
  <c r="AZ55" i="1" s="1"/>
  <c r="BB55" i="1" s="1"/>
  <c r="N59" i="1"/>
  <c r="M59" i="1"/>
  <c r="AZ59" i="1" s="1"/>
  <c r="BB59" i="1" s="1"/>
  <c r="AK59" i="1"/>
  <c r="N63" i="1"/>
  <c r="M63" i="1"/>
  <c r="AZ63" i="1" s="1"/>
  <c r="BB63" i="1" s="1"/>
  <c r="AK63" i="1"/>
  <c r="Q64" i="1"/>
  <c r="M64" i="1"/>
  <c r="AZ64" i="1" s="1"/>
  <c r="BB64" i="1" s="1"/>
  <c r="L64" i="1"/>
  <c r="K64" i="1" s="1"/>
  <c r="W64" i="1" s="1"/>
  <c r="X64" i="1" s="1"/>
  <c r="T70" i="1"/>
  <c r="R70" i="1" s="1"/>
  <c r="U70" i="1" s="1"/>
  <c r="O70" i="1" s="1"/>
  <c r="P70" i="1" s="1"/>
  <c r="AD70" i="1"/>
  <c r="AG70" i="1" s="1"/>
  <c r="M70" i="1"/>
  <c r="AZ70" i="1" s="1"/>
  <c r="BB70" i="1" s="1"/>
  <c r="AK70" i="1"/>
  <c r="Q70" i="1"/>
  <c r="N70" i="1"/>
  <c r="L81" i="1"/>
  <c r="K81" i="1" s="1"/>
  <c r="N81" i="1"/>
  <c r="M81" i="1"/>
  <c r="AZ81" i="1" s="1"/>
  <c r="AK81" i="1"/>
  <c r="Q81" i="1"/>
  <c r="V43" i="1"/>
  <c r="V47" i="1"/>
  <c r="N58" i="1"/>
  <c r="M58" i="1"/>
  <c r="AZ58" i="1" s="1"/>
  <c r="BB58" i="1" s="1"/>
  <c r="L58" i="1"/>
  <c r="K58" i="1" s="1"/>
  <c r="AK58" i="1"/>
  <c r="Q58" i="1"/>
  <c r="Q59" i="1"/>
  <c r="N62" i="1"/>
  <c r="M62" i="1"/>
  <c r="AZ62" i="1" s="1"/>
  <c r="BB62" i="1" s="1"/>
  <c r="L62" i="1"/>
  <c r="K62" i="1" s="1"/>
  <c r="AK62" i="1"/>
  <c r="Q62" i="1"/>
  <c r="Q63" i="1"/>
  <c r="N64" i="1"/>
  <c r="M66" i="1"/>
  <c r="AZ66" i="1" s="1"/>
  <c r="BB66" i="1" s="1"/>
  <c r="Q66" i="1"/>
  <c r="AK66" i="1"/>
  <c r="N66" i="1"/>
  <c r="L66" i="1"/>
  <c r="K66" i="1" s="1"/>
  <c r="Q68" i="1"/>
  <c r="M68" i="1"/>
  <c r="AZ68" i="1" s="1"/>
  <c r="BB68" i="1" s="1"/>
  <c r="AK68" i="1"/>
  <c r="N68" i="1"/>
  <c r="AK73" i="1"/>
  <c r="Q73" i="1"/>
  <c r="N73" i="1"/>
  <c r="M73" i="1"/>
  <c r="AZ73" i="1" s="1"/>
  <c r="AK77" i="1"/>
  <c r="Q77" i="1"/>
  <c r="N77" i="1"/>
  <c r="L77" i="1"/>
  <c r="K77" i="1" s="1"/>
  <c r="CX77" i="1"/>
  <c r="AY77" i="1" s="1"/>
  <c r="BA77" i="1" s="1"/>
  <c r="V77" i="1"/>
  <c r="M78" i="1"/>
  <c r="AZ78" i="1" s="1"/>
  <c r="BB78" i="1" s="1"/>
  <c r="AK78" i="1"/>
  <c r="Q78" i="1"/>
  <c r="BA80" i="1"/>
  <c r="BI84" i="1"/>
  <c r="BM84" i="1" s="1"/>
  <c r="BN84" i="1" s="1"/>
  <c r="BJ84" i="1"/>
  <c r="BH84" i="1"/>
  <c r="BA66" i="1"/>
  <c r="M71" i="1"/>
  <c r="AZ71" i="1" s="1"/>
  <c r="BB71" i="1" s="1"/>
  <c r="AK71" i="1"/>
  <c r="CX86" i="1"/>
  <c r="AY86" i="1" s="1"/>
  <c r="BA86" i="1" s="1"/>
  <c r="V86" i="1"/>
  <c r="BI56" i="1"/>
  <c r="BM56" i="1" s="1"/>
  <c r="BN56" i="1" s="1"/>
  <c r="BI60" i="1"/>
  <c r="BM60" i="1" s="1"/>
  <c r="BN60" i="1" s="1"/>
  <c r="BI64" i="1"/>
  <c r="BM64" i="1" s="1"/>
  <c r="BN64" i="1" s="1"/>
  <c r="L71" i="1"/>
  <c r="K71" i="1" s="1"/>
  <c r="AE75" i="1"/>
  <c r="W76" i="1"/>
  <c r="X76" i="1" s="1"/>
  <c r="AE76" i="1" s="1"/>
  <c r="BI77" i="1"/>
  <c r="BM77" i="1" s="1"/>
  <c r="BN77" i="1" s="1"/>
  <c r="BH77" i="1"/>
  <c r="L78" i="1"/>
  <c r="K78" i="1" s="1"/>
  <c r="BA78" i="1"/>
  <c r="BJ80" i="1"/>
  <c r="BI80" i="1"/>
  <c r="BM80" i="1" s="1"/>
  <c r="BN80" i="1" s="1"/>
  <c r="AD86" i="1"/>
  <c r="V51" i="1"/>
  <c r="V55" i="1"/>
  <c r="BH55" i="1"/>
  <c r="V59" i="1"/>
  <c r="BH59" i="1"/>
  <c r="N71" i="1"/>
  <c r="CX73" i="1"/>
  <c r="AY73" i="1" s="1"/>
  <c r="BA73" i="1" s="1"/>
  <c r="V73" i="1"/>
  <c r="BJ77" i="1"/>
  <c r="N78" i="1"/>
  <c r="BH80" i="1"/>
  <c r="M83" i="1"/>
  <c r="AZ83" i="1" s="1"/>
  <c r="BB83" i="1" s="1"/>
  <c r="AK83" i="1"/>
  <c r="N83" i="1"/>
  <c r="L83" i="1"/>
  <c r="K83" i="1" s="1"/>
  <c r="T87" i="1"/>
  <c r="R87" i="1" s="1"/>
  <c r="U87" i="1" s="1"/>
  <c r="O87" i="1" s="1"/>
  <c r="P87" i="1" s="1"/>
  <c r="AD87" i="1"/>
  <c r="AD91" i="1"/>
  <c r="W91" i="1"/>
  <c r="X91" i="1" s="1"/>
  <c r="W75" i="1"/>
  <c r="X75" i="1" s="1"/>
  <c r="T75" i="1" s="1"/>
  <c r="R75" i="1" s="1"/>
  <c r="U75" i="1" s="1"/>
  <c r="O75" i="1" s="1"/>
  <c r="P75" i="1" s="1"/>
  <c r="M75" i="1"/>
  <c r="AZ75" i="1" s="1"/>
  <c r="BB75" i="1" s="1"/>
  <c r="AK75" i="1"/>
  <c r="AE79" i="1"/>
  <c r="N79" i="1"/>
  <c r="M79" i="1"/>
  <c r="AZ79" i="1" s="1"/>
  <c r="BB79" i="1" s="1"/>
  <c r="AK79" i="1"/>
  <c r="W79" i="1"/>
  <c r="X79" i="1" s="1"/>
  <c r="T79" i="1" s="1"/>
  <c r="R79" i="1" s="1"/>
  <c r="U79" i="1" s="1"/>
  <c r="CX81" i="1"/>
  <c r="AY81" i="1" s="1"/>
  <c r="BA81" i="1" s="1"/>
  <c r="Q83" i="1"/>
  <c r="BA91" i="1"/>
  <c r="V54" i="1"/>
  <c r="V58" i="1"/>
  <c r="BA68" i="1"/>
  <c r="Q71" i="1"/>
  <c r="Q72" i="1"/>
  <c r="M72" i="1"/>
  <c r="AZ72" i="1" s="1"/>
  <c r="BB72" i="1" s="1"/>
  <c r="L72" i="1"/>
  <c r="K72" i="1" s="1"/>
  <c r="W72" i="1" s="1"/>
  <c r="X72" i="1" s="1"/>
  <c r="W74" i="1"/>
  <c r="X74" i="1" s="1"/>
  <c r="T74" i="1" s="1"/>
  <c r="R74" i="1" s="1"/>
  <c r="U74" i="1" s="1"/>
  <c r="O74" i="1" s="1"/>
  <c r="P74" i="1" s="1"/>
  <c r="BA76" i="1"/>
  <c r="AK80" i="1"/>
  <c r="Q80" i="1"/>
  <c r="M80" i="1"/>
  <c r="AZ80" i="1" s="1"/>
  <c r="BB80" i="1" s="1"/>
  <c r="L80" i="1"/>
  <c r="K80" i="1" s="1"/>
  <c r="W80" i="1" s="1"/>
  <c r="X80" i="1" s="1"/>
  <c r="BH82" i="1"/>
  <c r="BJ82" i="1"/>
  <c r="BI82" i="1"/>
  <c r="BM82" i="1" s="1"/>
  <c r="BN82" i="1" s="1"/>
  <c r="N82" i="1"/>
  <c r="AK82" i="1"/>
  <c r="CX82" i="1"/>
  <c r="AY82" i="1" s="1"/>
  <c r="BA82" i="1" s="1"/>
  <c r="V82" i="1"/>
  <c r="AK91" i="1"/>
  <c r="Q91" i="1"/>
  <c r="N91" i="1"/>
  <c r="M91" i="1"/>
  <c r="AZ91" i="1" s="1"/>
  <c r="BB91" i="1" s="1"/>
  <c r="Q94" i="1"/>
  <c r="N94" i="1"/>
  <c r="L94" i="1"/>
  <c r="K94" i="1" s="1"/>
  <c r="AK94" i="1"/>
  <c r="BI99" i="1"/>
  <c r="BM99" i="1" s="1"/>
  <c r="BN99" i="1" s="1"/>
  <c r="BH99" i="1"/>
  <c r="BJ99" i="1"/>
  <c r="Q109" i="1"/>
  <c r="N109" i="1"/>
  <c r="M109" i="1"/>
  <c r="AZ109" i="1" s="1"/>
  <c r="BB109" i="1" s="1"/>
  <c r="L109" i="1"/>
  <c r="K109" i="1" s="1"/>
  <c r="AK109" i="1"/>
  <c r="BB110" i="1"/>
  <c r="Q82" i="1"/>
  <c r="L84" i="1"/>
  <c r="K84" i="1" s="1"/>
  <c r="AK84" i="1"/>
  <c r="N85" i="1"/>
  <c r="M85" i="1"/>
  <c r="AZ85" i="1" s="1"/>
  <c r="BB85" i="1" s="1"/>
  <c r="L85" i="1"/>
  <c r="K85" i="1" s="1"/>
  <c r="Q85" i="1"/>
  <c r="M88" i="1"/>
  <c r="AZ88" i="1" s="1"/>
  <c r="BB88" i="1" s="1"/>
  <c r="L88" i="1"/>
  <c r="K88" i="1" s="1"/>
  <c r="W88" i="1" s="1"/>
  <c r="X88" i="1" s="1"/>
  <c r="AK88" i="1"/>
  <c r="BJ90" i="1"/>
  <c r="BI90" i="1"/>
  <c r="BM90" i="1" s="1"/>
  <c r="BN90" i="1" s="1"/>
  <c r="BH90" i="1"/>
  <c r="M92" i="1"/>
  <c r="AZ92" i="1" s="1"/>
  <c r="BB92" i="1" s="1"/>
  <c r="L92" i="1"/>
  <c r="K92" i="1" s="1"/>
  <c r="AK92" i="1"/>
  <c r="CX94" i="1"/>
  <c r="AY94" i="1" s="1"/>
  <c r="V94" i="1"/>
  <c r="W95" i="1"/>
  <c r="X95" i="1" s="1"/>
  <c r="Q101" i="1"/>
  <c r="N101" i="1"/>
  <c r="M101" i="1"/>
  <c r="AZ101" i="1" s="1"/>
  <c r="BB101" i="1" s="1"/>
  <c r="L101" i="1"/>
  <c r="K101" i="1" s="1"/>
  <c r="AK101" i="1"/>
  <c r="BB102" i="1"/>
  <c r="N104" i="1"/>
  <c r="M104" i="1"/>
  <c r="AZ104" i="1" s="1"/>
  <c r="BB104" i="1" s="1"/>
  <c r="L104" i="1"/>
  <c r="K104" i="1" s="1"/>
  <c r="AK104" i="1"/>
  <c r="Q104" i="1"/>
  <c r="BJ86" i="1"/>
  <c r="BI86" i="1"/>
  <c r="BM86" i="1" s="1"/>
  <c r="BN86" i="1" s="1"/>
  <c r="BH86" i="1"/>
  <c r="Q90" i="1"/>
  <c r="N90" i="1"/>
  <c r="L90" i="1"/>
  <c r="K90" i="1" s="1"/>
  <c r="AK90" i="1"/>
  <c r="W92" i="1"/>
  <c r="X92" i="1" s="1"/>
  <c r="Q86" i="1"/>
  <c r="N86" i="1"/>
  <c r="AK86" i="1"/>
  <c r="CX90" i="1"/>
  <c r="AY90" i="1" s="1"/>
  <c r="V90" i="1"/>
  <c r="AD97" i="1"/>
  <c r="T97" i="1"/>
  <c r="R97" i="1" s="1"/>
  <c r="U97" i="1" s="1"/>
  <c r="BJ102" i="1"/>
  <c r="BI102" i="1"/>
  <c r="BM102" i="1" s="1"/>
  <c r="BN102" i="1" s="1"/>
  <c r="BH102" i="1"/>
  <c r="L82" i="1"/>
  <c r="K82" i="1" s="1"/>
  <c r="Q84" i="1"/>
  <c r="BA85" i="1"/>
  <c r="AK87" i="1"/>
  <c r="Q87" i="1"/>
  <c r="M87" i="1"/>
  <c r="AZ87" i="1" s="1"/>
  <c r="BB87" i="1" s="1"/>
  <c r="N88" i="1"/>
  <c r="AK95" i="1"/>
  <c r="Q95" i="1"/>
  <c r="N95" i="1"/>
  <c r="M95" i="1"/>
  <c r="AZ95" i="1" s="1"/>
  <c r="BB95" i="1" s="1"/>
  <c r="BJ94" i="1"/>
  <c r="BI94" i="1"/>
  <c r="BM94" i="1" s="1"/>
  <c r="BN94" i="1" s="1"/>
  <c r="BH94" i="1"/>
  <c r="M96" i="1"/>
  <c r="AZ96" i="1" s="1"/>
  <c r="BB96" i="1" s="1"/>
  <c r="L96" i="1"/>
  <c r="K96" i="1" s="1"/>
  <c r="AK96" i="1"/>
  <c r="Q98" i="1"/>
  <c r="M98" i="1"/>
  <c r="AZ98" i="1" s="1"/>
  <c r="BB98" i="1" s="1"/>
  <c r="L98" i="1"/>
  <c r="K98" i="1" s="1"/>
  <c r="N98" i="1"/>
  <c r="AK98" i="1"/>
  <c r="Q89" i="1"/>
  <c r="Q93" i="1"/>
  <c r="CX103" i="1"/>
  <c r="AY103" i="1" s="1"/>
  <c r="BA103" i="1" s="1"/>
  <c r="BA105" i="1"/>
  <c r="L89" i="1"/>
  <c r="K89" i="1" s="1"/>
  <c r="W89" i="1" s="1"/>
  <c r="X89" i="1" s="1"/>
  <c r="L93" i="1"/>
  <c r="K93" i="1" s="1"/>
  <c r="M97" i="1"/>
  <c r="AZ97" i="1" s="1"/>
  <c r="BB97" i="1" s="1"/>
  <c r="AK97" i="1"/>
  <c r="BJ106" i="1"/>
  <c r="BI106" i="1"/>
  <c r="BM106" i="1" s="1"/>
  <c r="BN106" i="1" s="1"/>
  <c r="BH106" i="1"/>
  <c r="M89" i="1"/>
  <c r="AZ89" i="1" s="1"/>
  <c r="BB89" i="1" s="1"/>
  <c r="M93" i="1"/>
  <c r="AZ93" i="1" s="1"/>
  <c r="BB93" i="1" s="1"/>
  <c r="AE97" i="1"/>
  <c r="AD99" i="1"/>
  <c r="CX100" i="1"/>
  <c r="AY100" i="1" s="1"/>
  <c r="BA100" i="1" s="1"/>
  <c r="BA101" i="1"/>
  <c r="CX107" i="1"/>
  <c r="AY107" i="1" s="1"/>
  <c r="BA107" i="1" s="1"/>
  <c r="BA109" i="1"/>
  <c r="AD115" i="1"/>
  <c r="V85" i="1"/>
  <c r="W98" i="1"/>
  <c r="X98" i="1" s="1"/>
  <c r="BA102" i="1"/>
  <c r="W104" i="1"/>
  <c r="X104" i="1" s="1"/>
  <c r="W97" i="1"/>
  <c r="X97" i="1" s="1"/>
  <c r="CX99" i="1"/>
  <c r="AY99" i="1" s="1"/>
  <c r="BA99" i="1" s="1"/>
  <c r="V99" i="1"/>
  <c r="Q105" i="1"/>
  <c r="N105" i="1"/>
  <c r="M105" i="1"/>
  <c r="AZ105" i="1" s="1"/>
  <c r="BB105" i="1" s="1"/>
  <c r="L105" i="1"/>
  <c r="K105" i="1" s="1"/>
  <c r="AD106" i="1"/>
  <c r="CX106" i="1"/>
  <c r="AY106" i="1" s="1"/>
  <c r="BA106" i="1" s="1"/>
  <c r="V106" i="1"/>
  <c r="N108" i="1"/>
  <c r="M108" i="1"/>
  <c r="AZ108" i="1" s="1"/>
  <c r="BB108" i="1" s="1"/>
  <c r="L108" i="1"/>
  <c r="K108" i="1" s="1"/>
  <c r="AK108" i="1"/>
  <c r="BH111" i="1"/>
  <c r="BJ111" i="1"/>
  <c r="CX114" i="1"/>
  <c r="AY114" i="1" s="1"/>
  <c r="BA114" i="1" s="1"/>
  <c r="V114" i="1"/>
  <c r="BB119" i="1"/>
  <c r="Q121" i="1"/>
  <c r="N121" i="1"/>
  <c r="M121" i="1"/>
  <c r="AZ121" i="1" s="1"/>
  <c r="BB121" i="1" s="1"/>
  <c r="L121" i="1"/>
  <c r="K121" i="1" s="1"/>
  <c r="CX122" i="1"/>
  <c r="AY122" i="1" s="1"/>
  <c r="BA122" i="1" s="1"/>
  <c r="V122" i="1"/>
  <c r="BJ126" i="1"/>
  <c r="BI126" i="1"/>
  <c r="BM126" i="1" s="1"/>
  <c r="BN126" i="1" s="1"/>
  <c r="BH126" i="1"/>
  <c r="Q100" i="1"/>
  <c r="Q103" i="1"/>
  <c r="Q107" i="1"/>
  <c r="Z110" i="1"/>
  <c r="BI110" i="1"/>
  <c r="BM110" i="1" s="1"/>
  <c r="BN110" i="1" s="1"/>
  <c r="BI111" i="1"/>
  <c r="BM111" i="1" s="1"/>
  <c r="BN111" i="1" s="1"/>
  <c r="CX112" i="1"/>
  <c r="AY112" i="1" s="1"/>
  <c r="BA112" i="1" s="1"/>
  <c r="V112" i="1"/>
  <c r="BJ113" i="1"/>
  <c r="BH113" i="1"/>
  <c r="AD119" i="1"/>
  <c r="L122" i="1"/>
  <c r="K122" i="1" s="1"/>
  <c r="AK122" i="1"/>
  <c r="Q122" i="1"/>
  <c r="N122" i="1"/>
  <c r="AD111" i="1"/>
  <c r="BB114" i="1"/>
  <c r="BJ118" i="1"/>
  <c r="BI118" i="1"/>
  <c r="BM118" i="1" s="1"/>
  <c r="BN118" i="1" s="1"/>
  <c r="BH118" i="1"/>
  <c r="Q99" i="1"/>
  <c r="AK100" i="1"/>
  <c r="W101" i="1"/>
  <c r="X101" i="1" s="1"/>
  <c r="AE101" i="1" s="1"/>
  <c r="Q102" i="1"/>
  <c r="AK103" i="1"/>
  <c r="W105" i="1"/>
  <c r="X105" i="1" s="1"/>
  <c r="Q106" i="1"/>
  <c r="AK107" i="1"/>
  <c r="W109" i="1"/>
  <c r="X109" i="1" s="1"/>
  <c r="CX115" i="1"/>
  <c r="AY115" i="1" s="1"/>
  <c r="BA115" i="1" s="1"/>
  <c r="BB123" i="1"/>
  <c r="Q125" i="1"/>
  <c r="N125" i="1"/>
  <c r="M125" i="1"/>
  <c r="AZ125" i="1" s="1"/>
  <c r="BB125" i="1" s="1"/>
  <c r="L125" i="1"/>
  <c r="K125" i="1" s="1"/>
  <c r="CX126" i="1"/>
  <c r="AY126" i="1" s="1"/>
  <c r="BA126" i="1" s="1"/>
  <c r="V126" i="1"/>
  <c r="L100" i="1"/>
  <c r="K100" i="1" s="1"/>
  <c r="L103" i="1"/>
  <c r="K103" i="1" s="1"/>
  <c r="L107" i="1"/>
  <c r="K107" i="1" s="1"/>
  <c r="BJ112" i="1"/>
  <c r="BH112" i="1"/>
  <c r="BJ114" i="1"/>
  <c r="BH114" i="1"/>
  <c r="AD123" i="1"/>
  <c r="L126" i="1"/>
  <c r="K126" i="1" s="1"/>
  <c r="AK126" i="1"/>
  <c r="Q126" i="1"/>
  <c r="N126" i="1"/>
  <c r="N127" i="1"/>
  <c r="M127" i="1"/>
  <c r="AZ127" i="1" s="1"/>
  <c r="BB127" i="1" s="1"/>
  <c r="L127" i="1"/>
  <c r="K127" i="1" s="1"/>
  <c r="AK127" i="1"/>
  <c r="Q127" i="1"/>
  <c r="BI97" i="1"/>
  <c r="BM97" i="1" s="1"/>
  <c r="BN97" i="1" s="1"/>
  <c r="AK99" i="1"/>
  <c r="M100" i="1"/>
  <c r="AZ100" i="1" s="1"/>
  <c r="BB100" i="1" s="1"/>
  <c r="AK102" i="1"/>
  <c r="M103" i="1"/>
  <c r="AZ103" i="1" s="1"/>
  <c r="BI104" i="1"/>
  <c r="BM104" i="1" s="1"/>
  <c r="BN104" i="1" s="1"/>
  <c r="AK106" i="1"/>
  <c r="M107" i="1"/>
  <c r="AZ107" i="1" s="1"/>
  <c r="BB107" i="1" s="1"/>
  <c r="BI108" i="1"/>
  <c r="BM108" i="1" s="1"/>
  <c r="BN108" i="1" s="1"/>
  <c r="CX111" i="1"/>
  <c r="AY111" i="1" s="1"/>
  <c r="BA111" i="1" s="1"/>
  <c r="V111" i="1"/>
  <c r="BI112" i="1"/>
  <c r="BM112" i="1" s="1"/>
  <c r="BN112" i="1" s="1"/>
  <c r="BI114" i="1"/>
  <c r="BM114" i="1" s="1"/>
  <c r="BN114" i="1" s="1"/>
  <c r="N116" i="1"/>
  <c r="M116" i="1"/>
  <c r="AZ116" i="1" s="1"/>
  <c r="BB116" i="1" s="1"/>
  <c r="L116" i="1"/>
  <c r="K116" i="1" s="1"/>
  <c r="AK116" i="1"/>
  <c r="Q117" i="1"/>
  <c r="N117" i="1"/>
  <c r="M117" i="1"/>
  <c r="AZ117" i="1" s="1"/>
  <c r="BB117" i="1" s="1"/>
  <c r="L117" i="1"/>
  <c r="K117" i="1" s="1"/>
  <c r="CX118" i="1"/>
  <c r="AY118" i="1" s="1"/>
  <c r="BA118" i="1" s="1"/>
  <c r="V118" i="1"/>
  <c r="BJ122" i="1"/>
  <c r="BI122" i="1"/>
  <c r="BM122" i="1" s="1"/>
  <c r="BN122" i="1" s="1"/>
  <c r="BH122" i="1"/>
  <c r="V103" i="1"/>
  <c r="V107" i="1"/>
  <c r="L110" i="1"/>
  <c r="K110" i="1" s="1"/>
  <c r="N112" i="1"/>
  <c r="L112" i="1"/>
  <c r="K112" i="1" s="1"/>
  <c r="CX113" i="1"/>
  <c r="AY113" i="1" s="1"/>
  <c r="BA113" i="1" s="1"/>
  <c r="V113" i="1"/>
  <c r="L114" i="1"/>
  <c r="K114" i="1" s="1"/>
  <c r="AK114" i="1"/>
  <c r="N114" i="1"/>
  <c r="L118" i="1"/>
  <c r="K118" i="1" s="1"/>
  <c r="AK118" i="1"/>
  <c r="Q118" i="1"/>
  <c r="N118" i="1"/>
  <c r="M126" i="1"/>
  <c r="AZ126" i="1" s="1"/>
  <c r="BB126" i="1" s="1"/>
  <c r="L113" i="1"/>
  <c r="K113" i="1" s="1"/>
  <c r="BJ115" i="1"/>
  <c r="BJ119" i="1"/>
  <c r="BJ123" i="1"/>
  <c r="AK128" i="1"/>
  <c r="V117" i="1"/>
  <c r="BH117" i="1"/>
  <c r="L120" i="1"/>
  <c r="K120" i="1" s="1"/>
  <c r="V121" i="1"/>
  <c r="BH121" i="1"/>
  <c r="L124" i="1"/>
  <c r="K124" i="1" s="1"/>
  <c r="V125" i="1"/>
  <c r="BH125" i="1"/>
  <c r="L128" i="1"/>
  <c r="K128" i="1" s="1"/>
  <c r="W128" i="1" s="1"/>
  <c r="X128" i="1" s="1"/>
  <c r="BI117" i="1"/>
  <c r="BM117" i="1" s="1"/>
  <c r="BN117" i="1" s="1"/>
  <c r="BI121" i="1"/>
  <c r="BM121" i="1" s="1"/>
  <c r="BN121" i="1" s="1"/>
  <c r="BI125" i="1"/>
  <c r="BM125" i="1" s="1"/>
  <c r="BN125" i="1" s="1"/>
  <c r="M128" i="1"/>
  <c r="AZ128" i="1" s="1"/>
  <c r="BB128" i="1" s="1"/>
  <c r="V116" i="1"/>
  <c r="BH116" i="1"/>
  <c r="V120" i="1"/>
  <c r="BH120" i="1"/>
  <c r="V124" i="1"/>
  <c r="BH124" i="1"/>
  <c r="BI116" i="1"/>
  <c r="BM116" i="1" s="1"/>
  <c r="BN116" i="1" s="1"/>
  <c r="BI120" i="1"/>
  <c r="BM120" i="1" s="1"/>
  <c r="BN120" i="1" s="1"/>
  <c r="BI124" i="1"/>
  <c r="BM124" i="1" s="1"/>
  <c r="BN124" i="1" s="1"/>
  <c r="V115" i="1"/>
  <c r="V119" i="1"/>
  <c r="V123" i="1"/>
  <c r="BB120" i="1" l="1"/>
  <c r="BB32" i="1"/>
  <c r="AG68" i="1"/>
  <c r="BB51" i="1"/>
  <c r="BB41" i="1"/>
  <c r="BB111" i="1"/>
  <c r="BB36" i="1"/>
  <c r="O79" i="1"/>
  <c r="P79" i="1" s="1"/>
  <c r="BB39" i="1"/>
  <c r="BB46" i="1"/>
  <c r="BB81" i="1"/>
  <c r="BB28" i="1"/>
  <c r="BB124" i="1"/>
  <c r="BB99" i="1"/>
  <c r="BB50" i="1"/>
  <c r="AF128" i="1"/>
  <c r="Y128" i="1"/>
  <c r="AC128" i="1" s="1"/>
  <c r="AE128" i="1"/>
  <c r="Y49" i="1"/>
  <c r="AC49" i="1" s="1"/>
  <c r="AF49" i="1"/>
  <c r="AE49" i="1"/>
  <c r="Y27" i="1"/>
  <c r="AC27" i="1" s="1"/>
  <c r="AF27" i="1"/>
  <c r="AG27" i="1" s="1"/>
  <c r="AE27" i="1"/>
  <c r="Y88" i="1"/>
  <c r="AC88" i="1" s="1"/>
  <c r="AF88" i="1"/>
  <c r="AE88" i="1"/>
  <c r="Y80" i="1"/>
  <c r="AC80" i="1" s="1"/>
  <c r="AF80" i="1"/>
  <c r="AE80" i="1"/>
  <c r="Y67" i="1"/>
  <c r="AC67" i="1" s="1"/>
  <c r="AF67" i="1"/>
  <c r="AE67" i="1"/>
  <c r="W121" i="1"/>
  <c r="X121" i="1" s="1"/>
  <c r="AD103" i="1"/>
  <c r="Y105" i="1"/>
  <c r="AC105" i="1" s="1"/>
  <c r="AF105" i="1"/>
  <c r="AD122" i="1"/>
  <c r="AD104" i="1"/>
  <c r="T104" i="1"/>
  <c r="R104" i="1" s="1"/>
  <c r="U104" i="1" s="1"/>
  <c r="O104" i="1" s="1"/>
  <c r="P104" i="1" s="1"/>
  <c r="Y89" i="1"/>
  <c r="AC89" i="1" s="1"/>
  <c r="AF89" i="1"/>
  <c r="W43" i="1"/>
  <c r="X43" i="1" s="1"/>
  <c r="Y64" i="1"/>
  <c r="AC64" i="1" s="1"/>
  <c r="AF64" i="1"/>
  <c r="AD45" i="1"/>
  <c r="W30" i="1"/>
  <c r="X30" i="1" s="1"/>
  <c r="W46" i="1"/>
  <c r="X46" i="1" s="1"/>
  <c r="T46" i="1" s="1"/>
  <c r="R46" i="1" s="1"/>
  <c r="U46" i="1" s="1"/>
  <c r="O46" i="1" s="1"/>
  <c r="P46" i="1" s="1"/>
  <c r="AD42" i="1"/>
  <c r="W44" i="1"/>
  <c r="X44" i="1" s="1"/>
  <c r="T44" i="1" s="1"/>
  <c r="R44" i="1" s="1"/>
  <c r="U44" i="1" s="1"/>
  <c r="O44" i="1" s="1"/>
  <c r="P44" i="1" s="1"/>
  <c r="AD120" i="1"/>
  <c r="T120" i="1"/>
  <c r="R120" i="1" s="1"/>
  <c r="U120" i="1" s="1"/>
  <c r="O120" i="1" s="1"/>
  <c r="P120" i="1" s="1"/>
  <c r="AD114" i="1"/>
  <c r="W111" i="1"/>
  <c r="X111" i="1" s="1"/>
  <c r="AD100" i="1"/>
  <c r="W100" i="1"/>
  <c r="X100" i="1" s="1"/>
  <c r="BB112" i="1"/>
  <c r="BB106" i="1"/>
  <c r="AD93" i="1"/>
  <c r="AE89" i="1"/>
  <c r="Y95" i="1"/>
  <c r="AC95" i="1" s="1"/>
  <c r="AF95" i="1"/>
  <c r="AE95" i="1"/>
  <c r="T95" i="1"/>
  <c r="R95" i="1" s="1"/>
  <c r="U95" i="1" s="1"/>
  <c r="O95" i="1" s="1"/>
  <c r="P95" i="1" s="1"/>
  <c r="AD94" i="1"/>
  <c r="W82" i="1"/>
  <c r="X82" i="1" s="1"/>
  <c r="Y74" i="1"/>
  <c r="AC74" i="1" s="1"/>
  <c r="AF74" i="1"/>
  <c r="AE74" i="1"/>
  <c r="W58" i="1"/>
  <c r="X58" i="1" s="1"/>
  <c r="AD71" i="1"/>
  <c r="W86" i="1"/>
  <c r="X86" i="1" s="1"/>
  <c r="BB73" i="1"/>
  <c r="AF63" i="1"/>
  <c r="Y63" i="1"/>
  <c r="AC63" i="1" s="1"/>
  <c r="AD54" i="1"/>
  <c r="W102" i="1"/>
  <c r="X102" i="1" s="1"/>
  <c r="BB22" i="1"/>
  <c r="AD39" i="1"/>
  <c r="W110" i="1"/>
  <c r="X110" i="1" s="1"/>
  <c r="AD51" i="1"/>
  <c r="AD34" i="1"/>
  <c r="AD18" i="1"/>
  <c r="BB57" i="1"/>
  <c r="AD40" i="1"/>
  <c r="AD113" i="1"/>
  <c r="W103" i="1"/>
  <c r="X103" i="1" s="1"/>
  <c r="AF104" i="1"/>
  <c r="Y104" i="1"/>
  <c r="AC104" i="1" s="1"/>
  <c r="Y91" i="1"/>
  <c r="AC91" i="1" s="1"/>
  <c r="AF91" i="1"/>
  <c r="AE91" i="1"/>
  <c r="W59" i="1"/>
  <c r="X59" i="1" s="1"/>
  <c r="AD56" i="1"/>
  <c r="AD65" i="1"/>
  <c r="W124" i="1"/>
  <c r="X124" i="1" s="1"/>
  <c r="W113" i="1"/>
  <c r="X113" i="1" s="1"/>
  <c r="BB115" i="1"/>
  <c r="BB122" i="1"/>
  <c r="BB118" i="1"/>
  <c r="AD108" i="1"/>
  <c r="AD105" i="1"/>
  <c r="T105" i="1"/>
  <c r="R105" i="1" s="1"/>
  <c r="U105" i="1" s="1"/>
  <c r="O105" i="1" s="1"/>
  <c r="P105" i="1" s="1"/>
  <c r="AE104" i="1"/>
  <c r="AD89" i="1"/>
  <c r="T89" i="1"/>
  <c r="R89" i="1" s="1"/>
  <c r="U89" i="1" s="1"/>
  <c r="O89" i="1" s="1"/>
  <c r="P89" i="1" s="1"/>
  <c r="T98" i="1"/>
  <c r="R98" i="1" s="1"/>
  <c r="U98" i="1" s="1"/>
  <c r="O98" i="1" s="1"/>
  <c r="P98" i="1" s="1"/>
  <c r="AD98" i="1"/>
  <c r="W94" i="1"/>
  <c r="X94" i="1" s="1"/>
  <c r="AD84" i="1"/>
  <c r="T72" i="1"/>
  <c r="R72" i="1" s="1"/>
  <c r="U72" i="1" s="1"/>
  <c r="O72" i="1" s="1"/>
  <c r="P72" i="1" s="1"/>
  <c r="AD72" i="1"/>
  <c r="W54" i="1"/>
  <c r="X54" i="1" s="1"/>
  <c r="W55" i="1"/>
  <c r="X55" i="1" s="1"/>
  <c r="BB86" i="1"/>
  <c r="AD66" i="1"/>
  <c r="AD58" i="1"/>
  <c r="T58" i="1"/>
  <c r="R58" i="1" s="1"/>
  <c r="U58" i="1" s="1"/>
  <c r="O58" i="1" s="1"/>
  <c r="P58" i="1" s="1"/>
  <c r="T63" i="1"/>
  <c r="R63" i="1" s="1"/>
  <c r="U63" i="1" s="1"/>
  <c r="O63" i="1" s="1"/>
  <c r="P63" i="1" s="1"/>
  <c r="AD41" i="1"/>
  <c r="BB54" i="1"/>
  <c r="AD46" i="1"/>
  <c r="W26" i="1"/>
  <c r="X26" i="1" s="1"/>
  <c r="W41" i="1"/>
  <c r="X41" i="1" s="1"/>
  <c r="T41" i="1" s="1"/>
  <c r="R41" i="1" s="1"/>
  <c r="U41" i="1" s="1"/>
  <c r="O41" i="1" s="1"/>
  <c r="P41" i="1" s="1"/>
  <c r="W21" i="1"/>
  <c r="X21" i="1" s="1"/>
  <c r="BB77" i="1"/>
  <c r="BB26" i="1"/>
  <c r="BA23" i="1"/>
  <c r="W45" i="1"/>
  <c r="X45" i="1" s="1"/>
  <c r="W35" i="1"/>
  <c r="X35" i="1" s="1"/>
  <c r="AD116" i="1"/>
  <c r="W122" i="1"/>
  <c r="X122" i="1" s="1"/>
  <c r="BA94" i="1"/>
  <c r="BB94" i="1"/>
  <c r="AD62" i="1"/>
  <c r="T62" i="1"/>
  <c r="R62" i="1" s="1"/>
  <c r="U62" i="1" s="1"/>
  <c r="O62" i="1" s="1"/>
  <c r="P62" i="1" s="1"/>
  <c r="W62" i="1"/>
  <c r="X62" i="1" s="1"/>
  <c r="AD55" i="1"/>
  <c r="T55" i="1"/>
  <c r="R55" i="1" s="1"/>
  <c r="U55" i="1" s="1"/>
  <c r="O55" i="1" s="1"/>
  <c r="P55" i="1" s="1"/>
  <c r="W69" i="1"/>
  <c r="X69" i="1" s="1"/>
  <c r="W56" i="1"/>
  <c r="X56" i="1" s="1"/>
  <c r="Y72" i="1"/>
  <c r="AC72" i="1" s="1"/>
  <c r="AF72" i="1"/>
  <c r="W24" i="1"/>
  <c r="X24" i="1" s="1"/>
  <c r="AD19" i="1"/>
  <c r="W36" i="1"/>
  <c r="X36" i="1" s="1"/>
  <c r="W119" i="1"/>
  <c r="X119" i="1" s="1"/>
  <c r="W120" i="1"/>
  <c r="X120" i="1" s="1"/>
  <c r="AD112" i="1"/>
  <c r="W118" i="1"/>
  <c r="X118" i="1" s="1"/>
  <c r="W114" i="1"/>
  <c r="X114" i="1" s="1"/>
  <c r="W99" i="1"/>
  <c r="X99" i="1" s="1"/>
  <c r="O97" i="1"/>
  <c r="P97" i="1" s="1"/>
  <c r="W83" i="1"/>
  <c r="X83" i="1" s="1"/>
  <c r="T83" i="1" s="1"/>
  <c r="R83" i="1" s="1"/>
  <c r="U83" i="1" s="1"/>
  <c r="O83" i="1" s="1"/>
  <c r="P83" i="1" s="1"/>
  <c r="AD83" i="1"/>
  <c r="AD53" i="1"/>
  <c r="T60" i="1"/>
  <c r="R60" i="1" s="1"/>
  <c r="U60" i="1" s="1"/>
  <c r="O60" i="1" s="1"/>
  <c r="P60" i="1" s="1"/>
  <c r="AD60" i="1"/>
  <c r="Y87" i="1"/>
  <c r="AC87" i="1" s="1"/>
  <c r="AF87" i="1"/>
  <c r="AE87" i="1"/>
  <c r="AD61" i="1"/>
  <c r="W39" i="1"/>
  <c r="X39" i="1" s="1"/>
  <c r="T39" i="1" s="1"/>
  <c r="R39" i="1" s="1"/>
  <c r="U39" i="1" s="1"/>
  <c r="O39" i="1" s="1"/>
  <c r="P39" i="1" s="1"/>
  <c r="O68" i="1"/>
  <c r="P68" i="1" s="1"/>
  <c r="AD37" i="1"/>
  <c r="BB69" i="1"/>
  <c r="W42" i="1"/>
  <c r="X42" i="1" s="1"/>
  <c r="T42" i="1" s="1"/>
  <c r="R42" i="1" s="1"/>
  <c r="U42" i="1" s="1"/>
  <c r="O42" i="1" s="1"/>
  <c r="P42" i="1" s="1"/>
  <c r="AE64" i="1"/>
  <c r="W38" i="1"/>
  <c r="X38" i="1" s="1"/>
  <c r="T38" i="1" s="1"/>
  <c r="R38" i="1" s="1"/>
  <c r="U38" i="1" s="1"/>
  <c r="O38" i="1" s="1"/>
  <c r="P38" i="1" s="1"/>
  <c r="AD29" i="1"/>
  <c r="W29" i="1"/>
  <c r="X29" i="1" s="1"/>
  <c r="T29" i="1" s="1"/>
  <c r="R29" i="1" s="1"/>
  <c r="U29" i="1" s="1"/>
  <c r="O29" i="1" s="1"/>
  <c r="P29" i="1" s="1"/>
  <c r="BB48" i="1"/>
  <c r="BB42" i="1"/>
  <c r="AD128" i="1"/>
  <c r="T128" i="1"/>
  <c r="R128" i="1" s="1"/>
  <c r="U128" i="1" s="1"/>
  <c r="O128" i="1" s="1"/>
  <c r="P128" i="1" s="1"/>
  <c r="Y101" i="1"/>
  <c r="AC101" i="1" s="1"/>
  <c r="AF101" i="1"/>
  <c r="AF92" i="1"/>
  <c r="Y92" i="1"/>
  <c r="AC92" i="1" s="1"/>
  <c r="AD44" i="1"/>
  <c r="AD31" i="1"/>
  <c r="AD69" i="1"/>
  <c r="T69" i="1"/>
  <c r="R69" i="1" s="1"/>
  <c r="U69" i="1" s="1"/>
  <c r="O69" i="1" s="1"/>
  <c r="P69" i="1" s="1"/>
  <c r="Y60" i="1"/>
  <c r="AC60" i="1" s="1"/>
  <c r="AF60" i="1"/>
  <c r="W28" i="1"/>
  <c r="X28" i="1" s="1"/>
  <c r="T27" i="1"/>
  <c r="R27" i="1" s="1"/>
  <c r="U27" i="1" s="1"/>
  <c r="O27" i="1" s="1"/>
  <c r="P27" i="1" s="1"/>
  <c r="AD27" i="1"/>
  <c r="W115" i="1"/>
  <c r="X115" i="1" s="1"/>
  <c r="W125" i="1"/>
  <c r="X125" i="1" s="1"/>
  <c r="T125" i="1" s="1"/>
  <c r="R125" i="1" s="1"/>
  <c r="U125" i="1" s="1"/>
  <c r="O125" i="1" s="1"/>
  <c r="P125" i="1" s="1"/>
  <c r="AD126" i="1"/>
  <c r="AD125" i="1"/>
  <c r="Y109" i="1"/>
  <c r="AC109" i="1" s="1"/>
  <c r="AF109" i="1"/>
  <c r="AD121" i="1"/>
  <c r="T121" i="1"/>
  <c r="R121" i="1" s="1"/>
  <c r="U121" i="1" s="1"/>
  <c r="O121" i="1" s="1"/>
  <c r="P121" i="1" s="1"/>
  <c r="W106" i="1"/>
  <c r="X106" i="1" s="1"/>
  <c r="W85" i="1"/>
  <c r="X85" i="1" s="1"/>
  <c r="T85" i="1" s="1"/>
  <c r="R85" i="1" s="1"/>
  <c r="U85" i="1" s="1"/>
  <c r="O85" i="1" s="1"/>
  <c r="P85" i="1" s="1"/>
  <c r="W108" i="1"/>
  <c r="X108" i="1" s="1"/>
  <c r="AD101" i="1"/>
  <c r="T101" i="1"/>
  <c r="R101" i="1" s="1"/>
  <c r="U101" i="1" s="1"/>
  <c r="O101" i="1" s="1"/>
  <c r="P101" i="1" s="1"/>
  <c r="T92" i="1"/>
  <c r="R92" i="1" s="1"/>
  <c r="U92" i="1" s="1"/>
  <c r="O92" i="1" s="1"/>
  <c r="P92" i="1" s="1"/>
  <c r="AD92" i="1"/>
  <c r="T91" i="1"/>
  <c r="R91" i="1" s="1"/>
  <c r="U91" i="1" s="1"/>
  <c r="O91" i="1" s="1"/>
  <c r="P91" i="1" s="1"/>
  <c r="AE72" i="1"/>
  <c r="AF75" i="1"/>
  <c r="AG75" i="1" s="1"/>
  <c r="Y75" i="1"/>
  <c r="AC75" i="1" s="1"/>
  <c r="AD77" i="1"/>
  <c r="W81" i="1"/>
  <c r="X81" i="1" s="1"/>
  <c r="T81" i="1" s="1"/>
  <c r="R81" i="1" s="1"/>
  <c r="U81" i="1" s="1"/>
  <c r="O81" i="1" s="1"/>
  <c r="P81" i="1" s="1"/>
  <c r="AD81" i="1"/>
  <c r="AF52" i="1"/>
  <c r="AG52" i="1" s="1"/>
  <c r="Y52" i="1"/>
  <c r="AC52" i="1" s="1"/>
  <c r="T52" i="1"/>
  <c r="R52" i="1" s="1"/>
  <c r="U52" i="1" s="1"/>
  <c r="O52" i="1" s="1"/>
  <c r="P52" i="1" s="1"/>
  <c r="AD30" i="1"/>
  <c r="AE63" i="1"/>
  <c r="AD43" i="1"/>
  <c r="T43" i="1"/>
  <c r="R43" i="1" s="1"/>
  <c r="U43" i="1" s="1"/>
  <c r="O43" i="1" s="1"/>
  <c r="P43" i="1" s="1"/>
  <c r="W25" i="1"/>
  <c r="X25" i="1" s="1"/>
  <c r="AD25" i="1"/>
  <c r="AD50" i="1"/>
  <c r="W40" i="1"/>
  <c r="X40" i="1" s="1"/>
  <c r="T40" i="1" s="1"/>
  <c r="R40" i="1" s="1"/>
  <c r="U40" i="1" s="1"/>
  <c r="O40" i="1" s="1"/>
  <c r="P40" i="1" s="1"/>
  <c r="W53" i="1"/>
  <c r="X53" i="1" s="1"/>
  <c r="T35" i="1"/>
  <c r="R35" i="1" s="1"/>
  <c r="U35" i="1" s="1"/>
  <c r="O35" i="1" s="1"/>
  <c r="P35" i="1" s="1"/>
  <c r="AD35" i="1"/>
  <c r="W48" i="1"/>
  <c r="X48" i="1" s="1"/>
  <c r="W18" i="1"/>
  <c r="X18" i="1" s="1"/>
  <c r="BB40" i="1"/>
  <c r="AD57" i="1"/>
  <c r="W117" i="1"/>
  <c r="X117" i="1" s="1"/>
  <c r="W126" i="1"/>
  <c r="X126" i="1" s="1"/>
  <c r="T126" i="1" s="1"/>
  <c r="R126" i="1" s="1"/>
  <c r="U126" i="1" s="1"/>
  <c r="O126" i="1" s="1"/>
  <c r="P126" i="1" s="1"/>
  <c r="T88" i="1"/>
  <c r="R88" i="1" s="1"/>
  <c r="U88" i="1" s="1"/>
  <c r="O88" i="1" s="1"/>
  <c r="P88" i="1" s="1"/>
  <c r="AD88" i="1"/>
  <c r="AD80" i="1"/>
  <c r="T80" i="1"/>
  <c r="R80" i="1" s="1"/>
  <c r="U80" i="1" s="1"/>
  <c r="O80" i="1" s="1"/>
  <c r="P80" i="1" s="1"/>
  <c r="W73" i="1"/>
  <c r="X73" i="1" s="1"/>
  <c r="W51" i="1"/>
  <c r="X51" i="1" s="1"/>
  <c r="W116" i="1"/>
  <c r="X116" i="1" s="1"/>
  <c r="AD124" i="1"/>
  <c r="T124" i="1"/>
  <c r="R124" i="1" s="1"/>
  <c r="U124" i="1" s="1"/>
  <c r="O124" i="1" s="1"/>
  <c r="P124" i="1" s="1"/>
  <c r="AD118" i="1"/>
  <c r="AD110" i="1"/>
  <c r="T110" i="1"/>
  <c r="R110" i="1" s="1"/>
  <c r="U110" i="1" s="1"/>
  <c r="O110" i="1" s="1"/>
  <c r="P110" i="1" s="1"/>
  <c r="AD117" i="1"/>
  <c r="T117" i="1"/>
  <c r="R117" i="1" s="1"/>
  <c r="U117" i="1" s="1"/>
  <c r="O117" i="1" s="1"/>
  <c r="P117" i="1" s="1"/>
  <c r="AF97" i="1"/>
  <c r="AG97" i="1" s="1"/>
  <c r="Y97" i="1"/>
  <c r="AC97" i="1" s="1"/>
  <c r="T96" i="1"/>
  <c r="R96" i="1" s="1"/>
  <c r="U96" i="1" s="1"/>
  <c r="O96" i="1" s="1"/>
  <c r="P96" i="1" s="1"/>
  <c r="AD96" i="1"/>
  <c r="W90" i="1"/>
  <c r="X90" i="1" s="1"/>
  <c r="T90" i="1" s="1"/>
  <c r="R90" i="1" s="1"/>
  <c r="U90" i="1" s="1"/>
  <c r="O90" i="1" s="1"/>
  <c r="P90" i="1" s="1"/>
  <c r="AD90" i="1"/>
  <c r="AD85" i="1"/>
  <c r="AD109" i="1"/>
  <c r="T109" i="1"/>
  <c r="R109" i="1" s="1"/>
  <c r="U109" i="1" s="1"/>
  <c r="O109" i="1" s="1"/>
  <c r="P109" i="1" s="1"/>
  <c r="W96" i="1"/>
  <c r="X96" i="1" s="1"/>
  <c r="AF79" i="1"/>
  <c r="AG79" i="1" s="1"/>
  <c r="Y79" i="1"/>
  <c r="AC79" i="1" s="1"/>
  <c r="Y76" i="1"/>
  <c r="AC76" i="1" s="1"/>
  <c r="AF76" i="1"/>
  <c r="W93" i="1"/>
  <c r="X93" i="1" s="1"/>
  <c r="T93" i="1" s="1"/>
  <c r="R93" i="1" s="1"/>
  <c r="U93" i="1" s="1"/>
  <c r="O93" i="1" s="1"/>
  <c r="P93" i="1" s="1"/>
  <c r="W71" i="1"/>
  <c r="X71" i="1" s="1"/>
  <c r="T71" i="1" s="1"/>
  <c r="R71" i="1" s="1"/>
  <c r="U71" i="1" s="1"/>
  <c r="O71" i="1" s="1"/>
  <c r="P71" i="1" s="1"/>
  <c r="AE60" i="1"/>
  <c r="W65" i="1"/>
  <c r="X65" i="1" s="1"/>
  <c r="T49" i="1"/>
  <c r="R49" i="1" s="1"/>
  <c r="U49" i="1" s="1"/>
  <c r="O49" i="1" s="1"/>
  <c r="P49" i="1" s="1"/>
  <c r="AD49" i="1"/>
  <c r="W57" i="1"/>
  <c r="X57" i="1" s="1"/>
  <c r="T57" i="1" s="1"/>
  <c r="R57" i="1" s="1"/>
  <c r="U57" i="1" s="1"/>
  <c r="O57" i="1" s="1"/>
  <c r="P57" i="1" s="1"/>
  <c r="W61" i="1"/>
  <c r="X61" i="1" s="1"/>
  <c r="T61" i="1" s="1"/>
  <c r="R61" i="1" s="1"/>
  <c r="U61" i="1" s="1"/>
  <c r="O61" i="1" s="1"/>
  <c r="P61" i="1" s="1"/>
  <c r="W50" i="1"/>
  <c r="X50" i="1" s="1"/>
  <c r="T50" i="1" s="1"/>
  <c r="R50" i="1" s="1"/>
  <c r="U50" i="1" s="1"/>
  <c r="O50" i="1" s="1"/>
  <c r="P50" i="1" s="1"/>
  <c r="W32" i="1"/>
  <c r="X32" i="1" s="1"/>
  <c r="T76" i="1"/>
  <c r="R76" i="1" s="1"/>
  <c r="U76" i="1" s="1"/>
  <c r="O76" i="1" s="1"/>
  <c r="P76" i="1" s="1"/>
  <c r="AD76" i="1"/>
  <c r="W22" i="1"/>
  <c r="X22" i="1" s="1"/>
  <c r="AD38" i="1"/>
  <c r="AD32" i="1"/>
  <c r="T32" i="1"/>
  <c r="R32" i="1" s="1"/>
  <c r="U32" i="1" s="1"/>
  <c r="O32" i="1" s="1"/>
  <c r="P32" i="1" s="1"/>
  <c r="W34" i="1"/>
  <c r="X34" i="1" s="1"/>
  <c r="T34" i="1" s="1"/>
  <c r="R34" i="1" s="1"/>
  <c r="U34" i="1" s="1"/>
  <c r="O34" i="1" s="1"/>
  <c r="P34" i="1" s="1"/>
  <c r="Y20" i="1"/>
  <c r="AC20" i="1" s="1"/>
  <c r="AF20" i="1"/>
  <c r="W123" i="1"/>
  <c r="X123" i="1" s="1"/>
  <c r="Y98" i="1"/>
  <c r="AC98" i="1" s="1"/>
  <c r="AF98" i="1"/>
  <c r="AG98" i="1" s="1"/>
  <c r="AD78" i="1"/>
  <c r="T78" i="1"/>
  <c r="R78" i="1" s="1"/>
  <c r="U78" i="1" s="1"/>
  <c r="O78" i="1" s="1"/>
  <c r="P78" i="1" s="1"/>
  <c r="W78" i="1"/>
  <c r="X78" i="1" s="1"/>
  <c r="W77" i="1"/>
  <c r="X77" i="1" s="1"/>
  <c r="T77" i="1" s="1"/>
  <c r="R77" i="1" s="1"/>
  <c r="U77" i="1" s="1"/>
  <c r="O77" i="1" s="1"/>
  <c r="P77" i="1" s="1"/>
  <c r="AD67" i="1"/>
  <c r="T67" i="1"/>
  <c r="R67" i="1" s="1"/>
  <c r="U67" i="1" s="1"/>
  <c r="O67" i="1" s="1"/>
  <c r="P67" i="1" s="1"/>
  <c r="W23" i="1"/>
  <c r="X23" i="1" s="1"/>
  <c r="W107" i="1"/>
  <c r="X107" i="1" s="1"/>
  <c r="BB113" i="1"/>
  <c r="BB103" i="1"/>
  <c r="AD127" i="1"/>
  <c r="W127" i="1"/>
  <c r="X127" i="1" s="1"/>
  <c r="T127" i="1" s="1"/>
  <c r="R127" i="1" s="1"/>
  <c r="U127" i="1" s="1"/>
  <c r="O127" i="1" s="1"/>
  <c r="P127" i="1" s="1"/>
  <c r="AD107" i="1"/>
  <c r="T107" i="1"/>
  <c r="R107" i="1" s="1"/>
  <c r="U107" i="1" s="1"/>
  <c r="O107" i="1" s="1"/>
  <c r="P107" i="1" s="1"/>
  <c r="W112" i="1"/>
  <c r="X112" i="1" s="1"/>
  <c r="T112" i="1" s="1"/>
  <c r="R112" i="1" s="1"/>
  <c r="U112" i="1" s="1"/>
  <c r="O112" i="1" s="1"/>
  <c r="P112" i="1" s="1"/>
  <c r="AE109" i="1"/>
  <c r="AE98" i="1"/>
  <c r="AE105" i="1"/>
  <c r="AD82" i="1"/>
  <c r="T82" i="1"/>
  <c r="R82" i="1" s="1"/>
  <c r="U82" i="1" s="1"/>
  <c r="O82" i="1" s="1"/>
  <c r="P82" i="1" s="1"/>
  <c r="BA90" i="1"/>
  <c r="BB90" i="1"/>
  <c r="W84" i="1"/>
  <c r="X84" i="1" s="1"/>
  <c r="T84" i="1" s="1"/>
  <c r="R84" i="1" s="1"/>
  <c r="U84" i="1" s="1"/>
  <c r="O84" i="1" s="1"/>
  <c r="P84" i="1" s="1"/>
  <c r="AE92" i="1"/>
  <c r="W47" i="1"/>
  <c r="X47" i="1" s="1"/>
  <c r="T64" i="1"/>
  <c r="R64" i="1" s="1"/>
  <c r="U64" i="1" s="1"/>
  <c r="O64" i="1" s="1"/>
  <c r="P64" i="1" s="1"/>
  <c r="AD64" i="1"/>
  <c r="BB82" i="1"/>
  <c r="W66" i="1"/>
  <c r="X66" i="1" s="1"/>
  <c r="T66" i="1" s="1"/>
  <c r="R66" i="1" s="1"/>
  <c r="U66" i="1" s="1"/>
  <c r="O66" i="1" s="1"/>
  <c r="P66" i="1" s="1"/>
  <c r="AD47" i="1"/>
  <c r="AD33" i="1"/>
  <c r="W33" i="1"/>
  <c r="X33" i="1" s="1"/>
  <c r="BB24" i="1"/>
  <c r="O17" i="1"/>
  <c r="P17" i="1" s="1"/>
  <c r="W31" i="1"/>
  <c r="X31" i="1" s="1"/>
  <c r="W37" i="1"/>
  <c r="X37" i="1" s="1"/>
  <c r="T37" i="1" s="1"/>
  <c r="R37" i="1" s="1"/>
  <c r="U37" i="1" s="1"/>
  <c r="O37" i="1" s="1"/>
  <c r="P37" i="1" s="1"/>
  <c r="W19" i="1"/>
  <c r="X19" i="1" s="1"/>
  <c r="T19" i="1" s="1"/>
  <c r="R19" i="1" s="1"/>
  <c r="U19" i="1" s="1"/>
  <c r="O19" i="1" s="1"/>
  <c r="P19" i="1" s="1"/>
  <c r="AD28" i="1"/>
  <c r="T28" i="1"/>
  <c r="R28" i="1" s="1"/>
  <c r="U28" i="1" s="1"/>
  <c r="O28" i="1" s="1"/>
  <c r="P28" i="1" s="1"/>
  <c r="AE20" i="1"/>
  <c r="AG60" i="1" l="1"/>
  <c r="AG105" i="1"/>
  <c r="AG91" i="1"/>
  <c r="AG89" i="1"/>
  <c r="AG104" i="1"/>
  <c r="Y118" i="1"/>
  <c r="AC118" i="1" s="1"/>
  <c r="AF118" i="1"/>
  <c r="AG118" i="1" s="1"/>
  <c r="AE118" i="1"/>
  <c r="Y45" i="1"/>
  <c r="AC45" i="1" s="1"/>
  <c r="AF45" i="1"/>
  <c r="AG45" i="1" s="1"/>
  <c r="AE45" i="1"/>
  <c r="AG63" i="1"/>
  <c r="Y100" i="1"/>
  <c r="AC100" i="1" s="1"/>
  <c r="AF100" i="1"/>
  <c r="AE100" i="1"/>
  <c r="Y30" i="1"/>
  <c r="AC30" i="1" s="1"/>
  <c r="AF30" i="1"/>
  <c r="AE30" i="1"/>
  <c r="AF33" i="1"/>
  <c r="Y33" i="1"/>
  <c r="AC33" i="1" s="1"/>
  <c r="AE33" i="1"/>
  <c r="Y127" i="1"/>
  <c r="AC127" i="1" s="1"/>
  <c r="AF127" i="1"/>
  <c r="AG127" i="1" s="1"/>
  <c r="AE127" i="1"/>
  <c r="AF32" i="1"/>
  <c r="AE32" i="1"/>
  <c r="Y32" i="1"/>
  <c r="AC32" i="1" s="1"/>
  <c r="AF116" i="1"/>
  <c r="AG116" i="1" s="1"/>
  <c r="Y116" i="1"/>
  <c r="AC116" i="1" s="1"/>
  <c r="AE116" i="1"/>
  <c r="AF18" i="1"/>
  <c r="Y18" i="1"/>
  <c r="AC18" i="1" s="1"/>
  <c r="AE18" i="1"/>
  <c r="T30" i="1"/>
  <c r="R30" i="1" s="1"/>
  <c r="U30" i="1" s="1"/>
  <c r="O30" i="1" s="1"/>
  <c r="P30" i="1" s="1"/>
  <c r="AG92" i="1"/>
  <c r="AG87" i="1"/>
  <c r="AF83" i="1"/>
  <c r="Y83" i="1"/>
  <c r="AC83" i="1" s="1"/>
  <c r="AE83" i="1"/>
  <c r="AE69" i="1"/>
  <c r="Y69" i="1"/>
  <c r="AC69" i="1" s="1"/>
  <c r="AF69" i="1"/>
  <c r="AG69" i="1" s="1"/>
  <c r="Y122" i="1"/>
  <c r="AC122" i="1" s="1"/>
  <c r="AF122" i="1"/>
  <c r="AE122" i="1"/>
  <c r="Y103" i="1"/>
  <c r="AC103" i="1" s="1"/>
  <c r="AF103" i="1"/>
  <c r="AG103" i="1" s="1"/>
  <c r="AE103" i="1"/>
  <c r="T18" i="1"/>
  <c r="R18" i="1" s="1"/>
  <c r="U18" i="1" s="1"/>
  <c r="O18" i="1" s="1"/>
  <c r="P18" i="1" s="1"/>
  <c r="AG74" i="1"/>
  <c r="AG95" i="1"/>
  <c r="T100" i="1"/>
  <c r="R100" i="1" s="1"/>
  <c r="U100" i="1" s="1"/>
  <c r="O100" i="1" s="1"/>
  <c r="P100" i="1" s="1"/>
  <c r="T103" i="1"/>
  <c r="R103" i="1" s="1"/>
  <c r="U103" i="1" s="1"/>
  <c r="O103" i="1" s="1"/>
  <c r="P103" i="1" s="1"/>
  <c r="AG80" i="1"/>
  <c r="Y126" i="1"/>
  <c r="AC126" i="1" s="1"/>
  <c r="AF126" i="1"/>
  <c r="AE126" i="1"/>
  <c r="AG109" i="1"/>
  <c r="AF115" i="1"/>
  <c r="AE115" i="1"/>
  <c r="Y115" i="1"/>
  <c r="AC115" i="1" s="1"/>
  <c r="T115" i="1"/>
  <c r="R115" i="1" s="1"/>
  <c r="U115" i="1" s="1"/>
  <c r="O115" i="1" s="1"/>
  <c r="P115" i="1" s="1"/>
  <c r="AG101" i="1"/>
  <c r="AF113" i="1"/>
  <c r="Y113" i="1"/>
  <c r="AC113" i="1" s="1"/>
  <c r="AE113" i="1"/>
  <c r="AF59" i="1"/>
  <c r="Y59" i="1"/>
  <c r="AC59" i="1" s="1"/>
  <c r="AE59" i="1"/>
  <c r="T59" i="1"/>
  <c r="R59" i="1" s="1"/>
  <c r="U59" i="1" s="1"/>
  <c r="O59" i="1" s="1"/>
  <c r="P59" i="1" s="1"/>
  <c r="Y86" i="1"/>
  <c r="AC86" i="1" s="1"/>
  <c r="AF86" i="1"/>
  <c r="AE86" i="1"/>
  <c r="T86" i="1"/>
  <c r="R86" i="1" s="1"/>
  <c r="U86" i="1" s="1"/>
  <c r="O86" i="1" s="1"/>
  <c r="P86" i="1" s="1"/>
  <c r="AF44" i="1"/>
  <c r="AE44" i="1"/>
  <c r="Y44" i="1"/>
  <c r="AC44" i="1" s="1"/>
  <c r="T45" i="1"/>
  <c r="R45" i="1" s="1"/>
  <c r="U45" i="1" s="1"/>
  <c r="O45" i="1" s="1"/>
  <c r="P45" i="1" s="1"/>
  <c r="AG49" i="1"/>
  <c r="Y57" i="1"/>
  <c r="AC57" i="1" s="1"/>
  <c r="AE57" i="1"/>
  <c r="AF57" i="1"/>
  <c r="AG57" i="1" s="1"/>
  <c r="Y56" i="1"/>
  <c r="AC56" i="1" s="1"/>
  <c r="AF56" i="1"/>
  <c r="AE56" i="1"/>
  <c r="AF23" i="1"/>
  <c r="AG23" i="1" s="1"/>
  <c r="Y23" i="1"/>
  <c r="AC23" i="1" s="1"/>
  <c r="T23" i="1"/>
  <c r="R23" i="1" s="1"/>
  <c r="U23" i="1" s="1"/>
  <c r="O23" i="1" s="1"/>
  <c r="P23" i="1" s="1"/>
  <c r="AE23" i="1"/>
  <c r="Y34" i="1"/>
  <c r="AC34" i="1" s="1"/>
  <c r="AF34" i="1"/>
  <c r="AE34" i="1"/>
  <c r="T56" i="1"/>
  <c r="R56" i="1" s="1"/>
  <c r="U56" i="1" s="1"/>
  <c r="O56" i="1" s="1"/>
  <c r="P56" i="1" s="1"/>
  <c r="Y47" i="1"/>
  <c r="AC47" i="1" s="1"/>
  <c r="AF47" i="1"/>
  <c r="AE47" i="1"/>
  <c r="Y90" i="1"/>
  <c r="AC90" i="1" s="1"/>
  <c r="AF90" i="1"/>
  <c r="AG90" i="1" s="1"/>
  <c r="AE90" i="1"/>
  <c r="Y19" i="1"/>
  <c r="AC19" i="1" s="1"/>
  <c r="AF19" i="1"/>
  <c r="AE19" i="1"/>
  <c r="T33" i="1"/>
  <c r="R33" i="1" s="1"/>
  <c r="U33" i="1" s="1"/>
  <c r="O33" i="1" s="1"/>
  <c r="P33" i="1" s="1"/>
  <c r="Y123" i="1"/>
  <c r="AC123" i="1" s="1"/>
  <c r="AF123" i="1"/>
  <c r="AE123" i="1"/>
  <c r="T123" i="1"/>
  <c r="R123" i="1" s="1"/>
  <c r="U123" i="1" s="1"/>
  <c r="O123" i="1" s="1"/>
  <c r="P123" i="1" s="1"/>
  <c r="Y65" i="1"/>
  <c r="AC65" i="1" s="1"/>
  <c r="AF65" i="1"/>
  <c r="AE65" i="1"/>
  <c r="AF96" i="1"/>
  <c r="AG96" i="1" s="1"/>
  <c r="Y96" i="1"/>
  <c r="AC96" i="1" s="1"/>
  <c r="AE96" i="1"/>
  <c r="AF51" i="1"/>
  <c r="Y51" i="1"/>
  <c r="AC51" i="1" s="1"/>
  <c r="AE51" i="1"/>
  <c r="AF48" i="1"/>
  <c r="AE48" i="1"/>
  <c r="Y48" i="1"/>
  <c r="AC48" i="1" s="1"/>
  <c r="T48" i="1"/>
  <c r="R48" i="1" s="1"/>
  <c r="U48" i="1" s="1"/>
  <c r="O48" i="1" s="1"/>
  <c r="P48" i="1" s="1"/>
  <c r="AF108" i="1"/>
  <c r="Y108" i="1"/>
  <c r="AC108" i="1" s="1"/>
  <c r="AE108" i="1"/>
  <c r="Y99" i="1"/>
  <c r="AC99" i="1" s="1"/>
  <c r="AE99" i="1"/>
  <c r="AF99" i="1"/>
  <c r="T99" i="1"/>
  <c r="R99" i="1" s="1"/>
  <c r="U99" i="1" s="1"/>
  <c r="O99" i="1" s="1"/>
  <c r="P99" i="1" s="1"/>
  <c r="Y24" i="1"/>
  <c r="AC24" i="1" s="1"/>
  <c r="AF24" i="1"/>
  <c r="AE24" i="1"/>
  <c r="T24" i="1"/>
  <c r="R24" i="1" s="1"/>
  <c r="U24" i="1" s="1"/>
  <c r="O24" i="1" s="1"/>
  <c r="P24" i="1" s="1"/>
  <c r="T116" i="1"/>
  <c r="R116" i="1" s="1"/>
  <c r="U116" i="1" s="1"/>
  <c r="O116" i="1" s="1"/>
  <c r="P116" i="1" s="1"/>
  <c r="AF21" i="1"/>
  <c r="Y21" i="1"/>
  <c r="AC21" i="1" s="1"/>
  <c r="AE21" i="1"/>
  <c r="T21" i="1"/>
  <c r="R21" i="1" s="1"/>
  <c r="U21" i="1" s="1"/>
  <c r="O21" i="1" s="1"/>
  <c r="P21" i="1" s="1"/>
  <c r="Y94" i="1"/>
  <c r="AC94" i="1" s="1"/>
  <c r="AF94" i="1"/>
  <c r="AG94" i="1" s="1"/>
  <c r="AE94" i="1"/>
  <c r="T113" i="1"/>
  <c r="R113" i="1" s="1"/>
  <c r="U113" i="1" s="1"/>
  <c r="O113" i="1" s="1"/>
  <c r="P113" i="1" s="1"/>
  <c r="Y102" i="1"/>
  <c r="AC102" i="1" s="1"/>
  <c r="AF102" i="1"/>
  <c r="AE102" i="1"/>
  <c r="T102" i="1"/>
  <c r="R102" i="1" s="1"/>
  <c r="U102" i="1" s="1"/>
  <c r="O102" i="1" s="1"/>
  <c r="P102" i="1" s="1"/>
  <c r="AG64" i="1"/>
  <c r="Y121" i="1"/>
  <c r="AC121" i="1" s="1"/>
  <c r="AF121" i="1"/>
  <c r="AE121" i="1"/>
  <c r="AF37" i="1"/>
  <c r="Y37" i="1"/>
  <c r="AC37" i="1" s="1"/>
  <c r="AE37" i="1"/>
  <c r="T47" i="1"/>
  <c r="R47" i="1" s="1"/>
  <c r="U47" i="1" s="1"/>
  <c r="O47" i="1" s="1"/>
  <c r="P47" i="1" s="1"/>
  <c r="Y77" i="1"/>
  <c r="AC77" i="1" s="1"/>
  <c r="AE77" i="1"/>
  <c r="AF77" i="1"/>
  <c r="Y50" i="1"/>
  <c r="AC50" i="1" s="1"/>
  <c r="AF50" i="1"/>
  <c r="AE50" i="1"/>
  <c r="Y73" i="1"/>
  <c r="AC73" i="1" s="1"/>
  <c r="AE73" i="1"/>
  <c r="AF73" i="1"/>
  <c r="T73" i="1"/>
  <c r="R73" i="1" s="1"/>
  <c r="U73" i="1" s="1"/>
  <c r="O73" i="1" s="1"/>
  <c r="P73" i="1" s="1"/>
  <c r="Y117" i="1"/>
  <c r="AC117" i="1" s="1"/>
  <c r="AF117" i="1"/>
  <c r="AE117" i="1"/>
  <c r="AF25" i="1"/>
  <c r="Y25" i="1"/>
  <c r="AC25" i="1" s="1"/>
  <c r="AE25" i="1"/>
  <c r="AF38" i="1"/>
  <c r="Y38" i="1"/>
  <c r="AC38" i="1" s="1"/>
  <c r="AE38" i="1"/>
  <c r="Y39" i="1"/>
  <c r="AC39" i="1" s="1"/>
  <c r="AF39" i="1"/>
  <c r="AE39" i="1"/>
  <c r="AF120" i="1"/>
  <c r="AG120" i="1" s="1"/>
  <c r="Y120" i="1"/>
  <c r="AC120" i="1" s="1"/>
  <c r="AE120" i="1"/>
  <c r="Y62" i="1"/>
  <c r="AC62" i="1" s="1"/>
  <c r="AF62" i="1"/>
  <c r="AE62" i="1"/>
  <c r="AF55" i="1"/>
  <c r="Y55" i="1"/>
  <c r="AC55" i="1" s="1"/>
  <c r="AE55" i="1"/>
  <c r="T108" i="1"/>
  <c r="R108" i="1" s="1"/>
  <c r="U108" i="1" s="1"/>
  <c r="O108" i="1" s="1"/>
  <c r="P108" i="1" s="1"/>
  <c r="AF124" i="1"/>
  <c r="Y124" i="1"/>
  <c r="AC124" i="1" s="1"/>
  <c r="AE124" i="1"/>
  <c r="T51" i="1"/>
  <c r="R51" i="1" s="1"/>
  <c r="U51" i="1" s="1"/>
  <c r="O51" i="1" s="1"/>
  <c r="P51" i="1" s="1"/>
  <c r="AF82" i="1"/>
  <c r="AE82" i="1"/>
  <c r="Y82" i="1"/>
  <c r="AC82" i="1" s="1"/>
  <c r="AF111" i="1"/>
  <c r="AG111" i="1" s="1"/>
  <c r="Y111" i="1"/>
  <c r="AC111" i="1" s="1"/>
  <c r="AE111" i="1"/>
  <c r="T111" i="1"/>
  <c r="R111" i="1" s="1"/>
  <c r="U111" i="1" s="1"/>
  <c r="O111" i="1" s="1"/>
  <c r="P111" i="1" s="1"/>
  <c r="AG88" i="1"/>
  <c r="AG76" i="1"/>
  <c r="AF81" i="1"/>
  <c r="AE81" i="1"/>
  <c r="Y81" i="1"/>
  <c r="AC81" i="1" s="1"/>
  <c r="AF42" i="1"/>
  <c r="Y42" i="1"/>
  <c r="AC42" i="1" s="1"/>
  <c r="AE42" i="1"/>
  <c r="Y36" i="1"/>
  <c r="AC36" i="1" s="1"/>
  <c r="AE36" i="1"/>
  <c r="T36" i="1"/>
  <c r="R36" i="1" s="1"/>
  <c r="U36" i="1" s="1"/>
  <c r="O36" i="1" s="1"/>
  <c r="P36" i="1" s="1"/>
  <c r="AF36" i="1"/>
  <c r="AF26" i="1"/>
  <c r="AG26" i="1" s="1"/>
  <c r="Y26" i="1"/>
  <c r="AC26" i="1" s="1"/>
  <c r="AE26" i="1"/>
  <c r="T26" i="1"/>
  <c r="R26" i="1" s="1"/>
  <c r="U26" i="1" s="1"/>
  <c r="O26" i="1" s="1"/>
  <c r="P26" i="1" s="1"/>
  <c r="Y125" i="1"/>
  <c r="AC125" i="1" s="1"/>
  <c r="AF125" i="1"/>
  <c r="AE125" i="1"/>
  <c r="AF29" i="1"/>
  <c r="AG29" i="1" s="1"/>
  <c r="Y29" i="1"/>
  <c r="AC29" i="1" s="1"/>
  <c r="AE29" i="1"/>
  <c r="Y31" i="1"/>
  <c r="AC31" i="1" s="1"/>
  <c r="AF31" i="1"/>
  <c r="AE31" i="1"/>
  <c r="AF84" i="1"/>
  <c r="Y84" i="1"/>
  <c r="AC84" i="1" s="1"/>
  <c r="AE84" i="1"/>
  <c r="AG20" i="1"/>
  <c r="Y61" i="1"/>
  <c r="AC61" i="1" s="1"/>
  <c r="AE61" i="1"/>
  <c r="AF61" i="1"/>
  <c r="Y71" i="1"/>
  <c r="AC71" i="1" s="1"/>
  <c r="AF71" i="1"/>
  <c r="AE71" i="1"/>
  <c r="T118" i="1"/>
  <c r="R118" i="1" s="1"/>
  <c r="U118" i="1" s="1"/>
  <c r="O118" i="1" s="1"/>
  <c r="P118" i="1" s="1"/>
  <c r="T25" i="1"/>
  <c r="R25" i="1" s="1"/>
  <c r="U25" i="1" s="1"/>
  <c r="O25" i="1" s="1"/>
  <c r="P25" i="1" s="1"/>
  <c r="Y85" i="1"/>
  <c r="AC85" i="1" s="1"/>
  <c r="AF85" i="1"/>
  <c r="AE85" i="1"/>
  <c r="T31" i="1"/>
  <c r="R31" i="1" s="1"/>
  <c r="U31" i="1" s="1"/>
  <c r="O31" i="1" s="1"/>
  <c r="P31" i="1" s="1"/>
  <c r="AF114" i="1"/>
  <c r="AE114" i="1"/>
  <c r="Y114" i="1"/>
  <c r="AC114" i="1" s="1"/>
  <c r="Y119" i="1"/>
  <c r="AC119" i="1" s="1"/>
  <c r="AF119" i="1"/>
  <c r="AE119" i="1"/>
  <c r="T119" i="1"/>
  <c r="R119" i="1" s="1"/>
  <c r="U119" i="1" s="1"/>
  <c r="O119" i="1" s="1"/>
  <c r="P119" i="1" s="1"/>
  <c r="AG72" i="1"/>
  <c r="Y35" i="1"/>
  <c r="AC35" i="1" s="1"/>
  <c r="AF35" i="1"/>
  <c r="AE35" i="1"/>
  <c r="AF41" i="1"/>
  <c r="AG41" i="1" s="1"/>
  <c r="Y41" i="1"/>
  <c r="AC41" i="1" s="1"/>
  <c r="AE41" i="1"/>
  <c r="Y54" i="1"/>
  <c r="AC54" i="1" s="1"/>
  <c r="AF54" i="1"/>
  <c r="AE54" i="1"/>
  <c r="T65" i="1"/>
  <c r="R65" i="1" s="1"/>
  <c r="U65" i="1" s="1"/>
  <c r="O65" i="1" s="1"/>
  <c r="P65" i="1" s="1"/>
  <c r="T54" i="1"/>
  <c r="R54" i="1" s="1"/>
  <c r="U54" i="1" s="1"/>
  <c r="O54" i="1" s="1"/>
  <c r="P54" i="1" s="1"/>
  <c r="T94" i="1"/>
  <c r="R94" i="1" s="1"/>
  <c r="U94" i="1" s="1"/>
  <c r="O94" i="1" s="1"/>
  <c r="P94" i="1" s="1"/>
  <c r="Y43" i="1"/>
  <c r="AC43" i="1" s="1"/>
  <c r="AF43" i="1"/>
  <c r="AE43" i="1"/>
  <c r="AF40" i="1"/>
  <c r="AE40" i="1"/>
  <c r="Y40" i="1"/>
  <c r="AC40" i="1" s="1"/>
  <c r="Y66" i="1"/>
  <c r="AC66" i="1" s="1"/>
  <c r="AF66" i="1"/>
  <c r="AG66" i="1" s="1"/>
  <c r="AE66" i="1"/>
  <c r="AF112" i="1"/>
  <c r="Y112" i="1"/>
  <c r="AC112" i="1" s="1"/>
  <c r="AE112" i="1"/>
  <c r="Y107" i="1"/>
  <c r="AC107" i="1" s="1"/>
  <c r="AF107" i="1"/>
  <c r="AE107" i="1"/>
  <c r="Y78" i="1"/>
  <c r="AC78" i="1" s="1"/>
  <c r="AF78" i="1"/>
  <c r="AE78" i="1"/>
  <c r="Y22" i="1"/>
  <c r="AC22" i="1" s="1"/>
  <c r="AF22" i="1"/>
  <c r="T22" i="1"/>
  <c r="R22" i="1" s="1"/>
  <c r="U22" i="1" s="1"/>
  <c r="O22" i="1" s="1"/>
  <c r="P22" i="1" s="1"/>
  <c r="AE22" i="1"/>
  <c r="Y93" i="1"/>
  <c r="AC93" i="1" s="1"/>
  <c r="AF93" i="1"/>
  <c r="AG93" i="1" s="1"/>
  <c r="AE93" i="1"/>
  <c r="Y53" i="1"/>
  <c r="AC53" i="1" s="1"/>
  <c r="AF53" i="1"/>
  <c r="AE53" i="1"/>
  <c r="Y106" i="1"/>
  <c r="AC106" i="1" s="1"/>
  <c r="AF106" i="1"/>
  <c r="AE106" i="1"/>
  <c r="T106" i="1"/>
  <c r="R106" i="1" s="1"/>
  <c r="U106" i="1" s="1"/>
  <c r="O106" i="1" s="1"/>
  <c r="P106" i="1" s="1"/>
  <c r="Y28" i="1"/>
  <c r="AC28" i="1" s="1"/>
  <c r="AF28" i="1"/>
  <c r="AE28" i="1"/>
  <c r="T53" i="1"/>
  <c r="R53" i="1" s="1"/>
  <c r="U53" i="1" s="1"/>
  <c r="O53" i="1" s="1"/>
  <c r="P53" i="1" s="1"/>
  <c r="AF110" i="1"/>
  <c r="AE110" i="1"/>
  <c r="Y110" i="1"/>
  <c r="AC110" i="1" s="1"/>
  <c r="Y58" i="1"/>
  <c r="AC58" i="1" s="1"/>
  <c r="AF58" i="1"/>
  <c r="AE58" i="1"/>
  <c r="T114" i="1"/>
  <c r="R114" i="1" s="1"/>
  <c r="U114" i="1" s="1"/>
  <c r="O114" i="1" s="1"/>
  <c r="P114" i="1" s="1"/>
  <c r="AF46" i="1"/>
  <c r="Y46" i="1"/>
  <c r="AC46" i="1" s="1"/>
  <c r="AE46" i="1"/>
  <c r="T122" i="1"/>
  <c r="R122" i="1" s="1"/>
  <c r="U122" i="1" s="1"/>
  <c r="O122" i="1" s="1"/>
  <c r="P122" i="1" s="1"/>
  <c r="AG67" i="1"/>
  <c r="AG128" i="1"/>
  <c r="AG110" i="1" l="1"/>
  <c r="AG114" i="1"/>
  <c r="AG71" i="1"/>
  <c r="AG84" i="1"/>
  <c r="AG125" i="1"/>
  <c r="AG82" i="1"/>
  <c r="AG55" i="1"/>
  <c r="AG39" i="1"/>
  <c r="AG50" i="1"/>
  <c r="AG37" i="1"/>
  <c r="AG21" i="1"/>
  <c r="AG48" i="1"/>
  <c r="AG65" i="1"/>
  <c r="AG19" i="1"/>
  <c r="AG83" i="1"/>
  <c r="AG46" i="1"/>
  <c r="AG22" i="1"/>
  <c r="AG28" i="1"/>
  <c r="AG43" i="1"/>
  <c r="AG85" i="1"/>
  <c r="AG108" i="1"/>
  <c r="AG40" i="1"/>
  <c r="AG122" i="1"/>
  <c r="AG53" i="1"/>
  <c r="AG61" i="1"/>
  <c r="AG31" i="1"/>
  <c r="AG62" i="1"/>
  <c r="AG77" i="1"/>
  <c r="AG121" i="1"/>
  <c r="AG34" i="1"/>
  <c r="AG44" i="1"/>
  <c r="AG59" i="1"/>
  <c r="AG115" i="1"/>
  <c r="AG33" i="1"/>
  <c r="AG112" i="1"/>
  <c r="AG51" i="1"/>
  <c r="AG56" i="1"/>
  <c r="AG78" i="1"/>
  <c r="AG119" i="1"/>
  <c r="AG42" i="1"/>
  <c r="AG124" i="1"/>
  <c r="AG38" i="1"/>
  <c r="AG73" i="1"/>
  <c r="AG24" i="1"/>
  <c r="AG123" i="1"/>
  <c r="AG32" i="1"/>
  <c r="AG30" i="1"/>
  <c r="AG58" i="1"/>
  <c r="AG54" i="1"/>
  <c r="AG86" i="1"/>
  <c r="AG113" i="1"/>
  <c r="AG126" i="1"/>
  <c r="AG36" i="1"/>
  <c r="AG47" i="1"/>
  <c r="AG18" i="1"/>
  <c r="AG117" i="1"/>
  <c r="AG106" i="1"/>
  <c r="AG107" i="1"/>
  <c r="AG35" i="1"/>
  <c r="AG81" i="1"/>
  <c r="AG25" i="1"/>
  <c r="AG102" i="1"/>
  <c r="AG99" i="1"/>
  <c r="AG100" i="1"/>
</calcChain>
</file>

<file path=xl/sharedStrings.xml><?xml version="1.0" encoding="utf-8"?>
<sst xmlns="http://schemas.openxmlformats.org/spreadsheetml/2006/main" count="2843" uniqueCount="989">
  <si>
    <t>File opened</t>
  </si>
  <si>
    <t>2023-08-31 09:54:53</t>
  </si>
  <si>
    <t>Console s/n</t>
  </si>
  <si>
    <t>68C-812068</t>
  </si>
  <si>
    <t>Console ver</t>
  </si>
  <si>
    <t>Bluestem v.2.1.08</t>
  </si>
  <si>
    <t>Scripts ver</t>
  </si>
  <si>
    <t>2022.05  2.1.08, Aug 2022</t>
  </si>
  <si>
    <t>Head s/n</t>
  </si>
  <si>
    <t>68H-712058</t>
  </si>
  <si>
    <t>Head ver</t>
  </si>
  <si>
    <t>1.4.22</t>
  </si>
  <si>
    <t>Head cal</t>
  </si>
  <si>
    <t>{"oxygen": "21", "co2azero": "0.896213", "co2aspan1": "0.992529", "co2aspan2": "0.000215804", "co2aspan2a": "0.284401", "co2aspan2b": "0.282294", "co2aspanconc1": "2504", "co2aspanconc2": "300.9", "co2bzero": "0.910546", "co2bspan1": "0.992113", "co2bspan2": "0.00187891", "co2bspan2a": "0.280611", "co2bspan2b": "0.278546", "co2bspanconc1": "2504", "co2bspanconc2": "300.9", "h2oazero": "1.0352", "h2oaspan1": "1.00429", "h2oaspan2": "0", "h2oaspan2a": "0.0694857", "h2oaspan2b": "0.0697839", "h2oaspanconc1": "11.74", "h2oaspanconc2": "0", "h2obzero": "1.04075", "h2obspan1": "1.03991", "h2obspan2": "0", "h2obspan2a": "0.0674267", "h2obspan2b": "0.0701179", "h2obspanconc1": "11.74", "h2obspanconc2": "0", "tazero": "0.207907", "tbzero": "0.213327", "flowmeterzero": "0.996244", "flowazero": "0.30552", "flowbzero": "0.30617", "chamberpressurezero": "2.68145", "ssa_ref": "28781.3", "ssb_ref": "37236.4"}</t>
  </si>
  <si>
    <t>CO2 rangematch</t>
  </si>
  <si>
    <t>Sat Aug 26 10:17</t>
  </si>
  <si>
    <t>H2O rangematch</t>
  </si>
  <si>
    <t>Sat Aug 26 10:25</t>
  </si>
  <si>
    <t>Chamber type</t>
  </si>
  <si>
    <t>6800-01A</t>
  </si>
  <si>
    <t>Chamber s/n</t>
  </si>
  <si>
    <t>MPF-281817</t>
  </si>
  <si>
    <t>Chamber rev</t>
  </si>
  <si>
    <t>0</t>
  </si>
  <si>
    <t>Chamber cal</t>
  </si>
  <si>
    <t>Fluorometer</t>
  </si>
  <si>
    <t>Flr. Version</t>
  </si>
  <si>
    <t>09:54:53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</si>
  <si>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</si>
  <si>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</si>
  <si>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</si>
  <si>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</si>
  <si>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</si>
  <si>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</si>
  <si>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</si>
  <si>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</si>
  <si>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</si>
  <si>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</si>
  <si>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</si>
  <si>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</si>
  <si>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</si>
  <si>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</si>
  <si>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</si>
  <si>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</si>
  <si>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</si>
  <si>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</si>
  <si>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</si>
  <si>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</si>
  <si>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</si>
  <si>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</si>
  <si>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</si>
  <si>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</si>
  <si>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</si>
  <si>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</si>
  <si>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</si>
  <si>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</si>
  <si>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</si>
  <si>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</si>
  <si>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</si>
  <si>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</si>
  <si>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</si>
  <si>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</si>
  <si>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</si>
  <si>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</si>
  <si>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</si>
  <si>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</si>
  <si>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</si>
  <si>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</si>
  <si>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</si>
  <si>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</si>
  <si>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</si>
  <si>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</si>
  <si>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</si>
  <si>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</si>
  <si>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</si>
  <si>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</si>
  <si>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</si>
  <si>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</si>
  <si>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</si>
  <si>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</si>
  <si>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</si>
  <si>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</si>
  <si>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2.77003 89.3274 387.117 633.784 877.265 1078.29 1250.45 1412.05</t>
  </si>
  <si>
    <t>Fs_true</t>
  </si>
  <si>
    <t>0.262218 101.305 402.053 601.15 801.533 1003.14 1201.01 1401.04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</si>
  <si>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</si>
  <si>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</si>
  <si>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</si>
  <si>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</si>
  <si>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</si>
  <si>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</si>
  <si>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</si>
  <si>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</si>
  <si>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</si>
  <si>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</si>
  <si>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</si>
  <si>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</si>
  <si>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</si>
  <si>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</si>
  <si>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</si>
  <si>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</si>
  <si>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</si>
  <si>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</si>
  <si>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</si>
  <si>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</si>
  <si>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</si>
  <si>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</si>
  <si>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</si>
  <si>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</si>
  <si>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</si>
  <si>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</si>
  <si>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</si>
  <si>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</si>
  <si>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</si>
  <si>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</si>
  <si>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</si>
  <si>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</si>
  <si>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</si>
  <si>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</si>
  <si>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</si>
  <si>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</si>
  <si>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</si>
  <si>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</si>
  <si>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</si>
  <si>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</si>
  <si>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</si>
  <si>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</si>
  <si>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</si>
  <si>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</si>
  <si>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</si>
  <si>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</si>
  <si>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</si>
  <si>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</si>
  <si>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</si>
  <si>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</si>
  <si>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</si>
  <si>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</si>
  <si>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</si>
  <si>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</si>
  <si>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</si>
  <si>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</si>
  <si>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</si>
  <si>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</si>
  <si>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</si>
  <si>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</si>
  <si>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</si>
  <si>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</si>
  <si>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</si>
  <si>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</si>
  <si>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</si>
  <si>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</si>
  <si>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</si>
  <si>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</si>
  <si>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</si>
  <si>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</si>
  <si>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</si>
  <si>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</si>
  <si>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</si>
  <si>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</si>
  <si>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</si>
  <si>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</si>
  <si>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</si>
  <si>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</si>
  <si>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</si>
  <si>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</si>
  <si>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</si>
  <si>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</si>
  <si>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</si>
  <si>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</si>
  <si>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</si>
  <si>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</si>
  <si>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</si>
  <si>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</si>
  <si>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</si>
  <si>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</si>
  <si>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</si>
  <si>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</si>
  <si>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</si>
  <si>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</si>
  <si>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</si>
  <si>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</si>
  <si>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</si>
  <si>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</si>
  <si>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</si>
  <si>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</si>
  <si>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</si>
  <si>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</si>
  <si>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</si>
  <si>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</si>
  <si>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</si>
  <si>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</si>
  <si>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</si>
  <si>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</si>
  <si>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</si>
  <si>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</si>
  <si>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</si>
  <si>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</si>
  <si>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</si>
  <si>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</si>
  <si>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</si>
  <si>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</si>
  <si>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</si>
  <si>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</si>
  <si>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</si>
  <si>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</si>
  <si>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</si>
  <si>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</si>
  <si>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</si>
  <si>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</si>
  <si>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</si>
  <si>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</si>
  <si>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</si>
  <si>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</si>
  <si>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</si>
  <si>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</si>
  <si>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</si>
  <si>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</si>
  <si>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</si>
  <si>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</si>
  <si>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</si>
  <si>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</si>
  <si>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</si>
  <si>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</si>
  <si>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</si>
  <si>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</si>
  <si>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</si>
  <si>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</si>
  <si>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</si>
  <si>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</si>
  <si>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</si>
  <si>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</si>
  <si>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</si>
  <si>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</si>
  <si>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</si>
  <si>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</si>
  <si>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</si>
  <si>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</si>
  <si>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</si>
  <si>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</si>
  <si>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</si>
  <si>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</si>
  <si>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</si>
  <si>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</si>
  <si>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</si>
  <si>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</si>
  <si>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</si>
  <si>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</si>
  <si>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</si>
  <si>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</si>
  <si>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</si>
  <si>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</si>
  <si>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</si>
  <si>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</si>
  <si>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</si>
  <si>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</si>
  <si>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</si>
  <si>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</si>
  <si>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</si>
  <si>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</si>
  <si>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</si>
  <si>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</si>
  <si>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</si>
  <si>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</si>
  <si>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</si>
  <si>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</si>
  <si>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</si>
  <si>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</si>
  <si>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</si>
  <si>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</si>
  <si>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</si>
  <si>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</si>
  <si>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</si>
  <si>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</si>
  <si>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</si>
  <si>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</si>
  <si>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</si>
  <si>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</si>
  <si>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</si>
  <si>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</si>
  <si>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</si>
  <si>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</si>
  <si>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</si>
  <si>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</si>
  <si>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</si>
  <si>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</si>
  <si>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</si>
  <si>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</si>
  <si>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</si>
  <si>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</si>
  <si>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</si>
  <si>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</si>
  <si>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</si>
  <si>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</si>
  <si>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</si>
  <si>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</si>
  <si>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</si>
  <si>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</si>
  <si>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</si>
  <si>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</si>
  <si>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</si>
  <si>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</si>
  <si>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</si>
  <si>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</si>
  <si>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</si>
  <si>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</si>
  <si>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</si>
  <si>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</si>
  <si>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</si>
  <si>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</si>
  <si>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</si>
  <si>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</si>
  <si>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</si>
  <si>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</si>
  <si>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</si>
  <si>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</si>
  <si>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</si>
  <si>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</si>
  <si>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</si>
  <si>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</si>
  <si>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</si>
  <si>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</si>
  <si>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</si>
  <si>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</si>
  <si>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</si>
  <si>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</si>
  <si>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</si>
  <si>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</si>
  <si>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</si>
  <si>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</si>
  <si>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</si>
  <si>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</si>
  <si>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</si>
  <si>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</si>
  <si>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</si>
  <si>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</si>
  <si>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</si>
  <si>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</si>
  <si>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</si>
  <si>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</si>
  <si>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</si>
  <si>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</si>
  <si>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</si>
  <si>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</si>
  <si>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</si>
  <si>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</si>
  <si>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</si>
  <si>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</si>
  <si>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</si>
  <si>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</si>
  <si>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</si>
  <si>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</si>
  <si>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</si>
  <si>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</si>
  <si>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</si>
  <si>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</si>
  <si>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</si>
  <si>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</si>
  <si>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</si>
  <si>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</si>
  <si>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</si>
  <si>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</si>
  <si>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</si>
  <si>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</si>
  <si>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</si>
  <si>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</si>
  <si>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</si>
  <si>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</si>
  <si>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</si>
  <si>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</si>
  <si>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</si>
  <si>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</si>
  <si>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</si>
  <si>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</si>
  <si>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</si>
  <si>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</si>
  <si>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</si>
  <si>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</si>
  <si>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</si>
  <si>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</si>
  <si>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</si>
  <si>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</si>
  <si>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</si>
  <si>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</si>
  <si>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</si>
  <si>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</si>
  <si>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</si>
  <si>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</si>
  <si>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</si>
  <si>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</si>
  <si>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</si>
  <si>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</si>
  <si>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</si>
  <si>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</si>
  <si>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</si>
  <si>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</si>
  <si>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</si>
  <si>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</si>
  <si>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</si>
  <si>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</si>
  <si>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</si>
  <si>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</si>
  <si>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</si>
  <si>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</si>
  <si>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</si>
  <si>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</si>
  <si>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</si>
  <si>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</si>
  <si>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</si>
  <si>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</si>
  <si>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</si>
  <si>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</si>
  <si>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</si>
  <si>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20230831 10:02:16</t>
  </si>
  <si>
    <t>10:02:16</t>
  </si>
  <si>
    <t>none</t>
  </si>
  <si>
    <t>zg12a</t>
  </si>
  <si>
    <t>3</t>
  </si>
  <si>
    <t>MPF-918-20220629-11_33_48</t>
  </si>
  <si>
    <t>MPF-16706-20230831-10_02_13</t>
  </si>
  <si>
    <t>DARK-16707-20230831-10_02_20</t>
  </si>
  <si>
    <t>0: Broadleaf</t>
  </si>
  <si>
    <t>10:01:27</t>
  </si>
  <si>
    <t>2/2</t>
  </si>
  <si>
    <t>11111111</t>
  </si>
  <si>
    <t>oooooooo</t>
  </si>
  <si>
    <t>off</t>
  </si>
  <si>
    <t>20230831 10:04:58</t>
  </si>
  <si>
    <t>10:04:58</t>
  </si>
  <si>
    <t>MPF-16708-20230831-10_04_54</t>
  </si>
  <si>
    <t>DARK-16709-20230831-10_05_02</t>
  </si>
  <si>
    <t>10:04:04</t>
  </si>
  <si>
    <t>20230831 10:07:09</t>
  </si>
  <si>
    <t>10:07:09</t>
  </si>
  <si>
    <t>MPF-16710-20230831-10_07_05</t>
  </si>
  <si>
    <t>DARK-16711-20230831-10_07_13</t>
  </si>
  <si>
    <t>10:06:37</t>
  </si>
  <si>
    <t>20230831 10:09:05</t>
  </si>
  <si>
    <t>10:09:05</t>
  </si>
  <si>
    <t>MPF-16712-20230831-10_09_02</t>
  </si>
  <si>
    <t>DARK-16713-20230831-10_09_09</t>
  </si>
  <si>
    <t>10:08:32</t>
  </si>
  <si>
    <t>20230831 10:11:09</t>
  </si>
  <si>
    <t>10:11:09</t>
  </si>
  <si>
    <t>MPF-16714-20230831-10_11_06</t>
  </si>
  <si>
    <t>DARK-16715-20230831-10_11_13</t>
  </si>
  <si>
    <t>10:10:27</t>
  </si>
  <si>
    <t>20230831 10:13:12</t>
  </si>
  <si>
    <t>10:13:12</t>
  </si>
  <si>
    <t>MPF-16716-20230831-10_13_09</t>
  </si>
  <si>
    <t>DARK-16717-20230831-10_13_16</t>
  </si>
  <si>
    <t>10:12:41</t>
  </si>
  <si>
    <t>20230831 10:14:57</t>
  </si>
  <si>
    <t>10:14:57</t>
  </si>
  <si>
    <t>MPF-16718-20230831-10_14_54</t>
  </si>
  <si>
    <t>DARK-16719-20230831-10_15_01</t>
  </si>
  <si>
    <t>10:14:26</t>
  </si>
  <si>
    <t>20230831 10:18:06</t>
  </si>
  <si>
    <t>10:18:06</t>
  </si>
  <si>
    <t>MPF-16720-20230831-10_18_03</t>
  </si>
  <si>
    <t>DARK-16721-20230831-10_18_10</t>
  </si>
  <si>
    <t>10:16:33</t>
  </si>
  <si>
    <t>1/2</t>
  </si>
  <si>
    <t>20230831 10:20:47</t>
  </si>
  <si>
    <t>10:20:47</t>
  </si>
  <si>
    <t>MPF-16722-20230831-10_20_44</t>
  </si>
  <si>
    <t>DARK-16723-20230831-10_20_51</t>
  </si>
  <si>
    <t>10:19:24</t>
  </si>
  <si>
    <t>20230831 10:22:46</t>
  </si>
  <si>
    <t>10:22:46</t>
  </si>
  <si>
    <t>MPF-16724-20230831-10_22_43</t>
  </si>
  <si>
    <t>DARK-16725-20230831-10_22_50</t>
  </si>
  <si>
    <t>10:22:18</t>
  </si>
  <si>
    <t>20230831 10:24:49</t>
  </si>
  <si>
    <t>10:24:49</t>
  </si>
  <si>
    <t>MPF-16726-20230831-10_24_46</t>
  </si>
  <si>
    <t>DARK-16727-20230831-10_24_53</t>
  </si>
  <si>
    <t>10:24:10</t>
  </si>
  <si>
    <t>20230831 10:26:52</t>
  </si>
  <si>
    <t>10:26:52</t>
  </si>
  <si>
    <t>MPF-16728-20230831-10_26_49</t>
  </si>
  <si>
    <t>DARK-16729-20230831-10_26_56</t>
  </si>
  <si>
    <t>10:26:18</t>
  </si>
  <si>
    <t>20230831 10:28:54</t>
  </si>
  <si>
    <t>10:28:54</t>
  </si>
  <si>
    <t>MPF-16730-20230831-10_28_51</t>
  </si>
  <si>
    <t>DARK-16731-20230831-10_28_58</t>
  </si>
  <si>
    <t>10:28:16</t>
  </si>
  <si>
    <t>20230831 10:30:50</t>
  </si>
  <si>
    <t>10:30:50</t>
  </si>
  <si>
    <t>MPF-16732-20230831-10_30_47</t>
  </si>
  <si>
    <t>DARK-16733-20230831-10_30_54</t>
  </si>
  <si>
    <t>10:30:19</t>
  </si>
  <si>
    <t>20230831 11:23:09</t>
  </si>
  <si>
    <t>11:23:09</t>
  </si>
  <si>
    <t>wt</t>
  </si>
  <si>
    <t>2</t>
  </si>
  <si>
    <t>MPF-16734-20230831-11_23_06</t>
  </si>
  <si>
    <t>DARK-16735-20230831-11_23_14</t>
  </si>
  <si>
    <t>11:22:34</t>
  </si>
  <si>
    <t>20230831 11:25:06</t>
  </si>
  <si>
    <t>11:25:06</t>
  </si>
  <si>
    <t>MPF-16736-20230831-11_25_03</t>
  </si>
  <si>
    <t>DARK-16737-20230831-11_25_10</t>
  </si>
  <si>
    <t>11:24:33</t>
  </si>
  <si>
    <t>20230831 11:26:52</t>
  </si>
  <si>
    <t>11:26:52</t>
  </si>
  <si>
    <t>MPF-16738-20230831-11_26_49</t>
  </si>
  <si>
    <t>DARK-16739-20230831-11_26_56</t>
  </si>
  <si>
    <t>11:26:17</t>
  </si>
  <si>
    <t>20230831 11:29:10</t>
  </si>
  <si>
    <t>11:29:10</t>
  </si>
  <si>
    <t>MPF-16740-20230831-11_29_07</t>
  </si>
  <si>
    <t>DARK-16741-20230831-11_29_14</t>
  </si>
  <si>
    <t>11:28:36</t>
  </si>
  <si>
    <t>20230831 11:31:03</t>
  </si>
  <si>
    <t>11:31:03</t>
  </si>
  <si>
    <t>MPF-16742-20230831-11_31_00</t>
  </si>
  <si>
    <t>DARK-16743-20230831-11_31_07</t>
  </si>
  <si>
    <t>11:30:29</t>
  </si>
  <si>
    <t>20230831 11:32:53</t>
  </si>
  <si>
    <t>11:32:53</t>
  </si>
  <si>
    <t>MPF-16744-20230831-11_32_50</t>
  </si>
  <si>
    <t>DARK-16745-20230831-11_32_57</t>
  </si>
  <si>
    <t>11:32:20</t>
  </si>
  <si>
    <t>20230831 11:34:35</t>
  </si>
  <si>
    <t>11:34:35</t>
  </si>
  <si>
    <t>MPF-16746-20230831-11_34_32</t>
  </si>
  <si>
    <t>DARK-16747-20230831-11_34_39</t>
  </si>
  <si>
    <t>11:34:02</t>
  </si>
  <si>
    <t>20230831 11:37:44</t>
  </si>
  <si>
    <t>11:37:44</t>
  </si>
  <si>
    <t>MPF-16748-20230831-11_37_41</t>
  </si>
  <si>
    <t>DARK-16749-20230831-11_37_49</t>
  </si>
  <si>
    <t>11:36:07</t>
  </si>
  <si>
    <t>20230831 11:40:03</t>
  </si>
  <si>
    <t>11:40:03</t>
  </si>
  <si>
    <t>MPF-16750-20230831-11_40_00</t>
  </si>
  <si>
    <t>DARK-16751-20230831-11_40_07</t>
  </si>
  <si>
    <t>11:39:28</t>
  </si>
  <si>
    <t>20230831 11:41:46</t>
  </si>
  <si>
    <t>11:41:46</t>
  </si>
  <si>
    <t>MPF-16752-20230831-11_41_43</t>
  </si>
  <si>
    <t>DARK-16753-20230831-11_41_50</t>
  </si>
  <si>
    <t>11:41:12</t>
  </si>
  <si>
    <t>20230831 11:43:37</t>
  </si>
  <si>
    <t>11:43:37</t>
  </si>
  <si>
    <t>MPF-16754-20230831-11_43_34</t>
  </si>
  <si>
    <t>DARK-16755-20230831-11_43_41</t>
  </si>
  <si>
    <t>11:43:04</t>
  </si>
  <si>
    <t>20230831 11:45:23</t>
  </si>
  <si>
    <t>11:45:23</t>
  </si>
  <si>
    <t>MPF-16756-20230831-11_45_20</t>
  </si>
  <si>
    <t>DARK-16757-20230831-11_45_27</t>
  </si>
  <si>
    <t>11:44:52</t>
  </si>
  <si>
    <t>20230831 11:47:20</t>
  </si>
  <si>
    <t>11:47:20</t>
  </si>
  <si>
    <t>MPF-16758-20230831-11_47_17</t>
  </si>
  <si>
    <t>DARK-16759-20230831-11_47_25</t>
  </si>
  <si>
    <t>11:46:49</t>
  </si>
  <si>
    <t>20230831 11:49:08</t>
  </si>
  <si>
    <t>11:49:08</t>
  </si>
  <si>
    <t>MPF-16760-20230831-11_49_05</t>
  </si>
  <si>
    <t>DARK-16761-20230831-11_49_12</t>
  </si>
  <si>
    <t>11:48:36</t>
  </si>
  <si>
    <t>20230831 12:23:47</t>
  </si>
  <si>
    <t>12:23:47</t>
  </si>
  <si>
    <t>zg5b</t>
  </si>
  <si>
    <t>MPF-16762-20230831-12_23_44</t>
  </si>
  <si>
    <t>DARK-16763-20230831-12_23_52</t>
  </si>
  <si>
    <t>12:23:05</t>
  </si>
  <si>
    <t>20230831 12:25:37</t>
  </si>
  <si>
    <t>12:25:37</t>
  </si>
  <si>
    <t>MPF-16764-20230831-12_25_34</t>
  </si>
  <si>
    <t>DARK-16765-20230831-12_25_41</t>
  </si>
  <si>
    <t>12:24:54</t>
  </si>
  <si>
    <t>20230831 12:28:09</t>
  </si>
  <si>
    <t>12:28:09</t>
  </si>
  <si>
    <t>MPF-16766-20230831-12_28_06</t>
  </si>
  <si>
    <t>DARK-16767-20230831-12_28_14</t>
  </si>
  <si>
    <t>12:27:12</t>
  </si>
  <si>
    <t>20230831 12:30:04</t>
  </si>
  <si>
    <t>12:30:04</t>
  </si>
  <si>
    <t>MPF-16768-20230831-12_30_01</t>
  </si>
  <si>
    <t>DARK-16769-20230831-12_30_09</t>
  </si>
  <si>
    <t>12:29:24</t>
  </si>
  <si>
    <t>20230831 12:32:00</t>
  </si>
  <si>
    <t>12:32:00</t>
  </si>
  <si>
    <t>MPF-16770-20230831-12_31_57</t>
  </si>
  <si>
    <t>DARK-16771-20230831-12_32_04</t>
  </si>
  <si>
    <t>12:31:21</t>
  </si>
  <si>
    <t>20230831 12:33:55</t>
  </si>
  <si>
    <t>12:33:55</t>
  </si>
  <si>
    <t>MPF-16772-20230831-12_33_52</t>
  </si>
  <si>
    <t>DARK-16773-20230831-12_34_00</t>
  </si>
  <si>
    <t>12:33:21</t>
  </si>
  <si>
    <t>20230831 12:35:35</t>
  </si>
  <si>
    <t>12:35:35</t>
  </si>
  <si>
    <t>MPF-16774-20230831-12_35_32</t>
  </si>
  <si>
    <t>DARK-16775-20230831-12_35_39</t>
  </si>
  <si>
    <t>12:35:00</t>
  </si>
  <si>
    <t>20230831 12:38:44</t>
  </si>
  <si>
    <t>12:38:44</t>
  </si>
  <si>
    <t>MPF-16776-20230831-12_38_41</t>
  </si>
  <si>
    <t>DARK-16777-20230831-12_38_49</t>
  </si>
  <si>
    <t>12:37:10</t>
  </si>
  <si>
    <t>20230831 12:41:12</t>
  </si>
  <si>
    <t>12:41:12</t>
  </si>
  <si>
    <t>MPF-16778-20230831-12_41_09</t>
  </si>
  <si>
    <t>DARK-16779-20230831-12_41_17</t>
  </si>
  <si>
    <t>12:39:56</t>
  </si>
  <si>
    <t>20230831 12:43:12</t>
  </si>
  <si>
    <t>12:43:12</t>
  </si>
  <si>
    <t>MPF-16780-20230831-12_43_09</t>
  </si>
  <si>
    <t>DARK-16781-20230831-12_43_16</t>
  </si>
  <si>
    <t>12:42:36</t>
  </si>
  <si>
    <t>20230831 12:45:20</t>
  </si>
  <si>
    <t>12:45:20</t>
  </si>
  <si>
    <t>MPF-16782-20230831-12_45_17</t>
  </si>
  <si>
    <t>DARK-16783-20230831-12_45_24</t>
  </si>
  <si>
    <t>12:44:43</t>
  </si>
  <si>
    <t>20230831 12:47:11</t>
  </si>
  <si>
    <t>12:47:11</t>
  </si>
  <si>
    <t>MPF-16784-20230831-12_47_08</t>
  </si>
  <si>
    <t>DARK-16785-20230831-12_47_16</t>
  </si>
  <si>
    <t>12:46:36</t>
  </si>
  <si>
    <t>20230831 12:49:03</t>
  </si>
  <si>
    <t>12:49:03</t>
  </si>
  <si>
    <t>MPF-16786-20230831-12_49_00</t>
  </si>
  <si>
    <t>DARK-16787-20230831-12_49_08</t>
  </si>
  <si>
    <t>12:48:31</t>
  </si>
  <si>
    <t>20230831 12:51:24</t>
  </si>
  <si>
    <t>12:51:24</t>
  </si>
  <si>
    <t>MPF-16788-20230831-12_51_21</t>
  </si>
  <si>
    <t>DARK-16789-20230831-12_51_29</t>
  </si>
  <si>
    <t>12:50:53</t>
  </si>
  <si>
    <t>20230831 13:28:15</t>
  </si>
  <si>
    <t>13:28:15</t>
  </si>
  <si>
    <t>4</t>
  </si>
  <si>
    <t>MPF-16790-20230831-13_28_12</t>
  </si>
  <si>
    <t>DARK-16791-20230831-13_28_19</t>
  </si>
  <si>
    <t>13:27:41</t>
  </si>
  <si>
    <t>20230831 13:30:00</t>
  </si>
  <si>
    <t>13:30:00</t>
  </si>
  <si>
    <t>MPF-16792-20230831-13_29_57</t>
  </si>
  <si>
    <t>DARK-16793-20230831-13_30_05</t>
  </si>
  <si>
    <t>13:29:28</t>
  </si>
  <si>
    <t>20230831 13:31:55</t>
  </si>
  <si>
    <t>13:31:55</t>
  </si>
  <si>
    <t>MPF-16794-20230831-13_31_52</t>
  </si>
  <si>
    <t>DARK-16795-20230831-13_31_59</t>
  </si>
  <si>
    <t>13:31:20</t>
  </si>
  <si>
    <t>20230831 13:34:01</t>
  </si>
  <si>
    <t>13:34:01</t>
  </si>
  <si>
    <t>MPF-16796-20230831-13_33_58</t>
  </si>
  <si>
    <t>DARK-16797-20230831-13_34_06</t>
  </si>
  <si>
    <t>13:33:29</t>
  </si>
  <si>
    <t>20230831 13:35:41</t>
  </si>
  <si>
    <t>13:35:41</t>
  </si>
  <si>
    <t>MPF-16798-20230831-13_35_38</t>
  </si>
  <si>
    <t>DARK-16799-20230831-13_35_45</t>
  </si>
  <si>
    <t>13:35:09</t>
  </si>
  <si>
    <t>20230831 13:37:25</t>
  </si>
  <si>
    <t>13:37:25</t>
  </si>
  <si>
    <t>MPF-16800-20230831-13_37_22</t>
  </si>
  <si>
    <t>DARK-16801-20230831-13_37_29</t>
  </si>
  <si>
    <t>13:36:55</t>
  </si>
  <si>
    <t>20230831 13:39:04</t>
  </si>
  <si>
    <t>13:39:04</t>
  </si>
  <si>
    <t>MPF-16802-20230831-13_39_01</t>
  </si>
  <si>
    <t>DARK-16803-20230831-13_39_09</t>
  </si>
  <si>
    <t>13:38:32</t>
  </si>
  <si>
    <t>20230831 13:42:14</t>
  </si>
  <si>
    <t>13:42:14</t>
  </si>
  <si>
    <t>MPF-16804-20230831-13_42_11</t>
  </si>
  <si>
    <t>DARK-16805-20230831-13_42_18</t>
  </si>
  <si>
    <t>13:40:49</t>
  </si>
  <si>
    <t>20230831 13:44:34</t>
  </si>
  <si>
    <t>13:44:34</t>
  </si>
  <si>
    <t>MPF-16806-20230831-13_44_31</t>
  </si>
  <si>
    <t>DARK-16807-20230831-13_44_39</t>
  </si>
  <si>
    <t>13:44:03</t>
  </si>
  <si>
    <t>20230831 13:46:15</t>
  </si>
  <si>
    <t>13:46:15</t>
  </si>
  <si>
    <t>MPF-16808-20230831-13_46_12</t>
  </si>
  <si>
    <t>DARK-16809-20230831-13_46_19</t>
  </si>
  <si>
    <t>13:45:39</t>
  </si>
  <si>
    <t>20230831 13:48:27</t>
  </si>
  <si>
    <t>13:48:27</t>
  </si>
  <si>
    <t>MPF-16810-20230831-13_48_24</t>
  </si>
  <si>
    <t>DARK-16811-20230831-13_48_31</t>
  </si>
  <si>
    <t>13:47:54</t>
  </si>
  <si>
    <t>20230831 13:50:09</t>
  </si>
  <si>
    <t>13:50:09</t>
  </si>
  <si>
    <t>MPF-16812-20230831-13_50_06</t>
  </si>
  <si>
    <t>DARK-16813-20230831-13_50_13</t>
  </si>
  <si>
    <t>13:49:39</t>
  </si>
  <si>
    <t>20230831 13:52:21</t>
  </si>
  <si>
    <t>13:52:21</t>
  </si>
  <si>
    <t>MPF-16814-20230831-13_52_18</t>
  </si>
  <si>
    <t>DARK-16815-20230831-13_52_25</t>
  </si>
  <si>
    <t>13:51:50</t>
  </si>
  <si>
    <t>20230831 13:54:23</t>
  </si>
  <si>
    <t>13:54:23</t>
  </si>
  <si>
    <t>MPF-16816-20230831-13_54_21</t>
  </si>
  <si>
    <t>DARK-16817-20230831-13_54_28</t>
  </si>
  <si>
    <t>13:53:48</t>
  </si>
  <si>
    <t>20230831 14:12:14</t>
  </si>
  <si>
    <t>14:12:14</t>
  </si>
  <si>
    <t>5</t>
  </si>
  <si>
    <t>MPF-16818-20230831-14_12_11</t>
  </si>
  <si>
    <t>DARK-16819-20230831-14_12_18</t>
  </si>
  <si>
    <t>14:11:38</t>
  </si>
  <si>
    <t>20230831 14:14:15</t>
  </si>
  <si>
    <t>14:14:15</t>
  </si>
  <si>
    <t>MPF-16820-20230831-14_14_13</t>
  </si>
  <si>
    <t>DARK-16821-20230831-14_14_20</t>
  </si>
  <si>
    <t>14:13:41</t>
  </si>
  <si>
    <t>20230831 14:15:59</t>
  </si>
  <si>
    <t>14:15:59</t>
  </si>
  <si>
    <t>MPF-16822-20230831-14_15_57</t>
  </si>
  <si>
    <t>DARK-16823-20230831-14_16_04</t>
  </si>
  <si>
    <t>14:15:26</t>
  </si>
  <si>
    <t>20230831 14:17:48</t>
  </si>
  <si>
    <t>14:17:48</t>
  </si>
  <si>
    <t>MPF-16824-20230831-14_17_46</t>
  </si>
  <si>
    <t>DARK-16825-20230831-14_17_53</t>
  </si>
  <si>
    <t>14:17:17</t>
  </si>
  <si>
    <t>20230831 14:19:37</t>
  </si>
  <si>
    <t>14:19:37</t>
  </si>
  <si>
    <t>MPF-16826-20230831-14_19_34</t>
  </si>
  <si>
    <t>DARK-16827-20230831-14_19_41</t>
  </si>
  <si>
    <t>14:19:06</t>
  </si>
  <si>
    <t>20230831 14:21:32</t>
  </si>
  <si>
    <t>14:21:32</t>
  </si>
  <si>
    <t>MPF-16828-20230831-14_21_29</t>
  </si>
  <si>
    <t>DARK-16829-20230831-14_21_36</t>
  </si>
  <si>
    <t>14:20:58</t>
  </si>
  <si>
    <t>20230831 14:23:11</t>
  </si>
  <si>
    <t>14:23:11</t>
  </si>
  <si>
    <t>MPF-16830-20230831-14_23_09</t>
  </si>
  <si>
    <t>DARK-16831-20230831-14_23_16</t>
  </si>
  <si>
    <t>14:22:37</t>
  </si>
  <si>
    <t>20230831 14:26:21</t>
  </si>
  <si>
    <t>14:26:21</t>
  </si>
  <si>
    <t>MPF-16832-20230831-14_26_18</t>
  </si>
  <si>
    <t>DARK-16833-20230831-14_26_25</t>
  </si>
  <si>
    <t>14:24:44</t>
  </si>
  <si>
    <t>20230831 14:29:26</t>
  </si>
  <si>
    <t>14:29:26</t>
  </si>
  <si>
    <t>MPF-16834-20230831-14_29_23</t>
  </si>
  <si>
    <t>DARK-16835-20230831-14_29_30</t>
  </si>
  <si>
    <t>14:27:29</t>
  </si>
  <si>
    <t>20230831 14:31:05</t>
  </si>
  <si>
    <t>14:31:05</t>
  </si>
  <si>
    <t>MPF-16836-20230831-14_31_03</t>
  </si>
  <si>
    <t>DARK-16837-20230831-14_31_10</t>
  </si>
  <si>
    <t>14:30:37</t>
  </si>
  <si>
    <t>20230831 14:32:54</t>
  </si>
  <si>
    <t>14:32:54</t>
  </si>
  <si>
    <t>MPF-16838-20230831-14_32_51</t>
  </si>
  <si>
    <t>DARK-16839-20230831-14_32_58</t>
  </si>
  <si>
    <t>14:32:26</t>
  </si>
  <si>
    <t>20230831 14:34:51</t>
  </si>
  <si>
    <t>14:34:51</t>
  </si>
  <si>
    <t>MPF-16840-20230831-14_34_48</t>
  </si>
  <si>
    <t>DARK-16841-20230831-14_34_55</t>
  </si>
  <si>
    <t>14:34:22</t>
  </si>
  <si>
    <t>20230831 14:36:44</t>
  </si>
  <si>
    <t>14:36:44</t>
  </si>
  <si>
    <t>MPF-16842-20230831-14_36_41</t>
  </si>
  <si>
    <t>DARK-16843-20230831-14_36_48</t>
  </si>
  <si>
    <t>14:36:12</t>
  </si>
  <si>
    <t>20230831 14:38:38</t>
  </si>
  <si>
    <t>14:38:38</t>
  </si>
  <si>
    <t>MPF-16844-20230831-14_38_36</t>
  </si>
  <si>
    <t>DARK-16845-20230831-14_38_43</t>
  </si>
  <si>
    <t>14:38:05</t>
  </si>
  <si>
    <t>20230831 15:02:34</t>
  </si>
  <si>
    <t>15:02:34</t>
  </si>
  <si>
    <t>hn1a</t>
  </si>
  <si>
    <t>6</t>
  </si>
  <si>
    <t>MPF-16846-20230831-15_02_32</t>
  </si>
  <si>
    <t>DARK-16847-20230831-15_02_39</t>
  </si>
  <si>
    <t>15:02:05</t>
  </si>
  <si>
    <t>20230831 15:04:14</t>
  </si>
  <si>
    <t>15:04:14</t>
  </si>
  <si>
    <t>MPF-16848-20230831-15_04_11</t>
  </si>
  <si>
    <t>DARK-16849-20230831-15_04_19</t>
  </si>
  <si>
    <t>15:03:43</t>
  </si>
  <si>
    <t>20230831 15:06:51</t>
  </si>
  <si>
    <t>15:06:51</t>
  </si>
  <si>
    <t>MPF-16850-20230831-15_06_49</t>
  </si>
  <si>
    <t>DARK-16851-20230831-15_06_56</t>
  </si>
  <si>
    <t>15:05:42</t>
  </si>
  <si>
    <t>20230831 15:08:36</t>
  </si>
  <si>
    <t>15:08:36</t>
  </si>
  <si>
    <t>MPF-16852-20230831-15_08_34</t>
  </si>
  <si>
    <t>DARK-16853-20230831-15_08_41</t>
  </si>
  <si>
    <t>15:08:06</t>
  </si>
  <si>
    <t>20230831 15:10:39</t>
  </si>
  <si>
    <t>15:10:39</t>
  </si>
  <si>
    <t>MPF-16854-20230831-15_10_37</t>
  </si>
  <si>
    <t>DARK-16855-20230831-15_10_44</t>
  </si>
  <si>
    <t>15:10:04</t>
  </si>
  <si>
    <t>20230831 15:12:33</t>
  </si>
  <si>
    <t>15:12:33</t>
  </si>
  <si>
    <t>MPF-16856-20230831-15_12_31</t>
  </si>
  <si>
    <t>DARK-16857-20230831-15_12_38</t>
  </si>
  <si>
    <t>15:12:03</t>
  </si>
  <si>
    <t>20230831 15:14:28</t>
  </si>
  <si>
    <t>15:14:28</t>
  </si>
  <si>
    <t>MPF-16858-20230831-15_14_25</t>
  </si>
  <si>
    <t>DARK-16859-20230831-15_14_33</t>
  </si>
  <si>
    <t>15:13:57</t>
  </si>
  <si>
    <t>20230831 15:17:31</t>
  </si>
  <si>
    <t>15:17:31</t>
  </si>
  <si>
    <t>MPF-16860-20230831-15_17_29</t>
  </si>
  <si>
    <t>DARK-16861-20230831-15_17_36</t>
  </si>
  <si>
    <t>15:16:14</t>
  </si>
  <si>
    <t>20230831 15:20:37</t>
  </si>
  <si>
    <t>15:20:37</t>
  </si>
  <si>
    <t>MPF-16862-20230831-15_20_34</t>
  </si>
  <si>
    <t>DARK-16863-20230831-15_20_42</t>
  </si>
  <si>
    <t>15:18:55</t>
  </si>
  <si>
    <t>20230831 15:22:16</t>
  </si>
  <si>
    <t>15:22:16</t>
  </si>
  <si>
    <t>MPF-16864-20230831-15_22_14</t>
  </si>
  <si>
    <t>DARK-16865-20230831-15_22_21</t>
  </si>
  <si>
    <t>15:21:44</t>
  </si>
  <si>
    <t>20230831 15:23:56</t>
  </si>
  <si>
    <t>15:23:56</t>
  </si>
  <si>
    <t>MPF-16866-20230831-15_23_53</t>
  </si>
  <si>
    <t>DARK-16867-20230831-15_24_00</t>
  </si>
  <si>
    <t>15:23:21</t>
  </si>
  <si>
    <t>20230831 15:25:39</t>
  </si>
  <si>
    <t>15:25:39</t>
  </si>
  <si>
    <t>MPF-16868-20230831-15_25_36</t>
  </si>
  <si>
    <t>DARK-16869-20230831-15_25_44</t>
  </si>
  <si>
    <t>15:25:09</t>
  </si>
  <si>
    <t>20230831 15:27:35</t>
  </si>
  <si>
    <t>15:27:35</t>
  </si>
  <si>
    <t>MPF-16870-20230831-15_27_33</t>
  </si>
  <si>
    <t>DARK-16871-20230831-15_27_40</t>
  </si>
  <si>
    <t>15:27:04</t>
  </si>
  <si>
    <t>20230831 15:29:32</t>
  </si>
  <si>
    <t>15:29:32</t>
  </si>
  <si>
    <t>MPF-16872-20230831-15_29_29</t>
  </si>
  <si>
    <t>DARK-16873-20230831-15_29_37</t>
  </si>
  <si>
    <t>15:28:59</t>
  </si>
  <si>
    <t>20230831 16:04:35</t>
  </si>
  <si>
    <t>16:04:35</t>
  </si>
  <si>
    <t>MPF-16876-20230831-16_04_33</t>
  </si>
  <si>
    <t>DARK-16877-20230831-16_04_40</t>
  </si>
  <si>
    <t>16:04:04</t>
  </si>
  <si>
    <t>20230831 16:06:15</t>
  </si>
  <si>
    <t>16:06:15</t>
  </si>
  <si>
    <t>MPF-16878-20230831-16_06_12</t>
  </si>
  <si>
    <t>DARK-16879-20230831-16_06_20</t>
  </si>
  <si>
    <t>16:05:48</t>
  </si>
  <si>
    <t>20230831 16:08:48</t>
  </si>
  <si>
    <t>16:08:48</t>
  </si>
  <si>
    <t>MPF-16880-20230831-16_08_46</t>
  </si>
  <si>
    <t>DARK-16881-20230831-16_08_53</t>
  </si>
  <si>
    <t>16:07:24</t>
  </si>
  <si>
    <t>20230831 16:10:41</t>
  </si>
  <si>
    <t>16:10:41</t>
  </si>
  <si>
    <t>MPF-16882-20230831-16_10_39</t>
  </si>
  <si>
    <t>DARK-16883-20230831-16_10_46</t>
  </si>
  <si>
    <t>16:10:00</t>
  </si>
  <si>
    <t>20230831 16:12:25</t>
  </si>
  <si>
    <t>16:12:25</t>
  </si>
  <si>
    <t>MPF-16884-20230831-16_12_22</t>
  </si>
  <si>
    <t>DARK-16885-20230831-16_12_30</t>
  </si>
  <si>
    <t>16:11:45</t>
  </si>
  <si>
    <t>20230831 16:14:12</t>
  </si>
  <si>
    <t>16:14:12</t>
  </si>
  <si>
    <t>MPF-16886-20230831-16_14_09</t>
  </si>
  <si>
    <t>DARK-16887-20230831-16_14_17</t>
  </si>
  <si>
    <t>16:13:42</t>
  </si>
  <si>
    <t>20230831 16:16:04</t>
  </si>
  <si>
    <t>16:16:04</t>
  </si>
  <si>
    <t>MPF-16888-20230831-16_16_02</t>
  </si>
  <si>
    <t>DARK-16889-20230831-16_16_09</t>
  </si>
  <si>
    <t>16:15:33</t>
  </si>
  <si>
    <t>20230831 16:19:09</t>
  </si>
  <si>
    <t>16:19:09</t>
  </si>
  <si>
    <t>MPF-16890-20230831-16_19_07</t>
  </si>
  <si>
    <t>DARK-16891-20230831-16_19_14</t>
  </si>
  <si>
    <t>16:17:32</t>
  </si>
  <si>
    <t>20230831 16:22:19</t>
  </si>
  <si>
    <t>16:22:19</t>
  </si>
  <si>
    <t>MPF-16892-20230831-16_22_16</t>
  </si>
  <si>
    <t>DARK-16893-20230831-16_22_24</t>
  </si>
  <si>
    <t>16:20:15</t>
  </si>
  <si>
    <t>20230831 16:24:02</t>
  </si>
  <si>
    <t>16:24:02</t>
  </si>
  <si>
    <t>MPF-16894-20230831-16_23_59</t>
  </si>
  <si>
    <t>DARK-16895-20230831-16_24_07</t>
  </si>
  <si>
    <t>16:23:27</t>
  </si>
  <si>
    <t>20230831 16:25:55</t>
  </si>
  <si>
    <t>16:25:55</t>
  </si>
  <si>
    <t>MPF-16896-20230831-16_25_52</t>
  </si>
  <si>
    <t>DARK-16897-20230831-16_26_00</t>
  </si>
  <si>
    <t>16:25:26</t>
  </si>
  <si>
    <t>20230831 16:27:55</t>
  </si>
  <si>
    <t>16:27:55</t>
  </si>
  <si>
    <t>MPF-16898-20230831-16_27_53</t>
  </si>
  <si>
    <t>DARK-16899-20230831-16_28_00</t>
  </si>
  <si>
    <t>16:27:27</t>
  </si>
  <si>
    <t>20230831 16:29:40</t>
  </si>
  <si>
    <t>16:29:40</t>
  </si>
  <si>
    <t>MPF-16900-20230831-16_29_37</t>
  </si>
  <si>
    <t>DARK-16901-20230831-16_29_45</t>
  </si>
  <si>
    <t>16:29:17</t>
  </si>
  <si>
    <t>20230831 16:32:15</t>
  </si>
  <si>
    <t>16:32:15</t>
  </si>
  <si>
    <t>MPF-16902-20230831-16_32_12</t>
  </si>
  <si>
    <t>DARK-16903-20230831-16_32_20</t>
  </si>
  <si>
    <t>16:31:38</t>
  </si>
  <si>
    <t>20230831 17:30:59</t>
  </si>
  <si>
    <t>17:30:59</t>
  </si>
  <si>
    <t>MPF-16904-20230831-17_30_57</t>
  </si>
  <si>
    <t>DARK-16905-20230831-17_31_04</t>
  </si>
  <si>
    <t>17:30:28</t>
  </si>
  <si>
    <t>20230831 17:32:48</t>
  </si>
  <si>
    <t>17:32:48</t>
  </si>
  <si>
    <t>MPF-16906-20230831-17_32_45</t>
  </si>
  <si>
    <t>DARK-16907-20230831-17_32_53</t>
  </si>
  <si>
    <t>17:32:17</t>
  </si>
  <si>
    <t>20230831 17:34:35</t>
  </si>
  <si>
    <t>17:34:35</t>
  </si>
  <si>
    <t>MPF-16908-20230831-17_34_33</t>
  </si>
  <si>
    <t>DARK-16909-20230831-17_34_40</t>
  </si>
  <si>
    <t>17:34:01</t>
  </si>
  <si>
    <t>20230831 17:36:24</t>
  </si>
  <si>
    <t>17:36:24</t>
  </si>
  <si>
    <t>MPF-16910-20230831-17_36_22</t>
  </si>
  <si>
    <t>DARK-16911-20230831-17_36_29</t>
  </si>
  <si>
    <t>17:35:45</t>
  </si>
  <si>
    <t>20230831 17:38:29</t>
  </si>
  <si>
    <t>17:38:29</t>
  </si>
  <si>
    <t>MPF-16912-20230831-17_38_27</t>
  </si>
  <si>
    <t>DARK-16913-20230831-17_38_34</t>
  </si>
  <si>
    <t>17:37:58</t>
  </si>
  <si>
    <t>20230831 17:40:49</t>
  </si>
  <si>
    <t>17:40:49</t>
  </si>
  <si>
    <t>MPF-16914-20230831-17_40_47</t>
  </si>
  <si>
    <t>DARK-16915-20230831-17_40_54</t>
  </si>
  <si>
    <t>17:40:16</t>
  </si>
  <si>
    <t>20230831 17:42:31</t>
  </si>
  <si>
    <t>17:42:31</t>
  </si>
  <si>
    <t>MPF-16916-20230831-17_42_29</t>
  </si>
  <si>
    <t>DARK-16917-20230831-17_42_36</t>
  </si>
  <si>
    <t>17:41:57</t>
  </si>
  <si>
    <t>20230831 17:45:40</t>
  </si>
  <si>
    <t>17:45:40</t>
  </si>
  <si>
    <t>MPF-16918-20230831-17_45_38</t>
  </si>
  <si>
    <t>DARK-16919-20230831-17_45_45</t>
  </si>
  <si>
    <t>17:44:06</t>
  </si>
  <si>
    <t>20230831 17:48:28</t>
  </si>
  <si>
    <t>17:48:28</t>
  </si>
  <si>
    <t>MPF-16920-20230831-17_48_26</t>
  </si>
  <si>
    <t>DARK-16921-20230831-17_48_33</t>
  </si>
  <si>
    <t>17:46:58</t>
  </si>
  <si>
    <t>20230831 17:50:13</t>
  </si>
  <si>
    <t>17:50:13</t>
  </si>
  <si>
    <t>MPF-16922-20230831-17_50_11</t>
  </si>
  <si>
    <t>DARK-16923-20230831-17_50_18</t>
  </si>
  <si>
    <t>17:49:43</t>
  </si>
  <si>
    <t>20230831 17:51:52</t>
  </si>
  <si>
    <t>17:51:52</t>
  </si>
  <si>
    <t>MPF-16924-20230831-17_51_50</t>
  </si>
  <si>
    <t>DARK-16925-20230831-17_51_57</t>
  </si>
  <si>
    <t>17:51:21</t>
  </si>
  <si>
    <t>20230831 17:53:42</t>
  </si>
  <si>
    <t>17:53:42</t>
  </si>
  <si>
    <t>MPF-16926-20230831-17_53_40</t>
  </si>
  <si>
    <t>DARK-16927-20230831-17_53_47</t>
  </si>
  <si>
    <t>17:53:11</t>
  </si>
  <si>
    <t>20230831 17:56:14</t>
  </si>
  <si>
    <t>17:56:14</t>
  </si>
  <si>
    <t>MPF-16928-20230831-17_56_12</t>
  </si>
  <si>
    <t>DARK-16929-20230831-17_56_19</t>
  </si>
  <si>
    <t>17:55:43</t>
  </si>
  <si>
    <t>20230831 17:58:02</t>
  </si>
  <si>
    <t>17:58:02</t>
  </si>
  <si>
    <t>MPF-16930-20230831-17_58_00</t>
  </si>
  <si>
    <t>DARK-16931-20230831-17_58_07</t>
  </si>
  <si>
    <t>17:57:28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</si>
</sst>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28"/>
  <sheetViews>
    <sheetView tabSelected="1" topLeftCell="A27" workbookViewId="0">
      <selection activeCell="I59" sqref="I59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 t="s">
        <v>33</v>
      </c>
    </row>
    <row r="4" spans="1:281" x14ac:dyDescent="0.25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1" x14ac:dyDescent="0.25">
      <c r="B5" t="s">
        <v>19</v>
      </c>
      <c r="C5" t="s">
        <v>37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81" x14ac:dyDescent="0.25">
      <c r="B9" t="s">
        <v>53</v>
      </c>
      <c r="C9" t="s">
        <v>55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81" x14ac:dyDescent="0.25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91</v>
      </c>
      <c r="CH14" t="s">
        <v>91</v>
      </c>
      <c r="CI14" t="s">
        <v>91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92</v>
      </c>
      <c r="CV14" t="s">
        <v>92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95</v>
      </c>
      <c r="DU14" t="s">
        <v>95</v>
      </c>
      <c r="DV14" t="s">
        <v>95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</row>
    <row r="15" spans="1:281" x14ac:dyDescent="0.25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137</v>
      </c>
      <c r="AF15" t="s">
        <v>138</v>
      </c>
      <c r="AG15" t="s">
        <v>139</v>
      </c>
      <c r="AH15" t="s">
        <v>89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190</v>
      </c>
      <c r="CH15" t="s">
        <v>191</v>
      </c>
      <c r="CI15" t="s">
        <v>192</v>
      </c>
      <c r="CJ15" t="s">
        <v>172</v>
      </c>
      <c r="CK15" t="s">
        <v>193</v>
      </c>
      <c r="CL15" t="s">
        <v>194</v>
      </c>
      <c r="CM15" t="s">
        <v>195</v>
      </c>
      <c r="CN15" t="s">
        <v>146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116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259</v>
      </c>
      <c r="FB15" t="s">
        <v>260</v>
      </c>
      <c r="FC15" t="s">
        <v>261</v>
      </c>
      <c r="FD15" t="s">
        <v>108</v>
      </c>
      <c r="FE15" t="s">
        <v>111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</row>
    <row r="16" spans="1:281" x14ac:dyDescent="0.25">
      <c r="B16" t="s">
        <v>382</v>
      </c>
      <c r="C16" t="s">
        <v>382</v>
      </c>
      <c r="F16" t="s">
        <v>382</v>
      </c>
      <c r="J16" t="s">
        <v>382</v>
      </c>
      <c r="K16" t="s">
        <v>383</v>
      </c>
      <c r="L16" t="s">
        <v>384</v>
      </c>
      <c r="M16" t="s">
        <v>385</v>
      </c>
      <c r="N16" t="s">
        <v>386</v>
      </c>
      <c r="O16" t="s">
        <v>386</v>
      </c>
      <c r="P16" t="s">
        <v>219</v>
      </c>
      <c r="Q16" t="s">
        <v>219</v>
      </c>
      <c r="R16" t="s">
        <v>383</v>
      </c>
      <c r="S16" t="s">
        <v>383</v>
      </c>
      <c r="T16" t="s">
        <v>383</v>
      </c>
      <c r="U16" t="s">
        <v>383</v>
      </c>
      <c r="V16" t="s">
        <v>387</v>
      </c>
      <c r="W16" t="s">
        <v>388</v>
      </c>
      <c r="X16" t="s">
        <v>388</v>
      </c>
      <c r="Y16" t="s">
        <v>389</v>
      </c>
      <c r="Z16" t="s">
        <v>390</v>
      </c>
      <c r="AA16" t="s">
        <v>389</v>
      </c>
      <c r="AB16" t="s">
        <v>389</v>
      </c>
      <c r="AC16" t="s">
        <v>389</v>
      </c>
      <c r="AD16" t="s">
        <v>387</v>
      </c>
      <c r="AE16" t="s">
        <v>387</v>
      </c>
      <c r="AF16" t="s">
        <v>387</v>
      </c>
      <c r="AG16" t="s">
        <v>387</v>
      </c>
      <c r="AH16" t="s">
        <v>391</v>
      </c>
      <c r="AI16" t="s">
        <v>390</v>
      </c>
      <c r="AK16" t="s">
        <v>390</v>
      </c>
      <c r="AL16" t="s">
        <v>391</v>
      </c>
      <c r="AR16" t="s">
        <v>385</v>
      </c>
      <c r="AY16" t="s">
        <v>385</v>
      </c>
      <c r="AZ16" t="s">
        <v>385</v>
      </c>
      <c r="BA16" t="s">
        <v>385</v>
      </c>
      <c r="BB16" t="s">
        <v>392</v>
      </c>
      <c r="BP16" t="s">
        <v>393</v>
      </c>
      <c r="BR16" t="s">
        <v>393</v>
      </c>
      <c r="BS16" t="s">
        <v>385</v>
      </c>
      <c r="BV16" t="s">
        <v>393</v>
      </c>
      <c r="BW16" t="s">
        <v>390</v>
      </c>
      <c r="BZ16" t="s">
        <v>394</v>
      </c>
      <c r="CA16" t="s">
        <v>394</v>
      </c>
      <c r="CC16" t="s">
        <v>395</v>
      </c>
      <c r="CD16" t="s">
        <v>393</v>
      </c>
      <c r="CF16" t="s">
        <v>393</v>
      </c>
      <c r="CG16" t="s">
        <v>385</v>
      </c>
      <c r="CK16" t="s">
        <v>393</v>
      </c>
      <c r="CM16" t="s">
        <v>396</v>
      </c>
      <c r="CP16" t="s">
        <v>393</v>
      </c>
      <c r="CQ16" t="s">
        <v>393</v>
      </c>
      <c r="CS16" t="s">
        <v>393</v>
      </c>
      <c r="CU16" t="s">
        <v>393</v>
      </c>
      <c r="CW16" t="s">
        <v>385</v>
      </c>
      <c r="CX16" t="s">
        <v>385</v>
      </c>
      <c r="CZ16" t="s">
        <v>397</v>
      </c>
      <c r="DA16" t="s">
        <v>398</v>
      </c>
      <c r="DD16" t="s">
        <v>383</v>
      </c>
      <c r="DE16" t="s">
        <v>382</v>
      </c>
      <c r="DF16" t="s">
        <v>386</v>
      </c>
      <c r="DG16" t="s">
        <v>386</v>
      </c>
      <c r="DH16" t="s">
        <v>399</v>
      </c>
      <c r="DI16" t="s">
        <v>399</v>
      </c>
      <c r="DJ16" t="s">
        <v>386</v>
      </c>
      <c r="DK16" t="s">
        <v>399</v>
      </c>
      <c r="DL16" t="s">
        <v>391</v>
      </c>
      <c r="DM16" t="s">
        <v>389</v>
      </c>
      <c r="DN16" t="s">
        <v>389</v>
      </c>
      <c r="DO16" t="s">
        <v>388</v>
      </c>
      <c r="DP16" t="s">
        <v>388</v>
      </c>
      <c r="DQ16" t="s">
        <v>388</v>
      </c>
      <c r="DR16" t="s">
        <v>388</v>
      </c>
      <c r="DS16" t="s">
        <v>388</v>
      </c>
      <c r="DT16" t="s">
        <v>400</v>
      </c>
      <c r="DU16" t="s">
        <v>385</v>
      </c>
      <c r="DV16" t="s">
        <v>385</v>
      </c>
      <c r="DW16" t="s">
        <v>386</v>
      </c>
      <c r="DX16" t="s">
        <v>386</v>
      </c>
      <c r="DY16" t="s">
        <v>386</v>
      </c>
      <c r="DZ16" t="s">
        <v>399</v>
      </c>
      <c r="EA16" t="s">
        <v>386</v>
      </c>
      <c r="EB16" t="s">
        <v>399</v>
      </c>
      <c r="EC16" t="s">
        <v>389</v>
      </c>
      <c r="ED16" t="s">
        <v>389</v>
      </c>
      <c r="EE16" t="s">
        <v>388</v>
      </c>
      <c r="EF16" t="s">
        <v>388</v>
      </c>
      <c r="EG16" t="s">
        <v>385</v>
      </c>
      <c r="EL16" t="s">
        <v>385</v>
      </c>
      <c r="EO16" t="s">
        <v>388</v>
      </c>
      <c r="EP16" t="s">
        <v>388</v>
      </c>
      <c r="EQ16" t="s">
        <v>388</v>
      </c>
      <c r="ER16" t="s">
        <v>388</v>
      </c>
      <c r="ES16" t="s">
        <v>388</v>
      </c>
      <c r="ET16" t="s">
        <v>385</v>
      </c>
      <c r="EU16" t="s">
        <v>385</v>
      </c>
      <c r="EV16" t="s">
        <v>385</v>
      </c>
      <c r="EW16" t="s">
        <v>382</v>
      </c>
      <c r="EZ16" t="s">
        <v>401</v>
      </c>
      <c r="FA16" t="s">
        <v>401</v>
      </c>
      <c r="FC16" t="s">
        <v>382</v>
      </c>
      <c r="FD16" t="s">
        <v>402</v>
      </c>
      <c r="FF16" t="s">
        <v>382</v>
      </c>
      <c r="FG16" t="s">
        <v>382</v>
      </c>
      <c r="FI16" t="s">
        <v>403</v>
      </c>
      <c r="FJ16" t="s">
        <v>404</v>
      </c>
      <c r="FK16" t="s">
        <v>403</v>
      </c>
      <c r="FL16" t="s">
        <v>404</v>
      </c>
      <c r="FM16" t="s">
        <v>403</v>
      </c>
      <c r="FN16" t="s">
        <v>404</v>
      </c>
      <c r="FO16" t="s">
        <v>390</v>
      </c>
      <c r="FP16" t="s">
        <v>390</v>
      </c>
      <c r="FQ16" t="s">
        <v>385</v>
      </c>
      <c r="FR16" t="s">
        <v>405</v>
      </c>
      <c r="FS16" t="s">
        <v>385</v>
      </c>
      <c r="FU16" t="s">
        <v>383</v>
      </c>
      <c r="FV16" t="s">
        <v>406</v>
      </c>
      <c r="FW16" t="s">
        <v>383</v>
      </c>
      <c r="GB16" t="s">
        <v>407</v>
      </c>
      <c r="GC16" t="s">
        <v>407</v>
      </c>
      <c r="GP16" t="s">
        <v>407</v>
      </c>
      <c r="GQ16" t="s">
        <v>407</v>
      </c>
      <c r="GR16" t="s">
        <v>408</v>
      </c>
      <c r="GS16" t="s">
        <v>408</v>
      </c>
      <c r="GT16" t="s">
        <v>388</v>
      </c>
      <c r="GU16" t="s">
        <v>388</v>
      </c>
      <c r="GV16" t="s">
        <v>390</v>
      </c>
      <c r="GW16" t="s">
        <v>388</v>
      </c>
      <c r="GX16" t="s">
        <v>399</v>
      </c>
      <c r="GY16" t="s">
        <v>390</v>
      </c>
      <c r="GZ16" t="s">
        <v>390</v>
      </c>
      <c r="HB16" t="s">
        <v>407</v>
      </c>
      <c r="HC16" t="s">
        <v>407</v>
      </c>
      <c r="HD16" t="s">
        <v>407</v>
      </c>
      <c r="HE16" t="s">
        <v>407</v>
      </c>
      <c r="HF16" t="s">
        <v>407</v>
      </c>
      <c r="HG16" t="s">
        <v>407</v>
      </c>
      <c r="HH16" t="s">
        <v>407</v>
      </c>
      <c r="HI16" t="s">
        <v>409</v>
      </c>
      <c r="HJ16" t="s">
        <v>409</v>
      </c>
      <c r="HK16" t="s">
        <v>409</v>
      </c>
      <c r="HL16" t="s">
        <v>410</v>
      </c>
      <c r="HM16" t="s">
        <v>407</v>
      </c>
      <c r="HN16" t="s">
        <v>407</v>
      </c>
      <c r="HO16" t="s">
        <v>407</v>
      </c>
      <c r="HP16" t="s">
        <v>407</v>
      </c>
      <c r="HQ16" t="s">
        <v>407</v>
      </c>
      <c r="HR16" t="s">
        <v>407</v>
      </c>
      <c r="HS16" t="s">
        <v>407</v>
      </c>
      <c r="HT16" t="s">
        <v>407</v>
      </c>
      <c r="HU16" t="s">
        <v>407</v>
      </c>
      <c r="HV16" t="s">
        <v>407</v>
      </c>
      <c r="HW16" t="s">
        <v>407</v>
      </c>
      <c r="HX16" t="s">
        <v>407</v>
      </c>
      <c r="IE16" t="s">
        <v>407</v>
      </c>
      <c r="IF16" t="s">
        <v>390</v>
      </c>
      <c r="IG16" t="s">
        <v>390</v>
      </c>
      <c r="IH16" t="s">
        <v>403</v>
      </c>
      <c r="II16" t="s">
        <v>404</v>
      </c>
      <c r="IJ16" t="s">
        <v>404</v>
      </c>
      <c r="IN16" t="s">
        <v>404</v>
      </c>
      <c r="IR16" t="s">
        <v>386</v>
      </c>
      <c r="IS16" t="s">
        <v>386</v>
      </c>
      <c r="IT16" t="s">
        <v>399</v>
      </c>
      <c r="IU16" t="s">
        <v>399</v>
      </c>
      <c r="IV16" t="s">
        <v>411</v>
      </c>
      <c r="IW16" t="s">
        <v>411</v>
      </c>
      <c r="IX16" t="s">
        <v>407</v>
      </c>
      <c r="IY16" t="s">
        <v>407</v>
      </c>
      <c r="IZ16" t="s">
        <v>407</v>
      </c>
      <c r="JA16" t="s">
        <v>407</v>
      </c>
      <c r="JB16" t="s">
        <v>407</v>
      </c>
      <c r="JC16" t="s">
        <v>407</v>
      </c>
      <c r="JD16" t="s">
        <v>388</v>
      </c>
      <c r="JE16" t="s">
        <v>407</v>
      </c>
      <c r="JG16" t="s">
        <v>391</v>
      </c>
      <c r="JH16" t="s">
        <v>391</v>
      </c>
      <c r="JI16" t="s">
        <v>388</v>
      </c>
      <c r="JJ16" t="s">
        <v>388</v>
      </c>
      <c r="JK16" t="s">
        <v>388</v>
      </c>
      <c r="JL16" t="s">
        <v>388</v>
      </c>
      <c r="JM16" t="s">
        <v>388</v>
      </c>
      <c r="JN16" t="s">
        <v>390</v>
      </c>
      <c r="JO16" t="s">
        <v>390</v>
      </c>
      <c r="JP16" t="s">
        <v>390</v>
      </c>
      <c r="JQ16" t="s">
        <v>388</v>
      </c>
      <c r="JR16" t="s">
        <v>386</v>
      </c>
      <c r="JS16" t="s">
        <v>399</v>
      </c>
      <c r="JT16" t="s">
        <v>390</v>
      </c>
      <c r="JU16" t="s">
        <v>390</v>
      </c>
    </row>
    <row r="17" spans="1:281" x14ac:dyDescent="0.25">
      <c r="A17">
        <v>1</v>
      </c>
      <c r="B17">
        <v>1693494136</v>
      </c>
      <c r="C17">
        <v>0</v>
      </c>
      <c r="D17" t="s">
        <v>412</v>
      </c>
      <c r="E17" t="s">
        <v>413</v>
      </c>
      <c r="F17" t="s">
        <v>414</v>
      </c>
      <c r="G17" t="s">
        <v>415</v>
      </c>
      <c r="H17" t="s">
        <v>416</v>
      </c>
      <c r="I17" t="s">
        <v>31</v>
      </c>
      <c r="J17">
        <v>1693494136</v>
      </c>
      <c r="K17">
        <f t="shared" ref="K17:K48" si="0">(L17)/1000</f>
        <v>4.4369751659045359E-3</v>
      </c>
      <c r="L17">
        <f t="shared" ref="L17:L48" si="1">1000*DL17*AJ17*(DH17-DI17)/(100*DA17*(1000-AJ17*DH17))</f>
        <v>4.4369751659045358</v>
      </c>
      <c r="M17">
        <f t="shared" ref="M17:M48" si="2">DL17*AJ17*(DG17-DF17*(1000-AJ17*DI17)/(1000-AJ17*DH17))/(100*DA17)</f>
        <v>46.090246109831632</v>
      </c>
      <c r="N17">
        <f t="shared" ref="N17:N48" si="3">DF17 - IF(AJ17&gt;1, M17*DA17*100/(AL17*DT17), 0)</f>
        <v>342.62700000000001</v>
      </c>
      <c r="O17">
        <f t="shared" ref="O17:O48" si="4">((U17-K17/2)*N17-M17)/(U17+K17/2)</f>
        <v>101.71882232069768</v>
      </c>
      <c r="P17">
        <f t="shared" ref="P17:P48" si="5">O17*(DM17+DN17)/1000</f>
        <v>10.143243501083022</v>
      </c>
      <c r="Q17">
        <f t="shared" ref="Q17:Q48" si="6">(DF17 - IF(AJ17&gt;1, M17*DA17*100/(AL17*DT17), 0))*(DM17+DN17)/1000</f>
        <v>34.166234053403997</v>
      </c>
      <c r="R17">
        <f t="shared" ref="R17:R48" si="7">2/((1/T17-1/S17)+SIGN(T17)*SQRT((1/T17-1/S17)*(1/T17-1/S17) + 4*DB17/((DB17+1)*(DB17+1))*(2*1/T17*1/S17-1/S17*1/S17)))</f>
        <v>0.32937329857576791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2.9184559405796171</v>
      </c>
      <c r="T17">
        <f t="shared" ref="T17:T48" si="9">K17*(1000-(1000*0.61365*EXP(17.502*X17/(240.97+X17))/(DM17+DN17)+DH17)/2)/(1000*0.61365*EXP(17.502*X17/(240.97+X17))/(DM17+DN17)-DH17)</f>
        <v>0.31002762659281624</v>
      </c>
      <c r="U17">
        <f t="shared" ref="U17:U48" si="10">1/((DB17+1)/(R17/1.6)+1/(S17/1.37)) + DB17/((DB17+1)/(R17/1.6) + DB17/(S17/1.37))</f>
        <v>0.19541064256380103</v>
      </c>
      <c r="V17">
        <f t="shared" ref="V17:V48" si="11">(CW17*CZ17)</f>
        <v>344.39539967102564</v>
      </c>
      <c r="W17">
        <f t="shared" ref="W17:W48" si="12">(DO17+(V17+2*0.95*0.0000000567*(((DO17+$B$7)+273)^4-(DO17+273)^4)-44100*K17)/(1.84*29.3*S17+8*0.95*0.0000000567*(DO17+273)^3))</f>
        <v>31.467564386387799</v>
      </c>
      <c r="X17">
        <f t="shared" ref="X17:X48" si="13">($C$7*DP17+$D$7*DQ17+$E$7*W17)</f>
        <v>29.940799999999999</v>
      </c>
      <c r="Y17">
        <f t="shared" ref="Y17:Y48" si="14">0.61365*EXP(17.502*X17/(240.97+X17))</f>
        <v>4.2459839894862954</v>
      </c>
      <c r="Z17">
        <f t="shared" ref="Z17:Z48" si="15">(AA17/AB17*100)</f>
        <v>65.120363264827191</v>
      </c>
      <c r="AA17">
        <f t="shared" ref="AA17:AA48" si="16">DH17*(DM17+DN17)/1000</f>
        <v>2.8697773864176002</v>
      </c>
      <c r="AB17">
        <f t="shared" ref="AB17:AB48" si="17">0.61365*EXP(17.502*DO17/(240.97+DO17))</f>
        <v>4.4068817226141368</v>
      </c>
      <c r="AC17">
        <f t="shared" ref="AC17:AC48" si="18">(Y17-DH17*(DM17+DN17)/1000)</f>
        <v>1.3762066030686952</v>
      </c>
      <c r="AD17">
        <f t="shared" ref="AD17:AD48" si="19">(-K17*44100)</f>
        <v>-195.67060481639004</v>
      </c>
      <c r="AE17">
        <f t="shared" ref="AE17:AE48" si="20">2*29.3*S17*0.92*(DO17-X17)</f>
        <v>102.08206007854139</v>
      </c>
      <c r="AF17">
        <f t="shared" ref="AF17:AF48" si="21">2*0.95*0.0000000567*(((DO17+$B$7)+273)^4-(X17+273)^4)</f>
        <v>7.7978651679835087</v>
      </c>
      <c r="AG17">
        <f t="shared" ref="AG17:AG48" si="22">V17+AF17+AD17+AE17</f>
        <v>258.60472010116052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51927.49916375809</v>
      </c>
      <c r="AM17" t="s">
        <v>417</v>
      </c>
      <c r="AN17">
        <v>10366.9</v>
      </c>
      <c r="AO17">
        <v>993.59653846153856</v>
      </c>
      <c r="AP17">
        <v>3431.87</v>
      </c>
      <c r="AQ17">
        <f t="shared" ref="AQ17:AQ48" si="26">1-AO17/AP17</f>
        <v>0.71047955241266758</v>
      </c>
      <c r="AR17">
        <v>-3.9894345373445681</v>
      </c>
      <c r="AS17" t="s">
        <v>418</v>
      </c>
      <c r="AT17">
        <v>10322</v>
      </c>
      <c r="AU17">
        <v>695.95512000000008</v>
      </c>
      <c r="AV17">
        <v>1050.8352551749099</v>
      </c>
      <c r="AW17">
        <f t="shared" ref="AW17:AW48" si="27">1-AU17/AV17</f>
        <v>0.33771243725148958</v>
      </c>
      <c r="AX17">
        <v>0.5</v>
      </c>
      <c r="AY17">
        <f t="shared" ref="AY17:AY48" si="28">CX17</f>
        <v>1513.301999835513</v>
      </c>
      <c r="AZ17">
        <f t="shared" ref="AZ17:AZ48" si="29">M17</f>
        <v>46.090246109831632</v>
      </c>
      <c r="BA17">
        <f t="shared" ref="BA17:BA48" si="30">AW17*AX17*AY17</f>
        <v>255.53045333100221</v>
      </c>
      <c r="BB17">
        <f t="shared" ref="BB17:BB48" si="31">(AZ17-AR17)/AY17</f>
        <v>3.3092985175873398E-2</v>
      </c>
      <c r="BC17">
        <f t="shared" ref="BC17:BC48" si="32">(AP17-AV17)/AV17</f>
        <v>2.2658496972760687</v>
      </c>
      <c r="BD17">
        <f t="shared" ref="BD17:BD48" si="33">AO17/(AQ17+AO17/AV17)</f>
        <v>599.99435229734127</v>
      </c>
      <c r="BE17" t="s">
        <v>419</v>
      </c>
      <c r="BF17">
        <v>546.58000000000004</v>
      </c>
      <c r="BG17">
        <f t="shared" ref="BG17:BG48" si="34">IF(BF17&lt;&gt;0, BF17, BD17)</f>
        <v>546.58000000000004</v>
      </c>
      <c r="BH17">
        <f t="shared" ref="BH17:BH48" si="35">1-BG17/AV17</f>
        <v>0.47986137949947005</v>
      </c>
      <c r="BI17">
        <f t="shared" ref="BI17:BI48" si="36">(AV17-AU17)/(AV17-BG17)</f>
        <v>0.70377082148963099</v>
      </c>
      <c r="BJ17">
        <f t="shared" ref="BJ17:BJ48" si="37">(AP17-AV17)/(AP17-BG17)</f>
        <v>0.82523238385919262</v>
      </c>
      <c r="BK17">
        <f t="shared" ref="BK17:BK48" si="38">(AV17-AU17)/(AV17-AO17)</f>
        <v>6.2000015994769413</v>
      </c>
      <c r="BL17">
        <f t="shared" ref="BL17:BL48" si="39">(AP17-AV17)/(AP17-AO17)</f>
        <v>0.97652489861524561</v>
      </c>
      <c r="BM17">
        <f t="shared" ref="BM17:BM48" si="40">(BI17*BG17/AU17)</f>
        <v>0.55271819195726657</v>
      </c>
      <c r="BN17">
        <f t="shared" ref="BN17:BN48" si="41">(1-BM17)</f>
        <v>0.44728180804273343</v>
      </c>
      <c r="BO17">
        <v>16706</v>
      </c>
      <c r="BP17">
        <v>290.00000000000011</v>
      </c>
      <c r="BQ17">
        <v>953.58</v>
      </c>
      <c r="BR17">
        <v>205</v>
      </c>
      <c r="BS17">
        <v>10322</v>
      </c>
      <c r="BT17">
        <v>953.16</v>
      </c>
      <c r="BU17">
        <v>0.42</v>
      </c>
      <c r="BV17">
        <v>300.00000000000011</v>
      </c>
      <c r="BW17">
        <v>38.4</v>
      </c>
      <c r="BX17">
        <v>1050.8352551749099</v>
      </c>
      <c r="BY17">
        <v>1.2367823376839771</v>
      </c>
      <c r="BZ17">
        <v>-100.8191180435623</v>
      </c>
      <c r="CA17">
        <v>1.0448832614769921</v>
      </c>
      <c r="CB17">
        <v>0.99700150312464553</v>
      </c>
      <c r="CC17">
        <v>-1.124105917686319E-2</v>
      </c>
      <c r="CD17">
        <v>289.99999999999989</v>
      </c>
      <c r="CE17">
        <v>945.29</v>
      </c>
      <c r="CF17">
        <v>695</v>
      </c>
      <c r="CG17">
        <v>10299.9</v>
      </c>
      <c r="CH17">
        <v>952.95</v>
      </c>
      <c r="CI17">
        <v>-7.66</v>
      </c>
      <c r="CW17">
        <f t="shared" ref="CW17:CW48" si="42">$B$11*DU17+$C$11*DV17+$F$11*EG17*(1-EJ17)</f>
        <v>1800.14</v>
      </c>
      <c r="CX17">
        <f t="shared" ref="CX17:CX48" si="43">CW17*CY17</f>
        <v>1513.301999835513</v>
      </c>
      <c r="CY17">
        <f t="shared" ref="CY17:CY48" si="44">($B$11*$D$9+$C$11*$D$9+$F$11*((ET17+EL17)/MAX(ET17+EL17+EU17, 0.1)*$I$9+EU17/MAX(ET17+EL17+EU17, 0.1)*$J$9))/($B$11+$C$11+$F$11)</f>
        <v>0.8406579487348278</v>
      </c>
      <c r="CZ17">
        <f t="shared" ref="CZ17:CZ48" si="45">($B$11*$K$9+$C$11*$K$9+$F$11*((ET17+EL17)/MAX(ET17+EL17+EU17, 0.1)*$P$9+EU17/MAX(ET17+EL17+EU17, 0.1)*$Q$9))/($B$11+$C$11+$F$11)</f>
        <v>0.19131589746965549</v>
      </c>
      <c r="DA17">
        <v>6</v>
      </c>
      <c r="DB17">
        <v>0.5</v>
      </c>
      <c r="DC17" t="s">
        <v>420</v>
      </c>
      <c r="DD17">
        <v>2</v>
      </c>
      <c r="DE17">
        <v>1693494136</v>
      </c>
      <c r="DF17">
        <v>342.62700000000001</v>
      </c>
      <c r="DG17">
        <v>399.779</v>
      </c>
      <c r="DH17">
        <v>28.7788</v>
      </c>
      <c r="DI17">
        <v>23.605899999999998</v>
      </c>
      <c r="DJ17">
        <v>342.88299999999998</v>
      </c>
      <c r="DK17">
        <v>29.0793</v>
      </c>
      <c r="DL17">
        <v>499.83</v>
      </c>
      <c r="DM17">
        <v>99.617999999999995</v>
      </c>
      <c r="DN17">
        <v>0.100452</v>
      </c>
      <c r="DO17">
        <v>30.589600000000001</v>
      </c>
      <c r="DP17">
        <v>29.940799999999999</v>
      </c>
      <c r="DQ17">
        <v>999.9</v>
      </c>
      <c r="DR17">
        <v>0</v>
      </c>
      <c r="DS17">
        <v>0</v>
      </c>
      <c r="DT17">
        <v>9975</v>
      </c>
      <c r="DU17">
        <v>0</v>
      </c>
      <c r="DV17">
        <v>1470.82</v>
      </c>
      <c r="DW17">
        <v>-57.151600000000002</v>
      </c>
      <c r="DX17">
        <v>352.78</v>
      </c>
      <c r="DY17">
        <v>409.44400000000002</v>
      </c>
      <c r="DZ17">
        <v>5.1728899999999998</v>
      </c>
      <c r="EA17">
        <v>399.779</v>
      </c>
      <c r="EB17">
        <v>23.605899999999998</v>
      </c>
      <c r="EC17">
        <v>2.8668800000000001</v>
      </c>
      <c r="ED17">
        <v>2.3515700000000002</v>
      </c>
      <c r="EE17">
        <v>23.2743</v>
      </c>
      <c r="EF17">
        <v>20.034099999999999</v>
      </c>
      <c r="EG17">
        <v>1800.14</v>
      </c>
      <c r="EH17">
        <v>0.97800699999999996</v>
      </c>
      <c r="EI17">
        <v>2.19934E-2</v>
      </c>
      <c r="EJ17">
        <v>0</v>
      </c>
      <c r="EK17">
        <v>696.06500000000005</v>
      </c>
      <c r="EL17">
        <v>5.0002500000000003</v>
      </c>
      <c r="EM17">
        <v>21030.5</v>
      </c>
      <c r="EN17">
        <v>14823.3</v>
      </c>
      <c r="EO17">
        <v>43.75</v>
      </c>
      <c r="EP17">
        <v>45.436999999999998</v>
      </c>
      <c r="EQ17">
        <v>44.5</v>
      </c>
      <c r="ER17">
        <v>44.186999999999998</v>
      </c>
      <c r="ES17">
        <v>45.25</v>
      </c>
      <c r="ET17">
        <v>1755.66</v>
      </c>
      <c r="EU17">
        <v>39.479999999999997</v>
      </c>
      <c r="EV17">
        <v>0</v>
      </c>
      <c r="EW17">
        <v>1693494136.9000001</v>
      </c>
      <c r="EX17">
        <v>0</v>
      </c>
      <c r="EY17">
        <v>695.95512000000008</v>
      </c>
      <c r="EZ17">
        <v>0.70838460998263264</v>
      </c>
      <c r="FA17">
        <v>-45.169230903224097</v>
      </c>
      <c r="FB17">
        <v>21040.824000000001</v>
      </c>
      <c r="FC17">
        <v>15</v>
      </c>
      <c r="FD17">
        <v>1693494087.5</v>
      </c>
      <c r="FE17" t="s">
        <v>421</v>
      </c>
      <c r="FF17">
        <v>1693494087.5</v>
      </c>
      <c r="FG17">
        <v>1693494081</v>
      </c>
      <c r="FH17">
        <v>2</v>
      </c>
      <c r="FI17">
        <v>0.245</v>
      </c>
      <c r="FJ17">
        <v>0</v>
      </c>
      <c r="FK17">
        <v>-0.25600000000000001</v>
      </c>
      <c r="FL17">
        <v>-0.30099999999999999</v>
      </c>
      <c r="FM17">
        <v>398</v>
      </c>
      <c r="FN17">
        <v>24</v>
      </c>
      <c r="FO17">
        <v>0.1</v>
      </c>
      <c r="FP17">
        <v>0.05</v>
      </c>
      <c r="FQ17">
        <v>46.122837189283132</v>
      </c>
      <c r="FR17">
        <v>0.5045496675332708</v>
      </c>
      <c r="FS17">
        <v>9.9831154718645634E-2</v>
      </c>
      <c r="FT17">
        <v>1</v>
      </c>
      <c r="FU17">
        <v>0.33266939127987272</v>
      </c>
      <c r="FV17">
        <v>-1.026681722831331E-2</v>
      </c>
      <c r="FW17">
        <v>1.2532518061139639E-3</v>
      </c>
      <c r="FX17">
        <v>1</v>
      </c>
      <c r="FY17">
        <v>2</v>
      </c>
      <c r="FZ17">
        <v>2</v>
      </c>
      <c r="GA17" t="s">
        <v>422</v>
      </c>
      <c r="GB17">
        <v>2.9233799999999999</v>
      </c>
      <c r="GC17">
        <v>2.83012</v>
      </c>
      <c r="GD17">
        <v>8.1329200000000004E-2</v>
      </c>
      <c r="GE17">
        <v>8.9921299999999996E-2</v>
      </c>
      <c r="GF17">
        <v>0.13797100000000001</v>
      </c>
      <c r="GG17">
        <v>0.114829</v>
      </c>
      <c r="GH17">
        <v>23965.7</v>
      </c>
      <c r="GI17">
        <v>29159.9</v>
      </c>
      <c r="GJ17">
        <v>23472.3</v>
      </c>
      <c r="GK17">
        <v>29313.3</v>
      </c>
      <c r="GL17">
        <v>27558.799999999999</v>
      </c>
      <c r="GM17">
        <v>36642.400000000001</v>
      </c>
      <c r="GN17">
        <v>33181.699999999997</v>
      </c>
      <c r="GO17">
        <v>43203.7</v>
      </c>
      <c r="GP17">
        <v>2.0436000000000001</v>
      </c>
      <c r="GQ17">
        <v>1.9402999999999999</v>
      </c>
      <c r="GR17">
        <v>0.14168</v>
      </c>
      <c r="GS17">
        <v>0</v>
      </c>
      <c r="GT17">
        <v>27.630500000000001</v>
      </c>
      <c r="GU17">
        <v>999.9</v>
      </c>
      <c r="GV17">
        <v>53.7</v>
      </c>
      <c r="GW17">
        <v>33.200000000000003</v>
      </c>
      <c r="GX17">
        <v>27.540099999999999</v>
      </c>
      <c r="GY17">
        <v>61.530099999999997</v>
      </c>
      <c r="GZ17">
        <v>34.366999999999997</v>
      </c>
      <c r="HA17">
        <v>1</v>
      </c>
      <c r="HB17">
        <v>1.6788600000000001E-2</v>
      </c>
      <c r="HC17">
        <v>-1.7494400000000001</v>
      </c>
      <c r="HD17">
        <v>20.264700000000001</v>
      </c>
      <c r="HE17">
        <v>5.2148899999999996</v>
      </c>
      <c r="HF17">
        <v>11.866199999999999</v>
      </c>
      <c r="HG17">
        <v>4.9858000000000002</v>
      </c>
      <c r="HH17">
        <v>3.2839</v>
      </c>
      <c r="HI17">
        <v>9999</v>
      </c>
      <c r="HJ17">
        <v>9999</v>
      </c>
      <c r="HK17">
        <v>9999</v>
      </c>
      <c r="HL17">
        <v>999.9</v>
      </c>
      <c r="HM17">
        <v>1.8548899999999999</v>
      </c>
      <c r="HN17">
        <v>1.8609599999999999</v>
      </c>
      <c r="HO17">
        <v>1.8583700000000001</v>
      </c>
      <c r="HP17">
        <v>1.85954</v>
      </c>
      <c r="HQ17">
        <v>1.8589199999999999</v>
      </c>
      <c r="HR17">
        <v>1.85944</v>
      </c>
      <c r="HS17">
        <v>1.8577600000000001</v>
      </c>
      <c r="HT17">
        <v>1.86111</v>
      </c>
      <c r="HU17">
        <v>5</v>
      </c>
      <c r="HV17">
        <v>0</v>
      </c>
      <c r="HW17">
        <v>0</v>
      </c>
      <c r="HX17">
        <v>0</v>
      </c>
      <c r="HY17" t="s">
        <v>423</v>
      </c>
      <c r="HZ17" t="s">
        <v>424</v>
      </c>
      <c r="IA17" t="s">
        <v>425</v>
      </c>
      <c r="IB17" t="s">
        <v>425</v>
      </c>
      <c r="IC17" t="s">
        <v>425</v>
      </c>
      <c r="ID17" t="s">
        <v>425</v>
      </c>
      <c r="IE17">
        <v>0</v>
      </c>
      <c r="IF17">
        <v>100</v>
      </c>
      <c r="IG17">
        <v>100</v>
      </c>
      <c r="IH17">
        <v>-0.25600000000000001</v>
      </c>
      <c r="II17">
        <v>-0.30049999999999999</v>
      </c>
      <c r="IJ17">
        <v>-0.25604761904753559</v>
      </c>
      <c r="IK17">
        <v>0</v>
      </c>
      <c r="IL17">
        <v>0</v>
      </c>
      <c r="IM17">
        <v>0</v>
      </c>
      <c r="IN17">
        <v>-0.30050999999999922</v>
      </c>
      <c r="IO17">
        <v>0</v>
      </c>
      <c r="IP17">
        <v>0</v>
      </c>
      <c r="IQ17">
        <v>0</v>
      </c>
      <c r="IR17">
        <v>-1</v>
      </c>
      <c r="IS17">
        <v>-1</v>
      </c>
      <c r="IT17">
        <v>-1</v>
      </c>
      <c r="IU17">
        <v>-1</v>
      </c>
      <c r="IV17">
        <v>0.8</v>
      </c>
      <c r="IW17">
        <v>0.9</v>
      </c>
      <c r="IX17">
        <v>0.97167999999999999</v>
      </c>
      <c r="IY17">
        <v>2.4523899999999998</v>
      </c>
      <c r="IZ17">
        <v>1.49414</v>
      </c>
      <c r="JA17">
        <v>2.3022499999999999</v>
      </c>
      <c r="JB17">
        <v>1.54419</v>
      </c>
      <c r="JC17">
        <v>2.3559600000000001</v>
      </c>
      <c r="JD17">
        <v>41.456200000000003</v>
      </c>
      <c r="JE17">
        <v>23.877400000000002</v>
      </c>
      <c r="JF17">
        <v>18</v>
      </c>
      <c r="JG17">
        <v>519.66399999999999</v>
      </c>
      <c r="JH17">
        <v>488.22500000000002</v>
      </c>
      <c r="JI17">
        <v>30.355899999999998</v>
      </c>
      <c r="JJ17">
        <v>27.576000000000001</v>
      </c>
      <c r="JK17">
        <v>30.000299999999999</v>
      </c>
      <c r="JL17">
        <v>27.421700000000001</v>
      </c>
      <c r="JM17">
        <v>27.369299999999999</v>
      </c>
      <c r="JN17">
        <v>19.529699999999998</v>
      </c>
      <c r="JO17">
        <v>20.940799999999999</v>
      </c>
      <c r="JP17">
        <v>100</v>
      </c>
      <c r="JQ17">
        <v>30.388000000000002</v>
      </c>
      <c r="JR17">
        <v>400</v>
      </c>
      <c r="JS17">
        <v>23.605699999999999</v>
      </c>
      <c r="JT17">
        <v>98.421599999999998</v>
      </c>
      <c r="JU17">
        <v>97.373800000000003</v>
      </c>
    </row>
    <row r="18" spans="1:281" x14ac:dyDescent="0.25">
      <c r="A18">
        <v>2</v>
      </c>
      <c r="B18">
        <v>1693494298</v>
      </c>
      <c r="C18">
        <v>162</v>
      </c>
      <c r="D18" t="s">
        <v>426</v>
      </c>
      <c r="E18" t="s">
        <v>427</v>
      </c>
      <c r="F18" t="s">
        <v>414</v>
      </c>
      <c r="G18" t="s">
        <v>415</v>
      </c>
      <c r="H18" t="s">
        <v>416</v>
      </c>
      <c r="I18" t="s">
        <v>31</v>
      </c>
      <c r="J18">
        <v>1693494298</v>
      </c>
      <c r="K18">
        <f t="shared" si="0"/>
        <v>4.6020127503559743E-3</v>
      </c>
      <c r="L18">
        <f t="shared" si="1"/>
        <v>4.602012750355974</v>
      </c>
      <c r="M18">
        <f t="shared" si="2"/>
        <v>38.223815733285612</v>
      </c>
      <c r="N18">
        <f t="shared" si="3"/>
        <v>252.59800000000001</v>
      </c>
      <c r="O18">
        <f t="shared" si="4"/>
        <v>60.174162473747657</v>
      </c>
      <c r="P18">
        <f t="shared" si="5"/>
        <v>6.0003518778579732</v>
      </c>
      <c r="Q18">
        <f t="shared" si="6"/>
        <v>25.188167501365999</v>
      </c>
      <c r="R18">
        <f t="shared" si="7"/>
        <v>0.34174834608591886</v>
      </c>
      <c r="S18">
        <f t="shared" si="8"/>
        <v>2.9228116952782153</v>
      </c>
      <c r="T18">
        <f t="shared" si="9"/>
        <v>0.3209998238213212</v>
      </c>
      <c r="U18">
        <f t="shared" si="10"/>
        <v>0.20238400280216245</v>
      </c>
      <c r="V18">
        <f t="shared" si="11"/>
        <v>344.36239967082605</v>
      </c>
      <c r="W18">
        <f t="shared" si="12"/>
        <v>31.407058400540549</v>
      </c>
      <c r="X18">
        <f t="shared" si="13"/>
        <v>29.9465</v>
      </c>
      <c r="Y18">
        <f t="shared" si="14"/>
        <v>4.2473749449228304</v>
      </c>
      <c r="Z18">
        <f t="shared" si="15"/>
        <v>65.15856073464289</v>
      </c>
      <c r="AA18">
        <f t="shared" si="16"/>
        <v>2.8688014305232001</v>
      </c>
      <c r="AB18">
        <f t="shared" si="17"/>
        <v>4.4028004888050614</v>
      </c>
      <c r="AC18">
        <f t="shared" si="18"/>
        <v>1.3785735143996303</v>
      </c>
      <c r="AD18">
        <f t="shared" si="19"/>
        <v>-202.94876229069848</v>
      </c>
      <c r="AE18">
        <f t="shared" si="20"/>
        <v>98.783531858219433</v>
      </c>
      <c r="AF18">
        <f t="shared" si="21"/>
        <v>7.5342592865642191</v>
      </c>
      <c r="AG18">
        <f t="shared" si="22"/>
        <v>247.73142852491122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52054.298476508033</v>
      </c>
      <c r="AM18" t="s">
        <v>417</v>
      </c>
      <c r="AN18">
        <v>10366.9</v>
      </c>
      <c r="AO18">
        <v>993.59653846153856</v>
      </c>
      <c r="AP18">
        <v>3431.87</v>
      </c>
      <c r="AQ18">
        <f t="shared" si="26"/>
        <v>0.71047955241266758</v>
      </c>
      <c r="AR18">
        <v>-3.9894345373445681</v>
      </c>
      <c r="AS18" t="s">
        <v>428</v>
      </c>
      <c r="AT18">
        <v>10311.6</v>
      </c>
      <c r="AU18">
        <v>642.30976923076923</v>
      </c>
      <c r="AV18">
        <v>921.90071824982056</v>
      </c>
      <c r="AW18">
        <f t="shared" si="27"/>
        <v>0.30327663650142267</v>
      </c>
      <c r="AX18">
        <v>0.5</v>
      </c>
      <c r="AY18">
        <f t="shared" si="28"/>
        <v>1513.151399835413</v>
      </c>
      <c r="AZ18">
        <f t="shared" si="29"/>
        <v>38.223815733285612</v>
      </c>
      <c r="BA18">
        <f t="shared" si="30"/>
        <v>229.45173352975172</v>
      </c>
      <c r="BB18">
        <f t="shared" si="31"/>
        <v>2.7897572097029921E-2</v>
      </c>
      <c r="BC18">
        <f t="shared" si="32"/>
        <v>2.7226025883950089</v>
      </c>
      <c r="BD18">
        <f t="shared" si="33"/>
        <v>555.62534735907775</v>
      </c>
      <c r="BE18" t="s">
        <v>429</v>
      </c>
      <c r="BF18">
        <v>524.4</v>
      </c>
      <c r="BG18">
        <f t="shared" si="34"/>
        <v>524.4</v>
      </c>
      <c r="BH18">
        <f t="shared" si="35"/>
        <v>0.43117519097333445</v>
      </c>
      <c r="BI18">
        <f t="shared" si="36"/>
        <v>0.7033721857159877</v>
      </c>
      <c r="BJ18">
        <f t="shared" si="37"/>
        <v>0.86328295107092401</v>
      </c>
      <c r="BK18">
        <f t="shared" si="38"/>
        <v>-3.899682689917185</v>
      </c>
      <c r="BL18">
        <f t="shared" si="39"/>
        <v>1.0294043393174119</v>
      </c>
      <c r="BM18">
        <f t="shared" si="40"/>
        <v>0.57425309696160631</v>
      </c>
      <c r="BN18">
        <f t="shared" si="41"/>
        <v>0.42574690303839369</v>
      </c>
      <c r="BO18">
        <v>16708</v>
      </c>
      <c r="BP18">
        <v>290.00000000000011</v>
      </c>
      <c r="BQ18">
        <v>837.79</v>
      </c>
      <c r="BR18">
        <v>265</v>
      </c>
      <c r="BS18">
        <v>10311.6</v>
      </c>
      <c r="BT18">
        <v>837.82</v>
      </c>
      <c r="BU18">
        <v>-0.03</v>
      </c>
      <c r="BV18">
        <v>300.00000000000011</v>
      </c>
      <c r="BW18">
        <v>38.4</v>
      </c>
      <c r="BX18">
        <v>921.90071824982056</v>
      </c>
      <c r="BY18">
        <v>1.079214109625185</v>
      </c>
      <c r="BZ18">
        <v>-86.700886352249029</v>
      </c>
      <c r="CA18">
        <v>0.91143592175048505</v>
      </c>
      <c r="CB18">
        <v>0.99691523933938486</v>
      </c>
      <c r="CC18">
        <v>-1.123717819799778E-2</v>
      </c>
      <c r="CD18">
        <v>289.99999999999989</v>
      </c>
      <c r="CE18">
        <v>830.16</v>
      </c>
      <c r="CF18">
        <v>665</v>
      </c>
      <c r="CG18">
        <v>10298</v>
      </c>
      <c r="CH18">
        <v>837.71</v>
      </c>
      <c r="CI18">
        <v>-7.55</v>
      </c>
      <c r="CW18">
        <f t="shared" si="42"/>
        <v>1799.96</v>
      </c>
      <c r="CX18">
        <f t="shared" si="43"/>
        <v>1513.151399835413</v>
      </c>
      <c r="CY18">
        <f t="shared" si="44"/>
        <v>0.84065834787184879</v>
      </c>
      <c r="CZ18">
        <f t="shared" si="45"/>
        <v>0.19131669574369767</v>
      </c>
      <c r="DA18">
        <v>6</v>
      </c>
      <c r="DB18">
        <v>0.5</v>
      </c>
      <c r="DC18" t="s">
        <v>420</v>
      </c>
      <c r="DD18">
        <v>2</v>
      </c>
      <c r="DE18">
        <v>1693494298</v>
      </c>
      <c r="DF18">
        <v>252.59800000000001</v>
      </c>
      <c r="DG18">
        <v>299.83300000000003</v>
      </c>
      <c r="DH18">
        <v>28.769600000000001</v>
      </c>
      <c r="DI18">
        <v>23.409300000000002</v>
      </c>
      <c r="DJ18">
        <v>252.97900000000001</v>
      </c>
      <c r="DK18">
        <v>29.070699999999999</v>
      </c>
      <c r="DL18">
        <v>500.30200000000002</v>
      </c>
      <c r="DM18">
        <v>99.616399999999999</v>
      </c>
      <c r="DN18">
        <v>0.10001699999999999</v>
      </c>
      <c r="DO18">
        <v>30.573399999999999</v>
      </c>
      <c r="DP18">
        <v>29.9465</v>
      </c>
      <c r="DQ18">
        <v>999.9</v>
      </c>
      <c r="DR18">
        <v>0</v>
      </c>
      <c r="DS18">
        <v>0</v>
      </c>
      <c r="DT18">
        <v>10000</v>
      </c>
      <c r="DU18">
        <v>0</v>
      </c>
      <c r="DV18">
        <v>1473.77</v>
      </c>
      <c r="DW18">
        <v>-47.234499999999997</v>
      </c>
      <c r="DX18">
        <v>260.08100000000002</v>
      </c>
      <c r="DY18">
        <v>307.02</v>
      </c>
      <c r="DZ18">
        <v>5.3602299999999996</v>
      </c>
      <c r="EA18">
        <v>299.83300000000003</v>
      </c>
      <c r="EB18">
        <v>23.409300000000002</v>
      </c>
      <c r="EC18">
        <v>2.86592</v>
      </c>
      <c r="ED18">
        <v>2.33195</v>
      </c>
      <c r="EE18">
        <v>23.268799999999999</v>
      </c>
      <c r="EF18">
        <v>19.898800000000001</v>
      </c>
      <c r="EG18">
        <v>1799.96</v>
      </c>
      <c r="EH18">
        <v>0.97799400000000003</v>
      </c>
      <c r="EI18">
        <v>2.20057E-2</v>
      </c>
      <c r="EJ18">
        <v>0</v>
      </c>
      <c r="EK18">
        <v>642.27800000000002</v>
      </c>
      <c r="EL18">
        <v>5.0002500000000003</v>
      </c>
      <c r="EM18">
        <v>20019.8</v>
      </c>
      <c r="EN18">
        <v>14821.7</v>
      </c>
      <c r="EO18">
        <v>44.125</v>
      </c>
      <c r="EP18">
        <v>45.811999999999998</v>
      </c>
      <c r="EQ18">
        <v>44.936999999999998</v>
      </c>
      <c r="ER18">
        <v>44.561999999999998</v>
      </c>
      <c r="ES18">
        <v>45.625</v>
      </c>
      <c r="ET18">
        <v>1755.46</v>
      </c>
      <c r="EU18">
        <v>39.5</v>
      </c>
      <c r="EV18">
        <v>0</v>
      </c>
      <c r="EW18">
        <v>160.20000004768369</v>
      </c>
      <c r="EX18">
        <v>0</v>
      </c>
      <c r="EY18">
        <v>642.30976923076923</v>
      </c>
      <c r="EZ18">
        <v>0.16478632330704901</v>
      </c>
      <c r="FA18">
        <v>150.80000019680281</v>
      </c>
      <c r="FB18">
        <v>20011.857692307691</v>
      </c>
      <c r="FC18">
        <v>15</v>
      </c>
      <c r="FD18">
        <v>1693494244</v>
      </c>
      <c r="FE18" t="s">
        <v>430</v>
      </c>
      <c r="FF18">
        <v>1693494226</v>
      </c>
      <c r="FG18">
        <v>1693494244</v>
      </c>
      <c r="FH18">
        <v>3</v>
      </c>
      <c r="FI18">
        <v>-0.125</v>
      </c>
      <c r="FJ18">
        <v>-1E-3</v>
      </c>
      <c r="FK18">
        <v>-0.38100000000000001</v>
      </c>
      <c r="FL18">
        <v>-0.30099999999999999</v>
      </c>
      <c r="FM18">
        <v>299</v>
      </c>
      <c r="FN18">
        <v>24</v>
      </c>
      <c r="FO18">
        <v>0.12</v>
      </c>
      <c r="FP18">
        <v>7.0000000000000007E-2</v>
      </c>
      <c r="FQ18">
        <v>38.187479720538093</v>
      </c>
      <c r="FR18">
        <v>0.67248803436081295</v>
      </c>
      <c r="FS18">
        <v>7.4687651262678512E-2</v>
      </c>
      <c r="FT18">
        <v>1</v>
      </c>
      <c r="FU18">
        <v>0.34247477358271639</v>
      </c>
      <c r="FV18">
        <v>-2.4865149793553549E-2</v>
      </c>
      <c r="FW18">
        <v>1.994699015192307E-3</v>
      </c>
      <c r="FX18">
        <v>1</v>
      </c>
      <c r="FY18">
        <v>2</v>
      </c>
      <c r="FZ18">
        <v>2</v>
      </c>
      <c r="GA18" t="s">
        <v>422</v>
      </c>
      <c r="GB18">
        <v>2.92442</v>
      </c>
      <c r="GC18">
        <v>2.8298999999999999</v>
      </c>
      <c r="GD18">
        <v>6.3505699999999998E-2</v>
      </c>
      <c r="GE18">
        <v>7.1673600000000004E-2</v>
      </c>
      <c r="GF18">
        <v>0.13789699999999999</v>
      </c>
      <c r="GG18">
        <v>0.11412</v>
      </c>
      <c r="GH18">
        <v>24435</v>
      </c>
      <c r="GI18">
        <v>29742.400000000001</v>
      </c>
      <c r="GJ18">
        <v>23476.799999999999</v>
      </c>
      <c r="GK18">
        <v>29311.599999999999</v>
      </c>
      <c r="GL18">
        <v>27565.4</v>
      </c>
      <c r="GM18">
        <v>36670.800000000003</v>
      </c>
      <c r="GN18">
        <v>33187.9</v>
      </c>
      <c r="GO18">
        <v>43202.9</v>
      </c>
      <c r="GP18">
        <v>2.0415000000000001</v>
      </c>
      <c r="GQ18">
        <v>1.9340999999999999</v>
      </c>
      <c r="GR18">
        <v>0.12814999999999999</v>
      </c>
      <c r="GS18">
        <v>0</v>
      </c>
      <c r="GT18">
        <v>27.857199999999999</v>
      </c>
      <c r="GU18">
        <v>999.9</v>
      </c>
      <c r="GV18">
        <v>53.2</v>
      </c>
      <c r="GW18">
        <v>33.6</v>
      </c>
      <c r="GX18">
        <v>27.9038</v>
      </c>
      <c r="GY18">
        <v>61.320099999999996</v>
      </c>
      <c r="GZ18">
        <v>34.182699999999997</v>
      </c>
      <c r="HA18">
        <v>1</v>
      </c>
      <c r="HB18">
        <v>2.38821E-2</v>
      </c>
      <c r="HC18">
        <v>-1.3027</v>
      </c>
      <c r="HD18">
        <v>20.2698</v>
      </c>
      <c r="HE18">
        <v>5.2125000000000004</v>
      </c>
      <c r="HF18">
        <v>11.866199999999999</v>
      </c>
      <c r="HG18">
        <v>4.9855999999999998</v>
      </c>
      <c r="HH18">
        <v>3.2839999999999998</v>
      </c>
      <c r="HI18">
        <v>9999</v>
      </c>
      <c r="HJ18">
        <v>9999</v>
      </c>
      <c r="HK18">
        <v>9999</v>
      </c>
      <c r="HL18">
        <v>999.9</v>
      </c>
      <c r="HM18">
        <v>1.85487</v>
      </c>
      <c r="HN18">
        <v>1.8609599999999999</v>
      </c>
      <c r="HO18">
        <v>1.8583400000000001</v>
      </c>
      <c r="HP18">
        <v>1.8595299999999999</v>
      </c>
      <c r="HQ18">
        <v>1.85883</v>
      </c>
      <c r="HR18">
        <v>1.85944</v>
      </c>
      <c r="HS18">
        <v>1.8577600000000001</v>
      </c>
      <c r="HT18">
        <v>1.86111</v>
      </c>
      <c r="HU18">
        <v>5</v>
      </c>
      <c r="HV18">
        <v>0</v>
      </c>
      <c r="HW18">
        <v>0</v>
      </c>
      <c r="HX18">
        <v>0</v>
      </c>
      <c r="HY18" t="s">
        <v>423</v>
      </c>
      <c r="HZ18" t="s">
        <v>424</v>
      </c>
      <c r="IA18" t="s">
        <v>425</v>
      </c>
      <c r="IB18" t="s">
        <v>425</v>
      </c>
      <c r="IC18" t="s">
        <v>425</v>
      </c>
      <c r="ID18" t="s">
        <v>425</v>
      </c>
      <c r="IE18">
        <v>0</v>
      </c>
      <c r="IF18">
        <v>100</v>
      </c>
      <c r="IG18">
        <v>100</v>
      </c>
      <c r="IH18">
        <v>-0.38100000000000001</v>
      </c>
      <c r="II18">
        <v>-0.30109999999999998</v>
      </c>
      <c r="IJ18">
        <v>-0.38115000000010468</v>
      </c>
      <c r="IK18">
        <v>0</v>
      </c>
      <c r="IL18">
        <v>0</v>
      </c>
      <c r="IM18">
        <v>0</v>
      </c>
      <c r="IN18">
        <v>-0.30114999999999981</v>
      </c>
      <c r="IO18">
        <v>0</v>
      </c>
      <c r="IP18">
        <v>0</v>
      </c>
      <c r="IQ18">
        <v>0</v>
      </c>
      <c r="IR18">
        <v>-1</v>
      </c>
      <c r="IS18">
        <v>-1</v>
      </c>
      <c r="IT18">
        <v>-1</v>
      </c>
      <c r="IU18">
        <v>-1</v>
      </c>
      <c r="IV18">
        <v>1.2</v>
      </c>
      <c r="IW18">
        <v>0.9</v>
      </c>
      <c r="IX18">
        <v>0.78002899999999997</v>
      </c>
      <c r="IY18">
        <v>2.4438499999999999</v>
      </c>
      <c r="IZ18">
        <v>1.49414</v>
      </c>
      <c r="JA18">
        <v>2.3010299999999999</v>
      </c>
      <c r="JB18">
        <v>1.54419</v>
      </c>
      <c r="JC18">
        <v>2.52563</v>
      </c>
      <c r="JD18">
        <v>41.743600000000001</v>
      </c>
      <c r="JE18">
        <v>23.8949</v>
      </c>
      <c r="JF18">
        <v>18</v>
      </c>
      <c r="JG18">
        <v>519.55600000000004</v>
      </c>
      <c r="JH18">
        <v>485.16300000000001</v>
      </c>
      <c r="JI18">
        <v>29.785599999999999</v>
      </c>
      <c r="JJ18">
        <v>27.688600000000001</v>
      </c>
      <c r="JK18">
        <v>30</v>
      </c>
      <c r="JL18">
        <v>27.5579</v>
      </c>
      <c r="JM18">
        <v>27.511900000000001</v>
      </c>
      <c r="JN18">
        <v>15.700900000000001</v>
      </c>
      <c r="JO18">
        <v>22.057700000000001</v>
      </c>
      <c r="JP18">
        <v>100</v>
      </c>
      <c r="JQ18">
        <v>29.804300000000001</v>
      </c>
      <c r="JR18">
        <v>300</v>
      </c>
      <c r="JS18">
        <v>23.4054</v>
      </c>
      <c r="JT18">
        <v>98.44</v>
      </c>
      <c r="JU18">
        <v>97.370500000000007</v>
      </c>
    </row>
    <row r="19" spans="1:281" x14ac:dyDescent="0.25">
      <c r="A19">
        <v>3</v>
      </c>
      <c r="B19">
        <v>1693494429</v>
      </c>
      <c r="C19">
        <v>293</v>
      </c>
      <c r="D19" t="s">
        <v>431</v>
      </c>
      <c r="E19" t="s">
        <v>432</v>
      </c>
      <c r="F19" t="s">
        <v>414</v>
      </c>
      <c r="G19" t="s">
        <v>415</v>
      </c>
      <c r="H19" t="s">
        <v>416</v>
      </c>
      <c r="I19" t="s">
        <v>31</v>
      </c>
      <c r="J19">
        <v>1693494429</v>
      </c>
      <c r="K19">
        <f t="shared" si="0"/>
        <v>4.9045337021818326E-3</v>
      </c>
      <c r="L19">
        <f t="shared" si="1"/>
        <v>4.9045337021818325</v>
      </c>
      <c r="M19">
        <f t="shared" si="2"/>
        <v>27.142903286213649</v>
      </c>
      <c r="N19">
        <f t="shared" si="3"/>
        <v>166.42699999999999</v>
      </c>
      <c r="O19">
        <f t="shared" si="4"/>
        <v>39.541307857192308</v>
      </c>
      <c r="P19">
        <f t="shared" si="5"/>
        <v>3.9430306588325519</v>
      </c>
      <c r="Q19">
        <f t="shared" si="6"/>
        <v>16.595980229777897</v>
      </c>
      <c r="R19">
        <f t="shared" si="7"/>
        <v>0.36945823713928849</v>
      </c>
      <c r="S19">
        <f t="shared" si="8"/>
        <v>2.9290141430267651</v>
      </c>
      <c r="T19">
        <f t="shared" si="9"/>
        <v>0.34538350953048641</v>
      </c>
      <c r="U19">
        <f t="shared" si="10"/>
        <v>0.21789684930614392</v>
      </c>
      <c r="V19">
        <f t="shared" si="11"/>
        <v>344.40359967094963</v>
      </c>
      <c r="W19">
        <f t="shared" si="12"/>
        <v>31.339860116153901</v>
      </c>
      <c r="X19">
        <f t="shared" si="13"/>
        <v>29.9849</v>
      </c>
      <c r="Y19">
        <f t="shared" si="14"/>
        <v>4.2567559458769599</v>
      </c>
      <c r="Z19">
        <f t="shared" si="15"/>
        <v>65.625745526779639</v>
      </c>
      <c r="AA19">
        <f t="shared" si="16"/>
        <v>2.8914701481169698</v>
      </c>
      <c r="AB19">
        <f t="shared" si="17"/>
        <v>4.4059996955570719</v>
      </c>
      <c r="AC19">
        <f t="shared" si="18"/>
        <v>1.3652857977599901</v>
      </c>
      <c r="AD19">
        <f t="shared" si="19"/>
        <v>-216.28993626621883</v>
      </c>
      <c r="AE19">
        <f t="shared" si="20"/>
        <v>94.93489709988981</v>
      </c>
      <c r="AF19">
        <f t="shared" si="21"/>
        <v>7.2272152835758661</v>
      </c>
      <c r="AG19">
        <f t="shared" si="22"/>
        <v>230.27577578819646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52229.074616047634</v>
      </c>
      <c r="AM19" t="s">
        <v>417</v>
      </c>
      <c r="AN19">
        <v>10366.9</v>
      </c>
      <c r="AO19">
        <v>993.59653846153856</v>
      </c>
      <c r="AP19">
        <v>3431.87</v>
      </c>
      <c r="AQ19">
        <f t="shared" si="26"/>
        <v>0.71047955241266758</v>
      </c>
      <c r="AR19">
        <v>-3.9894345373445681</v>
      </c>
      <c r="AS19" t="s">
        <v>433</v>
      </c>
      <c r="AT19">
        <v>10310.9</v>
      </c>
      <c r="AU19">
        <v>615.00952000000007</v>
      </c>
      <c r="AV19">
        <v>811.6954842372437</v>
      </c>
      <c r="AW19">
        <f t="shared" si="27"/>
        <v>0.24231496670462682</v>
      </c>
      <c r="AX19">
        <v>0.5</v>
      </c>
      <c r="AY19">
        <f t="shared" si="28"/>
        <v>1513.3358998354747</v>
      </c>
      <c r="AZ19">
        <f t="shared" si="29"/>
        <v>27.142903286213649</v>
      </c>
      <c r="BA19">
        <f t="shared" si="30"/>
        <v>183.35196909077476</v>
      </c>
      <c r="BB19">
        <f t="shared" si="31"/>
        <v>2.057199451023585E-2</v>
      </c>
      <c r="BC19">
        <f t="shared" si="32"/>
        <v>3.2280264787045767</v>
      </c>
      <c r="BD19">
        <f t="shared" si="33"/>
        <v>513.59814919363055</v>
      </c>
      <c r="BE19" t="s">
        <v>434</v>
      </c>
      <c r="BF19">
        <v>507.99</v>
      </c>
      <c r="BG19">
        <f t="shared" si="34"/>
        <v>507.99</v>
      </c>
      <c r="BH19">
        <f t="shared" si="35"/>
        <v>0.37416185026905502</v>
      </c>
      <c r="BI19">
        <f t="shared" si="36"/>
        <v>0.64762071956395661</v>
      </c>
      <c r="BJ19">
        <f t="shared" si="37"/>
        <v>0.8961292925026868</v>
      </c>
      <c r="BK19">
        <f t="shared" si="38"/>
        <v>-1.0812799578100196</v>
      </c>
      <c r="BL19">
        <f t="shared" si="39"/>
        <v>1.0746024008765291</v>
      </c>
      <c r="BM19">
        <f t="shared" si="40"/>
        <v>0.53492643387259153</v>
      </c>
      <c r="BN19">
        <f t="shared" si="41"/>
        <v>0.46507356612740847</v>
      </c>
      <c r="BO19">
        <v>16710</v>
      </c>
      <c r="BP19">
        <v>290.00000000000011</v>
      </c>
      <c r="BQ19">
        <v>754.43</v>
      </c>
      <c r="BR19">
        <v>245</v>
      </c>
      <c r="BS19">
        <v>10310.9</v>
      </c>
      <c r="BT19">
        <v>754.29</v>
      </c>
      <c r="BU19">
        <v>0.14000000000000001</v>
      </c>
      <c r="BV19">
        <v>300.00000000000011</v>
      </c>
      <c r="BW19">
        <v>38.4</v>
      </c>
      <c r="BX19">
        <v>811.6954842372437</v>
      </c>
      <c r="BY19">
        <v>0.87570021552780508</v>
      </c>
      <c r="BZ19">
        <v>-59.187042017386148</v>
      </c>
      <c r="CA19">
        <v>0.73935261719478385</v>
      </c>
      <c r="CB19">
        <v>0.99564974638866621</v>
      </c>
      <c r="CC19">
        <v>-1.1233620022246951E-2</v>
      </c>
      <c r="CD19">
        <v>289.99999999999989</v>
      </c>
      <c r="CE19">
        <v>751.01</v>
      </c>
      <c r="CF19">
        <v>705</v>
      </c>
      <c r="CG19">
        <v>10292.6</v>
      </c>
      <c r="CH19">
        <v>754.19</v>
      </c>
      <c r="CI19">
        <v>-3.18</v>
      </c>
      <c r="CW19">
        <f t="shared" si="42"/>
        <v>1800.18</v>
      </c>
      <c r="CX19">
        <f t="shared" si="43"/>
        <v>1513.3358998354747</v>
      </c>
      <c r="CY19">
        <f t="shared" si="44"/>
        <v>0.84065810076518721</v>
      </c>
      <c r="CZ19">
        <f t="shared" si="45"/>
        <v>0.19131620153037454</v>
      </c>
      <c r="DA19">
        <v>6</v>
      </c>
      <c r="DB19">
        <v>0.5</v>
      </c>
      <c r="DC19" t="s">
        <v>420</v>
      </c>
      <c r="DD19">
        <v>2</v>
      </c>
      <c r="DE19">
        <v>1693494429</v>
      </c>
      <c r="DF19">
        <v>166.42699999999999</v>
      </c>
      <c r="DG19">
        <v>199.98099999999999</v>
      </c>
      <c r="DH19">
        <v>28.996099999999998</v>
      </c>
      <c r="DI19">
        <v>23.280799999999999</v>
      </c>
      <c r="DJ19">
        <v>166.87899999999999</v>
      </c>
      <c r="DK19">
        <v>29.303699999999999</v>
      </c>
      <c r="DL19">
        <v>499.95499999999998</v>
      </c>
      <c r="DM19">
        <v>99.620800000000003</v>
      </c>
      <c r="DN19">
        <v>9.8477700000000001E-2</v>
      </c>
      <c r="DO19">
        <v>30.586099999999998</v>
      </c>
      <c r="DP19">
        <v>29.9849</v>
      </c>
      <c r="DQ19">
        <v>999.9</v>
      </c>
      <c r="DR19">
        <v>0</v>
      </c>
      <c r="DS19">
        <v>0</v>
      </c>
      <c r="DT19">
        <v>10035</v>
      </c>
      <c r="DU19">
        <v>0</v>
      </c>
      <c r="DV19">
        <v>1494.68</v>
      </c>
      <c r="DW19">
        <v>-33.554000000000002</v>
      </c>
      <c r="DX19">
        <v>171.39699999999999</v>
      </c>
      <c r="DY19">
        <v>204.74700000000001</v>
      </c>
      <c r="DZ19">
        <v>5.7152799999999999</v>
      </c>
      <c r="EA19">
        <v>199.98099999999999</v>
      </c>
      <c r="EB19">
        <v>23.280799999999999</v>
      </c>
      <c r="EC19">
        <v>2.88862</v>
      </c>
      <c r="ED19">
        <v>2.3192599999999999</v>
      </c>
      <c r="EE19">
        <v>23.3994</v>
      </c>
      <c r="EF19">
        <v>19.8108</v>
      </c>
      <c r="EG19">
        <v>1800.18</v>
      </c>
      <c r="EH19">
        <v>0.97800200000000004</v>
      </c>
      <c r="EI19">
        <v>2.19981E-2</v>
      </c>
      <c r="EJ19">
        <v>0</v>
      </c>
      <c r="EK19">
        <v>614.90899999999999</v>
      </c>
      <c r="EL19">
        <v>5.0002500000000003</v>
      </c>
      <c r="EM19">
        <v>19701.2</v>
      </c>
      <c r="EN19">
        <v>14823.6</v>
      </c>
      <c r="EO19">
        <v>44.436999999999998</v>
      </c>
      <c r="EP19">
        <v>46.125</v>
      </c>
      <c r="EQ19">
        <v>45.25</v>
      </c>
      <c r="ER19">
        <v>44.875</v>
      </c>
      <c r="ES19">
        <v>45.936999999999998</v>
      </c>
      <c r="ET19">
        <v>1755.69</v>
      </c>
      <c r="EU19">
        <v>39.49</v>
      </c>
      <c r="EV19">
        <v>0</v>
      </c>
      <c r="EW19">
        <v>129</v>
      </c>
      <c r="EX19">
        <v>0</v>
      </c>
      <c r="EY19">
        <v>615.00952000000007</v>
      </c>
      <c r="EZ19">
        <v>-1.9093846046631351</v>
      </c>
      <c r="FA19">
        <v>-122.8538461251068</v>
      </c>
      <c r="FB19">
        <v>19702.923999999999</v>
      </c>
      <c r="FC19">
        <v>15</v>
      </c>
      <c r="FD19">
        <v>1693494397</v>
      </c>
      <c r="FE19" t="s">
        <v>435</v>
      </c>
      <c r="FF19">
        <v>1693494390.5</v>
      </c>
      <c r="FG19">
        <v>1693494397</v>
      </c>
      <c r="FH19">
        <v>4</v>
      </c>
      <c r="FI19">
        <v>-7.1999999999999995E-2</v>
      </c>
      <c r="FJ19">
        <v>-6.0000000000000001E-3</v>
      </c>
      <c r="FK19">
        <v>-0.45300000000000001</v>
      </c>
      <c r="FL19">
        <v>-0.308</v>
      </c>
      <c r="FM19">
        <v>199</v>
      </c>
      <c r="FN19">
        <v>24</v>
      </c>
      <c r="FO19">
        <v>0.15</v>
      </c>
      <c r="FP19">
        <v>0.06</v>
      </c>
      <c r="FQ19">
        <v>27.075800377980421</v>
      </c>
      <c r="FR19">
        <v>-0.33977185866581822</v>
      </c>
      <c r="FS19">
        <v>8.9488485905344986E-2</v>
      </c>
      <c r="FT19">
        <v>1</v>
      </c>
      <c r="FU19">
        <v>0.37020275049779922</v>
      </c>
      <c r="FV19">
        <v>-1.8222382742801419E-3</v>
      </c>
      <c r="FW19">
        <v>2.622129087029401E-3</v>
      </c>
      <c r="FX19">
        <v>1</v>
      </c>
      <c r="FY19">
        <v>2</v>
      </c>
      <c r="FZ19">
        <v>2</v>
      </c>
      <c r="GA19" t="s">
        <v>422</v>
      </c>
      <c r="GB19">
        <v>2.9234499999999999</v>
      </c>
      <c r="GC19">
        <v>2.8286699999999998</v>
      </c>
      <c r="GD19">
        <v>4.4237800000000001E-2</v>
      </c>
      <c r="GE19">
        <v>5.0916500000000003E-2</v>
      </c>
      <c r="GF19">
        <v>0.13863300000000001</v>
      </c>
      <c r="GG19">
        <v>0.11365699999999999</v>
      </c>
      <c r="GH19">
        <v>24939.200000000001</v>
      </c>
      <c r="GI19">
        <v>30403.5</v>
      </c>
      <c r="GJ19">
        <v>23478.400000000001</v>
      </c>
      <c r="GK19">
        <v>29308.2</v>
      </c>
      <c r="GL19">
        <v>27543</v>
      </c>
      <c r="GM19">
        <v>36684.699999999997</v>
      </c>
      <c r="GN19">
        <v>33191.300000000003</v>
      </c>
      <c r="GO19">
        <v>43197.9</v>
      </c>
      <c r="GP19">
        <v>2.0398000000000001</v>
      </c>
      <c r="GQ19">
        <v>1.9293</v>
      </c>
      <c r="GR19">
        <v>0.119716</v>
      </c>
      <c r="GS19">
        <v>0</v>
      </c>
      <c r="GT19">
        <v>28.0335</v>
      </c>
      <c r="GU19">
        <v>999.9</v>
      </c>
      <c r="GV19">
        <v>52.7</v>
      </c>
      <c r="GW19">
        <v>33.9</v>
      </c>
      <c r="GX19">
        <v>28.108599999999999</v>
      </c>
      <c r="GY19">
        <v>61.150100000000002</v>
      </c>
      <c r="GZ19">
        <v>34.2468</v>
      </c>
      <c r="HA19">
        <v>1</v>
      </c>
      <c r="HB19">
        <v>3.4390200000000003E-2</v>
      </c>
      <c r="HC19">
        <v>-2.6999200000000001</v>
      </c>
      <c r="HD19">
        <v>20.248699999999999</v>
      </c>
      <c r="HE19">
        <v>5.2011200000000004</v>
      </c>
      <c r="HF19">
        <v>11.866199999999999</v>
      </c>
      <c r="HG19">
        <v>4.9824000000000002</v>
      </c>
      <c r="HH19">
        <v>3.2816000000000001</v>
      </c>
      <c r="HI19">
        <v>9999</v>
      </c>
      <c r="HJ19">
        <v>9999</v>
      </c>
      <c r="HK19">
        <v>9999</v>
      </c>
      <c r="HL19">
        <v>999.9</v>
      </c>
      <c r="HM19">
        <v>1.85486</v>
      </c>
      <c r="HN19">
        <v>1.8609599999999999</v>
      </c>
      <c r="HO19">
        <v>1.8582799999999999</v>
      </c>
      <c r="HP19">
        <v>1.85944</v>
      </c>
      <c r="HQ19">
        <v>1.85883</v>
      </c>
      <c r="HR19">
        <v>1.85934</v>
      </c>
      <c r="HS19">
        <v>1.85771</v>
      </c>
      <c r="HT19">
        <v>1.8610800000000001</v>
      </c>
      <c r="HU19">
        <v>5</v>
      </c>
      <c r="HV19">
        <v>0</v>
      </c>
      <c r="HW19">
        <v>0</v>
      </c>
      <c r="HX19">
        <v>0</v>
      </c>
      <c r="HY19" t="s">
        <v>423</v>
      </c>
      <c r="HZ19" t="s">
        <v>424</v>
      </c>
      <c r="IA19" t="s">
        <v>425</v>
      </c>
      <c r="IB19" t="s">
        <v>425</v>
      </c>
      <c r="IC19" t="s">
        <v>425</v>
      </c>
      <c r="ID19" t="s">
        <v>425</v>
      </c>
      <c r="IE19">
        <v>0</v>
      </c>
      <c r="IF19">
        <v>100</v>
      </c>
      <c r="IG19">
        <v>100</v>
      </c>
      <c r="IH19">
        <v>-0.45200000000000001</v>
      </c>
      <c r="II19">
        <v>-0.30759999999999998</v>
      </c>
      <c r="IJ19">
        <v>-0.45250000000001478</v>
      </c>
      <c r="IK19">
        <v>0</v>
      </c>
      <c r="IL19">
        <v>0</v>
      </c>
      <c r="IM19">
        <v>0</v>
      </c>
      <c r="IN19">
        <v>-0.30761904761904901</v>
      </c>
      <c r="IO19">
        <v>0</v>
      </c>
      <c r="IP19">
        <v>0</v>
      </c>
      <c r="IQ19">
        <v>0</v>
      </c>
      <c r="IR19">
        <v>-1</v>
      </c>
      <c r="IS19">
        <v>-1</v>
      </c>
      <c r="IT19">
        <v>-1</v>
      </c>
      <c r="IU19">
        <v>-1</v>
      </c>
      <c r="IV19">
        <v>0.6</v>
      </c>
      <c r="IW19">
        <v>0.5</v>
      </c>
      <c r="IX19">
        <v>0.57617200000000002</v>
      </c>
      <c r="IY19">
        <v>2.4560499999999998</v>
      </c>
      <c r="IZ19">
        <v>1.49414</v>
      </c>
      <c r="JA19">
        <v>2.3010299999999999</v>
      </c>
      <c r="JB19">
        <v>1.54419</v>
      </c>
      <c r="JC19">
        <v>2.5390600000000001</v>
      </c>
      <c r="JD19">
        <v>42.085700000000003</v>
      </c>
      <c r="JE19">
        <v>23.903600000000001</v>
      </c>
      <c r="JF19">
        <v>18</v>
      </c>
      <c r="JG19">
        <v>519.45500000000004</v>
      </c>
      <c r="JH19">
        <v>482.79300000000001</v>
      </c>
      <c r="JI19">
        <v>29.179300000000001</v>
      </c>
      <c r="JJ19">
        <v>27.785299999999999</v>
      </c>
      <c r="JK19">
        <v>30.0031</v>
      </c>
      <c r="JL19">
        <v>27.667200000000001</v>
      </c>
      <c r="JM19">
        <v>27.621300000000002</v>
      </c>
      <c r="JN19">
        <v>11.6</v>
      </c>
      <c r="JO19">
        <v>23.4177</v>
      </c>
      <c r="JP19">
        <v>100</v>
      </c>
      <c r="JQ19">
        <v>29.330300000000001</v>
      </c>
      <c r="JR19">
        <v>200</v>
      </c>
      <c r="JS19">
        <v>23.2271</v>
      </c>
      <c r="JT19">
        <v>98.448800000000006</v>
      </c>
      <c r="JU19">
        <v>97.359300000000005</v>
      </c>
    </row>
    <row r="20" spans="1:281" x14ac:dyDescent="0.25">
      <c r="A20">
        <v>4</v>
      </c>
      <c r="B20">
        <v>1693494545.0999999</v>
      </c>
      <c r="C20">
        <v>409.09999990463263</v>
      </c>
      <c r="D20" t="s">
        <v>436</v>
      </c>
      <c r="E20" t="s">
        <v>437</v>
      </c>
      <c r="F20" t="s">
        <v>414</v>
      </c>
      <c r="G20" t="s">
        <v>415</v>
      </c>
      <c r="H20" t="s">
        <v>416</v>
      </c>
      <c r="I20" t="s">
        <v>31</v>
      </c>
      <c r="J20">
        <v>1693494545.0999999</v>
      </c>
      <c r="K20">
        <f t="shared" si="0"/>
        <v>5.2056141466802269E-3</v>
      </c>
      <c r="L20">
        <f t="shared" si="1"/>
        <v>5.2056141466802268</v>
      </c>
      <c r="M20">
        <f t="shared" si="2"/>
        <v>17.019332838412197</v>
      </c>
      <c r="N20">
        <f t="shared" si="3"/>
        <v>98.809600000000003</v>
      </c>
      <c r="O20">
        <f t="shared" si="4"/>
        <v>24.697263000227295</v>
      </c>
      <c r="P20">
        <f t="shared" si="5"/>
        <v>2.4628748100184694</v>
      </c>
      <c r="Q20">
        <f t="shared" si="6"/>
        <v>9.8535483395776016</v>
      </c>
      <c r="R20">
        <f t="shared" si="7"/>
        <v>0.39857556049828247</v>
      </c>
      <c r="S20">
        <f t="shared" si="8"/>
        <v>2.9176415263602533</v>
      </c>
      <c r="T20">
        <f t="shared" si="9"/>
        <v>0.37060959266908367</v>
      </c>
      <c r="U20">
        <f t="shared" si="10"/>
        <v>0.23397990236211846</v>
      </c>
      <c r="V20">
        <f t="shared" si="11"/>
        <v>344.33519967088381</v>
      </c>
      <c r="W20">
        <f t="shared" si="12"/>
        <v>31.264382619957516</v>
      </c>
      <c r="X20">
        <f t="shared" si="13"/>
        <v>29.882999999999999</v>
      </c>
      <c r="Y20">
        <f t="shared" si="14"/>
        <v>4.2319016216519847</v>
      </c>
      <c r="Z20">
        <f t="shared" si="15"/>
        <v>65.389156967704153</v>
      </c>
      <c r="AA20">
        <f t="shared" si="16"/>
        <v>2.8811449212196001</v>
      </c>
      <c r="AB20">
        <f t="shared" si="17"/>
        <v>4.4061508892714487</v>
      </c>
      <c r="AC20">
        <f t="shared" si="18"/>
        <v>1.3507567004323846</v>
      </c>
      <c r="AD20">
        <f t="shared" si="19"/>
        <v>-229.56758386859801</v>
      </c>
      <c r="AE20">
        <f t="shared" si="20"/>
        <v>110.6891177712798</v>
      </c>
      <c r="AF20">
        <f t="shared" si="21"/>
        <v>8.4551657065529522</v>
      </c>
      <c r="AG20">
        <f t="shared" si="22"/>
        <v>233.91189928011858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51904.888165388795</v>
      </c>
      <c r="AM20" t="s">
        <v>417</v>
      </c>
      <c r="AN20">
        <v>10366.9</v>
      </c>
      <c r="AO20">
        <v>993.59653846153856</v>
      </c>
      <c r="AP20">
        <v>3431.87</v>
      </c>
      <c r="AQ20">
        <f t="shared" si="26"/>
        <v>0.71047955241266758</v>
      </c>
      <c r="AR20">
        <v>-3.9894345373445681</v>
      </c>
      <c r="AS20" t="s">
        <v>438</v>
      </c>
      <c r="AT20">
        <v>10305.700000000001</v>
      </c>
      <c r="AU20">
        <v>615.6773461538462</v>
      </c>
      <c r="AV20">
        <v>744.12975453086187</v>
      </c>
      <c r="AW20">
        <f t="shared" si="27"/>
        <v>0.17262098121314706</v>
      </c>
      <c r="AX20">
        <v>0.5</v>
      </c>
      <c r="AY20">
        <f t="shared" si="28"/>
        <v>1513.0334998354419</v>
      </c>
      <c r="AZ20">
        <f t="shared" si="29"/>
        <v>17.019332838412197</v>
      </c>
      <c r="BA20">
        <f t="shared" si="30"/>
        <v>130.59066367497798</v>
      </c>
      <c r="BB20">
        <f t="shared" si="31"/>
        <v>1.3885196446768486E-2</v>
      </c>
      <c r="BC20">
        <f t="shared" si="32"/>
        <v>3.6119241692782862</v>
      </c>
      <c r="BD20">
        <f t="shared" si="33"/>
        <v>485.69387395529907</v>
      </c>
      <c r="BE20" t="s">
        <v>439</v>
      </c>
      <c r="BF20">
        <v>508.96</v>
      </c>
      <c r="BG20">
        <f t="shared" si="34"/>
        <v>508.96</v>
      </c>
      <c r="BH20">
        <f t="shared" si="35"/>
        <v>0.31603326314928115</v>
      </c>
      <c r="BI20">
        <f t="shared" si="36"/>
        <v>0.54621143196438793</v>
      </c>
      <c r="BJ20">
        <f t="shared" si="37"/>
        <v>0.91954259469813926</v>
      </c>
      <c r="BK20">
        <f t="shared" si="38"/>
        <v>-0.51490786209321882</v>
      </c>
      <c r="BL20">
        <f t="shared" si="39"/>
        <v>1.1023128815802605</v>
      </c>
      <c r="BM20">
        <f t="shared" si="40"/>
        <v>0.45153483744248069</v>
      </c>
      <c r="BN20">
        <f t="shared" si="41"/>
        <v>0.54846516255751931</v>
      </c>
      <c r="BO20">
        <v>16712</v>
      </c>
      <c r="BP20">
        <v>290.00000000000011</v>
      </c>
      <c r="BQ20">
        <v>711.69</v>
      </c>
      <c r="BR20">
        <v>285</v>
      </c>
      <c r="BS20">
        <v>10305.700000000001</v>
      </c>
      <c r="BT20">
        <v>710.92</v>
      </c>
      <c r="BU20">
        <v>0.77</v>
      </c>
      <c r="BV20">
        <v>300.00000000000011</v>
      </c>
      <c r="BW20">
        <v>38.4</v>
      </c>
      <c r="BX20">
        <v>744.12975453086187</v>
      </c>
      <c r="BY20">
        <v>1.036849954526625</v>
      </c>
      <c r="BZ20">
        <v>-34.226880030146347</v>
      </c>
      <c r="CA20">
        <v>0.87532693188965072</v>
      </c>
      <c r="CB20">
        <v>0.98201615216742555</v>
      </c>
      <c r="CC20">
        <v>-1.12325977753059E-2</v>
      </c>
      <c r="CD20">
        <v>289.99999999999989</v>
      </c>
      <c r="CE20">
        <v>708.87</v>
      </c>
      <c r="CF20">
        <v>635</v>
      </c>
      <c r="CG20">
        <v>10296.1</v>
      </c>
      <c r="CH20">
        <v>710.89</v>
      </c>
      <c r="CI20">
        <v>-2.02</v>
      </c>
      <c r="CW20">
        <f t="shared" si="42"/>
        <v>1799.82</v>
      </c>
      <c r="CX20">
        <f t="shared" si="43"/>
        <v>1513.0334998354419</v>
      </c>
      <c r="CY20">
        <f t="shared" si="44"/>
        <v>0.84065823239848536</v>
      </c>
      <c r="CZ20">
        <f t="shared" si="45"/>
        <v>0.1913164647969707</v>
      </c>
      <c r="DA20">
        <v>6</v>
      </c>
      <c r="DB20">
        <v>0.5</v>
      </c>
      <c r="DC20" t="s">
        <v>420</v>
      </c>
      <c r="DD20">
        <v>2</v>
      </c>
      <c r="DE20">
        <v>1693494545.0999999</v>
      </c>
      <c r="DF20">
        <v>98.809600000000003</v>
      </c>
      <c r="DG20">
        <v>119.837</v>
      </c>
      <c r="DH20">
        <v>28.8916</v>
      </c>
      <c r="DI20">
        <v>22.8291</v>
      </c>
      <c r="DJ20">
        <v>99.218000000000004</v>
      </c>
      <c r="DK20">
        <v>29.202200000000001</v>
      </c>
      <c r="DL20">
        <v>500.31</v>
      </c>
      <c r="DM20">
        <v>99.621600000000001</v>
      </c>
      <c r="DN20">
        <v>0.100981</v>
      </c>
      <c r="DO20">
        <v>30.5867</v>
      </c>
      <c r="DP20">
        <v>29.882999999999999</v>
      </c>
      <c r="DQ20">
        <v>999.9</v>
      </c>
      <c r="DR20">
        <v>0</v>
      </c>
      <c r="DS20">
        <v>0</v>
      </c>
      <c r="DT20">
        <v>9970</v>
      </c>
      <c r="DU20">
        <v>0</v>
      </c>
      <c r="DV20">
        <v>1554.83</v>
      </c>
      <c r="DW20">
        <v>-21.0276</v>
      </c>
      <c r="DX20">
        <v>101.749</v>
      </c>
      <c r="DY20">
        <v>122.637</v>
      </c>
      <c r="DZ20">
        <v>6.0625</v>
      </c>
      <c r="EA20">
        <v>119.837</v>
      </c>
      <c r="EB20">
        <v>22.8291</v>
      </c>
      <c r="EC20">
        <v>2.8782299999999998</v>
      </c>
      <c r="ED20">
        <v>2.27427</v>
      </c>
      <c r="EE20">
        <v>23.339700000000001</v>
      </c>
      <c r="EF20">
        <v>19.4953</v>
      </c>
      <c r="EG20">
        <v>1799.82</v>
      </c>
      <c r="EH20">
        <v>0.97799800000000003</v>
      </c>
      <c r="EI20">
        <v>2.2001900000000001E-2</v>
      </c>
      <c r="EJ20">
        <v>0</v>
      </c>
      <c r="EK20">
        <v>615.66099999999994</v>
      </c>
      <c r="EL20">
        <v>5.0002500000000003</v>
      </c>
      <c r="EM20">
        <v>19914.599999999999</v>
      </c>
      <c r="EN20">
        <v>14820.6</v>
      </c>
      <c r="EO20">
        <v>44.561999999999998</v>
      </c>
      <c r="EP20">
        <v>46.311999999999998</v>
      </c>
      <c r="EQ20">
        <v>45.375</v>
      </c>
      <c r="ER20">
        <v>44.936999999999998</v>
      </c>
      <c r="ES20">
        <v>46.061999999999998</v>
      </c>
      <c r="ET20">
        <v>1755.33</v>
      </c>
      <c r="EU20">
        <v>39.49</v>
      </c>
      <c r="EV20">
        <v>0</v>
      </c>
      <c r="EW20">
        <v>114.2000000476837</v>
      </c>
      <c r="EX20">
        <v>0</v>
      </c>
      <c r="EY20">
        <v>615.6773461538462</v>
      </c>
      <c r="EZ20">
        <v>-1.951008559158746</v>
      </c>
      <c r="FA20">
        <v>-129.28205104825881</v>
      </c>
      <c r="FB20">
        <v>19922.880769230771</v>
      </c>
      <c r="FC20">
        <v>15</v>
      </c>
      <c r="FD20">
        <v>1693494512.0999999</v>
      </c>
      <c r="FE20" t="s">
        <v>440</v>
      </c>
      <c r="FF20">
        <v>1693494501.0999999</v>
      </c>
      <c r="FG20">
        <v>1693494512.0999999</v>
      </c>
      <c r="FH20">
        <v>5</v>
      </c>
      <c r="FI20">
        <v>4.3999999999999997E-2</v>
      </c>
      <c r="FJ20">
        <v>-3.0000000000000001E-3</v>
      </c>
      <c r="FK20">
        <v>-0.40799999999999997</v>
      </c>
      <c r="FL20">
        <v>-0.311</v>
      </c>
      <c r="FM20">
        <v>120</v>
      </c>
      <c r="FN20">
        <v>23</v>
      </c>
      <c r="FO20">
        <v>0.23</v>
      </c>
      <c r="FP20">
        <v>0.04</v>
      </c>
      <c r="FQ20">
        <v>17.032887371514441</v>
      </c>
      <c r="FR20">
        <v>-0.30449676278130072</v>
      </c>
      <c r="FS20">
        <v>6.470510717520371E-2</v>
      </c>
      <c r="FT20">
        <v>1</v>
      </c>
      <c r="FU20">
        <v>0.40540911567028398</v>
      </c>
      <c r="FV20">
        <v>-2.2876729309825532E-2</v>
      </c>
      <c r="FW20">
        <v>4.4877101426476834E-3</v>
      </c>
      <c r="FX20">
        <v>1</v>
      </c>
      <c r="FY20">
        <v>2</v>
      </c>
      <c r="FZ20">
        <v>2</v>
      </c>
      <c r="GA20" t="s">
        <v>422</v>
      </c>
      <c r="GB20">
        <v>2.9242900000000001</v>
      </c>
      <c r="GC20">
        <v>2.8306100000000001</v>
      </c>
      <c r="GD20">
        <v>2.73324E-2</v>
      </c>
      <c r="GE20">
        <v>3.1987599999999998E-2</v>
      </c>
      <c r="GF20">
        <v>0.13827800000000001</v>
      </c>
      <c r="GG20">
        <v>0.11209</v>
      </c>
      <c r="GH20">
        <v>25383.200000000001</v>
      </c>
      <c r="GI20">
        <v>31011.599999999999</v>
      </c>
      <c r="GJ20">
        <v>23481.1</v>
      </c>
      <c r="GK20">
        <v>29310</v>
      </c>
      <c r="GL20">
        <v>27556.799999999999</v>
      </c>
      <c r="GM20">
        <v>36753.1</v>
      </c>
      <c r="GN20">
        <v>33195.300000000003</v>
      </c>
      <c r="GO20">
        <v>43201.1</v>
      </c>
      <c r="GP20">
        <v>2.0402</v>
      </c>
      <c r="GQ20">
        <v>1.9238999999999999</v>
      </c>
      <c r="GR20">
        <v>0.12665999999999999</v>
      </c>
      <c r="GS20">
        <v>0</v>
      </c>
      <c r="GT20">
        <v>27.817900000000002</v>
      </c>
      <c r="GU20">
        <v>999.9</v>
      </c>
      <c r="GV20">
        <v>52.3</v>
      </c>
      <c r="GW20">
        <v>34.200000000000003</v>
      </c>
      <c r="GX20">
        <v>28.3658</v>
      </c>
      <c r="GY20">
        <v>61.443800000000003</v>
      </c>
      <c r="GZ20">
        <v>34.439100000000003</v>
      </c>
      <c r="HA20">
        <v>1</v>
      </c>
      <c r="HB20">
        <v>3.5772400000000003E-2</v>
      </c>
      <c r="HC20">
        <v>-1.5451600000000001</v>
      </c>
      <c r="HD20">
        <v>20.2669</v>
      </c>
      <c r="HE20">
        <v>5.2112999999999996</v>
      </c>
      <c r="HF20">
        <v>11.866199999999999</v>
      </c>
      <c r="HG20">
        <v>4.9854000000000003</v>
      </c>
      <c r="HH20">
        <v>3.2837000000000001</v>
      </c>
      <c r="HI20">
        <v>9999</v>
      </c>
      <c r="HJ20">
        <v>9999</v>
      </c>
      <c r="HK20">
        <v>9999</v>
      </c>
      <c r="HL20">
        <v>999.9</v>
      </c>
      <c r="HM20">
        <v>1.8548</v>
      </c>
      <c r="HN20">
        <v>1.86086</v>
      </c>
      <c r="HO20">
        <v>1.85822</v>
      </c>
      <c r="HP20">
        <v>1.85938</v>
      </c>
      <c r="HQ20">
        <v>1.85877</v>
      </c>
      <c r="HR20">
        <v>1.85928</v>
      </c>
      <c r="HS20">
        <v>1.85762</v>
      </c>
      <c r="HT20">
        <v>1.8609599999999999</v>
      </c>
      <c r="HU20">
        <v>5</v>
      </c>
      <c r="HV20">
        <v>0</v>
      </c>
      <c r="HW20">
        <v>0</v>
      </c>
      <c r="HX20">
        <v>0</v>
      </c>
      <c r="HY20" t="s">
        <v>423</v>
      </c>
      <c r="HZ20" t="s">
        <v>424</v>
      </c>
      <c r="IA20" t="s">
        <v>425</v>
      </c>
      <c r="IB20" t="s">
        <v>425</v>
      </c>
      <c r="IC20" t="s">
        <v>425</v>
      </c>
      <c r="ID20" t="s">
        <v>425</v>
      </c>
      <c r="IE20">
        <v>0</v>
      </c>
      <c r="IF20">
        <v>100</v>
      </c>
      <c r="IG20">
        <v>100</v>
      </c>
      <c r="IH20">
        <v>-0.40799999999999997</v>
      </c>
      <c r="II20">
        <v>-0.31059999999999999</v>
      </c>
      <c r="IJ20">
        <v>-0.40842857142858691</v>
      </c>
      <c r="IK20">
        <v>0</v>
      </c>
      <c r="IL20">
        <v>0</v>
      </c>
      <c r="IM20">
        <v>0</v>
      </c>
      <c r="IN20">
        <v>-0.31064285714285939</v>
      </c>
      <c r="IO20">
        <v>0</v>
      </c>
      <c r="IP20">
        <v>0</v>
      </c>
      <c r="IQ20">
        <v>0</v>
      </c>
      <c r="IR20">
        <v>-1</v>
      </c>
      <c r="IS20">
        <v>-1</v>
      </c>
      <c r="IT20">
        <v>-1</v>
      </c>
      <c r="IU20">
        <v>-1</v>
      </c>
      <c r="IV20">
        <v>0.7</v>
      </c>
      <c r="IW20">
        <v>0.6</v>
      </c>
      <c r="IX20">
        <v>0.404053</v>
      </c>
      <c r="IY20">
        <v>2.47559</v>
      </c>
      <c r="IZ20">
        <v>1.49414</v>
      </c>
      <c r="JA20">
        <v>2.2997999999999998</v>
      </c>
      <c r="JB20">
        <v>1.54419</v>
      </c>
      <c r="JC20">
        <v>2.4658199999999999</v>
      </c>
      <c r="JD20">
        <v>42.297499999999999</v>
      </c>
      <c r="JE20">
        <v>23.921099999999999</v>
      </c>
      <c r="JF20">
        <v>18</v>
      </c>
      <c r="JG20">
        <v>520.375</v>
      </c>
      <c r="JH20">
        <v>479.642</v>
      </c>
      <c r="JI20">
        <v>29.7882</v>
      </c>
      <c r="JJ20">
        <v>27.832599999999999</v>
      </c>
      <c r="JK20">
        <v>30.000399999999999</v>
      </c>
      <c r="JL20">
        <v>27.7395</v>
      </c>
      <c r="JM20">
        <v>27.691199999999998</v>
      </c>
      <c r="JN20">
        <v>8.1660599999999999</v>
      </c>
      <c r="JO20">
        <v>24.915900000000001</v>
      </c>
      <c r="JP20">
        <v>100</v>
      </c>
      <c r="JQ20">
        <v>29.804300000000001</v>
      </c>
      <c r="JR20">
        <v>120</v>
      </c>
      <c r="JS20">
        <v>22.870699999999999</v>
      </c>
      <c r="JT20">
        <v>98.460599999999999</v>
      </c>
      <c r="JU20">
        <v>97.365899999999996</v>
      </c>
    </row>
    <row r="21" spans="1:281" x14ac:dyDescent="0.25">
      <c r="A21">
        <v>5</v>
      </c>
      <c r="B21">
        <v>1693494669.0999999</v>
      </c>
      <c r="C21">
        <v>533.09999990463257</v>
      </c>
      <c r="D21" t="s">
        <v>441</v>
      </c>
      <c r="E21" t="s">
        <v>442</v>
      </c>
      <c r="F21" t="s">
        <v>414</v>
      </c>
      <c r="G21" t="s">
        <v>415</v>
      </c>
      <c r="H21" t="s">
        <v>416</v>
      </c>
      <c r="I21" t="s">
        <v>31</v>
      </c>
      <c r="J21">
        <v>1693494669.0999999</v>
      </c>
      <c r="K21">
        <f t="shared" si="0"/>
        <v>5.4490120419502753E-3</v>
      </c>
      <c r="L21">
        <f t="shared" si="1"/>
        <v>5.449012041950275</v>
      </c>
      <c r="M21">
        <f t="shared" si="2"/>
        <v>10.356232218436368</v>
      </c>
      <c r="N21">
        <f t="shared" si="3"/>
        <v>57.163800000000002</v>
      </c>
      <c r="O21">
        <f t="shared" si="4"/>
        <v>13.439872004077499</v>
      </c>
      <c r="P21">
        <f t="shared" si="5"/>
        <v>1.3402538552906236</v>
      </c>
      <c r="Q21">
        <f t="shared" si="6"/>
        <v>5.7005009653230596</v>
      </c>
      <c r="R21">
        <f t="shared" si="7"/>
        <v>0.41172527642657503</v>
      </c>
      <c r="S21">
        <f t="shared" si="8"/>
        <v>2.9246722491116737</v>
      </c>
      <c r="T21">
        <f t="shared" si="9"/>
        <v>0.38202345864735737</v>
      </c>
      <c r="U21">
        <f t="shared" si="10"/>
        <v>0.24125445337157594</v>
      </c>
      <c r="V21">
        <f t="shared" si="11"/>
        <v>344.37509967092222</v>
      </c>
      <c r="W21">
        <f t="shared" si="12"/>
        <v>31.311616240199008</v>
      </c>
      <c r="X21">
        <f t="shared" si="13"/>
        <v>30.012799999999999</v>
      </c>
      <c r="Y21">
        <f t="shared" si="14"/>
        <v>4.2635831504430985</v>
      </c>
      <c r="Z21">
        <f t="shared" si="15"/>
        <v>65.22239860843591</v>
      </c>
      <c r="AA21">
        <f t="shared" si="16"/>
        <v>2.89222356451236</v>
      </c>
      <c r="AB21">
        <f t="shared" si="17"/>
        <v>4.4344023314381413</v>
      </c>
      <c r="AC21">
        <f t="shared" si="18"/>
        <v>1.3713595859307386</v>
      </c>
      <c r="AD21">
        <f t="shared" si="19"/>
        <v>-240.30143105000715</v>
      </c>
      <c r="AE21">
        <f t="shared" si="20"/>
        <v>108.11769970267034</v>
      </c>
      <c r="AF21">
        <f t="shared" si="21"/>
        <v>8.2487400907811601</v>
      </c>
      <c r="AG21">
        <f t="shared" si="22"/>
        <v>220.44010841436656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52085.996596109646</v>
      </c>
      <c r="AM21" t="s">
        <v>417</v>
      </c>
      <c r="AN21">
        <v>10366.9</v>
      </c>
      <c r="AO21">
        <v>993.59653846153856</v>
      </c>
      <c r="AP21">
        <v>3431.87</v>
      </c>
      <c r="AQ21">
        <f t="shared" si="26"/>
        <v>0.71047955241266758</v>
      </c>
      <c r="AR21">
        <v>-3.9894345373445681</v>
      </c>
      <c r="AS21" t="s">
        <v>443</v>
      </c>
      <c r="AT21">
        <v>10316.5</v>
      </c>
      <c r="AU21">
        <v>618.66867999999999</v>
      </c>
      <c r="AV21">
        <v>697.83425828850159</v>
      </c>
      <c r="AW21">
        <f t="shared" si="27"/>
        <v>0.11344467163687544</v>
      </c>
      <c r="AX21">
        <v>0.5</v>
      </c>
      <c r="AY21">
        <f t="shared" si="28"/>
        <v>1513.2098998354611</v>
      </c>
      <c r="AZ21">
        <f t="shared" si="29"/>
        <v>10.356232218436368</v>
      </c>
      <c r="BA21">
        <f t="shared" si="30"/>
        <v>85.832800102251525</v>
      </c>
      <c r="BB21">
        <f t="shared" si="31"/>
        <v>9.4802887275194352E-3</v>
      </c>
      <c r="BC21">
        <f t="shared" si="32"/>
        <v>3.9178869613208094</v>
      </c>
      <c r="BD21">
        <f t="shared" si="33"/>
        <v>465.53560145382176</v>
      </c>
      <c r="BE21" t="s">
        <v>444</v>
      </c>
      <c r="BF21">
        <v>522.12</v>
      </c>
      <c r="BG21">
        <f t="shared" si="34"/>
        <v>522.12</v>
      </c>
      <c r="BH21">
        <f t="shared" si="35"/>
        <v>0.25179941540768702</v>
      </c>
      <c r="BI21">
        <f t="shared" si="36"/>
        <v>0.4505358817183821</v>
      </c>
      <c r="BJ21">
        <f t="shared" si="37"/>
        <v>0.93961190539101236</v>
      </c>
      <c r="BK21">
        <f t="shared" si="38"/>
        <v>-0.26766624277506057</v>
      </c>
      <c r="BL21">
        <f t="shared" si="39"/>
        <v>1.1212998807715446</v>
      </c>
      <c r="BM21">
        <f t="shared" si="40"/>
        <v>0.38022580125245986</v>
      </c>
      <c r="BN21">
        <f t="shared" si="41"/>
        <v>0.61977419874754014</v>
      </c>
      <c r="BO21">
        <v>16714</v>
      </c>
      <c r="BP21">
        <v>290.00000000000011</v>
      </c>
      <c r="BQ21">
        <v>679.01</v>
      </c>
      <c r="BR21">
        <v>185</v>
      </c>
      <c r="BS21">
        <v>10316.5</v>
      </c>
      <c r="BT21">
        <v>678.3</v>
      </c>
      <c r="BU21">
        <v>0.71</v>
      </c>
      <c r="BV21">
        <v>300.00000000000011</v>
      </c>
      <c r="BW21">
        <v>38.4</v>
      </c>
      <c r="BX21">
        <v>697.83425828850159</v>
      </c>
      <c r="BY21">
        <v>1.138187964367442</v>
      </c>
      <c r="BZ21">
        <v>-20.150249779225209</v>
      </c>
      <c r="CA21">
        <v>0.9607968674395132</v>
      </c>
      <c r="CB21">
        <v>0.9401508659926916</v>
      </c>
      <c r="CC21">
        <v>-1.123165561735261E-2</v>
      </c>
      <c r="CD21">
        <v>289.99999999999989</v>
      </c>
      <c r="CE21">
        <v>677.17</v>
      </c>
      <c r="CF21">
        <v>685</v>
      </c>
      <c r="CG21">
        <v>10291.9</v>
      </c>
      <c r="CH21">
        <v>678.26</v>
      </c>
      <c r="CI21">
        <v>-1.0900000000000001</v>
      </c>
      <c r="CW21">
        <f t="shared" si="42"/>
        <v>1800.03</v>
      </c>
      <c r="CX21">
        <f t="shared" si="43"/>
        <v>1513.2098998354611</v>
      </c>
      <c r="CY21">
        <f t="shared" si="44"/>
        <v>0.8406581556059961</v>
      </c>
      <c r="CZ21">
        <f t="shared" si="45"/>
        <v>0.19131631121199213</v>
      </c>
      <c r="DA21">
        <v>6</v>
      </c>
      <c r="DB21">
        <v>0.5</v>
      </c>
      <c r="DC21" t="s">
        <v>420</v>
      </c>
      <c r="DD21">
        <v>2</v>
      </c>
      <c r="DE21">
        <v>1693494669.0999999</v>
      </c>
      <c r="DF21">
        <v>57.163800000000002</v>
      </c>
      <c r="DG21">
        <v>69.95</v>
      </c>
      <c r="DH21">
        <v>29.002800000000001</v>
      </c>
      <c r="DI21">
        <v>22.661100000000001</v>
      </c>
      <c r="DJ21">
        <v>57.501899999999999</v>
      </c>
      <c r="DK21">
        <v>29.316400000000002</v>
      </c>
      <c r="DL21">
        <v>500.589</v>
      </c>
      <c r="DM21">
        <v>99.622600000000006</v>
      </c>
      <c r="DN21">
        <v>9.9618700000000004E-2</v>
      </c>
      <c r="DO21">
        <v>30.698499999999999</v>
      </c>
      <c r="DP21">
        <v>30.012799999999999</v>
      </c>
      <c r="DQ21">
        <v>999.9</v>
      </c>
      <c r="DR21">
        <v>0</v>
      </c>
      <c r="DS21">
        <v>0</v>
      </c>
      <c r="DT21">
        <v>10010</v>
      </c>
      <c r="DU21">
        <v>0</v>
      </c>
      <c r="DV21">
        <v>1534.38</v>
      </c>
      <c r="DW21">
        <v>-12.786199999999999</v>
      </c>
      <c r="DX21">
        <v>58.871299999999998</v>
      </c>
      <c r="DY21">
        <v>71.571899999999999</v>
      </c>
      <c r="DZ21">
        <v>6.3417000000000003</v>
      </c>
      <c r="EA21">
        <v>69.95</v>
      </c>
      <c r="EB21">
        <v>22.661100000000001</v>
      </c>
      <c r="EC21">
        <v>2.8893399999999998</v>
      </c>
      <c r="ED21">
        <v>2.2575599999999998</v>
      </c>
      <c r="EE21">
        <v>23.403600000000001</v>
      </c>
      <c r="EF21">
        <v>19.3767</v>
      </c>
      <c r="EG21">
        <v>1800.03</v>
      </c>
      <c r="EH21">
        <v>0.97800200000000004</v>
      </c>
      <c r="EI21">
        <v>2.19981E-2</v>
      </c>
      <c r="EJ21">
        <v>0</v>
      </c>
      <c r="EK21">
        <v>618.47900000000004</v>
      </c>
      <c r="EL21">
        <v>5.0002500000000003</v>
      </c>
      <c r="EM21">
        <v>19826.400000000001</v>
      </c>
      <c r="EN21">
        <v>14822.3</v>
      </c>
      <c r="EO21">
        <v>44.686999999999998</v>
      </c>
      <c r="EP21">
        <v>46.436999999999998</v>
      </c>
      <c r="EQ21">
        <v>45.561999999999998</v>
      </c>
      <c r="ER21">
        <v>45.061999999999998</v>
      </c>
      <c r="ES21">
        <v>46.125</v>
      </c>
      <c r="ET21">
        <v>1755.54</v>
      </c>
      <c r="EU21">
        <v>39.49</v>
      </c>
      <c r="EV21">
        <v>0</v>
      </c>
      <c r="EW21">
        <v>122</v>
      </c>
      <c r="EX21">
        <v>0</v>
      </c>
      <c r="EY21">
        <v>618.66867999999999</v>
      </c>
      <c r="EZ21">
        <v>-1.7424615441538389</v>
      </c>
      <c r="FA21">
        <v>-109.8769224663989</v>
      </c>
      <c r="FB21">
        <v>19837.580000000002</v>
      </c>
      <c r="FC21">
        <v>15</v>
      </c>
      <c r="FD21">
        <v>1693494627.5999999</v>
      </c>
      <c r="FE21" t="s">
        <v>445</v>
      </c>
      <c r="FF21">
        <v>1693494605.5999999</v>
      </c>
      <c r="FG21">
        <v>1693494627.5999999</v>
      </c>
      <c r="FH21">
        <v>6</v>
      </c>
      <c r="FI21">
        <v>7.0000000000000007E-2</v>
      </c>
      <c r="FJ21">
        <v>-3.0000000000000001E-3</v>
      </c>
      <c r="FK21">
        <v>-0.33800000000000002</v>
      </c>
      <c r="FL21">
        <v>-0.314</v>
      </c>
      <c r="FM21">
        <v>70</v>
      </c>
      <c r="FN21">
        <v>23</v>
      </c>
      <c r="FO21">
        <v>0.47</v>
      </c>
      <c r="FP21">
        <v>0.3</v>
      </c>
      <c r="FQ21">
        <v>10.363636228802051</v>
      </c>
      <c r="FR21">
        <v>3.9659595325591983E-2</v>
      </c>
      <c r="FS21">
        <v>4.7276276892263713E-2</v>
      </c>
      <c r="FT21">
        <v>1</v>
      </c>
      <c r="FU21">
        <v>0.41849480463496502</v>
      </c>
      <c r="FV21">
        <v>-4.9595206137870877E-2</v>
      </c>
      <c r="FW21">
        <v>3.8656142657618698E-3</v>
      </c>
      <c r="FX21">
        <v>1</v>
      </c>
      <c r="FY21">
        <v>2</v>
      </c>
      <c r="FZ21">
        <v>2</v>
      </c>
      <c r="GA21" t="s">
        <v>422</v>
      </c>
      <c r="GB21">
        <v>2.9249399999999999</v>
      </c>
      <c r="GC21">
        <v>2.82959</v>
      </c>
      <c r="GD21">
        <v>1.6141300000000001E-2</v>
      </c>
      <c r="GE21">
        <v>1.9121699999999998E-2</v>
      </c>
      <c r="GF21">
        <v>0.13863200000000001</v>
      </c>
      <c r="GG21">
        <v>0.11149299999999999</v>
      </c>
      <c r="GH21">
        <v>25677.200000000001</v>
      </c>
      <c r="GI21">
        <v>31424.5</v>
      </c>
      <c r="GJ21">
        <v>23483</v>
      </c>
      <c r="GK21">
        <v>29310.9</v>
      </c>
      <c r="GL21">
        <v>27546.5</v>
      </c>
      <c r="GM21">
        <v>36777.9</v>
      </c>
      <c r="GN21">
        <v>33197.800000000003</v>
      </c>
      <c r="GO21">
        <v>43201.5</v>
      </c>
      <c r="GP21">
        <v>2.0398999999999998</v>
      </c>
      <c r="GQ21">
        <v>1.9206000000000001</v>
      </c>
      <c r="GR21">
        <v>0.12814999999999999</v>
      </c>
      <c r="GS21">
        <v>0</v>
      </c>
      <c r="GT21">
        <v>27.9238</v>
      </c>
      <c r="GU21">
        <v>999.9</v>
      </c>
      <c r="GV21">
        <v>51.8</v>
      </c>
      <c r="GW21">
        <v>34.5</v>
      </c>
      <c r="GX21">
        <v>28.5656</v>
      </c>
      <c r="GY21">
        <v>61.313800000000001</v>
      </c>
      <c r="GZ21">
        <v>34.162700000000001</v>
      </c>
      <c r="HA21">
        <v>1</v>
      </c>
      <c r="HB21">
        <v>3.9735800000000002E-2</v>
      </c>
      <c r="HC21">
        <v>-1.43947</v>
      </c>
      <c r="HD21">
        <v>20.269500000000001</v>
      </c>
      <c r="HE21">
        <v>5.2125000000000004</v>
      </c>
      <c r="HF21">
        <v>11.866199999999999</v>
      </c>
      <c r="HG21">
        <v>4.9854000000000003</v>
      </c>
      <c r="HH21">
        <v>3.2839999999999998</v>
      </c>
      <c r="HI21">
        <v>9999</v>
      </c>
      <c r="HJ21">
        <v>9999</v>
      </c>
      <c r="HK21">
        <v>9999</v>
      </c>
      <c r="HL21">
        <v>999.9</v>
      </c>
      <c r="HM21">
        <v>1.85486</v>
      </c>
      <c r="HN21">
        <v>1.8609599999999999</v>
      </c>
      <c r="HO21">
        <v>1.85833</v>
      </c>
      <c r="HP21">
        <v>1.85944</v>
      </c>
      <c r="HQ21">
        <v>1.85883</v>
      </c>
      <c r="HR21">
        <v>1.85938</v>
      </c>
      <c r="HS21">
        <v>1.8576600000000001</v>
      </c>
      <c r="HT21">
        <v>1.8610100000000001</v>
      </c>
      <c r="HU21">
        <v>5</v>
      </c>
      <c r="HV21">
        <v>0</v>
      </c>
      <c r="HW21">
        <v>0</v>
      </c>
      <c r="HX21">
        <v>0</v>
      </c>
      <c r="HY21" t="s">
        <v>423</v>
      </c>
      <c r="HZ21" t="s">
        <v>424</v>
      </c>
      <c r="IA21" t="s">
        <v>425</v>
      </c>
      <c r="IB21" t="s">
        <v>425</v>
      </c>
      <c r="IC21" t="s">
        <v>425</v>
      </c>
      <c r="ID21" t="s">
        <v>425</v>
      </c>
      <c r="IE21">
        <v>0</v>
      </c>
      <c r="IF21">
        <v>100</v>
      </c>
      <c r="IG21">
        <v>100</v>
      </c>
      <c r="IH21">
        <v>-0.33800000000000002</v>
      </c>
      <c r="II21">
        <v>-0.31359999999999999</v>
      </c>
      <c r="IJ21">
        <v>-0.33810499999999882</v>
      </c>
      <c r="IK21">
        <v>0</v>
      </c>
      <c r="IL21">
        <v>0</v>
      </c>
      <c r="IM21">
        <v>0</v>
      </c>
      <c r="IN21">
        <v>-0.31352500000000211</v>
      </c>
      <c r="IO21">
        <v>0</v>
      </c>
      <c r="IP21">
        <v>0</v>
      </c>
      <c r="IQ21">
        <v>0</v>
      </c>
      <c r="IR21">
        <v>-1</v>
      </c>
      <c r="IS21">
        <v>-1</v>
      </c>
      <c r="IT21">
        <v>-1</v>
      </c>
      <c r="IU21">
        <v>-1</v>
      </c>
      <c r="IV21">
        <v>1.1000000000000001</v>
      </c>
      <c r="IW21">
        <v>0.7</v>
      </c>
      <c r="IX21">
        <v>0.29663099999999998</v>
      </c>
      <c r="IY21">
        <v>2.4877899999999999</v>
      </c>
      <c r="IZ21">
        <v>1.49414</v>
      </c>
      <c r="JA21">
        <v>2.2997999999999998</v>
      </c>
      <c r="JB21">
        <v>1.54419</v>
      </c>
      <c r="JC21">
        <v>2.52319</v>
      </c>
      <c r="JD21">
        <v>42.483699999999999</v>
      </c>
      <c r="JE21">
        <v>23.921099999999999</v>
      </c>
      <c r="JF21">
        <v>18</v>
      </c>
      <c r="JG21">
        <v>520.76099999999997</v>
      </c>
      <c r="JH21">
        <v>477.95</v>
      </c>
      <c r="JI21">
        <v>30.0151</v>
      </c>
      <c r="JJ21">
        <v>27.877600000000001</v>
      </c>
      <c r="JK21">
        <v>30.000399999999999</v>
      </c>
      <c r="JL21">
        <v>27.802700000000002</v>
      </c>
      <c r="JM21">
        <v>27.758900000000001</v>
      </c>
      <c r="JN21">
        <v>6.0019799999999996</v>
      </c>
      <c r="JO21">
        <v>26.510999999999999</v>
      </c>
      <c r="JP21">
        <v>99.621300000000005</v>
      </c>
      <c r="JQ21">
        <v>30.004100000000001</v>
      </c>
      <c r="JR21">
        <v>70</v>
      </c>
      <c r="JS21">
        <v>22.541499999999999</v>
      </c>
      <c r="JT21">
        <v>98.468100000000007</v>
      </c>
      <c r="JU21">
        <v>97.367699999999999</v>
      </c>
    </row>
    <row r="22" spans="1:281" x14ac:dyDescent="0.25">
      <c r="A22">
        <v>6</v>
      </c>
      <c r="B22">
        <v>1693494792.5999999</v>
      </c>
      <c r="C22">
        <v>656.59999990463257</v>
      </c>
      <c r="D22" t="s">
        <v>446</v>
      </c>
      <c r="E22" t="s">
        <v>447</v>
      </c>
      <c r="F22" t="s">
        <v>414</v>
      </c>
      <c r="G22" t="s">
        <v>415</v>
      </c>
      <c r="H22" t="s">
        <v>416</v>
      </c>
      <c r="I22" t="s">
        <v>31</v>
      </c>
      <c r="J22">
        <v>1693494792.5999999</v>
      </c>
      <c r="K22">
        <f t="shared" si="0"/>
        <v>5.7251723872268848E-3</v>
      </c>
      <c r="L22">
        <f t="shared" si="1"/>
        <v>5.7251723872268849</v>
      </c>
      <c r="M22">
        <f t="shared" si="2"/>
        <v>4.5073891424074324</v>
      </c>
      <c r="N22">
        <f t="shared" si="3"/>
        <v>24.4223</v>
      </c>
      <c r="O22">
        <f t="shared" si="4"/>
        <v>6.4486135033078114</v>
      </c>
      <c r="P22">
        <f t="shared" si="5"/>
        <v>0.64310515427513082</v>
      </c>
      <c r="Q22">
        <f t="shared" si="6"/>
        <v>2.4355789040848999</v>
      </c>
      <c r="R22">
        <f t="shared" si="7"/>
        <v>0.43819215958735769</v>
      </c>
      <c r="S22">
        <f t="shared" si="8"/>
        <v>2.9164298467173468</v>
      </c>
      <c r="T22">
        <f t="shared" si="9"/>
        <v>0.40462845666087849</v>
      </c>
      <c r="U22">
        <f t="shared" si="10"/>
        <v>0.255693777346791</v>
      </c>
      <c r="V22">
        <f t="shared" si="11"/>
        <v>344.32759967087651</v>
      </c>
      <c r="W22">
        <f t="shared" si="12"/>
        <v>31.262301779881106</v>
      </c>
      <c r="X22">
        <f t="shared" si="13"/>
        <v>30.008800000000001</v>
      </c>
      <c r="Y22">
        <f t="shared" si="14"/>
        <v>4.2626037541442869</v>
      </c>
      <c r="Z22">
        <f t="shared" si="15"/>
        <v>65.368324507672924</v>
      </c>
      <c r="AA22">
        <f t="shared" si="16"/>
        <v>2.9022245847945003</v>
      </c>
      <c r="AB22">
        <f t="shared" si="17"/>
        <v>4.4398026209985506</v>
      </c>
      <c r="AC22">
        <f t="shared" si="18"/>
        <v>1.3603791693497866</v>
      </c>
      <c r="AD22">
        <f t="shared" si="19"/>
        <v>-252.48010227670562</v>
      </c>
      <c r="AE22">
        <f t="shared" si="20"/>
        <v>111.79093235221617</v>
      </c>
      <c r="AF22">
        <f t="shared" si="21"/>
        <v>8.5538230707218261</v>
      </c>
      <c r="AG22">
        <f t="shared" si="22"/>
        <v>212.19225281710888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51847.79840313852</v>
      </c>
      <c r="AM22" t="s">
        <v>417</v>
      </c>
      <c r="AN22">
        <v>10366.9</v>
      </c>
      <c r="AO22">
        <v>993.59653846153856</v>
      </c>
      <c r="AP22">
        <v>3431.87</v>
      </c>
      <c r="AQ22">
        <f t="shared" si="26"/>
        <v>0.71047955241266758</v>
      </c>
      <c r="AR22">
        <v>-3.9894345373445681</v>
      </c>
      <c r="AS22" t="s">
        <v>448</v>
      </c>
      <c r="AT22">
        <v>10304.9</v>
      </c>
      <c r="AU22">
        <v>624.62626923076925</v>
      </c>
      <c r="AV22">
        <v>674.30621221803699</v>
      </c>
      <c r="AW22">
        <f t="shared" si="27"/>
        <v>7.3675641848015117E-2</v>
      </c>
      <c r="AX22">
        <v>0.5</v>
      </c>
      <c r="AY22">
        <f t="shared" si="28"/>
        <v>1512.9998998354381</v>
      </c>
      <c r="AZ22">
        <f t="shared" si="29"/>
        <v>4.5073891424074324</v>
      </c>
      <c r="BA22">
        <f t="shared" si="30"/>
        <v>55.735619368179243</v>
      </c>
      <c r="BB22">
        <f t="shared" si="31"/>
        <v>5.615878547431603E-3</v>
      </c>
      <c r="BC22">
        <f t="shared" si="32"/>
        <v>4.0894829942487672</v>
      </c>
      <c r="BD22">
        <f t="shared" si="33"/>
        <v>454.9457724471693</v>
      </c>
      <c r="BE22" t="s">
        <v>449</v>
      </c>
      <c r="BF22">
        <v>533.85</v>
      </c>
      <c r="BG22">
        <f t="shared" si="34"/>
        <v>533.85</v>
      </c>
      <c r="BH22">
        <f t="shared" si="35"/>
        <v>0.20829737242969437</v>
      </c>
      <c r="BI22">
        <f t="shared" si="36"/>
        <v>0.35370413456791189</v>
      </c>
      <c r="BJ22">
        <f t="shared" si="37"/>
        <v>0.95153373261121821</v>
      </c>
      <c r="BK22">
        <f t="shared" si="38"/>
        <v>-0.15559488936529864</v>
      </c>
      <c r="BL22">
        <f t="shared" si="39"/>
        <v>1.1309493505466119</v>
      </c>
      <c r="BM22">
        <f t="shared" si="40"/>
        <v>0.30230069009364396</v>
      </c>
      <c r="BN22">
        <f t="shared" si="41"/>
        <v>0.69769930990635598</v>
      </c>
      <c r="BO22">
        <v>16716</v>
      </c>
      <c r="BP22">
        <v>290.00000000000011</v>
      </c>
      <c r="BQ22">
        <v>663.19</v>
      </c>
      <c r="BR22">
        <v>285</v>
      </c>
      <c r="BS22">
        <v>10304.9</v>
      </c>
      <c r="BT22">
        <v>662.07</v>
      </c>
      <c r="BU22">
        <v>1.1200000000000001</v>
      </c>
      <c r="BV22">
        <v>300.00000000000011</v>
      </c>
      <c r="BW22">
        <v>38.4</v>
      </c>
      <c r="BX22">
        <v>674.30621221803699</v>
      </c>
      <c r="BY22">
        <v>1.015018382701333</v>
      </c>
      <c r="BZ22">
        <v>-12.611829268124859</v>
      </c>
      <c r="CA22">
        <v>0.85683498017971416</v>
      </c>
      <c r="CB22">
        <v>0.88555150934363613</v>
      </c>
      <c r="CC22">
        <v>-1.123152391546163E-2</v>
      </c>
      <c r="CD22">
        <v>289.99999999999989</v>
      </c>
      <c r="CE22">
        <v>662.09</v>
      </c>
      <c r="CF22">
        <v>735</v>
      </c>
      <c r="CG22">
        <v>10289</v>
      </c>
      <c r="CH22">
        <v>662.05</v>
      </c>
      <c r="CI22">
        <v>0.04</v>
      </c>
      <c r="CW22">
        <f t="shared" si="42"/>
        <v>1799.78</v>
      </c>
      <c r="CX22">
        <f t="shared" si="43"/>
        <v>1512.9998998354381</v>
      </c>
      <c r="CY22">
        <f t="shared" si="44"/>
        <v>0.8406582470276579</v>
      </c>
      <c r="CZ22">
        <f t="shared" si="45"/>
        <v>0.19131649405531592</v>
      </c>
      <c r="DA22">
        <v>6</v>
      </c>
      <c r="DB22">
        <v>0.5</v>
      </c>
      <c r="DC22" t="s">
        <v>420</v>
      </c>
      <c r="DD22">
        <v>2</v>
      </c>
      <c r="DE22">
        <v>1693494792.5999999</v>
      </c>
      <c r="DF22">
        <v>24.4223</v>
      </c>
      <c r="DG22">
        <v>29.996300000000002</v>
      </c>
      <c r="DH22">
        <v>29.101500000000001</v>
      </c>
      <c r="DI22">
        <v>22.4344</v>
      </c>
      <c r="DJ22">
        <v>24.744199999999999</v>
      </c>
      <c r="DK22">
        <v>29.4131</v>
      </c>
      <c r="DL22">
        <v>500.238</v>
      </c>
      <c r="DM22">
        <v>99.627600000000001</v>
      </c>
      <c r="DN22">
        <v>0.100063</v>
      </c>
      <c r="DO22">
        <v>30.719799999999999</v>
      </c>
      <c r="DP22">
        <v>30.008800000000001</v>
      </c>
      <c r="DQ22">
        <v>999.9</v>
      </c>
      <c r="DR22">
        <v>0</v>
      </c>
      <c r="DS22">
        <v>0</v>
      </c>
      <c r="DT22">
        <v>9962.5</v>
      </c>
      <c r="DU22">
        <v>0</v>
      </c>
      <c r="DV22">
        <v>1554.88</v>
      </c>
      <c r="DW22">
        <v>-5.5739900000000002</v>
      </c>
      <c r="DX22">
        <v>25.154399999999999</v>
      </c>
      <c r="DY22">
        <v>30.684699999999999</v>
      </c>
      <c r="DZ22">
        <v>6.6671100000000001</v>
      </c>
      <c r="EA22">
        <v>29.996300000000002</v>
      </c>
      <c r="EB22">
        <v>22.4344</v>
      </c>
      <c r="EC22">
        <v>2.8993199999999999</v>
      </c>
      <c r="ED22">
        <v>2.23509</v>
      </c>
      <c r="EE22">
        <v>23.460699999999999</v>
      </c>
      <c r="EF22">
        <v>19.216100000000001</v>
      </c>
      <c r="EG22">
        <v>1799.78</v>
      </c>
      <c r="EH22">
        <v>0.97799800000000003</v>
      </c>
      <c r="EI22">
        <v>2.2001900000000001E-2</v>
      </c>
      <c r="EJ22">
        <v>0</v>
      </c>
      <c r="EK22">
        <v>624.755</v>
      </c>
      <c r="EL22">
        <v>5.0002500000000003</v>
      </c>
      <c r="EM22">
        <v>19951.599999999999</v>
      </c>
      <c r="EN22">
        <v>14820.3</v>
      </c>
      <c r="EO22">
        <v>44.75</v>
      </c>
      <c r="EP22">
        <v>46.375</v>
      </c>
      <c r="EQ22">
        <v>45.561999999999998</v>
      </c>
      <c r="ER22">
        <v>45.061999999999998</v>
      </c>
      <c r="ES22">
        <v>46.125</v>
      </c>
      <c r="ET22">
        <v>1755.29</v>
      </c>
      <c r="EU22">
        <v>39.49</v>
      </c>
      <c r="EV22">
        <v>0</v>
      </c>
      <c r="EW22">
        <v>121.4000000953674</v>
      </c>
      <c r="EX22">
        <v>0</v>
      </c>
      <c r="EY22">
        <v>624.62626923076925</v>
      </c>
      <c r="EZ22">
        <v>-1.3566153837543229</v>
      </c>
      <c r="FA22">
        <v>194.26324938987389</v>
      </c>
      <c r="FB22">
        <v>20008.123076923079</v>
      </c>
      <c r="FC22">
        <v>15</v>
      </c>
      <c r="FD22">
        <v>1693494761.0999999</v>
      </c>
      <c r="FE22" t="s">
        <v>450</v>
      </c>
      <c r="FF22">
        <v>1693494746.0999999</v>
      </c>
      <c r="FG22">
        <v>1693494761.0999999</v>
      </c>
      <c r="FH22">
        <v>7</v>
      </c>
      <c r="FI22">
        <v>1.6E-2</v>
      </c>
      <c r="FJ22">
        <v>2E-3</v>
      </c>
      <c r="FK22">
        <v>-0.32200000000000001</v>
      </c>
      <c r="FL22">
        <v>-0.312</v>
      </c>
      <c r="FM22">
        <v>30</v>
      </c>
      <c r="FN22">
        <v>23</v>
      </c>
      <c r="FO22">
        <v>0.81</v>
      </c>
      <c r="FP22">
        <v>0.03</v>
      </c>
      <c r="FQ22">
        <v>4.5832022668571231</v>
      </c>
      <c r="FR22">
        <v>-0.69054277068699155</v>
      </c>
      <c r="FS22">
        <v>6.0557852470483883E-2</v>
      </c>
      <c r="FT22">
        <v>1</v>
      </c>
      <c r="FU22">
        <v>0.44240610846806477</v>
      </c>
      <c r="FV22">
        <v>2.3060061451816601E-2</v>
      </c>
      <c r="FW22">
        <v>3.2017879096607571E-3</v>
      </c>
      <c r="FX22">
        <v>1</v>
      </c>
      <c r="FY22">
        <v>2</v>
      </c>
      <c r="FZ22">
        <v>2</v>
      </c>
      <c r="GA22" t="s">
        <v>422</v>
      </c>
      <c r="GB22">
        <v>2.9240200000000001</v>
      </c>
      <c r="GC22">
        <v>2.8296199999999998</v>
      </c>
      <c r="GD22">
        <v>7.0203399999999999E-3</v>
      </c>
      <c r="GE22">
        <v>8.3113600000000003E-3</v>
      </c>
      <c r="GF22">
        <v>0.13894200000000001</v>
      </c>
      <c r="GG22">
        <v>0.110703</v>
      </c>
      <c r="GH22">
        <v>25919.200000000001</v>
      </c>
      <c r="GI22">
        <v>31772.1</v>
      </c>
      <c r="GJ22">
        <v>23486.7</v>
      </c>
      <c r="GK22">
        <v>29312.2</v>
      </c>
      <c r="GL22">
        <v>27539.9</v>
      </c>
      <c r="GM22">
        <v>36811.4</v>
      </c>
      <c r="GN22">
        <v>33202.9</v>
      </c>
      <c r="GO22">
        <v>43202.3</v>
      </c>
      <c r="GP22">
        <v>2.0392999999999999</v>
      </c>
      <c r="GQ22">
        <v>1.9171</v>
      </c>
      <c r="GR22">
        <v>0.12814999999999999</v>
      </c>
      <c r="GS22">
        <v>0</v>
      </c>
      <c r="GT22">
        <v>27.919699999999999</v>
      </c>
      <c r="GU22">
        <v>999.9</v>
      </c>
      <c r="GV22">
        <v>51.4</v>
      </c>
      <c r="GW22">
        <v>34.799999999999997</v>
      </c>
      <c r="GX22">
        <v>28.818899999999999</v>
      </c>
      <c r="GY22">
        <v>61.223799999999997</v>
      </c>
      <c r="GZ22">
        <v>34.371000000000002</v>
      </c>
      <c r="HA22">
        <v>1</v>
      </c>
      <c r="HB22">
        <v>4.1585400000000002E-2</v>
      </c>
      <c r="HC22">
        <v>-1.1537999999999999</v>
      </c>
      <c r="HD22">
        <v>20.270700000000001</v>
      </c>
      <c r="HE22">
        <v>5.2083000000000004</v>
      </c>
      <c r="HF22">
        <v>11.866199999999999</v>
      </c>
      <c r="HG22">
        <v>4.9846000000000004</v>
      </c>
      <c r="HH22">
        <v>3.2831000000000001</v>
      </c>
      <c r="HI22">
        <v>9999</v>
      </c>
      <c r="HJ22">
        <v>9999</v>
      </c>
      <c r="HK22">
        <v>9999</v>
      </c>
      <c r="HL22">
        <v>999.9</v>
      </c>
      <c r="HM22">
        <v>1.8548500000000001</v>
      </c>
      <c r="HN22">
        <v>1.8609100000000001</v>
      </c>
      <c r="HO22">
        <v>1.8582399999999999</v>
      </c>
      <c r="HP22">
        <v>1.8594200000000001</v>
      </c>
      <c r="HQ22">
        <v>1.85883</v>
      </c>
      <c r="HR22">
        <v>1.85928</v>
      </c>
      <c r="HS22">
        <v>1.85762</v>
      </c>
      <c r="HT22">
        <v>1.8609599999999999</v>
      </c>
      <c r="HU22">
        <v>5</v>
      </c>
      <c r="HV22">
        <v>0</v>
      </c>
      <c r="HW22">
        <v>0</v>
      </c>
      <c r="HX22">
        <v>0</v>
      </c>
      <c r="HY22" t="s">
        <v>423</v>
      </c>
      <c r="HZ22" t="s">
        <v>424</v>
      </c>
      <c r="IA22" t="s">
        <v>425</v>
      </c>
      <c r="IB22" t="s">
        <v>425</v>
      </c>
      <c r="IC22" t="s">
        <v>425</v>
      </c>
      <c r="ID22" t="s">
        <v>425</v>
      </c>
      <c r="IE22">
        <v>0</v>
      </c>
      <c r="IF22">
        <v>100</v>
      </c>
      <c r="IG22">
        <v>100</v>
      </c>
      <c r="IH22">
        <v>-0.32200000000000001</v>
      </c>
      <c r="II22">
        <v>-0.31159999999999999</v>
      </c>
      <c r="IJ22">
        <v>-0.32182999999999501</v>
      </c>
      <c r="IK22">
        <v>0</v>
      </c>
      <c r="IL22">
        <v>0</v>
      </c>
      <c r="IM22">
        <v>0</v>
      </c>
      <c r="IN22">
        <v>-0.31151499999999999</v>
      </c>
      <c r="IO22">
        <v>0</v>
      </c>
      <c r="IP22">
        <v>0</v>
      </c>
      <c r="IQ22">
        <v>0</v>
      </c>
      <c r="IR22">
        <v>-1</v>
      </c>
      <c r="IS22">
        <v>-1</v>
      </c>
      <c r="IT22">
        <v>-1</v>
      </c>
      <c r="IU22">
        <v>-1</v>
      </c>
      <c r="IV22">
        <v>0.8</v>
      </c>
      <c r="IW22">
        <v>0.5</v>
      </c>
      <c r="IX22">
        <v>0.20996100000000001</v>
      </c>
      <c r="IY22">
        <v>2.5146500000000001</v>
      </c>
      <c r="IZ22">
        <v>1.49414</v>
      </c>
      <c r="JA22">
        <v>2.2985799999999998</v>
      </c>
      <c r="JB22">
        <v>1.54419</v>
      </c>
      <c r="JC22">
        <v>2.5134300000000001</v>
      </c>
      <c r="JD22">
        <v>42.6706</v>
      </c>
      <c r="JE22">
        <v>23.947399999999998</v>
      </c>
      <c r="JF22">
        <v>18</v>
      </c>
      <c r="JG22">
        <v>520.75699999999995</v>
      </c>
      <c r="JH22">
        <v>475.911</v>
      </c>
      <c r="JI22">
        <v>30.066099999999999</v>
      </c>
      <c r="JJ22">
        <v>27.905999999999999</v>
      </c>
      <c r="JK22">
        <v>30.000499999999999</v>
      </c>
      <c r="JL22">
        <v>27.844899999999999</v>
      </c>
      <c r="JM22">
        <v>27.8034</v>
      </c>
      <c r="JN22">
        <v>4.2583500000000001</v>
      </c>
      <c r="JO22">
        <v>27.787600000000001</v>
      </c>
      <c r="JP22">
        <v>99.619900000000001</v>
      </c>
      <c r="JQ22">
        <v>30.060300000000002</v>
      </c>
      <c r="JR22">
        <v>30</v>
      </c>
      <c r="JS22">
        <v>22.354399999999998</v>
      </c>
      <c r="JT22">
        <v>98.4833</v>
      </c>
      <c r="JU22">
        <v>97.370400000000004</v>
      </c>
    </row>
    <row r="23" spans="1:281" x14ac:dyDescent="0.25">
      <c r="A23">
        <v>7</v>
      </c>
      <c r="B23">
        <v>1693494897.0999999</v>
      </c>
      <c r="C23">
        <v>761.09999990463257</v>
      </c>
      <c r="D23" t="s">
        <v>451</v>
      </c>
      <c r="E23" t="s">
        <v>452</v>
      </c>
      <c r="F23" t="s">
        <v>414</v>
      </c>
      <c r="G23" t="s">
        <v>415</v>
      </c>
      <c r="H23" t="s">
        <v>416</v>
      </c>
      <c r="I23" t="s">
        <v>31</v>
      </c>
      <c r="J23">
        <v>1693494897.0999999</v>
      </c>
      <c r="K23">
        <f t="shared" si="0"/>
        <v>5.7249474225568092E-3</v>
      </c>
      <c r="L23">
        <f t="shared" si="1"/>
        <v>5.7249474225568093</v>
      </c>
      <c r="M23">
        <f t="shared" si="2"/>
        <v>1.5486251138685665</v>
      </c>
      <c r="N23">
        <f t="shared" si="3"/>
        <v>8.0602099999999997</v>
      </c>
      <c r="O23">
        <f t="shared" si="4"/>
        <v>1.8715903460667123</v>
      </c>
      <c r="P23">
        <f t="shared" si="5"/>
        <v>0.18664604666553711</v>
      </c>
      <c r="Q23">
        <f t="shared" si="6"/>
        <v>0.80381176092067996</v>
      </c>
      <c r="R23">
        <f t="shared" si="7"/>
        <v>0.43658743448301018</v>
      </c>
      <c r="S23">
        <f t="shared" si="8"/>
        <v>2.9185877396619833</v>
      </c>
      <c r="T23">
        <f t="shared" si="9"/>
        <v>0.40328172557910963</v>
      </c>
      <c r="U23">
        <f t="shared" si="10"/>
        <v>0.25483140335866705</v>
      </c>
      <c r="V23">
        <f t="shared" si="11"/>
        <v>344.36749967091487</v>
      </c>
      <c r="W23">
        <f t="shared" si="12"/>
        <v>31.350589566579586</v>
      </c>
      <c r="X23">
        <f t="shared" si="13"/>
        <v>30.044699999999999</v>
      </c>
      <c r="Y23">
        <f t="shared" si="14"/>
        <v>4.2714008569297706</v>
      </c>
      <c r="Z23">
        <f t="shared" si="15"/>
        <v>65.138305316774918</v>
      </c>
      <c r="AA23">
        <f t="shared" si="16"/>
        <v>2.9066512049312001</v>
      </c>
      <c r="AB23">
        <f t="shared" si="17"/>
        <v>4.4622763684069264</v>
      </c>
      <c r="AC23">
        <f t="shared" si="18"/>
        <v>1.3647496519985705</v>
      </c>
      <c r="AD23">
        <f t="shared" si="19"/>
        <v>-252.4701813347553</v>
      </c>
      <c r="AE23">
        <f t="shared" si="20"/>
        <v>120.13435984547159</v>
      </c>
      <c r="AF23">
        <f t="shared" si="21"/>
        <v>9.191083000074082</v>
      </c>
      <c r="AG23">
        <f t="shared" si="22"/>
        <v>221.22276118170521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51894.042302576025</v>
      </c>
      <c r="AM23" t="s">
        <v>417</v>
      </c>
      <c r="AN23">
        <v>10366.9</v>
      </c>
      <c r="AO23">
        <v>993.59653846153856</v>
      </c>
      <c r="AP23">
        <v>3431.87</v>
      </c>
      <c r="AQ23">
        <f t="shared" si="26"/>
        <v>0.71047955241266758</v>
      </c>
      <c r="AR23">
        <v>-3.9894345373445681</v>
      </c>
      <c r="AS23" t="s">
        <v>453</v>
      </c>
      <c r="AT23">
        <v>10318</v>
      </c>
      <c r="AU23">
        <v>628.14449999999999</v>
      </c>
      <c r="AV23">
        <v>670.64217651686272</v>
      </c>
      <c r="AW23">
        <f t="shared" si="27"/>
        <v>6.3368630851081242E-2</v>
      </c>
      <c r="AX23">
        <v>0.5</v>
      </c>
      <c r="AY23">
        <f t="shared" si="28"/>
        <v>1513.1762998354573</v>
      </c>
      <c r="AZ23">
        <f t="shared" si="29"/>
        <v>1.5486251138685665</v>
      </c>
      <c r="BA23">
        <f t="shared" si="30"/>
        <v>47.943955178439062</v>
      </c>
      <c r="BB23">
        <f t="shared" si="31"/>
        <v>3.6598905572439531E-3</v>
      </c>
      <c r="BC23">
        <f t="shared" si="32"/>
        <v>4.1172892492748083</v>
      </c>
      <c r="BD23">
        <f t="shared" si="33"/>
        <v>453.27493955718563</v>
      </c>
      <c r="BE23" t="s">
        <v>454</v>
      </c>
      <c r="BF23">
        <v>540.95000000000005</v>
      </c>
      <c r="BG23">
        <f t="shared" si="34"/>
        <v>540.95000000000005</v>
      </c>
      <c r="BH23">
        <f t="shared" si="35"/>
        <v>0.1933850584680632</v>
      </c>
      <c r="BI23">
        <f t="shared" si="36"/>
        <v>0.3276811112144235</v>
      </c>
      <c r="BJ23">
        <f t="shared" si="37"/>
        <v>0.95513809565229657</v>
      </c>
      <c r="BK23">
        <f t="shared" si="38"/>
        <v>-0.13159034688666893</v>
      </c>
      <c r="BL23">
        <f t="shared" si="39"/>
        <v>1.1324520678418504</v>
      </c>
      <c r="BM23">
        <f t="shared" si="40"/>
        <v>0.28219477701618401</v>
      </c>
      <c r="BN23">
        <f t="shared" si="41"/>
        <v>0.71780522298381599</v>
      </c>
      <c r="BO23">
        <v>16718</v>
      </c>
      <c r="BP23">
        <v>290.00000000000011</v>
      </c>
      <c r="BQ23">
        <v>659.37</v>
      </c>
      <c r="BR23">
        <v>175</v>
      </c>
      <c r="BS23">
        <v>10318</v>
      </c>
      <c r="BT23">
        <v>658.28</v>
      </c>
      <c r="BU23">
        <v>1.0900000000000001</v>
      </c>
      <c r="BV23">
        <v>300.00000000000011</v>
      </c>
      <c r="BW23">
        <v>38.4</v>
      </c>
      <c r="BX23">
        <v>670.64217651686272</v>
      </c>
      <c r="BY23">
        <v>0.91544204189636302</v>
      </c>
      <c r="BZ23">
        <v>-12.7542280846147</v>
      </c>
      <c r="CA23">
        <v>0.77277822360054904</v>
      </c>
      <c r="CB23">
        <v>0.90678929198905833</v>
      </c>
      <c r="CC23">
        <v>-1.1231870300333719E-2</v>
      </c>
      <c r="CD23">
        <v>289.99999999999989</v>
      </c>
      <c r="CE23">
        <v>657.03</v>
      </c>
      <c r="CF23">
        <v>705</v>
      </c>
      <c r="CG23">
        <v>10290.799999999999</v>
      </c>
      <c r="CH23">
        <v>658.25</v>
      </c>
      <c r="CI23">
        <v>-1.22</v>
      </c>
      <c r="CW23">
        <f t="shared" si="42"/>
        <v>1799.99</v>
      </c>
      <c r="CX23">
        <f t="shared" si="43"/>
        <v>1513.1762998354573</v>
      </c>
      <c r="CY23">
        <f t="shared" si="44"/>
        <v>0.84065817023175538</v>
      </c>
      <c r="CZ23">
        <f t="shared" si="45"/>
        <v>0.19131634046351084</v>
      </c>
      <c r="DA23">
        <v>6</v>
      </c>
      <c r="DB23">
        <v>0.5</v>
      </c>
      <c r="DC23" t="s">
        <v>420</v>
      </c>
      <c r="DD23">
        <v>2</v>
      </c>
      <c r="DE23">
        <v>1693494897.0999999</v>
      </c>
      <c r="DF23">
        <v>8.0602099999999997</v>
      </c>
      <c r="DG23">
        <v>9.9720099999999992</v>
      </c>
      <c r="DH23">
        <v>29.1464</v>
      </c>
      <c r="DI23">
        <v>22.4834</v>
      </c>
      <c r="DJ23">
        <v>8.3937299999999997</v>
      </c>
      <c r="DK23">
        <v>29.459</v>
      </c>
      <c r="DL23">
        <v>500.50299999999999</v>
      </c>
      <c r="DM23">
        <v>99.625500000000002</v>
      </c>
      <c r="DN23">
        <v>0.100408</v>
      </c>
      <c r="DO23">
        <v>30.808199999999999</v>
      </c>
      <c r="DP23">
        <v>30.044699999999999</v>
      </c>
      <c r="DQ23">
        <v>999.9</v>
      </c>
      <c r="DR23">
        <v>0</v>
      </c>
      <c r="DS23">
        <v>0</v>
      </c>
      <c r="DT23">
        <v>9975</v>
      </c>
      <c r="DU23">
        <v>0</v>
      </c>
      <c r="DV23">
        <v>1494.1</v>
      </c>
      <c r="DW23">
        <v>-1.9117999999999999</v>
      </c>
      <c r="DX23">
        <v>8.3021899999999995</v>
      </c>
      <c r="DY23">
        <v>10.2014</v>
      </c>
      <c r="DZ23">
        <v>6.66303</v>
      </c>
      <c r="EA23">
        <v>9.9720099999999992</v>
      </c>
      <c r="EB23">
        <v>22.4834</v>
      </c>
      <c r="EC23">
        <v>2.9037299999999999</v>
      </c>
      <c r="ED23">
        <v>2.2399200000000001</v>
      </c>
      <c r="EE23">
        <v>23.485900000000001</v>
      </c>
      <c r="EF23">
        <v>19.250699999999998</v>
      </c>
      <c r="EG23">
        <v>1799.99</v>
      </c>
      <c r="EH23">
        <v>0.97800200000000004</v>
      </c>
      <c r="EI23">
        <v>2.1998299999999998E-2</v>
      </c>
      <c r="EJ23">
        <v>0</v>
      </c>
      <c r="EK23">
        <v>627.952</v>
      </c>
      <c r="EL23">
        <v>5.0002500000000003</v>
      </c>
      <c r="EM23">
        <v>19026.5</v>
      </c>
      <c r="EN23">
        <v>14822</v>
      </c>
      <c r="EO23">
        <v>44.686999999999998</v>
      </c>
      <c r="EP23">
        <v>46.311999999999998</v>
      </c>
      <c r="EQ23">
        <v>45.561999999999998</v>
      </c>
      <c r="ER23">
        <v>45</v>
      </c>
      <c r="ES23">
        <v>46.125</v>
      </c>
      <c r="ET23">
        <v>1755.5</v>
      </c>
      <c r="EU23">
        <v>39.49</v>
      </c>
      <c r="EV23">
        <v>0</v>
      </c>
      <c r="EW23">
        <v>102.7999999523163</v>
      </c>
      <c r="EX23">
        <v>0</v>
      </c>
      <c r="EY23">
        <v>628.14449999999999</v>
      </c>
      <c r="EZ23">
        <v>-1.754632480874643</v>
      </c>
      <c r="FA23">
        <v>-658.57435320474315</v>
      </c>
      <c r="FB23">
        <v>19930.48076923077</v>
      </c>
      <c r="FC23">
        <v>15</v>
      </c>
      <c r="FD23">
        <v>1693494866.0999999</v>
      </c>
      <c r="FE23" t="s">
        <v>455</v>
      </c>
      <c r="FF23">
        <v>1693494850.5999999</v>
      </c>
      <c r="FG23">
        <v>1693494866.0999999</v>
      </c>
      <c r="FH23">
        <v>8</v>
      </c>
      <c r="FI23">
        <v>-1.2E-2</v>
      </c>
      <c r="FJ23">
        <v>-1E-3</v>
      </c>
      <c r="FK23">
        <v>-0.33400000000000002</v>
      </c>
      <c r="FL23">
        <v>-0.313</v>
      </c>
      <c r="FM23">
        <v>10</v>
      </c>
      <c r="FN23">
        <v>22</v>
      </c>
      <c r="FO23">
        <v>0.68</v>
      </c>
      <c r="FP23">
        <v>0.03</v>
      </c>
      <c r="FQ23">
        <v>1.5431376960914069</v>
      </c>
      <c r="FR23">
        <v>-0.33235965512048399</v>
      </c>
      <c r="FS23">
        <v>5.7462296190077443E-2</v>
      </c>
      <c r="FT23">
        <v>1</v>
      </c>
      <c r="FU23">
        <v>0.43571520025342919</v>
      </c>
      <c r="FV23">
        <v>4.2056026832120792E-2</v>
      </c>
      <c r="FW23">
        <v>4.341528993548247E-3</v>
      </c>
      <c r="FX23">
        <v>1</v>
      </c>
      <c r="FY23">
        <v>2</v>
      </c>
      <c r="FZ23">
        <v>2</v>
      </c>
      <c r="GA23" t="s">
        <v>422</v>
      </c>
      <c r="GB23">
        <v>2.9247000000000001</v>
      </c>
      <c r="GC23">
        <v>2.8300800000000002</v>
      </c>
      <c r="GD23">
        <v>2.38996E-3</v>
      </c>
      <c r="GE23">
        <v>2.7747499999999999E-3</v>
      </c>
      <c r="GF23">
        <v>0.13908699999999999</v>
      </c>
      <c r="GG23">
        <v>0.110869</v>
      </c>
      <c r="GH23">
        <v>26044.3</v>
      </c>
      <c r="GI23">
        <v>31953.599999999999</v>
      </c>
      <c r="GJ23">
        <v>23490.400000000001</v>
      </c>
      <c r="GK23">
        <v>29315.8</v>
      </c>
      <c r="GL23">
        <v>27540.799999999999</v>
      </c>
      <c r="GM23">
        <v>36807.199999999997</v>
      </c>
      <c r="GN23">
        <v>33210.199999999997</v>
      </c>
      <c r="GO23">
        <v>43206.6</v>
      </c>
      <c r="GP23">
        <v>2.0394000000000001</v>
      </c>
      <c r="GQ23">
        <v>1.9153</v>
      </c>
      <c r="GR23">
        <v>0.13549600000000001</v>
      </c>
      <c r="GS23">
        <v>0</v>
      </c>
      <c r="GT23">
        <v>27.835899999999999</v>
      </c>
      <c r="GU23">
        <v>999.9</v>
      </c>
      <c r="GV23">
        <v>51</v>
      </c>
      <c r="GW23">
        <v>35.1</v>
      </c>
      <c r="GX23">
        <v>29.0762</v>
      </c>
      <c r="GY23">
        <v>61.313800000000001</v>
      </c>
      <c r="GZ23">
        <v>34.282899999999998</v>
      </c>
      <c r="HA23">
        <v>1</v>
      </c>
      <c r="HB23">
        <v>3.99085E-2</v>
      </c>
      <c r="HC23">
        <v>-1.25715</v>
      </c>
      <c r="HD23">
        <v>20.270099999999999</v>
      </c>
      <c r="HE23">
        <v>5.2130999999999998</v>
      </c>
      <c r="HF23">
        <v>11.866199999999999</v>
      </c>
      <c r="HG23">
        <v>4.9858000000000002</v>
      </c>
      <c r="HH23">
        <v>3.2839999999999998</v>
      </c>
      <c r="HI23">
        <v>9999</v>
      </c>
      <c r="HJ23">
        <v>9999</v>
      </c>
      <c r="HK23">
        <v>9999</v>
      </c>
      <c r="HL23">
        <v>999.9</v>
      </c>
      <c r="HM23">
        <v>1.8548500000000001</v>
      </c>
      <c r="HN23">
        <v>1.86087</v>
      </c>
      <c r="HO23">
        <v>1.8582799999999999</v>
      </c>
      <c r="HP23">
        <v>1.8594200000000001</v>
      </c>
      <c r="HQ23">
        <v>1.8588100000000001</v>
      </c>
      <c r="HR23">
        <v>1.8593</v>
      </c>
      <c r="HS23">
        <v>1.8576299999999999</v>
      </c>
      <c r="HT23">
        <v>1.8609599999999999</v>
      </c>
      <c r="HU23">
        <v>5</v>
      </c>
      <c r="HV23">
        <v>0</v>
      </c>
      <c r="HW23">
        <v>0</v>
      </c>
      <c r="HX23">
        <v>0</v>
      </c>
      <c r="HY23" t="s">
        <v>423</v>
      </c>
      <c r="HZ23" t="s">
        <v>424</v>
      </c>
      <c r="IA23" t="s">
        <v>425</v>
      </c>
      <c r="IB23" t="s">
        <v>425</v>
      </c>
      <c r="IC23" t="s">
        <v>425</v>
      </c>
      <c r="ID23" t="s">
        <v>425</v>
      </c>
      <c r="IE23">
        <v>0</v>
      </c>
      <c r="IF23">
        <v>100</v>
      </c>
      <c r="IG23">
        <v>100</v>
      </c>
      <c r="IH23">
        <v>-0.33400000000000002</v>
      </c>
      <c r="II23">
        <v>-0.31259999999999999</v>
      </c>
      <c r="IJ23">
        <v>-0.33351904761904899</v>
      </c>
      <c r="IK23">
        <v>0</v>
      </c>
      <c r="IL23">
        <v>0</v>
      </c>
      <c r="IM23">
        <v>0</v>
      </c>
      <c r="IN23">
        <v>-0.31254999999999811</v>
      </c>
      <c r="IO23">
        <v>0</v>
      </c>
      <c r="IP23">
        <v>0</v>
      </c>
      <c r="IQ23">
        <v>0</v>
      </c>
      <c r="IR23">
        <v>-1</v>
      </c>
      <c r="IS23">
        <v>-1</v>
      </c>
      <c r="IT23">
        <v>-1</v>
      </c>
      <c r="IU23">
        <v>-1</v>
      </c>
      <c r="IV23">
        <v>0.8</v>
      </c>
      <c r="IW23">
        <v>0.5</v>
      </c>
      <c r="IX23">
        <v>0.166016</v>
      </c>
      <c r="IY23">
        <v>2.5329600000000001</v>
      </c>
      <c r="IZ23">
        <v>1.49414</v>
      </c>
      <c r="JA23">
        <v>2.2985799999999998</v>
      </c>
      <c r="JB23">
        <v>1.54419</v>
      </c>
      <c r="JC23">
        <v>2.5354000000000001</v>
      </c>
      <c r="JD23">
        <v>42.804600000000001</v>
      </c>
      <c r="JE23">
        <v>23.956199999999999</v>
      </c>
      <c r="JF23">
        <v>18</v>
      </c>
      <c r="JG23">
        <v>520.88599999999997</v>
      </c>
      <c r="JH23">
        <v>474.70100000000002</v>
      </c>
      <c r="JI23">
        <v>30.303599999999999</v>
      </c>
      <c r="JJ23">
        <v>27.8918</v>
      </c>
      <c r="JK23">
        <v>30.0001</v>
      </c>
      <c r="JL23">
        <v>27.851900000000001</v>
      </c>
      <c r="JM23">
        <v>27.8081</v>
      </c>
      <c r="JN23">
        <v>3.3810600000000002</v>
      </c>
      <c r="JO23">
        <v>27.6738</v>
      </c>
      <c r="JP23">
        <v>99.252399999999994</v>
      </c>
      <c r="JQ23">
        <v>30.268699999999999</v>
      </c>
      <c r="JR23">
        <v>10</v>
      </c>
      <c r="JS23">
        <v>22.366299999999999</v>
      </c>
      <c r="JT23">
        <v>98.502499999999998</v>
      </c>
      <c r="JU23">
        <v>97.381100000000004</v>
      </c>
    </row>
    <row r="24" spans="1:281" x14ac:dyDescent="0.25">
      <c r="A24">
        <v>8</v>
      </c>
      <c r="B24">
        <v>1693495086.5999999</v>
      </c>
      <c r="C24">
        <v>950.59999990463257</v>
      </c>
      <c r="D24" t="s">
        <v>456</v>
      </c>
      <c r="E24" t="s">
        <v>457</v>
      </c>
      <c r="F24" t="s">
        <v>414</v>
      </c>
      <c r="G24" t="s">
        <v>415</v>
      </c>
      <c r="H24" t="s">
        <v>416</v>
      </c>
      <c r="I24" t="s">
        <v>31</v>
      </c>
      <c r="J24">
        <v>1693495086.5999999</v>
      </c>
      <c r="K24">
        <f t="shared" si="0"/>
        <v>5.5655794527433387E-3</v>
      </c>
      <c r="L24">
        <f t="shared" si="1"/>
        <v>5.5655794527433384</v>
      </c>
      <c r="M24">
        <f t="shared" si="2"/>
        <v>39.868094357436334</v>
      </c>
      <c r="N24">
        <f t="shared" si="3"/>
        <v>349.82299999999998</v>
      </c>
      <c r="O24">
        <f t="shared" si="4"/>
        <v>179.79223806289923</v>
      </c>
      <c r="P24">
        <f t="shared" si="5"/>
        <v>17.928654884056414</v>
      </c>
      <c r="Q24">
        <f t="shared" si="6"/>
        <v>34.883907698568699</v>
      </c>
      <c r="R24">
        <f t="shared" si="7"/>
        <v>0.41519880141460352</v>
      </c>
      <c r="S24">
        <f t="shared" si="8"/>
        <v>2.9211012328288706</v>
      </c>
      <c r="T24">
        <f t="shared" si="9"/>
        <v>0.38497937468184845</v>
      </c>
      <c r="U24">
        <f t="shared" si="10"/>
        <v>0.24314366253408431</v>
      </c>
      <c r="V24">
        <f t="shared" si="11"/>
        <v>344.35799967090577</v>
      </c>
      <c r="W24">
        <f t="shared" si="12"/>
        <v>31.536788173189649</v>
      </c>
      <c r="X24">
        <f t="shared" si="13"/>
        <v>30.134599999999999</v>
      </c>
      <c r="Y24">
        <f t="shared" si="14"/>
        <v>4.2934998245843108</v>
      </c>
      <c r="Z24">
        <f t="shared" si="15"/>
        <v>64.539478984652916</v>
      </c>
      <c r="AA24">
        <f t="shared" si="16"/>
        <v>2.9039093372649001</v>
      </c>
      <c r="AB24">
        <f t="shared" si="17"/>
        <v>4.499431019508898</v>
      </c>
      <c r="AC24">
        <f t="shared" si="18"/>
        <v>1.3895904873194107</v>
      </c>
      <c r="AD24">
        <f t="shared" si="19"/>
        <v>-245.44205386598122</v>
      </c>
      <c r="AE24">
        <f t="shared" si="20"/>
        <v>128.96234527407066</v>
      </c>
      <c r="AF24">
        <f t="shared" si="21"/>
        <v>9.8694621436247907</v>
      </c>
      <c r="AG24">
        <f t="shared" si="22"/>
        <v>237.74775322261999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51940.583324958672</v>
      </c>
      <c r="AM24" t="s">
        <v>417</v>
      </c>
      <c r="AN24">
        <v>10366.9</v>
      </c>
      <c r="AO24">
        <v>993.59653846153856</v>
      </c>
      <c r="AP24">
        <v>3431.87</v>
      </c>
      <c r="AQ24">
        <f t="shared" si="26"/>
        <v>0.71047955241266758</v>
      </c>
      <c r="AR24">
        <v>-3.9894345373445681</v>
      </c>
      <c r="AS24" t="s">
        <v>458</v>
      </c>
      <c r="AT24">
        <v>10309.299999999999</v>
      </c>
      <c r="AU24">
        <v>628.23628000000008</v>
      </c>
      <c r="AV24">
        <v>911.02374957830853</v>
      </c>
      <c r="AW24">
        <f t="shared" si="27"/>
        <v>0.31040625418294976</v>
      </c>
      <c r="AX24">
        <v>0.5</v>
      </c>
      <c r="AY24">
        <f t="shared" si="28"/>
        <v>1513.134299835453</v>
      </c>
      <c r="AZ24">
        <f t="shared" si="29"/>
        <v>39.868094357436334</v>
      </c>
      <c r="BA24">
        <f t="shared" si="30"/>
        <v>234.84317504383168</v>
      </c>
      <c r="BB24">
        <f t="shared" si="31"/>
        <v>2.8984558012828222E-2</v>
      </c>
      <c r="BC24">
        <f t="shared" si="32"/>
        <v>2.7670477872706742</v>
      </c>
      <c r="BD24">
        <f t="shared" si="33"/>
        <v>551.65577026799338</v>
      </c>
      <c r="BE24" t="s">
        <v>459</v>
      </c>
      <c r="BF24">
        <v>518.75</v>
      </c>
      <c r="BG24">
        <f t="shared" si="34"/>
        <v>518.75</v>
      </c>
      <c r="BH24">
        <f t="shared" si="35"/>
        <v>0.43058564582963155</v>
      </c>
      <c r="BI24">
        <f t="shared" si="36"/>
        <v>0.7208931769773097</v>
      </c>
      <c r="BJ24">
        <f t="shared" si="37"/>
        <v>0.86534239935934376</v>
      </c>
      <c r="BK24">
        <f t="shared" si="38"/>
        <v>-3.4247053224544852</v>
      </c>
      <c r="BL24">
        <f t="shared" si="39"/>
        <v>1.0338652699074735</v>
      </c>
      <c r="BM24">
        <f t="shared" si="40"/>
        <v>0.59525905692199022</v>
      </c>
      <c r="BN24">
        <f t="shared" si="41"/>
        <v>0.40474094307800978</v>
      </c>
      <c r="BO24">
        <v>16720</v>
      </c>
      <c r="BP24">
        <v>290.00000000000011</v>
      </c>
      <c r="BQ24">
        <v>818.31</v>
      </c>
      <c r="BR24">
        <v>265</v>
      </c>
      <c r="BS24">
        <v>10309.299999999999</v>
      </c>
      <c r="BT24">
        <v>818.02</v>
      </c>
      <c r="BU24">
        <v>0.28999999999999998</v>
      </c>
      <c r="BV24">
        <v>300.00000000000011</v>
      </c>
      <c r="BW24">
        <v>38.4</v>
      </c>
      <c r="BX24">
        <v>911.02374957830853</v>
      </c>
      <c r="BY24">
        <v>1.411175474505965</v>
      </c>
      <c r="BZ24">
        <v>-95.879930023227772</v>
      </c>
      <c r="CA24">
        <v>1.1914977098962749</v>
      </c>
      <c r="CB24">
        <v>0.99569458337962946</v>
      </c>
      <c r="CC24">
        <v>-1.123490923248055E-2</v>
      </c>
      <c r="CD24">
        <v>289.99999999999989</v>
      </c>
      <c r="CE24">
        <v>801.22</v>
      </c>
      <c r="CF24">
        <v>645</v>
      </c>
      <c r="CG24">
        <v>10296.799999999999</v>
      </c>
      <c r="CH24">
        <v>817.91</v>
      </c>
      <c r="CI24">
        <v>-16.690000000000001</v>
      </c>
      <c r="CW24">
        <f t="shared" si="42"/>
        <v>1799.94</v>
      </c>
      <c r="CX24">
        <f t="shared" si="43"/>
        <v>1513.134299835453</v>
      </c>
      <c r="CY24">
        <f t="shared" si="44"/>
        <v>0.84065818851486884</v>
      </c>
      <c r="CZ24">
        <f t="shared" si="45"/>
        <v>0.19131637702973753</v>
      </c>
      <c r="DA24">
        <v>6</v>
      </c>
      <c r="DB24">
        <v>0.5</v>
      </c>
      <c r="DC24" t="s">
        <v>420</v>
      </c>
      <c r="DD24">
        <v>2</v>
      </c>
      <c r="DE24">
        <v>1693495086.5999999</v>
      </c>
      <c r="DF24">
        <v>349.82299999999998</v>
      </c>
      <c r="DG24">
        <v>400.00799999999998</v>
      </c>
      <c r="DH24">
        <v>29.120999999999999</v>
      </c>
      <c r="DI24">
        <v>22.635899999999999</v>
      </c>
      <c r="DJ24">
        <v>350.16</v>
      </c>
      <c r="DK24">
        <v>29.432500000000001</v>
      </c>
      <c r="DL24">
        <v>499.93099999999998</v>
      </c>
      <c r="DM24">
        <v>99.618799999999993</v>
      </c>
      <c r="DN24">
        <v>9.9936899999999995E-2</v>
      </c>
      <c r="DO24">
        <v>30.953499999999998</v>
      </c>
      <c r="DP24">
        <v>30.134599999999999</v>
      </c>
      <c r="DQ24">
        <v>999.9</v>
      </c>
      <c r="DR24">
        <v>0</v>
      </c>
      <c r="DS24">
        <v>0</v>
      </c>
      <c r="DT24">
        <v>9990</v>
      </c>
      <c r="DU24">
        <v>0</v>
      </c>
      <c r="DV24">
        <v>1600.02</v>
      </c>
      <c r="DW24">
        <v>-50.184699999999999</v>
      </c>
      <c r="DX24">
        <v>360.31599999999997</v>
      </c>
      <c r="DY24">
        <v>409.27199999999999</v>
      </c>
      <c r="DZ24">
        <v>6.4851700000000001</v>
      </c>
      <c r="EA24">
        <v>400.00799999999998</v>
      </c>
      <c r="EB24">
        <v>22.635899999999999</v>
      </c>
      <c r="EC24">
        <v>2.9009999999999998</v>
      </c>
      <c r="ED24">
        <v>2.2549600000000001</v>
      </c>
      <c r="EE24">
        <v>23.470400000000001</v>
      </c>
      <c r="EF24">
        <v>19.3582</v>
      </c>
      <c r="EG24">
        <v>1799.94</v>
      </c>
      <c r="EH24">
        <v>0.97799800000000003</v>
      </c>
      <c r="EI24">
        <v>2.2001900000000001E-2</v>
      </c>
      <c r="EJ24">
        <v>0</v>
      </c>
      <c r="EK24">
        <v>627.904</v>
      </c>
      <c r="EL24">
        <v>5.0002500000000003</v>
      </c>
      <c r="EM24">
        <v>20032.5</v>
      </c>
      <c r="EN24">
        <v>14821.6</v>
      </c>
      <c r="EO24">
        <v>44.75</v>
      </c>
      <c r="EP24">
        <v>46.375</v>
      </c>
      <c r="EQ24">
        <v>45.561999999999998</v>
      </c>
      <c r="ER24">
        <v>45</v>
      </c>
      <c r="ES24">
        <v>46.125</v>
      </c>
      <c r="ET24">
        <v>1755.45</v>
      </c>
      <c r="EU24">
        <v>39.49</v>
      </c>
      <c r="EV24">
        <v>0</v>
      </c>
      <c r="EW24">
        <v>187.79999995231631</v>
      </c>
      <c r="EX24">
        <v>0</v>
      </c>
      <c r="EY24">
        <v>628.23628000000008</v>
      </c>
      <c r="EZ24">
        <v>-2.6670769291010599</v>
      </c>
      <c r="FA24">
        <v>-76.792308045574103</v>
      </c>
      <c r="FB24">
        <v>20032.98</v>
      </c>
      <c r="FC24">
        <v>15</v>
      </c>
      <c r="FD24">
        <v>1693494993.5999999</v>
      </c>
      <c r="FE24" t="s">
        <v>460</v>
      </c>
      <c r="FF24">
        <v>1693494988.0999999</v>
      </c>
      <c r="FG24">
        <v>1693494993.5999999</v>
      </c>
      <c r="FH24">
        <v>9</v>
      </c>
      <c r="FI24">
        <v>-3.0000000000000001E-3</v>
      </c>
      <c r="FJ24">
        <v>1E-3</v>
      </c>
      <c r="FK24">
        <v>-0.33700000000000002</v>
      </c>
      <c r="FL24">
        <v>-0.311</v>
      </c>
      <c r="FM24">
        <v>400</v>
      </c>
      <c r="FN24">
        <v>22</v>
      </c>
      <c r="FO24">
        <v>0.25</v>
      </c>
      <c r="FP24">
        <v>0.06</v>
      </c>
      <c r="FQ24">
        <v>39.397396099905627</v>
      </c>
      <c r="FR24">
        <v>2.834973893768435</v>
      </c>
      <c r="FS24">
        <v>0.2220999368408203</v>
      </c>
      <c r="FT24">
        <v>0</v>
      </c>
      <c r="FU24">
        <v>0.41592209716541279</v>
      </c>
      <c r="FV24">
        <v>-1.5833585516699809E-2</v>
      </c>
      <c r="FW24">
        <v>1.3842934718995921E-3</v>
      </c>
      <c r="FX24">
        <v>1</v>
      </c>
      <c r="FY24">
        <v>1</v>
      </c>
      <c r="FZ24">
        <v>2</v>
      </c>
      <c r="GA24" t="s">
        <v>461</v>
      </c>
      <c r="GB24">
        <v>2.9233199999999999</v>
      </c>
      <c r="GC24">
        <v>2.8297300000000001</v>
      </c>
      <c r="GD24">
        <v>8.2597500000000004E-2</v>
      </c>
      <c r="GE24">
        <v>8.9855500000000005E-2</v>
      </c>
      <c r="GF24">
        <v>0.13900000000000001</v>
      </c>
      <c r="GG24">
        <v>0.111392</v>
      </c>
      <c r="GH24">
        <v>23956.9</v>
      </c>
      <c r="GI24">
        <v>29166.9</v>
      </c>
      <c r="GJ24">
        <v>23497</v>
      </c>
      <c r="GK24">
        <v>29319.5</v>
      </c>
      <c r="GL24">
        <v>27559.4</v>
      </c>
      <c r="GM24">
        <v>36797.4</v>
      </c>
      <c r="GN24">
        <v>33220.800000000003</v>
      </c>
      <c r="GO24">
        <v>43210</v>
      </c>
      <c r="GP24">
        <v>2.0405000000000002</v>
      </c>
      <c r="GQ24">
        <v>1.9144000000000001</v>
      </c>
      <c r="GR24">
        <v>0.137269</v>
      </c>
      <c r="GS24">
        <v>0</v>
      </c>
      <c r="GT24">
        <v>27.897099999999998</v>
      </c>
      <c r="GU24">
        <v>999.9</v>
      </c>
      <c r="GV24">
        <v>50.4</v>
      </c>
      <c r="GW24">
        <v>35.5</v>
      </c>
      <c r="GX24">
        <v>29.376100000000001</v>
      </c>
      <c r="GY24">
        <v>61.253799999999998</v>
      </c>
      <c r="GZ24">
        <v>35.192300000000003</v>
      </c>
      <c r="HA24">
        <v>1</v>
      </c>
      <c r="HB24">
        <v>3.5975600000000003E-2</v>
      </c>
      <c r="HC24">
        <v>-0.65738600000000003</v>
      </c>
      <c r="HD24">
        <v>20.2745</v>
      </c>
      <c r="HE24">
        <v>5.2112999999999996</v>
      </c>
      <c r="HF24">
        <v>11.866199999999999</v>
      </c>
      <c r="HG24">
        <v>4.9855999999999998</v>
      </c>
      <c r="HH24">
        <v>3.2839999999999998</v>
      </c>
      <c r="HI24">
        <v>9999</v>
      </c>
      <c r="HJ24">
        <v>9999</v>
      </c>
      <c r="HK24">
        <v>9999</v>
      </c>
      <c r="HL24">
        <v>999.9</v>
      </c>
      <c r="HM24">
        <v>1.85486</v>
      </c>
      <c r="HN24">
        <v>1.8609100000000001</v>
      </c>
      <c r="HO24">
        <v>1.85833</v>
      </c>
      <c r="HP24">
        <v>1.85944</v>
      </c>
      <c r="HQ24">
        <v>1.85883</v>
      </c>
      <c r="HR24">
        <v>1.85931</v>
      </c>
      <c r="HS24">
        <v>1.8576299999999999</v>
      </c>
      <c r="HT24">
        <v>1.8610100000000001</v>
      </c>
      <c r="HU24">
        <v>5</v>
      </c>
      <c r="HV24">
        <v>0</v>
      </c>
      <c r="HW24">
        <v>0</v>
      </c>
      <c r="HX24">
        <v>0</v>
      </c>
      <c r="HY24" t="s">
        <v>423</v>
      </c>
      <c r="HZ24" t="s">
        <v>424</v>
      </c>
      <c r="IA24" t="s">
        <v>425</v>
      </c>
      <c r="IB24" t="s">
        <v>425</v>
      </c>
      <c r="IC24" t="s">
        <v>425</v>
      </c>
      <c r="ID24" t="s">
        <v>425</v>
      </c>
      <c r="IE24">
        <v>0</v>
      </c>
      <c r="IF24">
        <v>100</v>
      </c>
      <c r="IG24">
        <v>100</v>
      </c>
      <c r="IH24">
        <v>-0.33700000000000002</v>
      </c>
      <c r="II24">
        <v>-0.3115</v>
      </c>
      <c r="IJ24">
        <v>-0.33661904761902411</v>
      </c>
      <c r="IK24">
        <v>0</v>
      </c>
      <c r="IL24">
        <v>0</v>
      </c>
      <c r="IM24">
        <v>0</v>
      </c>
      <c r="IN24">
        <v>-0.31147999999999598</v>
      </c>
      <c r="IO24">
        <v>0</v>
      </c>
      <c r="IP24">
        <v>0</v>
      </c>
      <c r="IQ24">
        <v>0</v>
      </c>
      <c r="IR24">
        <v>-1</v>
      </c>
      <c r="IS24">
        <v>-1</v>
      </c>
      <c r="IT24">
        <v>-1</v>
      </c>
      <c r="IU24">
        <v>-1</v>
      </c>
      <c r="IV24">
        <v>1.6</v>
      </c>
      <c r="IW24">
        <v>1.6</v>
      </c>
      <c r="IX24">
        <v>0.99487300000000001</v>
      </c>
      <c r="IY24">
        <v>2.4633799999999999</v>
      </c>
      <c r="IZ24">
        <v>1.49414</v>
      </c>
      <c r="JA24">
        <v>2.2985799999999998</v>
      </c>
      <c r="JB24">
        <v>1.54419</v>
      </c>
      <c r="JC24">
        <v>2.4243199999999998</v>
      </c>
      <c r="JD24">
        <v>42.912100000000002</v>
      </c>
      <c r="JE24">
        <v>23.982399999999998</v>
      </c>
      <c r="JF24">
        <v>18</v>
      </c>
      <c r="JG24">
        <v>521.36599999999999</v>
      </c>
      <c r="JH24">
        <v>473.971</v>
      </c>
      <c r="JI24">
        <v>30.163499999999999</v>
      </c>
      <c r="JJ24">
        <v>27.853000000000002</v>
      </c>
      <c r="JK24">
        <v>29.9999</v>
      </c>
      <c r="JL24">
        <v>27.8261</v>
      </c>
      <c r="JM24">
        <v>27.796299999999999</v>
      </c>
      <c r="JN24">
        <v>19.9756</v>
      </c>
      <c r="JO24">
        <v>27.3492</v>
      </c>
      <c r="JP24">
        <v>98.4983</v>
      </c>
      <c r="JQ24">
        <v>30.108000000000001</v>
      </c>
      <c r="JR24">
        <v>400</v>
      </c>
      <c r="JS24">
        <v>22.722999999999999</v>
      </c>
      <c r="JT24">
        <v>98.532300000000006</v>
      </c>
      <c r="JU24">
        <v>97.390600000000006</v>
      </c>
    </row>
    <row r="25" spans="1:281" x14ac:dyDescent="0.25">
      <c r="A25">
        <v>9</v>
      </c>
      <c r="B25">
        <v>1693495247.0999999</v>
      </c>
      <c r="C25">
        <v>1111.099999904633</v>
      </c>
      <c r="D25" t="s">
        <v>462</v>
      </c>
      <c r="E25" t="s">
        <v>463</v>
      </c>
      <c r="F25" t="s">
        <v>414</v>
      </c>
      <c r="G25" t="s">
        <v>415</v>
      </c>
      <c r="H25" t="s">
        <v>416</v>
      </c>
      <c r="I25" t="s">
        <v>31</v>
      </c>
      <c r="J25">
        <v>1693495247.0999999</v>
      </c>
      <c r="K25">
        <f t="shared" si="0"/>
        <v>5.2920460431785084E-3</v>
      </c>
      <c r="L25">
        <f t="shared" si="1"/>
        <v>5.2920460431785088</v>
      </c>
      <c r="M25">
        <f t="shared" si="2"/>
        <v>44.886986888059816</v>
      </c>
      <c r="N25">
        <f t="shared" si="3"/>
        <v>344.096</v>
      </c>
      <c r="O25">
        <f t="shared" si="4"/>
        <v>149.31118694040296</v>
      </c>
      <c r="P25">
        <f t="shared" si="5"/>
        <v>14.88926666382307</v>
      </c>
      <c r="Q25">
        <f t="shared" si="6"/>
        <v>34.313149650332804</v>
      </c>
      <c r="R25">
        <f t="shared" si="7"/>
        <v>0.40413383088849975</v>
      </c>
      <c r="S25">
        <f t="shared" si="8"/>
        <v>2.9385993128584089</v>
      </c>
      <c r="T25">
        <f t="shared" si="9"/>
        <v>0.3756018941355907</v>
      </c>
      <c r="U25">
        <f t="shared" si="10"/>
        <v>0.23714658724234561</v>
      </c>
      <c r="V25">
        <f t="shared" si="11"/>
        <v>344.33899967088746</v>
      </c>
      <c r="W25">
        <f t="shared" si="12"/>
        <v>31.410676808476289</v>
      </c>
      <c r="X25">
        <f t="shared" si="13"/>
        <v>29.970600000000001</v>
      </c>
      <c r="Y25">
        <f t="shared" si="14"/>
        <v>4.2532603922365269</v>
      </c>
      <c r="Z25">
        <f t="shared" si="15"/>
        <v>65.138248898543551</v>
      </c>
      <c r="AA25">
        <f t="shared" si="16"/>
        <v>2.8986422472824702</v>
      </c>
      <c r="AB25">
        <f t="shared" si="17"/>
        <v>4.4499849110117573</v>
      </c>
      <c r="AC25">
        <f t="shared" si="18"/>
        <v>1.3546181449540566</v>
      </c>
      <c r="AD25">
        <f t="shared" si="19"/>
        <v>-233.37923050417223</v>
      </c>
      <c r="AE25">
        <f t="shared" si="20"/>
        <v>125.04545722600101</v>
      </c>
      <c r="AF25">
        <f t="shared" si="21"/>
        <v>9.4959186113258554</v>
      </c>
      <c r="AG25">
        <f t="shared" si="22"/>
        <v>245.50114500404209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52472.815454757409</v>
      </c>
      <c r="AM25" t="s">
        <v>417</v>
      </c>
      <c r="AN25">
        <v>10366.9</v>
      </c>
      <c r="AO25">
        <v>993.59653846153856</v>
      </c>
      <c r="AP25">
        <v>3431.87</v>
      </c>
      <c r="AQ25">
        <f t="shared" si="26"/>
        <v>0.71047955241266758</v>
      </c>
      <c r="AR25">
        <v>-3.9894345373445681</v>
      </c>
      <c r="AS25" t="s">
        <v>464</v>
      </c>
      <c r="AT25">
        <v>10319.9</v>
      </c>
      <c r="AU25">
        <v>647.80646153846158</v>
      </c>
      <c r="AV25">
        <v>954.78882734451315</v>
      </c>
      <c r="AW25">
        <f t="shared" si="27"/>
        <v>0.32151859868306165</v>
      </c>
      <c r="AX25">
        <v>0.5</v>
      </c>
      <c r="AY25">
        <f t="shared" si="28"/>
        <v>1513.0502998354436</v>
      </c>
      <c r="AZ25">
        <f t="shared" si="29"/>
        <v>44.886986888059816</v>
      </c>
      <c r="BA25">
        <f t="shared" si="30"/>
        <v>243.23690607003905</v>
      </c>
      <c r="BB25">
        <f t="shared" si="31"/>
        <v>3.2303236337033935E-2</v>
      </c>
      <c r="BC25">
        <f t="shared" si="32"/>
        <v>2.5943759517429816</v>
      </c>
      <c r="BD25">
        <f t="shared" si="33"/>
        <v>567.40472708420884</v>
      </c>
      <c r="BE25" t="s">
        <v>465</v>
      </c>
      <c r="BF25">
        <v>528.71</v>
      </c>
      <c r="BG25">
        <f t="shared" si="34"/>
        <v>528.71</v>
      </c>
      <c r="BH25">
        <f t="shared" si="35"/>
        <v>0.44625451737797994</v>
      </c>
      <c r="BI25">
        <f t="shared" si="36"/>
        <v>0.72048256356525286</v>
      </c>
      <c r="BJ25">
        <f t="shared" si="37"/>
        <v>0.85323618837938209</v>
      </c>
      <c r="BK25">
        <f t="shared" si="38"/>
        <v>-7.9103445415871168</v>
      </c>
      <c r="BL25">
        <f t="shared" si="39"/>
        <v>1.0159160618073326</v>
      </c>
      <c r="BM25">
        <f t="shared" si="40"/>
        <v>0.58802490990585543</v>
      </c>
      <c r="BN25">
        <f t="shared" si="41"/>
        <v>0.41197509009414457</v>
      </c>
      <c r="BO25">
        <v>16722</v>
      </c>
      <c r="BP25">
        <v>290.00000000000011</v>
      </c>
      <c r="BQ25">
        <v>865.44</v>
      </c>
      <c r="BR25">
        <v>175</v>
      </c>
      <c r="BS25">
        <v>10319.9</v>
      </c>
      <c r="BT25">
        <v>864.61</v>
      </c>
      <c r="BU25">
        <v>0.83</v>
      </c>
      <c r="BV25">
        <v>300.00000000000011</v>
      </c>
      <c r="BW25">
        <v>38.4</v>
      </c>
      <c r="BX25">
        <v>954.78882734451315</v>
      </c>
      <c r="BY25">
        <v>1.2504360371551591</v>
      </c>
      <c r="BZ25">
        <v>-93.060167942971106</v>
      </c>
      <c r="CA25">
        <v>1.055735564606036</v>
      </c>
      <c r="CB25">
        <v>0.99640930558631569</v>
      </c>
      <c r="CC25">
        <v>-1.12345724137931E-2</v>
      </c>
      <c r="CD25">
        <v>289.99999999999989</v>
      </c>
      <c r="CE25">
        <v>857.24</v>
      </c>
      <c r="CF25">
        <v>665</v>
      </c>
      <c r="CG25">
        <v>10295</v>
      </c>
      <c r="CH25">
        <v>864.4</v>
      </c>
      <c r="CI25">
        <v>-7.16</v>
      </c>
      <c r="CW25">
        <f t="shared" si="42"/>
        <v>1799.84</v>
      </c>
      <c r="CX25">
        <f t="shared" si="43"/>
        <v>1513.0502998354436</v>
      </c>
      <c r="CY25">
        <f t="shared" si="44"/>
        <v>0.8406582250841429</v>
      </c>
      <c r="CZ25">
        <f t="shared" si="45"/>
        <v>0.19131645016828577</v>
      </c>
      <c r="DA25">
        <v>6</v>
      </c>
      <c r="DB25">
        <v>0.5</v>
      </c>
      <c r="DC25" t="s">
        <v>420</v>
      </c>
      <c r="DD25">
        <v>2</v>
      </c>
      <c r="DE25">
        <v>1693495247.0999999</v>
      </c>
      <c r="DF25">
        <v>344.096</v>
      </c>
      <c r="DG25">
        <v>400.10500000000002</v>
      </c>
      <c r="DH25">
        <v>29.067900000000002</v>
      </c>
      <c r="DI25">
        <v>22.906500000000001</v>
      </c>
      <c r="DJ25">
        <v>344.41699999999997</v>
      </c>
      <c r="DK25">
        <v>29.375699999999998</v>
      </c>
      <c r="DL25">
        <v>500.36200000000002</v>
      </c>
      <c r="DM25">
        <v>99.620199999999997</v>
      </c>
      <c r="DN25">
        <v>9.9499299999999999E-2</v>
      </c>
      <c r="DO25">
        <v>30.759899999999998</v>
      </c>
      <c r="DP25">
        <v>29.970600000000001</v>
      </c>
      <c r="DQ25">
        <v>999.9</v>
      </c>
      <c r="DR25">
        <v>0</v>
      </c>
      <c r="DS25">
        <v>0</v>
      </c>
      <c r="DT25">
        <v>10090</v>
      </c>
      <c r="DU25">
        <v>0</v>
      </c>
      <c r="DV25">
        <v>1581.2</v>
      </c>
      <c r="DW25">
        <v>-56.009099999999997</v>
      </c>
      <c r="DX25">
        <v>354.39699999999999</v>
      </c>
      <c r="DY25">
        <v>409.48500000000001</v>
      </c>
      <c r="DZ25">
        <v>6.1613100000000003</v>
      </c>
      <c r="EA25">
        <v>400.10500000000002</v>
      </c>
      <c r="EB25">
        <v>22.906500000000001</v>
      </c>
      <c r="EC25">
        <v>2.89574</v>
      </c>
      <c r="ED25">
        <v>2.2819500000000001</v>
      </c>
      <c r="EE25">
        <v>23.440300000000001</v>
      </c>
      <c r="EF25">
        <v>19.549600000000002</v>
      </c>
      <c r="EG25">
        <v>1799.84</v>
      </c>
      <c r="EH25">
        <v>0.97799800000000003</v>
      </c>
      <c r="EI25">
        <v>2.2001900000000001E-2</v>
      </c>
      <c r="EJ25">
        <v>0</v>
      </c>
      <c r="EK25">
        <v>648.76</v>
      </c>
      <c r="EL25">
        <v>5.0002500000000003</v>
      </c>
      <c r="EM25">
        <v>20408.5</v>
      </c>
      <c r="EN25">
        <v>14820.7</v>
      </c>
      <c r="EO25">
        <v>44.875</v>
      </c>
      <c r="EP25">
        <v>46.625</v>
      </c>
      <c r="EQ25">
        <v>45.686999999999998</v>
      </c>
      <c r="ER25">
        <v>45.25</v>
      </c>
      <c r="ES25">
        <v>46.311999999999998</v>
      </c>
      <c r="ET25">
        <v>1755.35</v>
      </c>
      <c r="EU25">
        <v>39.49</v>
      </c>
      <c r="EV25">
        <v>0</v>
      </c>
      <c r="EW25">
        <v>158.4000000953674</v>
      </c>
      <c r="EX25">
        <v>0</v>
      </c>
      <c r="EY25">
        <v>647.80646153846158</v>
      </c>
      <c r="EZ25">
        <v>8.1232820524849494</v>
      </c>
      <c r="FA25">
        <v>124.8957281590791</v>
      </c>
      <c r="FB25">
        <v>20406.623076923079</v>
      </c>
      <c r="FC25">
        <v>15</v>
      </c>
      <c r="FD25">
        <v>1693495164.5999999</v>
      </c>
      <c r="FE25" t="s">
        <v>466</v>
      </c>
      <c r="FF25">
        <v>1693495143.5999999</v>
      </c>
      <c r="FG25">
        <v>1693495164.5999999</v>
      </c>
      <c r="FH25">
        <v>10</v>
      </c>
      <c r="FI25">
        <v>1.4999999999999999E-2</v>
      </c>
      <c r="FJ25">
        <v>4.0000000000000001E-3</v>
      </c>
      <c r="FK25">
        <v>-0.32100000000000001</v>
      </c>
      <c r="FL25">
        <v>-0.308</v>
      </c>
      <c r="FM25">
        <v>400</v>
      </c>
      <c r="FN25">
        <v>23</v>
      </c>
      <c r="FO25">
        <v>0.15</v>
      </c>
      <c r="FP25">
        <v>0.04</v>
      </c>
      <c r="FQ25">
        <v>44.745190025115328</v>
      </c>
      <c r="FR25">
        <v>0.67942559346223563</v>
      </c>
      <c r="FS25">
        <v>8.48962002433645E-2</v>
      </c>
      <c r="FT25">
        <v>1</v>
      </c>
      <c r="FU25">
        <v>0.40624445199478598</v>
      </c>
      <c r="FV25">
        <v>-5.8456580962129171E-3</v>
      </c>
      <c r="FW25">
        <v>1.0974000796802751E-3</v>
      </c>
      <c r="FX25">
        <v>1</v>
      </c>
      <c r="FY25">
        <v>2</v>
      </c>
      <c r="FZ25">
        <v>2</v>
      </c>
      <c r="GA25" t="s">
        <v>422</v>
      </c>
      <c r="GB25">
        <v>2.9243299999999999</v>
      </c>
      <c r="GC25">
        <v>2.8301699999999999</v>
      </c>
      <c r="GD25">
        <v>8.1525299999999995E-2</v>
      </c>
      <c r="GE25">
        <v>8.9867799999999998E-2</v>
      </c>
      <c r="GF25">
        <v>0.13880500000000001</v>
      </c>
      <c r="GG25">
        <v>0.112318</v>
      </c>
      <c r="GH25">
        <v>23990.1</v>
      </c>
      <c r="GI25">
        <v>29162.6</v>
      </c>
      <c r="GJ25">
        <v>23502.2</v>
      </c>
      <c r="GK25">
        <v>29315.8</v>
      </c>
      <c r="GL25">
        <v>27571</v>
      </c>
      <c r="GM25">
        <v>36753.199999999997</v>
      </c>
      <c r="GN25">
        <v>33226.800000000003</v>
      </c>
      <c r="GO25">
        <v>43204.6</v>
      </c>
      <c r="GP25">
        <v>2.0398999999999998</v>
      </c>
      <c r="GQ25">
        <v>1.9112</v>
      </c>
      <c r="GR25">
        <v>0.12745000000000001</v>
      </c>
      <c r="GS25">
        <v>0</v>
      </c>
      <c r="GT25">
        <v>27.892900000000001</v>
      </c>
      <c r="GU25">
        <v>999.9</v>
      </c>
      <c r="GV25">
        <v>50</v>
      </c>
      <c r="GW25">
        <v>35.799999999999997</v>
      </c>
      <c r="GX25">
        <v>29.630700000000001</v>
      </c>
      <c r="GY25">
        <v>60.963900000000002</v>
      </c>
      <c r="GZ25">
        <v>34.679499999999997</v>
      </c>
      <c r="HA25">
        <v>1</v>
      </c>
      <c r="HB25">
        <v>3.9451199999999999E-2</v>
      </c>
      <c r="HC25">
        <v>-1.2058599999999999</v>
      </c>
      <c r="HD25">
        <v>20.270700000000001</v>
      </c>
      <c r="HE25">
        <v>5.2119</v>
      </c>
      <c r="HF25">
        <v>11.866199999999999</v>
      </c>
      <c r="HG25">
        <v>4.9855999999999998</v>
      </c>
      <c r="HH25">
        <v>3.2839999999999998</v>
      </c>
      <c r="HI25">
        <v>9999</v>
      </c>
      <c r="HJ25">
        <v>9999</v>
      </c>
      <c r="HK25">
        <v>9999</v>
      </c>
      <c r="HL25">
        <v>999.9</v>
      </c>
      <c r="HM25">
        <v>1.85486</v>
      </c>
      <c r="HN25">
        <v>1.8609100000000001</v>
      </c>
      <c r="HO25">
        <v>1.8582399999999999</v>
      </c>
      <c r="HP25">
        <v>1.85944</v>
      </c>
      <c r="HQ25">
        <v>1.85883</v>
      </c>
      <c r="HR25">
        <v>1.85928</v>
      </c>
      <c r="HS25">
        <v>1.8575999999999999</v>
      </c>
      <c r="HT25">
        <v>1.8609599999999999</v>
      </c>
      <c r="HU25">
        <v>5</v>
      </c>
      <c r="HV25">
        <v>0</v>
      </c>
      <c r="HW25">
        <v>0</v>
      </c>
      <c r="HX25">
        <v>0</v>
      </c>
      <c r="HY25" t="s">
        <v>423</v>
      </c>
      <c r="HZ25" t="s">
        <v>424</v>
      </c>
      <c r="IA25" t="s">
        <v>425</v>
      </c>
      <c r="IB25" t="s">
        <v>425</v>
      </c>
      <c r="IC25" t="s">
        <v>425</v>
      </c>
      <c r="ID25" t="s">
        <v>425</v>
      </c>
      <c r="IE25">
        <v>0</v>
      </c>
      <c r="IF25">
        <v>100</v>
      </c>
      <c r="IG25">
        <v>100</v>
      </c>
      <c r="IH25">
        <v>-0.32100000000000001</v>
      </c>
      <c r="II25">
        <v>-0.30780000000000002</v>
      </c>
      <c r="IJ25">
        <v>-0.32147619047623271</v>
      </c>
      <c r="IK25">
        <v>0</v>
      </c>
      <c r="IL25">
        <v>0</v>
      </c>
      <c r="IM25">
        <v>0</v>
      </c>
      <c r="IN25">
        <v>-0.30786190476190362</v>
      </c>
      <c r="IO25">
        <v>0</v>
      </c>
      <c r="IP25">
        <v>0</v>
      </c>
      <c r="IQ25">
        <v>0</v>
      </c>
      <c r="IR25">
        <v>-1</v>
      </c>
      <c r="IS25">
        <v>-1</v>
      </c>
      <c r="IT25">
        <v>-1</v>
      </c>
      <c r="IU25">
        <v>-1</v>
      </c>
      <c r="IV25">
        <v>1.7</v>
      </c>
      <c r="IW25">
        <v>1.4</v>
      </c>
      <c r="IX25">
        <v>0.99365199999999998</v>
      </c>
      <c r="IY25">
        <v>2.4633799999999999</v>
      </c>
      <c r="IZ25">
        <v>1.49414</v>
      </c>
      <c r="JA25">
        <v>2.2973599999999998</v>
      </c>
      <c r="JB25">
        <v>1.54419</v>
      </c>
      <c r="JC25">
        <v>2.4023400000000001</v>
      </c>
      <c r="JD25">
        <v>43.073900000000002</v>
      </c>
      <c r="JE25">
        <v>23.982399999999998</v>
      </c>
      <c r="JF25">
        <v>18</v>
      </c>
      <c r="JG25">
        <v>521.298</v>
      </c>
      <c r="JH25">
        <v>472.06200000000001</v>
      </c>
      <c r="JI25">
        <v>29.7575</v>
      </c>
      <c r="JJ25">
        <v>27.905999999999999</v>
      </c>
      <c r="JK25">
        <v>30.0002</v>
      </c>
      <c r="JL25">
        <v>27.8613</v>
      </c>
      <c r="JM25">
        <v>27.831099999999999</v>
      </c>
      <c r="JN25">
        <v>19.9742</v>
      </c>
      <c r="JO25">
        <v>27.1524</v>
      </c>
      <c r="JP25">
        <v>98.487300000000005</v>
      </c>
      <c r="JQ25">
        <v>29.759499999999999</v>
      </c>
      <c r="JR25">
        <v>400</v>
      </c>
      <c r="JS25">
        <v>22.9894</v>
      </c>
      <c r="JT25">
        <v>98.5518</v>
      </c>
      <c r="JU25">
        <v>97.378399999999999</v>
      </c>
    </row>
    <row r="26" spans="1:281" x14ac:dyDescent="0.25">
      <c r="A26">
        <v>10</v>
      </c>
      <c r="B26">
        <v>1693495366.5999999</v>
      </c>
      <c r="C26">
        <v>1230.599999904633</v>
      </c>
      <c r="D26" t="s">
        <v>467</v>
      </c>
      <c r="E26" t="s">
        <v>468</v>
      </c>
      <c r="F26" t="s">
        <v>414</v>
      </c>
      <c r="G26" t="s">
        <v>415</v>
      </c>
      <c r="H26" t="s">
        <v>416</v>
      </c>
      <c r="I26" t="s">
        <v>31</v>
      </c>
      <c r="J26">
        <v>1693495366.5999999</v>
      </c>
      <c r="K26">
        <f t="shared" si="0"/>
        <v>5.2970457661842907E-3</v>
      </c>
      <c r="L26">
        <f t="shared" si="1"/>
        <v>5.2970457661842909</v>
      </c>
      <c r="M26">
        <f t="shared" si="2"/>
        <v>46.945515938082906</v>
      </c>
      <c r="N26">
        <f t="shared" si="3"/>
        <v>440.80399999999997</v>
      </c>
      <c r="O26">
        <f t="shared" si="4"/>
        <v>233.68653035833765</v>
      </c>
      <c r="P26">
        <f t="shared" si="5"/>
        <v>23.302834640342009</v>
      </c>
      <c r="Q26">
        <f t="shared" si="6"/>
        <v>43.956246451390001</v>
      </c>
      <c r="R26">
        <f t="shared" si="7"/>
        <v>0.40088339634485548</v>
      </c>
      <c r="S26">
        <f t="shared" si="8"/>
        <v>2.9246001165028153</v>
      </c>
      <c r="T26">
        <f t="shared" si="9"/>
        <v>0.37266715556789892</v>
      </c>
      <c r="U26">
        <f t="shared" si="10"/>
        <v>0.23528637939850219</v>
      </c>
      <c r="V26">
        <f t="shared" si="11"/>
        <v>344.39789967094413</v>
      </c>
      <c r="W26">
        <f t="shared" si="12"/>
        <v>31.414017678986276</v>
      </c>
      <c r="X26">
        <f t="shared" si="13"/>
        <v>30.034300000000002</v>
      </c>
      <c r="Y26">
        <f t="shared" si="14"/>
        <v>4.2688507662455688</v>
      </c>
      <c r="Z26">
        <f t="shared" si="15"/>
        <v>65.218199865493588</v>
      </c>
      <c r="AA26">
        <f t="shared" si="16"/>
        <v>2.9024321378392499</v>
      </c>
      <c r="AB26">
        <f t="shared" si="17"/>
        <v>4.4503407696398298</v>
      </c>
      <c r="AC26">
        <f t="shared" si="18"/>
        <v>1.3664186284063189</v>
      </c>
      <c r="AD26">
        <f t="shared" si="19"/>
        <v>-233.59971828872722</v>
      </c>
      <c r="AE26">
        <f t="shared" si="20"/>
        <v>114.62684715661364</v>
      </c>
      <c r="AF26">
        <f t="shared" si="21"/>
        <v>8.7492125520642148</v>
      </c>
      <c r="AG26">
        <f t="shared" si="22"/>
        <v>234.17424109089472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52073.085097806412</v>
      </c>
      <c r="AM26" t="s">
        <v>417</v>
      </c>
      <c r="AN26">
        <v>10366.9</v>
      </c>
      <c r="AO26">
        <v>993.59653846153856</v>
      </c>
      <c r="AP26">
        <v>3431.87</v>
      </c>
      <c r="AQ26">
        <f t="shared" si="26"/>
        <v>0.71047955241266758</v>
      </c>
      <c r="AR26">
        <v>-3.9894345373445681</v>
      </c>
      <c r="AS26" t="s">
        <v>469</v>
      </c>
      <c r="AT26">
        <v>10322.9</v>
      </c>
      <c r="AU26">
        <v>662.45607692307692</v>
      </c>
      <c r="AV26">
        <v>998.70356251130329</v>
      </c>
      <c r="AW26">
        <f t="shared" si="27"/>
        <v>0.33668397531566907</v>
      </c>
      <c r="AX26">
        <v>0.5</v>
      </c>
      <c r="AY26">
        <f t="shared" si="28"/>
        <v>1513.3106998354722</v>
      </c>
      <c r="AZ26">
        <f t="shared" si="29"/>
        <v>46.945515938082906</v>
      </c>
      <c r="BA26">
        <f t="shared" si="30"/>
        <v>254.75373115417199</v>
      </c>
      <c r="BB26">
        <f t="shared" si="31"/>
        <v>3.365795965162021E-2</v>
      </c>
      <c r="BC26">
        <f t="shared" si="32"/>
        <v>2.4363249805281018</v>
      </c>
      <c r="BD26">
        <f t="shared" si="33"/>
        <v>582.62953372224115</v>
      </c>
      <c r="BE26" t="s">
        <v>470</v>
      </c>
      <c r="BF26">
        <v>537.11</v>
      </c>
      <c r="BG26">
        <f t="shared" si="34"/>
        <v>537.11</v>
      </c>
      <c r="BH26">
        <f t="shared" si="35"/>
        <v>0.46219276654085129</v>
      </c>
      <c r="BI26">
        <f t="shared" si="36"/>
        <v>0.72844925253911552</v>
      </c>
      <c r="BJ26">
        <f t="shared" si="37"/>
        <v>0.84054168134446272</v>
      </c>
      <c r="BK26">
        <f t="shared" si="38"/>
        <v>65.840200146250822</v>
      </c>
      <c r="BL26">
        <f t="shared" si="39"/>
        <v>0.99790547527571316</v>
      </c>
      <c r="BM26">
        <f t="shared" si="40"/>
        <v>0.59061633164958705</v>
      </c>
      <c r="BN26">
        <f t="shared" si="41"/>
        <v>0.40938366835041295</v>
      </c>
      <c r="BO26">
        <v>16724</v>
      </c>
      <c r="BP26">
        <v>290.00000000000011</v>
      </c>
      <c r="BQ26">
        <v>901.69</v>
      </c>
      <c r="BR26">
        <v>155</v>
      </c>
      <c r="BS26">
        <v>10322.9</v>
      </c>
      <c r="BT26">
        <v>900.37</v>
      </c>
      <c r="BU26">
        <v>1.32</v>
      </c>
      <c r="BV26">
        <v>300.00000000000011</v>
      </c>
      <c r="BW26">
        <v>38.4</v>
      </c>
      <c r="BX26">
        <v>998.70356251130329</v>
      </c>
      <c r="BY26">
        <v>1.216147019768623</v>
      </c>
      <c r="BZ26">
        <v>-101.5118913846634</v>
      </c>
      <c r="CA26">
        <v>1.026793363371443</v>
      </c>
      <c r="CB26">
        <v>0.99714340993597994</v>
      </c>
      <c r="CC26">
        <v>-1.1234760622914369E-2</v>
      </c>
      <c r="CD26">
        <v>289.99999999999989</v>
      </c>
      <c r="CE26">
        <v>891.57</v>
      </c>
      <c r="CF26">
        <v>655</v>
      </c>
      <c r="CG26">
        <v>10295.799999999999</v>
      </c>
      <c r="CH26">
        <v>900.11</v>
      </c>
      <c r="CI26">
        <v>-8.5399999999999991</v>
      </c>
      <c r="CW26">
        <f t="shared" si="42"/>
        <v>1800.15</v>
      </c>
      <c r="CX26">
        <f t="shared" si="43"/>
        <v>1513.3106998354722</v>
      </c>
      <c r="CY26">
        <f t="shared" si="44"/>
        <v>0.84065811173261784</v>
      </c>
      <c r="CZ26">
        <f t="shared" si="45"/>
        <v>0.19131622346523575</v>
      </c>
      <c r="DA26">
        <v>6</v>
      </c>
      <c r="DB26">
        <v>0.5</v>
      </c>
      <c r="DC26" t="s">
        <v>420</v>
      </c>
      <c r="DD26">
        <v>2</v>
      </c>
      <c r="DE26">
        <v>1693495366.5999999</v>
      </c>
      <c r="DF26">
        <v>440.80399999999997</v>
      </c>
      <c r="DG26">
        <v>499.94400000000002</v>
      </c>
      <c r="DH26">
        <v>29.106300000000001</v>
      </c>
      <c r="DI26">
        <v>22.9345</v>
      </c>
      <c r="DJ26">
        <v>441.03899999999999</v>
      </c>
      <c r="DK26">
        <v>29.424900000000001</v>
      </c>
      <c r="DL26">
        <v>499.971</v>
      </c>
      <c r="DM26">
        <v>99.618499999999997</v>
      </c>
      <c r="DN26">
        <v>9.9847500000000006E-2</v>
      </c>
      <c r="DO26">
        <v>30.761299999999999</v>
      </c>
      <c r="DP26">
        <v>30.034300000000002</v>
      </c>
      <c r="DQ26">
        <v>999.9</v>
      </c>
      <c r="DR26">
        <v>0</v>
      </c>
      <c r="DS26">
        <v>0</v>
      </c>
      <c r="DT26">
        <v>10010</v>
      </c>
      <c r="DU26">
        <v>0</v>
      </c>
      <c r="DV26">
        <v>1607.6</v>
      </c>
      <c r="DW26">
        <v>-59.139499999999998</v>
      </c>
      <c r="DX26">
        <v>454.01900000000001</v>
      </c>
      <c r="DY26">
        <v>511.67899999999997</v>
      </c>
      <c r="DZ26">
        <v>6.1717899999999997</v>
      </c>
      <c r="EA26">
        <v>499.94400000000002</v>
      </c>
      <c r="EB26">
        <v>22.9345</v>
      </c>
      <c r="EC26">
        <v>2.8995199999999999</v>
      </c>
      <c r="ED26">
        <v>2.2847</v>
      </c>
      <c r="EE26">
        <v>23.4619</v>
      </c>
      <c r="EF26">
        <v>19.568899999999999</v>
      </c>
      <c r="EG26">
        <v>1800.15</v>
      </c>
      <c r="EH26">
        <v>0.97800200000000004</v>
      </c>
      <c r="EI26">
        <v>2.19981E-2</v>
      </c>
      <c r="EJ26">
        <v>0</v>
      </c>
      <c r="EK26">
        <v>662.78300000000002</v>
      </c>
      <c r="EL26">
        <v>5.0002500000000003</v>
      </c>
      <c r="EM26">
        <v>20746.900000000001</v>
      </c>
      <c r="EN26">
        <v>14823.3</v>
      </c>
      <c r="EO26">
        <v>44.936999999999998</v>
      </c>
      <c r="EP26">
        <v>46.686999999999998</v>
      </c>
      <c r="EQ26">
        <v>45.75</v>
      </c>
      <c r="ER26">
        <v>45.375</v>
      </c>
      <c r="ES26">
        <v>46.311999999999998</v>
      </c>
      <c r="ET26">
        <v>1755.66</v>
      </c>
      <c r="EU26">
        <v>39.49</v>
      </c>
      <c r="EV26">
        <v>0</v>
      </c>
      <c r="EW26">
        <v>117.7999999523163</v>
      </c>
      <c r="EX26">
        <v>0</v>
      </c>
      <c r="EY26">
        <v>662.45607692307692</v>
      </c>
      <c r="EZ26">
        <v>2.635008554028976</v>
      </c>
      <c r="FA26">
        <v>92.143589131552773</v>
      </c>
      <c r="FB26">
        <v>20689.63846153846</v>
      </c>
      <c r="FC26">
        <v>15</v>
      </c>
      <c r="FD26">
        <v>1693495338.5999999</v>
      </c>
      <c r="FE26" t="s">
        <v>471</v>
      </c>
      <c r="FF26">
        <v>1693495333.0999999</v>
      </c>
      <c r="FG26">
        <v>1693495338.5999999</v>
      </c>
      <c r="FH26">
        <v>11</v>
      </c>
      <c r="FI26">
        <v>8.5999999999999993E-2</v>
      </c>
      <c r="FJ26">
        <v>-1.0999999999999999E-2</v>
      </c>
      <c r="FK26">
        <v>-0.23499999999999999</v>
      </c>
      <c r="FL26">
        <v>-0.31900000000000001</v>
      </c>
      <c r="FM26">
        <v>500</v>
      </c>
      <c r="FN26">
        <v>23</v>
      </c>
      <c r="FO26">
        <v>0.14000000000000001</v>
      </c>
      <c r="FP26">
        <v>0.05</v>
      </c>
      <c r="FQ26">
        <v>46.971175575825079</v>
      </c>
      <c r="FR26">
        <v>0.11209916448076369</v>
      </c>
      <c r="FS26">
        <v>0.1048948392608163</v>
      </c>
      <c r="FT26">
        <v>1</v>
      </c>
      <c r="FU26">
        <v>0.4037228053895584</v>
      </c>
      <c r="FV26">
        <v>4.3857760816981402E-2</v>
      </c>
      <c r="FW26">
        <v>7.7284879331362801E-3</v>
      </c>
      <c r="FX26">
        <v>1</v>
      </c>
      <c r="FY26">
        <v>2</v>
      </c>
      <c r="FZ26">
        <v>2</v>
      </c>
      <c r="GA26" t="s">
        <v>422</v>
      </c>
      <c r="GB26">
        <v>2.9232999999999998</v>
      </c>
      <c r="GC26">
        <v>2.8298199999999998</v>
      </c>
      <c r="GD26">
        <v>9.8518099999999997E-2</v>
      </c>
      <c r="GE26">
        <v>0.106085</v>
      </c>
      <c r="GF26">
        <v>0.13894799999999999</v>
      </c>
      <c r="GG26">
        <v>0.112402</v>
      </c>
      <c r="GH26">
        <v>23545.3</v>
      </c>
      <c r="GI26">
        <v>28641.4</v>
      </c>
      <c r="GJ26">
        <v>23501.3</v>
      </c>
      <c r="GK26">
        <v>29314.400000000001</v>
      </c>
      <c r="GL26">
        <v>27568.7</v>
      </c>
      <c r="GM26">
        <v>36750.199999999997</v>
      </c>
      <c r="GN26">
        <v>33227.5</v>
      </c>
      <c r="GO26">
        <v>43202.9</v>
      </c>
      <c r="GP26">
        <v>2.0373999999999999</v>
      </c>
      <c r="GQ26">
        <v>1.909</v>
      </c>
      <c r="GR26">
        <v>0.133544</v>
      </c>
      <c r="GS26">
        <v>0</v>
      </c>
      <c r="GT26">
        <v>27.857199999999999</v>
      </c>
      <c r="GU26">
        <v>999.9</v>
      </c>
      <c r="GV26">
        <v>49.7</v>
      </c>
      <c r="GW26">
        <v>36.1</v>
      </c>
      <c r="GX26">
        <v>29.9436</v>
      </c>
      <c r="GY26">
        <v>61.423900000000003</v>
      </c>
      <c r="GZ26">
        <v>35.096200000000003</v>
      </c>
      <c r="HA26">
        <v>1</v>
      </c>
      <c r="HB26">
        <v>4.39634E-2</v>
      </c>
      <c r="HC26">
        <v>-0.82589299999999999</v>
      </c>
      <c r="HD26">
        <v>20.273099999999999</v>
      </c>
      <c r="HE26">
        <v>5.2137000000000002</v>
      </c>
      <c r="HF26">
        <v>11.866199999999999</v>
      </c>
      <c r="HG26">
        <v>4.9859999999999998</v>
      </c>
      <c r="HH26">
        <v>3.2839999999999998</v>
      </c>
      <c r="HI26">
        <v>9999</v>
      </c>
      <c r="HJ26">
        <v>9999</v>
      </c>
      <c r="HK26">
        <v>9999</v>
      </c>
      <c r="HL26">
        <v>999.9</v>
      </c>
      <c r="HM26">
        <v>1.85486</v>
      </c>
      <c r="HN26">
        <v>1.8608199999999999</v>
      </c>
      <c r="HO26">
        <v>1.85822</v>
      </c>
      <c r="HP26">
        <v>1.8594200000000001</v>
      </c>
      <c r="HQ26">
        <v>1.8587499999999999</v>
      </c>
      <c r="HR26">
        <v>1.85928</v>
      </c>
      <c r="HS26">
        <v>1.8575999999999999</v>
      </c>
      <c r="HT26">
        <v>1.8609599999999999</v>
      </c>
      <c r="HU26">
        <v>5</v>
      </c>
      <c r="HV26">
        <v>0</v>
      </c>
      <c r="HW26">
        <v>0</v>
      </c>
      <c r="HX26">
        <v>0</v>
      </c>
      <c r="HY26" t="s">
        <v>423</v>
      </c>
      <c r="HZ26" t="s">
        <v>424</v>
      </c>
      <c r="IA26" t="s">
        <v>425</v>
      </c>
      <c r="IB26" t="s">
        <v>425</v>
      </c>
      <c r="IC26" t="s">
        <v>425</v>
      </c>
      <c r="ID26" t="s">
        <v>425</v>
      </c>
      <c r="IE26">
        <v>0</v>
      </c>
      <c r="IF26">
        <v>100</v>
      </c>
      <c r="IG26">
        <v>100</v>
      </c>
      <c r="IH26">
        <v>-0.23499999999999999</v>
      </c>
      <c r="II26">
        <v>-0.31859999999999999</v>
      </c>
      <c r="IJ26">
        <v>-0.2352857142858511</v>
      </c>
      <c r="IK26">
        <v>0</v>
      </c>
      <c r="IL26">
        <v>0</v>
      </c>
      <c r="IM26">
        <v>0</v>
      </c>
      <c r="IN26">
        <v>-0.31863999999999848</v>
      </c>
      <c r="IO26">
        <v>0</v>
      </c>
      <c r="IP26">
        <v>0</v>
      </c>
      <c r="IQ26">
        <v>0</v>
      </c>
      <c r="IR26">
        <v>-1</v>
      </c>
      <c r="IS26">
        <v>-1</v>
      </c>
      <c r="IT26">
        <v>-1</v>
      </c>
      <c r="IU26">
        <v>-1</v>
      </c>
      <c r="IV26">
        <v>0.6</v>
      </c>
      <c r="IW26">
        <v>0.5</v>
      </c>
      <c r="IX26">
        <v>1.1853</v>
      </c>
      <c r="IY26">
        <v>2.4597199999999999</v>
      </c>
      <c r="IZ26">
        <v>1.49414</v>
      </c>
      <c r="JA26">
        <v>2.2961399999999998</v>
      </c>
      <c r="JB26">
        <v>1.54419</v>
      </c>
      <c r="JC26">
        <v>2.3559600000000001</v>
      </c>
      <c r="JD26">
        <v>43.182000000000002</v>
      </c>
      <c r="JE26">
        <v>23.982399999999998</v>
      </c>
      <c r="JF26">
        <v>18</v>
      </c>
      <c r="JG26">
        <v>520.11300000000006</v>
      </c>
      <c r="JH26">
        <v>470.904</v>
      </c>
      <c r="JI26">
        <v>30.15</v>
      </c>
      <c r="JJ26">
        <v>27.9526</v>
      </c>
      <c r="JK26">
        <v>30</v>
      </c>
      <c r="JL26">
        <v>27.909500000000001</v>
      </c>
      <c r="JM26">
        <v>27.871400000000001</v>
      </c>
      <c r="JN26">
        <v>23.787099999999999</v>
      </c>
      <c r="JO26">
        <v>28.354399999999998</v>
      </c>
      <c r="JP26">
        <v>99.2273</v>
      </c>
      <c r="JQ26">
        <v>30.060099999999998</v>
      </c>
      <c r="JR26">
        <v>500</v>
      </c>
      <c r="JS26">
        <v>22.7577</v>
      </c>
      <c r="JT26">
        <v>98.551599999999993</v>
      </c>
      <c r="JU26">
        <v>97.374200000000002</v>
      </c>
    </row>
    <row r="27" spans="1:281" x14ac:dyDescent="0.25">
      <c r="A27">
        <v>11</v>
      </c>
      <c r="B27">
        <v>1693495489.5999999</v>
      </c>
      <c r="C27">
        <v>1353.599999904633</v>
      </c>
      <c r="D27" t="s">
        <v>472</v>
      </c>
      <c r="E27" t="s">
        <v>473</v>
      </c>
      <c r="F27" t="s">
        <v>414</v>
      </c>
      <c r="G27" t="s">
        <v>415</v>
      </c>
      <c r="H27" t="s">
        <v>416</v>
      </c>
      <c r="I27" t="s">
        <v>31</v>
      </c>
      <c r="J27">
        <v>1693495489.5999999</v>
      </c>
      <c r="K27">
        <f t="shared" si="0"/>
        <v>5.0413803823847686E-3</v>
      </c>
      <c r="L27">
        <f t="shared" si="1"/>
        <v>5.0413803823847685</v>
      </c>
      <c r="M27">
        <f t="shared" si="2"/>
        <v>47.844666922593738</v>
      </c>
      <c r="N27">
        <f t="shared" si="3"/>
        <v>638.64</v>
      </c>
      <c r="O27">
        <f t="shared" si="4"/>
        <v>412.59609536712532</v>
      </c>
      <c r="P27">
        <f t="shared" si="5"/>
        <v>41.143022959458008</v>
      </c>
      <c r="Q27">
        <f t="shared" si="6"/>
        <v>63.683540580888</v>
      </c>
      <c r="R27">
        <f t="shared" si="7"/>
        <v>0.37926767818260071</v>
      </c>
      <c r="S27">
        <f t="shared" si="8"/>
        <v>2.9368220363735196</v>
      </c>
      <c r="T27">
        <f t="shared" si="9"/>
        <v>0.35400706914981728</v>
      </c>
      <c r="U27">
        <f t="shared" si="10"/>
        <v>0.2233836277019848</v>
      </c>
      <c r="V27">
        <f t="shared" si="11"/>
        <v>344.36559967091301</v>
      </c>
      <c r="W27">
        <f t="shared" si="12"/>
        <v>31.36672367710683</v>
      </c>
      <c r="X27">
        <f t="shared" si="13"/>
        <v>30.005099999999999</v>
      </c>
      <c r="Y27">
        <f t="shared" si="14"/>
        <v>4.2616979871360261</v>
      </c>
      <c r="Z27">
        <f t="shared" si="15"/>
        <v>65.409485305320374</v>
      </c>
      <c r="AA27">
        <f t="shared" si="16"/>
        <v>2.8925733435240901</v>
      </c>
      <c r="AB27">
        <f t="shared" si="17"/>
        <v>4.4222536380190869</v>
      </c>
      <c r="AC27">
        <f t="shared" si="18"/>
        <v>1.369124643611936</v>
      </c>
      <c r="AD27">
        <f t="shared" si="19"/>
        <v>-222.3248748631683</v>
      </c>
      <c r="AE27">
        <f t="shared" si="20"/>
        <v>102.18614948795548</v>
      </c>
      <c r="AF27">
        <f t="shared" si="21"/>
        <v>7.7618053883939844</v>
      </c>
      <c r="AG27">
        <f t="shared" si="22"/>
        <v>231.98867968409419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52440.875360135273</v>
      </c>
      <c r="AM27" t="s">
        <v>417</v>
      </c>
      <c r="AN27">
        <v>10366.9</v>
      </c>
      <c r="AO27">
        <v>993.59653846153856</v>
      </c>
      <c r="AP27">
        <v>3431.87</v>
      </c>
      <c r="AQ27">
        <f t="shared" si="26"/>
        <v>0.71047955241266758</v>
      </c>
      <c r="AR27">
        <v>-3.9894345373445681</v>
      </c>
      <c r="AS27" t="s">
        <v>474</v>
      </c>
      <c r="AT27">
        <v>10328.6</v>
      </c>
      <c r="AU27">
        <v>666.78603999999996</v>
      </c>
      <c r="AV27">
        <v>1020.22504661925</v>
      </c>
      <c r="AW27">
        <f t="shared" si="27"/>
        <v>0.34643239527440672</v>
      </c>
      <c r="AX27">
        <v>0.5</v>
      </c>
      <c r="AY27">
        <f t="shared" si="28"/>
        <v>1513.1678998354564</v>
      </c>
      <c r="AZ27">
        <f t="shared" si="29"/>
        <v>47.844666922593738</v>
      </c>
      <c r="BA27">
        <f t="shared" si="30"/>
        <v>262.10518999617034</v>
      </c>
      <c r="BB27">
        <f t="shared" si="31"/>
        <v>3.4255353596633134E-2</v>
      </c>
      <c r="BC27">
        <f t="shared" si="32"/>
        <v>2.3638362549246263</v>
      </c>
      <c r="BD27">
        <f t="shared" si="33"/>
        <v>589.88896170633291</v>
      </c>
      <c r="BE27" t="s">
        <v>475</v>
      </c>
      <c r="BF27">
        <v>536.78</v>
      </c>
      <c r="BG27">
        <f t="shared" si="34"/>
        <v>536.78</v>
      </c>
      <c r="BH27">
        <f t="shared" si="35"/>
        <v>0.47386118211982364</v>
      </c>
      <c r="BI27">
        <f t="shared" si="36"/>
        <v>0.73108414098119878</v>
      </c>
      <c r="BJ27">
        <f t="shared" si="37"/>
        <v>0.83301208369368474</v>
      </c>
      <c r="BK27">
        <f t="shared" si="38"/>
        <v>13.27295560554702</v>
      </c>
      <c r="BL27">
        <f t="shared" si="39"/>
        <v>0.98907894927383988</v>
      </c>
      <c r="BM27">
        <f t="shared" si="40"/>
        <v>0.58854163352893207</v>
      </c>
      <c r="BN27">
        <f t="shared" si="41"/>
        <v>0.41145836647106793</v>
      </c>
      <c r="BO27">
        <v>16726</v>
      </c>
      <c r="BP27">
        <v>290.00000000000011</v>
      </c>
      <c r="BQ27">
        <v>916.44</v>
      </c>
      <c r="BR27">
        <v>115</v>
      </c>
      <c r="BS27">
        <v>10328.6</v>
      </c>
      <c r="BT27">
        <v>915.53</v>
      </c>
      <c r="BU27">
        <v>0.91</v>
      </c>
      <c r="BV27">
        <v>300.00000000000011</v>
      </c>
      <c r="BW27">
        <v>38.4</v>
      </c>
      <c r="BX27">
        <v>1020.22504661925</v>
      </c>
      <c r="BY27">
        <v>1.241016593414729</v>
      </c>
      <c r="BZ27">
        <v>-108.1376979238661</v>
      </c>
      <c r="CA27">
        <v>1.047737824601221</v>
      </c>
      <c r="CB27">
        <v>0.99737838454374861</v>
      </c>
      <c r="CC27">
        <v>-1.123436395995551E-2</v>
      </c>
      <c r="CD27">
        <v>289.99999999999989</v>
      </c>
      <c r="CE27">
        <v>905.66</v>
      </c>
      <c r="CF27">
        <v>655</v>
      </c>
      <c r="CG27">
        <v>10295.299999999999</v>
      </c>
      <c r="CH27">
        <v>915.19</v>
      </c>
      <c r="CI27">
        <v>-9.5299999999999994</v>
      </c>
      <c r="CW27">
        <f t="shared" si="42"/>
        <v>1799.98</v>
      </c>
      <c r="CX27">
        <f t="shared" si="43"/>
        <v>1513.1678998354564</v>
      </c>
      <c r="CY27">
        <f t="shared" si="44"/>
        <v>0.84065817388829678</v>
      </c>
      <c r="CZ27">
        <f t="shared" si="45"/>
        <v>0.19131634777659365</v>
      </c>
      <c r="DA27">
        <v>6</v>
      </c>
      <c r="DB27">
        <v>0.5</v>
      </c>
      <c r="DC27" t="s">
        <v>420</v>
      </c>
      <c r="DD27">
        <v>2</v>
      </c>
      <c r="DE27">
        <v>1693495489.5999999</v>
      </c>
      <c r="DF27">
        <v>638.64</v>
      </c>
      <c r="DG27">
        <v>699.88199999999995</v>
      </c>
      <c r="DH27">
        <v>29.0077</v>
      </c>
      <c r="DI27">
        <v>23.136900000000001</v>
      </c>
      <c r="DJ27">
        <v>638.71</v>
      </c>
      <c r="DK27">
        <v>29.318100000000001</v>
      </c>
      <c r="DL27">
        <v>500.28699999999998</v>
      </c>
      <c r="DM27">
        <v>99.618200000000002</v>
      </c>
      <c r="DN27">
        <v>9.9231700000000006E-2</v>
      </c>
      <c r="DO27">
        <v>30.650500000000001</v>
      </c>
      <c r="DP27">
        <v>30.005099999999999</v>
      </c>
      <c r="DQ27">
        <v>999.9</v>
      </c>
      <c r="DR27">
        <v>0</v>
      </c>
      <c r="DS27">
        <v>0</v>
      </c>
      <c r="DT27">
        <v>10080</v>
      </c>
      <c r="DU27">
        <v>0</v>
      </c>
      <c r="DV27">
        <v>1459.76</v>
      </c>
      <c r="DW27">
        <v>-61.241700000000002</v>
      </c>
      <c r="DX27">
        <v>657.71900000000005</v>
      </c>
      <c r="DY27">
        <v>716.45899999999995</v>
      </c>
      <c r="DZ27">
        <v>5.8707799999999999</v>
      </c>
      <c r="EA27">
        <v>699.88199999999995</v>
      </c>
      <c r="EB27">
        <v>23.136900000000001</v>
      </c>
      <c r="EC27">
        <v>2.8896999999999999</v>
      </c>
      <c r="ED27">
        <v>2.3048600000000001</v>
      </c>
      <c r="EE27">
        <v>23.4056</v>
      </c>
      <c r="EF27">
        <v>19.7104</v>
      </c>
      <c r="EG27">
        <v>1799.98</v>
      </c>
      <c r="EH27">
        <v>0.97800200000000004</v>
      </c>
      <c r="EI27">
        <v>2.19981E-2</v>
      </c>
      <c r="EJ27">
        <v>0</v>
      </c>
      <c r="EK27">
        <v>666.81799999999998</v>
      </c>
      <c r="EL27">
        <v>5.0002500000000003</v>
      </c>
      <c r="EM27">
        <v>20209.8</v>
      </c>
      <c r="EN27">
        <v>14821.9</v>
      </c>
      <c r="EO27">
        <v>45</v>
      </c>
      <c r="EP27">
        <v>46.686999999999998</v>
      </c>
      <c r="EQ27">
        <v>45.811999999999998</v>
      </c>
      <c r="ER27">
        <v>45.311999999999998</v>
      </c>
      <c r="ES27">
        <v>46.436999999999998</v>
      </c>
      <c r="ET27">
        <v>1755.49</v>
      </c>
      <c r="EU27">
        <v>39.49</v>
      </c>
      <c r="EV27">
        <v>0</v>
      </c>
      <c r="EW27">
        <v>121.2000000476837</v>
      </c>
      <c r="EX27">
        <v>0</v>
      </c>
      <c r="EY27">
        <v>666.78603999999996</v>
      </c>
      <c r="EZ27">
        <v>-0.5378461397452361</v>
      </c>
      <c r="FA27">
        <v>2017.376918134325</v>
      </c>
      <c r="FB27">
        <v>20183.919999999998</v>
      </c>
      <c r="FC27">
        <v>15</v>
      </c>
      <c r="FD27">
        <v>1693495450.0999999</v>
      </c>
      <c r="FE27" t="s">
        <v>476</v>
      </c>
      <c r="FF27">
        <v>1693495432.0999999</v>
      </c>
      <c r="FG27">
        <v>1693495450.0999999</v>
      </c>
      <c r="FH27">
        <v>12</v>
      </c>
      <c r="FI27">
        <v>0.16500000000000001</v>
      </c>
      <c r="FJ27">
        <v>8.0000000000000002E-3</v>
      </c>
      <c r="FK27">
        <v>-7.0000000000000007E-2</v>
      </c>
      <c r="FL27">
        <v>-0.31</v>
      </c>
      <c r="FM27">
        <v>700</v>
      </c>
      <c r="FN27">
        <v>23</v>
      </c>
      <c r="FO27">
        <v>0.14000000000000001</v>
      </c>
      <c r="FP27">
        <v>0.06</v>
      </c>
      <c r="FQ27">
        <v>47.933695506547579</v>
      </c>
      <c r="FR27">
        <v>0.3844733703433697</v>
      </c>
      <c r="FS27">
        <v>9.9526031743501067E-2</v>
      </c>
      <c r="FT27">
        <v>1</v>
      </c>
      <c r="FU27">
        <v>0.38395603377544357</v>
      </c>
      <c r="FV27">
        <v>-4.3114953527999968E-2</v>
      </c>
      <c r="FW27">
        <v>3.2874017209910608E-3</v>
      </c>
      <c r="FX27">
        <v>1</v>
      </c>
      <c r="FY27">
        <v>2</v>
      </c>
      <c r="FZ27">
        <v>2</v>
      </c>
      <c r="GA27" t="s">
        <v>422</v>
      </c>
      <c r="GB27">
        <v>2.9240499999999998</v>
      </c>
      <c r="GC27">
        <v>2.8298199999999998</v>
      </c>
      <c r="GD27">
        <v>0.128495</v>
      </c>
      <c r="GE27">
        <v>0.134384</v>
      </c>
      <c r="GF27">
        <v>0.13858799999999999</v>
      </c>
      <c r="GG27">
        <v>0.11308600000000001</v>
      </c>
      <c r="GH27">
        <v>22767.200000000001</v>
      </c>
      <c r="GI27">
        <v>27733</v>
      </c>
      <c r="GJ27">
        <v>23506.400000000001</v>
      </c>
      <c r="GK27">
        <v>29312.7</v>
      </c>
      <c r="GL27">
        <v>27588.400000000001</v>
      </c>
      <c r="GM27">
        <v>36722.199999999997</v>
      </c>
      <c r="GN27">
        <v>33233.5</v>
      </c>
      <c r="GO27">
        <v>43200.6</v>
      </c>
      <c r="GP27">
        <v>2.0381</v>
      </c>
      <c r="GQ27">
        <v>1.9075</v>
      </c>
      <c r="GR27">
        <v>0.12198100000000001</v>
      </c>
      <c r="GS27">
        <v>0</v>
      </c>
      <c r="GT27">
        <v>28.0168</v>
      </c>
      <c r="GU27">
        <v>999.9</v>
      </c>
      <c r="GV27">
        <v>49.4</v>
      </c>
      <c r="GW27">
        <v>36.299999999999997</v>
      </c>
      <c r="GX27">
        <v>30.090699999999998</v>
      </c>
      <c r="GY27">
        <v>61.093899999999998</v>
      </c>
      <c r="GZ27">
        <v>34.855800000000002</v>
      </c>
      <c r="HA27">
        <v>1</v>
      </c>
      <c r="HB27">
        <v>4.5873999999999998E-2</v>
      </c>
      <c r="HC27">
        <v>-0.38886700000000002</v>
      </c>
      <c r="HD27">
        <v>20.274799999999999</v>
      </c>
      <c r="HE27">
        <v>5.2107000000000001</v>
      </c>
      <c r="HF27">
        <v>11.866199999999999</v>
      </c>
      <c r="HG27">
        <v>4.9855999999999998</v>
      </c>
      <c r="HH27">
        <v>3.2839999999999998</v>
      </c>
      <c r="HI27">
        <v>9999</v>
      </c>
      <c r="HJ27">
        <v>9999</v>
      </c>
      <c r="HK27">
        <v>9999</v>
      </c>
      <c r="HL27">
        <v>999.9</v>
      </c>
      <c r="HM27">
        <v>1.85486</v>
      </c>
      <c r="HN27">
        <v>1.86087</v>
      </c>
      <c r="HO27">
        <v>1.8582399999999999</v>
      </c>
      <c r="HP27">
        <v>1.85941</v>
      </c>
      <c r="HQ27">
        <v>1.85877</v>
      </c>
      <c r="HR27">
        <v>1.85928</v>
      </c>
      <c r="HS27">
        <v>1.8575999999999999</v>
      </c>
      <c r="HT27">
        <v>1.8609599999999999</v>
      </c>
      <c r="HU27">
        <v>5</v>
      </c>
      <c r="HV27">
        <v>0</v>
      </c>
      <c r="HW27">
        <v>0</v>
      </c>
      <c r="HX27">
        <v>0</v>
      </c>
      <c r="HY27" t="s">
        <v>423</v>
      </c>
      <c r="HZ27" t="s">
        <v>424</v>
      </c>
      <c r="IA27" t="s">
        <v>425</v>
      </c>
      <c r="IB27" t="s">
        <v>425</v>
      </c>
      <c r="IC27" t="s">
        <v>425</v>
      </c>
      <c r="ID27" t="s">
        <v>425</v>
      </c>
      <c r="IE27">
        <v>0</v>
      </c>
      <c r="IF27">
        <v>100</v>
      </c>
      <c r="IG27">
        <v>100</v>
      </c>
      <c r="IH27">
        <v>-7.0000000000000007E-2</v>
      </c>
      <c r="II27">
        <v>-0.31040000000000001</v>
      </c>
      <c r="IJ27">
        <v>-6.9900000000075124E-2</v>
      </c>
      <c r="IK27">
        <v>0</v>
      </c>
      <c r="IL27">
        <v>0</v>
      </c>
      <c r="IM27">
        <v>0</v>
      </c>
      <c r="IN27">
        <v>-0.31034500000000159</v>
      </c>
      <c r="IO27">
        <v>0</v>
      </c>
      <c r="IP27">
        <v>0</v>
      </c>
      <c r="IQ27">
        <v>0</v>
      </c>
      <c r="IR27">
        <v>-1</v>
      </c>
      <c r="IS27">
        <v>-1</v>
      </c>
      <c r="IT27">
        <v>-1</v>
      </c>
      <c r="IU27">
        <v>-1</v>
      </c>
      <c r="IV27">
        <v>1</v>
      </c>
      <c r="IW27">
        <v>0.7</v>
      </c>
      <c r="IX27">
        <v>1.5466299999999999</v>
      </c>
      <c r="IY27">
        <v>2.4536099999999998</v>
      </c>
      <c r="IZ27">
        <v>1.49414</v>
      </c>
      <c r="JA27">
        <v>2.2961399999999998</v>
      </c>
      <c r="JB27">
        <v>1.54419</v>
      </c>
      <c r="JC27">
        <v>2.32666</v>
      </c>
      <c r="JD27">
        <v>43.263300000000001</v>
      </c>
      <c r="JE27">
        <v>23.982399999999998</v>
      </c>
      <c r="JF27">
        <v>18</v>
      </c>
      <c r="JG27">
        <v>520.86599999999999</v>
      </c>
      <c r="JH27">
        <v>470.18599999999998</v>
      </c>
      <c r="JI27">
        <v>28.722300000000001</v>
      </c>
      <c r="JJ27">
        <v>27.9893</v>
      </c>
      <c r="JK27">
        <v>30.0001</v>
      </c>
      <c r="JL27">
        <v>27.942499999999999</v>
      </c>
      <c r="JM27">
        <v>27.907399999999999</v>
      </c>
      <c r="JN27">
        <v>31.029599999999999</v>
      </c>
      <c r="JO27">
        <v>27.4343</v>
      </c>
      <c r="JP27">
        <v>99.249799999999993</v>
      </c>
      <c r="JQ27">
        <v>28.725200000000001</v>
      </c>
      <c r="JR27">
        <v>700</v>
      </c>
      <c r="JS27">
        <v>23.1175</v>
      </c>
      <c r="JT27">
        <v>98.570800000000006</v>
      </c>
      <c r="JU27">
        <v>97.368799999999993</v>
      </c>
    </row>
    <row r="28" spans="1:281" x14ac:dyDescent="0.25">
      <c r="A28">
        <v>12</v>
      </c>
      <c r="B28">
        <v>1693495612.0999999</v>
      </c>
      <c r="C28">
        <v>1476.099999904633</v>
      </c>
      <c r="D28" t="s">
        <v>477</v>
      </c>
      <c r="E28" t="s">
        <v>478</v>
      </c>
      <c r="F28" t="s">
        <v>414</v>
      </c>
      <c r="G28" t="s">
        <v>415</v>
      </c>
      <c r="H28" t="s">
        <v>416</v>
      </c>
      <c r="I28" t="s">
        <v>31</v>
      </c>
      <c r="J28">
        <v>1693495612.0999999</v>
      </c>
      <c r="K28">
        <f t="shared" si="0"/>
        <v>4.839323849251332E-3</v>
      </c>
      <c r="L28">
        <f t="shared" si="1"/>
        <v>4.8393238492513317</v>
      </c>
      <c r="M28">
        <f t="shared" si="2"/>
        <v>47.86946132189145</v>
      </c>
      <c r="N28">
        <f t="shared" si="3"/>
        <v>837.70799999999997</v>
      </c>
      <c r="O28">
        <f t="shared" si="4"/>
        <v>596.05441165946729</v>
      </c>
      <c r="P28">
        <f t="shared" si="5"/>
        <v>59.437622642398416</v>
      </c>
      <c r="Q28">
        <f t="shared" si="6"/>
        <v>83.534944150308007</v>
      </c>
      <c r="R28">
        <f t="shared" si="7"/>
        <v>0.35973382398866138</v>
      </c>
      <c r="S28">
        <f t="shared" si="8"/>
        <v>2.9219583742631228</v>
      </c>
      <c r="T28">
        <f t="shared" si="9"/>
        <v>0.33681623948182671</v>
      </c>
      <c r="U28">
        <f t="shared" si="10"/>
        <v>0.21244742108276932</v>
      </c>
      <c r="V28">
        <f t="shared" si="11"/>
        <v>344.40229967086447</v>
      </c>
      <c r="W28">
        <f t="shared" si="12"/>
        <v>31.33781193997115</v>
      </c>
      <c r="X28">
        <f t="shared" si="13"/>
        <v>29.947600000000001</v>
      </c>
      <c r="Y28">
        <f t="shared" si="14"/>
        <v>4.2476434206285969</v>
      </c>
      <c r="Z28">
        <f t="shared" si="15"/>
        <v>65.124907644191438</v>
      </c>
      <c r="AA28">
        <f t="shared" si="16"/>
        <v>2.866008000191</v>
      </c>
      <c r="AB28">
        <f t="shared" si="17"/>
        <v>4.400786279574282</v>
      </c>
      <c r="AC28">
        <f t="shared" si="18"/>
        <v>1.3816354204375969</v>
      </c>
      <c r="AD28">
        <f t="shared" si="19"/>
        <v>-213.41418175198373</v>
      </c>
      <c r="AE28">
        <f t="shared" si="20"/>
        <v>97.321181357708198</v>
      </c>
      <c r="AF28">
        <f t="shared" si="21"/>
        <v>7.4246393143013156</v>
      </c>
      <c r="AG28">
        <f t="shared" si="22"/>
        <v>235.73393859089026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52031.383462712649</v>
      </c>
      <c r="AM28" t="s">
        <v>417</v>
      </c>
      <c r="AN28">
        <v>10366.9</v>
      </c>
      <c r="AO28">
        <v>993.59653846153856</v>
      </c>
      <c r="AP28">
        <v>3431.87</v>
      </c>
      <c r="AQ28">
        <f t="shared" si="26"/>
        <v>0.71047955241266758</v>
      </c>
      <c r="AR28">
        <v>-3.9894345373445681</v>
      </c>
      <c r="AS28" t="s">
        <v>479</v>
      </c>
      <c r="AT28">
        <v>10319.6</v>
      </c>
      <c r="AU28">
        <v>665.66811538461536</v>
      </c>
      <c r="AV28">
        <v>1019.0281272991469</v>
      </c>
      <c r="AW28">
        <f t="shared" si="27"/>
        <v>0.34676178453590301</v>
      </c>
      <c r="AX28">
        <v>0.5</v>
      </c>
      <c r="AY28">
        <f t="shared" si="28"/>
        <v>1513.3277998354322</v>
      </c>
      <c r="AZ28">
        <f t="shared" si="29"/>
        <v>47.86946132189145</v>
      </c>
      <c r="BA28">
        <f t="shared" si="30"/>
        <v>262.38212422936317</v>
      </c>
      <c r="BB28">
        <f t="shared" si="31"/>
        <v>3.4268118159777046E-2</v>
      </c>
      <c r="BC28">
        <f t="shared" si="32"/>
        <v>2.3677873142676624</v>
      </c>
      <c r="BD28">
        <f t="shared" si="33"/>
        <v>589.48862222610819</v>
      </c>
      <c r="BE28" t="s">
        <v>480</v>
      </c>
      <c r="BF28">
        <v>538.47</v>
      </c>
      <c r="BG28">
        <f t="shared" si="34"/>
        <v>538.47</v>
      </c>
      <c r="BH28">
        <f t="shared" si="35"/>
        <v>0.4715847525944431</v>
      </c>
      <c r="BI28">
        <f t="shared" si="36"/>
        <v>0.7353116966317903</v>
      </c>
      <c r="BJ28">
        <f t="shared" si="37"/>
        <v>0.833912308253561</v>
      </c>
      <c r="BK28">
        <f t="shared" si="38"/>
        <v>13.894531488806576</v>
      </c>
      <c r="BL28">
        <f t="shared" si="39"/>
        <v>0.98956983733007442</v>
      </c>
      <c r="BM28">
        <f t="shared" si="40"/>
        <v>0.59480585014433007</v>
      </c>
      <c r="BN28">
        <f t="shared" si="41"/>
        <v>0.40519414985566993</v>
      </c>
      <c r="BO28">
        <v>16728</v>
      </c>
      <c r="BP28">
        <v>290.00000000000011</v>
      </c>
      <c r="BQ28">
        <v>917.4</v>
      </c>
      <c r="BR28">
        <v>165</v>
      </c>
      <c r="BS28">
        <v>10319.6</v>
      </c>
      <c r="BT28">
        <v>916.02</v>
      </c>
      <c r="BU28">
        <v>1.38</v>
      </c>
      <c r="BV28">
        <v>300.00000000000011</v>
      </c>
      <c r="BW28">
        <v>38.4</v>
      </c>
      <c r="BX28">
        <v>1019.0281272991469</v>
      </c>
      <c r="BY28">
        <v>1.0904807143112021</v>
      </c>
      <c r="BZ28">
        <v>-106.3037044308378</v>
      </c>
      <c r="CA28">
        <v>0.92050571822540639</v>
      </c>
      <c r="CB28">
        <v>0.99790490667603826</v>
      </c>
      <c r="CC28">
        <v>-1.123370100111235E-2</v>
      </c>
      <c r="CD28">
        <v>289.99999999999989</v>
      </c>
      <c r="CE28">
        <v>906.15</v>
      </c>
      <c r="CF28">
        <v>695</v>
      </c>
      <c r="CG28">
        <v>10291.200000000001</v>
      </c>
      <c r="CH28">
        <v>915.73</v>
      </c>
      <c r="CI28">
        <v>-9.58</v>
      </c>
      <c r="CW28">
        <f t="shared" si="42"/>
        <v>1800.17</v>
      </c>
      <c r="CX28">
        <f t="shared" si="43"/>
        <v>1513.3277998354322</v>
      </c>
      <c r="CY28">
        <f t="shared" si="44"/>
        <v>0.84065827107186109</v>
      </c>
      <c r="CZ28">
        <f t="shared" si="45"/>
        <v>0.19131654214372223</v>
      </c>
      <c r="DA28">
        <v>6</v>
      </c>
      <c r="DB28">
        <v>0.5</v>
      </c>
      <c r="DC28" t="s">
        <v>420</v>
      </c>
      <c r="DD28">
        <v>2</v>
      </c>
      <c r="DE28">
        <v>1693495612.0999999</v>
      </c>
      <c r="DF28">
        <v>837.70799999999997</v>
      </c>
      <c r="DG28">
        <v>900.00300000000004</v>
      </c>
      <c r="DH28">
        <v>28.741</v>
      </c>
      <c r="DI28">
        <v>23.101900000000001</v>
      </c>
      <c r="DJ28">
        <v>837.51</v>
      </c>
      <c r="DK28">
        <v>29.057600000000001</v>
      </c>
      <c r="DL28">
        <v>500.10500000000002</v>
      </c>
      <c r="DM28">
        <v>99.617699999999999</v>
      </c>
      <c r="DN28">
        <v>0.10075099999999999</v>
      </c>
      <c r="DO28">
        <v>30.5654</v>
      </c>
      <c r="DP28">
        <v>29.947600000000001</v>
      </c>
      <c r="DQ28">
        <v>999.9</v>
      </c>
      <c r="DR28">
        <v>0</v>
      </c>
      <c r="DS28">
        <v>0</v>
      </c>
      <c r="DT28">
        <v>9995</v>
      </c>
      <c r="DU28">
        <v>0</v>
      </c>
      <c r="DV28">
        <v>762.51800000000003</v>
      </c>
      <c r="DW28">
        <v>-62.294600000000003</v>
      </c>
      <c r="DX28">
        <v>862.49699999999996</v>
      </c>
      <c r="DY28">
        <v>921.28599999999994</v>
      </c>
      <c r="DZ28">
        <v>5.6391099999999996</v>
      </c>
      <c r="EA28">
        <v>900.00300000000004</v>
      </c>
      <c r="EB28">
        <v>23.101900000000001</v>
      </c>
      <c r="EC28">
        <v>2.8631099999999998</v>
      </c>
      <c r="ED28">
        <v>2.3013499999999998</v>
      </c>
      <c r="EE28">
        <v>23.252500000000001</v>
      </c>
      <c r="EF28">
        <v>19.6859</v>
      </c>
      <c r="EG28">
        <v>1800.17</v>
      </c>
      <c r="EH28">
        <v>0.97799700000000001</v>
      </c>
      <c r="EI28">
        <v>2.2002899999999999E-2</v>
      </c>
      <c r="EJ28">
        <v>0</v>
      </c>
      <c r="EK28">
        <v>665.85400000000004</v>
      </c>
      <c r="EL28">
        <v>5.0002500000000003</v>
      </c>
      <c r="EM28">
        <v>15372.1</v>
      </c>
      <c r="EN28">
        <v>14823.4</v>
      </c>
      <c r="EO28">
        <v>45.061999999999998</v>
      </c>
      <c r="EP28">
        <v>46.686999999999998</v>
      </c>
      <c r="EQ28">
        <v>45.875</v>
      </c>
      <c r="ER28">
        <v>45.375</v>
      </c>
      <c r="ES28">
        <v>46.436999999999998</v>
      </c>
      <c r="ET28">
        <v>1755.67</v>
      </c>
      <c r="EU28">
        <v>39.5</v>
      </c>
      <c r="EV28">
        <v>0</v>
      </c>
      <c r="EW28">
        <v>120.6000001430511</v>
      </c>
      <c r="EX28">
        <v>0</v>
      </c>
      <c r="EY28">
        <v>665.66811538461536</v>
      </c>
      <c r="EZ28">
        <v>-0.13022221746632209</v>
      </c>
      <c r="FA28">
        <v>7350.1777771288171</v>
      </c>
      <c r="FB28">
        <v>14274.66538461538</v>
      </c>
      <c r="FC28">
        <v>15</v>
      </c>
      <c r="FD28">
        <v>1693495578.0999999</v>
      </c>
      <c r="FE28" t="s">
        <v>481</v>
      </c>
      <c r="FF28">
        <v>1693495578.0999999</v>
      </c>
      <c r="FG28">
        <v>1693495568.0999999</v>
      </c>
      <c r="FH28">
        <v>13</v>
      </c>
      <c r="FI28">
        <v>0.26800000000000002</v>
      </c>
      <c r="FJ28">
        <v>-6.0000000000000001E-3</v>
      </c>
      <c r="FK28">
        <v>0.19800000000000001</v>
      </c>
      <c r="FL28">
        <v>-0.317</v>
      </c>
      <c r="FM28">
        <v>900</v>
      </c>
      <c r="FN28">
        <v>23</v>
      </c>
      <c r="FO28">
        <v>0.13</v>
      </c>
      <c r="FP28">
        <v>0.04</v>
      </c>
      <c r="FQ28">
        <v>47.608444694377383</v>
      </c>
      <c r="FR28">
        <v>-0.59708835087604273</v>
      </c>
      <c r="FS28">
        <v>0.12594753289863689</v>
      </c>
      <c r="FT28">
        <v>1</v>
      </c>
      <c r="FU28">
        <v>0.36535110362971152</v>
      </c>
      <c r="FV28">
        <v>-3.873686331412067E-2</v>
      </c>
      <c r="FW28">
        <v>3.0246642951362842E-3</v>
      </c>
      <c r="FX28">
        <v>1</v>
      </c>
      <c r="FY28">
        <v>2</v>
      </c>
      <c r="FZ28">
        <v>2</v>
      </c>
      <c r="GA28" t="s">
        <v>422</v>
      </c>
      <c r="GB28">
        <v>2.92354</v>
      </c>
      <c r="GC28">
        <v>2.8306</v>
      </c>
      <c r="GD28">
        <v>0.15415799999999999</v>
      </c>
      <c r="GE28">
        <v>0.15878</v>
      </c>
      <c r="GF28">
        <v>0.13772000000000001</v>
      </c>
      <c r="GG28">
        <v>0.112955</v>
      </c>
      <c r="GH28">
        <v>22097.4</v>
      </c>
      <c r="GI28">
        <v>26949</v>
      </c>
      <c r="GJ28">
        <v>23507.1</v>
      </c>
      <c r="GK28">
        <v>29310.1</v>
      </c>
      <c r="GL28">
        <v>27620.6</v>
      </c>
      <c r="GM28">
        <v>36727</v>
      </c>
      <c r="GN28">
        <v>33235</v>
      </c>
      <c r="GO28">
        <v>43196</v>
      </c>
      <c r="GP28">
        <v>2.0371999999999999</v>
      </c>
      <c r="GQ28">
        <v>1.9052</v>
      </c>
      <c r="GR28">
        <v>0.14091999999999999</v>
      </c>
      <c r="GS28">
        <v>0</v>
      </c>
      <c r="GT28">
        <v>27.649799999999999</v>
      </c>
      <c r="GU28">
        <v>999.9</v>
      </c>
      <c r="GV28">
        <v>49.1</v>
      </c>
      <c r="GW28">
        <v>36.5</v>
      </c>
      <c r="GX28">
        <v>30.2376</v>
      </c>
      <c r="GY28">
        <v>61.1539</v>
      </c>
      <c r="GZ28">
        <v>35.376600000000003</v>
      </c>
      <c r="HA28">
        <v>1</v>
      </c>
      <c r="HB28">
        <v>5.0914599999999997E-2</v>
      </c>
      <c r="HC28">
        <v>-1.4532400000000001</v>
      </c>
      <c r="HD28">
        <v>20.2699</v>
      </c>
      <c r="HE28">
        <v>5.2130999999999998</v>
      </c>
      <c r="HF28">
        <v>11.866199999999999</v>
      </c>
      <c r="HG28">
        <v>4.9858000000000002</v>
      </c>
      <c r="HH28">
        <v>3.2839999999999998</v>
      </c>
      <c r="HI28">
        <v>9999</v>
      </c>
      <c r="HJ28">
        <v>9999</v>
      </c>
      <c r="HK28">
        <v>9999</v>
      </c>
      <c r="HL28">
        <v>999.9</v>
      </c>
      <c r="HM28">
        <v>1.8548500000000001</v>
      </c>
      <c r="HN28">
        <v>1.86086</v>
      </c>
      <c r="HO28">
        <v>1.85822</v>
      </c>
      <c r="HP28">
        <v>1.8593599999999999</v>
      </c>
      <c r="HQ28">
        <v>1.8587199999999999</v>
      </c>
      <c r="HR28">
        <v>1.85928</v>
      </c>
      <c r="HS28">
        <v>1.8575999999999999</v>
      </c>
      <c r="HT28">
        <v>1.8609599999999999</v>
      </c>
      <c r="HU28">
        <v>5</v>
      </c>
      <c r="HV28">
        <v>0</v>
      </c>
      <c r="HW28">
        <v>0</v>
      </c>
      <c r="HX28">
        <v>0</v>
      </c>
      <c r="HY28" t="s">
        <v>423</v>
      </c>
      <c r="HZ28" t="s">
        <v>424</v>
      </c>
      <c r="IA28" t="s">
        <v>425</v>
      </c>
      <c r="IB28" t="s">
        <v>425</v>
      </c>
      <c r="IC28" t="s">
        <v>425</v>
      </c>
      <c r="ID28" t="s">
        <v>425</v>
      </c>
      <c r="IE28">
        <v>0</v>
      </c>
      <c r="IF28">
        <v>100</v>
      </c>
      <c r="IG28">
        <v>100</v>
      </c>
      <c r="IH28">
        <v>0.19800000000000001</v>
      </c>
      <c r="II28">
        <v>-0.31659999999999999</v>
      </c>
      <c r="IJ28">
        <v>0.19799999999997911</v>
      </c>
      <c r="IK28">
        <v>0</v>
      </c>
      <c r="IL28">
        <v>0</v>
      </c>
      <c r="IM28">
        <v>0</v>
      </c>
      <c r="IN28">
        <v>-0.31666499999999331</v>
      </c>
      <c r="IO28">
        <v>0</v>
      </c>
      <c r="IP28">
        <v>0</v>
      </c>
      <c r="IQ28">
        <v>0</v>
      </c>
      <c r="IR28">
        <v>-1</v>
      </c>
      <c r="IS28">
        <v>-1</v>
      </c>
      <c r="IT28">
        <v>-1</v>
      </c>
      <c r="IU28">
        <v>-1</v>
      </c>
      <c r="IV28">
        <v>0.6</v>
      </c>
      <c r="IW28">
        <v>0.7</v>
      </c>
      <c r="IX28">
        <v>1.8859900000000001</v>
      </c>
      <c r="IY28">
        <v>2.4414099999999999</v>
      </c>
      <c r="IZ28">
        <v>1.49414</v>
      </c>
      <c r="JA28">
        <v>2.2961399999999998</v>
      </c>
      <c r="JB28">
        <v>1.54419</v>
      </c>
      <c r="JC28">
        <v>2.4340799999999998</v>
      </c>
      <c r="JD28">
        <v>43.263300000000001</v>
      </c>
      <c r="JE28">
        <v>23.982399999999998</v>
      </c>
      <c r="JF28">
        <v>18</v>
      </c>
      <c r="JG28">
        <v>520.70100000000002</v>
      </c>
      <c r="JH28">
        <v>468.97300000000001</v>
      </c>
      <c r="JI28">
        <v>30.011099999999999</v>
      </c>
      <c r="JJ28">
        <v>28.034500000000001</v>
      </c>
      <c r="JK28">
        <v>30.0001</v>
      </c>
      <c r="JL28">
        <v>27.988499999999998</v>
      </c>
      <c r="JM28">
        <v>27.949100000000001</v>
      </c>
      <c r="JN28">
        <v>37.813499999999998</v>
      </c>
      <c r="JO28">
        <v>28.0044</v>
      </c>
      <c r="JP28">
        <v>99.225499999999997</v>
      </c>
      <c r="JQ28">
        <v>30.0352</v>
      </c>
      <c r="JR28">
        <v>900</v>
      </c>
      <c r="JS28">
        <v>23.043600000000001</v>
      </c>
      <c r="JT28">
        <v>98.574600000000004</v>
      </c>
      <c r="JU28">
        <v>97.359099999999998</v>
      </c>
    </row>
    <row r="29" spans="1:281" x14ac:dyDescent="0.25">
      <c r="A29">
        <v>13</v>
      </c>
      <c r="B29">
        <v>1693495734.0999999</v>
      </c>
      <c r="C29">
        <v>1598.099999904633</v>
      </c>
      <c r="D29" t="s">
        <v>482</v>
      </c>
      <c r="E29" t="s">
        <v>483</v>
      </c>
      <c r="F29" t="s">
        <v>414</v>
      </c>
      <c r="G29" t="s">
        <v>415</v>
      </c>
      <c r="H29" t="s">
        <v>416</v>
      </c>
      <c r="I29" t="s">
        <v>31</v>
      </c>
      <c r="J29">
        <v>1693495734.0999999</v>
      </c>
      <c r="K29">
        <f t="shared" si="0"/>
        <v>4.510061679138061E-3</v>
      </c>
      <c r="L29">
        <f t="shared" si="1"/>
        <v>4.5100616791380608</v>
      </c>
      <c r="M29">
        <f t="shared" si="2"/>
        <v>47.523095501056154</v>
      </c>
      <c r="N29">
        <f t="shared" si="3"/>
        <v>1136.78</v>
      </c>
      <c r="O29">
        <f t="shared" si="4"/>
        <v>871.3109260364896</v>
      </c>
      <c r="P29">
        <f t="shared" si="5"/>
        <v>86.879595675335935</v>
      </c>
      <c r="Q29">
        <f t="shared" si="6"/>
        <v>113.34987754724</v>
      </c>
      <c r="R29">
        <f t="shared" si="7"/>
        <v>0.33052417349334828</v>
      </c>
      <c r="S29">
        <f t="shared" si="8"/>
        <v>2.9227219942090579</v>
      </c>
      <c r="T29">
        <f t="shared" si="9"/>
        <v>0.31107399565590016</v>
      </c>
      <c r="U29">
        <f t="shared" si="10"/>
        <v>0.19607331916591464</v>
      </c>
      <c r="V29">
        <f t="shared" si="11"/>
        <v>344.37129967091852</v>
      </c>
      <c r="W29">
        <f t="shared" si="12"/>
        <v>31.441634123844715</v>
      </c>
      <c r="X29">
        <f t="shared" si="13"/>
        <v>30.012</v>
      </c>
      <c r="Y29">
        <f t="shared" si="14"/>
        <v>4.2633872554958057</v>
      </c>
      <c r="Z29">
        <f t="shared" si="15"/>
        <v>65.133646229744528</v>
      </c>
      <c r="AA29">
        <f t="shared" si="16"/>
        <v>2.8694436048450003</v>
      </c>
      <c r="AB29">
        <f t="shared" si="17"/>
        <v>4.4054705531510896</v>
      </c>
      <c r="AC29">
        <f t="shared" si="18"/>
        <v>1.3939436506508054</v>
      </c>
      <c r="AD29">
        <f t="shared" si="19"/>
        <v>-198.8937200499885</v>
      </c>
      <c r="AE29">
        <f t="shared" si="20"/>
        <v>90.129918822828742</v>
      </c>
      <c r="AF29">
        <f t="shared" si="21"/>
        <v>6.8770424583892469</v>
      </c>
      <c r="AG29">
        <f t="shared" si="22"/>
        <v>242.48454090214801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52049.816039072684</v>
      </c>
      <c r="AM29" t="s">
        <v>417</v>
      </c>
      <c r="AN29">
        <v>10366.9</v>
      </c>
      <c r="AO29">
        <v>993.59653846153856</v>
      </c>
      <c r="AP29">
        <v>3431.87</v>
      </c>
      <c r="AQ29">
        <f t="shared" si="26"/>
        <v>0.71047955241266758</v>
      </c>
      <c r="AR29">
        <v>-3.9894345373445681</v>
      </c>
      <c r="AS29" t="s">
        <v>484</v>
      </c>
      <c r="AT29">
        <v>10317.799999999999</v>
      </c>
      <c r="AU29">
        <v>664.04896153846153</v>
      </c>
      <c r="AV29">
        <v>1019.077114155329</v>
      </c>
      <c r="AW29">
        <f t="shared" si="27"/>
        <v>0.34838202888221637</v>
      </c>
      <c r="AX29">
        <v>0.5</v>
      </c>
      <c r="AY29">
        <f t="shared" si="28"/>
        <v>1513.1930998354592</v>
      </c>
      <c r="AZ29">
        <f t="shared" si="29"/>
        <v>47.523095501056154</v>
      </c>
      <c r="BA29">
        <f t="shared" si="30"/>
        <v>263.58464110562375</v>
      </c>
      <c r="BB29">
        <f t="shared" si="31"/>
        <v>3.4042271302983124E-2</v>
      </c>
      <c r="BC29">
        <f t="shared" si="32"/>
        <v>2.3676254253286175</v>
      </c>
      <c r="BD29">
        <f t="shared" si="33"/>
        <v>589.50501488038628</v>
      </c>
      <c r="BE29" t="s">
        <v>485</v>
      </c>
      <c r="BF29">
        <v>535.33000000000004</v>
      </c>
      <c r="BG29">
        <f t="shared" si="34"/>
        <v>535.33000000000004</v>
      </c>
      <c r="BH29">
        <f t="shared" si="35"/>
        <v>0.47469137265072137</v>
      </c>
      <c r="BI29">
        <f t="shared" si="36"/>
        <v>0.73391270403087006</v>
      </c>
      <c r="BJ29">
        <f t="shared" si="37"/>
        <v>0.83299139174486481</v>
      </c>
      <c r="BK29">
        <f t="shared" si="38"/>
        <v>13.933286158184677</v>
      </c>
      <c r="BL29">
        <f t="shared" si="39"/>
        <v>0.98954974653346983</v>
      </c>
      <c r="BM29">
        <f t="shared" si="40"/>
        <v>0.59165138507048154</v>
      </c>
      <c r="BN29">
        <f t="shared" si="41"/>
        <v>0.40834861492951846</v>
      </c>
      <c r="BO29">
        <v>16730</v>
      </c>
      <c r="BP29">
        <v>290.00000000000011</v>
      </c>
      <c r="BQ29">
        <v>918.12</v>
      </c>
      <c r="BR29">
        <v>185</v>
      </c>
      <c r="BS29">
        <v>10317.799999999999</v>
      </c>
      <c r="BT29">
        <v>916.25</v>
      </c>
      <c r="BU29">
        <v>1.87</v>
      </c>
      <c r="BV29">
        <v>300.00000000000011</v>
      </c>
      <c r="BW29">
        <v>38.4</v>
      </c>
      <c r="BX29">
        <v>1019.077114155329</v>
      </c>
      <c r="BY29">
        <v>1.3370858023770209</v>
      </c>
      <c r="BZ29">
        <v>-106.09080856332589</v>
      </c>
      <c r="CA29">
        <v>1.1287963230712841</v>
      </c>
      <c r="CB29">
        <v>0.99684020265692597</v>
      </c>
      <c r="CC29">
        <v>-1.123392169076752E-2</v>
      </c>
      <c r="CD29">
        <v>289.99999999999989</v>
      </c>
      <c r="CE29">
        <v>907</v>
      </c>
      <c r="CF29">
        <v>645</v>
      </c>
      <c r="CG29">
        <v>10295.5</v>
      </c>
      <c r="CH29">
        <v>916.03</v>
      </c>
      <c r="CI29">
        <v>-9.0299999999999994</v>
      </c>
      <c r="CW29">
        <f t="shared" si="42"/>
        <v>1800.01</v>
      </c>
      <c r="CX29">
        <f t="shared" si="43"/>
        <v>1513.1930998354592</v>
      </c>
      <c r="CY29">
        <f t="shared" si="44"/>
        <v>0.84065816291879447</v>
      </c>
      <c r="CZ29">
        <f t="shared" si="45"/>
        <v>0.19131632583758898</v>
      </c>
      <c r="DA29">
        <v>6</v>
      </c>
      <c r="DB29">
        <v>0.5</v>
      </c>
      <c r="DC29" t="s">
        <v>420</v>
      </c>
      <c r="DD29">
        <v>2</v>
      </c>
      <c r="DE29">
        <v>1693495734.0999999</v>
      </c>
      <c r="DF29">
        <v>1136.78</v>
      </c>
      <c r="DG29">
        <v>1199.8900000000001</v>
      </c>
      <c r="DH29">
        <v>28.7775</v>
      </c>
      <c r="DI29">
        <v>23.527000000000001</v>
      </c>
      <c r="DJ29">
        <v>1136.3699999999999</v>
      </c>
      <c r="DK29">
        <v>29.093</v>
      </c>
      <c r="DL29">
        <v>500.55500000000001</v>
      </c>
      <c r="DM29">
        <v>99.6113</v>
      </c>
      <c r="DN29">
        <v>0.10005799999999999</v>
      </c>
      <c r="DO29">
        <v>30.584</v>
      </c>
      <c r="DP29">
        <v>30.012</v>
      </c>
      <c r="DQ29">
        <v>999.9</v>
      </c>
      <c r="DR29">
        <v>0</v>
      </c>
      <c r="DS29">
        <v>0</v>
      </c>
      <c r="DT29">
        <v>10000</v>
      </c>
      <c r="DU29">
        <v>0</v>
      </c>
      <c r="DV29">
        <v>1691.22</v>
      </c>
      <c r="DW29">
        <v>-63.105800000000002</v>
      </c>
      <c r="DX29">
        <v>1170.47</v>
      </c>
      <c r="DY29">
        <v>1228.8</v>
      </c>
      <c r="DZ29">
        <v>5.2505499999999996</v>
      </c>
      <c r="EA29">
        <v>1199.8900000000001</v>
      </c>
      <c r="EB29">
        <v>23.527000000000001</v>
      </c>
      <c r="EC29">
        <v>2.8665699999999998</v>
      </c>
      <c r="ED29">
        <v>2.34355</v>
      </c>
      <c r="EE29">
        <v>23.272500000000001</v>
      </c>
      <c r="EF29">
        <v>19.978899999999999</v>
      </c>
      <c r="EG29">
        <v>1800.01</v>
      </c>
      <c r="EH29">
        <v>0.97800200000000004</v>
      </c>
      <c r="EI29">
        <v>2.19981E-2</v>
      </c>
      <c r="EJ29">
        <v>0</v>
      </c>
      <c r="EK29">
        <v>663.88300000000004</v>
      </c>
      <c r="EL29">
        <v>5.0002500000000003</v>
      </c>
      <c r="EM29">
        <v>20888.099999999999</v>
      </c>
      <c r="EN29">
        <v>14822.2</v>
      </c>
      <c r="EO29">
        <v>45.061999999999998</v>
      </c>
      <c r="EP29">
        <v>46.625</v>
      </c>
      <c r="EQ29">
        <v>45.875</v>
      </c>
      <c r="ER29">
        <v>45.25</v>
      </c>
      <c r="ES29">
        <v>46.436999999999998</v>
      </c>
      <c r="ET29">
        <v>1755.52</v>
      </c>
      <c r="EU29">
        <v>39.49</v>
      </c>
      <c r="EV29">
        <v>0</v>
      </c>
      <c r="EW29">
        <v>120.2000000476837</v>
      </c>
      <c r="EX29">
        <v>0</v>
      </c>
      <c r="EY29">
        <v>664.04896153846153</v>
      </c>
      <c r="EZ29">
        <v>-2.2344957218672299</v>
      </c>
      <c r="FA29">
        <v>-379.23076849918118</v>
      </c>
      <c r="FB29">
        <v>20939.442307692309</v>
      </c>
      <c r="FC29">
        <v>15</v>
      </c>
      <c r="FD29">
        <v>1693495696.0999999</v>
      </c>
      <c r="FE29" t="s">
        <v>486</v>
      </c>
      <c r="FF29">
        <v>1693495696.0999999</v>
      </c>
      <c r="FG29">
        <v>1693495691.5999999</v>
      </c>
      <c r="FH29">
        <v>14</v>
      </c>
      <c r="FI29">
        <v>0.214</v>
      </c>
      <c r="FJ29">
        <v>1E-3</v>
      </c>
      <c r="FK29">
        <v>0.41199999999999998</v>
      </c>
      <c r="FL29">
        <v>-0.315</v>
      </c>
      <c r="FM29">
        <v>1200</v>
      </c>
      <c r="FN29">
        <v>23</v>
      </c>
      <c r="FO29">
        <v>0.15</v>
      </c>
      <c r="FP29">
        <v>0.04</v>
      </c>
      <c r="FQ29">
        <v>47.596285844368211</v>
      </c>
      <c r="FR29">
        <v>-0.36918359205648438</v>
      </c>
      <c r="FS29">
        <v>0.17079575547201101</v>
      </c>
      <c r="FT29">
        <v>1</v>
      </c>
      <c r="FU29">
        <v>0.33700252298019062</v>
      </c>
      <c r="FV29">
        <v>-3.2438371550964899E-2</v>
      </c>
      <c r="FW29">
        <v>3.1024313237044661E-3</v>
      </c>
      <c r="FX29">
        <v>1</v>
      </c>
      <c r="FY29">
        <v>2</v>
      </c>
      <c r="FZ29">
        <v>2</v>
      </c>
      <c r="GA29" t="s">
        <v>422</v>
      </c>
      <c r="GB29">
        <v>2.9247899999999998</v>
      </c>
      <c r="GC29">
        <v>2.8299500000000002</v>
      </c>
      <c r="GD29">
        <v>0.18726000000000001</v>
      </c>
      <c r="GE29">
        <v>0.19045400000000001</v>
      </c>
      <c r="GF29">
        <v>0.137852</v>
      </c>
      <c r="GG29">
        <v>0.11441800000000001</v>
      </c>
      <c r="GH29">
        <v>21240.6</v>
      </c>
      <c r="GI29">
        <v>25938.9</v>
      </c>
      <c r="GJ29">
        <v>23515.4</v>
      </c>
      <c r="GK29">
        <v>29314.400000000001</v>
      </c>
      <c r="GL29">
        <v>27627.8</v>
      </c>
      <c r="GM29">
        <v>36671.699999999997</v>
      </c>
      <c r="GN29">
        <v>33246</v>
      </c>
      <c r="GO29">
        <v>43201.599999999999</v>
      </c>
      <c r="GP29">
        <v>2.0381999999999998</v>
      </c>
      <c r="GQ29">
        <v>1.9088000000000001</v>
      </c>
      <c r="GR29">
        <v>0.151083</v>
      </c>
      <c r="GS29">
        <v>0</v>
      </c>
      <c r="GT29">
        <v>27.548400000000001</v>
      </c>
      <c r="GU29">
        <v>999.9</v>
      </c>
      <c r="GV29">
        <v>48.8</v>
      </c>
      <c r="GW29">
        <v>36.700000000000003</v>
      </c>
      <c r="GX29">
        <v>30.386299999999999</v>
      </c>
      <c r="GY29">
        <v>61.253900000000002</v>
      </c>
      <c r="GZ29">
        <v>34.383000000000003</v>
      </c>
      <c r="HA29">
        <v>1</v>
      </c>
      <c r="HB29">
        <v>4.1564999999999998E-2</v>
      </c>
      <c r="HC29">
        <v>-2.2364299999999999</v>
      </c>
      <c r="HD29">
        <v>20.261199999999999</v>
      </c>
      <c r="HE29">
        <v>5.2119</v>
      </c>
      <c r="HF29">
        <v>11.866199999999999</v>
      </c>
      <c r="HG29">
        <v>4.9851999999999999</v>
      </c>
      <c r="HH29">
        <v>3.2839999999999998</v>
      </c>
      <c r="HI29">
        <v>9999</v>
      </c>
      <c r="HJ29">
        <v>9999</v>
      </c>
      <c r="HK29">
        <v>9999</v>
      </c>
      <c r="HL29">
        <v>999.9</v>
      </c>
      <c r="HM29">
        <v>1.8548500000000001</v>
      </c>
      <c r="HN29">
        <v>1.86087</v>
      </c>
      <c r="HO29">
        <v>1.85822</v>
      </c>
      <c r="HP29">
        <v>1.85944</v>
      </c>
      <c r="HQ29">
        <v>1.8587499999999999</v>
      </c>
      <c r="HR29">
        <v>1.85928</v>
      </c>
      <c r="HS29">
        <v>1.8575999999999999</v>
      </c>
      <c r="HT29">
        <v>1.8609599999999999</v>
      </c>
      <c r="HU29">
        <v>5</v>
      </c>
      <c r="HV29">
        <v>0</v>
      </c>
      <c r="HW29">
        <v>0</v>
      </c>
      <c r="HX29">
        <v>0</v>
      </c>
      <c r="HY29" t="s">
        <v>423</v>
      </c>
      <c r="HZ29" t="s">
        <v>424</v>
      </c>
      <c r="IA29" t="s">
        <v>425</v>
      </c>
      <c r="IB29" t="s">
        <v>425</v>
      </c>
      <c r="IC29" t="s">
        <v>425</v>
      </c>
      <c r="ID29" t="s">
        <v>425</v>
      </c>
      <c r="IE29">
        <v>0</v>
      </c>
      <c r="IF29">
        <v>100</v>
      </c>
      <c r="IG29">
        <v>100</v>
      </c>
      <c r="IH29">
        <v>0.41</v>
      </c>
      <c r="II29">
        <v>-0.3155</v>
      </c>
      <c r="IJ29">
        <v>0.41238095238077221</v>
      </c>
      <c r="IK29">
        <v>0</v>
      </c>
      <c r="IL29">
        <v>0</v>
      </c>
      <c r="IM29">
        <v>0</v>
      </c>
      <c r="IN29">
        <v>-0.31545000000000201</v>
      </c>
      <c r="IO29">
        <v>0</v>
      </c>
      <c r="IP29">
        <v>0</v>
      </c>
      <c r="IQ29">
        <v>0</v>
      </c>
      <c r="IR29">
        <v>-1</v>
      </c>
      <c r="IS29">
        <v>-1</v>
      </c>
      <c r="IT29">
        <v>-1</v>
      </c>
      <c r="IU29">
        <v>-1</v>
      </c>
      <c r="IV29">
        <v>0.6</v>
      </c>
      <c r="IW29">
        <v>0.7</v>
      </c>
      <c r="IX29">
        <v>2.36206</v>
      </c>
      <c r="IY29">
        <v>2.4291999999999998</v>
      </c>
      <c r="IZ29">
        <v>1.49414</v>
      </c>
      <c r="JA29">
        <v>2.2961399999999998</v>
      </c>
      <c r="JB29">
        <v>1.54419</v>
      </c>
      <c r="JC29">
        <v>2.4877899999999999</v>
      </c>
      <c r="JD29">
        <v>43.182000000000002</v>
      </c>
      <c r="JE29">
        <v>23.982399999999998</v>
      </c>
      <c r="JF29">
        <v>18</v>
      </c>
      <c r="JG29">
        <v>520.64200000000005</v>
      </c>
      <c r="JH29">
        <v>470.80700000000002</v>
      </c>
      <c r="JI29">
        <v>29.940200000000001</v>
      </c>
      <c r="JJ29">
        <v>27.922699999999999</v>
      </c>
      <c r="JK29">
        <v>30</v>
      </c>
      <c r="JL29">
        <v>27.910699999999999</v>
      </c>
      <c r="JM29">
        <v>27.876100000000001</v>
      </c>
      <c r="JN29">
        <v>47.341799999999999</v>
      </c>
      <c r="JO29">
        <v>26.841000000000001</v>
      </c>
      <c r="JP29">
        <v>99.257000000000005</v>
      </c>
      <c r="JQ29">
        <v>29.9787</v>
      </c>
      <c r="JR29">
        <v>1200</v>
      </c>
      <c r="JS29">
        <v>23.621099999999998</v>
      </c>
      <c r="JT29">
        <v>98.608099999999993</v>
      </c>
      <c r="JU29">
        <v>97.372500000000002</v>
      </c>
    </row>
    <row r="30" spans="1:281" x14ac:dyDescent="0.25">
      <c r="A30">
        <v>14</v>
      </c>
      <c r="B30">
        <v>1693495850.5999999</v>
      </c>
      <c r="C30">
        <v>1714.599999904633</v>
      </c>
      <c r="D30" t="s">
        <v>487</v>
      </c>
      <c r="E30" t="s">
        <v>488</v>
      </c>
      <c r="F30" t="s">
        <v>414</v>
      </c>
      <c r="G30" t="s">
        <v>415</v>
      </c>
      <c r="H30" t="s">
        <v>416</v>
      </c>
      <c r="I30" t="s">
        <v>31</v>
      </c>
      <c r="J30">
        <v>1693495850.5999999</v>
      </c>
      <c r="K30">
        <f t="shared" si="0"/>
        <v>4.1476454999465175E-3</v>
      </c>
      <c r="L30">
        <f t="shared" si="1"/>
        <v>4.1476454999465178</v>
      </c>
      <c r="M30">
        <f t="shared" si="2"/>
        <v>47.016683773981825</v>
      </c>
      <c r="N30">
        <f t="shared" si="3"/>
        <v>1436.09</v>
      </c>
      <c r="O30">
        <f t="shared" si="4"/>
        <v>1147.2772430080609</v>
      </c>
      <c r="P30">
        <f t="shared" si="5"/>
        <v>114.39788817401065</v>
      </c>
      <c r="Q30">
        <f t="shared" si="6"/>
        <v>143.19613173627695</v>
      </c>
      <c r="R30">
        <f t="shared" si="7"/>
        <v>0.30442274950438986</v>
      </c>
      <c r="S30">
        <f t="shared" si="8"/>
        <v>2.9323825625566808</v>
      </c>
      <c r="T30">
        <f t="shared" si="9"/>
        <v>0.28789195155530928</v>
      </c>
      <c r="U30">
        <f t="shared" si="10"/>
        <v>0.18134285368678976</v>
      </c>
      <c r="V30">
        <f t="shared" si="11"/>
        <v>344.33329967088196</v>
      </c>
      <c r="W30">
        <f t="shared" si="12"/>
        <v>31.406203202251419</v>
      </c>
      <c r="X30">
        <f t="shared" si="13"/>
        <v>29.92</v>
      </c>
      <c r="Y30">
        <f t="shared" si="14"/>
        <v>4.2409115892801372</v>
      </c>
      <c r="Z30">
        <f t="shared" si="15"/>
        <v>65.287849237429441</v>
      </c>
      <c r="AA30">
        <f t="shared" si="16"/>
        <v>2.8554769855266295</v>
      </c>
      <c r="AB30">
        <f t="shared" si="17"/>
        <v>4.3736729251751614</v>
      </c>
      <c r="AC30">
        <f t="shared" si="18"/>
        <v>1.3854346037535077</v>
      </c>
      <c r="AD30">
        <f t="shared" si="19"/>
        <v>-182.91116654764141</v>
      </c>
      <c r="AE30">
        <f t="shared" si="20"/>
        <v>84.957893122127189</v>
      </c>
      <c r="AF30">
        <f t="shared" si="21"/>
        <v>6.4540702322636223</v>
      </c>
      <c r="AG30">
        <f t="shared" si="22"/>
        <v>252.83409647763136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52347.259422990261</v>
      </c>
      <c r="AM30" t="s">
        <v>417</v>
      </c>
      <c r="AN30">
        <v>10366.9</v>
      </c>
      <c r="AO30">
        <v>993.59653846153856</v>
      </c>
      <c r="AP30">
        <v>3431.87</v>
      </c>
      <c r="AQ30">
        <f t="shared" si="26"/>
        <v>0.71047955241266758</v>
      </c>
      <c r="AR30">
        <v>-3.9894345373445681</v>
      </c>
      <c r="AS30" t="s">
        <v>489</v>
      </c>
      <c r="AT30">
        <v>10318.299999999999</v>
      </c>
      <c r="AU30">
        <v>662.45636000000002</v>
      </c>
      <c r="AV30">
        <v>1019.91572612705</v>
      </c>
      <c r="AW30">
        <f t="shared" si="27"/>
        <v>0.35047931605529692</v>
      </c>
      <c r="AX30">
        <v>0.5</v>
      </c>
      <c r="AY30">
        <f t="shared" si="28"/>
        <v>1513.0250998354409</v>
      </c>
      <c r="AZ30">
        <f t="shared" si="29"/>
        <v>47.016683773981825</v>
      </c>
      <c r="BA30">
        <f t="shared" si="30"/>
        <v>265.14200108241135</v>
      </c>
      <c r="BB30">
        <f t="shared" si="31"/>
        <v>3.371134974355277E-2</v>
      </c>
      <c r="BC30">
        <f t="shared" si="32"/>
        <v>2.3648564406707604</v>
      </c>
      <c r="BD30">
        <f t="shared" si="33"/>
        <v>589.78553973469081</v>
      </c>
      <c r="BE30" t="s">
        <v>490</v>
      </c>
      <c r="BF30">
        <v>535.09</v>
      </c>
      <c r="BG30">
        <f t="shared" si="34"/>
        <v>535.09</v>
      </c>
      <c r="BH30">
        <f t="shared" si="35"/>
        <v>0.47535861415539704</v>
      </c>
      <c r="BI30">
        <f t="shared" si="36"/>
        <v>0.73729455114223197</v>
      </c>
      <c r="BJ30">
        <f t="shared" si="37"/>
        <v>0.83263287991250623</v>
      </c>
      <c r="BK30">
        <f t="shared" si="38"/>
        <v>13.581702090124285</v>
      </c>
      <c r="BL30">
        <f t="shared" si="39"/>
        <v>0.98920580973353767</v>
      </c>
      <c r="BM30">
        <f t="shared" si="40"/>
        <v>0.59553951806077754</v>
      </c>
      <c r="BN30">
        <f t="shared" si="41"/>
        <v>0.40446048193922246</v>
      </c>
      <c r="BO30">
        <v>16732</v>
      </c>
      <c r="BP30">
        <v>290.00000000000011</v>
      </c>
      <c r="BQ30">
        <v>916.7</v>
      </c>
      <c r="BR30">
        <v>185</v>
      </c>
      <c r="BS30">
        <v>10318.299999999999</v>
      </c>
      <c r="BT30">
        <v>915.15</v>
      </c>
      <c r="BU30">
        <v>1.55</v>
      </c>
      <c r="BV30">
        <v>300.00000000000011</v>
      </c>
      <c r="BW30">
        <v>38.4</v>
      </c>
      <c r="BX30">
        <v>1019.91572612705</v>
      </c>
      <c r="BY30">
        <v>0.96552943405310243</v>
      </c>
      <c r="BZ30">
        <v>-108.0992862949511</v>
      </c>
      <c r="CA30">
        <v>0.81516034818190375</v>
      </c>
      <c r="CB30">
        <v>0.99841032796156326</v>
      </c>
      <c r="CC30">
        <v>-1.123438754171302E-2</v>
      </c>
      <c r="CD30">
        <v>289.99999999999989</v>
      </c>
      <c r="CE30">
        <v>906.09</v>
      </c>
      <c r="CF30">
        <v>685</v>
      </c>
      <c r="CG30">
        <v>10293.299999999999</v>
      </c>
      <c r="CH30">
        <v>914.9</v>
      </c>
      <c r="CI30">
        <v>-8.81</v>
      </c>
      <c r="CW30">
        <f t="shared" si="42"/>
        <v>1799.81</v>
      </c>
      <c r="CX30">
        <f t="shared" si="43"/>
        <v>1513.0250998354409</v>
      </c>
      <c r="CY30">
        <f t="shared" si="44"/>
        <v>0.84065823605571754</v>
      </c>
      <c r="CZ30">
        <f t="shared" si="45"/>
        <v>0.19131647211143507</v>
      </c>
      <c r="DA30">
        <v>6</v>
      </c>
      <c r="DB30">
        <v>0.5</v>
      </c>
      <c r="DC30" t="s">
        <v>420</v>
      </c>
      <c r="DD30">
        <v>2</v>
      </c>
      <c r="DE30">
        <v>1693495850.5999999</v>
      </c>
      <c r="DF30">
        <v>1436.09</v>
      </c>
      <c r="DG30">
        <v>1499.69</v>
      </c>
      <c r="DH30">
        <v>28.6371</v>
      </c>
      <c r="DI30">
        <v>23.8</v>
      </c>
      <c r="DJ30">
        <v>1435.56</v>
      </c>
      <c r="DK30">
        <v>28.9528</v>
      </c>
      <c r="DL30">
        <v>499.74599999999998</v>
      </c>
      <c r="DM30">
        <v>99.613699999999994</v>
      </c>
      <c r="DN30">
        <v>9.8805299999999999E-2</v>
      </c>
      <c r="DO30">
        <v>30.4574</v>
      </c>
      <c r="DP30">
        <v>29.92</v>
      </c>
      <c r="DQ30">
        <v>999.9</v>
      </c>
      <c r="DR30">
        <v>0</v>
      </c>
      <c r="DS30">
        <v>0</v>
      </c>
      <c r="DT30">
        <v>10055</v>
      </c>
      <c r="DU30">
        <v>0</v>
      </c>
      <c r="DV30">
        <v>1666.46</v>
      </c>
      <c r="DW30">
        <v>-63.596699999999998</v>
      </c>
      <c r="DX30">
        <v>1478.43</v>
      </c>
      <c r="DY30">
        <v>1536.25</v>
      </c>
      <c r="DZ30">
        <v>4.8370600000000001</v>
      </c>
      <c r="EA30">
        <v>1499.69</v>
      </c>
      <c r="EB30">
        <v>23.8</v>
      </c>
      <c r="EC30">
        <v>2.8526400000000001</v>
      </c>
      <c r="ED30">
        <v>2.3708</v>
      </c>
      <c r="EE30">
        <v>23.1919</v>
      </c>
      <c r="EF30">
        <v>20.165700000000001</v>
      </c>
      <c r="EG30">
        <v>1799.81</v>
      </c>
      <c r="EH30">
        <v>0.97799800000000003</v>
      </c>
      <c r="EI30">
        <v>2.2001900000000001E-2</v>
      </c>
      <c r="EJ30">
        <v>0</v>
      </c>
      <c r="EK30">
        <v>662.32</v>
      </c>
      <c r="EL30">
        <v>5.0002500000000003</v>
      </c>
      <c r="EM30">
        <v>20865.3</v>
      </c>
      <c r="EN30">
        <v>14820.5</v>
      </c>
      <c r="EO30">
        <v>45</v>
      </c>
      <c r="EP30">
        <v>46.625</v>
      </c>
      <c r="EQ30">
        <v>45.811999999999998</v>
      </c>
      <c r="ER30">
        <v>45.311999999999998</v>
      </c>
      <c r="ES30">
        <v>46.375</v>
      </c>
      <c r="ET30">
        <v>1755.32</v>
      </c>
      <c r="EU30">
        <v>39.49</v>
      </c>
      <c r="EV30">
        <v>0</v>
      </c>
      <c r="EW30">
        <v>114.6000001430511</v>
      </c>
      <c r="EX30">
        <v>0</v>
      </c>
      <c r="EY30">
        <v>662.45636000000002</v>
      </c>
      <c r="EZ30">
        <v>-0.82869229867893124</v>
      </c>
      <c r="FA30">
        <v>12043.299981759499</v>
      </c>
      <c r="FB30">
        <v>20142.867999999999</v>
      </c>
      <c r="FC30">
        <v>15</v>
      </c>
      <c r="FD30">
        <v>1693495819.0999999</v>
      </c>
      <c r="FE30" t="s">
        <v>491</v>
      </c>
      <c r="FF30">
        <v>1693495819.0999999</v>
      </c>
      <c r="FG30">
        <v>1693495813.5999999</v>
      </c>
      <c r="FH30">
        <v>15</v>
      </c>
      <c r="FI30">
        <v>0.121</v>
      </c>
      <c r="FJ30">
        <v>0</v>
      </c>
      <c r="FK30">
        <v>0.53400000000000003</v>
      </c>
      <c r="FL30">
        <v>-0.316</v>
      </c>
      <c r="FM30">
        <v>1500</v>
      </c>
      <c r="FN30">
        <v>24</v>
      </c>
      <c r="FO30">
        <v>0.2</v>
      </c>
      <c r="FP30">
        <v>0.05</v>
      </c>
      <c r="FQ30">
        <v>47.245664626486302</v>
      </c>
      <c r="FR30">
        <v>-0.32796987429687652</v>
      </c>
      <c r="FS30">
        <v>0.1685427462405322</v>
      </c>
      <c r="FT30">
        <v>1</v>
      </c>
      <c r="FU30">
        <v>0.31149776361393933</v>
      </c>
      <c r="FV30">
        <v>-4.8641186746456851E-2</v>
      </c>
      <c r="FW30">
        <v>3.9769378412390583E-3</v>
      </c>
      <c r="FX30">
        <v>1</v>
      </c>
      <c r="FY30">
        <v>2</v>
      </c>
      <c r="FZ30">
        <v>2</v>
      </c>
      <c r="GA30" t="s">
        <v>422</v>
      </c>
      <c r="GB30">
        <v>2.9228399999999999</v>
      </c>
      <c r="GC30">
        <v>2.8291599999999999</v>
      </c>
      <c r="GD30">
        <v>0.21576999999999999</v>
      </c>
      <c r="GE30">
        <v>0.21790000000000001</v>
      </c>
      <c r="GF30">
        <v>0.13741200000000001</v>
      </c>
      <c r="GG30">
        <v>0.11536</v>
      </c>
      <c r="GH30">
        <v>20501.5</v>
      </c>
      <c r="GI30">
        <v>25060.1</v>
      </c>
      <c r="GJ30">
        <v>23521.7</v>
      </c>
      <c r="GK30">
        <v>29314.400000000001</v>
      </c>
      <c r="GL30">
        <v>27652.6</v>
      </c>
      <c r="GM30">
        <v>36633.4</v>
      </c>
      <c r="GN30">
        <v>33256</v>
      </c>
      <c r="GO30">
        <v>43201.1</v>
      </c>
      <c r="GP30">
        <v>2.0377000000000001</v>
      </c>
      <c r="GQ30">
        <v>1.9105000000000001</v>
      </c>
      <c r="GR30">
        <v>0.14044300000000001</v>
      </c>
      <c r="GS30">
        <v>0</v>
      </c>
      <c r="GT30">
        <v>27.629799999999999</v>
      </c>
      <c r="GU30">
        <v>999.9</v>
      </c>
      <c r="GV30">
        <v>48.5</v>
      </c>
      <c r="GW30">
        <v>36.799999999999997</v>
      </c>
      <c r="GX30">
        <v>30.363600000000002</v>
      </c>
      <c r="GY30">
        <v>61.323900000000002</v>
      </c>
      <c r="GZ30">
        <v>35.340499999999999</v>
      </c>
      <c r="HA30">
        <v>1</v>
      </c>
      <c r="HB30">
        <v>3.5548799999999998E-2</v>
      </c>
      <c r="HC30">
        <v>-1.32568</v>
      </c>
      <c r="HD30">
        <v>20.269600000000001</v>
      </c>
      <c r="HE30">
        <v>5.2083000000000004</v>
      </c>
      <c r="HF30">
        <v>11.866199999999999</v>
      </c>
      <c r="HG30">
        <v>4.984</v>
      </c>
      <c r="HH30">
        <v>3.2831000000000001</v>
      </c>
      <c r="HI30">
        <v>9999</v>
      </c>
      <c r="HJ30">
        <v>9999</v>
      </c>
      <c r="HK30">
        <v>9999</v>
      </c>
      <c r="HL30">
        <v>999.9</v>
      </c>
      <c r="HM30">
        <v>1.85486</v>
      </c>
      <c r="HN30">
        <v>1.86087</v>
      </c>
      <c r="HO30">
        <v>1.85822</v>
      </c>
      <c r="HP30">
        <v>1.8594200000000001</v>
      </c>
      <c r="HQ30">
        <v>1.8587499999999999</v>
      </c>
      <c r="HR30">
        <v>1.85928</v>
      </c>
      <c r="HS30">
        <v>1.8575999999999999</v>
      </c>
      <c r="HT30">
        <v>1.8609599999999999</v>
      </c>
      <c r="HU30">
        <v>5</v>
      </c>
      <c r="HV30">
        <v>0</v>
      </c>
      <c r="HW30">
        <v>0</v>
      </c>
      <c r="HX30">
        <v>0</v>
      </c>
      <c r="HY30" t="s">
        <v>423</v>
      </c>
      <c r="HZ30" t="s">
        <v>424</v>
      </c>
      <c r="IA30" t="s">
        <v>425</v>
      </c>
      <c r="IB30" t="s">
        <v>425</v>
      </c>
      <c r="IC30" t="s">
        <v>425</v>
      </c>
      <c r="ID30" t="s">
        <v>425</v>
      </c>
      <c r="IE30">
        <v>0</v>
      </c>
      <c r="IF30">
        <v>100</v>
      </c>
      <c r="IG30">
        <v>100</v>
      </c>
      <c r="IH30">
        <v>0.53</v>
      </c>
      <c r="II30">
        <v>-0.31569999999999998</v>
      </c>
      <c r="IJ30">
        <v>0.53349999999999997</v>
      </c>
      <c r="IK30">
        <v>0</v>
      </c>
      <c r="IL30">
        <v>0</v>
      </c>
      <c r="IM30">
        <v>0</v>
      </c>
      <c r="IN30">
        <v>-0.31577142857143409</v>
      </c>
      <c r="IO30">
        <v>0</v>
      </c>
      <c r="IP30">
        <v>0</v>
      </c>
      <c r="IQ30">
        <v>0</v>
      </c>
      <c r="IR30">
        <v>-1</v>
      </c>
      <c r="IS30">
        <v>-1</v>
      </c>
      <c r="IT30">
        <v>-1</v>
      </c>
      <c r="IU30">
        <v>-1</v>
      </c>
      <c r="IV30">
        <v>0.5</v>
      </c>
      <c r="IW30">
        <v>0.6</v>
      </c>
      <c r="IX30">
        <v>2.80396</v>
      </c>
      <c r="IY30">
        <v>2.4243199999999998</v>
      </c>
      <c r="IZ30">
        <v>1.49414</v>
      </c>
      <c r="JA30">
        <v>2.2961399999999998</v>
      </c>
      <c r="JB30">
        <v>1.54419</v>
      </c>
      <c r="JC30">
        <v>2.52197</v>
      </c>
      <c r="JD30">
        <v>43.236199999999997</v>
      </c>
      <c r="JE30">
        <v>23.991199999999999</v>
      </c>
      <c r="JF30">
        <v>18</v>
      </c>
      <c r="JG30">
        <v>519.82299999999998</v>
      </c>
      <c r="JH30">
        <v>471.54300000000001</v>
      </c>
      <c r="JI30">
        <v>29.644300000000001</v>
      </c>
      <c r="JJ30">
        <v>27.851500000000001</v>
      </c>
      <c r="JK30">
        <v>30.0001</v>
      </c>
      <c r="JL30">
        <v>27.8566</v>
      </c>
      <c r="JM30">
        <v>27.826799999999999</v>
      </c>
      <c r="JN30">
        <v>56.155000000000001</v>
      </c>
      <c r="JO30">
        <v>26.7028</v>
      </c>
      <c r="JP30">
        <v>99.624200000000002</v>
      </c>
      <c r="JQ30">
        <v>29.642299999999999</v>
      </c>
      <c r="JR30">
        <v>1500</v>
      </c>
      <c r="JS30">
        <v>23.8171</v>
      </c>
      <c r="JT30">
        <v>98.636399999999995</v>
      </c>
      <c r="JU30">
        <v>97.371799999999993</v>
      </c>
    </row>
    <row r="31" spans="1:281" x14ac:dyDescent="0.25">
      <c r="A31">
        <v>15</v>
      </c>
      <c r="B31">
        <v>1693498989.5999999</v>
      </c>
      <c r="C31">
        <v>4853.5999999046326</v>
      </c>
      <c r="D31" t="s">
        <v>492</v>
      </c>
      <c r="E31" t="s">
        <v>493</v>
      </c>
      <c r="F31" t="s">
        <v>414</v>
      </c>
      <c r="G31" t="s">
        <v>494</v>
      </c>
      <c r="H31" t="s">
        <v>495</v>
      </c>
      <c r="I31" t="s">
        <v>31</v>
      </c>
      <c r="J31">
        <v>1693498989.5999999</v>
      </c>
      <c r="K31">
        <f t="shared" si="0"/>
        <v>3.4834366659771284E-3</v>
      </c>
      <c r="L31">
        <f t="shared" si="1"/>
        <v>3.4834366659771283</v>
      </c>
      <c r="M31">
        <f t="shared" si="2"/>
        <v>35.569806684452011</v>
      </c>
      <c r="N31">
        <f t="shared" si="3"/>
        <v>355.798</v>
      </c>
      <c r="O31">
        <f t="shared" si="4"/>
        <v>118.51421433666688</v>
      </c>
      <c r="P31">
        <f t="shared" si="5"/>
        <v>11.816891523274466</v>
      </c>
      <c r="Q31">
        <f t="shared" si="6"/>
        <v>35.476135868853405</v>
      </c>
      <c r="R31">
        <f t="shared" si="7"/>
        <v>0.2555967416976459</v>
      </c>
      <c r="S31">
        <f t="shared" si="8"/>
        <v>2.9218018618049344</v>
      </c>
      <c r="T31">
        <f t="shared" si="9"/>
        <v>0.24379286509953646</v>
      </c>
      <c r="U31">
        <f t="shared" si="10"/>
        <v>0.15338563847494596</v>
      </c>
      <c r="V31">
        <f t="shared" si="11"/>
        <v>344.41749967087912</v>
      </c>
      <c r="W31">
        <f t="shared" si="12"/>
        <v>31.661977654649498</v>
      </c>
      <c r="X31">
        <f t="shared" si="13"/>
        <v>29.9451</v>
      </c>
      <c r="Y31">
        <f t="shared" si="14"/>
        <v>4.2470332699593403</v>
      </c>
      <c r="Z31">
        <f t="shared" si="15"/>
        <v>65.395562595645075</v>
      </c>
      <c r="AA31">
        <f t="shared" si="16"/>
        <v>2.8732142361971302</v>
      </c>
      <c r="AB31">
        <f t="shared" si="17"/>
        <v>4.3935920453239863</v>
      </c>
      <c r="AC31">
        <f t="shared" si="18"/>
        <v>1.37381903376221</v>
      </c>
      <c r="AD31">
        <f t="shared" si="19"/>
        <v>-153.61955696959137</v>
      </c>
      <c r="AE31">
        <f t="shared" si="20"/>
        <v>93.204691673795395</v>
      </c>
      <c r="AF31">
        <f t="shared" si="21"/>
        <v>7.1098785043477895</v>
      </c>
      <c r="AG31">
        <f t="shared" si="22"/>
        <v>291.11251287943094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52031.636987812941</v>
      </c>
      <c r="AM31" t="s">
        <v>417</v>
      </c>
      <c r="AN31">
        <v>10366.9</v>
      </c>
      <c r="AO31">
        <v>993.59653846153856</v>
      </c>
      <c r="AP31">
        <v>3431.87</v>
      </c>
      <c r="AQ31">
        <f t="shared" si="26"/>
        <v>0.71047955241266758</v>
      </c>
      <c r="AR31">
        <v>-3.9894345373445681</v>
      </c>
      <c r="AS31" t="s">
        <v>496</v>
      </c>
      <c r="AT31">
        <v>10308.9</v>
      </c>
      <c r="AU31">
        <v>784.56115384615396</v>
      </c>
      <c r="AV31">
        <v>1069.1575421591119</v>
      </c>
      <c r="AW31">
        <f t="shared" si="27"/>
        <v>0.26618751408536978</v>
      </c>
      <c r="AX31">
        <v>0.5</v>
      </c>
      <c r="AY31">
        <f t="shared" si="28"/>
        <v>1513.3949998354396</v>
      </c>
      <c r="AZ31">
        <f t="shared" si="29"/>
        <v>35.569806684452011</v>
      </c>
      <c r="BA31">
        <f t="shared" si="30"/>
        <v>201.42342641771214</v>
      </c>
      <c r="BB31">
        <f t="shared" si="31"/>
        <v>2.6139402618680578E-2</v>
      </c>
      <c r="BC31">
        <f t="shared" si="32"/>
        <v>2.209882421134592</v>
      </c>
      <c r="BD31">
        <f t="shared" si="33"/>
        <v>605.92316955629656</v>
      </c>
      <c r="BE31" t="s">
        <v>497</v>
      </c>
      <c r="BF31">
        <v>565.99</v>
      </c>
      <c r="BG31">
        <f t="shared" si="34"/>
        <v>565.99</v>
      </c>
      <c r="BH31">
        <f t="shared" si="35"/>
        <v>0.4706205795854832</v>
      </c>
      <c r="BI31">
        <f t="shared" si="36"/>
        <v>0.5656095921683334</v>
      </c>
      <c r="BJ31">
        <f t="shared" si="37"/>
        <v>0.82442825862942193</v>
      </c>
      <c r="BK31">
        <f t="shared" si="38"/>
        <v>3.7664453141997867</v>
      </c>
      <c r="BL31">
        <f t="shared" si="39"/>
        <v>0.96901044739670117</v>
      </c>
      <c r="BM31">
        <f t="shared" si="40"/>
        <v>0.40803622700663278</v>
      </c>
      <c r="BN31">
        <f t="shared" si="41"/>
        <v>0.59196377299336722</v>
      </c>
      <c r="BO31">
        <v>16734</v>
      </c>
      <c r="BP31">
        <v>290.00000000000011</v>
      </c>
      <c r="BQ31">
        <v>997.19</v>
      </c>
      <c r="BR31">
        <v>125</v>
      </c>
      <c r="BS31">
        <v>10308.9</v>
      </c>
      <c r="BT31">
        <v>994.23</v>
      </c>
      <c r="BU31">
        <v>2.96</v>
      </c>
      <c r="BV31">
        <v>300.00000000000011</v>
      </c>
      <c r="BW31">
        <v>38.4</v>
      </c>
      <c r="BX31">
        <v>1069.1575421591119</v>
      </c>
      <c r="BY31">
        <v>1.189201377198787</v>
      </c>
      <c r="BZ31">
        <v>-77.240557815013375</v>
      </c>
      <c r="CA31">
        <v>1.0020535336062151</v>
      </c>
      <c r="CB31">
        <v>0.99530962807907197</v>
      </c>
      <c r="CC31">
        <v>-1.1214197997775311E-2</v>
      </c>
      <c r="CD31">
        <v>289.99999999999989</v>
      </c>
      <c r="CE31">
        <v>989.59</v>
      </c>
      <c r="CF31">
        <v>675</v>
      </c>
      <c r="CG31">
        <v>10273.9</v>
      </c>
      <c r="CH31">
        <v>993.98</v>
      </c>
      <c r="CI31">
        <v>-4.3899999999999997</v>
      </c>
      <c r="CW31">
        <f t="shared" si="42"/>
        <v>1800.25</v>
      </c>
      <c r="CX31">
        <f t="shared" si="43"/>
        <v>1513.3949998354396</v>
      </c>
      <c r="CY31">
        <f t="shared" si="44"/>
        <v>0.84065824181943594</v>
      </c>
      <c r="CZ31">
        <f t="shared" si="45"/>
        <v>0.19131648363887188</v>
      </c>
      <c r="DA31">
        <v>6</v>
      </c>
      <c r="DB31">
        <v>0.5</v>
      </c>
      <c r="DC31" t="s">
        <v>420</v>
      </c>
      <c r="DD31">
        <v>2</v>
      </c>
      <c r="DE31">
        <v>1693498989.5999999</v>
      </c>
      <c r="DF31">
        <v>355.798</v>
      </c>
      <c r="DG31">
        <v>399.97699999999998</v>
      </c>
      <c r="DH31">
        <v>28.816099999999999</v>
      </c>
      <c r="DI31">
        <v>24.755700000000001</v>
      </c>
      <c r="DJ31">
        <v>356.18400000000003</v>
      </c>
      <c r="DK31">
        <v>29.084700000000002</v>
      </c>
      <c r="DL31">
        <v>499.91</v>
      </c>
      <c r="DM31">
        <v>99.608800000000002</v>
      </c>
      <c r="DN31">
        <v>9.9843299999999996E-2</v>
      </c>
      <c r="DO31">
        <v>30.536799999999999</v>
      </c>
      <c r="DP31">
        <v>29.9451</v>
      </c>
      <c r="DQ31">
        <v>999.9</v>
      </c>
      <c r="DR31">
        <v>0</v>
      </c>
      <c r="DS31">
        <v>0</v>
      </c>
      <c r="DT31">
        <v>9995</v>
      </c>
      <c r="DU31">
        <v>0</v>
      </c>
      <c r="DV31">
        <v>1672.08</v>
      </c>
      <c r="DW31">
        <v>-44.179200000000002</v>
      </c>
      <c r="DX31">
        <v>366.35500000000002</v>
      </c>
      <c r="DY31">
        <v>410.13</v>
      </c>
      <c r="DZ31">
        <v>4.0603899999999999</v>
      </c>
      <c r="EA31">
        <v>399.97699999999998</v>
      </c>
      <c r="EB31">
        <v>24.755700000000001</v>
      </c>
      <c r="EC31">
        <v>2.8703400000000001</v>
      </c>
      <c r="ED31">
        <v>2.4658899999999999</v>
      </c>
      <c r="EE31">
        <v>23.2943</v>
      </c>
      <c r="EF31">
        <v>20.803100000000001</v>
      </c>
      <c r="EG31">
        <v>1800.25</v>
      </c>
      <c r="EH31">
        <v>0.97799499999999995</v>
      </c>
      <c r="EI31">
        <v>2.2004800000000001E-2</v>
      </c>
      <c r="EJ31">
        <v>0</v>
      </c>
      <c r="EK31">
        <v>784.14700000000005</v>
      </c>
      <c r="EL31">
        <v>5.0002500000000003</v>
      </c>
      <c r="EM31">
        <v>22803.200000000001</v>
      </c>
      <c r="EN31">
        <v>14824.1</v>
      </c>
      <c r="EO31">
        <v>47</v>
      </c>
      <c r="EP31">
        <v>48.875</v>
      </c>
      <c r="EQ31">
        <v>48</v>
      </c>
      <c r="ER31">
        <v>46.936999999999998</v>
      </c>
      <c r="ES31">
        <v>48.125</v>
      </c>
      <c r="ET31">
        <v>1755.75</v>
      </c>
      <c r="EU31">
        <v>39.5</v>
      </c>
      <c r="EV31">
        <v>0</v>
      </c>
      <c r="EW31">
        <v>3137</v>
      </c>
      <c r="EX31">
        <v>0</v>
      </c>
      <c r="EY31">
        <v>784.56115384615396</v>
      </c>
      <c r="EZ31">
        <v>-0.90393163276302346</v>
      </c>
      <c r="FA31">
        <v>584.21196590074692</v>
      </c>
      <c r="FB31">
        <v>22733.200000000001</v>
      </c>
      <c r="FC31">
        <v>15</v>
      </c>
      <c r="FD31">
        <v>1693498954.0999999</v>
      </c>
      <c r="FE31" t="s">
        <v>498</v>
      </c>
      <c r="FF31">
        <v>1693498948.0999999</v>
      </c>
      <c r="FG31">
        <v>1693498954.0999999</v>
      </c>
      <c r="FH31">
        <v>19</v>
      </c>
      <c r="FI31">
        <v>0.13700000000000001</v>
      </c>
      <c r="FJ31">
        <v>2.1000000000000001E-2</v>
      </c>
      <c r="FK31">
        <v>-0.38600000000000001</v>
      </c>
      <c r="FL31">
        <v>-0.26900000000000002</v>
      </c>
      <c r="FM31">
        <v>400</v>
      </c>
      <c r="FN31">
        <v>25</v>
      </c>
      <c r="FO31">
        <v>0.16</v>
      </c>
      <c r="FP31">
        <v>0.06</v>
      </c>
      <c r="FQ31">
        <v>35.562283711198589</v>
      </c>
      <c r="FR31">
        <v>-0.3080533250532983</v>
      </c>
      <c r="FS31">
        <v>6.3044508925353807E-2</v>
      </c>
      <c r="FT31">
        <v>1</v>
      </c>
      <c r="FU31">
        <v>0.25989193401961053</v>
      </c>
      <c r="FV31">
        <v>2.2601344644654291E-2</v>
      </c>
      <c r="FW31">
        <v>3.808861943851452E-3</v>
      </c>
      <c r="FX31">
        <v>1</v>
      </c>
      <c r="FY31">
        <v>2</v>
      </c>
      <c r="FZ31">
        <v>2</v>
      </c>
      <c r="GA31" t="s">
        <v>422</v>
      </c>
      <c r="GB31">
        <v>2.9231799999999999</v>
      </c>
      <c r="GC31">
        <v>2.8296899999999998</v>
      </c>
      <c r="GD31">
        <v>8.3671099999999998E-2</v>
      </c>
      <c r="GE31">
        <v>8.9833099999999999E-2</v>
      </c>
      <c r="GF31">
        <v>0.13781099999999999</v>
      </c>
      <c r="GG31">
        <v>0.11854000000000001</v>
      </c>
      <c r="GH31">
        <v>24010.5</v>
      </c>
      <c r="GI31">
        <v>29112.400000000001</v>
      </c>
      <c r="GJ31">
        <v>23577.3</v>
      </c>
      <c r="GK31">
        <v>29264.3</v>
      </c>
      <c r="GL31">
        <v>27696.3</v>
      </c>
      <c r="GM31">
        <v>36459.599999999999</v>
      </c>
      <c r="GN31">
        <v>33338</v>
      </c>
      <c r="GO31">
        <v>43175</v>
      </c>
      <c r="GP31">
        <v>2.0590000000000002</v>
      </c>
      <c r="GQ31">
        <v>1.9471000000000001</v>
      </c>
      <c r="GR31">
        <v>0.115409</v>
      </c>
      <c r="GS31">
        <v>0</v>
      </c>
      <c r="GT31">
        <v>28.0639</v>
      </c>
      <c r="GU31">
        <v>999.9</v>
      </c>
      <c r="GV31">
        <v>56.1</v>
      </c>
      <c r="GW31">
        <v>32.200000000000003</v>
      </c>
      <c r="GX31">
        <v>27.197399999999998</v>
      </c>
      <c r="GY31">
        <v>61.4178</v>
      </c>
      <c r="GZ31">
        <v>35.024000000000001</v>
      </c>
      <c r="HA31">
        <v>1</v>
      </c>
      <c r="HB31">
        <v>4.7012199999999997E-2</v>
      </c>
      <c r="HC31">
        <v>-1.07639</v>
      </c>
      <c r="HD31">
        <v>20.321000000000002</v>
      </c>
      <c r="HE31">
        <v>5.2119</v>
      </c>
      <c r="HF31">
        <v>11.866199999999999</v>
      </c>
      <c r="HG31">
        <v>4.9854000000000003</v>
      </c>
      <c r="HH31">
        <v>3.2839999999999998</v>
      </c>
      <c r="HI31">
        <v>9999</v>
      </c>
      <c r="HJ31">
        <v>9999</v>
      </c>
      <c r="HK31">
        <v>9999</v>
      </c>
      <c r="HL31">
        <v>999.9</v>
      </c>
      <c r="HM31">
        <v>1.8545499999999999</v>
      </c>
      <c r="HN31">
        <v>1.8607100000000001</v>
      </c>
      <c r="HO31">
        <v>1.8582000000000001</v>
      </c>
      <c r="HP31">
        <v>1.85944</v>
      </c>
      <c r="HQ31">
        <v>1.8587</v>
      </c>
      <c r="HR31">
        <v>1.85924</v>
      </c>
      <c r="HS31">
        <v>1.85765</v>
      </c>
      <c r="HT31">
        <v>1.8609899999999999</v>
      </c>
      <c r="HU31">
        <v>5</v>
      </c>
      <c r="HV31">
        <v>0</v>
      </c>
      <c r="HW31">
        <v>0</v>
      </c>
      <c r="HX31">
        <v>0</v>
      </c>
      <c r="HY31" t="s">
        <v>423</v>
      </c>
      <c r="HZ31" t="s">
        <v>424</v>
      </c>
      <c r="IA31" t="s">
        <v>425</v>
      </c>
      <c r="IB31" t="s">
        <v>425</v>
      </c>
      <c r="IC31" t="s">
        <v>425</v>
      </c>
      <c r="ID31" t="s">
        <v>425</v>
      </c>
      <c r="IE31">
        <v>0</v>
      </c>
      <c r="IF31">
        <v>100</v>
      </c>
      <c r="IG31">
        <v>100</v>
      </c>
      <c r="IH31">
        <v>-0.38600000000000001</v>
      </c>
      <c r="II31">
        <v>-0.26860000000000001</v>
      </c>
      <c r="IJ31">
        <v>-0.385904761904726</v>
      </c>
      <c r="IK31">
        <v>0</v>
      </c>
      <c r="IL31">
        <v>0</v>
      </c>
      <c r="IM31">
        <v>0</v>
      </c>
      <c r="IN31">
        <v>-0.2686047619047649</v>
      </c>
      <c r="IO31">
        <v>0</v>
      </c>
      <c r="IP31">
        <v>0</v>
      </c>
      <c r="IQ31">
        <v>0</v>
      </c>
      <c r="IR31">
        <v>-1</v>
      </c>
      <c r="IS31">
        <v>-1</v>
      </c>
      <c r="IT31">
        <v>-1</v>
      </c>
      <c r="IU31">
        <v>-1</v>
      </c>
      <c r="IV31">
        <v>0.7</v>
      </c>
      <c r="IW31">
        <v>0.6</v>
      </c>
      <c r="IX31">
        <v>1.00342</v>
      </c>
      <c r="IY31">
        <v>2.4560499999999998</v>
      </c>
      <c r="IZ31">
        <v>1.49414</v>
      </c>
      <c r="JA31">
        <v>2.2949199999999998</v>
      </c>
      <c r="JB31">
        <v>1.54419</v>
      </c>
      <c r="JC31">
        <v>2.4462899999999999</v>
      </c>
      <c r="JD31">
        <v>35.151600000000002</v>
      </c>
      <c r="JE31">
        <v>15.900700000000001</v>
      </c>
      <c r="JF31">
        <v>18</v>
      </c>
      <c r="JG31">
        <v>534.63900000000001</v>
      </c>
      <c r="JH31">
        <v>498.21</v>
      </c>
      <c r="JI31">
        <v>28.818300000000001</v>
      </c>
      <c r="JJ31">
        <v>27.932200000000002</v>
      </c>
      <c r="JK31">
        <v>30.000399999999999</v>
      </c>
      <c r="JL31">
        <v>27.9437</v>
      </c>
      <c r="JM31">
        <v>27.913699999999999</v>
      </c>
      <c r="JN31">
        <v>20.163</v>
      </c>
      <c r="JO31">
        <v>17.765699999999999</v>
      </c>
      <c r="JP31">
        <v>100</v>
      </c>
      <c r="JQ31">
        <v>28.8264</v>
      </c>
      <c r="JR31">
        <v>400</v>
      </c>
      <c r="JS31">
        <v>24.752300000000002</v>
      </c>
      <c r="JT31">
        <v>98.875600000000006</v>
      </c>
      <c r="JU31">
        <v>97.269400000000005</v>
      </c>
    </row>
    <row r="32" spans="1:281" x14ac:dyDescent="0.25">
      <c r="A32">
        <v>16</v>
      </c>
      <c r="B32">
        <v>1693499106.0999999</v>
      </c>
      <c r="C32">
        <v>4970.0999999046326</v>
      </c>
      <c r="D32" t="s">
        <v>499</v>
      </c>
      <c r="E32" t="s">
        <v>500</v>
      </c>
      <c r="F32" t="s">
        <v>414</v>
      </c>
      <c r="G32" t="s">
        <v>494</v>
      </c>
      <c r="H32" t="s">
        <v>495</v>
      </c>
      <c r="I32" t="s">
        <v>31</v>
      </c>
      <c r="J32">
        <v>1693499106.0999999</v>
      </c>
      <c r="K32">
        <f t="shared" si="0"/>
        <v>3.6076012607570923E-3</v>
      </c>
      <c r="L32">
        <f t="shared" si="1"/>
        <v>3.6076012607570922</v>
      </c>
      <c r="M32">
        <f t="shared" si="2"/>
        <v>29.289618965481587</v>
      </c>
      <c r="N32">
        <f t="shared" si="3"/>
        <v>263.745</v>
      </c>
      <c r="O32">
        <f t="shared" si="4"/>
        <v>73.719201778099944</v>
      </c>
      <c r="P32">
        <f t="shared" si="5"/>
        <v>7.3507368914598556</v>
      </c>
      <c r="Q32">
        <f t="shared" si="6"/>
        <v>26.298712610505</v>
      </c>
      <c r="R32">
        <f t="shared" si="7"/>
        <v>0.26244272584408418</v>
      </c>
      <c r="S32">
        <f t="shared" si="8"/>
        <v>2.9271142280181701</v>
      </c>
      <c r="T32">
        <f t="shared" si="9"/>
        <v>0.25003599337808474</v>
      </c>
      <c r="U32">
        <f t="shared" si="10"/>
        <v>0.15733830556241493</v>
      </c>
      <c r="V32">
        <f t="shared" si="11"/>
        <v>344.3705865008269</v>
      </c>
      <c r="W32">
        <f t="shared" si="12"/>
        <v>31.645553790256486</v>
      </c>
      <c r="X32">
        <f t="shared" si="13"/>
        <v>29.957999999999998</v>
      </c>
      <c r="Y32">
        <f t="shared" si="14"/>
        <v>4.2501824674279041</v>
      </c>
      <c r="Z32">
        <f t="shared" si="15"/>
        <v>65.091694491315337</v>
      </c>
      <c r="AA32">
        <f t="shared" si="16"/>
        <v>2.8628099803793998</v>
      </c>
      <c r="AB32">
        <f t="shared" si="17"/>
        <v>4.3981186889540282</v>
      </c>
      <c r="AC32">
        <f t="shared" si="18"/>
        <v>1.3873724870485042</v>
      </c>
      <c r="AD32">
        <f t="shared" si="19"/>
        <v>-159.09521559938779</v>
      </c>
      <c r="AE32">
        <f t="shared" si="20"/>
        <v>94.178968293314711</v>
      </c>
      <c r="AF32">
        <f t="shared" si="21"/>
        <v>7.1722564779843445</v>
      </c>
      <c r="AG32">
        <f t="shared" si="22"/>
        <v>286.62659567273818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52180.066815819177</v>
      </c>
      <c r="AM32" t="s">
        <v>417</v>
      </c>
      <c r="AN32">
        <v>10366.9</v>
      </c>
      <c r="AO32">
        <v>993.59653846153856</v>
      </c>
      <c r="AP32">
        <v>3431.87</v>
      </c>
      <c r="AQ32">
        <f t="shared" si="26"/>
        <v>0.71047955241266758</v>
      </c>
      <c r="AR32">
        <v>-3.9894345373445681</v>
      </c>
      <c r="AS32" t="s">
        <v>501</v>
      </c>
      <c r="AT32">
        <v>10301</v>
      </c>
      <c r="AU32">
        <v>768.27307692307681</v>
      </c>
      <c r="AV32">
        <v>1002.366843085204</v>
      </c>
      <c r="AW32">
        <f t="shared" si="27"/>
        <v>0.23354101123457505</v>
      </c>
      <c r="AX32">
        <v>0.5</v>
      </c>
      <c r="AY32">
        <f t="shared" si="28"/>
        <v>1513.1852932504132</v>
      </c>
      <c r="AZ32">
        <f t="shared" si="29"/>
        <v>29.289618965481587</v>
      </c>
      <c r="BA32">
        <f t="shared" si="30"/>
        <v>176.69541178549426</v>
      </c>
      <c r="BB32">
        <f t="shared" si="31"/>
        <v>2.19927154005976E-2</v>
      </c>
      <c r="BC32">
        <f t="shared" si="32"/>
        <v>2.4237664819767799</v>
      </c>
      <c r="BD32">
        <f t="shared" si="33"/>
        <v>583.87438885016502</v>
      </c>
      <c r="BE32" t="s">
        <v>502</v>
      </c>
      <c r="BF32">
        <v>556.36</v>
      </c>
      <c r="BG32">
        <f t="shared" si="34"/>
        <v>556.36</v>
      </c>
      <c r="BH32">
        <f t="shared" si="35"/>
        <v>0.44495370747942042</v>
      </c>
      <c r="BI32">
        <f t="shared" si="36"/>
        <v>0.52486586201863838</v>
      </c>
      <c r="BJ32">
        <f t="shared" si="37"/>
        <v>0.84489469934543648</v>
      </c>
      <c r="BK32">
        <f t="shared" si="38"/>
        <v>26.691634579083868</v>
      </c>
      <c r="BL32">
        <f t="shared" si="39"/>
        <v>0.9964030676780069</v>
      </c>
      <c r="BM32">
        <f t="shared" si="40"/>
        <v>0.38009189670189042</v>
      </c>
      <c r="BN32">
        <f t="shared" si="41"/>
        <v>0.61990810329810953</v>
      </c>
      <c r="BO32">
        <v>16736</v>
      </c>
      <c r="BP32">
        <v>290.00000000000011</v>
      </c>
      <c r="BQ32">
        <v>942.34</v>
      </c>
      <c r="BR32">
        <v>175</v>
      </c>
      <c r="BS32">
        <v>10301</v>
      </c>
      <c r="BT32">
        <v>939.71</v>
      </c>
      <c r="BU32">
        <v>2.63</v>
      </c>
      <c r="BV32">
        <v>300.00000000000011</v>
      </c>
      <c r="BW32">
        <v>38.4</v>
      </c>
      <c r="BX32">
        <v>1002.366843085204</v>
      </c>
      <c r="BY32">
        <v>1.457244635645252</v>
      </c>
      <c r="BZ32">
        <v>-64.545606315271996</v>
      </c>
      <c r="CA32">
        <v>1.227919944076534</v>
      </c>
      <c r="CB32">
        <v>0.9899680365530743</v>
      </c>
      <c r="CC32">
        <v>-1.1214073637374859E-2</v>
      </c>
      <c r="CD32">
        <v>289.99999999999989</v>
      </c>
      <c r="CE32">
        <v>936.62</v>
      </c>
      <c r="CF32">
        <v>695</v>
      </c>
      <c r="CG32">
        <v>10272.6</v>
      </c>
      <c r="CH32">
        <v>939.53</v>
      </c>
      <c r="CI32">
        <v>-2.91</v>
      </c>
      <c r="CW32">
        <f t="shared" si="42"/>
        <v>1800</v>
      </c>
      <c r="CX32">
        <f t="shared" si="43"/>
        <v>1513.1852932504132</v>
      </c>
      <c r="CY32">
        <f t="shared" si="44"/>
        <v>0.84065849625022959</v>
      </c>
      <c r="CZ32">
        <f t="shared" si="45"/>
        <v>0.19131699250045939</v>
      </c>
      <c r="DA32">
        <v>6</v>
      </c>
      <c r="DB32">
        <v>0.5</v>
      </c>
      <c r="DC32" t="s">
        <v>420</v>
      </c>
      <c r="DD32">
        <v>2</v>
      </c>
      <c r="DE32">
        <v>1693499106.0999999</v>
      </c>
      <c r="DF32">
        <v>263.745</v>
      </c>
      <c r="DG32">
        <v>300.00299999999999</v>
      </c>
      <c r="DH32">
        <v>28.710599999999999</v>
      </c>
      <c r="DI32">
        <v>24.509399999999999</v>
      </c>
      <c r="DJ32">
        <v>264.35399999999998</v>
      </c>
      <c r="DK32">
        <v>28.9862</v>
      </c>
      <c r="DL32">
        <v>500.43200000000002</v>
      </c>
      <c r="DM32">
        <v>99.612200000000001</v>
      </c>
      <c r="DN32">
        <v>0.100449</v>
      </c>
      <c r="DO32">
        <v>30.5548</v>
      </c>
      <c r="DP32">
        <v>29.957999999999998</v>
      </c>
      <c r="DQ32">
        <v>999.9</v>
      </c>
      <c r="DR32">
        <v>0</v>
      </c>
      <c r="DS32">
        <v>0</v>
      </c>
      <c r="DT32">
        <v>10025</v>
      </c>
      <c r="DU32">
        <v>0</v>
      </c>
      <c r="DV32">
        <v>1680.61</v>
      </c>
      <c r="DW32">
        <v>-36.258600000000001</v>
      </c>
      <c r="DX32">
        <v>271.541</v>
      </c>
      <c r="DY32">
        <v>307.541</v>
      </c>
      <c r="DZ32">
        <v>4.2011200000000004</v>
      </c>
      <c r="EA32">
        <v>300.00299999999999</v>
      </c>
      <c r="EB32">
        <v>24.509399999999999</v>
      </c>
      <c r="EC32">
        <v>2.8599199999999998</v>
      </c>
      <c r="ED32">
        <v>2.4414400000000001</v>
      </c>
      <c r="EE32">
        <v>23.234100000000002</v>
      </c>
      <c r="EF32">
        <v>20.641300000000001</v>
      </c>
      <c r="EG32">
        <v>1800</v>
      </c>
      <c r="EH32">
        <v>0.97799199999999997</v>
      </c>
      <c r="EI32">
        <v>2.20085E-2</v>
      </c>
      <c r="EJ32">
        <v>0</v>
      </c>
      <c r="EK32">
        <v>768.64099999999996</v>
      </c>
      <c r="EL32">
        <v>5.0002500000000003</v>
      </c>
      <c r="EM32">
        <v>22603.4</v>
      </c>
      <c r="EN32">
        <v>14822.1</v>
      </c>
      <c r="EO32">
        <v>46.936999999999998</v>
      </c>
      <c r="EP32">
        <v>48.686999999999998</v>
      </c>
      <c r="EQ32">
        <v>47.936999999999998</v>
      </c>
      <c r="ER32">
        <v>46.811999999999998</v>
      </c>
      <c r="ES32">
        <v>48.061999999999998</v>
      </c>
      <c r="ET32">
        <v>1755.5</v>
      </c>
      <c r="EU32">
        <v>39.51</v>
      </c>
      <c r="EV32">
        <v>0</v>
      </c>
      <c r="EW32">
        <v>114.7999999523163</v>
      </c>
      <c r="EX32">
        <v>0</v>
      </c>
      <c r="EY32">
        <v>768.27307692307681</v>
      </c>
      <c r="EZ32">
        <v>0.3963076954573681</v>
      </c>
      <c r="FA32">
        <v>744.21538521327216</v>
      </c>
      <c r="FB32">
        <v>22535.288461538461</v>
      </c>
      <c r="FC32">
        <v>15</v>
      </c>
      <c r="FD32">
        <v>1693499073.0999999</v>
      </c>
      <c r="FE32" t="s">
        <v>503</v>
      </c>
      <c r="FF32">
        <v>1693499073.0999999</v>
      </c>
      <c r="FG32">
        <v>1693499071.0999999</v>
      </c>
      <c r="FH32">
        <v>20</v>
      </c>
      <c r="FI32">
        <v>-0.223</v>
      </c>
      <c r="FJ32">
        <v>-7.0000000000000001E-3</v>
      </c>
      <c r="FK32">
        <v>-0.60899999999999999</v>
      </c>
      <c r="FL32">
        <v>-0.27600000000000002</v>
      </c>
      <c r="FM32">
        <v>300</v>
      </c>
      <c r="FN32">
        <v>24</v>
      </c>
      <c r="FO32">
        <v>0.15</v>
      </c>
      <c r="FP32">
        <v>0.06</v>
      </c>
      <c r="FQ32">
        <v>29.303258250314059</v>
      </c>
      <c r="FR32">
        <v>0.27462519973794519</v>
      </c>
      <c r="FS32">
        <v>8.48776980620949E-2</v>
      </c>
      <c r="FT32">
        <v>1</v>
      </c>
      <c r="FU32">
        <v>0.26466254480770007</v>
      </c>
      <c r="FV32">
        <v>4.2191794860970341E-2</v>
      </c>
      <c r="FW32">
        <v>5.6437587210139781E-3</v>
      </c>
      <c r="FX32">
        <v>1</v>
      </c>
      <c r="FY32">
        <v>2</v>
      </c>
      <c r="FZ32">
        <v>2</v>
      </c>
      <c r="GA32" t="s">
        <v>422</v>
      </c>
      <c r="GB32">
        <v>2.9245299999999999</v>
      </c>
      <c r="GC32">
        <v>2.8305600000000002</v>
      </c>
      <c r="GD32">
        <v>6.5804500000000002E-2</v>
      </c>
      <c r="GE32">
        <v>7.1632699999999994E-2</v>
      </c>
      <c r="GF32">
        <v>0.137493</v>
      </c>
      <c r="GG32">
        <v>0.11772299999999999</v>
      </c>
      <c r="GH32">
        <v>24481.4</v>
      </c>
      <c r="GI32">
        <v>29698</v>
      </c>
      <c r="GJ32">
        <v>23580</v>
      </c>
      <c r="GK32">
        <v>29267.599999999999</v>
      </c>
      <c r="GL32">
        <v>27707.9</v>
      </c>
      <c r="GM32">
        <v>36496.800000000003</v>
      </c>
      <c r="GN32">
        <v>33341.5</v>
      </c>
      <c r="GO32">
        <v>43179.8</v>
      </c>
      <c r="GP32">
        <v>2.0587</v>
      </c>
      <c r="GQ32">
        <v>1.9473</v>
      </c>
      <c r="GR32">
        <v>0.12973000000000001</v>
      </c>
      <c r="GS32">
        <v>0</v>
      </c>
      <c r="GT32">
        <v>27.843</v>
      </c>
      <c r="GU32">
        <v>999.9</v>
      </c>
      <c r="GV32">
        <v>56.4</v>
      </c>
      <c r="GW32">
        <v>32.1</v>
      </c>
      <c r="GX32">
        <v>27.1904</v>
      </c>
      <c r="GY32">
        <v>61.147799999999997</v>
      </c>
      <c r="GZ32">
        <v>34.475200000000001</v>
      </c>
      <c r="HA32">
        <v>1</v>
      </c>
      <c r="HB32">
        <v>4.6219499999999997E-2</v>
      </c>
      <c r="HC32">
        <v>-1.12574</v>
      </c>
      <c r="HD32">
        <v>20.321200000000001</v>
      </c>
      <c r="HE32">
        <v>5.2112999999999996</v>
      </c>
      <c r="HF32">
        <v>11.866199999999999</v>
      </c>
      <c r="HG32">
        <v>4.9851999999999999</v>
      </c>
      <c r="HH32">
        <v>3.2837000000000001</v>
      </c>
      <c r="HI32">
        <v>9999</v>
      </c>
      <c r="HJ32">
        <v>9999</v>
      </c>
      <c r="HK32">
        <v>9999</v>
      </c>
      <c r="HL32">
        <v>999.9</v>
      </c>
      <c r="HM32">
        <v>1.85463</v>
      </c>
      <c r="HN32">
        <v>1.8607499999999999</v>
      </c>
      <c r="HO32">
        <v>1.85822</v>
      </c>
      <c r="HP32">
        <v>1.85944</v>
      </c>
      <c r="HQ32">
        <v>1.8587800000000001</v>
      </c>
      <c r="HR32">
        <v>1.85928</v>
      </c>
      <c r="HS32">
        <v>1.8577399999999999</v>
      </c>
      <c r="HT32">
        <v>1.8610800000000001</v>
      </c>
      <c r="HU32">
        <v>5</v>
      </c>
      <c r="HV32">
        <v>0</v>
      </c>
      <c r="HW32">
        <v>0</v>
      </c>
      <c r="HX32">
        <v>0</v>
      </c>
      <c r="HY32" t="s">
        <v>423</v>
      </c>
      <c r="HZ32" t="s">
        <v>424</v>
      </c>
      <c r="IA32" t="s">
        <v>425</v>
      </c>
      <c r="IB32" t="s">
        <v>425</v>
      </c>
      <c r="IC32" t="s">
        <v>425</v>
      </c>
      <c r="ID32" t="s">
        <v>425</v>
      </c>
      <c r="IE32">
        <v>0</v>
      </c>
      <c r="IF32">
        <v>100</v>
      </c>
      <c r="IG32">
        <v>100</v>
      </c>
      <c r="IH32">
        <v>-0.60899999999999999</v>
      </c>
      <c r="II32">
        <v>-0.27560000000000001</v>
      </c>
      <c r="IJ32">
        <v>-0.60910000000001219</v>
      </c>
      <c r="IK32">
        <v>0</v>
      </c>
      <c r="IL32">
        <v>0</v>
      </c>
      <c r="IM32">
        <v>0</v>
      </c>
      <c r="IN32">
        <v>-0.27563999999999922</v>
      </c>
      <c r="IO32">
        <v>0</v>
      </c>
      <c r="IP32">
        <v>0</v>
      </c>
      <c r="IQ32">
        <v>0</v>
      </c>
      <c r="IR32">
        <v>-1</v>
      </c>
      <c r="IS32">
        <v>-1</v>
      </c>
      <c r="IT32">
        <v>-1</v>
      </c>
      <c r="IU32">
        <v>-1</v>
      </c>
      <c r="IV32">
        <v>0.6</v>
      </c>
      <c r="IW32">
        <v>0.6</v>
      </c>
      <c r="IX32">
        <v>0.80200199999999999</v>
      </c>
      <c r="IY32">
        <v>2.4426299999999999</v>
      </c>
      <c r="IZ32">
        <v>1.49414</v>
      </c>
      <c r="JA32">
        <v>2.2949199999999998</v>
      </c>
      <c r="JB32">
        <v>1.54419</v>
      </c>
      <c r="JC32">
        <v>2.36572</v>
      </c>
      <c r="JD32">
        <v>35.013399999999997</v>
      </c>
      <c r="JE32">
        <v>15.8832</v>
      </c>
      <c r="JF32">
        <v>18</v>
      </c>
      <c r="JG32">
        <v>534.41700000000003</v>
      </c>
      <c r="JH32">
        <v>498.33300000000003</v>
      </c>
      <c r="JI32">
        <v>29.505700000000001</v>
      </c>
      <c r="JJ32">
        <v>27.9084</v>
      </c>
      <c r="JK32">
        <v>29.9998</v>
      </c>
      <c r="JL32">
        <v>27.941299999999998</v>
      </c>
      <c r="JM32">
        <v>27.9114</v>
      </c>
      <c r="JN32">
        <v>16.1235</v>
      </c>
      <c r="JO32">
        <v>18.716100000000001</v>
      </c>
      <c r="JP32">
        <v>100</v>
      </c>
      <c r="JQ32">
        <v>29.580400000000001</v>
      </c>
      <c r="JR32">
        <v>300</v>
      </c>
      <c r="JS32">
        <v>24.600899999999999</v>
      </c>
      <c r="JT32">
        <v>98.886200000000002</v>
      </c>
      <c r="JU32">
        <v>97.280299999999997</v>
      </c>
    </row>
    <row r="33" spans="1:281" x14ac:dyDescent="0.25">
      <c r="A33">
        <v>17</v>
      </c>
      <c r="B33">
        <v>1693499212.0999999</v>
      </c>
      <c r="C33">
        <v>5076.0999999046326</v>
      </c>
      <c r="D33" t="s">
        <v>504</v>
      </c>
      <c r="E33" t="s">
        <v>505</v>
      </c>
      <c r="F33" t="s">
        <v>414</v>
      </c>
      <c r="G33" t="s">
        <v>494</v>
      </c>
      <c r="H33" t="s">
        <v>495</v>
      </c>
      <c r="I33" t="s">
        <v>31</v>
      </c>
      <c r="J33">
        <v>1693499212.0999999</v>
      </c>
      <c r="K33">
        <f t="shared" si="0"/>
        <v>3.828838080315923E-3</v>
      </c>
      <c r="L33">
        <f t="shared" si="1"/>
        <v>3.828838080315923</v>
      </c>
      <c r="M33">
        <f t="shared" si="2"/>
        <v>20.830722285884182</v>
      </c>
      <c r="N33">
        <f t="shared" si="3"/>
        <v>174.13499999999999</v>
      </c>
      <c r="O33">
        <f t="shared" si="4"/>
        <v>47.216153143564675</v>
      </c>
      <c r="P33">
        <f t="shared" si="5"/>
        <v>4.7078425985652546</v>
      </c>
      <c r="Q33">
        <f t="shared" si="6"/>
        <v>17.362705691174998</v>
      </c>
      <c r="R33">
        <f t="shared" si="7"/>
        <v>0.28014023307542896</v>
      </c>
      <c r="S33">
        <f t="shared" si="8"/>
        <v>2.9173990441829813</v>
      </c>
      <c r="T33">
        <f t="shared" si="9"/>
        <v>0.2660076967773502</v>
      </c>
      <c r="U33">
        <f t="shared" si="10"/>
        <v>0.16746512968294788</v>
      </c>
      <c r="V33">
        <f t="shared" si="11"/>
        <v>344.38209967101284</v>
      </c>
      <c r="W33">
        <f t="shared" si="12"/>
        <v>31.753660645038341</v>
      </c>
      <c r="X33">
        <f t="shared" si="13"/>
        <v>30.057400000000001</v>
      </c>
      <c r="Y33">
        <f t="shared" si="14"/>
        <v>4.2745167103278758</v>
      </c>
      <c r="Z33">
        <f t="shared" si="15"/>
        <v>65.123214142917746</v>
      </c>
      <c r="AA33">
        <f t="shared" si="16"/>
        <v>2.8909126826785001</v>
      </c>
      <c r="AB33">
        <f t="shared" si="17"/>
        <v>4.4391431238854038</v>
      </c>
      <c r="AC33">
        <f t="shared" si="18"/>
        <v>1.3836040276493757</v>
      </c>
      <c r="AD33">
        <f t="shared" si="19"/>
        <v>-168.85175934193219</v>
      </c>
      <c r="AE33">
        <f t="shared" si="20"/>
        <v>103.77520283474085</v>
      </c>
      <c r="AF33">
        <f t="shared" si="21"/>
        <v>7.9396556446298661</v>
      </c>
      <c r="AG33">
        <f t="shared" si="22"/>
        <v>287.24519880845133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51875.398886799856</v>
      </c>
      <c r="AM33" t="s">
        <v>417</v>
      </c>
      <c r="AN33">
        <v>10366.9</v>
      </c>
      <c r="AO33">
        <v>993.59653846153856</v>
      </c>
      <c r="AP33">
        <v>3431.87</v>
      </c>
      <c r="AQ33">
        <f t="shared" si="26"/>
        <v>0.71047955241266758</v>
      </c>
      <c r="AR33">
        <v>-3.9894345373445681</v>
      </c>
      <c r="AS33" t="s">
        <v>506</v>
      </c>
      <c r="AT33">
        <v>10301.299999999999</v>
      </c>
      <c r="AU33">
        <v>767.17224000000022</v>
      </c>
      <c r="AV33">
        <v>945.30357597950206</v>
      </c>
      <c r="AW33">
        <f t="shared" si="27"/>
        <v>0.18843823350073141</v>
      </c>
      <c r="AX33">
        <v>0.5</v>
      </c>
      <c r="AY33">
        <f t="shared" si="28"/>
        <v>1513.2431998355062</v>
      </c>
      <c r="AZ33">
        <f t="shared" si="29"/>
        <v>20.830722285884182</v>
      </c>
      <c r="BA33">
        <f t="shared" si="30"/>
        <v>142.57643771699853</v>
      </c>
      <c r="BB33">
        <f t="shared" si="31"/>
        <v>1.640196157889675E-2</v>
      </c>
      <c r="BC33">
        <f t="shared" si="32"/>
        <v>2.6304422062975634</v>
      </c>
      <c r="BD33">
        <f t="shared" si="33"/>
        <v>564.04136118285282</v>
      </c>
      <c r="BE33" t="s">
        <v>507</v>
      </c>
      <c r="BF33">
        <v>547.37</v>
      </c>
      <c r="BG33">
        <f t="shared" si="34"/>
        <v>547.37</v>
      </c>
      <c r="BH33">
        <f t="shared" si="35"/>
        <v>0.42095850062470386</v>
      </c>
      <c r="BI33">
        <f t="shared" si="36"/>
        <v>0.44764087961423382</v>
      </c>
      <c r="BJ33">
        <f t="shared" si="37"/>
        <v>0.86204417542745637</v>
      </c>
      <c r="BK33">
        <f t="shared" si="38"/>
        <v>-3.6885568170675227</v>
      </c>
      <c r="BL33">
        <f t="shared" si="39"/>
        <v>1.0198062125695964</v>
      </c>
      <c r="BM33">
        <f t="shared" si="40"/>
        <v>0.31938745368894356</v>
      </c>
      <c r="BN33">
        <f t="shared" si="41"/>
        <v>0.68061254631105639</v>
      </c>
      <c r="BO33">
        <v>16738</v>
      </c>
      <c r="BP33">
        <v>290.00000000000011</v>
      </c>
      <c r="BQ33">
        <v>898.13</v>
      </c>
      <c r="BR33">
        <v>175</v>
      </c>
      <c r="BS33">
        <v>10301.299999999999</v>
      </c>
      <c r="BT33">
        <v>895.68</v>
      </c>
      <c r="BU33">
        <v>2.4500000000000002</v>
      </c>
      <c r="BV33">
        <v>300.00000000000011</v>
      </c>
      <c r="BW33">
        <v>38.4</v>
      </c>
      <c r="BX33">
        <v>945.30357597950206</v>
      </c>
      <c r="BY33">
        <v>1.2475065068936231</v>
      </c>
      <c r="BZ33">
        <v>-51.121197748996543</v>
      </c>
      <c r="CA33">
        <v>1.0512294948638821</v>
      </c>
      <c r="CB33">
        <v>0.98829856218862255</v>
      </c>
      <c r="CC33">
        <v>-1.121427786429365E-2</v>
      </c>
      <c r="CD33">
        <v>289.99999999999989</v>
      </c>
      <c r="CE33">
        <v>893.34</v>
      </c>
      <c r="CF33">
        <v>695</v>
      </c>
      <c r="CG33">
        <v>10273</v>
      </c>
      <c r="CH33">
        <v>895.54</v>
      </c>
      <c r="CI33">
        <v>-2.2000000000000002</v>
      </c>
      <c r="CW33">
        <f t="shared" si="42"/>
        <v>1800.07</v>
      </c>
      <c r="CX33">
        <f t="shared" si="43"/>
        <v>1513.2431998355062</v>
      </c>
      <c r="CY33">
        <f t="shared" si="44"/>
        <v>0.84065797432072431</v>
      </c>
      <c r="CZ33">
        <f t="shared" si="45"/>
        <v>0.19131594864144885</v>
      </c>
      <c r="DA33">
        <v>6</v>
      </c>
      <c r="DB33">
        <v>0.5</v>
      </c>
      <c r="DC33" t="s">
        <v>420</v>
      </c>
      <c r="DD33">
        <v>2</v>
      </c>
      <c r="DE33">
        <v>1693499212.0999999</v>
      </c>
      <c r="DF33">
        <v>174.13499999999999</v>
      </c>
      <c r="DG33">
        <v>199.93199999999999</v>
      </c>
      <c r="DH33">
        <v>28.9937</v>
      </c>
      <c r="DI33">
        <v>24.532299999999999</v>
      </c>
      <c r="DJ33">
        <v>174.82</v>
      </c>
      <c r="DK33">
        <v>29.2666</v>
      </c>
      <c r="DL33">
        <v>499.99900000000002</v>
      </c>
      <c r="DM33">
        <v>99.607799999999997</v>
      </c>
      <c r="DN33">
        <v>0.100505</v>
      </c>
      <c r="DO33">
        <v>30.717199999999998</v>
      </c>
      <c r="DP33">
        <v>30.057400000000001</v>
      </c>
      <c r="DQ33">
        <v>999.9</v>
      </c>
      <c r="DR33">
        <v>0</v>
      </c>
      <c r="DS33">
        <v>0</v>
      </c>
      <c r="DT33">
        <v>9970</v>
      </c>
      <c r="DU33">
        <v>0</v>
      </c>
      <c r="DV33">
        <v>1674.88</v>
      </c>
      <c r="DW33">
        <v>-25.796299999999999</v>
      </c>
      <c r="DX33">
        <v>179.33500000000001</v>
      </c>
      <c r="DY33">
        <v>204.96</v>
      </c>
      <c r="DZ33">
        <v>4.46136</v>
      </c>
      <c r="EA33">
        <v>199.93199999999999</v>
      </c>
      <c r="EB33">
        <v>24.532299999999999</v>
      </c>
      <c r="EC33">
        <v>2.8879999999999999</v>
      </c>
      <c r="ED33">
        <v>2.4436100000000001</v>
      </c>
      <c r="EE33">
        <v>23.395900000000001</v>
      </c>
      <c r="EF33">
        <v>20.6557</v>
      </c>
      <c r="EG33">
        <v>1800.07</v>
      </c>
      <c r="EH33">
        <v>0.97800699999999996</v>
      </c>
      <c r="EI33">
        <v>2.1992600000000001E-2</v>
      </c>
      <c r="EJ33">
        <v>0</v>
      </c>
      <c r="EK33">
        <v>766.75800000000004</v>
      </c>
      <c r="EL33">
        <v>5.0002500000000003</v>
      </c>
      <c r="EM33">
        <v>22098.400000000001</v>
      </c>
      <c r="EN33">
        <v>14822.7</v>
      </c>
      <c r="EO33">
        <v>46.875</v>
      </c>
      <c r="EP33">
        <v>48.561999999999998</v>
      </c>
      <c r="EQ33">
        <v>47.811999999999998</v>
      </c>
      <c r="ER33">
        <v>46.686999999999998</v>
      </c>
      <c r="ES33">
        <v>48</v>
      </c>
      <c r="ET33">
        <v>1755.59</v>
      </c>
      <c r="EU33">
        <v>39.479999999999997</v>
      </c>
      <c r="EV33">
        <v>0</v>
      </c>
      <c r="EW33">
        <v>103.7999999523163</v>
      </c>
      <c r="EX33">
        <v>0</v>
      </c>
      <c r="EY33">
        <v>767.17224000000022</v>
      </c>
      <c r="EZ33">
        <v>-2.4450769252658922</v>
      </c>
      <c r="FA33">
        <v>-96.338460213057701</v>
      </c>
      <c r="FB33">
        <v>22149.56</v>
      </c>
      <c r="FC33">
        <v>15</v>
      </c>
      <c r="FD33">
        <v>1693499177.5999999</v>
      </c>
      <c r="FE33" t="s">
        <v>508</v>
      </c>
      <c r="FF33">
        <v>1693499170.0999999</v>
      </c>
      <c r="FG33">
        <v>1693499177.5999999</v>
      </c>
      <c r="FH33">
        <v>21</v>
      </c>
      <c r="FI33">
        <v>-7.5999999999999998E-2</v>
      </c>
      <c r="FJ33">
        <v>3.0000000000000001E-3</v>
      </c>
      <c r="FK33">
        <v>-0.68500000000000005</v>
      </c>
      <c r="FL33">
        <v>-0.27300000000000002</v>
      </c>
      <c r="FM33">
        <v>200</v>
      </c>
      <c r="FN33">
        <v>25</v>
      </c>
      <c r="FO33">
        <v>0.15</v>
      </c>
      <c r="FP33">
        <v>0.08</v>
      </c>
      <c r="FQ33">
        <v>20.753893582648619</v>
      </c>
      <c r="FR33">
        <v>0.44179329816034629</v>
      </c>
      <c r="FS33">
        <v>6.3951102612248803E-2</v>
      </c>
      <c r="FT33">
        <v>1</v>
      </c>
      <c r="FU33">
        <v>0.28294362085725988</v>
      </c>
      <c r="FV33">
        <v>4.6464517757763162E-2</v>
      </c>
      <c r="FW33">
        <v>5.8287935617592256E-3</v>
      </c>
      <c r="FX33">
        <v>1</v>
      </c>
      <c r="FY33">
        <v>2</v>
      </c>
      <c r="FZ33">
        <v>2</v>
      </c>
      <c r="GA33" t="s">
        <v>422</v>
      </c>
      <c r="GB33">
        <v>2.9234499999999999</v>
      </c>
      <c r="GC33">
        <v>2.83013</v>
      </c>
      <c r="GD33">
        <v>4.60746E-2</v>
      </c>
      <c r="GE33">
        <v>5.08616E-2</v>
      </c>
      <c r="GF33">
        <v>0.13841000000000001</v>
      </c>
      <c r="GG33">
        <v>0.117798</v>
      </c>
      <c r="GH33">
        <v>25001.1</v>
      </c>
      <c r="GI33">
        <v>30362</v>
      </c>
      <c r="GJ33">
        <v>23582.3</v>
      </c>
      <c r="GK33">
        <v>29267</v>
      </c>
      <c r="GL33">
        <v>27679.3</v>
      </c>
      <c r="GM33">
        <v>36489.9</v>
      </c>
      <c r="GN33">
        <v>33345.699999999997</v>
      </c>
      <c r="GO33">
        <v>43178.5</v>
      </c>
      <c r="GP33">
        <v>2.0590999999999999</v>
      </c>
      <c r="GQ33">
        <v>1.9486000000000001</v>
      </c>
      <c r="GR33">
        <v>0.12958</v>
      </c>
      <c r="GS33">
        <v>0</v>
      </c>
      <c r="GT33">
        <v>27.9452</v>
      </c>
      <c r="GU33">
        <v>999.9</v>
      </c>
      <c r="GV33">
        <v>56.7</v>
      </c>
      <c r="GW33">
        <v>32</v>
      </c>
      <c r="GX33">
        <v>27.179099999999998</v>
      </c>
      <c r="GY33">
        <v>61.317900000000002</v>
      </c>
      <c r="GZ33">
        <v>34.927900000000001</v>
      </c>
      <c r="HA33">
        <v>1</v>
      </c>
      <c r="HB33">
        <v>4.3506099999999999E-2</v>
      </c>
      <c r="HC33">
        <v>-0.52385599999999999</v>
      </c>
      <c r="HD33">
        <v>20.3246</v>
      </c>
      <c r="HE33">
        <v>5.2112999999999996</v>
      </c>
      <c r="HF33">
        <v>11.866199999999999</v>
      </c>
      <c r="HG33">
        <v>4.9855999999999998</v>
      </c>
      <c r="HH33">
        <v>3.2839999999999998</v>
      </c>
      <c r="HI33">
        <v>9999</v>
      </c>
      <c r="HJ33">
        <v>9999</v>
      </c>
      <c r="HK33">
        <v>9999</v>
      </c>
      <c r="HL33">
        <v>999.9</v>
      </c>
      <c r="HM33">
        <v>1.8545700000000001</v>
      </c>
      <c r="HN33">
        <v>1.8607100000000001</v>
      </c>
      <c r="HO33">
        <v>1.85819</v>
      </c>
      <c r="HP33">
        <v>1.8594200000000001</v>
      </c>
      <c r="HQ33">
        <v>1.8587499999999999</v>
      </c>
      <c r="HR33">
        <v>1.85928</v>
      </c>
      <c r="HS33">
        <v>1.8576299999999999</v>
      </c>
      <c r="HT33">
        <v>1.8610199999999999</v>
      </c>
      <c r="HU33">
        <v>5</v>
      </c>
      <c r="HV33">
        <v>0</v>
      </c>
      <c r="HW33">
        <v>0</v>
      </c>
      <c r="HX33">
        <v>0</v>
      </c>
      <c r="HY33" t="s">
        <v>423</v>
      </c>
      <c r="HZ33" t="s">
        <v>424</v>
      </c>
      <c r="IA33" t="s">
        <v>425</v>
      </c>
      <c r="IB33" t="s">
        <v>425</v>
      </c>
      <c r="IC33" t="s">
        <v>425</v>
      </c>
      <c r="ID33" t="s">
        <v>425</v>
      </c>
      <c r="IE33">
        <v>0</v>
      </c>
      <c r="IF33">
        <v>100</v>
      </c>
      <c r="IG33">
        <v>100</v>
      </c>
      <c r="IH33">
        <v>-0.68500000000000005</v>
      </c>
      <c r="II33">
        <v>-0.27289999999999998</v>
      </c>
      <c r="IJ33">
        <v>-0.6846666666666863</v>
      </c>
      <c r="IK33">
        <v>0</v>
      </c>
      <c r="IL33">
        <v>0</v>
      </c>
      <c r="IM33">
        <v>0</v>
      </c>
      <c r="IN33">
        <v>-0.27287500000000259</v>
      </c>
      <c r="IO33">
        <v>0</v>
      </c>
      <c r="IP33">
        <v>0</v>
      </c>
      <c r="IQ33">
        <v>0</v>
      </c>
      <c r="IR33">
        <v>-1</v>
      </c>
      <c r="IS33">
        <v>-1</v>
      </c>
      <c r="IT33">
        <v>-1</v>
      </c>
      <c r="IU33">
        <v>-1</v>
      </c>
      <c r="IV33">
        <v>0.7</v>
      </c>
      <c r="IW33">
        <v>0.6</v>
      </c>
      <c r="IX33">
        <v>0.58960000000000001</v>
      </c>
      <c r="IY33">
        <v>2.4511699999999998</v>
      </c>
      <c r="IZ33">
        <v>1.49414</v>
      </c>
      <c r="JA33">
        <v>2.2949199999999998</v>
      </c>
      <c r="JB33">
        <v>1.54419</v>
      </c>
      <c r="JC33">
        <v>2.4511699999999998</v>
      </c>
      <c r="JD33">
        <v>34.944400000000002</v>
      </c>
      <c r="JE33">
        <v>15.8832</v>
      </c>
      <c r="JF33">
        <v>18</v>
      </c>
      <c r="JG33">
        <v>534.54999999999995</v>
      </c>
      <c r="JH33">
        <v>499.13900000000001</v>
      </c>
      <c r="JI33">
        <v>29.0105</v>
      </c>
      <c r="JJ33">
        <v>27.889500000000002</v>
      </c>
      <c r="JK33">
        <v>30.0001</v>
      </c>
      <c r="JL33">
        <v>27.927199999999999</v>
      </c>
      <c r="JM33">
        <v>27.897300000000001</v>
      </c>
      <c r="JN33">
        <v>11.8842</v>
      </c>
      <c r="JO33">
        <v>18.189299999999999</v>
      </c>
      <c r="JP33">
        <v>100</v>
      </c>
      <c r="JQ33">
        <v>29.028199999999998</v>
      </c>
      <c r="JR33">
        <v>200</v>
      </c>
      <c r="JS33">
        <v>24.651900000000001</v>
      </c>
      <c r="JT33">
        <v>98.897599999999997</v>
      </c>
      <c r="JU33">
        <v>97.277799999999999</v>
      </c>
    </row>
    <row r="34" spans="1:281" x14ac:dyDescent="0.25">
      <c r="A34">
        <v>18</v>
      </c>
      <c r="B34">
        <v>1693499350.0999999</v>
      </c>
      <c r="C34">
        <v>5214.0999999046326</v>
      </c>
      <c r="D34" t="s">
        <v>509</v>
      </c>
      <c r="E34" t="s">
        <v>510</v>
      </c>
      <c r="F34" t="s">
        <v>414</v>
      </c>
      <c r="G34" t="s">
        <v>494</v>
      </c>
      <c r="H34" t="s">
        <v>495</v>
      </c>
      <c r="I34" t="s">
        <v>31</v>
      </c>
      <c r="J34">
        <v>1693499350.0999999</v>
      </c>
      <c r="K34">
        <f t="shared" si="0"/>
        <v>4.3727429465777092E-3</v>
      </c>
      <c r="L34">
        <f t="shared" si="1"/>
        <v>4.3727429465777092</v>
      </c>
      <c r="M34">
        <f t="shared" si="2"/>
        <v>13.727751587954939</v>
      </c>
      <c r="N34">
        <f t="shared" si="3"/>
        <v>102.946</v>
      </c>
      <c r="O34">
        <f t="shared" si="4"/>
        <v>30.522620392687504</v>
      </c>
      <c r="P34">
        <f t="shared" si="5"/>
        <v>3.0434575971239712</v>
      </c>
      <c r="Q34">
        <f t="shared" si="6"/>
        <v>10.264904577740198</v>
      </c>
      <c r="R34">
        <f t="shared" si="7"/>
        <v>0.32602450939179245</v>
      </c>
      <c r="S34">
        <f t="shared" si="8"/>
        <v>2.9349695597325258</v>
      </c>
      <c r="T34">
        <f t="shared" si="9"/>
        <v>0.30715814916845802</v>
      </c>
      <c r="U34">
        <f t="shared" si="10"/>
        <v>0.19357787013221892</v>
      </c>
      <c r="V34">
        <f t="shared" si="11"/>
        <v>344.38779967101834</v>
      </c>
      <c r="W34">
        <f t="shared" si="12"/>
        <v>31.561712918020429</v>
      </c>
      <c r="X34">
        <f t="shared" si="13"/>
        <v>30.0047</v>
      </c>
      <c r="Y34">
        <f t="shared" si="14"/>
        <v>4.2616000764260846</v>
      </c>
      <c r="Z34">
        <f t="shared" si="15"/>
        <v>65.340002347553792</v>
      </c>
      <c r="AA34">
        <f t="shared" si="16"/>
        <v>2.8930207577574296</v>
      </c>
      <c r="AB34">
        <f t="shared" si="17"/>
        <v>4.4276410373678825</v>
      </c>
      <c r="AC34">
        <f t="shared" si="18"/>
        <v>1.368579318668655</v>
      </c>
      <c r="AD34">
        <f t="shared" si="19"/>
        <v>-192.83796394407699</v>
      </c>
      <c r="AE34">
        <f t="shared" si="20"/>
        <v>105.5552856370587</v>
      </c>
      <c r="AF34">
        <f t="shared" si="21"/>
        <v>8.02360698427802</v>
      </c>
      <c r="AG34">
        <f t="shared" si="22"/>
        <v>265.12872834827812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52384.134282806932</v>
      </c>
      <c r="AM34" t="s">
        <v>417</v>
      </c>
      <c r="AN34">
        <v>10366.9</v>
      </c>
      <c r="AO34">
        <v>993.59653846153856</v>
      </c>
      <c r="AP34">
        <v>3431.87</v>
      </c>
      <c r="AQ34">
        <f t="shared" si="26"/>
        <v>0.71047955241266758</v>
      </c>
      <c r="AR34">
        <v>-3.9894345373445681</v>
      </c>
      <c r="AS34" t="s">
        <v>511</v>
      </c>
      <c r="AT34">
        <v>10307.5</v>
      </c>
      <c r="AU34">
        <v>771.33080000000007</v>
      </c>
      <c r="AV34">
        <v>898.42964024040702</v>
      </c>
      <c r="AW34">
        <f t="shared" si="27"/>
        <v>0.14146777282013656</v>
      </c>
      <c r="AX34">
        <v>0.5</v>
      </c>
      <c r="AY34">
        <f t="shared" si="28"/>
        <v>1513.2683998355092</v>
      </c>
      <c r="AZ34">
        <f t="shared" si="29"/>
        <v>13.727751587954939</v>
      </c>
      <c r="BA34">
        <f t="shared" si="30"/>
        <v>107.0393551019107</v>
      </c>
      <c r="BB34">
        <f t="shared" si="31"/>
        <v>1.1707894070361442E-2</v>
      </c>
      <c r="BC34">
        <f t="shared" si="32"/>
        <v>2.8198539387922246</v>
      </c>
      <c r="BD34">
        <f t="shared" si="33"/>
        <v>547.01255150189161</v>
      </c>
      <c r="BE34" t="s">
        <v>512</v>
      </c>
      <c r="BF34">
        <v>546.63</v>
      </c>
      <c r="BG34">
        <f t="shared" si="34"/>
        <v>546.63</v>
      </c>
      <c r="BH34">
        <f t="shared" si="35"/>
        <v>0.39157172079303892</v>
      </c>
      <c r="BI34">
        <f t="shared" si="36"/>
        <v>0.36128189373233083</v>
      </c>
      <c r="BJ34">
        <f t="shared" si="37"/>
        <v>0.87806919346730017</v>
      </c>
      <c r="BK34">
        <f t="shared" si="38"/>
        <v>-1.3355362275765024</v>
      </c>
      <c r="BL34">
        <f t="shared" si="39"/>
        <v>1.0390304449940921</v>
      </c>
      <c r="BM34">
        <f t="shared" si="40"/>
        <v>0.25603479281639469</v>
      </c>
      <c r="BN34">
        <f t="shared" si="41"/>
        <v>0.74396520718360537</v>
      </c>
      <c r="BO34">
        <v>16740</v>
      </c>
      <c r="BP34">
        <v>290.00000000000011</v>
      </c>
      <c r="BQ34">
        <v>863.21</v>
      </c>
      <c r="BR34">
        <v>135</v>
      </c>
      <c r="BS34">
        <v>10307.5</v>
      </c>
      <c r="BT34">
        <v>861.93</v>
      </c>
      <c r="BU34">
        <v>1.28</v>
      </c>
      <c r="BV34">
        <v>300.00000000000011</v>
      </c>
      <c r="BW34">
        <v>38.4</v>
      </c>
      <c r="BX34">
        <v>898.42964024040702</v>
      </c>
      <c r="BY34">
        <v>1.0208547162711361</v>
      </c>
      <c r="BZ34">
        <v>-37.619524460044786</v>
      </c>
      <c r="CA34">
        <v>0.86024132983640966</v>
      </c>
      <c r="CB34">
        <v>0.98557022329419675</v>
      </c>
      <c r="CC34">
        <v>-1.121414082313683E-2</v>
      </c>
      <c r="CD34">
        <v>289.99999999999989</v>
      </c>
      <c r="CE34">
        <v>859.73</v>
      </c>
      <c r="CF34">
        <v>715</v>
      </c>
      <c r="CG34">
        <v>10271.700000000001</v>
      </c>
      <c r="CH34">
        <v>861.81</v>
      </c>
      <c r="CI34">
        <v>-2.08</v>
      </c>
      <c r="CW34">
        <f t="shared" si="42"/>
        <v>1800.1</v>
      </c>
      <c r="CX34">
        <f t="shared" si="43"/>
        <v>1513.2683998355092</v>
      </c>
      <c r="CY34">
        <f t="shared" si="44"/>
        <v>0.84065796335509646</v>
      </c>
      <c r="CZ34">
        <f t="shared" si="45"/>
        <v>0.19131592671019296</v>
      </c>
      <c r="DA34">
        <v>6</v>
      </c>
      <c r="DB34">
        <v>0.5</v>
      </c>
      <c r="DC34" t="s">
        <v>420</v>
      </c>
      <c r="DD34">
        <v>2</v>
      </c>
      <c r="DE34">
        <v>1693499350.0999999</v>
      </c>
      <c r="DF34">
        <v>102.946</v>
      </c>
      <c r="DG34">
        <v>119.96</v>
      </c>
      <c r="DH34">
        <v>29.0139</v>
      </c>
      <c r="DI34">
        <v>23.918700000000001</v>
      </c>
      <c r="DJ34">
        <v>103.40300000000001</v>
      </c>
      <c r="DK34">
        <v>29.286899999999999</v>
      </c>
      <c r="DL34">
        <v>499.98500000000001</v>
      </c>
      <c r="DM34">
        <v>99.611999999999995</v>
      </c>
      <c r="DN34">
        <v>9.9543699999999999E-2</v>
      </c>
      <c r="DO34">
        <v>30.671800000000001</v>
      </c>
      <c r="DP34">
        <v>30.0047</v>
      </c>
      <c r="DQ34">
        <v>999.9</v>
      </c>
      <c r="DR34">
        <v>0</v>
      </c>
      <c r="DS34">
        <v>0</v>
      </c>
      <c r="DT34">
        <v>10070</v>
      </c>
      <c r="DU34">
        <v>0</v>
      </c>
      <c r="DV34">
        <v>1676.56</v>
      </c>
      <c r="DW34">
        <v>-17.014099999999999</v>
      </c>
      <c r="DX34">
        <v>106.02200000000001</v>
      </c>
      <c r="DY34">
        <v>122.899</v>
      </c>
      <c r="DZ34">
        <v>5.0952700000000002</v>
      </c>
      <c r="EA34">
        <v>119.96</v>
      </c>
      <c r="EB34">
        <v>23.918700000000001</v>
      </c>
      <c r="EC34">
        <v>2.8901400000000002</v>
      </c>
      <c r="ED34">
        <v>2.38259</v>
      </c>
      <c r="EE34">
        <v>23.408100000000001</v>
      </c>
      <c r="EF34">
        <v>20.245899999999999</v>
      </c>
      <c r="EG34">
        <v>1800.1</v>
      </c>
      <c r="EH34">
        <v>0.97800699999999996</v>
      </c>
      <c r="EI34">
        <v>2.1992600000000001E-2</v>
      </c>
      <c r="EJ34">
        <v>0</v>
      </c>
      <c r="EK34">
        <v>771.697</v>
      </c>
      <c r="EL34">
        <v>5.0002500000000003</v>
      </c>
      <c r="EM34">
        <v>22316.799999999999</v>
      </c>
      <c r="EN34">
        <v>14823</v>
      </c>
      <c r="EO34">
        <v>46.811999999999998</v>
      </c>
      <c r="EP34">
        <v>48.625</v>
      </c>
      <c r="EQ34">
        <v>47.811999999999998</v>
      </c>
      <c r="ER34">
        <v>46.686999999999998</v>
      </c>
      <c r="ES34">
        <v>48</v>
      </c>
      <c r="ET34">
        <v>1755.62</v>
      </c>
      <c r="EU34">
        <v>39.479999999999997</v>
      </c>
      <c r="EV34">
        <v>0</v>
      </c>
      <c r="EW34">
        <v>136.19999980926511</v>
      </c>
      <c r="EX34">
        <v>0</v>
      </c>
      <c r="EY34">
        <v>771.33080000000007</v>
      </c>
      <c r="EZ34">
        <v>0.31123074443343562</v>
      </c>
      <c r="FA34">
        <v>-165.0769232146915</v>
      </c>
      <c r="FB34">
        <v>22355.08</v>
      </c>
      <c r="FC34">
        <v>15</v>
      </c>
      <c r="FD34">
        <v>1693499316.0999999</v>
      </c>
      <c r="FE34" t="s">
        <v>513</v>
      </c>
      <c r="FF34">
        <v>1693499297.5999999</v>
      </c>
      <c r="FG34">
        <v>1693499316.0999999</v>
      </c>
      <c r="FH34">
        <v>22</v>
      </c>
      <c r="FI34">
        <v>0.22700000000000001</v>
      </c>
      <c r="FJ34">
        <v>0</v>
      </c>
      <c r="FK34">
        <v>-0.45800000000000002</v>
      </c>
      <c r="FL34">
        <v>-0.27300000000000002</v>
      </c>
      <c r="FM34">
        <v>120</v>
      </c>
      <c r="FN34">
        <v>24</v>
      </c>
      <c r="FO34">
        <v>0.33</v>
      </c>
      <c r="FP34">
        <v>7.0000000000000007E-2</v>
      </c>
      <c r="FQ34">
        <v>13.660245615494601</v>
      </c>
      <c r="FR34">
        <v>0.67254534676208788</v>
      </c>
      <c r="FS34">
        <v>6.9574058478364828E-2</v>
      </c>
      <c r="FT34">
        <v>1</v>
      </c>
      <c r="FU34">
        <v>0.33097329180359508</v>
      </c>
      <c r="FV34">
        <v>3.2475350630127901E-2</v>
      </c>
      <c r="FW34">
        <v>4.7692725906045364E-3</v>
      </c>
      <c r="FX34">
        <v>1</v>
      </c>
      <c r="FY34">
        <v>2</v>
      </c>
      <c r="FZ34">
        <v>2</v>
      </c>
      <c r="GA34" t="s">
        <v>422</v>
      </c>
      <c r="GB34">
        <v>2.9234</v>
      </c>
      <c r="GC34">
        <v>2.8300399999999999</v>
      </c>
      <c r="GD34">
        <v>2.8403299999999999E-2</v>
      </c>
      <c r="GE34">
        <v>3.1994000000000002E-2</v>
      </c>
      <c r="GF34">
        <v>0.13847799999999999</v>
      </c>
      <c r="GG34">
        <v>0.11573600000000001</v>
      </c>
      <c r="GH34">
        <v>25465.4</v>
      </c>
      <c r="GI34">
        <v>30969.4</v>
      </c>
      <c r="GJ34">
        <v>23583.4</v>
      </c>
      <c r="GK34">
        <v>29270.7</v>
      </c>
      <c r="GL34">
        <v>27676.400000000001</v>
      </c>
      <c r="GM34">
        <v>36581.199999999997</v>
      </c>
      <c r="GN34">
        <v>33346.699999999997</v>
      </c>
      <c r="GO34">
        <v>43183.5</v>
      </c>
      <c r="GP34">
        <v>2.0600999999999998</v>
      </c>
      <c r="GQ34">
        <v>1.9477</v>
      </c>
      <c r="GR34">
        <v>0.117123</v>
      </c>
      <c r="GS34">
        <v>0</v>
      </c>
      <c r="GT34">
        <v>28.095700000000001</v>
      </c>
      <c r="GU34">
        <v>999.9</v>
      </c>
      <c r="GV34">
        <v>57</v>
      </c>
      <c r="GW34">
        <v>31.9</v>
      </c>
      <c r="GX34">
        <v>27.171800000000001</v>
      </c>
      <c r="GY34">
        <v>60.957900000000002</v>
      </c>
      <c r="GZ34">
        <v>34.963900000000002</v>
      </c>
      <c r="HA34">
        <v>1</v>
      </c>
      <c r="HB34">
        <v>4.54472E-2</v>
      </c>
      <c r="HC34">
        <v>-0.64805000000000001</v>
      </c>
      <c r="HD34">
        <v>20.323899999999998</v>
      </c>
      <c r="HE34">
        <v>5.2125000000000004</v>
      </c>
      <c r="HF34">
        <v>11.866199999999999</v>
      </c>
      <c r="HG34">
        <v>4.9855999999999998</v>
      </c>
      <c r="HH34">
        <v>3.2839999999999998</v>
      </c>
      <c r="HI34">
        <v>9999</v>
      </c>
      <c r="HJ34">
        <v>9999</v>
      </c>
      <c r="HK34">
        <v>9999</v>
      </c>
      <c r="HL34">
        <v>999.9</v>
      </c>
      <c r="HM34">
        <v>1.85463</v>
      </c>
      <c r="HN34">
        <v>1.86069</v>
      </c>
      <c r="HO34">
        <v>1.85822</v>
      </c>
      <c r="HP34">
        <v>1.85945</v>
      </c>
      <c r="HQ34">
        <v>1.8587499999999999</v>
      </c>
      <c r="HR34">
        <v>1.85928</v>
      </c>
      <c r="HS34">
        <v>1.8576600000000001</v>
      </c>
      <c r="HT34">
        <v>1.86103</v>
      </c>
      <c r="HU34">
        <v>5</v>
      </c>
      <c r="HV34">
        <v>0</v>
      </c>
      <c r="HW34">
        <v>0</v>
      </c>
      <c r="HX34">
        <v>0</v>
      </c>
      <c r="HY34" t="s">
        <v>423</v>
      </c>
      <c r="HZ34" t="s">
        <v>424</v>
      </c>
      <c r="IA34" t="s">
        <v>425</v>
      </c>
      <c r="IB34" t="s">
        <v>425</v>
      </c>
      <c r="IC34" t="s">
        <v>425</v>
      </c>
      <c r="ID34" t="s">
        <v>425</v>
      </c>
      <c r="IE34">
        <v>0</v>
      </c>
      <c r="IF34">
        <v>100</v>
      </c>
      <c r="IG34">
        <v>100</v>
      </c>
      <c r="IH34">
        <v>-0.45700000000000002</v>
      </c>
      <c r="II34">
        <v>-0.27300000000000002</v>
      </c>
      <c r="IJ34">
        <v>-0.45785000000000758</v>
      </c>
      <c r="IK34">
        <v>0</v>
      </c>
      <c r="IL34">
        <v>0</v>
      </c>
      <c r="IM34">
        <v>0</v>
      </c>
      <c r="IN34">
        <v>-0.27295714285714467</v>
      </c>
      <c r="IO34">
        <v>0</v>
      </c>
      <c r="IP34">
        <v>0</v>
      </c>
      <c r="IQ34">
        <v>0</v>
      </c>
      <c r="IR34">
        <v>-1</v>
      </c>
      <c r="IS34">
        <v>-1</v>
      </c>
      <c r="IT34">
        <v>-1</v>
      </c>
      <c r="IU34">
        <v>-1</v>
      </c>
      <c r="IV34">
        <v>0.9</v>
      </c>
      <c r="IW34">
        <v>0.6</v>
      </c>
      <c r="IX34">
        <v>0.41381800000000002</v>
      </c>
      <c r="IY34">
        <v>2.4658199999999999</v>
      </c>
      <c r="IZ34">
        <v>1.49414</v>
      </c>
      <c r="JA34">
        <v>2.2961399999999998</v>
      </c>
      <c r="JB34">
        <v>1.54419</v>
      </c>
      <c r="JC34">
        <v>2.4939</v>
      </c>
      <c r="JD34">
        <v>34.875500000000002</v>
      </c>
      <c r="JE34">
        <v>15.874499999999999</v>
      </c>
      <c r="JF34">
        <v>18</v>
      </c>
      <c r="JG34">
        <v>535.34799999999996</v>
      </c>
      <c r="JH34">
        <v>498.64400000000001</v>
      </c>
      <c r="JI34">
        <v>28.912199999999999</v>
      </c>
      <c r="JJ34">
        <v>27.9132</v>
      </c>
      <c r="JK34">
        <v>30.000299999999999</v>
      </c>
      <c r="JL34">
        <v>27.941299999999998</v>
      </c>
      <c r="JM34">
        <v>27.913699999999999</v>
      </c>
      <c r="JN34">
        <v>8.3507999999999996</v>
      </c>
      <c r="JO34">
        <v>21.0535</v>
      </c>
      <c r="JP34">
        <v>100</v>
      </c>
      <c r="JQ34">
        <v>28.913599999999999</v>
      </c>
      <c r="JR34">
        <v>120</v>
      </c>
      <c r="JS34">
        <v>23.942399999999999</v>
      </c>
      <c r="JT34">
        <v>98.9011</v>
      </c>
      <c r="JU34">
        <v>97.289500000000004</v>
      </c>
    </row>
    <row r="35" spans="1:281" x14ac:dyDescent="0.25">
      <c r="A35">
        <v>19</v>
      </c>
      <c r="B35">
        <v>1693499463</v>
      </c>
      <c r="C35">
        <v>5327</v>
      </c>
      <c r="D35" t="s">
        <v>514</v>
      </c>
      <c r="E35" t="s">
        <v>515</v>
      </c>
      <c r="F35" t="s">
        <v>414</v>
      </c>
      <c r="G35" t="s">
        <v>494</v>
      </c>
      <c r="H35" t="s">
        <v>495</v>
      </c>
      <c r="I35" t="s">
        <v>31</v>
      </c>
      <c r="J35">
        <v>1693499463</v>
      </c>
      <c r="K35">
        <f t="shared" si="0"/>
        <v>4.7070796823530398E-3</v>
      </c>
      <c r="L35">
        <f t="shared" si="1"/>
        <v>4.7070796823530401</v>
      </c>
      <c r="M35">
        <f t="shared" si="2"/>
        <v>8.8126496415009452</v>
      </c>
      <c r="N35">
        <f t="shared" si="3"/>
        <v>59.116799999999998</v>
      </c>
      <c r="O35">
        <f t="shared" si="4"/>
        <v>16.557135717627361</v>
      </c>
      <c r="P35">
        <f t="shared" si="5"/>
        <v>1.6509815754889097</v>
      </c>
      <c r="Q35">
        <f t="shared" si="6"/>
        <v>5.8947845367935994</v>
      </c>
      <c r="R35">
        <f t="shared" si="7"/>
        <v>0.35759686878306879</v>
      </c>
      <c r="S35">
        <f t="shared" si="8"/>
        <v>2.9210150788397442</v>
      </c>
      <c r="T35">
        <f t="shared" si="9"/>
        <v>0.3349347380453051</v>
      </c>
      <c r="U35">
        <f t="shared" si="10"/>
        <v>0.21125052125645649</v>
      </c>
      <c r="V35">
        <f t="shared" si="11"/>
        <v>344.34029967097263</v>
      </c>
      <c r="W35">
        <f t="shared" si="12"/>
        <v>31.481116386095014</v>
      </c>
      <c r="X35">
        <f t="shared" si="13"/>
        <v>29.976299999999998</v>
      </c>
      <c r="Y35">
        <f t="shared" si="14"/>
        <v>4.2546534248439762</v>
      </c>
      <c r="Z35">
        <f t="shared" si="15"/>
        <v>65.568769536980355</v>
      </c>
      <c r="AA35">
        <f t="shared" si="16"/>
        <v>2.9035977908783996</v>
      </c>
      <c r="AB35">
        <f t="shared" si="17"/>
        <v>4.4283243553027019</v>
      </c>
      <c r="AC35">
        <f t="shared" si="18"/>
        <v>1.3510556339655766</v>
      </c>
      <c r="AD35">
        <f t="shared" si="19"/>
        <v>-207.58221399176907</v>
      </c>
      <c r="AE35">
        <f t="shared" si="20"/>
        <v>109.95097547441107</v>
      </c>
      <c r="AF35">
        <f t="shared" si="21"/>
        <v>8.3965989027086358</v>
      </c>
      <c r="AG35">
        <f t="shared" si="22"/>
        <v>255.1056600563233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51985.746399109128</v>
      </c>
      <c r="AM35" t="s">
        <v>417</v>
      </c>
      <c r="AN35">
        <v>10366.9</v>
      </c>
      <c r="AO35">
        <v>993.59653846153856</v>
      </c>
      <c r="AP35">
        <v>3431.87</v>
      </c>
      <c r="AQ35">
        <f t="shared" si="26"/>
        <v>0.71047955241266758</v>
      </c>
      <c r="AR35">
        <v>-3.9894345373445681</v>
      </c>
      <c r="AS35" t="s">
        <v>516</v>
      </c>
      <c r="AT35">
        <v>10294.6</v>
      </c>
      <c r="AU35">
        <v>775.54584615384613</v>
      </c>
      <c r="AV35">
        <v>871.02978859191307</v>
      </c>
      <c r="AW35">
        <f t="shared" si="27"/>
        <v>0.109621902360451</v>
      </c>
      <c r="AX35">
        <v>0.5</v>
      </c>
      <c r="AY35">
        <f t="shared" si="28"/>
        <v>1513.0583998354862</v>
      </c>
      <c r="AZ35">
        <f t="shared" si="29"/>
        <v>8.8126496415009452</v>
      </c>
      <c r="BA35">
        <f t="shared" si="30"/>
        <v>82.932170086212949</v>
      </c>
      <c r="BB35">
        <f t="shared" si="31"/>
        <v>8.4610641467887E-3</v>
      </c>
      <c r="BC35">
        <f t="shared" si="32"/>
        <v>2.9400145034624852</v>
      </c>
      <c r="BD35">
        <f t="shared" si="33"/>
        <v>536.73270841117062</v>
      </c>
      <c r="BE35" t="s">
        <v>517</v>
      </c>
      <c r="BF35">
        <v>544.49</v>
      </c>
      <c r="BG35">
        <f t="shared" si="34"/>
        <v>544.49</v>
      </c>
      <c r="BH35">
        <f t="shared" si="35"/>
        <v>0.37488934691865117</v>
      </c>
      <c r="BI35">
        <f t="shared" si="36"/>
        <v>0.29241135620809811</v>
      </c>
      <c r="BJ35">
        <f t="shared" si="37"/>
        <v>0.88690792739718594</v>
      </c>
      <c r="BK35">
        <f t="shared" si="38"/>
        <v>-0.77903626015728922</v>
      </c>
      <c r="BL35">
        <f t="shared" si="39"/>
        <v>1.050267843949009</v>
      </c>
      <c r="BM35">
        <f t="shared" si="40"/>
        <v>0.2052941939297856</v>
      </c>
      <c r="BN35">
        <f t="shared" si="41"/>
        <v>0.79470580607021435</v>
      </c>
      <c r="BO35">
        <v>16742</v>
      </c>
      <c r="BP35">
        <v>290.00000000000011</v>
      </c>
      <c r="BQ35">
        <v>843.45</v>
      </c>
      <c r="BR35">
        <v>225</v>
      </c>
      <c r="BS35">
        <v>10294.6</v>
      </c>
      <c r="BT35">
        <v>843.44</v>
      </c>
      <c r="BU35">
        <v>0.01</v>
      </c>
      <c r="BV35">
        <v>300.00000000000011</v>
      </c>
      <c r="BW35">
        <v>38.4</v>
      </c>
      <c r="BX35">
        <v>871.02978859191307</v>
      </c>
      <c r="BY35">
        <v>0.79457869598846786</v>
      </c>
      <c r="BZ35">
        <v>-28.401857548195121</v>
      </c>
      <c r="CA35">
        <v>0.66957090402125041</v>
      </c>
      <c r="CB35">
        <v>0.98467673316548032</v>
      </c>
      <c r="CC35">
        <v>-1.1214243159065629E-2</v>
      </c>
      <c r="CD35">
        <v>289.99999999999989</v>
      </c>
      <c r="CE35">
        <v>841.88</v>
      </c>
      <c r="CF35">
        <v>665</v>
      </c>
      <c r="CG35">
        <v>10275.1</v>
      </c>
      <c r="CH35">
        <v>843.39</v>
      </c>
      <c r="CI35">
        <v>-1.51</v>
      </c>
      <c r="CW35">
        <f t="shared" si="42"/>
        <v>1799.85</v>
      </c>
      <c r="CX35">
        <f t="shared" si="43"/>
        <v>1513.0583998354862</v>
      </c>
      <c r="CY35">
        <f t="shared" si="44"/>
        <v>0.84065805474649902</v>
      </c>
      <c r="CZ35">
        <f t="shared" si="45"/>
        <v>0.1913161094929981</v>
      </c>
      <c r="DA35">
        <v>6</v>
      </c>
      <c r="DB35">
        <v>0.5</v>
      </c>
      <c r="DC35" t="s">
        <v>420</v>
      </c>
      <c r="DD35">
        <v>2</v>
      </c>
      <c r="DE35">
        <v>1693499463</v>
      </c>
      <c r="DF35">
        <v>59.116799999999998</v>
      </c>
      <c r="DG35">
        <v>70.020099999999999</v>
      </c>
      <c r="DH35">
        <v>29.119199999999999</v>
      </c>
      <c r="DI35">
        <v>23.638100000000001</v>
      </c>
      <c r="DJ35">
        <v>59.571599999999997</v>
      </c>
      <c r="DK35">
        <v>29.3934</v>
      </c>
      <c r="DL35">
        <v>500.26600000000002</v>
      </c>
      <c r="DM35">
        <v>99.613900000000001</v>
      </c>
      <c r="DN35">
        <v>0.100302</v>
      </c>
      <c r="DO35">
        <v>30.674499999999998</v>
      </c>
      <c r="DP35">
        <v>29.976299999999998</v>
      </c>
      <c r="DQ35">
        <v>999.9</v>
      </c>
      <c r="DR35">
        <v>0</v>
      </c>
      <c r="DS35">
        <v>0</v>
      </c>
      <c r="DT35">
        <v>9990</v>
      </c>
      <c r="DU35">
        <v>0</v>
      </c>
      <c r="DV35">
        <v>1678.71</v>
      </c>
      <c r="DW35">
        <v>-10.9034</v>
      </c>
      <c r="DX35">
        <v>60.889800000000001</v>
      </c>
      <c r="DY35">
        <v>71.715400000000002</v>
      </c>
      <c r="DZ35">
        <v>5.48109</v>
      </c>
      <c r="EA35">
        <v>70.020099999999999</v>
      </c>
      <c r="EB35">
        <v>23.638100000000001</v>
      </c>
      <c r="EC35">
        <v>2.9006799999999999</v>
      </c>
      <c r="ED35">
        <v>2.3546900000000002</v>
      </c>
      <c r="EE35">
        <v>23.468499999999999</v>
      </c>
      <c r="EF35">
        <v>20.055499999999999</v>
      </c>
      <c r="EG35">
        <v>1799.85</v>
      </c>
      <c r="EH35">
        <v>0.97800399999999998</v>
      </c>
      <c r="EI35">
        <v>2.19963E-2</v>
      </c>
      <c r="EJ35">
        <v>0</v>
      </c>
      <c r="EK35">
        <v>775.30200000000002</v>
      </c>
      <c r="EL35">
        <v>5.0002500000000003</v>
      </c>
      <c r="EM35">
        <v>22315.5</v>
      </c>
      <c r="EN35">
        <v>14820.9</v>
      </c>
      <c r="EO35">
        <v>46.875</v>
      </c>
      <c r="EP35">
        <v>48.686999999999998</v>
      </c>
      <c r="EQ35">
        <v>47.875</v>
      </c>
      <c r="ER35">
        <v>46.75</v>
      </c>
      <c r="ES35">
        <v>48</v>
      </c>
      <c r="ET35">
        <v>1755.37</v>
      </c>
      <c r="EU35">
        <v>39.479999999999997</v>
      </c>
      <c r="EV35">
        <v>0</v>
      </c>
      <c r="EW35">
        <v>111</v>
      </c>
      <c r="EX35">
        <v>0</v>
      </c>
      <c r="EY35">
        <v>775.54584615384613</v>
      </c>
      <c r="EZ35">
        <v>-1.6175726655824669</v>
      </c>
      <c r="FA35">
        <v>-376.89914506127928</v>
      </c>
      <c r="FB35">
        <v>22354.688461538459</v>
      </c>
      <c r="FC35">
        <v>15</v>
      </c>
      <c r="FD35">
        <v>1693499429</v>
      </c>
      <c r="FE35" t="s">
        <v>518</v>
      </c>
      <c r="FF35">
        <v>1693499415</v>
      </c>
      <c r="FG35">
        <v>1693499429</v>
      </c>
      <c r="FH35">
        <v>23</v>
      </c>
      <c r="FI35">
        <v>3.0000000000000001E-3</v>
      </c>
      <c r="FJ35">
        <v>-1E-3</v>
      </c>
      <c r="FK35">
        <v>-0.45500000000000002</v>
      </c>
      <c r="FL35">
        <v>-0.27400000000000002</v>
      </c>
      <c r="FM35">
        <v>70</v>
      </c>
      <c r="FN35">
        <v>24</v>
      </c>
      <c r="FO35">
        <v>0.38</v>
      </c>
      <c r="FP35">
        <v>0.05</v>
      </c>
      <c r="FQ35">
        <v>8.7056609700490135</v>
      </c>
      <c r="FR35">
        <v>-8.1458846193679574E-2</v>
      </c>
      <c r="FS35">
        <v>4.3733240556828402E-2</v>
      </c>
      <c r="FT35">
        <v>1</v>
      </c>
      <c r="FU35">
        <v>0.35932663950711169</v>
      </c>
      <c r="FV35">
        <v>3.4205796466147381E-2</v>
      </c>
      <c r="FW35">
        <v>4.5300354447016878E-3</v>
      </c>
      <c r="FX35">
        <v>1</v>
      </c>
      <c r="FY35">
        <v>2</v>
      </c>
      <c r="FZ35">
        <v>2</v>
      </c>
      <c r="GA35" t="s">
        <v>422</v>
      </c>
      <c r="GB35">
        <v>2.9240499999999998</v>
      </c>
      <c r="GC35">
        <v>2.8300999999999998</v>
      </c>
      <c r="GD35">
        <v>1.6697099999999999E-2</v>
      </c>
      <c r="GE35">
        <v>1.9126500000000001E-2</v>
      </c>
      <c r="GF35">
        <v>0.13881199999999999</v>
      </c>
      <c r="GG35">
        <v>0.114775</v>
      </c>
      <c r="GH35">
        <v>25768.400000000001</v>
      </c>
      <c r="GI35">
        <v>31381.200000000001</v>
      </c>
      <c r="GJ35">
        <v>23580.1</v>
      </c>
      <c r="GK35">
        <v>29271.200000000001</v>
      </c>
      <c r="GL35">
        <v>27662.2</v>
      </c>
      <c r="GM35">
        <v>36622.300000000003</v>
      </c>
      <c r="GN35">
        <v>33343.599999999999</v>
      </c>
      <c r="GO35">
        <v>43184.4</v>
      </c>
      <c r="GP35">
        <v>2.0594000000000001</v>
      </c>
      <c r="GQ35">
        <v>1.9466000000000001</v>
      </c>
      <c r="GR35">
        <v>0.111997</v>
      </c>
      <c r="GS35">
        <v>0</v>
      </c>
      <c r="GT35">
        <v>28.1509</v>
      </c>
      <c r="GU35">
        <v>999.9</v>
      </c>
      <c r="GV35">
        <v>57.4</v>
      </c>
      <c r="GW35">
        <v>31.8</v>
      </c>
      <c r="GX35">
        <v>27.2042</v>
      </c>
      <c r="GY35">
        <v>61.297899999999998</v>
      </c>
      <c r="GZ35">
        <v>34.631399999999999</v>
      </c>
      <c r="HA35">
        <v>1</v>
      </c>
      <c r="HB35">
        <v>5.0792700000000003E-2</v>
      </c>
      <c r="HC35">
        <v>-1.0382199999999999</v>
      </c>
      <c r="HD35">
        <v>20.321200000000001</v>
      </c>
      <c r="HE35">
        <v>5.2119</v>
      </c>
      <c r="HF35">
        <v>11.866199999999999</v>
      </c>
      <c r="HG35">
        <v>4.9854000000000003</v>
      </c>
      <c r="HH35">
        <v>3.2839999999999998</v>
      </c>
      <c r="HI35">
        <v>9999</v>
      </c>
      <c r="HJ35">
        <v>9999</v>
      </c>
      <c r="HK35">
        <v>9999</v>
      </c>
      <c r="HL35">
        <v>999.9</v>
      </c>
      <c r="HM35">
        <v>1.8545499999999999</v>
      </c>
      <c r="HN35">
        <v>1.86077</v>
      </c>
      <c r="HO35">
        <v>1.8582000000000001</v>
      </c>
      <c r="HP35">
        <v>1.85944</v>
      </c>
      <c r="HQ35">
        <v>1.8587199999999999</v>
      </c>
      <c r="HR35">
        <v>1.85928</v>
      </c>
      <c r="HS35">
        <v>1.8576299999999999</v>
      </c>
      <c r="HT35">
        <v>1.8610199999999999</v>
      </c>
      <c r="HU35">
        <v>5</v>
      </c>
      <c r="HV35">
        <v>0</v>
      </c>
      <c r="HW35">
        <v>0</v>
      </c>
      <c r="HX35">
        <v>0</v>
      </c>
      <c r="HY35" t="s">
        <v>423</v>
      </c>
      <c r="HZ35" t="s">
        <v>424</v>
      </c>
      <c r="IA35" t="s">
        <v>425</v>
      </c>
      <c r="IB35" t="s">
        <v>425</v>
      </c>
      <c r="IC35" t="s">
        <v>425</v>
      </c>
      <c r="ID35" t="s">
        <v>425</v>
      </c>
      <c r="IE35">
        <v>0</v>
      </c>
      <c r="IF35">
        <v>100</v>
      </c>
      <c r="IG35">
        <v>100</v>
      </c>
      <c r="IH35">
        <v>-0.45500000000000002</v>
      </c>
      <c r="II35">
        <v>-0.2742</v>
      </c>
      <c r="IJ35">
        <v>-0.45477499999999788</v>
      </c>
      <c r="IK35">
        <v>0</v>
      </c>
      <c r="IL35">
        <v>0</v>
      </c>
      <c r="IM35">
        <v>0</v>
      </c>
      <c r="IN35">
        <v>-0.27419999999999689</v>
      </c>
      <c r="IO35">
        <v>0</v>
      </c>
      <c r="IP35">
        <v>0</v>
      </c>
      <c r="IQ35">
        <v>0</v>
      </c>
      <c r="IR35">
        <v>-1</v>
      </c>
      <c r="IS35">
        <v>-1</v>
      </c>
      <c r="IT35">
        <v>-1</v>
      </c>
      <c r="IU35">
        <v>-1</v>
      </c>
      <c r="IV35">
        <v>0.8</v>
      </c>
      <c r="IW35">
        <v>0.6</v>
      </c>
      <c r="IX35">
        <v>0.301514</v>
      </c>
      <c r="IY35">
        <v>2.47925</v>
      </c>
      <c r="IZ35">
        <v>1.49414</v>
      </c>
      <c r="JA35">
        <v>2.2961399999999998</v>
      </c>
      <c r="JB35">
        <v>1.54419</v>
      </c>
      <c r="JC35">
        <v>2.52075</v>
      </c>
      <c r="JD35">
        <v>34.852499999999999</v>
      </c>
      <c r="JE35">
        <v>15.8482</v>
      </c>
      <c r="JF35">
        <v>18</v>
      </c>
      <c r="JG35">
        <v>535.36800000000005</v>
      </c>
      <c r="JH35">
        <v>498.31</v>
      </c>
      <c r="JI35">
        <v>29.054200000000002</v>
      </c>
      <c r="JJ35">
        <v>27.977399999999999</v>
      </c>
      <c r="JK35">
        <v>30.0001</v>
      </c>
      <c r="JL35">
        <v>27.993200000000002</v>
      </c>
      <c r="JM35">
        <v>27.962800000000001</v>
      </c>
      <c r="JN35">
        <v>6.1109999999999998</v>
      </c>
      <c r="JO35">
        <v>22.103899999999999</v>
      </c>
      <c r="JP35">
        <v>100</v>
      </c>
      <c r="JQ35">
        <v>29.0688</v>
      </c>
      <c r="JR35">
        <v>70</v>
      </c>
      <c r="JS35">
        <v>23.5959</v>
      </c>
      <c r="JT35">
        <v>98.89</v>
      </c>
      <c r="JU35">
        <v>97.291300000000007</v>
      </c>
    </row>
    <row r="36" spans="1:281" x14ac:dyDescent="0.25">
      <c r="A36">
        <v>20</v>
      </c>
      <c r="B36">
        <v>1693499573</v>
      </c>
      <c r="C36">
        <v>5437</v>
      </c>
      <c r="D36" t="s">
        <v>519</v>
      </c>
      <c r="E36" t="s">
        <v>520</v>
      </c>
      <c r="F36" t="s">
        <v>414</v>
      </c>
      <c r="G36" t="s">
        <v>494</v>
      </c>
      <c r="H36" t="s">
        <v>495</v>
      </c>
      <c r="I36" t="s">
        <v>31</v>
      </c>
      <c r="J36">
        <v>1693499573</v>
      </c>
      <c r="K36">
        <f t="shared" si="0"/>
        <v>5.1252790359508074E-3</v>
      </c>
      <c r="L36">
        <f t="shared" si="1"/>
        <v>5.1252790359508076</v>
      </c>
      <c r="M36">
        <f t="shared" si="2"/>
        <v>4.0046827073002733</v>
      </c>
      <c r="N36">
        <f t="shared" si="3"/>
        <v>25.040500000000002</v>
      </c>
      <c r="O36">
        <f t="shared" si="4"/>
        <v>7.4689662064858702</v>
      </c>
      <c r="P36">
        <f t="shared" si="5"/>
        <v>0.74474430359479638</v>
      </c>
      <c r="Q36">
        <f t="shared" si="6"/>
        <v>2.4968341291959999</v>
      </c>
      <c r="R36">
        <f t="shared" si="7"/>
        <v>0.39611114762636329</v>
      </c>
      <c r="S36">
        <f t="shared" si="8"/>
        <v>2.9235925876602078</v>
      </c>
      <c r="T36">
        <f t="shared" si="9"/>
        <v>0.36852914078588456</v>
      </c>
      <c r="U36">
        <f t="shared" si="10"/>
        <v>0.23264860075096161</v>
      </c>
      <c r="V36">
        <f t="shared" si="11"/>
        <v>344.33649967096898</v>
      </c>
      <c r="W36">
        <f t="shared" si="12"/>
        <v>31.385039274447383</v>
      </c>
      <c r="X36">
        <f t="shared" si="13"/>
        <v>29.948</v>
      </c>
      <c r="Y36">
        <f t="shared" si="14"/>
        <v>4.2477410518248542</v>
      </c>
      <c r="Z36">
        <f t="shared" si="15"/>
        <v>65.681189409272548</v>
      </c>
      <c r="AA36">
        <f t="shared" si="16"/>
        <v>2.9107877997439999</v>
      </c>
      <c r="AB36">
        <f t="shared" si="17"/>
        <v>4.4316916699030866</v>
      </c>
      <c r="AC36">
        <f t="shared" si="18"/>
        <v>1.3369532520808542</v>
      </c>
      <c r="AD36">
        <f t="shared" si="19"/>
        <v>-226.02480548543062</v>
      </c>
      <c r="AE36">
        <f t="shared" si="20"/>
        <v>116.60485210887612</v>
      </c>
      <c r="AF36">
        <f t="shared" si="21"/>
        <v>8.8962247378609831</v>
      </c>
      <c r="AG36">
        <f t="shared" si="22"/>
        <v>243.81277103227544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52056.819562321733</v>
      </c>
      <c r="AM36" t="s">
        <v>417</v>
      </c>
      <c r="AN36">
        <v>10366.9</v>
      </c>
      <c r="AO36">
        <v>993.59653846153856</v>
      </c>
      <c r="AP36">
        <v>3431.87</v>
      </c>
      <c r="AQ36">
        <f t="shared" si="26"/>
        <v>0.71047955241266758</v>
      </c>
      <c r="AR36">
        <v>-3.9894345373445681</v>
      </c>
      <c r="AS36" t="s">
        <v>521</v>
      </c>
      <c r="AT36">
        <v>10288.5</v>
      </c>
      <c r="AU36">
        <v>779.8611538461538</v>
      </c>
      <c r="AV36">
        <v>845.98679085389574</v>
      </c>
      <c r="AW36">
        <f t="shared" si="27"/>
        <v>7.8163911922310425E-2</v>
      </c>
      <c r="AX36">
        <v>0.5</v>
      </c>
      <c r="AY36">
        <f t="shared" si="28"/>
        <v>1513.0415998354845</v>
      </c>
      <c r="AZ36">
        <f t="shared" si="29"/>
        <v>4.0046827073002733</v>
      </c>
      <c r="BA36">
        <f t="shared" si="30"/>
        <v>59.132625172166229</v>
      </c>
      <c r="BB36">
        <f t="shared" si="31"/>
        <v>5.2834748532453136E-3</v>
      </c>
      <c r="BC36">
        <f t="shared" si="32"/>
        <v>3.0566472634118154</v>
      </c>
      <c r="BD36">
        <f t="shared" si="33"/>
        <v>527.11757568708435</v>
      </c>
      <c r="BE36" t="s">
        <v>522</v>
      </c>
      <c r="BF36">
        <v>548.59</v>
      </c>
      <c r="BG36">
        <f t="shared" si="34"/>
        <v>548.59</v>
      </c>
      <c r="BH36">
        <f t="shared" si="35"/>
        <v>0.35153833850492944</v>
      </c>
      <c r="BI36">
        <f t="shared" si="36"/>
        <v>0.22234818613166532</v>
      </c>
      <c r="BJ36">
        <f t="shared" si="37"/>
        <v>0.89685469643812055</v>
      </c>
      <c r="BK36">
        <f t="shared" si="38"/>
        <v>-0.44797608612886852</v>
      </c>
      <c r="BL36">
        <f t="shared" si="39"/>
        <v>1.0605386352007071</v>
      </c>
      <c r="BM36">
        <f t="shared" si="40"/>
        <v>0.15640988248791957</v>
      </c>
      <c r="BN36">
        <f t="shared" si="41"/>
        <v>0.84359011751208046</v>
      </c>
      <c r="BO36">
        <v>16744</v>
      </c>
      <c r="BP36">
        <v>290.00000000000011</v>
      </c>
      <c r="BQ36">
        <v>828.52</v>
      </c>
      <c r="BR36">
        <v>275</v>
      </c>
      <c r="BS36">
        <v>10288.5</v>
      </c>
      <c r="BT36">
        <v>827.44</v>
      </c>
      <c r="BU36">
        <v>1.08</v>
      </c>
      <c r="BV36">
        <v>300.00000000000011</v>
      </c>
      <c r="BW36">
        <v>38.4</v>
      </c>
      <c r="BX36">
        <v>845.98679085389574</v>
      </c>
      <c r="BY36">
        <v>1.061532148776998</v>
      </c>
      <c r="BZ36">
        <v>-19.086718588044711</v>
      </c>
      <c r="CA36">
        <v>0.89450967267397474</v>
      </c>
      <c r="CB36">
        <v>0.94206431753281039</v>
      </c>
      <c r="CC36">
        <v>-1.1213947942157959E-2</v>
      </c>
      <c r="CD36">
        <v>289.99999999999989</v>
      </c>
      <c r="CE36">
        <v>825.72</v>
      </c>
      <c r="CF36">
        <v>685</v>
      </c>
      <c r="CG36">
        <v>10273.5</v>
      </c>
      <c r="CH36">
        <v>827.41</v>
      </c>
      <c r="CI36">
        <v>-1.69</v>
      </c>
      <c r="CW36">
        <f t="shared" si="42"/>
        <v>1799.83</v>
      </c>
      <c r="CX36">
        <f t="shared" si="43"/>
        <v>1513.0415998354845</v>
      </c>
      <c r="CY36">
        <f t="shared" si="44"/>
        <v>0.84065806205890803</v>
      </c>
      <c r="CZ36">
        <f t="shared" si="45"/>
        <v>0.19131612411781612</v>
      </c>
      <c r="DA36">
        <v>6</v>
      </c>
      <c r="DB36">
        <v>0.5</v>
      </c>
      <c r="DC36" t="s">
        <v>420</v>
      </c>
      <c r="DD36">
        <v>2</v>
      </c>
      <c r="DE36">
        <v>1693499573</v>
      </c>
      <c r="DF36">
        <v>25.040500000000002</v>
      </c>
      <c r="DG36">
        <v>29.994399999999999</v>
      </c>
      <c r="DH36">
        <v>29.192</v>
      </c>
      <c r="DI36">
        <v>23.228100000000001</v>
      </c>
      <c r="DJ36">
        <v>25.505700000000001</v>
      </c>
      <c r="DK36">
        <v>29.465499999999999</v>
      </c>
      <c r="DL36">
        <v>500.57799999999997</v>
      </c>
      <c r="DM36">
        <v>99.611000000000004</v>
      </c>
      <c r="DN36">
        <v>0.100832</v>
      </c>
      <c r="DO36">
        <v>30.687799999999999</v>
      </c>
      <c r="DP36">
        <v>29.948</v>
      </c>
      <c r="DQ36">
        <v>999.9</v>
      </c>
      <c r="DR36">
        <v>0</v>
      </c>
      <c r="DS36">
        <v>0</v>
      </c>
      <c r="DT36">
        <v>10005</v>
      </c>
      <c r="DU36">
        <v>0</v>
      </c>
      <c r="DV36">
        <v>1675.66</v>
      </c>
      <c r="DW36">
        <v>-4.9539299999999997</v>
      </c>
      <c r="DX36">
        <v>25.793399999999998</v>
      </c>
      <c r="DY36">
        <v>30.707699999999999</v>
      </c>
      <c r="DZ36">
        <v>5.9638400000000003</v>
      </c>
      <c r="EA36">
        <v>29.994399999999999</v>
      </c>
      <c r="EB36">
        <v>23.228100000000001</v>
      </c>
      <c r="EC36">
        <v>2.9078400000000002</v>
      </c>
      <c r="ED36">
        <v>2.3137799999999999</v>
      </c>
      <c r="EE36">
        <v>23.509399999999999</v>
      </c>
      <c r="EF36">
        <v>19.772600000000001</v>
      </c>
      <c r="EG36">
        <v>1799.83</v>
      </c>
      <c r="EH36">
        <v>0.97800399999999998</v>
      </c>
      <c r="EI36">
        <v>2.19963E-2</v>
      </c>
      <c r="EJ36">
        <v>0</v>
      </c>
      <c r="EK36">
        <v>779.52099999999996</v>
      </c>
      <c r="EL36">
        <v>5.0002500000000003</v>
      </c>
      <c r="EM36">
        <v>22371.4</v>
      </c>
      <c r="EN36">
        <v>14820.7</v>
      </c>
      <c r="EO36">
        <v>46.936999999999998</v>
      </c>
      <c r="EP36">
        <v>48.811999999999998</v>
      </c>
      <c r="EQ36">
        <v>47.875</v>
      </c>
      <c r="ER36">
        <v>46.875</v>
      </c>
      <c r="ES36">
        <v>48.061999999999998</v>
      </c>
      <c r="ET36">
        <v>1755.35</v>
      </c>
      <c r="EU36">
        <v>39.479999999999997</v>
      </c>
      <c r="EV36">
        <v>0</v>
      </c>
      <c r="EW36">
        <v>108.19999980926509</v>
      </c>
      <c r="EX36">
        <v>0</v>
      </c>
      <c r="EY36">
        <v>779.8611538461538</v>
      </c>
      <c r="EZ36">
        <v>-2.7986324921524139</v>
      </c>
      <c r="FA36">
        <v>-199.87008521782661</v>
      </c>
      <c r="FB36">
        <v>22415.615384615379</v>
      </c>
      <c r="FC36">
        <v>15</v>
      </c>
      <c r="FD36">
        <v>1693499540</v>
      </c>
      <c r="FE36" t="s">
        <v>523</v>
      </c>
      <c r="FF36">
        <v>1693499526</v>
      </c>
      <c r="FG36">
        <v>1693499540</v>
      </c>
      <c r="FH36">
        <v>24</v>
      </c>
      <c r="FI36">
        <v>-0.01</v>
      </c>
      <c r="FJ36">
        <v>1E-3</v>
      </c>
      <c r="FK36">
        <v>-0.46500000000000002</v>
      </c>
      <c r="FL36">
        <v>-0.27300000000000002</v>
      </c>
      <c r="FM36">
        <v>30</v>
      </c>
      <c r="FN36">
        <v>23</v>
      </c>
      <c r="FO36">
        <v>0.98</v>
      </c>
      <c r="FP36">
        <v>0.05</v>
      </c>
      <c r="FQ36">
        <v>4.0003617715597164</v>
      </c>
      <c r="FR36">
        <v>-0.15460955187633041</v>
      </c>
      <c r="FS36">
        <v>4.784717250844385E-2</v>
      </c>
      <c r="FT36">
        <v>1</v>
      </c>
      <c r="FU36">
        <v>0.39566400234120508</v>
      </c>
      <c r="FV36">
        <v>4.9680480598101921E-2</v>
      </c>
      <c r="FW36">
        <v>5.7289918784261297E-3</v>
      </c>
      <c r="FX36">
        <v>1</v>
      </c>
      <c r="FY36">
        <v>2</v>
      </c>
      <c r="FZ36">
        <v>2</v>
      </c>
      <c r="GA36" t="s">
        <v>422</v>
      </c>
      <c r="GB36">
        <v>2.9247200000000002</v>
      </c>
      <c r="GC36">
        <v>2.8307699999999998</v>
      </c>
      <c r="GD36">
        <v>7.2286900000000003E-3</v>
      </c>
      <c r="GE36">
        <v>8.3034600000000004E-3</v>
      </c>
      <c r="GF36">
        <v>0.13902200000000001</v>
      </c>
      <c r="GG36">
        <v>0.113359</v>
      </c>
      <c r="GH36">
        <v>26016.799999999999</v>
      </c>
      <c r="GI36">
        <v>31727.5</v>
      </c>
      <c r="GJ36">
        <v>23580.5</v>
      </c>
      <c r="GK36">
        <v>29271.5</v>
      </c>
      <c r="GL36">
        <v>27654.6</v>
      </c>
      <c r="GM36">
        <v>36682.9</v>
      </c>
      <c r="GN36">
        <v>33343.1</v>
      </c>
      <c r="GO36">
        <v>43184.800000000003</v>
      </c>
      <c r="GP36">
        <v>2.0579000000000001</v>
      </c>
      <c r="GQ36">
        <v>1.9449000000000001</v>
      </c>
      <c r="GR36">
        <v>0.106722</v>
      </c>
      <c r="GS36">
        <v>0</v>
      </c>
      <c r="GT36">
        <v>28.208600000000001</v>
      </c>
      <c r="GU36">
        <v>999.9</v>
      </c>
      <c r="GV36">
        <v>57.6</v>
      </c>
      <c r="GW36">
        <v>31.7</v>
      </c>
      <c r="GX36">
        <v>27.149799999999999</v>
      </c>
      <c r="GY36">
        <v>61.2179</v>
      </c>
      <c r="GZ36">
        <v>34.158700000000003</v>
      </c>
      <c r="HA36">
        <v>1</v>
      </c>
      <c r="HB36">
        <v>5.6260200000000003E-2</v>
      </c>
      <c r="HC36">
        <v>-0.94047899999999995</v>
      </c>
      <c r="HD36">
        <v>20.321999999999999</v>
      </c>
      <c r="HE36">
        <v>5.2112999999999996</v>
      </c>
      <c r="HF36">
        <v>11.866199999999999</v>
      </c>
      <c r="HG36">
        <v>4.9851999999999999</v>
      </c>
      <c r="HH36">
        <v>3.2837000000000001</v>
      </c>
      <c r="HI36">
        <v>9999</v>
      </c>
      <c r="HJ36">
        <v>9999</v>
      </c>
      <c r="HK36">
        <v>9999</v>
      </c>
      <c r="HL36">
        <v>999.9</v>
      </c>
      <c r="HM36">
        <v>1.8546499999999999</v>
      </c>
      <c r="HN36">
        <v>1.8607499999999999</v>
      </c>
      <c r="HO36">
        <v>1.85822</v>
      </c>
      <c r="HP36">
        <v>1.85944</v>
      </c>
      <c r="HQ36">
        <v>1.8587499999999999</v>
      </c>
      <c r="HR36">
        <v>1.85928</v>
      </c>
      <c r="HS36">
        <v>1.85765</v>
      </c>
      <c r="HT36">
        <v>1.8611</v>
      </c>
      <c r="HU36">
        <v>5</v>
      </c>
      <c r="HV36">
        <v>0</v>
      </c>
      <c r="HW36">
        <v>0</v>
      </c>
      <c r="HX36">
        <v>0</v>
      </c>
      <c r="HY36" t="s">
        <v>423</v>
      </c>
      <c r="HZ36" t="s">
        <v>424</v>
      </c>
      <c r="IA36" t="s">
        <v>425</v>
      </c>
      <c r="IB36" t="s">
        <v>425</v>
      </c>
      <c r="IC36" t="s">
        <v>425</v>
      </c>
      <c r="ID36" t="s">
        <v>425</v>
      </c>
      <c r="IE36">
        <v>0</v>
      </c>
      <c r="IF36">
        <v>100</v>
      </c>
      <c r="IG36">
        <v>100</v>
      </c>
      <c r="IH36">
        <v>-0.46500000000000002</v>
      </c>
      <c r="II36">
        <v>-0.27350000000000002</v>
      </c>
      <c r="IJ36">
        <v>-0.46524761904762002</v>
      </c>
      <c r="IK36">
        <v>0</v>
      </c>
      <c r="IL36">
        <v>0</v>
      </c>
      <c r="IM36">
        <v>0</v>
      </c>
      <c r="IN36">
        <v>-0.27349523809524001</v>
      </c>
      <c r="IO36">
        <v>0</v>
      </c>
      <c r="IP36">
        <v>0</v>
      </c>
      <c r="IQ36">
        <v>0</v>
      </c>
      <c r="IR36">
        <v>-1</v>
      </c>
      <c r="IS36">
        <v>-1</v>
      </c>
      <c r="IT36">
        <v>-1</v>
      </c>
      <c r="IU36">
        <v>-1</v>
      </c>
      <c r="IV36">
        <v>0.8</v>
      </c>
      <c r="IW36">
        <v>0.6</v>
      </c>
      <c r="IX36">
        <v>0.21240200000000001</v>
      </c>
      <c r="IY36">
        <v>2.5109900000000001</v>
      </c>
      <c r="IZ36">
        <v>1.49414</v>
      </c>
      <c r="JA36">
        <v>2.2961399999999998</v>
      </c>
      <c r="JB36">
        <v>1.54419</v>
      </c>
      <c r="JC36">
        <v>2.33765</v>
      </c>
      <c r="JD36">
        <v>34.852499999999999</v>
      </c>
      <c r="JE36">
        <v>15.821899999999999</v>
      </c>
      <c r="JF36">
        <v>18</v>
      </c>
      <c r="JG36">
        <v>534.99300000000005</v>
      </c>
      <c r="JH36">
        <v>497.66800000000001</v>
      </c>
      <c r="JI36">
        <v>29.051100000000002</v>
      </c>
      <c r="JJ36">
        <v>28.056100000000001</v>
      </c>
      <c r="JK36">
        <v>30.0001</v>
      </c>
      <c r="JL36">
        <v>28.0594</v>
      </c>
      <c r="JM36">
        <v>28.0246</v>
      </c>
      <c r="JN36">
        <v>4.3248199999999999</v>
      </c>
      <c r="JO36">
        <v>24.279599999999999</v>
      </c>
      <c r="JP36">
        <v>100</v>
      </c>
      <c r="JQ36">
        <v>29.055599999999998</v>
      </c>
      <c r="JR36">
        <v>30</v>
      </c>
      <c r="JS36">
        <v>23.167899999999999</v>
      </c>
      <c r="JT36">
        <v>98.889899999999997</v>
      </c>
      <c r="JU36">
        <v>97.292400000000001</v>
      </c>
    </row>
    <row r="37" spans="1:281" x14ac:dyDescent="0.25">
      <c r="A37">
        <v>21</v>
      </c>
      <c r="B37">
        <v>1693499675</v>
      </c>
      <c r="C37">
        <v>5539</v>
      </c>
      <c r="D37" t="s">
        <v>524</v>
      </c>
      <c r="E37" t="s">
        <v>525</v>
      </c>
      <c r="F37" t="s">
        <v>414</v>
      </c>
      <c r="G37" t="s">
        <v>494</v>
      </c>
      <c r="H37" t="s">
        <v>495</v>
      </c>
      <c r="I37" t="s">
        <v>31</v>
      </c>
      <c r="J37">
        <v>1693499675</v>
      </c>
      <c r="K37">
        <f t="shared" si="0"/>
        <v>5.2507729248251226E-3</v>
      </c>
      <c r="L37">
        <f t="shared" si="1"/>
        <v>5.2507729248251227</v>
      </c>
      <c r="M37">
        <f t="shared" si="2"/>
        <v>1.2955825512280141</v>
      </c>
      <c r="N37">
        <f t="shared" si="3"/>
        <v>8.3637999999999995</v>
      </c>
      <c r="O37">
        <f t="shared" si="4"/>
        <v>2.8375907035071917</v>
      </c>
      <c r="P37">
        <f t="shared" si="5"/>
        <v>0.28294034285886788</v>
      </c>
      <c r="Q37">
        <f t="shared" si="6"/>
        <v>0.83396680031341996</v>
      </c>
      <c r="R37">
        <f t="shared" si="7"/>
        <v>0.40900127565619565</v>
      </c>
      <c r="S37">
        <f t="shared" si="8"/>
        <v>2.9262342599191937</v>
      </c>
      <c r="T37">
        <f t="shared" si="9"/>
        <v>0.37969062712173679</v>
      </c>
      <c r="U37">
        <f t="shared" si="10"/>
        <v>0.23976481158288687</v>
      </c>
      <c r="V37">
        <f t="shared" si="11"/>
        <v>344.39919967102929</v>
      </c>
      <c r="W37">
        <f t="shared" si="12"/>
        <v>31.34693874349054</v>
      </c>
      <c r="X37">
        <f t="shared" si="13"/>
        <v>29.921600000000002</v>
      </c>
      <c r="Y37">
        <f t="shared" si="14"/>
        <v>4.2413015863241537</v>
      </c>
      <c r="Z37">
        <f t="shared" si="15"/>
        <v>65.724930835970213</v>
      </c>
      <c r="AA37">
        <f t="shared" si="16"/>
        <v>2.9118441712514302</v>
      </c>
      <c r="AB37">
        <f t="shared" si="17"/>
        <v>4.4303495404483932</v>
      </c>
      <c r="AC37">
        <f t="shared" si="18"/>
        <v>1.3294574150727234</v>
      </c>
      <c r="AD37">
        <f t="shared" si="19"/>
        <v>-231.55908598478791</v>
      </c>
      <c r="AE37">
        <f t="shared" si="20"/>
        <v>120.03893070705891</v>
      </c>
      <c r="AF37">
        <f t="shared" si="21"/>
        <v>9.1485223977887333</v>
      </c>
      <c r="AG37">
        <f t="shared" si="22"/>
        <v>242.02756679108901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52133.030882825566</v>
      </c>
      <c r="AM37" t="s">
        <v>417</v>
      </c>
      <c r="AN37">
        <v>10366.9</v>
      </c>
      <c r="AO37">
        <v>993.59653846153856</v>
      </c>
      <c r="AP37">
        <v>3431.87</v>
      </c>
      <c r="AQ37">
        <f t="shared" si="26"/>
        <v>0.71047955241266758</v>
      </c>
      <c r="AR37">
        <v>-3.9894345373445681</v>
      </c>
      <c r="AS37" t="s">
        <v>526</v>
      </c>
      <c r="AT37">
        <v>10287.6</v>
      </c>
      <c r="AU37">
        <v>781.65395999999998</v>
      </c>
      <c r="AV37">
        <v>831.74958239616467</v>
      </c>
      <c r="AW37">
        <f t="shared" si="27"/>
        <v>6.022921256160485E-2</v>
      </c>
      <c r="AX37">
        <v>0.5</v>
      </c>
      <c r="AY37">
        <f t="shared" si="28"/>
        <v>1513.3187998355147</v>
      </c>
      <c r="AZ37">
        <f t="shared" si="29"/>
        <v>1.2955825512280141</v>
      </c>
      <c r="BA37">
        <f t="shared" si="30"/>
        <v>45.572999834382976</v>
      </c>
      <c r="BB37">
        <f t="shared" si="31"/>
        <v>3.4923355800159359E-3</v>
      </c>
      <c r="BC37">
        <f t="shared" si="32"/>
        <v>3.1260856303807447</v>
      </c>
      <c r="BD37">
        <f t="shared" si="33"/>
        <v>521.55499559643465</v>
      </c>
      <c r="BE37" t="s">
        <v>527</v>
      </c>
      <c r="BF37">
        <v>556.86</v>
      </c>
      <c r="BG37">
        <f t="shared" si="34"/>
        <v>556.86</v>
      </c>
      <c r="BH37">
        <f t="shared" si="35"/>
        <v>0.33049560614655527</v>
      </c>
      <c r="BI37">
        <f t="shared" si="36"/>
        <v>0.18223907199206993</v>
      </c>
      <c r="BJ37">
        <f t="shared" si="37"/>
        <v>0.9043865647785001</v>
      </c>
      <c r="BK37">
        <f t="shared" si="38"/>
        <v>-0.3095246497927947</v>
      </c>
      <c r="BL37">
        <f t="shared" si="39"/>
        <v>1.0663776884005678</v>
      </c>
      <c r="BM37">
        <f t="shared" si="40"/>
        <v>0.12982938080362832</v>
      </c>
      <c r="BN37">
        <f t="shared" si="41"/>
        <v>0.87017061919637162</v>
      </c>
      <c r="BO37">
        <v>16746</v>
      </c>
      <c r="BP37">
        <v>290.00000000000011</v>
      </c>
      <c r="BQ37">
        <v>818.07</v>
      </c>
      <c r="BR37">
        <v>295</v>
      </c>
      <c r="BS37">
        <v>10287.6</v>
      </c>
      <c r="BT37">
        <v>817.58</v>
      </c>
      <c r="BU37">
        <v>0.49</v>
      </c>
      <c r="BV37">
        <v>300.00000000000011</v>
      </c>
      <c r="BW37">
        <v>38.4</v>
      </c>
      <c r="BX37">
        <v>831.74958239616467</v>
      </c>
      <c r="BY37">
        <v>0.86099119056200457</v>
      </c>
      <c r="BZ37">
        <v>-14.574024071618579</v>
      </c>
      <c r="CA37">
        <v>0.72553330248020076</v>
      </c>
      <c r="CB37">
        <v>0.93511018208389718</v>
      </c>
      <c r="CC37">
        <v>-1.121430923248053E-2</v>
      </c>
      <c r="CD37">
        <v>289.99999999999989</v>
      </c>
      <c r="CE37">
        <v>815.3</v>
      </c>
      <c r="CF37">
        <v>725</v>
      </c>
      <c r="CG37">
        <v>10271.1</v>
      </c>
      <c r="CH37">
        <v>817.56</v>
      </c>
      <c r="CI37">
        <v>-2.2599999999999998</v>
      </c>
      <c r="CW37">
        <f t="shared" si="42"/>
        <v>1800.16</v>
      </c>
      <c r="CX37">
        <f t="shared" si="43"/>
        <v>1513.3187998355147</v>
      </c>
      <c r="CY37">
        <f t="shared" si="44"/>
        <v>0.84065794142493699</v>
      </c>
      <c r="CZ37">
        <f t="shared" si="45"/>
        <v>0.19131588284987405</v>
      </c>
      <c r="DA37">
        <v>6</v>
      </c>
      <c r="DB37">
        <v>0.5</v>
      </c>
      <c r="DC37" t="s">
        <v>420</v>
      </c>
      <c r="DD37">
        <v>2</v>
      </c>
      <c r="DE37">
        <v>1693499675</v>
      </c>
      <c r="DF37">
        <v>8.3637999999999995</v>
      </c>
      <c r="DG37">
        <v>9.97227</v>
      </c>
      <c r="DH37">
        <v>29.2027</v>
      </c>
      <c r="DI37">
        <v>23.081700000000001</v>
      </c>
      <c r="DJ37">
        <v>8.8169799999999992</v>
      </c>
      <c r="DK37">
        <v>29.477599999999999</v>
      </c>
      <c r="DL37">
        <v>499.66699999999997</v>
      </c>
      <c r="DM37">
        <v>99.611900000000006</v>
      </c>
      <c r="DN37">
        <v>9.9570900000000004E-2</v>
      </c>
      <c r="DO37">
        <v>30.682500000000001</v>
      </c>
      <c r="DP37">
        <v>29.921600000000002</v>
      </c>
      <c r="DQ37">
        <v>999.9</v>
      </c>
      <c r="DR37">
        <v>0</v>
      </c>
      <c r="DS37">
        <v>0</v>
      </c>
      <c r="DT37">
        <v>10020</v>
      </c>
      <c r="DU37">
        <v>0</v>
      </c>
      <c r="DV37">
        <v>1680.5</v>
      </c>
      <c r="DW37">
        <v>-1.6084799999999999</v>
      </c>
      <c r="DX37">
        <v>8.6153899999999997</v>
      </c>
      <c r="DY37">
        <v>10.2079</v>
      </c>
      <c r="DZ37">
        <v>6.1209699999999998</v>
      </c>
      <c r="EA37">
        <v>9.97227</v>
      </c>
      <c r="EB37">
        <v>23.081700000000001</v>
      </c>
      <c r="EC37">
        <v>2.9089399999999999</v>
      </c>
      <c r="ED37">
        <v>2.29921</v>
      </c>
      <c r="EE37">
        <v>23.515599999999999</v>
      </c>
      <c r="EF37">
        <v>19.6709</v>
      </c>
      <c r="EG37">
        <v>1800.16</v>
      </c>
      <c r="EH37">
        <v>0.97800699999999996</v>
      </c>
      <c r="EI37">
        <v>2.1992600000000001E-2</v>
      </c>
      <c r="EJ37">
        <v>0</v>
      </c>
      <c r="EK37">
        <v>781.18100000000004</v>
      </c>
      <c r="EL37">
        <v>5.0002500000000003</v>
      </c>
      <c r="EM37">
        <v>22232.2</v>
      </c>
      <c r="EN37">
        <v>14823.4</v>
      </c>
      <c r="EO37">
        <v>46.936999999999998</v>
      </c>
      <c r="EP37">
        <v>48.811999999999998</v>
      </c>
      <c r="EQ37">
        <v>47.936999999999998</v>
      </c>
      <c r="ER37">
        <v>46.875</v>
      </c>
      <c r="ES37">
        <v>48.061999999999998</v>
      </c>
      <c r="ET37">
        <v>1755.68</v>
      </c>
      <c r="EU37">
        <v>39.479999999999997</v>
      </c>
      <c r="EV37">
        <v>0</v>
      </c>
      <c r="EW37">
        <v>100.19999980926509</v>
      </c>
      <c r="EX37">
        <v>0</v>
      </c>
      <c r="EY37">
        <v>781.65395999999998</v>
      </c>
      <c r="EZ37">
        <v>-1.332076920196249</v>
      </c>
      <c r="FA37">
        <v>-1315.361539513523</v>
      </c>
      <c r="FB37">
        <v>22349.284</v>
      </c>
      <c r="FC37">
        <v>15</v>
      </c>
      <c r="FD37">
        <v>1693499642.5</v>
      </c>
      <c r="FE37" t="s">
        <v>528</v>
      </c>
      <c r="FF37">
        <v>1693499632.5</v>
      </c>
      <c r="FG37">
        <v>1693499642.5</v>
      </c>
      <c r="FH37">
        <v>25</v>
      </c>
      <c r="FI37">
        <v>1.2E-2</v>
      </c>
      <c r="FJ37">
        <v>-1E-3</v>
      </c>
      <c r="FK37">
        <v>-0.45300000000000001</v>
      </c>
      <c r="FL37">
        <v>-0.27500000000000002</v>
      </c>
      <c r="FM37">
        <v>10</v>
      </c>
      <c r="FN37">
        <v>23</v>
      </c>
      <c r="FO37">
        <v>0.7</v>
      </c>
      <c r="FP37">
        <v>0.05</v>
      </c>
      <c r="FQ37">
        <v>1.303636287142155</v>
      </c>
      <c r="FR37">
        <v>-8.0288826725073995E-2</v>
      </c>
      <c r="FS37">
        <v>5.0261591155867778E-2</v>
      </c>
      <c r="FT37">
        <v>1</v>
      </c>
      <c r="FU37">
        <v>0.41092988818217202</v>
      </c>
      <c r="FV37">
        <v>3.0253723281198259E-2</v>
      </c>
      <c r="FW37">
        <v>6.0257187611869427E-3</v>
      </c>
      <c r="FX37">
        <v>1</v>
      </c>
      <c r="FY37">
        <v>2</v>
      </c>
      <c r="FZ37">
        <v>2</v>
      </c>
      <c r="GA37" t="s">
        <v>422</v>
      </c>
      <c r="GB37">
        <v>2.9224199999999998</v>
      </c>
      <c r="GC37">
        <v>2.8296299999999999</v>
      </c>
      <c r="GD37">
        <v>2.5078499999999998E-3</v>
      </c>
      <c r="GE37">
        <v>2.77203E-3</v>
      </c>
      <c r="GF37">
        <v>0.13904900000000001</v>
      </c>
      <c r="GG37">
        <v>0.112847</v>
      </c>
      <c r="GH37">
        <v>26139</v>
      </c>
      <c r="GI37">
        <v>31906.1</v>
      </c>
      <c r="GJ37">
        <v>23579.3</v>
      </c>
      <c r="GK37">
        <v>29273.1</v>
      </c>
      <c r="GL37">
        <v>27652.6</v>
      </c>
      <c r="GM37">
        <v>36704.699999999997</v>
      </c>
      <c r="GN37">
        <v>33342</v>
      </c>
      <c r="GO37">
        <v>43185.1</v>
      </c>
      <c r="GP37">
        <v>2.0573000000000001</v>
      </c>
      <c r="GQ37">
        <v>1.9451000000000001</v>
      </c>
      <c r="GR37">
        <v>0.11128200000000001</v>
      </c>
      <c r="GS37">
        <v>0</v>
      </c>
      <c r="GT37">
        <v>28.107700000000001</v>
      </c>
      <c r="GU37">
        <v>999.9</v>
      </c>
      <c r="GV37">
        <v>57.8</v>
      </c>
      <c r="GW37">
        <v>31.6</v>
      </c>
      <c r="GX37">
        <v>27.086500000000001</v>
      </c>
      <c r="GY37">
        <v>61.247900000000001</v>
      </c>
      <c r="GZ37">
        <v>34.996000000000002</v>
      </c>
      <c r="HA37">
        <v>1</v>
      </c>
      <c r="HB37">
        <v>6.0223600000000002E-2</v>
      </c>
      <c r="HC37">
        <v>-1.2376100000000001</v>
      </c>
      <c r="HD37">
        <v>20.319199999999999</v>
      </c>
      <c r="HE37">
        <v>5.2047100000000004</v>
      </c>
      <c r="HF37">
        <v>11.866199999999999</v>
      </c>
      <c r="HG37">
        <v>4.9828000000000001</v>
      </c>
      <c r="HH37">
        <v>3.2822</v>
      </c>
      <c r="HI37">
        <v>9999</v>
      </c>
      <c r="HJ37">
        <v>9999</v>
      </c>
      <c r="HK37">
        <v>9999</v>
      </c>
      <c r="HL37">
        <v>999.9</v>
      </c>
      <c r="HM37">
        <v>1.8547100000000001</v>
      </c>
      <c r="HN37">
        <v>1.8608100000000001</v>
      </c>
      <c r="HO37">
        <v>1.85822</v>
      </c>
      <c r="HP37">
        <v>1.85944</v>
      </c>
      <c r="HQ37">
        <v>1.85883</v>
      </c>
      <c r="HR37">
        <v>1.8593299999999999</v>
      </c>
      <c r="HS37">
        <v>1.8577399999999999</v>
      </c>
      <c r="HT37">
        <v>1.86111</v>
      </c>
      <c r="HU37">
        <v>5</v>
      </c>
      <c r="HV37">
        <v>0</v>
      </c>
      <c r="HW37">
        <v>0</v>
      </c>
      <c r="HX37">
        <v>0</v>
      </c>
      <c r="HY37" t="s">
        <v>423</v>
      </c>
      <c r="HZ37" t="s">
        <v>424</v>
      </c>
      <c r="IA37" t="s">
        <v>425</v>
      </c>
      <c r="IB37" t="s">
        <v>425</v>
      </c>
      <c r="IC37" t="s">
        <v>425</v>
      </c>
      <c r="ID37" t="s">
        <v>425</v>
      </c>
      <c r="IE37">
        <v>0</v>
      </c>
      <c r="IF37">
        <v>100</v>
      </c>
      <c r="IG37">
        <v>100</v>
      </c>
      <c r="IH37">
        <v>-0.45300000000000001</v>
      </c>
      <c r="II37">
        <v>-0.27489999999999998</v>
      </c>
      <c r="IJ37">
        <v>-0.45318800000000081</v>
      </c>
      <c r="IK37">
        <v>0</v>
      </c>
      <c r="IL37">
        <v>0</v>
      </c>
      <c r="IM37">
        <v>0</v>
      </c>
      <c r="IN37">
        <v>-0.27491499999999292</v>
      </c>
      <c r="IO37">
        <v>0</v>
      </c>
      <c r="IP37">
        <v>0</v>
      </c>
      <c r="IQ37">
        <v>0</v>
      </c>
      <c r="IR37">
        <v>-1</v>
      </c>
      <c r="IS37">
        <v>-1</v>
      </c>
      <c r="IT37">
        <v>-1</v>
      </c>
      <c r="IU37">
        <v>-1</v>
      </c>
      <c r="IV37">
        <v>0.7</v>
      </c>
      <c r="IW37">
        <v>0.5</v>
      </c>
      <c r="IX37">
        <v>0.167236</v>
      </c>
      <c r="IY37">
        <v>2.52563</v>
      </c>
      <c r="IZ37">
        <v>1.49414</v>
      </c>
      <c r="JA37">
        <v>2.2961399999999998</v>
      </c>
      <c r="JB37">
        <v>1.54419</v>
      </c>
      <c r="JC37">
        <v>2.4865699999999999</v>
      </c>
      <c r="JD37">
        <v>34.806600000000003</v>
      </c>
      <c r="JE37">
        <v>15.8132</v>
      </c>
      <c r="JF37">
        <v>18</v>
      </c>
      <c r="JG37">
        <v>535.01800000000003</v>
      </c>
      <c r="JH37">
        <v>498.25799999999998</v>
      </c>
      <c r="JI37">
        <v>29.525200000000002</v>
      </c>
      <c r="JJ37">
        <v>28.0943</v>
      </c>
      <c r="JK37">
        <v>30.000499999999999</v>
      </c>
      <c r="JL37">
        <v>28.104500000000002</v>
      </c>
      <c r="JM37">
        <v>28.071899999999999</v>
      </c>
      <c r="JN37">
        <v>3.4205700000000001</v>
      </c>
      <c r="JO37">
        <v>24.6463</v>
      </c>
      <c r="JP37">
        <v>100</v>
      </c>
      <c r="JQ37">
        <v>29.5671</v>
      </c>
      <c r="JR37">
        <v>10</v>
      </c>
      <c r="JS37">
        <v>23.010200000000001</v>
      </c>
      <c r="JT37">
        <v>98.885999999999996</v>
      </c>
      <c r="JU37">
        <v>97.294899999999998</v>
      </c>
    </row>
    <row r="38" spans="1:281" x14ac:dyDescent="0.25">
      <c r="A38">
        <v>22</v>
      </c>
      <c r="B38">
        <v>1693499864.5</v>
      </c>
      <c r="C38">
        <v>5728.5</v>
      </c>
      <c r="D38" t="s">
        <v>529</v>
      </c>
      <c r="E38" t="s">
        <v>530</v>
      </c>
      <c r="F38" t="s">
        <v>414</v>
      </c>
      <c r="G38" t="s">
        <v>494</v>
      </c>
      <c r="H38" t="s">
        <v>495</v>
      </c>
      <c r="I38" t="s">
        <v>31</v>
      </c>
      <c r="J38">
        <v>1693499864.5</v>
      </c>
      <c r="K38">
        <f t="shared" si="0"/>
        <v>4.7143227505839812E-3</v>
      </c>
      <c r="L38">
        <f t="shared" si="1"/>
        <v>4.7143227505839809</v>
      </c>
      <c r="M38">
        <f t="shared" si="2"/>
        <v>34.378306570671015</v>
      </c>
      <c r="N38">
        <f t="shared" si="3"/>
        <v>356.839</v>
      </c>
      <c r="O38">
        <f t="shared" si="4"/>
        <v>183.3007005665975</v>
      </c>
      <c r="P38">
        <f t="shared" si="5"/>
        <v>18.27670407399749</v>
      </c>
      <c r="Q38">
        <f t="shared" si="6"/>
        <v>35.580010250378997</v>
      </c>
      <c r="R38">
        <f t="shared" si="7"/>
        <v>0.34718497051441288</v>
      </c>
      <c r="S38">
        <f t="shared" si="8"/>
        <v>2.9244276938213716</v>
      </c>
      <c r="T38">
        <f t="shared" si="9"/>
        <v>0.32580425932539392</v>
      </c>
      <c r="U38">
        <f t="shared" si="10"/>
        <v>0.20543881740520387</v>
      </c>
      <c r="V38">
        <f t="shared" si="11"/>
        <v>344.34279967089111</v>
      </c>
      <c r="W38">
        <f t="shared" si="12"/>
        <v>31.603903896489051</v>
      </c>
      <c r="X38">
        <f t="shared" si="13"/>
        <v>30.028400000000001</v>
      </c>
      <c r="Y38">
        <f t="shared" si="14"/>
        <v>4.2674046701195083</v>
      </c>
      <c r="Z38">
        <f t="shared" si="15"/>
        <v>64.488432522899302</v>
      </c>
      <c r="AA38">
        <f t="shared" si="16"/>
        <v>2.8763214550392</v>
      </c>
      <c r="AB38">
        <f t="shared" si="17"/>
        <v>4.4602130064455237</v>
      </c>
      <c r="AC38">
        <f t="shared" si="18"/>
        <v>1.3910832150803083</v>
      </c>
      <c r="AD38">
        <f t="shared" si="19"/>
        <v>-207.90163330075356</v>
      </c>
      <c r="AE38">
        <f t="shared" si="20"/>
        <v>121.66756925646899</v>
      </c>
      <c r="AF38">
        <f t="shared" si="21"/>
        <v>9.2886751590574352</v>
      </c>
      <c r="AG38">
        <f t="shared" si="22"/>
        <v>267.39741078566396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52061.312503353292</v>
      </c>
      <c r="AM38" t="s">
        <v>417</v>
      </c>
      <c r="AN38">
        <v>10366.9</v>
      </c>
      <c r="AO38">
        <v>993.59653846153856</v>
      </c>
      <c r="AP38">
        <v>3431.87</v>
      </c>
      <c r="AQ38">
        <f t="shared" si="26"/>
        <v>0.71047955241266758</v>
      </c>
      <c r="AR38">
        <v>-3.9894345373445681</v>
      </c>
      <c r="AS38" t="s">
        <v>531</v>
      </c>
      <c r="AT38">
        <v>10302.799999999999</v>
      </c>
      <c r="AU38">
        <v>770.72912000000008</v>
      </c>
      <c r="AV38">
        <v>1035.210381461425</v>
      </c>
      <c r="AW38">
        <f t="shared" si="27"/>
        <v>0.25548551888366111</v>
      </c>
      <c r="AX38">
        <v>0.5</v>
      </c>
      <c r="AY38">
        <f t="shared" si="28"/>
        <v>1513.0670998354453</v>
      </c>
      <c r="AZ38">
        <f t="shared" si="29"/>
        <v>34.378306570671015</v>
      </c>
      <c r="BA38">
        <f t="shared" si="30"/>
        <v>193.2833665536275</v>
      </c>
      <c r="BB38">
        <f t="shared" si="31"/>
        <v>2.5357593931021494E-2</v>
      </c>
      <c r="BC38">
        <f t="shared" si="32"/>
        <v>2.3151425656639648</v>
      </c>
      <c r="BD38">
        <f t="shared" si="33"/>
        <v>594.86785273364524</v>
      </c>
      <c r="BE38" t="s">
        <v>532</v>
      </c>
      <c r="BF38">
        <v>564.71</v>
      </c>
      <c r="BG38">
        <f t="shared" si="34"/>
        <v>564.71</v>
      </c>
      <c r="BH38">
        <f t="shared" si="35"/>
        <v>0.45449735617721598</v>
      </c>
      <c r="BI38">
        <f t="shared" si="36"/>
        <v>0.56212762387124438</v>
      </c>
      <c r="BJ38">
        <f t="shared" si="37"/>
        <v>0.83590020038594826</v>
      </c>
      <c r="BK38">
        <f t="shared" si="38"/>
        <v>6.3556077111682976</v>
      </c>
      <c r="BL38">
        <f t="shared" si="39"/>
        <v>0.98293306979044526</v>
      </c>
      <c r="BM38">
        <f t="shared" si="40"/>
        <v>0.41186855697930602</v>
      </c>
      <c r="BN38">
        <f t="shared" si="41"/>
        <v>0.58813144302069398</v>
      </c>
      <c r="BO38">
        <v>16748</v>
      </c>
      <c r="BP38">
        <v>290.00000000000011</v>
      </c>
      <c r="BQ38">
        <v>956.74</v>
      </c>
      <c r="BR38">
        <v>185</v>
      </c>
      <c r="BS38">
        <v>10302.799999999999</v>
      </c>
      <c r="BT38">
        <v>955.45</v>
      </c>
      <c r="BU38">
        <v>1.29</v>
      </c>
      <c r="BV38">
        <v>300.00000000000011</v>
      </c>
      <c r="BW38">
        <v>38.4</v>
      </c>
      <c r="BX38">
        <v>1035.210381461425</v>
      </c>
      <c r="BY38">
        <v>1.311081517494697</v>
      </c>
      <c r="BZ38">
        <v>-82.174936540561674</v>
      </c>
      <c r="CA38">
        <v>1.10511548057207</v>
      </c>
      <c r="CB38">
        <v>0.99496150444459519</v>
      </c>
      <c r="CC38">
        <v>-1.121772925472748E-2</v>
      </c>
      <c r="CD38">
        <v>289.99999999999989</v>
      </c>
      <c r="CE38">
        <v>942.65</v>
      </c>
      <c r="CF38">
        <v>625</v>
      </c>
      <c r="CG38">
        <v>10280.9</v>
      </c>
      <c r="CH38">
        <v>955.28</v>
      </c>
      <c r="CI38">
        <v>-12.63</v>
      </c>
      <c r="CW38">
        <f t="shared" si="42"/>
        <v>1799.86</v>
      </c>
      <c r="CX38">
        <f t="shared" si="43"/>
        <v>1513.0670998354453</v>
      </c>
      <c r="CY38">
        <f t="shared" si="44"/>
        <v>0.84065821776996286</v>
      </c>
      <c r="CZ38">
        <f t="shared" si="45"/>
        <v>0.19131643553992594</v>
      </c>
      <c r="DA38">
        <v>6</v>
      </c>
      <c r="DB38">
        <v>0.5</v>
      </c>
      <c r="DC38" t="s">
        <v>420</v>
      </c>
      <c r="DD38">
        <v>2</v>
      </c>
      <c r="DE38">
        <v>1693499864.5</v>
      </c>
      <c r="DF38">
        <v>356.839</v>
      </c>
      <c r="DG38">
        <v>400.10700000000003</v>
      </c>
      <c r="DH38">
        <v>28.847200000000001</v>
      </c>
      <c r="DI38">
        <v>23.3538</v>
      </c>
      <c r="DJ38">
        <v>357.24299999999999</v>
      </c>
      <c r="DK38">
        <v>29.119800000000001</v>
      </c>
      <c r="DL38">
        <v>500.05399999999997</v>
      </c>
      <c r="DM38">
        <v>99.608699999999999</v>
      </c>
      <c r="DN38">
        <v>0.100161</v>
      </c>
      <c r="DO38">
        <v>30.8001</v>
      </c>
      <c r="DP38">
        <v>30.028400000000001</v>
      </c>
      <c r="DQ38">
        <v>999.9</v>
      </c>
      <c r="DR38">
        <v>0</v>
      </c>
      <c r="DS38">
        <v>0</v>
      </c>
      <c r="DT38">
        <v>10010</v>
      </c>
      <c r="DU38">
        <v>0</v>
      </c>
      <c r="DV38">
        <v>1679.78</v>
      </c>
      <c r="DW38">
        <v>-43.267899999999997</v>
      </c>
      <c r="DX38">
        <v>367.43900000000002</v>
      </c>
      <c r="DY38">
        <v>409.67399999999998</v>
      </c>
      <c r="DZ38">
        <v>5.4933899999999998</v>
      </c>
      <c r="EA38">
        <v>400.10700000000003</v>
      </c>
      <c r="EB38">
        <v>23.3538</v>
      </c>
      <c r="EC38">
        <v>2.8734299999999999</v>
      </c>
      <c r="ED38">
        <v>2.3262399999999999</v>
      </c>
      <c r="EE38">
        <v>23.312100000000001</v>
      </c>
      <c r="EF38">
        <v>19.859200000000001</v>
      </c>
      <c r="EG38">
        <v>1799.86</v>
      </c>
      <c r="EH38">
        <v>0.97799999999999998</v>
      </c>
      <c r="EI38">
        <v>2.2000100000000002E-2</v>
      </c>
      <c r="EJ38">
        <v>0</v>
      </c>
      <c r="EK38">
        <v>769.50800000000004</v>
      </c>
      <c r="EL38">
        <v>5.0002500000000003</v>
      </c>
      <c r="EM38">
        <v>21931.4</v>
      </c>
      <c r="EN38">
        <v>14820.9</v>
      </c>
      <c r="EO38">
        <v>46.811999999999998</v>
      </c>
      <c r="EP38">
        <v>48.436999999999998</v>
      </c>
      <c r="EQ38">
        <v>47.686999999999998</v>
      </c>
      <c r="ER38">
        <v>46.686999999999998</v>
      </c>
      <c r="ES38">
        <v>47.936999999999998</v>
      </c>
      <c r="ET38">
        <v>1755.37</v>
      </c>
      <c r="EU38">
        <v>39.49</v>
      </c>
      <c r="EV38">
        <v>0</v>
      </c>
      <c r="EW38">
        <v>187.79999995231631</v>
      </c>
      <c r="EX38">
        <v>0</v>
      </c>
      <c r="EY38">
        <v>770.72912000000008</v>
      </c>
      <c r="EZ38">
        <v>-9.8210000098998904</v>
      </c>
      <c r="FA38">
        <v>-1135.3615365058799</v>
      </c>
      <c r="FB38">
        <v>22052.948</v>
      </c>
      <c r="FC38">
        <v>15</v>
      </c>
      <c r="FD38">
        <v>1693499767.5</v>
      </c>
      <c r="FE38" t="s">
        <v>533</v>
      </c>
      <c r="FF38">
        <v>1693499753</v>
      </c>
      <c r="FG38">
        <v>1693499767.5</v>
      </c>
      <c r="FH38">
        <v>26</v>
      </c>
      <c r="FI38">
        <v>4.9000000000000002E-2</v>
      </c>
      <c r="FJ38">
        <v>2E-3</v>
      </c>
      <c r="FK38">
        <v>-0.40400000000000003</v>
      </c>
      <c r="FL38">
        <v>-0.27300000000000002</v>
      </c>
      <c r="FM38">
        <v>400</v>
      </c>
      <c r="FN38">
        <v>23</v>
      </c>
      <c r="FO38">
        <v>1.1299999999999999</v>
      </c>
      <c r="FP38">
        <v>0.04</v>
      </c>
      <c r="FQ38">
        <v>33.758369877350667</v>
      </c>
      <c r="FR38">
        <v>3.9054716601690109</v>
      </c>
      <c r="FS38">
        <v>0.2929754234213765</v>
      </c>
      <c r="FT38">
        <v>0</v>
      </c>
      <c r="FU38">
        <v>0.35350266214848242</v>
      </c>
      <c r="FV38">
        <v>-4.8738366548327999E-2</v>
      </c>
      <c r="FW38">
        <v>3.6320568494923101E-3</v>
      </c>
      <c r="FX38">
        <v>1</v>
      </c>
      <c r="FY38">
        <v>1</v>
      </c>
      <c r="FZ38">
        <v>2</v>
      </c>
      <c r="GA38" t="s">
        <v>461</v>
      </c>
      <c r="GB38">
        <v>2.9233500000000001</v>
      </c>
      <c r="GC38">
        <v>2.8301400000000001</v>
      </c>
      <c r="GD38">
        <v>8.3818599999999993E-2</v>
      </c>
      <c r="GE38">
        <v>8.9793600000000001E-2</v>
      </c>
      <c r="GF38">
        <v>0.13785700000000001</v>
      </c>
      <c r="GG38">
        <v>0.113758</v>
      </c>
      <c r="GH38">
        <v>24010</v>
      </c>
      <c r="GI38">
        <v>29125.200000000001</v>
      </c>
      <c r="GJ38">
        <v>23581.3</v>
      </c>
      <c r="GK38">
        <v>29276.9</v>
      </c>
      <c r="GL38">
        <v>27701.8</v>
      </c>
      <c r="GM38">
        <v>36679.800000000003</v>
      </c>
      <c r="GN38">
        <v>33344.9</v>
      </c>
      <c r="GO38">
        <v>43189.9</v>
      </c>
      <c r="GP38">
        <v>2.0577000000000001</v>
      </c>
      <c r="GQ38">
        <v>1.9471000000000001</v>
      </c>
      <c r="GR38">
        <v>0.12662999999999999</v>
      </c>
      <c r="GS38">
        <v>0</v>
      </c>
      <c r="GT38">
        <v>27.964300000000001</v>
      </c>
      <c r="GU38">
        <v>999.9</v>
      </c>
      <c r="GV38">
        <v>58.1</v>
      </c>
      <c r="GW38">
        <v>31.5</v>
      </c>
      <c r="GX38">
        <v>27.073699999999999</v>
      </c>
      <c r="GY38">
        <v>60.917900000000003</v>
      </c>
      <c r="GZ38">
        <v>34.483199999999997</v>
      </c>
      <c r="HA38">
        <v>1</v>
      </c>
      <c r="HB38">
        <v>6.3394300000000001E-2</v>
      </c>
      <c r="HC38">
        <v>-1.0501199999999999</v>
      </c>
      <c r="HD38">
        <v>20.322600000000001</v>
      </c>
      <c r="HE38">
        <v>5.2125000000000004</v>
      </c>
      <c r="HF38">
        <v>11.866199999999999</v>
      </c>
      <c r="HG38">
        <v>4.9851999999999999</v>
      </c>
      <c r="HH38">
        <v>3.2839999999999998</v>
      </c>
      <c r="HI38">
        <v>9999</v>
      </c>
      <c r="HJ38">
        <v>9999</v>
      </c>
      <c r="HK38">
        <v>9999</v>
      </c>
      <c r="HL38">
        <v>999.9</v>
      </c>
      <c r="HM38">
        <v>1.8546499999999999</v>
      </c>
      <c r="HN38">
        <v>1.8608</v>
      </c>
      <c r="HO38">
        <v>1.85822</v>
      </c>
      <c r="HP38">
        <v>1.85944</v>
      </c>
      <c r="HQ38">
        <v>1.8587800000000001</v>
      </c>
      <c r="HR38">
        <v>1.85928</v>
      </c>
      <c r="HS38">
        <v>1.8577600000000001</v>
      </c>
      <c r="HT38">
        <v>1.8611</v>
      </c>
      <c r="HU38">
        <v>5</v>
      </c>
      <c r="HV38">
        <v>0</v>
      </c>
      <c r="HW38">
        <v>0</v>
      </c>
      <c r="HX38">
        <v>0</v>
      </c>
      <c r="HY38" t="s">
        <v>423</v>
      </c>
      <c r="HZ38" t="s">
        <v>424</v>
      </c>
      <c r="IA38" t="s">
        <v>425</v>
      </c>
      <c r="IB38" t="s">
        <v>425</v>
      </c>
      <c r="IC38" t="s">
        <v>425</v>
      </c>
      <c r="ID38" t="s">
        <v>425</v>
      </c>
      <c r="IE38">
        <v>0</v>
      </c>
      <c r="IF38">
        <v>100</v>
      </c>
      <c r="IG38">
        <v>100</v>
      </c>
      <c r="IH38">
        <v>-0.40400000000000003</v>
      </c>
      <c r="II38">
        <v>-0.27260000000000001</v>
      </c>
      <c r="IJ38">
        <v>-0.40409523809529452</v>
      </c>
      <c r="IK38">
        <v>0</v>
      </c>
      <c r="IL38">
        <v>0</v>
      </c>
      <c r="IM38">
        <v>0</v>
      </c>
      <c r="IN38">
        <v>-0.27265500000000031</v>
      </c>
      <c r="IO38">
        <v>0</v>
      </c>
      <c r="IP38">
        <v>0</v>
      </c>
      <c r="IQ38">
        <v>0</v>
      </c>
      <c r="IR38">
        <v>-1</v>
      </c>
      <c r="IS38">
        <v>-1</v>
      </c>
      <c r="IT38">
        <v>-1</v>
      </c>
      <c r="IU38">
        <v>-1</v>
      </c>
      <c r="IV38">
        <v>1.9</v>
      </c>
      <c r="IW38">
        <v>1.6</v>
      </c>
      <c r="IX38">
        <v>0.99975599999999998</v>
      </c>
      <c r="IY38">
        <v>2.4572799999999999</v>
      </c>
      <c r="IZ38">
        <v>1.49414</v>
      </c>
      <c r="JA38">
        <v>2.2961399999999998</v>
      </c>
      <c r="JB38">
        <v>1.54419</v>
      </c>
      <c r="JC38">
        <v>2.48047</v>
      </c>
      <c r="JD38">
        <v>34.692100000000003</v>
      </c>
      <c r="JE38">
        <v>15.786899999999999</v>
      </c>
      <c r="JF38">
        <v>18</v>
      </c>
      <c r="JG38">
        <v>535.79700000000003</v>
      </c>
      <c r="JH38">
        <v>500.26600000000002</v>
      </c>
      <c r="JI38">
        <v>29.945599999999999</v>
      </c>
      <c r="JJ38">
        <v>28.139800000000001</v>
      </c>
      <c r="JK38">
        <v>29.9999</v>
      </c>
      <c r="JL38">
        <v>28.159099999999999</v>
      </c>
      <c r="JM38">
        <v>28.1312</v>
      </c>
      <c r="JN38">
        <v>20.098500000000001</v>
      </c>
      <c r="JO38">
        <v>22.176400000000001</v>
      </c>
      <c r="JP38">
        <v>100</v>
      </c>
      <c r="JQ38">
        <v>29.966999999999999</v>
      </c>
      <c r="JR38">
        <v>400</v>
      </c>
      <c r="JS38">
        <v>23.465900000000001</v>
      </c>
      <c r="JT38">
        <v>98.894400000000005</v>
      </c>
      <c r="JU38">
        <v>97.306399999999996</v>
      </c>
    </row>
    <row r="39" spans="1:281" x14ac:dyDescent="0.25">
      <c r="A39">
        <v>23</v>
      </c>
      <c r="B39">
        <v>1693500003</v>
      </c>
      <c r="C39">
        <v>5867</v>
      </c>
      <c r="D39" t="s">
        <v>534</v>
      </c>
      <c r="E39" t="s">
        <v>535</v>
      </c>
      <c r="F39" t="s">
        <v>414</v>
      </c>
      <c r="G39" t="s">
        <v>494</v>
      </c>
      <c r="H39" t="s">
        <v>495</v>
      </c>
      <c r="I39" t="s">
        <v>31</v>
      </c>
      <c r="J39">
        <v>1693500003</v>
      </c>
      <c r="K39">
        <f t="shared" si="0"/>
        <v>4.2946129761202902E-3</v>
      </c>
      <c r="L39">
        <f t="shared" si="1"/>
        <v>4.2946129761202902</v>
      </c>
      <c r="M39">
        <f t="shared" si="2"/>
        <v>36.877208295979116</v>
      </c>
      <c r="N39">
        <f t="shared" si="3"/>
        <v>354.01600000000002</v>
      </c>
      <c r="O39">
        <f t="shared" si="4"/>
        <v>155.78169637624694</v>
      </c>
      <c r="P39">
        <f t="shared" si="5"/>
        <v>15.53205680672755</v>
      </c>
      <c r="Q39">
        <f t="shared" si="6"/>
        <v>35.296807971651205</v>
      </c>
      <c r="R39">
        <f t="shared" si="7"/>
        <v>0.32246886286142512</v>
      </c>
      <c r="S39">
        <f t="shared" si="8"/>
        <v>2.9287200831423834</v>
      </c>
      <c r="T39">
        <f t="shared" si="9"/>
        <v>0.30396227906326329</v>
      </c>
      <c r="U39">
        <f t="shared" si="10"/>
        <v>0.19155060200416302</v>
      </c>
      <c r="V39">
        <f t="shared" si="11"/>
        <v>344.39409967094048</v>
      </c>
      <c r="W39">
        <f t="shared" si="12"/>
        <v>31.583786657100767</v>
      </c>
      <c r="X39">
        <f t="shared" si="13"/>
        <v>29.984999999999999</v>
      </c>
      <c r="Y39">
        <f t="shared" si="14"/>
        <v>4.2567803991207187</v>
      </c>
      <c r="Z39">
        <f t="shared" si="15"/>
        <v>65.466786371413761</v>
      </c>
      <c r="AA39">
        <f t="shared" si="16"/>
        <v>2.8986342992266798</v>
      </c>
      <c r="AB39">
        <f t="shared" si="17"/>
        <v>4.4276410373678825</v>
      </c>
      <c r="AC39">
        <f t="shared" si="18"/>
        <v>1.3581460998940389</v>
      </c>
      <c r="AD39">
        <f t="shared" si="19"/>
        <v>-189.3924322469048</v>
      </c>
      <c r="AE39">
        <f t="shared" si="20"/>
        <v>108.44102031164546</v>
      </c>
      <c r="AF39">
        <f t="shared" si="21"/>
        <v>8.2597464728929975</v>
      </c>
      <c r="AG39">
        <f t="shared" si="22"/>
        <v>271.70243420857412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52205.581929268425</v>
      </c>
      <c r="AM39" t="s">
        <v>417</v>
      </c>
      <c r="AN39">
        <v>10366.9</v>
      </c>
      <c r="AO39">
        <v>993.59653846153856</v>
      </c>
      <c r="AP39">
        <v>3431.87</v>
      </c>
      <c r="AQ39">
        <f t="shared" si="26"/>
        <v>0.71047955241266758</v>
      </c>
      <c r="AR39">
        <v>-3.9894345373445681</v>
      </c>
      <c r="AS39" t="s">
        <v>536</v>
      </c>
      <c r="AT39">
        <v>10313.799999999999</v>
      </c>
      <c r="AU39">
        <v>758.4816538461539</v>
      </c>
      <c r="AV39">
        <v>1025.754924317135</v>
      </c>
      <c r="AW39">
        <f t="shared" si="27"/>
        <v>0.2605625029281825</v>
      </c>
      <c r="AX39">
        <v>0.5</v>
      </c>
      <c r="AY39">
        <f t="shared" si="28"/>
        <v>1513.2938998354703</v>
      </c>
      <c r="AZ39">
        <f t="shared" si="29"/>
        <v>36.877208295979116</v>
      </c>
      <c r="BA39">
        <f t="shared" si="30"/>
        <v>197.15382310354022</v>
      </c>
      <c r="BB39">
        <f t="shared" si="31"/>
        <v>2.7005093219345442E-2</v>
      </c>
      <c r="BC39">
        <f t="shared" si="32"/>
        <v>2.3457017057799283</v>
      </c>
      <c r="BD39">
        <f t="shared" si="33"/>
        <v>591.7334347514859</v>
      </c>
      <c r="BE39" t="s">
        <v>537</v>
      </c>
      <c r="BF39">
        <v>566.64</v>
      </c>
      <c r="BG39">
        <f t="shared" si="34"/>
        <v>566.64</v>
      </c>
      <c r="BH39">
        <f t="shared" si="35"/>
        <v>0.44758734609319739</v>
      </c>
      <c r="BI39">
        <f t="shared" si="36"/>
        <v>0.5821489485851723</v>
      </c>
      <c r="BJ39">
        <f t="shared" si="37"/>
        <v>0.83976332639364537</v>
      </c>
      <c r="BK39">
        <f t="shared" si="38"/>
        <v>8.3111531676727015</v>
      </c>
      <c r="BL39">
        <f t="shared" si="39"/>
        <v>0.98681100116009712</v>
      </c>
      <c r="BM39">
        <f t="shared" si="40"/>
        <v>0.43490686762637337</v>
      </c>
      <c r="BN39">
        <f t="shared" si="41"/>
        <v>0.56509313237362657</v>
      </c>
      <c r="BO39">
        <v>16750</v>
      </c>
      <c r="BP39">
        <v>290.00000000000011</v>
      </c>
      <c r="BQ39">
        <v>955.97</v>
      </c>
      <c r="BR39">
        <v>115</v>
      </c>
      <c r="BS39">
        <v>10313.799999999999</v>
      </c>
      <c r="BT39">
        <v>951.2</v>
      </c>
      <c r="BU39">
        <v>4.7699999999999996</v>
      </c>
      <c r="BV39">
        <v>300.00000000000011</v>
      </c>
      <c r="BW39">
        <v>38.4</v>
      </c>
      <c r="BX39">
        <v>1025.754924317135</v>
      </c>
      <c r="BY39">
        <v>1.4259625159956251</v>
      </c>
      <c r="BZ39">
        <v>-76.897826085005008</v>
      </c>
      <c r="CA39">
        <v>1.2019645917520669</v>
      </c>
      <c r="CB39">
        <v>0.99320557974861379</v>
      </c>
      <c r="CC39">
        <v>-1.1217766629588439E-2</v>
      </c>
      <c r="CD39">
        <v>289.99999999999989</v>
      </c>
      <c r="CE39">
        <v>944.62</v>
      </c>
      <c r="CF39">
        <v>655</v>
      </c>
      <c r="CG39">
        <v>10278.799999999999</v>
      </c>
      <c r="CH39">
        <v>950.94</v>
      </c>
      <c r="CI39">
        <v>-6.32</v>
      </c>
      <c r="CW39">
        <f t="shared" si="42"/>
        <v>1800.13</v>
      </c>
      <c r="CX39">
        <f t="shared" si="43"/>
        <v>1513.2938998354703</v>
      </c>
      <c r="CY39">
        <f t="shared" si="44"/>
        <v>0.84065811904444132</v>
      </c>
      <c r="CZ39">
        <f t="shared" si="45"/>
        <v>0.19131623808888273</v>
      </c>
      <c r="DA39">
        <v>6</v>
      </c>
      <c r="DB39">
        <v>0.5</v>
      </c>
      <c r="DC39" t="s">
        <v>420</v>
      </c>
      <c r="DD39">
        <v>2</v>
      </c>
      <c r="DE39">
        <v>1693500003</v>
      </c>
      <c r="DF39">
        <v>354.01600000000002</v>
      </c>
      <c r="DG39">
        <v>400.05799999999999</v>
      </c>
      <c r="DH39">
        <v>29.072399999999998</v>
      </c>
      <c r="DI39">
        <v>24.072500000000002</v>
      </c>
      <c r="DJ39">
        <v>354.60500000000002</v>
      </c>
      <c r="DK39">
        <v>29.343800000000002</v>
      </c>
      <c r="DL39">
        <v>500.38099999999997</v>
      </c>
      <c r="DM39">
        <v>99.604100000000003</v>
      </c>
      <c r="DN39">
        <v>9.9890699999999999E-2</v>
      </c>
      <c r="DO39">
        <v>30.671800000000001</v>
      </c>
      <c r="DP39">
        <v>29.984999999999999</v>
      </c>
      <c r="DQ39">
        <v>999.9</v>
      </c>
      <c r="DR39">
        <v>0</v>
      </c>
      <c r="DS39">
        <v>0</v>
      </c>
      <c r="DT39">
        <v>10035</v>
      </c>
      <c r="DU39">
        <v>0</v>
      </c>
      <c r="DV39">
        <v>1676.97</v>
      </c>
      <c r="DW39">
        <v>-46.042299999999997</v>
      </c>
      <c r="DX39">
        <v>364.61599999999999</v>
      </c>
      <c r="DY39">
        <v>409.92599999999999</v>
      </c>
      <c r="DZ39">
        <v>4.9999000000000002</v>
      </c>
      <c r="EA39">
        <v>400.05799999999999</v>
      </c>
      <c r="EB39">
        <v>24.072500000000002</v>
      </c>
      <c r="EC39">
        <v>2.8957299999999999</v>
      </c>
      <c r="ED39">
        <v>2.3977200000000001</v>
      </c>
      <c r="EE39">
        <v>23.440200000000001</v>
      </c>
      <c r="EF39">
        <v>20.348400000000002</v>
      </c>
      <c r="EG39">
        <v>1800.13</v>
      </c>
      <c r="EH39">
        <v>0.97800399999999998</v>
      </c>
      <c r="EI39">
        <v>2.19963E-2</v>
      </c>
      <c r="EJ39">
        <v>0</v>
      </c>
      <c r="EK39">
        <v>758.97699999999998</v>
      </c>
      <c r="EL39">
        <v>5.0002500000000003</v>
      </c>
      <c r="EM39">
        <v>21894.799999999999</v>
      </c>
      <c r="EN39">
        <v>14823.2</v>
      </c>
      <c r="EO39">
        <v>46.75</v>
      </c>
      <c r="EP39">
        <v>48.5</v>
      </c>
      <c r="EQ39">
        <v>47.686999999999998</v>
      </c>
      <c r="ER39">
        <v>46.686999999999998</v>
      </c>
      <c r="ES39">
        <v>47.936999999999998</v>
      </c>
      <c r="ET39">
        <v>1755.64</v>
      </c>
      <c r="EU39">
        <v>39.49</v>
      </c>
      <c r="EV39">
        <v>0</v>
      </c>
      <c r="EW39">
        <v>136.79999995231631</v>
      </c>
      <c r="EX39">
        <v>0</v>
      </c>
      <c r="EY39">
        <v>758.4816538461539</v>
      </c>
      <c r="EZ39">
        <v>3.3031453002050428</v>
      </c>
      <c r="FA39">
        <v>92.943586662248805</v>
      </c>
      <c r="FB39">
        <v>21912.59230769231</v>
      </c>
      <c r="FC39">
        <v>15</v>
      </c>
      <c r="FD39">
        <v>1693499968.5</v>
      </c>
      <c r="FE39" t="s">
        <v>538</v>
      </c>
      <c r="FF39">
        <v>1693499964</v>
      </c>
      <c r="FG39">
        <v>1693499968.5</v>
      </c>
      <c r="FH39">
        <v>27</v>
      </c>
      <c r="FI39">
        <v>-0.185</v>
      </c>
      <c r="FJ39">
        <v>1E-3</v>
      </c>
      <c r="FK39">
        <v>-0.58899999999999997</v>
      </c>
      <c r="FL39">
        <v>-0.27100000000000002</v>
      </c>
      <c r="FM39">
        <v>400</v>
      </c>
      <c r="FN39">
        <v>24</v>
      </c>
      <c r="FO39">
        <v>0.1</v>
      </c>
      <c r="FP39">
        <v>0.04</v>
      </c>
      <c r="FQ39">
        <v>36.863120613996408</v>
      </c>
      <c r="FR39">
        <v>0.1420109739122869</v>
      </c>
      <c r="FS39">
        <v>0.1059247578949721</v>
      </c>
      <c r="FT39">
        <v>1</v>
      </c>
      <c r="FU39">
        <v>0.32333661655154411</v>
      </c>
      <c r="FV39">
        <v>3.070117389053172E-2</v>
      </c>
      <c r="FW39">
        <v>3.7010001054657992E-3</v>
      </c>
      <c r="FX39">
        <v>1</v>
      </c>
      <c r="FY39">
        <v>2</v>
      </c>
      <c r="FZ39">
        <v>2</v>
      </c>
      <c r="GA39" t="s">
        <v>422</v>
      </c>
      <c r="GB39">
        <v>2.9241100000000002</v>
      </c>
      <c r="GC39">
        <v>2.8300800000000002</v>
      </c>
      <c r="GD39">
        <v>8.3323800000000003E-2</v>
      </c>
      <c r="GE39">
        <v>8.9778200000000002E-2</v>
      </c>
      <c r="GF39">
        <v>0.138571</v>
      </c>
      <c r="GG39">
        <v>0.116177</v>
      </c>
      <c r="GH39">
        <v>24023.3</v>
      </c>
      <c r="GI39">
        <v>29118.9</v>
      </c>
      <c r="GJ39">
        <v>23581.8</v>
      </c>
      <c r="GK39">
        <v>29270.2</v>
      </c>
      <c r="GL39">
        <v>27678.3</v>
      </c>
      <c r="GM39">
        <v>36567.9</v>
      </c>
      <c r="GN39">
        <v>33344.6</v>
      </c>
      <c r="GO39">
        <v>43180.5</v>
      </c>
      <c r="GP39">
        <v>2.0554999999999999</v>
      </c>
      <c r="GQ39">
        <v>1.9486000000000001</v>
      </c>
      <c r="GR39">
        <v>0.112534</v>
      </c>
      <c r="GS39">
        <v>0</v>
      </c>
      <c r="GT39">
        <v>28.1509</v>
      </c>
      <c r="GU39">
        <v>999.9</v>
      </c>
      <c r="GV39">
        <v>58.2</v>
      </c>
      <c r="GW39">
        <v>31.4</v>
      </c>
      <c r="GX39">
        <v>26.9682</v>
      </c>
      <c r="GY39">
        <v>61.087899999999998</v>
      </c>
      <c r="GZ39">
        <v>33.9223</v>
      </c>
      <c r="HA39">
        <v>1</v>
      </c>
      <c r="HB39">
        <v>6.7682900000000004E-2</v>
      </c>
      <c r="HC39">
        <v>-1.5338799999999999</v>
      </c>
      <c r="HD39">
        <v>20.3171</v>
      </c>
      <c r="HE39">
        <v>5.2125000000000004</v>
      </c>
      <c r="HF39">
        <v>11.866199999999999</v>
      </c>
      <c r="HG39">
        <v>4.9855999999999998</v>
      </c>
      <c r="HH39">
        <v>3.2839999999999998</v>
      </c>
      <c r="HI39">
        <v>9999</v>
      </c>
      <c r="HJ39">
        <v>9999</v>
      </c>
      <c r="HK39">
        <v>9999</v>
      </c>
      <c r="HL39">
        <v>999.9</v>
      </c>
      <c r="HM39">
        <v>1.8546499999999999</v>
      </c>
      <c r="HN39">
        <v>1.8608</v>
      </c>
      <c r="HO39">
        <v>1.85822</v>
      </c>
      <c r="HP39">
        <v>1.85944</v>
      </c>
      <c r="HQ39">
        <v>1.85883</v>
      </c>
      <c r="HR39">
        <v>1.85928</v>
      </c>
      <c r="HS39">
        <v>1.8577600000000001</v>
      </c>
      <c r="HT39">
        <v>1.86111</v>
      </c>
      <c r="HU39">
        <v>5</v>
      </c>
      <c r="HV39">
        <v>0</v>
      </c>
      <c r="HW39">
        <v>0</v>
      </c>
      <c r="HX39">
        <v>0</v>
      </c>
      <c r="HY39" t="s">
        <v>423</v>
      </c>
      <c r="HZ39" t="s">
        <v>424</v>
      </c>
      <c r="IA39" t="s">
        <v>425</v>
      </c>
      <c r="IB39" t="s">
        <v>425</v>
      </c>
      <c r="IC39" t="s">
        <v>425</v>
      </c>
      <c r="ID39" t="s">
        <v>425</v>
      </c>
      <c r="IE39">
        <v>0</v>
      </c>
      <c r="IF39">
        <v>100</v>
      </c>
      <c r="IG39">
        <v>100</v>
      </c>
      <c r="IH39">
        <v>-0.58899999999999997</v>
      </c>
      <c r="II39">
        <v>-0.27139999999999997</v>
      </c>
      <c r="IJ39">
        <v>-0.58924999999999272</v>
      </c>
      <c r="IK39">
        <v>0</v>
      </c>
      <c r="IL39">
        <v>0</v>
      </c>
      <c r="IM39">
        <v>0</v>
      </c>
      <c r="IN39">
        <v>-0.2714476190476276</v>
      </c>
      <c r="IO39">
        <v>0</v>
      </c>
      <c r="IP39">
        <v>0</v>
      </c>
      <c r="IQ39">
        <v>0</v>
      </c>
      <c r="IR39">
        <v>-1</v>
      </c>
      <c r="IS39">
        <v>-1</v>
      </c>
      <c r="IT39">
        <v>-1</v>
      </c>
      <c r="IU39">
        <v>-1</v>
      </c>
      <c r="IV39">
        <v>0.7</v>
      </c>
      <c r="IW39">
        <v>0.6</v>
      </c>
      <c r="IX39">
        <v>1.00098</v>
      </c>
      <c r="IY39">
        <v>2.4597199999999999</v>
      </c>
      <c r="IZ39">
        <v>1.49414</v>
      </c>
      <c r="JA39">
        <v>2.2973599999999998</v>
      </c>
      <c r="JB39">
        <v>1.54419</v>
      </c>
      <c r="JC39">
        <v>2.32056</v>
      </c>
      <c r="JD39">
        <v>34.6235</v>
      </c>
      <c r="JE39">
        <v>15.7431</v>
      </c>
      <c r="JF39">
        <v>18</v>
      </c>
      <c r="JG39">
        <v>534.71</v>
      </c>
      <c r="JH39">
        <v>501.738</v>
      </c>
      <c r="JI39">
        <v>29.166599999999999</v>
      </c>
      <c r="JJ39">
        <v>28.187799999999999</v>
      </c>
      <c r="JK39">
        <v>29.9999</v>
      </c>
      <c r="JL39">
        <v>28.1996</v>
      </c>
      <c r="JM39">
        <v>28.171600000000002</v>
      </c>
      <c r="JN39">
        <v>20.107199999999999</v>
      </c>
      <c r="JO39">
        <v>19.6388</v>
      </c>
      <c r="JP39">
        <v>100</v>
      </c>
      <c r="JQ39">
        <v>29.059699999999999</v>
      </c>
      <c r="JR39">
        <v>400</v>
      </c>
      <c r="JS39">
        <v>23.988099999999999</v>
      </c>
      <c r="JT39">
        <v>98.8947</v>
      </c>
      <c r="JU39">
        <v>97.284800000000004</v>
      </c>
    </row>
    <row r="40" spans="1:281" x14ac:dyDescent="0.25">
      <c r="A40">
        <v>24</v>
      </c>
      <c r="B40">
        <v>1693500106</v>
      </c>
      <c r="C40">
        <v>5970</v>
      </c>
      <c r="D40" t="s">
        <v>539</v>
      </c>
      <c r="E40" t="s">
        <v>540</v>
      </c>
      <c r="F40" t="s">
        <v>414</v>
      </c>
      <c r="G40" t="s">
        <v>494</v>
      </c>
      <c r="H40" t="s">
        <v>495</v>
      </c>
      <c r="I40" t="s">
        <v>31</v>
      </c>
      <c r="J40">
        <v>1693500106</v>
      </c>
      <c r="K40">
        <f t="shared" si="0"/>
        <v>4.0723412677777489E-3</v>
      </c>
      <c r="L40">
        <f t="shared" si="1"/>
        <v>4.0723412677777491</v>
      </c>
      <c r="M40">
        <f t="shared" si="2"/>
        <v>39.967668235690141</v>
      </c>
      <c r="N40">
        <f t="shared" si="3"/>
        <v>449.80799999999999</v>
      </c>
      <c r="O40">
        <f t="shared" si="4"/>
        <v>219.43749979494061</v>
      </c>
      <c r="P40">
        <f t="shared" si="5"/>
        <v>21.878627073804918</v>
      </c>
      <c r="Q40">
        <f t="shared" si="6"/>
        <v>44.847309580224</v>
      </c>
      <c r="R40">
        <f t="shared" si="7"/>
        <v>0.30104477243556471</v>
      </c>
      <c r="S40">
        <f t="shared" si="8"/>
        <v>2.9269522772766829</v>
      </c>
      <c r="T40">
        <f t="shared" si="9"/>
        <v>0.28484005836465381</v>
      </c>
      <c r="U40">
        <f t="shared" si="10"/>
        <v>0.17940824121337379</v>
      </c>
      <c r="V40">
        <f t="shared" si="11"/>
        <v>344.39409967094048</v>
      </c>
      <c r="W40">
        <f t="shared" si="12"/>
        <v>31.527681886694921</v>
      </c>
      <c r="X40">
        <f t="shared" si="13"/>
        <v>29.964600000000001</v>
      </c>
      <c r="Y40">
        <f t="shared" si="14"/>
        <v>4.2517944715678171</v>
      </c>
      <c r="Z40">
        <f t="shared" si="15"/>
        <v>65.411550648853336</v>
      </c>
      <c r="AA40">
        <f t="shared" si="16"/>
        <v>2.8773055458835999</v>
      </c>
      <c r="AB40">
        <f t="shared" si="17"/>
        <v>4.3987728732036091</v>
      </c>
      <c r="AC40">
        <f t="shared" si="18"/>
        <v>1.3744889256842172</v>
      </c>
      <c r="AD40">
        <f t="shared" si="19"/>
        <v>-179.59024990899871</v>
      </c>
      <c r="AE40">
        <f t="shared" si="20"/>
        <v>93.542566175082101</v>
      </c>
      <c r="AF40">
        <f t="shared" si="21"/>
        <v>7.1245091599215682</v>
      </c>
      <c r="AG40">
        <f t="shared" si="22"/>
        <v>265.47092509694539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52174.800674299273</v>
      </c>
      <c r="AM40" t="s">
        <v>417</v>
      </c>
      <c r="AN40">
        <v>10366.9</v>
      </c>
      <c r="AO40">
        <v>993.59653846153856</v>
      </c>
      <c r="AP40">
        <v>3431.87</v>
      </c>
      <c r="AQ40">
        <f t="shared" si="26"/>
        <v>0.71047955241266758</v>
      </c>
      <c r="AR40">
        <v>-3.9894345373445681</v>
      </c>
      <c r="AS40" t="s">
        <v>541</v>
      </c>
      <c r="AT40">
        <v>10306.200000000001</v>
      </c>
      <c r="AU40">
        <v>775.3876153846154</v>
      </c>
      <c r="AV40">
        <v>1076.8151072565499</v>
      </c>
      <c r="AW40">
        <f t="shared" si="27"/>
        <v>0.27992502133434483</v>
      </c>
      <c r="AX40">
        <v>0.5</v>
      </c>
      <c r="AY40">
        <f t="shared" si="28"/>
        <v>1513.2938998354703</v>
      </c>
      <c r="AZ40">
        <f t="shared" si="29"/>
        <v>39.967668235690141</v>
      </c>
      <c r="BA40">
        <f t="shared" si="30"/>
        <v>211.80441359828896</v>
      </c>
      <c r="BB40">
        <f t="shared" si="31"/>
        <v>2.9047300579096928E-2</v>
      </c>
      <c r="BC40">
        <f t="shared" si="32"/>
        <v>2.1870559549851869</v>
      </c>
      <c r="BD40">
        <f t="shared" si="33"/>
        <v>608.37503593320696</v>
      </c>
      <c r="BE40" t="s">
        <v>542</v>
      </c>
      <c r="BF40">
        <v>574.99</v>
      </c>
      <c r="BG40">
        <f t="shared" si="34"/>
        <v>574.99</v>
      </c>
      <c r="BH40">
        <f t="shared" si="35"/>
        <v>0.46602717948030303</v>
      </c>
      <c r="BI40">
        <f t="shared" si="36"/>
        <v>0.6006624369988619</v>
      </c>
      <c r="BJ40">
        <f t="shared" si="37"/>
        <v>0.82434505220501042</v>
      </c>
      <c r="BK40">
        <f t="shared" si="38"/>
        <v>3.6221181911266407</v>
      </c>
      <c r="BL40">
        <f t="shared" si="39"/>
        <v>0.965869878786072</v>
      </c>
      <c r="BM40">
        <f t="shared" si="40"/>
        <v>0.44542224791488233</v>
      </c>
      <c r="BN40">
        <f t="shared" si="41"/>
        <v>0.55457775208511761</v>
      </c>
      <c r="BO40">
        <v>16752</v>
      </c>
      <c r="BP40">
        <v>290.00000000000011</v>
      </c>
      <c r="BQ40">
        <v>1000.05</v>
      </c>
      <c r="BR40">
        <v>165</v>
      </c>
      <c r="BS40">
        <v>10306.200000000001</v>
      </c>
      <c r="BT40">
        <v>994.73</v>
      </c>
      <c r="BU40">
        <v>5.32</v>
      </c>
      <c r="BV40">
        <v>300.00000000000011</v>
      </c>
      <c r="BW40">
        <v>38.4</v>
      </c>
      <c r="BX40">
        <v>1076.8151072565499</v>
      </c>
      <c r="BY40">
        <v>1.379814766302514</v>
      </c>
      <c r="BZ40">
        <v>-84.594070788735948</v>
      </c>
      <c r="CA40">
        <v>1.163105655492719</v>
      </c>
      <c r="CB40">
        <v>0.99473469198479969</v>
      </c>
      <c r="CC40">
        <v>-1.121847296996664E-2</v>
      </c>
      <c r="CD40">
        <v>289.99999999999989</v>
      </c>
      <c r="CE40">
        <v>987.79</v>
      </c>
      <c r="CF40">
        <v>665</v>
      </c>
      <c r="CG40">
        <v>10278.4</v>
      </c>
      <c r="CH40">
        <v>994.51</v>
      </c>
      <c r="CI40">
        <v>-6.72</v>
      </c>
      <c r="CW40">
        <f t="shared" si="42"/>
        <v>1800.13</v>
      </c>
      <c r="CX40">
        <f t="shared" si="43"/>
        <v>1513.2938998354703</v>
      </c>
      <c r="CY40">
        <f t="shared" si="44"/>
        <v>0.84065811904444132</v>
      </c>
      <c r="CZ40">
        <f t="shared" si="45"/>
        <v>0.19131623808888273</v>
      </c>
      <c r="DA40">
        <v>6</v>
      </c>
      <c r="DB40">
        <v>0.5</v>
      </c>
      <c r="DC40" t="s">
        <v>420</v>
      </c>
      <c r="DD40">
        <v>2</v>
      </c>
      <c r="DE40">
        <v>1693500106</v>
      </c>
      <c r="DF40">
        <v>449.80799999999999</v>
      </c>
      <c r="DG40">
        <v>499.95800000000003</v>
      </c>
      <c r="DH40">
        <v>28.858699999999999</v>
      </c>
      <c r="DI40">
        <v>24.113800000000001</v>
      </c>
      <c r="DJ40">
        <v>450.20100000000002</v>
      </c>
      <c r="DK40">
        <v>29.127400000000002</v>
      </c>
      <c r="DL40">
        <v>500.09300000000002</v>
      </c>
      <c r="DM40">
        <v>99.602999999999994</v>
      </c>
      <c r="DN40">
        <v>0.100228</v>
      </c>
      <c r="DO40">
        <v>30.557400000000001</v>
      </c>
      <c r="DP40">
        <v>29.964600000000001</v>
      </c>
      <c r="DQ40">
        <v>999.9</v>
      </c>
      <c r="DR40">
        <v>0</v>
      </c>
      <c r="DS40">
        <v>0</v>
      </c>
      <c r="DT40">
        <v>10025</v>
      </c>
      <c r="DU40">
        <v>0</v>
      </c>
      <c r="DV40">
        <v>1676.02</v>
      </c>
      <c r="DW40">
        <v>-50.150300000000001</v>
      </c>
      <c r="DX40">
        <v>463.17399999999998</v>
      </c>
      <c r="DY40">
        <v>512.31200000000001</v>
      </c>
      <c r="DZ40">
        <v>4.7448800000000002</v>
      </c>
      <c r="EA40">
        <v>499.95800000000003</v>
      </c>
      <c r="EB40">
        <v>24.113800000000001</v>
      </c>
      <c r="EC40">
        <v>2.8744100000000001</v>
      </c>
      <c r="ED40">
        <v>2.4018099999999998</v>
      </c>
      <c r="EE40">
        <v>23.317799999999998</v>
      </c>
      <c r="EF40">
        <v>20.376000000000001</v>
      </c>
      <c r="EG40">
        <v>1800.13</v>
      </c>
      <c r="EH40">
        <v>0.97800399999999998</v>
      </c>
      <c r="EI40">
        <v>2.1996399999999999E-2</v>
      </c>
      <c r="EJ40">
        <v>0</v>
      </c>
      <c r="EK40">
        <v>775.82799999999997</v>
      </c>
      <c r="EL40">
        <v>5.0002500000000003</v>
      </c>
      <c r="EM40">
        <v>22038.5</v>
      </c>
      <c r="EN40">
        <v>14823.1</v>
      </c>
      <c r="EO40">
        <v>46.75</v>
      </c>
      <c r="EP40">
        <v>48.436999999999998</v>
      </c>
      <c r="EQ40">
        <v>47.625</v>
      </c>
      <c r="ER40">
        <v>46.686999999999998</v>
      </c>
      <c r="ES40">
        <v>47.936999999999998</v>
      </c>
      <c r="ET40">
        <v>1755.64</v>
      </c>
      <c r="EU40">
        <v>39.49</v>
      </c>
      <c r="EV40">
        <v>0</v>
      </c>
      <c r="EW40">
        <v>100.7999999523163</v>
      </c>
      <c r="EX40">
        <v>0</v>
      </c>
      <c r="EY40">
        <v>775.3876153846154</v>
      </c>
      <c r="EZ40">
        <v>3.035760676335153</v>
      </c>
      <c r="FA40">
        <v>-413.12136563293711</v>
      </c>
      <c r="FB40">
        <v>22165.599999999999</v>
      </c>
      <c r="FC40">
        <v>15</v>
      </c>
      <c r="FD40">
        <v>1693500072.5</v>
      </c>
      <c r="FE40" t="s">
        <v>543</v>
      </c>
      <c r="FF40">
        <v>1693500069</v>
      </c>
      <c r="FG40">
        <v>1693500072.5</v>
      </c>
      <c r="FH40">
        <v>28</v>
      </c>
      <c r="FI40">
        <v>0.19600000000000001</v>
      </c>
      <c r="FJ40">
        <v>3.0000000000000001E-3</v>
      </c>
      <c r="FK40">
        <v>-0.39300000000000002</v>
      </c>
      <c r="FL40">
        <v>-0.26900000000000002</v>
      </c>
      <c r="FM40">
        <v>500</v>
      </c>
      <c r="FN40">
        <v>24</v>
      </c>
      <c r="FO40">
        <v>0.16</v>
      </c>
      <c r="FP40">
        <v>0.06</v>
      </c>
      <c r="FQ40">
        <v>39.950801003797153</v>
      </c>
      <c r="FR40">
        <v>0.1317136705946246</v>
      </c>
      <c r="FS40">
        <v>9.2885620075731909E-2</v>
      </c>
      <c r="FT40">
        <v>1</v>
      </c>
      <c r="FU40">
        <v>0.30936660110349601</v>
      </c>
      <c r="FV40">
        <v>-8.7046255661325268E-3</v>
      </c>
      <c r="FW40">
        <v>4.1705398313865638E-3</v>
      </c>
      <c r="FX40">
        <v>1</v>
      </c>
      <c r="FY40">
        <v>2</v>
      </c>
      <c r="FZ40">
        <v>2</v>
      </c>
      <c r="GA40" t="s">
        <v>422</v>
      </c>
      <c r="GB40">
        <v>2.9233500000000001</v>
      </c>
      <c r="GC40">
        <v>2.83033</v>
      </c>
      <c r="GD40">
        <v>9.9937100000000001E-2</v>
      </c>
      <c r="GE40">
        <v>0.10599699999999999</v>
      </c>
      <c r="GF40">
        <v>0.137848</v>
      </c>
      <c r="GG40">
        <v>0.116303</v>
      </c>
      <c r="GH40">
        <v>23587.5</v>
      </c>
      <c r="GI40">
        <v>28598.1</v>
      </c>
      <c r="GJ40">
        <v>23581.5</v>
      </c>
      <c r="GK40">
        <v>29268.400000000001</v>
      </c>
      <c r="GL40">
        <v>27704.3</v>
      </c>
      <c r="GM40">
        <v>36563.300000000003</v>
      </c>
      <c r="GN40">
        <v>33345.1</v>
      </c>
      <c r="GO40">
        <v>43179</v>
      </c>
      <c r="GP40">
        <v>2.0550000000000002</v>
      </c>
      <c r="GQ40">
        <v>1.9486000000000001</v>
      </c>
      <c r="GR40">
        <v>0.117004</v>
      </c>
      <c r="GS40">
        <v>0</v>
      </c>
      <c r="GT40">
        <v>28.057400000000001</v>
      </c>
      <c r="GU40">
        <v>999.9</v>
      </c>
      <c r="GV40">
        <v>58.3</v>
      </c>
      <c r="GW40">
        <v>31.3</v>
      </c>
      <c r="GX40">
        <v>26.860800000000001</v>
      </c>
      <c r="GY40">
        <v>60.927999999999997</v>
      </c>
      <c r="GZ40">
        <v>34.527200000000001</v>
      </c>
      <c r="HA40">
        <v>1</v>
      </c>
      <c r="HB40">
        <v>6.9664599999999993E-2</v>
      </c>
      <c r="HC40">
        <v>-1.0886499999999999</v>
      </c>
      <c r="HD40">
        <v>20.3215</v>
      </c>
      <c r="HE40">
        <v>5.2107000000000001</v>
      </c>
      <c r="HF40">
        <v>11.866199999999999</v>
      </c>
      <c r="HG40">
        <v>4.9855999999999998</v>
      </c>
      <c r="HH40">
        <v>3.2839999999999998</v>
      </c>
      <c r="HI40">
        <v>9999</v>
      </c>
      <c r="HJ40">
        <v>9999</v>
      </c>
      <c r="HK40">
        <v>9999</v>
      </c>
      <c r="HL40">
        <v>999.9</v>
      </c>
      <c r="HM40">
        <v>1.8546499999999999</v>
      </c>
      <c r="HN40">
        <v>1.8608100000000001</v>
      </c>
      <c r="HO40">
        <v>1.85822</v>
      </c>
      <c r="HP40">
        <v>1.85944</v>
      </c>
      <c r="HQ40">
        <v>1.85883</v>
      </c>
      <c r="HR40">
        <v>1.85928</v>
      </c>
      <c r="HS40">
        <v>1.8577399999999999</v>
      </c>
      <c r="HT40">
        <v>1.8611</v>
      </c>
      <c r="HU40">
        <v>5</v>
      </c>
      <c r="HV40">
        <v>0</v>
      </c>
      <c r="HW40">
        <v>0</v>
      </c>
      <c r="HX40">
        <v>0</v>
      </c>
      <c r="HY40" t="s">
        <v>423</v>
      </c>
      <c r="HZ40" t="s">
        <v>424</v>
      </c>
      <c r="IA40" t="s">
        <v>425</v>
      </c>
      <c r="IB40" t="s">
        <v>425</v>
      </c>
      <c r="IC40" t="s">
        <v>425</v>
      </c>
      <c r="ID40" t="s">
        <v>425</v>
      </c>
      <c r="IE40">
        <v>0</v>
      </c>
      <c r="IF40">
        <v>100</v>
      </c>
      <c r="IG40">
        <v>100</v>
      </c>
      <c r="IH40">
        <v>-0.39300000000000002</v>
      </c>
      <c r="II40">
        <v>-0.26869999999999999</v>
      </c>
      <c r="IJ40">
        <v>-0.39285714285699669</v>
      </c>
      <c r="IK40">
        <v>0</v>
      </c>
      <c r="IL40">
        <v>0</v>
      </c>
      <c r="IM40">
        <v>0</v>
      </c>
      <c r="IN40">
        <v>-0.26868500000000489</v>
      </c>
      <c r="IO40">
        <v>0</v>
      </c>
      <c r="IP40">
        <v>0</v>
      </c>
      <c r="IQ40">
        <v>0</v>
      </c>
      <c r="IR40">
        <v>-1</v>
      </c>
      <c r="IS40">
        <v>-1</v>
      </c>
      <c r="IT40">
        <v>-1</v>
      </c>
      <c r="IU40">
        <v>-1</v>
      </c>
      <c r="IV40">
        <v>0.6</v>
      </c>
      <c r="IW40">
        <v>0.6</v>
      </c>
      <c r="IX40">
        <v>1.1926300000000001</v>
      </c>
      <c r="IY40">
        <v>2.4475099999999999</v>
      </c>
      <c r="IZ40">
        <v>1.49414</v>
      </c>
      <c r="JA40">
        <v>2.2973599999999998</v>
      </c>
      <c r="JB40">
        <v>1.54419</v>
      </c>
      <c r="JC40">
        <v>2.4011200000000001</v>
      </c>
      <c r="JD40">
        <v>34.6006</v>
      </c>
      <c r="JE40">
        <v>15.734400000000001</v>
      </c>
      <c r="JF40">
        <v>18</v>
      </c>
      <c r="JG40">
        <v>534.82399999999996</v>
      </c>
      <c r="JH40">
        <v>502.18200000000002</v>
      </c>
      <c r="JI40">
        <v>29.2318</v>
      </c>
      <c r="JJ40">
        <v>28.235900000000001</v>
      </c>
      <c r="JK40">
        <v>30</v>
      </c>
      <c r="JL40">
        <v>28.247199999999999</v>
      </c>
      <c r="JM40">
        <v>28.218800000000002</v>
      </c>
      <c r="JN40">
        <v>23.941299999999998</v>
      </c>
      <c r="JO40">
        <v>18.966899999999999</v>
      </c>
      <c r="JP40">
        <v>100</v>
      </c>
      <c r="JQ40">
        <v>29.248200000000001</v>
      </c>
      <c r="JR40">
        <v>500</v>
      </c>
      <c r="JS40">
        <v>24.193899999999999</v>
      </c>
      <c r="JT40">
        <v>98.894999999999996</v>
      </c>
      <c r="JU40">
        <v>97.2804</v>
      </c>
    </row>
    <row r="41" spans="1:281" x14ac:dyDescent="0.25">
      <c r="A41">
        <v>25</v>
      </c>
      <c r="B41">
        <v>1693500217</v>
      </c>
      <c r="C41">
        <v>6081</v>
      </c>
      <c r="D41" t="s">
        <v>544</v>
      </c>
      <c r="E41" t="s">
        <v>545</v>
      </c>
      <c r="F41" t="s">
        <v>414</v>
      </c>
      <c r="G41" t="s">
        <v>494</v>
      </c>
      <c r="H41" t="s">
        <v>495</v>
      </c>
      <c r="I41" t="s">
        <v>31</v>
      </c>
      <c r="J41">
        <v>1693500217</v>
      </c>
      <c r="K41">
        <f t="shared" si="0"/>
        <v>3.8058228559057572E-3</v>
      </c>
      <c r="L41">
        <f t="shared" si="1"/>
        <v>3.8058228559057574</v>
      </c>
      <c r="M41">
        <f t="shared" si="2"/>
        <v>41.997724535118124</v>
      </c>
      <c r="N41">
        <f t="shared" si="3"/>
        <v>646.71900000000005</v>
      </c>
      <c r="O41">
        <f t="shared" si="4"/>
        <v>377.67796755823798</v>
      </c>
      <c r="P41">
        <f t="shared" si="5"/>
        <v>37.656409325885747</v>
      </c>
      <c r="Q41">
        <f t="shared" si="6"/>
        <v>64.481165105487008</v>
      </c>
      <c r="R41">
        <f t="shared" si="7"/>
        <v>0.27296173938756807</v>
      </c>
      <c r="S41">
        <f t="shared" si="8"/>
        <v>2.9138310874381048</v>
      </c>
      <c r="T41">
        <f t="shared" si="9"/>
        <v>0.25950996532558374</v>
      </c>
      <c r="U41">
        <f t="shared" si="10"/>
        <v>0.16334705837466618</v>
      </c>
      <c r="V41">
        <f t="shared" si="11"/>
        <v>344.34279967089111</v>
      </c>
      <c r="W41">
        <f t="shared" si="12"/>
        <v>31.731828022560777</v>
      </c>
      <c r="X41">
        <f t="shared" si="13"/>
        <v>30.129799999999999</v>
      </c>
      <c r="Y41">
        <f t="shared" si="14"/>
        <v>4.2923173891094031</v>
      </c>
      <c r="Z41">
        <f t="shared" si="15"/>
        <v>65.045457203830125</v>
      </c>
      <c r="AA41">
        <f t="shared" si="16"/>
        <v>2.8827129526051998</v>
      </c>
      <c r="AB41">
        <f t="shared" si="17"/>
        <v>4.4318436314034466</v>
      </c>
      <c r="AC41">
        <f t="shared" si="18"/>
        <v>1.4096044365042033</v>
      </c>
      <c r="AD41">
        <f t="shared" si="19"/>
        <v>-167.83678794544389</v>
      </c>
      <c r="AE41">
        <f t="shared" si="20"/>
        <v>87.750731841919318</v>
      </c>
      <c r="AF41">
        <f t="shared" si="21"/>
        <v>6.723319613180923</v>
      </c>
      <c r="AG41">
        <f t="shared" si="22"/>
        <v>270.98006318054746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51778.783318343187</v>
      </c>
      <c r="AM41" t="s">
        <v>417</v>
      </c>
      <c r="AN41">
        <v>10366.9</v>
      </c>
      <c r="AO41">
        <v>993.59653846153856</v>
      </c>
      <c r="AP41">
        <v>3431.87</v>
      </c>
      <c r="AQ41">
        <f t="shared" si="26"/>
        <v>0.71047955241266758</v>
      </c>
      <c r="AR41">
        <v>-3.9894345373445681</v>
      </c>
      <c r="AS41" t="s">
        <v>546</v>
      </c>
      <c r="AT41">
        <v>10312.5</v>
      </c>
      <c r="AU41">
        <v>783.96436000000017</v>
      </c>
      <c r="AV41">
        <v>1111.5438419938951</v>
      </c>
      <c r="AW41">
        <f t="shared" si="27"/>
        <v>0.29470675795052814</v>
      </c>
      <c r="AX41">
        <v>0.5</v>
      </c>
      <c r="AY41">
        <f t="shared" si="28"/>
        <v>1513.0670998354453</v>
      </c>
      <c r="AZ41">
        <f t="shared" si="29"/>
        <v>41.997724535118124</v>
      </c>
      <c r="BA41">
        <f t="shared" si="30"/>
        <v>222.95554977705609</v>
      </c>
      <c r="BB41">
        <f t="shared" si="31"/>
        <v>3.03933375310745E-2</v>
      </c>
      <c r="BC41">
        <f t="shared" si="32"/>
        <v>2.0874805566318355</v>
      </c>
      <c r="BD41">
        <f t="shared" si="33"/>
        <v>619.30701031166177</v>
      </c>
      <c r="BE41" t="s">
        <v>547</v>
      </c>
      <c r="BF41">
        <v>578.26</v>
      </c>
      <c r="BG41">
        <f t="shared" si="34"/>
        <v>578.26</v>
      </c>
      <c r="BH41">
        <f t="shared" si="35"/>
        <v>0.47976860817049449</v>
      </c>
      <c r="BI41">
        <f t="shared" si="36"/>
        <v>0.61426853056171338</v>
      </c>
      <c r="BJ41">
        <f t="shared" si="37"/>
        <v>0.81311957765991327</v>
      </c>
      <c r="BK41">
        <f t="shared" si="38"/>
        <v>2.7773376091131237</v>
      </c>
      <c r="BL41">
        <f t="shared" si="39"/>
        <v>0.9516267123467208</v>
      </c>
      <c r="BM41">
        <f t="shared" si="40"/>
        <v>0.45309064876701322</v>
      </c>
      <c r="BN41">
        <f t="shared" si="41"/>
        <v>0.54690935123298678</v>
      </c>
      <c r="BO41">
        <v>16754</v>
      </c>
      <c r="BP41">
        <v>290.00000000000011</v>
      </c>
      <c r="BQ41">
        <v>1025.22</v>
      </c>
      <c r="BR41">
        <v>125</v>
      </c>
      <c r="BS41">
        <v>10312.5</v>
      </c>
      <c r="BT41">
        <v>1020.46</v>
      </c>
      <c r="BU41">
        <v>4.76</v>
      </c>
      <c r="BV41">
        <v>300.00000000000011</v>
      </c>
      <c r="BW41">
        <v>38.4</v>
      </c>
      <c r="BX41">
        <v>1111.5438419938951</v>
      </c>
      <c r="BY41">
        <v>1.402253073246075</v>
      </c>
      <c r="BZ41">
        <v>-93.930956467597923</v>
      </c>
      <c r="CA41">
        <v>1.182013317890795</v>
      </c>
      <c r="CB41">
        <v>0.9955856788821279</v>
      </c>
      <c r="CC41">
        <v>-1.121837753058955E-2</v>
      </c>
      <c r="CD41">
        <v>289.99999999999989</v>
      </c>
      <c r="CE41">
        <v>1011.8</v>
      </c>
      <c r="CF41">
        <v>695</v>
      </c>
      <c r="CG41">
        <v>10276.4</v>
      </c>
      <c r="CH41">
        <v>1020.14</v>
      </c>
      <c r="CI41">
        <v>-8.34</v>
      </c>
      <c r="CW41">
        <f t="shared" si="42"/>
        <v>1799.86</v>
      </c>
      <c r="CX41">
        <f t="shared" si="43"/>
        <v>1513.0670998354453</v>
      </c>
      <c r="CY41">
        <f t="shared" si="44"/>
        <v>0.84065821776996286</v>
      </c>
      <c r="CZ41">
        <f t="shared" si="45"/>
        <v>0.19131643553992594</v>
      </c>
      <c r="DA41">
        <v>6</v>
      </c>
      <c r="DB41">
        <v>0.5</v>
      </c>
      <c r="DC41" t="s">
        <v>420</v>
      </c>
      <c r="DD41">
        <v>2</v>
      </c>
      <c r="DE41">
        <v>1693500217</v>
      </c>
      <c r="DF41">
        <v>646.71900000000005</v>
      </c>
      <c r="DG41">
        <v>700.11500000000001</v>
      </c>
      <c r="DH41">
        <v>28.912400000000002</v>
      </c>
      <c r="DI41">
        <v>24.473700000000001</v>
      </c>
      <c r="DJ41">
        <v>647.20899999999995</v>
      </c>
      <c r="DK41">
        <v>29.182700000000001</v>
      </c>
      <c r="DL41">
        <v>499.577</v>
      </c>
      <c r="DM41">
        <v>99.604699999999994</v>
      </c>
      <c r="DN41">
        <v>0.100373</v>
      </c>
      <c r="DO41">
        <v>30.688400000000001</v>
      </c>
      <c r="DP41">
        <v>30.129799999999999</v>
      </c>
      <c r="DQ41">
        <v>999.9</v>
      </c>
      <c r="DR41">
        <v>0</v>
      </c>
      <c r="DS41">
        <v>0</v>
      </c>
      <c r="DT41">
        <v>9950</v>
      </c>
      <c r="DU41">
        <v>0</v>
      </c>
      <c r="DV41">
        <v>1678.49</v>
      </c>
      <c r="DW41">
        <v>-53.396099999999997</v>
      </c>
      <c r="DX41">
        <v>665.97400000000005</v>
      </c>
      <c r="DY41">
        <v>717.68</v>
      </c>
      <c r="DZ41">
        <v>4.4386999999999999</v>
      </c>
      <c r="EA41">
        <v>700.11500000000001</v>
      </c>
      <c r="EB41">
        <v>24.473700000000001</v>
      </c>
      <c r="EC41">
        <v>2.87981</v>
      </c>
      <c r="ED41">
        <v>2.4377</v>
      </c>
      <c r="EE41">
        <v>23.3489</v>
      </c>
      <c r="EF41">
        <v>20.616399999999999</v>
      </c>
      <c r="EG41">
        <v>1799.86</v>
      </c>
      <c r="EH41">
        <v>0.97799999999999998</v>
      </c>
      <c r="EI41">
        <v>2.1999999999999999E-2</v>
      </c>
      <c r="EJ41">
        <v>0</v>
      </c>
      <c r="EK41">
        <v>783.73500000000001</v>
      </c>
      <c r="EL41">
        <v>5.0002500000000003</v>
      </c>
      <c r="EM41">
        <v>22392.7</v>
      </c>
      <c r="EN41">
        <v>14820.9</v>
      </c>
      <c r="EO41">
        <v>46.686999999999998</v>
      </c>
      <c r="EP41">
        <v>48.436999999999998</v>
      </c>
      <c r="EQ41">
        <v>47.625</v>
      </c>
      <c r="ER41">
        <v>46.625</v>
      </c>
      <c r="ES41">
        <v>47.875</v>
      </c>
      <c r="ET41">
        <v>1755.37</v>
      </c>
      <c r="EU41">
        <v>39.49</v>
      </c>
      <c r="EV41">
        <v>0</v>
      </c>
      <c r="EW41">
        <v>109.2000000476837</v>
      </c>
      <c r="EX41">
        <v>0</v>
      </c>
      <c r="EY41">
        <v>783.96436000000017</v>
      </c>
      <c r="EZ41">
        <v>-3.1203846062770899</v>
      </c>
      <c r="FA41">
        <v>594.97692311420451</v>
      </c>
      <c r="FB41">
        <v>22100.592000000001</v>
      </c>
      <c r="FC41">
        <v>15</v>
      </c>
      <c r="FD41">
        <v>1693500184.5</v>
      </c>
      <c r="FE41" t="s">
        <v>548</v>
      </c>
      <c r="FF41">
        <v>1693500182</v>
      </c>
      <c r="FG41">
        <v>1693500184.5</v>
      </c>
      <c r="FH41">
        <v>29</v>
      </c>
      <c r="FI41">
        <v>-9.7000000000000003E-2</v>
      </c>
      <c r="FJ41">
        <v>-2E-3</v>
      </c>
      <c r="FK41">
        <v>-0.49</v>
      </c>
      <c r="FL41">
        <v>-0.27</v>
      </c>
      <c r="FM41">
        <v>700</v>
      </c>
      <c r="FN41">
        <v>24</v>
      </c>
      <c r="FO41">
        <v>0.19</v>
      </c>
      <c r="FP41">
        <v>7.0000000000000007E-2</v>
      </c>
      <c r="FQ41">
        <v>41.949762392977533</v>
      </c>
      <c r="FR41">
        <v>-0.40474872656057431</v>
      </c>
      <c r="FS41">
        <v>0.1349695699916966</v>
      </c>
      <c r="FT41">
        <v>1</v>
      </c>
      <c r="FU41">
        <v>0.27657448006289997</v>
      </c>
      <c r="FV41">
        <v>2.712621392584337E-2</v>
      </c>
      <c r="FW41">
        <v>4.570515133367435E-3</v>
      </c>
      <c r="FX41">
        <v>1</v>
      </c>
      <c r="FY41">
        <v>2</v>
      </c>
      <c r="FZ41">
        <v>2</v>
      </c>
      <c r="GA41" t="s">
        <v>422</v>
      </c>
      <c r="GB41">
        <v>2.9220100000000002</v>
      </c>
      <c r="GC41">
        <v>2.8298199999999998</v>
      </c>
      <c r="GD41">
        <v>0.129549</v>
      </c>
      <c r="GE41">
        <v>0.13431199999999999</v>
      </c>
      <c r="GF41">
        <v>0.138017</v>
      </c>
      <c r="GG41">
        <v>0.11749900000000001</v>
      </c>
      <c r="GH41">
        <v>22811.4</v>
      </c>
      <c r="GI41">
        <v>27689.8</v>
      </c>
      <c r="GJ41">
        <v>23581.4</v>
      </c>
      <c r="GK41">
        <v>29265.7</v>
      </c>
      <c r="GL41">
        <v>27701.5</v>
      </c>
      <c r="GM41">
        <v>36512.1</v>
      </c>
      <c r="GN41">
        <v>33344.9</v>
      </c>
      <c r="GO41">
        <v>43175.3</v>
      </c>
      <c r="GP41">
        <v>2.0531000000000001</v>
      </c>
      <c r="GQ41">
        <v>1.9503999999999999</v>
      </c>
      <c r="GR41">
        <v>0.12365</v>
      </c>
      <c r="GS41">
        <v>0</v>
      </c>
      <c r="GT41">
        <v>28.114699999999999</v>
      </c>
      <c r="GU41">
        <v>999.9</v>
      </c>
      <c r="GV41">
        <v>58.5</v>
      </c>
      <c r="GW41">
        <v>31.3</v>
      </c>
      <c r="GX41">
        <v>26.9511</v>
      </c>
      <c r="GY41">
        <v>61.048000000000002</v>
      </c>
      <c r="GZ41">
        <v>34.715499999999999</v>
      </c>
      <c r="HA41">
        <v>1</v>
      </c>
      <c r="HB41">
        <v>7.3831300000000002E-2</v>
      </c>
      <c r="HC41">
        <v>0.154139</v>
      </c>
      <c r="HD41">
        <v>20.3232</v>
      </c>
      <c r="HE41">
        <v>5.2023099999999998</v>
      </c>
      <c r="HF41">
        <v>11.866199999999999</v>
      </c>
      <c r="HG41">
        <v>4.9824000000000002</v>
      </c>
      <c r="HH41">
        <v>3.2822</v>
      </c>
      <c r="HI41">
        <v>9999</v>
      </c>
      <c r="HJ41">
        <v>9999</v>
      </c>
      <c r="HK41">
        <v>9999</v>
      </c>
      <c r="HL41">
        <v>999.9</v>
      </c>
      <c r="HM41">
        <v>1.85463</v>
      </c>
      <c r="HN41">
        <v>1.8608100000000001</v>
      </c>
      <c r="HO41">
        <v>1.85822</v>
      </c>
      <c r="HP41">
        <v>1.85944</v>
      </c>
      <c r="HQ41">
        <v>1.8587800000000001</v>
      </c>
      <c r="HR41">
        <v>1.85928</v>
      </c>
      <c r="HS41">
        <v>1.8577399999999999</v>
      </c>
      <c r="HT41">
        <v>1.86111</v>
      </c>
      <c r="HU41">
        <v>5</v>
      </c>
      <c r="HV41">
        <v>0</v>
      </c>
      <c r="HW41">
        <v>0</v>
      </c>
      <c r="HX41">
        <v>0</v>
      </c>
      <c r="HY41" t="s">
        <v>423</v>
      </c>
      <c r="HZ41" t="s">
        <v>424</v>
      </c>
      <c r="IA41" t="s">
        <v>425</v>
      </c>
      <c r="IB41" t="s">
        <v>425</v>
      </c>
      <c r="IC41" t="s">
        <v>425</v>
      </c>
      <c r="ID41" t="s">
        <v>425</v>
      </c>
      <c r="IE41">
        <v>0</v>
      </c>
      <c r="IF41">
        <v>100</v>
      </c>
      <c r="IG41">
        <v>100</v>
      </c>
      <c r="IH41">
        <v>-0.49</v>
      </c>
      <c r="II41">
        <v>-0.27029999999999998</v>
      </c>
      <c r="IJ41">
        <v>-0.49014285714304151</v>
      </c>
      <c r="IK41">
        <v>0</v>
      </c>
      <c r="IL41">
        <v>0</v>
      </c>
      <c r="IM41">
        <v>0</v>
      </c>
      <c r="IN41">
        <v>-0.27030500000000401</v>
      </c>
      <c r="IO41">
        <v>0</v>
      </c>
      <c r="IP41">
        <v>0</v>
      </c>
      <c r="IQ41">
        <v>0</v>
      </c>
      <c r="IR41">
        <v>-1</v>
      </c>
      <c r="IS41">
        <v>-1</v>
      </c>
      <c r="IT41">
        <v>-1</v>
      </c>
      <c r="IU41">
        <v>-1</v>
      </c>
      <c r="IV41">
        <v>0.6</v>
      </c>
      <c r="IW41">
        <v>0.5</v>
      </c>
      <c r="IX41">
        <v>1.5564</v>
      </c>
      <c r="IY41">
        <v>2.4414099999999999</v>
      </c>
      <c r="IZ41">
        <v>1.49414</v>
      </c>
      <c r="JA41">
        <v>2.2973599999999998</v>
      </c>
      <c r="JB41">
        <v>1.54419</v>
      </c>
      <c r="JC41">
        <v>2.4169900000000002</v>
      </c>
      <c r="JD41">
        <v>34.5777</v>
      </c>
      <c r="JE41">
        <v>15.716900000000001</v>
      </c>
      <c r="JF41">
        <v>18</v>
      </c>
      <c r="JG41">
        <v>533.96</v>
      </c>
      <c r="JH41">
        <v>503.92200000000003</v>
      </c>
      <c r="JI41">
        <v>28.282299999999999</v>
      </c>
      <c r="JJ41">
        <v>28.271999999999998</v>
      </c>
      <c r="JK41">
        <v>30.001000000000001</v>
      </c>
      <c r="JL41">
        <v>28.290299999999998</v>
      </c>
      <c r="JM41">
        <v>28.2639</v>
      </c>
      <c r="JN41">
        <v>31.2256</v>
      </c>
      <c r="JO41">
        <v>17.4331</v>
      </c>
      <c r="JP41">
        <v>100</v>
      </c>
      <c r="JQ41">
        <v>28.2973</v>
      </c>
      <c r="JR41">
        <v>700</v>
      </c>
      <c r="JS41">
        <v>24.513000000000002</v>
      </c>
      <c r="JT41">
        <v>98.8947</v>
      </c>
      <c r="JU41">
        <v>97.271799999999999</v>
      </c>
    </row>
    <row r="42" spans="1:281" x14ac:dyDescent="0.25">
      <c r="A42">
        <v>26</v>
      </c>
      <c r="B42">
        <v>1693500323</v>
      </c>
      <c r="C42">
        <v>6187</v>
      </c>
      <c r="D42" t="s">
        <v>549</v>
      </c>
      <c r="E42" t="s">
        <v>550</v>
      </c>
      <c r="F42" t="s">
        <v>414</v>
      </c>
      <c r="G42" t="s">
        <v>494</v>
      </c>
      <c r="H42" t="s">
        <v>495</v>
      </c>
      <c r="I42" t="s">
        <v>31</v>
      </c>
      <c r="J42">
        <v>1693500323</v>
      </c>
      <c r="K42">
        <f t="shared" si="0"/>
        <v>3.6693880705206514E-3</v>
      </c>
      <c r="L42">
        <f t="shared" si="1"/>
        <v>3.6693880705206512</v>
      </c>
      <c r="M42">
        <f t="shared" si="2"/>
        <v>41.676325619538133</v>
      </c>
      <c r="N42">
        <f t="shared" si="3"/>
        <v>846.03899999999999</v>
      </c>
      <c r="O42">
        <f t="shared" si="4"/>
        <v>563.8312973727609</v>
      </c>
      <c r="P42">
        <f t="shared" si="5"/>
        <v>56.214371083153338</v>
      </c>
      <c r="Q42">
        <f t="shared" si="6"/>
        <v>84.350674605026995</v>
      </c>
      <c r="R42">
        <f t="shared" si="7"/>
        <v>0.26165006300449128</v>
      </c>
      <c r="S42">
        <f t="shared" si="8"/>
        <v>2.9102391562436782</v>
      </c>
      <c r="T42">
        <f t="shared" si="9"/>
        <v>0.24924839457890965</v>
      </c>
      <c r="U42">
        <f t="shared" si="10"/>
        <v>0.15684549299167955</v>
      </c>
      <c r="V42">
        <f t="shared" si="11"/>
        <v>344.40299967103294</v>
      </c>
      <c r="W42">
        <f t="shared" si="12"/>
        <v>31.604215195702125</v>
      </c>
      <c r="X42">
        <f t="shared" si="13"/>
        <v>30.0731</v>
      </c>
      <c r="Y42">
        <f t="shared" si="14"/>
        <v>4.278371329851943</v>
      </c>
      <c r="Z42">
        <f t="shared" si="15"/>
        <v>65.216437399917183</v>
      </c>
      <c r="AA42">
        <f t="shared" si="16"/>
        <v>2.8631646212968005</v>
      </c>
      <c r="AB42">
        <f t="shared" si="17"/>
        <v>4.3902499667981498</v>
      </c>
      <c r="AC42">
        <f t="shared" si="18"/>
        <v>1.4152067085551425</v>
      </c>
      <c r="AD42">
        <f t="shared" si="19"/>
        <v>-161.82001390996072</v>
      </c>
      <c r="AE42">
        <f t="shared" si="20"/>
        <v>70.666324751490436</v>
      </c>
      <c r="AF42">
        <f t="shared" si="21"/>
        <v>5.4150840348613078</v>
      </c>
      <c r="AG42">
        <f t="shared" si="22"/>
        <v>258.66439454742397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51704.700474176359</v>
      </c>
      <c r="AM42" t="s">
        <v>417</v>
      </c>
      <c r="AN42">
        <v>10366.9</v>
      </c>
      <c r="AO42">
        <v>993.59653846153856</v>
      </c>
      <c r="AP42">
        <v>3431.87</v>
      </c>
      <c r="AQ42">
        <f t="shared" si="26"/>
        <v>0.71047955241266758</v>
      </c>
      <c r="AR42">
        <v>-3.9894345373445681</v>
      </c>
      <c r="AS42" t="s">
        <v>551</v>
      </c>
      <c r="AT42">
        <v>10305</v>
      </c>
      <c r="AU42">
        <v>782.7140400000003</v>
      </c>
      <c r="AV42">
        <v>1112.3791263100959</v>
      </c>
      <c r="AW42">
        <f t="shared" si="27"/>
        <v>0.29636036717412784</v>
      </c>
      <c r="AX42">
        <v>0.5</v>
      </c>
      <c r="AY42">
        <f t="shared" si="28"/>
        <v>1513.3355998355164</v>
      </c>
      <c r="AZ42">
        <f t="shared" si="29"/>
        <v>41.676325619538133</v>
      </c>
      <c r="BA42">
        <f t="shared" si="30"/>
        <v>224.24634701246632</v>
      </c>
      <c r="BB42">
        <f t="shared" si="31"/>
        <v>3.0175567244863654E-2</v>
      </c>
      <c r="BC42">
        <f t="shared" si="32"/>
        <v>2.085162170728565</v>
      </c>
      <c r="BD42">
        <f t="shared" si="33"/>
        <v>619.56621844541598</v>
      </c>
      <c r="BE42" t="s">
        <v>552</v>
      </c>
      <c r="BF42">
        <v>575.41</v>
      </c>
      <c r="BG42">
        <f t="shared" si="34"/>
        <v>575.41</v>
      </c>
      <c r="BH42">
        <f t="shared" si="35"/>
        <v>0.48272132549923996</v>
      </c>
      <c r="BI42">
        <f t="shared" si="36"/>
        <v>0.61393676127240937</v>
      </c>
      <c r="BJ42">
        <f t="shared" si="37"/>
        <v>0.81201587758620952</v>
      </c>
      <c r="BK42">
        <f t="shared" si="38"/>
        <v>2.7753654157661924</v>
      </c>
      <c r="BL42">
        <f t="shared" si="39"/>
        <v>0.95128414030573505</v>
      </c>
      <c r="BM42">
        <f t="shared" si="40"/>
        <v>0.4513338636467501</v>
      </c>
      <c r="BN42">
        <f t="shared" si="41"/>
        <v>0.5486661363532499</v>
      </c>
      <c r="BO42">
        <v>16756</v>
      </c>
      <c r="BP42">
        <v>290.00000000000011</v>
      </c>
      <c r="BQ42">
        <v>1026.99</v>
      </c>
      <c r="BR42">
        <v>165</v>
      </c>
      <c r="BS42">
        <v>10305</v>
      </c>
      <c r="BT42">
        <v>1022.18</v>
      </c>
      <c r="BU42">
        <v>4.8099999999999996</v>
      </c>
      <c r="BV42">
        <v>300.00000000000011</v>
      </c>
      <c r="BW42">
        <v>38.4</v>
      </c>
      <c r="BX42">
        <v>1112.3791263100959</v>
      </c>
      <c r="BY42">
        <v>1.5628070711055819</v>
      </c>
      <c r="BZ42">
        <v>-92.952664132170725</v>
      </c>
      <c r="CA42">
        <v>1.317191381686492</v>
      </c>
      <c r="CB42">
        <v>0.99440890189940434</v>
      </c>
      <c r="CC42">
        <v>-1.1217274749721919E-2</v>
      </c>
      <c r="CD42">
        <v>289.99999999999989</v>
      </c>
      <c r="CE42">
        <v>1014.11</v>
      </c>
      <c r="CF42">
        <v>685</v>
      </c>
      <c r="CG42">
        <v>10275.799999999999</v>
      </c>
      <c r="CH42">
        <v>1021.92</v>
      </c>
      <c r="CI42">
        <v>-7.81</v>
      </c>
      <c r="CW42">
        <f t="shared" si="42"/>
        <v>1800.18</v>
      </c>
      <c r="CX42">
        <f t="shared" si="43"/>
        <v>1513.3355998355164</v>
      </c>
      <c r="CY42">
        <f t="shared" si="44"/>
        <v>0.84065793411520873</v>
      </c>
      <c r="CZ42">
        <f t="shared" si="45"/>
        <v>0.19131586823041749</v>
      </c>
      <c r="DA42">
        <v>6</v>
      </c>
      <c r="DB42">
        <v>0.5</v>
      </c>
      <c r="DC42" t="s">
        <v>420</v>
      </c>
      <c r="DD42">
        <v>2</v>
      </c>
      <c r="DE42">
        <v>1693500323</v>
      </c>
      <c r="DF42">
        <v>846.03899999999999</v>
      </c>
      <c r="DG42">
        <v>899.77700000000004</v>
      </c>
      <c r="DH42">
        <v>28.717600000000001</v>
      </c>
      <c r="DI42">
        <v>24.4407</v>
      </c>
      <c r="DJ42">
        <v>846.1</v>
      </c>
      <c r="DK42">
        <v>28.9831</v>
      </c>
      <c r="DL42">
        <v>499.99</v>
      </c>
      <c r="DM42">
        <v>99.600499999999997</v>
      </c>
      <c r="DN42">
        <v>0.100193</v>
      </c>
      <c r="DO42">
        <v>30.523499999999999</v>
      </c>
      <c r="DP42">
        <v>30.0731</v>
      </c>
      <c r="DQ42">
        <v>999.9</v>
      </c>
      <c r="DR42">
        <v>0</v>
      </c>
      <c r="DS42">
        <v>0</v>
      </c>
      <c r="DT42">
        <v>9930</v>
      </c>
      <c r="DU42">
        <v>0</v>
      </c>
      <c r="DV42">
        <v>1676.96</v>
      </c>
      <c r="DW42">
        <v>-53.738500000000002</v>
      </c>
      <c r="DX42">
        <v>871.053</v>
      </c>
      <c r="DY42">
        <v>922.31899999999996</v>
      </c>
      <c r="DZ42">
        <v>4.2769000000000004</v>
      </c>
      <c r="EA42">
        <v>899.77700000000004</v>
      </c>
      <c r="EB42">
        <v>24.4407</v>
      </c>
      <c r="EC42">
        <v>2.86029</v>
      </c>
      <c r="ED42">
        <v>2.43431</v>
      </c>
      <c r="EE42">
        <v>23.2362</v>
      </c>
      <c r="EF42">
        <v>20.593800000000002</v>
      </c>
      <c r="EG42">
        <v>1800.18</v>
      </c>
      <c r="EH42">
        <v>0.97800699999999996</v>
      </c>
      <c r="EI42">
        <v>2.1992600000000001E-2</v>
      </c>
      <c r="EJ42">
        <v>0</v>
      </c>
      <c r="EK42">
        <v>782.41800000000001</v>
      </c>
      <c r="EL42">
        <v>5.0002500000000003</v>
      </c>
      <c r="EM42">
        <v>21966.9</v>
      </c>
      <c r="EN42">
        <v>14823.6</v>
      </c>
      <c r="EO42">
        <v>46.811999999999998</v>
      </c>
      <c r="EP42">
        <v>48.686999999999998</v>
      </c>
      <c r="EQ42">
        <v>47.811999999999998</v>
      </c>
      <c r="ER42">
        <v>46.811999999999998</v>
      </c>
      <c r="ES42">
        <v>48</v>
      </c>
      <c r="ET42">
        <v>1755.7</v>
      </c>
      <c r="EU42">
        <v>39.479999999999997</v>
      </c>
      <c r="EV42">
        <v>0</v>
      </c>
      <c r="EW42">
        <v>103.7999999523163</v>
      </c>
      <c r="EX42">
        <v>0</v>
      </c>
      <c r="EY42">
        <v>782.7140400000003</v>
      </c>
      <c r="EZ42">
        <v>-3.608923089686404</v>
      </c>
      <c r="FA42">
        <v>-200.43846177140841</v>
      </c>
      <c r="FB42">
        <v>22011.544000000002</v>
      </c>
      <c r="FC42">
        <v>15</v>
      </c>
      <c r="FD42">
        <v>1693500292</v>
      </c>
      <c r="FE42" t="s">
        <v>553</v>
      </c>
      <c r="FF42">
        <v>1693500280</v>
      </c>
      <c r="FG42">
        <v>1693500292</v>
      </c>
      <c r="FH42">
        <v>30</v>
      </c>
      <c r="FI42">
        <v>0.42899999999999999</v>
      </c>
      <c r="FJ42">
        <v>5.0000000000000001E-3</v>
      </c>
      <c r="FK42">
        <v>-6.0999999999999999E-2</v>
      </c>
      <c r="FL42">
        <v>-0.26500000000000001</v>
      </c>
      <c r="FM42">
        <v>900</v>
      </c>
      <c r="FN42">
        <v>24</v>
      </c>
      <c r="FO42">
        <v>0.21</v>
      </c>
      <c r="FP42">
        <v>7.0000000000000007E-2</v>
      </c>
      <c r="FQ42">
        <v>41.749702389939813</v>
      </c>
      <c r="FR42">
        <v>-0.62734366163994704</v>
      </c>
      <c r="FS42">
        <v>0.10944364482002621</v>
      </c>
      <c r="FT42">
        <v>1</v>
      </c>
      <c r="FU42">
        <v>0.26537505706310621</v>
      </c>
      <c r="FV42">
        <v>4.0498202319269039E-2</v>
      </c>
      <c r="FW42">
        <v>5.4676492015697416E-3</v>
      </c>
      <c r="FX42">
        <v>1</v>
      </c>
      <c r="FY42">
        <v>2</v>
      </c>
      <c r="FZ42">
        <v>2</v>
      </c>
      <c r="GA42" t="s">
        <v>422</v>
      </c>
      <c r="GB42">
        <v>2.9229699999999998</v>
      </c>
      <c r="GC42">
        <v>2.8294700000000002</v>
      </c>
      <c r="GD42">
        <v>0.15503800000000001</v>
      </c>
      <c r="GE42">
        <v>0.15862599999999999</v>
      </c>
      <c r="GF42">
        <v>0.13733500000000001</v>
      </c>
      <c r="GG42">
        <v>0.117365</v>
      </c>
      <c r="GH42">
        <v>22143.3</v>
      </c>
      <c r="GI42">
        <v>26908.7</v>
      </c>
      <c r="GJ42">
        <v>23581.5</v>
      </c>
      <c r="GK42">
        <v>29262.3</v>
      </c>
      <c r="GL42">
        <v>27727</v>
      </c>
      <c r="GM42">
        <v>36518</v>
      </c>
      <c r="GN42">
        <v>33345.300000000003</v>
      </c>
      <c r="GO42">
        <v>43171.5</v>
      </c>
      <c r="GP42">
        <v>2.052</v>
      </c>
      <c r="GQ42">
        <v>1.9496</v>
      </c>
      <c r="GR42">
        <v>0.112802</v>
      </c>
      <c r="GS42">
        <v>0</v>
      </c>
      <c r="GT42">
        <v>28.2349</v>
      </c>
      <c r="GU42">
        <v>999.9</v>
      </c>
      <c r="GV42">
        <v>58.7</v>
      </c>
      <c r="GW42">
        <v>31.2</v>
      </c>
      <c r="GX42">
        <v>26.894300000000001</v>
      </c>
      <c r="GY42">
        <v>61.218000000000004</v>
      </c>
      <c r="GZ42">
        <v>34.194699999999997</v>
      </c>
      <c r="HA42">
        <v>1</v>
      </c>
      <c r="HB42">
        <v>7.8445100000000004E-2</v>
      </c>
      <c r="HC42">
        <v>0.48691699999999999</v>
      </c>
      <c r="HD42">
        <v>20.324000000000002</v>
      </c>
      <c r="HE42">
        <v>5.2125000000000004</v>
      </c>
      <c r="HF42">
        <v>11.866199999999999</v>
      </c>
      <c r="HG42">
        <v>4.9854000000000003</v>
      </c>
      <c r="HH42">
        <v>3.2839999999999998</v>
      </c>
      <c r="HI42">
        <v>9999</v>
      </c>
      <c r="HJ42">
        <v>9999</v>
      </c>
      <c r="HK42">
        <v>9999</v>
      </c>
      <c r="HL42">
        <v>999.9</v>
      </c>
      <c r="HM42">
        <v>1.8546899999999999</v>
      </c>
      <c r="HN42">
        <v>1.8608100000000001</v>
      </c>
      <c r="HO42">
        <v>1.8582399999999999</v>
      </c>
      <c r="HP42">
        <v>1.85944</v>
      </c>
      <c r="HQ42">
        <v>1.85883</v>
      </c>
      <c r="HR42">
        <v>1.8593299999999999</v>
      </c>
      <c r="HS42">
        <v>1.8577600000000001</v>
      </c>
      <c r="HT42">
        <v>1.86111</v>
      </c>
      <c r="HU42">
        <v>5</v>
      </c>
      <c r="HV42">
        <v>0</v>
      </c>
      <c r="HW42">
        <v>0</v>
      </c>
      <c r="HX42">
        <v>0</v>
      </c>
      <c r="HY42" t="s">
        <v>423</v>
      </c>
      <c r="HZ42" t="s">
        <v>424</v>
      </c>
      <c r="IA42" t="s">
        <v>425</v>
      </c>
      <c r="IB42" t="s">
        <v>425</v>
      </c>
      <c r="IC42" t="s">
        <v>425</v>
      </c>
      <c r="ID42" t="s">
        <v>425</v>
      </c>
      <c r="IE42">
        <v>0</v>
      </c>
      <c r="IF42">
        <v>100</v>
      </c>
      <c r="IG42">
        <v>100</v>
      </c>
      <c r="IH42">
        <v>-6.0999999999999999E-2</v>
      </c>
      <c r="II42">
        <v>-0.26550000000000001</v>
      </c>
      <c r="IJ42">
        <v>-6.1047619047599262E-2</v>
      </c>
      <c r="IK42">
        <v>0</v>
      </c>
      <c r="IL42">
        <v>0</v>
      </c>
      <c r="IM42">
        <v>0</v>
      </c>
      <c r="IN42">
        <v>-0.26543333333332703</v>
      </c>
      <c r="IO42">
        <v>0</v>
      </c>
      <c r="IP42">
        <v>0</v>
      </c>
      <c r="IQ42">
        <v>0</v>
      </c>
      <c r="IR42">
        <v>-1</v>
      </c>
      <c r="IS42">
        <v>-1</v>
      </c>
      <c r="IT42">
        <v>-1</v>
      </c>
      <c r="IU42">
        <v>-1</v>
      </c>
      <c r="IV42">
        <v>0.7</v>
      </c>
      <c r="IW42">
        <v>0.5</v>
      </c>
      <c r="IX42">
        <v>1.89697</v>
      </c>
      <c r="IY42">
        <v>2.4328599999999998</v>
      </c>
      <c r="IZ42">
        <v>1.49414</v>
      </c>
      <c r="JA42">
        <v>2.2973599999999998</v>
      </c>
      <c r="JB42">
        <v>1.54419</v>
      </c>
      <c r="JC42">
        <v>2.4658199999999999</v>
      </c>
      <c r="JD42">
        <v>34.554900000000004</v>
      </c>
      <c r="JE42">
        <v>15.6906</v>
      </c>
      <c r="JF42">
        <v>18</v>
      </c>
      <c r="JG42">
        <v>533.87400000000002</v>
      </c>
      <c r="JH42">
        <v>504.00599999999997</v>
      </c>
      <c r="JI42">
        <v>27.3551</v>
      </c>
      <c r="JJ42">
        <v>28.3566</v>
      </c>
      <c r="JK42">
        <v>30.0002</v>
      </c>
      <c r="JL42">
        <v>28.3597</v>
      </c>
      <c r="JM42">
        <v>28.334</v>
      </c>
      <c r="JN42">
        <v>38.032200000000003</v>
      </c>
      <c r="JO42">
        <v>17.8035</v>
      </c>
      <c r="JP42">
        <v>100</v>
      </c>
      <c r="JQ42">
        <v>27.364699999999999</v>
      </c>
      <c r="JR42">
        <v>900</v>
      </c>
      <c r="JS42">
        <v>24.527000000000001</v>
      </c>
      <c r="JT42">
        <v>98.895399999999995</v>
      </c>
      <c r="JU42">
        <v>97.262100000000004</v>
      </c>
    </row>
    <row r="43" spans="1:281" x14ac:dyDescent="0.25">
      <c r="A43">
        <v>27</v>
      </c>
      <c r="B43">
        <v>1693500440.5</v>
      </c>
      <c r="C43">
        <v>6304.5</v>
      </c>
      <c r="D43" t="s">
        <v>554</v>
      </c>
      <c r="E43" t="s">
        <v>555</v>
      </c>
      <c r="F43" t="s">
        <v>414</v>
      </c>
      <c r="G43" t="s">
        <v>494</v>
      </c>
      <c r="H43" t="s">
        <v>495</v>
      </c>
      <c r="I43" t="s">
        <v>31</v>
      </c>
      <c r="J43">
        <v>1693500440.5</v>
      </c>
      <c r="K43">
        <f t="shared" si="0"/>
        <v>3.5513150640895668E-3</v>
      </c>
      <c r="L43">
        <f t="shared" si="1"/>
        <v>3.5513150640895668</v>
      </c>
      <c r="M43">
        <f t="shared" si="2"/>
        <v>41.645816493034019</v>
      </c>
      <c r="N43">
        <f t="shared" si="3"/>
        <v>1145.26</v>
      </c>
      <c r="O43">
        <f t="shared" si="4"/>
        <v>851.12007844917855</v>
      </c>
      <c r="P43">
        <f t="shared" si="5"/>
        <v>84.863238978796403</v>
      </c>
      <c r="Q43">
        <f t="shared" si="6"/>
        <v>114.19125871163401</v>
      </c>
      <c r="R43">
        <f t="shared" si="7"/>
        <v>0.25601356582822204</v>
      </c>
      <c r="S43">
        <f t="shared" si="8"/>
        <v>2.9270367745835713</v>
      </c>
      <c r="T43">
        <f t="shared" si="9"/>
        <v>0.24419224414358656</v>
      </c>
      <c r="U43">
        <f t="shared" si="10"/>
        <v>0.15363675756046061</v>
      </c>
      <c r="V43">
        <f t="shared" si="11"/>
        <v>344.35479967081875</v>
      </c>
      <c r="W43">
        <f t="shared" si="12"/>
        <v>31.380717941277862</v>
      </c>
      <c r="X43">
        <f t="shared" si="13"/>
        <v>29.917300000000001</v>
      </c>
      <c r="Y43">
        <f t="shared" si="14"/>
        <v>4.240253540139725</v>
      </c>
      <c r="Z43">
        <f t="shared" si="15"/>
        <v>65.654301292020293</v>
      </c>
      <c r="AA43">
        <f t="shared" si="16"/>
        <v>2.84168984469318</v>
      </c>
      <c r="AB43">
        <f t="shared" si="17"/>
        <v>4.3282614981366994</v>
      </c>
      <c r="AC43">
        <f t="shared" si="18"/>
        <v>1.398563695446545</v>
      </c>
      <c r="AD43">
        <f t="shared" si="19"/>
        <v>-156.61299432634991</v>
      </c>
      <c r="AE43">
        <f t="shared" si="20"/>
        <v>56.477481319044117</v>
      </c>
      <c r="AF43">
        <f t="shared" si="21"/>
        <v>4.2943772208126099</v>
      </c>
      <c r="AG43">
        <f t="shared" si="22"/>
        <v>248.51366388432558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52225.866455894131</v>
      </c>
      <c r="AM43" t="s">
        <v>417</v>
      </c>
      <c r="AN43">
        <v>10366.9</v>
      </c>
      <c r="AO43">
        <v>993.59653846153856</v>
      </c>
      <c r="AP43">
        <v>3431.87</v>
      </c>
      <c r="AQ43">
        <f t="shared" si="26"/>
        <v>0.71047955241266758</v>
      </c>
      <c r="AR43">
        <v>-3.9894345373445681</v>
      </c>
      <c r="AS43" t="s">
        <v>556</v>
      </c>
      <c r="AT43">
        <v>10306.4</v>
      </c>
      <c r="AU43">
        <v>779.64638461538448</v>
      </c>
      <c r="AV43">
        <v>1112.7795158105221</v>
      </c>
      <c r="AW43">
        <f t="shared" si="27"/>
        <v>0.29937029435026163</v>
      </c>
      <c r="AX43">
        <v>0.5</v>
      </c>
      <c r="AY43">
        <f t="shared" si="28"/>
        <v>1513.1177998354094</v>
      </c>
      <c r="AZ43">
        <f t="shared" si="29"/>
        <v>41.645816493034019</v>
      </c>
      <c r="BA43">
        <f t="shared" si="30"/>
        <v>226.49126056167339</v>
      </c>
      <c r="BB43">
        <f t="shared" si="31"/>
        <v>3.0159747664948885E-2</v>
      </c>
      <c r="BC43">
        <f t="shared" si="32"/>
        <v>2.0840520976882897</v>
      </c>
      <c r="BD43">
        <f t="shared" si="33"/>
        <v>619.69040747415374</v>
      </c>
      <c r="BE43" t="s">
        <v>557</v>
      </c>
      <c r="BF43">
        <v>575.15</v>
      </c>
      <c r="BG43">
        <f t="shared" si="34"/>
        <v>575.15</v>
      </c>
      <c r="BH43">
        <f t="shared" si="35"/>
        <v>0.48314109684066708</v>
      </c>
      <c r="BI43">
        <f t="shared" si="36"/>
        <v>0.61963326305273836</v>
      </c>
      <c r="BJ43">
        <f t="shared" si="37"/>
        <v>0.81180181613510538</v>
      </c>
      <c r="BK43">
        <f t="shared" si="38"/>
        <v>2.7951402004304668</v>
      </c>
      <c r="BL43">
        <f t="shared" si="39"/>
        <v>0.95111993005338158</v>
      </c>
      <c r="BM43">
        <f t="shared" si="40"/>
        <v>0.45710732234151646</v>
      </c>
      <c r="BN43">
        <f t="shared" si="41"/>
        <v>0.54289267765848348</v>
      </c>
      <c r="BO43">
        <v>16758</v>
      </c>
      <c r="BP43">
        <v>290.00000000000011</v>
      </c>
      <c r="BQ43">
        <v>1024.49</v>
      </c>
      <c r="BR43">
        <v>145</v>
      </c>
      <c r="BS43">
        <v>10306.4</v>
      </c>
      <c r="BT43">
        <v>1019.75</v>
      </c>
      <c r="BU43">
        <v>4.74</v>
      </c>
      <c r="BV43">
        <v>300.00000000000011</v>
      </c>
      <c r="BW43">
        <v>38.4</v>
      </c>
      <c r="BX43">
        <v>1112.7795158105221</v>
      </c>
      <c r="BY43">
        <v>1.5950136414651179</v>
      </c>
      <c r="BZ43">
        <v>-95.87880221878423</v>
      </c>
      <c r="CA43">
        <v>1.34409046781286</v>
      </c>
      <c r="CB43">
        <v>0.99452748922272938</v>
      </c>
      <c r="CC43">
        <v>-1.1215419577308129E-2</v>
      </c>
      <c r="CD43">
        <v>289.99999999999989</v>
      </c>
      <c r="CE43">
        <v>1010.67</v>
      </c>
      <c r="CF43">
        <v>675</v>
      </c>
      <c r="CG43">
        <v>10274.6</v>
      </c>
      <c r="CH43">
        <v>1019.46</v>
      </c>
      <c r="CI43">
        <v>-8.7899999999999991</v>
      </c>
      <c r="CW43">
        <f t="shared" si="42"/>
        <v>1799.92</v>
      </c>
      <c r="CX43">
        <f t="shared" si="43"/>
        <v>1513.1177998354094</v>
      </c>
      <c r="CY43">
        <f t="shared" si="44"/>
        <v>0.84065836250244974</v>
      </c>
      <c r="CZ43">
        <f t="shared" si="45"/>
        <v>0.19131672500489952</v>
      </c>
      <c r="DA43">
        <v>6</v>
      </c>
      <c r="DB43">
        <v>0.5</v>
      </c>
      <c r="DC43" t="s">
        <v>420</v>
      </c>
      <c r="DD43">
        <v>2</v>
      </c>
      <c r="DE43">
        <v>1693500440.5</v>
      </c>
      <c r="DF43">
        <v>1145.26</v>
      </c>
      <c r="DG43">
        <v>1200.1099999999999</v>
      </c>
      <c r="DH43">
        <v>28.5002</v>
      </c>
      <c r="DI43">
        <v>24.360499999999998</v>
      </c>
      <c r="DJ43">
        <v>1145.07</v>
      </c>
      <c r="DK43">
        <v>28.763100000000001</v>
      </c>
      <c r="DL43">
        <v>500.05099999999999</v>
      </c>
      <c r="DM43">
        <v>99.607799999999997</v>
      </c>
      <c r="DN43">
        <v>9.9915900000000002E-2</v>
      </c>
      <c r="DO43">
        <v>30.275200000000002</v>
      </c>
      <c r="DP43">
        <v>29.917300000000001</v>
      </c>
      <c r="DQ43">
        <v>999.9</v>
      </c>
      <c r="DR43">
        <v>0</v>
      </c>
      <c r="DS43">
        <v>0</v>
      </c>
      <c r="DT43">
        <v>10025</v>
      </c>
      <c r="DU43">
        <v>0</v>
      </c>
      <c r="DV43">
        <v>1681</v>
      </c>
      <c r="DW43">
        <v>-54.848599999999998</v>
      </c>
      <c r="DX43">
        <v>1178.8599999999999</v>
      </c>
      <c r="DY43">
        <v>1230.08</v>
      </c>
      <c r="DZ43">
        <v>4.1396800000000002</v>
      </c>
      <c r="EA43">
        <v>1200.1099999999999</v>
      </c>
      <c r="EB43">
        <v>24.360499999999998</v>
      </c>
      <c r="EC43">
        <v>2.8388399999999998</v>
      </c>
      <c r="ED43">
        <v>2.4264999999999999</v>
      </c>
      <c r="EE43">
        <v>23.111699999999999</v>
      </c>
      <c r="EF43">
        <v>20.541699999999999</v>
      </c>
      <c r="EG43">
        <v>1799.92</v>
      </c>
      <c r="EH43">
        <v>0.97799199999999997</v>
      </c>
      <c r="EI43">
        <v>2.2008400000000001E-2</v>
      </c>
      <c r="EJ43">
        <v>0</v>
      </c>
      <c r="EK43">
        <v>779.37199999999996</v>
      </c>
      <c r="EL43">
        <v>5.0002500000000003</v>
      </c>
      <c r="EM43">
        <v>22068.6</v>
      </c>
      <c r="EN43">
        <v>14821.4</v>
      </c>
      <c r="EO43">
        <v>47.061999999999998</v>
      </c>
      <c r="EP43">
        <v>49.125</v>
      </c>
      <c r="EQ43">
        <v>48.061999999999998</v>
      </c>
      <c r="ER43">
        <v>47.186999999999998</v>
      </c>
      <c r="ES43">
        <v>48.186999999999998</v>
      </c>
      <c r="ET43">
        <v>1755.42</v>
      </c>
      <c r="EU43">
        <v>39.5</v>
      </c>
      <c r="EV43">
        <v>0</v>
      </c>
      <c r="EW43">
        <v>115.7999999523163</v>
      </c>
      <c r="EX43">
        <v>0</v>
      </c>
      <c r="EY43">
        <v>779.64638461538448</v>
      </c>
      <c r="EZ43">
        <v>-2.1283418838360162</v>
      </c>
      <c r="FA43">
        <v>-696.95726481464567</v>
      </c>
      <c r="FB43">
        <v>22213.099999999991</v>
      </c>
      <c r="FC43">
        <v>15</v>
      </c>
      <c r="FD43">
        <v>1693500409</v>
      </c>
      <c r="FE43" t="s">
        <v>558</v>
      </c>
      <c r="FF43">
        <v>1693500409</v>
      </c>
      <c r="FG43">
        <v>1693500406</v>
      </c>
      <c r="FH43">
        <v>31</v>
      </c>
      <c r="FI43">
        <v>0.249</v>
      </c>
      <c r="FJ43">
        <v>3.0000000000000001E-3</v>
      </c>
      <c r="FK43">
        <v>0.188</v>
      </c>
      <c r="FL43">
        <v>-0.26300000000000001</v>
      </c>
      <c r="FM43">
        <v>1200</v>
      </c>
      <c r="FN43">
        <v>24</v>
      </c>
      <c r="FO43">
        <v>0.24</v>
      </c>
      <c r="FP43">
        <v>7.0000000000000007E-2</v>
      </c>
      <c r="FQ43">
        <v>41.739813706353267</v>
      </c>
      <c r="FR43">
        <v>-0.53395753586821859</v>
      </c>
      <c r="FS43">
        <v>0.13156867377844869</v>
      </c>
      <c r="FT43">
        <v>1</v>
      </c>
      <c r="FU43">
        <v>0.25329373267596977</v>
      </c>
      <c r="FV43">
        <v>4.8269639634115513E-2</v>
      </c>
      <c r="FW43">
        <v>4.6014677100099559E-3</v>
      </c>
      <c r="FX43">
        <v>1</v>
      </c>
      <c r="FY43">
        <v>2</v>
      </c>
      <c r="FZ43">
        <v>2</v>
      </c>
      <c r="GA43" t="s">
        <v>422</v>
      </c>
      <c r="GB43">
        <v>2.9229699999999998</v>
      </c>
      <c r="GC43">
        <v>2.8300200000000002</v>
      </c>
      <c r="GD43">
        <v>0.18790399999999999</v>
      </c>
      <c r="GE43">
        <v>0.19026399999999999</v>
      </c>
      <c r="GF43">
        <v>0.136578</v>
      </c>
      <c r="GG43">
        <v>0.11706800000000001</v>
      </c>
      <c r="GH43">
        <v>21277.3</v>
      </c>
      <c r="GI43">
        <v>25889.599999999999</v>
      </c>
      <c r="GJ43">
        <v>23576.7</v>
      </c>
      <c r="GK43">
        <v>29254.799999999999</v>
      </c>
      <c r="GL43">
        <v>27749.599999999999</v>
      </c>
      <c r="GM43">
        <v>36527.599999999999</v>
      </c>
      <c r="GN43">
        <v>33337.800000000003</v>
      </c>
      <c r="GO43">
        <v>43162.400000000001</v>
      </c>
      <c r="GP43">
        <v>2.0493000000000001</v>
      </c>
      <c r="GQ43">
        <v>1.9476</v>
      </c>
      <c r="GR43">
        <v>0.100315</v>
      </c>
      <c r="GS43">
        <v>0</v>
      </c>
      <c r="GT43">
        <v>28.282399999999999</v>
      </c>
      <c r="GU43">
        <v>999.9</v>
      </c>
      <c r="GV43">
        <v>58.9</v>
      </c>
      <c r="GW43">
        <v>31.2</v>
      </c>
      <c r="GX43">
        <v>26.9816</v>
      </c>
      <c r="GY43">
        <v>61.457999999999998</v>
      </c>
      <c r="GZ43">
        <v>34.302900000000001</v>
      </c>
      <c r="HA43">
        <v>1</v>
      </c>
      <c r="HB43">
        <v>9.0142299999999995E-2</v>
      </c>
      <c r="HC43">
        <v>-0.133551</v>
      </c>
      <c r="HD43">
        <v>20.325399999999998</v>
      </c>
      <c r="HE43">
        <v>5.2125000000000004</v>
      </c>
      <c r="HF43">
        <v>11.866199999999999</v>
      </c>
      <c r="HG43">
        <v>4.9854000000000003</v>
      </c>
      <c r="HH43">
        <v>3.2839999999999998</v>
      </c>
      <c r="HI43">
        <v>9999</v>
      </c>
      <c r="HJ43">
        <v>9999</v>
      </c>
      <c r="HK43">
        <v>9999</v>
      </c>
      <c r="HL43">
        <v>999.9</v>
      </c>
      <c r="HM43">
        <v>1.8546499999999999</v>
      </c>
      <c r="HN43">
        <v>1.86077</v>
      </c>
      <c r="HO43">
        <v>1.85822</v>
      </c>
      <c r="HP43">
        <v>1.85944</v>
      </c>
      <c r="HQ43">
        <v>1.85877</v>
      </c>
      <c r="HR43">
        <v>1.85928</v>
      </c>
      <c r="HS43">
        <v>1.8577300000000001</v>
      </c>
      <c r="HT43">
        <v>1.8611</v>
      </c>
      <c r="HU43">
        <v>5</v>
      </c>
      <c r="HV43">
        <v>0</v>
      </c>
      <c r="HW43">
        <v>0</v>
      </c>
      <c r="HX43">
        <v>0</v>
      </c>
      <c r="HY43" t="s">
        <v>423</v>
      </c>
      <c r="HZ43" t="s">
        <v>424</v>
      </c>
      <c r="IA43" t="s">
        <v>425</v>
      </c>
      <c r="IB43" t="s">
        <v>425</v>
      </c>
      <c r="IC43" t="s">
        <v>425</v>
      </c>
      <c r="ID43" t="s">
        <v>425</v>
      </c>
      <c r="IE43">
        <v>0</v>
      </c>
      <c r="IF43">
        <v>100</v>
      </c>
      <c r="IG43">
        <v>100</v>
      </c>
      <c r="IH43">
        <v>0.19</v>
      </c>
      <c r="II43">
        <v>-0.26290000000000002</v>
      </c>
      <c r="IJ43">
        <v>0.18799999999987449</v>
      </c>
      <c r="IK43">
        <v>0</v>
      </c>
      <c r="IL43">
        <v>0</v>
      </c>
      <c r="IM43">
        <v>0</v>
      </c>
      <c r="IN43">
        <v>-0.26293500000000242</v>
      </c>
      <c r="IO43">
        <v>0</v>
      </c>
      <c r="IP43">
        <v>0</v>
      </c>
      <c r="IQ43">
        <v>0</v>
      </c>
      <c r="IR43">
        <v>-1</v>
      </c>
      <c r="IS43">
        <v>-1</v>
      </c>
      <c r="IT43">
        <v>-1</v>
      </c>
      <c r="IU43">
        <v>-1</v>
      </c>
      <c r="IV43">
        <v>0.5</v>
      </c>
      <c r="IW43">
        <v>0.6</v>
      </c>
      <c r="IX43">
        <v>2.3730500000000001</v>
      </c>
      <c r="IY43">
        <v>2.4182100000000002</v>
      </c>
      <c r="IZ43">
        <v>1.49414</v>
      </c>
      <c r="JA43">
        <v>2.2973599999999998</v>
      </c>
      <c r="JB43">
        <v>1.54419</v>
      </c>
      <c r="JC43">
        <v>2.3120099999999999</v>
      </c>
      <c r="JD43">
        <v>34.5777</v>
      </c>
      <c r="JE43">
        <v>15.664300000000001</v>
      </c>
      <c r="JF43">
        <v>18</v>
      </c>
      <c r="JG43">
        <v>533.35199999999998</v>
      </c>
      <c r="JH43">
        <v>503.81799999999998</v>
      </c>
      <c r="JI43">
        <v>27.417899999999999</v>
      </c>
      <c r="JJ43">
        <v>28.5167</v>
      </c>
      <c r="JK43">
        <v>30.000299999999999</v>
      </c>
      <c r="JL43">
        <v>28.4968</v>
      </c>
      <c r="JM43">
        <v>28.468499999999999</v>
      </c>
      <c r="JN43">
        <v>47.556699999999999</v>
      </c>
      <c r="JO43">
        <v>18.772300000000001</v>
      </c>
      <c r="JP43">
        <v>100</v>
      </c>
      <c r="JQ43">
        <v>27.453499999999998</v>
      </c>
      <c r="JR43">
        <v>1200</v>
      </c>
      <c r="JS43">
        <v>24.275200000000002</v>
      </c>
      <c r="JT43">
        <v>98.874099999999999</v>
      </c>
      <c r="JU43">
        <v>97.239800000000002</v>
      </c>
    </row>
    <row r="44" spans="1:281" x14ac:dyDescent="0.25">
      <c r="A44">
        <v>28</v>
      </c>
      <c r="B44">
        <v>1693500548</v>
      </c>
      <c r="C44">
        <v>6412</v>
      </c>
      <c r="D44" t="s">
        <v>559</v>
      </c>
      <c r="E44" t="s">
        <v>560</v>
      </c>
      <c r="F44" t="s">
        <v>414</v>
      </c>
      <c r="G44" t="s">
        <v>494</v>
      </c>
      <c r="H44" t="s">
        <v>495</v>
      </c>
      <c r="I44" t="s">
        <v>31</v>
      </c>
      <c r="J44">
        <v>1693500548</v>
      </c>
      <c r="K44">
        <f t="shared" si="0"/>
        <v>3.3272846713064876E-3</v>
      </c>
      <c r="L44">
        <f t="shared" si="1"/>
        <v>3.3272846713064874</v>
      </c>
      <c r="M44">
        <f t="shared" si="2"/>
        <v>41.540640563830848</v>
      </c>
      <c r="N44">
        <f t="shared" si="3"/>
        <v>1444.6</v>
      </c>
      <c r="O44">
        <f t="shared" si="4"/>
        <v>1121.3713912175376</v>
      </c>
      <c r="P44">
        <f t="shared" si="5"/>
        <v>111.80336393639212</v>
      </c>
      <c r="Q44">
        <f t="shared" si="6"/>
        <v>144.03001611014</v>
      </c>
      <c r="R44">
        <f t="shared" si="7"/>
        <v>0.23541218561873087</v>
      </c>
      <c r="S44">
        <f t="shared" si="8"/>
        <v>2.9260793752078267</v>
      </c>
      <c r="T44">
        <f t="shared" si="9"/>
        <v>0.22537362305810191</v>
      </c>
      <c r="U44">
        <f t="shared" si="10"/>
        <v>0.14172476679861562</v>
      </c>
      <c r="V44">
        <f t="shared" si="11"/>
        <v>344.39089967085346</v>
      </c>
      <c r="W44">
        <f t="shared" si="12"/>
        <v>31.447554640856559</v>
      </c>
      <c r="X44">
        <f t="shared" si="13"/>
        <v>29.920500000000001</v>
      </c>
      <c r="Y44">
        <f t="shared" si="14"/>
        <v>4.2410334599988548</v>
      </c>
      <c r="Z44">
        <f t="shared" si="15"/>
        <v>65.151054672473578</v>
      </c>
      <c r="AA44">
        <f t="shared" si="16"/>
        <v>2.8212176020067599</v>
      </c>
      <c r="AB44">
        <f t="shared" si="17"/>
        <v>4.3302715760927333</v>
      </c>
      <c r="AC44">
        <f t="shared" si="18"/>
        <v>1.419815857992095</v>
      </c>
      <c r="AD44">
        <f t="shared" si="19"/>
        <v>-146.7332540046161</v>
      </c>
      <c r="AE44">
        <f t="shared" si="20"/>
        <v>57.231987075006941</v>
      </c>
      <c r="AF44">
        <f t="shared" si="21"/>
        <v>4.3534149205351138</v>
      </c>
      <c r="AG44">
        <f t="shared" si="22"/>
        <v>259.24304766177943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52197.039918546398</v>
      </c>
      <c r="AM44" t="s">
        <v>417</v>
      </c>
      <c r="AN44">
        <v>10366.9</v>
      </c>
      <c r="AO44">
        <v>993.59653846153856</v>
      </c>
      <c r="AP44">
        <v>3431.87</v>
      </c>
      <c r="AQ44">
        <f t="shared" si="26"/>
        <v>0.71047955241266758</v>
      </c>
      <c r="AR44">
        <v>-3.9894345373445681</v>
      </c>
      <c r="AS44" t="s">
        <v>561</v>
      </c>
      <c r="AT44">
        <v>10305.799999999999</v>
      </c>
      <c r="AU44">
        <v>777.005</v>
      </c>
      <c r="AV44">
        <v>1107.4053447746121</v>
      </c>
      <c r="AW44">
        <f t="shared" si="27"/>
        <v>0.29835538209530477</v>
      </c>
      <c r="AX44">
        <v>0.5</v>
      </c>
      <c r="AY44">
        <f t="shared" si="28"/>
        <v>1513.2773998354264</v>
      </c>
      <c r="AZ44">
        <f t="shared" si="29"/>
        <v>41.540640563830848</v>
      </c>
      <c r="BA44">
        <f t="shared" si="30"/>
        <v>225.74722842204397</v>
      </c>
      <c r="BB44">
        <f t="shared" si="31"/>
        <v>3.0087064741815973E-2</v>
      </c>
      <c r="BC44">
        <f t="shared" si="32"/>
        <v>2.099018815642868</v>
      </c>
      <c r="BD44">
        <f t="shared" si="33"/>
        <v>618.02018938672711</v>
      </c>
      <c r="BE44" t="s">
        <v>562</v>
      </c>
      <c r="BF44">
        <v>573.95000000000005</v>
      </c>
      <c r="BG44">
        <f t="shared" si="34"/>
        <v>573.95000000000005</v>
      </c>
      <c r="BH44">
        <f t="shared" si="35"/>
        <v>0.48171642596070829</v>
      </c>
      <c r="BI44">
        <f t="shared" si="36"/>
        <v>0.61935895480475156</v>
      </c>
      <c r="BJ44">
        <f t="shared" si="37"/>
        <v>0.81334140046795855</v>
      </c>
      <c r="BK44">
        <f t="shared" si="38"/>
        <v>2.9031175660143802</v>
      </c>
      <c r="BL44">
        <f t="shared" si="39"/>
        <v>0.95332401877463557</v>
      </c>
      <c r="BM44">
        <f t="shared" si="40"/>
        <v>0.45750165328432535</v>
      </c>
      <c r="BN44">
        <f t="shared" si="41"/>
        <v>0.54249834671567465</v>
      </c>
      <c r="BO44">
        <v>16760</v>
      </c>
      <c r="BP44">
        <v>290.00000000000011</v>
      </c>
      <c r="BQ44">
        <v>1021.29</v>
      </c>
      <c r="BR44">
        <v>145</v>
      </c>
      <c r="BS44">
        <v>10305.799999999999</v>
      </c>
      <c r="BT44">
        <v>1016.54</v>
      </c>
      <c r="BU44">
        <v>4.75</v>
      </c>
      <c r="BV44">
        <v>300.00000000000011</v>
      </c>
      <c r="BW44">
        <v>38.4</v>
      </c>
      <c r="BX44">
        <v>1107.4053447746121</v>
      </c>
      <c r="BY44">
        <v>1.357289441333615</v>
      </c>
      <c r="BZ44">
        <v>-93.641107325413813</v>
      </c>
      <c r="CA44">
        <v>1.143695017758068</v>
      </c>
      <c r="CB44">
        <v>0.99584055661134396</v>
      </c>
      <c r="CC44">
        <v>-1.121474082313681E-2</v>
      </c>
      <c r="CD44">
        <v>289.99999999999989</v>
      </c>
      <c r="CE44">
        <v>1007.51</v>
      </c>
      <c r="CF44">
        <v>705</v>
      </c>
      <c r="CG44">
        <v>10272</v>
      </c>
      <c r="CH44">
        <v>1016.24</v>
      </c>
      <c r="CI44">
        <v>-8.73</v>
      </c>
      <c r="CW44">
        <f t="shared" si="42"/>
        <v>1800.11</v>
      </c>
      <c r="CX44">
        <f t="shared" si="43"/>
        <v>1513.2773998354264</v>
      </c>
      <c r="CY44">
        <f t="shared" si="44"/>
        <v>0.84065829301288619</v>
      </c>
      <c r="CZ44">
        <f t="shared" si="45"/>
        <v>0.19131658602577259</v>
      </c>
      <c r="DA44">
        <v>6</v>
      </c>
      <c r="DB44">
        <v>0.5</v>
      </c>
      <c r="DC44" t="s">
        <v>420</v>
      </c>
      <c r="DD44">
        <v>2</v>
      </c>
      <c r="DE44">
        <v>1693500548</v>
      </c>
      <c r="DF44">
        <v>1444.6</v>
      </c>
      <c r="DG44">
        <v>1500.19</v>
      </c>
      <c r="DH44">
        <v>28.296399999999998</v>
      </c>
      <c r="DI44">
        <v>24.418500000000002</v>
      </c>
      <c r="DJ44">
        <v>1444.33</v>
      </c>
      <c r="DK44">
        <v>28.558599999999998</v>
      </c>
      <c r="DL44">
        <v>500.24</v>
      </c>
      <c r="DM44">
        <v>99.603099999999998</v>
      </c>
      <c r="DN44">
        <v>9.9250900000000003E-2</v>
      </c>
      <c r="DO44">
        <v>30.283300000000001</v>
      </c>
      <c r="DP44">
        <v>29.920500000000001</v>
      </c>
      <c r="DQ44">
        <v>999.9</v>
      </c>
      <c r="DR44">
        <v>0</v>
      </c>
      <c r="DS44">
        <v>0</v>
      </c>
      <c r="DT44">
        <v>10020</v>
      </c>
      <c r="DU44">
        <v>0</v>
      </c>
      <c r="DV44">
        <v>1675.41</v>
      </c>
      <c r="DW44">
        <v>-55.594000000000001</v>
      </c>
      <c r="DX44">
        <v>1486.66</v>
      </c>
      <c r="DY44">
        <v>1537.74</v>
      </c>
      <c r="DZ44">
        <v>3.8778800000000002</v>
      </c>
      <c r="EA44">
        <v>1500.19</v>
      </c>
      <c r="EB44">
        <v>24.418500000000002</v>
      </c>
      <c r="EC44">
        <v>2.8184</v>
      </c>
      <c r="ED44">
        <v>2.43215</v>
      </c>
      <c r="EE44">
        <v>22.9923</v>
      </c>
      <c r="EF44">
        <v>20.579499999999999</v>
      </c>
      <c r="EG44">
        <v>1800.11</v>
      </c>
      <c r="EH44">
        <v>0.97799499999999995</v>
      </c>
      <c r="EI44">
        <v>2.2004800000000001E-2</v>
      </c>
      <c r="EJ44">
        <v>0</v>
      </c>
      <c r="EK44">
        <v>776.96799999999996</v>
      </c>
      <c r="EL44">
        <v>5.0002500000000003</v>
      </c>
      <c r="EM44">
        <v>21961.1</v>
      </c>
      <c r="EN44">
        <v>14823</v>
      </c>
      <c r="EO44">
        <v>47.125</v>
      </c>
      <c r="EP44">
        <v>49.061999999999998</v>
      </c>
      <c r="EQ44">
        <v>48.061999999999998</v>
      </c>
      <c r="ER44">
        <v>47.186999999999998</v>
      </c>
      <c r="ES44">
        <v>48.25</v>
      </c>
      <c r="ET44">
        <v>1755.61</v>
      </c>
      <c r="EU44">
        <v>39.5</v>
      </c>
      <c r="EV44">
        <v>0</v>
      </c>
      <c r="EW44">
        <v>105.5999999046326</v>
      </c>
      <c r="EX44">
        <v>0</v>
      </c>
      <c r="EY44">
        <v>777.005</v>
      </c>
      <c r="EZ44">
        <v>-0.91589744128648287</v>
      </c>
      <c r="FA44">
        <v>-1263.699140761358</v>
      </c>
      <c r="FB44">
        <v>22274.284615384611</v>
      </c>
      <c r="FC44">
        <v>15</v>
      </c>
      <c r="FD44">
        <v>1693500516.5</v>
      </c>
      <c r="FE44" t="s">
        <v>563</v>
      </c>
      <c r="FF44">
        <v>1693500512.5</v>
      </c>
      <c r="FG44">
        <v>1693500516.5</v>
      </c>
      <c r="FH44">
        <v>32</v>
      </c>
      <c r="FI44">
        <v>7.3999999999999996E-2</v>
      </c>
      <c r="FJ44">
        <v>1E-3</v>
      </c>
      <c r="FK44">
        <v>0.26200000000000001</v>
      </c>
      <c r="FL44">
        <v>-0.26200000000000001</v>
      </c>
      <c r="FM44">
        <v>1500</v>
      </c>
      <c r="FN44">
        <v>24</v>
      </c>
      <c r="FO44">
        <v>1.01</v>
      </c>
      <c r="FP44">
        <v>0.11</v>
      </c>
      <c r="FQ44">
        <v>41.463031543284423</v>
      </c>
      <c r="FR44">
        <v>0.19963129541828839</v>
      </c>
      <c r="FS44">
        <v>0.1418559820364505</v>
      </c>
      <c r="FT44">
        <v>1</v>
      </c>
      <c r="FU44">
        <v>0.23543624196877869</v>
      </c>
      <c r="FV44">
        <v>2.8876631406914741E-2</v>
      </c>
      <c r="FW44">
        <v>3.636057943940548E-3</v>
      </c>
      <c r="FX44">
        <v>1</v>
      </c>
      <c r="FY44">
        <v>2</v>
      </c>
      <c r="FZ44">
        <v>2</v>
      </c>
      <c r="GA44" t="s">
        <v>422</v>
      </c>
      <c r="GB44">
        <v>2.92333</v>
      </c>
      <c r="GC44">
        <v>2.82931</v>
      </c>
      <c r="GD44">
        <v>0.216198</v>
      </c>
      <c r="GE44">
        <v>0.21762799999999999</v>
      </c>
      <c r="GF44">
        <v>0.13586599999999999</v>
      </c>
      <c r="GG44">
        <v>0.11723</v>
      </c>
      <c r="GH44">
        <v>20534.2</v>
      </c>
      <c r="GI44">
        <v>25012.9</v>
      </c>
      <c r="GJ44">
        <v>23574.799999999999</v>
      </c>
      <c r="GK44">
        <v>29253.1</v>
      </c>
      <c r="GL44">
        <v>27773.599999999999</v>
      </c>
      <c r="GM44">
        <v>36523.4</v>
      </c>
      <c r="GN44">
        <v>33334.9</v>
      </c>
      <c r="GO44">
        <v>43161.3</v>
      </c>
      <c r="GP44">
        <v>2.0478999999999998</v>
      </c>
      <c r="GQ44">
        <v>1.9472</v>
      </c>
      <c r="GR44">
        <v>0.12201099999999999</v>
      </c>
      <c r="GS44">
        <v>0</v>
      </c>
      <c r="GT44">
        <v>27.9314</v>
      </c>
      <c r="GU44">
        <v>999.9</v>
      </c>
      <c r="GV44">
        <v>59</v>
      </c>
      <c r="GW44">
        <v>31.2</v>
      </c>
      <c r="GX44">
        <v>27.0291</v>
      </c>
      <c r="GY44">
        <v>61.097999999999999</v>
      </c>
      <c r="GZ44">
        <v>33.722000000000001</v>
      </c>
      <c r="HA44">
        <v>1</v>
      </c>
      <c r="HB44">
        <v>9.8963400000000007E-2</v>
      </c>
      <c r="HC44">
        <v>-1.12496</v>
      </c>
      <c r="HD44">
        <v>20.319900000000001</v>
      </c>
      <c r="HE44">
        <v>5.2077099999999996</v>
      </c>
      <c r="HF44">
        <v>11.866199999999999</v>
      </c>
      <c r="HG44">
        <v>4.9836</v>
      </c>
      <c r="HH44">
        <v>3.2831000000000001</v>
      </c>
      <c r="HI44">
        <v>9999</v>
      </c>
      <c r="HJ44">
        <v>9999</v>
      </c>
      <c r="HK44">
        <v>9999</v>
      </c>
      <c r="HL44">
        <v>999.9</v>
      </c>
      <c r="HM44">
        <v>1.85466</v>
      </c>
      <c r="HN44">
        <v>1.8607800000000001</v>
      </c>
      <c r="HO44">
        <v>1.85822</v>
      </c>
      <c r="HP44">
        <v>1.85944</v>
      </c>
      <c r="HQ44">
        <v>1.85883</v>
      </c>
      <c r="HR44">
        <v>1.8593</v>
      </c>
      <c r="HS44">
        <v>1.8577300000000001</v>
      </c>
      <c r="HT44">
        <v>1.86111</v>
      </c>
      <c r="HU44">
        <v>5</v>
      </c>
      <c r="HV44">
        <v>0</v>
      </c>
      <c r="HW44">
        <v>0</v>
      </c>
      <c r="HX44">
        <v>0</v>
      </c>
      <c r="HY44" t="s">
        <v>423</v>
      </c>
      <c r="HZ44" t="s">
        <v>424</v>
      </c>
      <c r="IA44" t="s">
        <v>425</v>
      </c>
      <c r="IB44" t="s">
        <v>425</v>
      </c>
      <c r="IC44" t="s">
        <v>425</v>
      </c>
      <c r="ID44" t="s">
        <v>425</v>
      </c>
      <c r="IE44">
        <v>0</v>
      </c>
      <c r="IF44">
        <v>100</v>
      </c>
      <c r="IG44">
        <v>100</v>
      </c>
      <c r="IH44">
        <v>0.27</v>
      </c>
      <c r="II44">
        <v>-0.26219999999999999</v>
      </c>
      <c r="IJ44">
        <v>0.26238095238090858</v>
      </c>
      <c r="IK44">
        <v>0</v>
      </c>
      <c r="IL44">
        <v>0</v>
      </c>
      <c r="IM44">
        <v>0</v>
      </c>
      <c r="IN44">
        <v>-0.26228095238095861</v>
      </c>
      <c r="IO44">
        <v>0</v>
      </c>
      <c r="IP44">
        <v>0</v>
      </c>
      <c r="IQ44">
        <v>0</v>
      </c>
      <c r="IR44">
        <v>-1</v>
      </c>
      <c r="IS44">
        <v>-1</v>
      </c>
      <c r="IT44">
        <v>-1</v>
      </c>
      <c r="IU44">
        <v>-1</v>
      </c>
      <c r="IV44">
        <v>0.6</v>
      </c>
      <c r="IW44">
        <v>0.5</v>
      </c>
      <c r="IX44">
        <v>2.81372</v>
      </c>
      <c r="IY44">
        <v>2.4121100000000002</v>
      </c>
      <c r="IZ44">
        <v>1.49414</v>
      </c>
      <c r="JA44">
        <v>2.2973599999999998</v>
      </c>
      <c r="JB44">
        <v>1.54419</v>
      </c>
      <c r="JC44">
        <v>2.4731399999999999</v>
      </c>
      <c r="JD44">
        <v>34.6006</v>
      </c>
      <c r="JE44">
        <v>15.646800000000001</v>
      </c>
      <c r="JF44">
        <v>18</v>
      </c>
      <c r="JG44">
        <v>533.35599999999999</v>
      </c>
      <c r="JH44">
        <v>504.43799999999999</v>
      </c>
      <c r="JI44">
        <v>29.275500000000001</v>
      </c>
      <c r="JJ44">
        <v>28.6022</v>
      </c>
      <c r="JK44">
        <v>30.0001</v>
      </c>
      <c r="JL44">
        <v>28.598099999999999</v>
      </c>
      <c r="JM44">
        <v>28.565000000000001</v>
      </c>
      <c r="JN44">
        <v>56.347700000000003</v>
      </c>
      <c r="JO44">
        <v>18.337900000000001</v>
      </c>
      <c r="JP44">
        <v>100</v>
      </c>
      <c r="JQ44">
        <v>29.305599999999998</v>
      </c>
      <c r="JR44">
        <v>1500</v>
      </c>
      <c r="JS44">
        <v>24.406400000000001</v>
      </c>
      <c r="JT44">
        <v>98.865600000000001</v>
      </c>
      <c r="JU44">
        <v>97.236000000000004</v>
      </c>
    </row>
    <row r="45" spans="1:281" x14ac:dyDescent="0.25">
      <c r="A45">
        <v>29</v>
      </c>
      <c r="B45">
        <v>1693502627.5999999</v>
      </c>
      <c r="C45">
        <v>8491.5999999046326</v>
      </c>
      <c r="D45" t="s">
        <v>564</v>
      </c>
      <c r="E45" t="s">
        <v>565</v>
      </c>
      <c r="F45" t="s">
        <v>414</v>
      </c>
      <c r="G45" t="s">
        <v>566</v>
      </c>
      <c r="H45" t="s">
        <v>31</v>
      </c>
      <c r="I45">
        <v>3</v>
      </c>
      <c r="J45">
        <v>1693502627.5999999</v>
      </c>
      <c r="K45">
        <f t="shared" si="0"/>
        <v>3.6995065667006009E-3</v>
      </c>
      <c r="L45">
        <f t="shared" si="1"/>
        <v>3.6995065667006011</v>
      </c>
      <c r="M45">
        <f t="shared" si="2"/>
        <v>38.039813552643295</v>
      </c>
      <c r="N45">
        <f t="shared" si="3"/>
        <v>352.81900000000002</v>
      </c>
      <c r="O45">
        <f t="shared" si="4"/>
        <v>113.00162683973267</v>
      </c>
      <c r="P45">
        <f t="shared" si="5"/>
        <v>11.265664756320247</v>
      </c>
      <c r="Q45">
        <f t="shared" si="6"/>
        <v>35.174188945947002</v>
      </c>
      <c r="R45">
        <f t="shared" si="7"/>
        <v>0.27097677564235079</v>
      </c>
      <c r="S45">
        <f t="shared" si="8"/>
        <v>2.9154039658570339</v>
      </c>
      <c r="T45">
        <f t="shared" si="9"/>
        <v>0.25772160435129499</v>
      </c>
      <c r="U45">
        <f t="shared" si="10"/>
        <v>0.16221288005100012</v>
      </c>
      <c r="V45">
        <f t="shared" si="11"/>
        <v>344.39599967094233</v>
      </c>
      <c r="W45">
        <f t="shared" si="12"/>
        <v>31.643309936853171</v>
      </c>
      <c r="X45">
        <f t="shared" si="13"/>
        <v>30.011800000000001</v>
      </c>
      <c r="Y45">
        <f t="shared" si="14"/>
        <v>4.2633382829846225</v>
      </c>
      <c r="Z45">
        <f t="shared" si="15"/>
        <v>65.497661695838275</v>
      </c>
      <c r="AA45">
        <f t="shared" si="16"/>
        <v>2.8835499398694</v>
      </c>
      <c r="AB45">
        <f t="shared" si="17"/>
        <v>4.4025234874188204</v>
      </c>
      <c r="AC45">
        <f t="shared" si="18"/>
        <v>1.3797883431152225</v>
      </c>
      <c r="AD45">
        <f t="shared" si="19"/>
        <v>-163.14823959149649</v>
      </c>
      <c r="AE45">
        <f t="shared" si="20"/>
        <v>88.096732449382529</v>
      </c>
      <c r="AF45">
        <f t="shared" si="21"/>
        <v>6.7383834131395721</v>
      </c>
      <c r="AG45">
        <f t="shared" si="22"/>
        <v>276.08287594196793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51843.106855008205</v>
      </c>
      <c r="AM45" t="s">
        <v>417</v>
      </c>
      <c r="AN45">
        <v>10366.9</v>
      </c>
      <c r="AO45">
        <v>993.59653846153856</v>
      </c>
      <c r="AP45">
        <v>3431.87</v>
      </c>
      <c r="AQ45">
        <f t="shared" si="26"/>
        <v>0.71047955241266758</v>
      </c>
      <c r="AR45">
        <v>-3.9894345373445681</v>
      </c>
      <c r="AS45" t="s">
        <v>567</v>
      </c>
      <c r="AT45">
        <v>10313.5</v>
      </c>
      <c r="AU45">
        <v>683.9197200000001</v>
      </c>
      <c r="AV45">
        <v>960.73719544687629</v>
      </c>
      <c r="AW45">
        <f t="shared" si="27"/>
        <v>0.28813027824754678</v>
      </c>
      <c r="AX45">
        <v>0.5</v>
      </c>
      <c r="AY45">
        <f t="shared" si="28"/>
        <v>1513.3022998354713</v>
      </c>
      <c r="AZ45">
        <f t="shared" si="29"/>
        <v>38.039813552643295</v>
      </c>
      <c r="BA45">
        <f t="shared" si="30"/>
        <v>218.01410636212341</v>
      </c>
      <c r="BB45">
        <f t="shared" si="31"/>
        <v>2.7773200433619475E-2</v>
      </c>
      <c r="BC45">
        <f t="shared" si="32"/>
        <v>2.5721215086334857</v>
      </c>
      <c r="BD45">
        <f t="shared" si="33"/>
        <v>569.50015487206417</v>
      </c>
      <c r="BE45" t="s">
        <v>568</v>
      </c>
      <c r="BF45">
        <v>541.23</v>
      </c>
      <c r="BG45">
        <f t="shared" si="34"/>
        <v>541.23</v>
      </c>
      <c r="BH45">
        <f t="shared" si="35"/>
        <v>0.43665135214396189</v>
      </c>
      <c r="BI45">
        <f t="shared" si="36"/>
        <v>0.65986347421764446</v>
      </c>
      <c r="BJ45">
        <f t="shared" si="37"/>
        <v>0.85487393952658364</v>
      </c>
      <c r="BK45">
        <f t="shared" si="38"/>
        <v>-8.4243155842573163</v>
      </c>
      <c r="BL45">
        <f t="shared" si="39"/>
        <v>1.0134764797849742</v>
      </c>
      <c r="BM45">
        <f t="shared" si="40"/>
        <v>0.52219273360156315</v>
      </c>
      <c r="BN45">
        <f t="shared" si="41"/>
        <v>0.47780726639843685</v>
      </c>
      <c r="BO45">
        <v>16762</v>
      </c>
      <c r="BP45">
        <v>290.00000000000011</v>
      </c>
      <c r="BQ45">
        <v>883.39</v>
      </c>
      <c r="BR45">
        <v>165</v>
      </c>
      <c r="BS45">
        <v>10313.5</v>
      </c>
      <c r="BT45">
        <v>881.71</v>
      </c>
      <c r="BU45">
        <v>1.68</v>
      </c>
      <c r="BV45">
        <v>300.00000000000011</v>
      </c>
      <c r="BW45">
        <v>38.4</v>
      </c>
      <c r="BX45">
        <v>960.73719544687629</v>
      </c>
      <c r="BY45">
        <v>1.210565456219979</v>
      </c>
      <c r="BZ45">
        <v>-81.503164859418675</v>
      </c>
      <c r="CA45">
        <v>1.0211980987702289</v>
      </c>
      <c r="CB45">
        <v>0.99562352722871683</v>
      </c>
      <c r="CC45">
        <v>-1.1225941490545061E-2</v>
      </c>
      <c r="CD45">
        <v>289.99999999999989</v>
      </c>
      <c r="CE45">
        <v>874.91</v>
      </c>
      <c r="CF45">
        <v>675</v>
      </c>
      <c r="CG45">
        <v>10285.4</v>
      </c>
      <c r="CH45">
        <v>881.5</v>
      </c>
      <c r="CI45">
        <v>-6.59</v>
      </c>
      <c r="CW45">
        <f t="shared" si="42"/>
        <v>1800.14</v>
      </c>
      <c r="CX45">
        <f t="shared" si="43"/>
        <v>1513.3022998354713</v>
      </c>
      <c r="CY45">
        <f t="shared" si="44"/>
        <v>0.84065811538850932</v>
      </c>
      <c r="CZ45">
        <f t="shared" si="45"/>
        <v>0.19131623077701862</v>
      </c>
      <c r="DA45">
        <v>6</v>
      </c>
      <c r="DB45">
        <v>0.5</v>
      </c>
      <c r="DC45" t="s">
        <v>420</v>
      </c>
      <c r="DD45">
        <v>2</v>
      </c>
      <c r="DE45">
        <v>1693502627.5999999</v>
      </c>
      <c r="DF45">
        <v>352.81900000000002</v>
      </c>
      <c r="DG45">
        <v>400.02100000000002</v>
      </c>
      <c r="DH45">
        <v>28.9238</v>
      </c>
      <c r="DI45">
        <v>24.613900000000001</v>
      </c>
      <c r="DJ45">
        <v>353.54</v>
      </c>
      <c r="DK45">
        <v>29.167899999999999</v>
      </c>
      <c r="DL45">
        <v>500.12799999999999</v>
      </c>
      <c r="DM45">
        <v>99.594200000000001</v>
      </c>
      <c r="DN45">
        <v>0.10051300000000001</v>
      </c>
      <c r="DO45">
        <v>30.572299999999998</v>
      </c>
      <c r="DP45">
        <v>30.011800000000001</v>
      </c>
      <c r="DQ45">
        <v>999.9</v>
      </c>
      <c r="DR45">
        <v>0</v>
      </c>
      <c r="DS45">
        <v>0</v>
      </c>
      <c r="DT45">
        <v>9960</v>
      </c>
      <c r="DU45">
        <v>0</v>
      </c>
      <c r="DV45">
        <v>1873.62</v>
      </c>
      <c r="DW45">
        <v>-47.201900000000002</v>
      </c>
      <c r="DX45">
        <v>363.32799999999997</v>
      </c>
      <c r="DY45">
        <v>410.11500000000001</v>
      </c>
      <c r="DZ45">
        <v>4.3099299999999996</v>
      </c>
      <c r="EA45">
        <v>400.02100000000002</v>
      </c>
      <c r="EB45">
        <v>24.613900000000001</v>
      </c>
      <c r="EC45">
        <v>2.8806400000000001</v>
      </c>
      <c r="ED45">
        <v>2.4514</v>
      </c>
      <c r="EE45">
        <v>23.3536</v>
      </c>
      <c r="EF45">
        <v>20.7074</v>
      </c>
      <c r="EG45">
        <v>1800.14</v>
      </c>
      <c r="EH45">
        <v>0.97800100000000001</v>
      </c>
      <c r="EI45">
        <v>2.1999100000000001E-2</v>
      </c>
      <c r="EJ45">
        <v>0</v>
      </c>
      <c r="EK45">
        <v>684.4</v>
      </c>
      <c r="EL45">
        <v>5.0002500000000003</v>
      </c>
      <c r="EM45">
        <v>21793.7</v>
      </c>
      <c r="EN45">
        <v>14823.3</v>
      </c>
      <c r="EO45">
        <v>46.25</v>
      </c>
      <c r="EP45">
        <v>48.375</v>
      </c>
      <c r="EQ45">
        <v>47.186999999999998</v>
      </c>
      <c r="ER45">
        <v>46.436999999999998</v>
      </c>
      <c r="ES45">
        <v>47.5</v>
      </c>
      <c r="ET45">
        <v>1755.65</v>
      </c>
      <c r="EU45">
        <v>39.49</v>
      </c>
      <c r="EV45">
        <v>0</v>
      </c>
      <c r="EW45">
        <v>2077.400000095367</v>
      </c>
      <c r="EX45">
        <v>0</v>
      </c>
      <c r="EY45">
        <v>683.9197200000001</v>
      </c>
      <c r="EZ45">
        <v>0.49838463030673141</v>
      </c>
      <c r="FA45">
        <v>37.969230859867167</v>
      </c>
      <c r="FB45">
        <v>21787.34</v>
      </c>
      <c r="FC45">
        <v>15</v>
      </c>
      <c r="FD45">
        <v>1693502585.5999999</v>
      </c>
      <c r="FE45" t="s">
        <v>569</v>
      </c>
      <c r="FF45">
        <v>1693502573.5999999</v>
      </c>
      <c r="FG45">
        <v>1693502585.5999999</v>
      </c>
      <c r="FH45">
        <v>34</v>
      </c>
      <c r="FI45">
        <v>9.2999999999999999E-2</v>
      </c>
      <c r="FJ45">
        <v>1E-3</v>
      </c>
      <c r="FK45">
        <v>-0.72099999999999997</v>
      </c>
      <c r="FL45">
        <v>-0.24399999999999999</v>
      </c>
      <c r="FM45">
        <v>400</v>
      </c>
      <c r="FN45">
        <v>25</v>
      </c>
      <c r="FO45">
        <v>0.16</v>
      </c>
      <c r="FP45">
        <v>0.06</v>
      </c>
      <c r="FQ45">
        <v>38.092904783566873</v>
      </c>
      <c r="FR45">
        <v>-0.30182162297133952</v>
      </c>
      <c r="FS45">
        <v>4.4182993987559878E-2</v>
      </c>
      <c r="FT45">
        <v>1</v>
      </c>
      <c r="FU45">
        <v>0.26659707225349932</v>
      </c>
      <c r="FV45">
        <v>4.1141275879405657E-2</v>
      </c>
      <c r="FW45">
        <v>3.4966824097138818E-3</v>
      </c>
      <c r="FX45">
        <v>1</v>
      </c>
      <c r="FY45">
        <v>2</v>
      </c>
      <c r="FZ45">
        <v>2</v>
      </c>
      <c r="GA45" t="s">
        <v>422</v>
      </c>
      <c r="GB45">
        <v>2.9232499999999999</v>
      </c>
      <c r="GC45">
        <v>2.8300800000000002</v>
      </c>
      <c r="GD45">
        <v>8.3078399999999997E-2</v>
      </c>
      <c r="GE45">
        <v>8.9726600000000004E-2</v>
      </c>
      <c r="GF45">
        <v>0.13792299999999999</v>
      </c>
      <c r="GG45">
        <v>0.11792999999999999</v>
      </c>
      <c r="GH45">
        <v>24058.5</v>
      </c>
      <c r="GI45">
        <v>29110.9</v>
      </c>
      <c r="GJ45">
        <v>23610.799999999999</v>
      </c>
      <c r="GK45">
        <v>29261.7</v>
      </c>
      <c r="GL45">
        <v>27738.3</v>
      </c>
      <c r="GM45">
        <v>36497.4</v>
      </c>
      <c r="GN45">
        <v>33389.199999999997</v>
      </c>
      <c r="GO45">
        <v>43184.6</v>
      </c>
      <c r="GP45">
        <v>2.0497000000000001</v>
      </c>
      <c r="GQ45">
        <v>1.9573</v>
      </c>
      <c r="GR45">
        <v>8.8483099999999995E-2</v>
      </c>
      <c r="GS45">
        <v>0</v>
      </c>
      <c r="GT45">
        <v>28.5702</v>
      </c>
      <c r="GU45">
        <v>999.9</v>
      </c>
      <c r="GV45">
        <v>59.9</v>
      </c>
      <c r="GW45">
        <v>29.9</v>
      </c>
      <c r="GX45">
        <v>25.476500000000001</v>
      </c>
      <c r="GY45">
        <v>60.561</v>
      </c>
      <c r="GZ45">
        <v>34.166699999999999</v>
      </c>
      <c r="HA45">
        <v>1</v>
      </c>
      <c r="HB45">
        <v>7.69817E-2</v>
      </c>
      <c r="HC45">
        <v>0.364118</v>
      </c>
      <c r="HD45">
        <v>20.2806</v>
      </c>
      <c r="HE45">
        <v>5.2107000000000001</v>
      </c>
      <c r="HF45">
        <v>11.8668</v>
      </c>
      <c r="HG45">
        <v>4.9851999999999999</v>
      </c>
      <c r="HH45">
        <v>3.2839999999999998</v>
      </c>
      <c r="HI45">
        <v>9999</v>
      </c>
      <c r="HJ45">
        <v>9999</v>
      </c>
      <c r="HK45">
        <v>9999</v>
      </c>
      <c r="HL45">
        <v>999.9</v>
      </c>
      <c r="HM45">
        <v>1.8549800000000001</v>
      </c>
      <c r="HN45">
        <v>1.86111</v>
      </c>
      <c r="HO45">
        <v>1.8585199999999999</v>
      </c>
      <c r="HP45">
        <v>1.8597399999999999</v>
      </c>
      <c r="HQ45">
        <v>1.8591</v>
      </c>
      <c r="HR45">
        <v>1.8595900000000001</v>
      </c>
      <c r="HS45">
        <v>1.85802</v>
      </c>
      <c r="HT45">
        <v>1.86138</v>
      </c>
      <c r="HU45">
        <v>5</v>
      </c>
      <c r="HV45">
        <v>0</v>
      </c>
      <c r="HW45">
        <v>0</v>
      </c>
      <c r="HX45">
        <v>0</v>
      </c>
      <c r="HY45" t="s">
        <v>423</v>
      </c>
      <c r="HZ45" t="s">
        <v>424</v>
      </c>
      <c r="IA45" t="s">
        <v>425</v>
      </c>
      <c r="IB45" t="s">
        <v>425</v>
      </c>
      <c r="IC45" t="s">
        <v>425</v>
      </c>
      <c r="ID45" t="s">
        <v>425</v>
      </c>
      <c r="IE45">
        <v>0</v>
      </c>
      <c r="IF45">
        <v>100</v>
      </c>
      <c r="IG45">
        <v>100</v>
      </c>
      <c r="IH45">
        <v>-0.72099999999999997</v>
      </c>
      <c r="II45">
        <v>-0.24410000000000001</v>
      </c>
      <c r="IJ45">
        <v>-0.72074999999983902</v>
      </c>
      <c r="IK45">
        <v>0</v>
      </c>
      <c r="IL45">
        <v>0</v>
      </c>
      <c r="IM45">
        <v>0</v>
      </c>
      <c r="IN45">
        <v>-0.24408500000000191</v>
      </c>
      <c r="IO45">
        <v>0</v>
      </c>
      <c r="IP45">
        <v>0</v>
      </c>
      <c r="IQ45">
        <v>0</v>
      </c>
      <c r="IR45">
        <v>-1</v>
      </c>
      <c r="IS45">
        <v>-1</v>
      </c>
      <c r="IT45">
        <v>-1</v>
      </c>
      <c r="IU45">
        <v>-1</v>
      </c>
      <c r="IV45">
        <v>0.9</v>
      </c>
      <c r="IW45">
        <v>0.7</v>
      </c>
      <c r="IX45">
        <v>0.99853499999999995</v>
      </c>
      <c r="IY45">
        <v>2.4401899999999999</v>
      </c>
      <c r="IZ45">
        <v>1.49414</v>
      </c>
      <c r="JA45">
        <v>2.2997999999999998</v>
      </c>
      <c r="JB45">
        <v>1.54419</v>
      </c>
      <c r="JC45">
        <v>2.4706999999999999</v>
      </c>
      <c r="JD45">
        <v>35.4754</v>
      </c>
      <c r="JE45">
        <v>23.877400000000002</v>
      </c>
      <c r="JF45">
        <v>18</v>
      </c>
      <c r="JG45">
        <v>532.59</v>
      </c>
      <c r="JH45">
        <v>509.839</v>
      </c>
      <c r="JI45">
        <v>27.4361</v>
      </c>
      <c r="JJ45">
        <v>28.453499999999998</v>
      </c>
      <c r="JK45">
        <v>30.000499999999999</v>
      </c>
      <c r="JL45">
        <v>28.386099999999999</v>
      </c>
      <c r="JM45">
        <v>28.353200000000001</v>
      </c>
      <c r="JN45">
        <v>20.061</v>
      </c>
      <c r="JO45">
        <v>11.8695</v>
      </c>
      <c r="JP45">
        <v>100</v>
      </c>
      <c r="JQ45">
        <v>27.435500000000001</v>
      </c>
      <c r="JR45">
        <v>400</v>
      </c>
      <c r="JS45">
        <v>24.470500000000001</v>
      </c>
      <c r="JT45">
        <v>99.022599999999997</v>
      </c>
      <c r="JU45">
        <v>97.278899999999993</v>
      </c>
    </row>
    <row r="46" spans="1:281" x14ac:dyDescent="0.25">
      <c r="A46">
        <v>30</v>
      </c>
      <c r="B46">
        <v>1693502737.0999999</v>
      </c>
      <c r="C46">
        <v>8601.0999999046326</v>
      </c>
      <c r="D46" t="s">
        <v>570</v>
      </c>
      <c r="E46" t="s">
        <v>571</v>
      </c>
      <c r="F46" t="s">
        <v>414</v>
      </c>
      <c r="G46" t="s">
        <v>566</v>
      </c>
      <c r="H46" t="s">
        <v>31</v>
      </c>
      <c r="I46">
        <v>3</v>
      </c>
      <c r="J46">
        <v>1693502737.0999999</v>
      </c>
      <c r="K46">
        <f t="shared" si="0"/>
        <v>3.6875896466084324E-3</v>
      </c>
      <c r="L46">
        <f t="shared" si="1"/>
        <v>3.6875896466084326</v>
      </c>
      <c r="M46">
        <f t="shared" si="2"/>
        <v>30.355339299458453</v>
      </c>
      <c r="N46">
        <f t="shared" si="3"/>
        <v>262.50900000000001</v>
      </c>
      <c r="O46">
        <f t="shared" si="4"/>
        <v>72.034205262848772</v>
      </c>
      <c r="P46">
        <f t="shared" si="5"/>
        <v>7.1814577221020457</v>
      </c>
      <c r="Q46">
        <f t="shared" si="6"/>
        <v>26.170862554703099</v>
      </c>
      <c r="R46">
        <f t="shared" si="7"/>
        <v>0.27156112342251737</v>
      </c>
      <c r="S46">
        <f t="shared" si="8"/>
        <v>2.9399113689798506</v>
      </c>
      <c r="T46">
        <f t="shared" si="9"/>
        <v>0.25835539450453526</v>
      </c>
      <c r="U46">
        <f t="shared" si="10"/>
        <v>0.16260507523966219</v>
      </c>
      <c r="V46">
        <f t="shared" si="11"/>
        <v>344.35609967090397</v>
      </c>
      <c r="W46">
        <f t="shared" si="12"/>
        <v>31.543630577292518</v>
      </c>
      <c r="X46">
        <f t="shared" si="13"/>
        <v>29.924099999999999</v>
      </c>
      <c r="Y46">
        <f t="shared" si="14"/>
        <v>4.2419110192808835</v>
      </c>
      <c r="Z46">
        <f t="shared" si="15"/>
        <v>65.535350605374532</v>
      </c>
      <c r="AA46">
        <f t="shared" si="16"/>
        <v>2.8696837452891399</v>
      </c>
      <c r="AB46">
        <f t="shared" si="17"/>
        <v>4.3788332842974036</v>
      </c>
      <c r="AC46">
        <f t="shared" si="18"/>
        <v>1.3722272739917436</v>
      </c>
      <c r="AD46">
        <f t="shared" si="19"/>
        <v>-162.62270341543186</v>
      </c>
      <c r="AE46">
        <f t="shared" si="20"/>
        <v>87.791212305168628</v>
      </c>
      <c r="AF46">
        <f t="shared" si="21"/>
        <v>6.6530453149470841</v>
      </c>
      <c r="AG46">
        <f t="shared" si="22"/>
        <v>276.17765387558779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52558.53986602823</v>
      </c>
      <c r="AM46" t="s">
        <v>417</v>
      </c>
      <c r="AN46">
        <v>10366.9</v>
      </c>
      <c r="AO46">
        <v>993.59653846153856</v>
      </c>
      <c r="AP46">
        <v>3431.87</v>
      </c>
      <c r="AQ46">
        <f t="shared" si="26"/>
        <v>0.71047955241266758</v>
      </c>
      <c r="AR46">
        <v>-3.9894345373445681</v>
      </c>
      <c r="AS46" t="s">
        <v>572</v>
      </c>
      <c r="AT46">
        <v>10306.299999999999</v>
      </c>
      <c r="AU46">
        <v>670.19376</v>
      </c>
      <c r="AV46">
        <v>890.89218758825348</v>
      </c>
      <c r="AW46">
        <f t="shared" si="27"/>
        <v>0.24772742500493716</v>
      </c>
      <c r="AX46">
        <v>0.5</v>
      </c>
      <c r="AY46">
        <f t="shared" si="28"/>
        <v>1513.1258998354519</v>
      </c>
      <c r="AZ46">
        <f t="shared" si="29"/>
        <v>30.355339299458453</v>
      </c>
      <c r="BA46">
        <f t="shared" si="30"/>
        <v>187.42139143725748</v>
      </c>
      <c r="BB46">
        <f t="shared" si="31"/>
        <v>2.2697895687687267E-2</v>
      </c>
      <c r="BC46">
        <f t="shared" si="32"/>
        <v>2.8521720672963387</v>
      </c>
      <c r="BD46">
        <f t="shared" si="33"/>
        <v>544.20919364017743</v>
      </c>
      <c r="BE46" t="s">
        <v>573</v>
      </c>
      <c r="BF46">
        <v>528.35</v>
      </c>
      <c r="BG46">
        <f t="shared" si="34"/>
        <v>528.35</v>
      </c>
      <c r="BH46">
        <f t="shared" si="35"/>
        <v>0.40694282949062155</v>
      </c>
      <c r="BI46">
        <f t="shared" si="36"/>
        <v>0.60875240218637716</v>
      </c>
      <c r="BJ46">
        <f t="shared" si="37"/>
        <v>0.87513701039143743</v>
      </c>
      <c r="BK46">
        <f t="shared" si="38"/>
        <v>-2.1488712572707609</v>
      </c>
      <c r="BL46">
        <f t="shared" si="39"/>
        <v>1.0421217523355573</v>
      </c>
      <c r="BM46">
        <f t="shared" si="40"/>
        <v>0.47991245351966927</v>
      </c>
      <c r="BN46">
        <f t="shared" si="41"/>
        <v>0.52008754648033073</v>
      </c>
      <c r="BO46">
        <v>16764</v>
      </c>
      <c r="BP46">
        <v>290.00000000000011</v>
      </c>
      <c r="BQ46">
        <v>829.4</v>
      </c>
      <c r="BR46">
        <v>205</v>
      </c>
      <c r="BS46">
        <v>10306.299999999999</v>
      </c>
      <c r="BT46">
        <v>827.79</v>
      </c>
      <c r="BU46">
        <v>1.61</v>
      </c>
      <c r="BV46">
        <v>300.00000000000011</v>
      </c>
      <c r="BW46">
        <v>38.4</v>
      </c>
      <c r="BX46">
        <v>890.89218758825348</v>
      </c>
      <c r="BY46">
        <v>1.112692599686155</v>
      </c>
      <c r="BZ46">
        <v>-65.035224382522912</v>
      </c>
      <c r="CA46">
        <v>0.93848920105620581</v>
      </c>
      <c r="CB46">
        <v>0.99420311845758258</v>
      </c>
      <c r="CC46">
        <v>-1.122409032258063E-2</v>
      </c>
      <c r="CD46">
        <v>289.99999999999989</v>
      </c>
      <c r="CE46">
        <v>823.49</v>
      </c>
      <c r="CF46">
        <v>645</v>
      </c>
      <c r="CG46">
        <v>10285.9</v>
      </c>
      <c r="CH46">
        <v>827.66</v>
      </c>
      <c r="CI46">
        <v>-4.17</v>
      </c>
      <c r="CW46">
        <f t="shared" si="42"/>
        <v>1799.93</v>
      </c>
      <c r="CX46">
        <f t="shared" si="43"/>
        <v>1513.1258998354519</v>
      </c>
      <c r="CY46">
        <f t="shared" si="44"/>
        <v>0.84065819217161331</v>
      </c>
      <c r="CZ46">
        <f t="shared" si="45"/>
        <v>0.19131638434322665</v>
      </c>
      <c r="DA46">
        <v>6</v>
      </c>
      <c r="DB46">
        <v>0.5</v>
      </c>
      <c r="DC46" t="s">
        <v>420</v>
      </c>
      <c r="DD46">
        <v>2</v>
      </c>
      <c r="DE46">
        <v>1693502737.0999999</v>
      </c>
      <c r="DF46">
        <v>262.50900000000001</v>
      </c>
      <c r="DG46">
        <v>300.10199999999998</v>
      </c>
      <c r="DH46">
        <v>28.784600000000001</v>
      </c>
      <c r="DI46">
        <v>24.4863</v>
      </c>
      <c r="DJ46">
        <v>263.37400000000002</v>
      </c>
      <c r="DK46">
        <v>29.034300000000002</v>
      </c>
      <c r="DL46">
        <v>499.93400000000003</v>
      </c>
      <c r="DM46">
        <v>99.5959</v>
      </c>
      <c r="DN46">
        <v>9.92059E-2</v>
      </c>
      <c r="DO46">
        <v>30.478000000000002</v>
      </c>
      <c r="DP46">
        <v>29.924099999999999</v>
      </c>
      <c r="DQ46">
        <v>999.9</v>
      </c>
      <c r="DR46">
        <v>0</v>
      </c>
      <c r="DS46">
        <v>0</v>
      </c>
      <c r="DT46">
        <v>10100</v>
      </c>
      <c r="DU46">
        <v>0</v>
      </c>
      <c r="DV46">
        <v>1872.16</v>
      </c>
      <c r="DW46">
        <v>-37.592799999999997</v>
      </c>
      <c r="DX46">
        <v>270.29000000000002</v>
      </c>
      <c r="DY46">
        <v>307.63499999999999</v>
      </c>
      <c r="DZ46">
        <v>4.2983399999999996</v>
      </c>
      <c r="EA46">
        <v>300.10199999999998</v>
      </c>
      <c r="EB46">
        <v>24.4863</v>
      </c>
      <c r="EC46">
        <v>2.8668300000000002</v>
      </c>
      <c r="ED46">
        <v>2.4387400000000001</v>
      </c>
      <c r="EE46">
        <v>23.274000000000001</v>
      </c>
      <c r="EF46">
        <v>20.6233</v>
      </c>
      <c r="EG46">
        <v>1799.93</v>
      </c>
      <c r="EH46">
        <v>0.97800100000000001</v>
      </c>
      <c r="EI46">
        <v>2.1999100000000001E-2</v>
      </c>
      <c r="EJ46">
        <v>0</v>
      </c>
      <c r="EK46">
        <v>670.16700000000003</v>
      </c>
      <c r="EL46">
        <v>5.0002500000000003</v>
      </c>
      <c r="EM46">
        <v>21515.9</v>
      </c>
      <c r="EN46">
        <v>14821.5</v>
      </c>
      <c r="EO46">
        <v>46.375</v>
      </c>
      <c r="EP46">
        <v>48.625</v>
      </c>
      <c r="EQ46">
        <v>47.375</v>
      </c>
      <c r="ER46">
        <v>46.625</v>
      </c>
      <c r="ES46">
        <v>47.686999999999998</v>
      </c>
      <c r="ET46">
        <v>1755.44</v>
      </c>
      <c r="EU46">
        <v>39.49</v>
      </c>
      <c r="EV46">
        <v>0</v>
      </c>
      <c r="EW46">
        <v>107.4000000953674</v>
      </c>
      <c r="EX46">
        <v>0</v>
      </c>
      <c r="EY46">
        <v>670.19376</v>
      </c>
      <c r="EZ46">
        <v>-2.198538454167176</v>
      </c>
      <c r="FA46">
        <v>-37.94615018620906</v>
      </c>
      <c r="FB46">
        <v>21494.103999999999</v>
      </c>
      <c r="FC46">
        <v>15</v>
      </c>
      <c r="FD46">
        <v>1693502694.0999999</v>
      </c>
      <c r="FE46" t="s">
        <v>574</v>
      </c>
      <c r="FF46">
        <v>1693502690.5999999</v>
      </c>
      <c r="FG46">
        <v>1693502694.0999999</v>
      </c>
      <c r="FH46">
        <v>35</v>
      </c>
      <c r="FI46">
        <v>-0.14399999999999999</v>
      </c>
      <c r="FJ46">
        <v>-6.0000000000000001E-3</v>
      </c>
      <c r="FK46">
        <v>-0.86499999999999999</v>
      </c>
      <c r="FL46">
        <v>-0.25</v>
      </c>
      <c r="FM46">
        <v>300</v>
      </c>
      <c r="FN46">
        <v>24</v>
      </c>
      <c r="FO46">
        <v>0.14000000000000001</v>
      </c>
      <c r="FP46">
        <v>0.06</v>
      </c>
      <c r="FQ46">
        <v>30.157352195790232</v>
      </c>
      <c r="FR46">
        <v>0.58048230850508054</v>
      </c>
      <c r="FS46">
        <v>9.011979707892688E-2</v>
      </c>
      <c r="FT46">
        <v>1</v>
      </c>
      <c r="FU46">
        <v>0.27232606600969472</v>
      </c>
      <c r="FV46">
        <v>1.4499696677331321E-2</v>
      </c>
      <c r="FW46">
        <v>1.8506689641497041E-3</v>
      </c>
      <c r="FX46">
        <v>1</v>
      </c>
      <c r="FY46">
        <v>2</v>
      </c>
      <c r="FZ46">
        <v>2</v>
      </c>
      <c r="GA46" t="s">
        <v>422</v>
      </c>
      <c r="GB46">
        <v>2.9226899999999998</v>
      </c>
      <c r="GC46">
        <v>2.8299599999999998</v>
      </c>
      <c r="GD46">
        <v>6.5501799999999999E-2</v>
      </c>
      <c r="GE46">
        <v>7.15451E-2</v>
      </c>
      <c r="GF46">
        <v>0.13747100000000001</v>
      </c>
      <c r="GG46">
        <v>0.117492</v>
      </c>
      <c r="GH46">
        <v>24519.599999999999</v>
      </c>
      <c r="GI46">
        <v>29692.3</v>
      </c>
      <c r="GJ46">
        <v>23610.9</v>
      </c>
      <c r="GK46">
        <v>29261.9</v>
      </c>
      <c r="GL46">
        <v>27751.8</v>
      </c>
      <c r="GM46">
        <v>36515.699999999997</v>
      </c>
      <c r="GN46">
        <v>33389.1</v>
      </c>
      <c r="GO46">
        <v>43186</v>
      </c>
      <c r="GP46">
        <v>2.0484</v>
      </c>
      <c r="GQ46">
        <v>1.9548000000000001</v>
      </c>
      <c r="GR46">
        <v>8.5622100000000007E-2</v>
      </c>
      <c r="GS46">
        <v>0</v>
      </c>
      <c r="GT46">
        <v>28.5289</v>
      </c>
      <c r="GU46">
        <v>999.9</v>
      </c>
      <c r="GV46">
        <v>59.9</v>
      </c>
      <c r="GW46">
        <v>29.9</v>
      </c>
      <c r="GX46">
        <v>25.476299999999998</v>
      </c>
      <c r="GY46">
        <v>60.841000000000001</v>
      </c>
      <c r="GZ46">
        <v>34.499200000000002</v>
      </c>
      <c r="HA46">
        <v>1</v>
      </c>
      <c r="HB46">
        <v>7.9756099999999996E-2</v>
      </c>
      <c r="HC46">
        <v>-0.113094</v>
      </c>
      <c r="HD46">
        <v>20.2807</v>
      </c>
      <c r="HE46">
        <v>5.2125000000000004</v>
      </c>
      <c r="HF46">
        <v>11.8674</v>
      </c>
      <c r="HG46">
        <v>4.9858000000000002</v>
      </c>
      <c r="HH46">
        <v>3.2839999999999998</v>
      </c>
      <c r="HI46">
        <v>9999</v>
      </c>
      <c r="HJ46">
        <v>9999</v>
      </c>
      <c r="HK46">
        <v>9999</v>
      </c>
      <c r="HL46">
        <v>999.9</v>
      </c>
      <c r="HM46">
        <v>1.85487</v>
      </c>
      <c r="HN46">
        <v>1.8610199999999999</v>
      </c>
      <c r="HO46">
        <v>1.8584700000000001</v>
      </c>
      <c r="HP46">
        <v>1.85968</v>
      </c>
      <c r="HQ46">
        <v>1.8589899999999999</v>
      </c>
      <c r="HR46">
        <v>1.85958</v>
      </c>
      <c r="HS46">
        <v>1.8579300000000001</v>
      </c>
      <c r="HT46">
        <v>1.86127</v>
      </c>
      <c r="HU46">
        <v>5</v>
      </c>
      <c r="HV46">
        <v>0</v>
      </c>
      <c r="HW46">
        <v>0</v>
      </c>
      <c r="HX46">
        <v>0</v>
      </c>
      <c r="HY46" t="s">
        <v>423</v>
      </c>
      <c r="HZ46" t="s">
        <v>424</v>
      </c>
      <c r="IA46" t="s">
        <v>425</v>
      </c>
      <c r="IB46" t="s">
        <v>425</v>
      </c>
      <c r="IC46" t="s">
        <v>425</v>
      </c>
      <c r="ID46" t="s">
        <v>425</v>
      </c>
      <c r="IE46">
        <v>0</v>
      </c>
      <c r="IF46">
        <v>100</v>
      </c>
      <c r="IG46">
        <v>100</v>
      </c>
      <c r="IH46">
        <v>-0.86499999999999999</v>
      </c>
      <c r="II46">
        <v>-0.24970000000000001</v>
      </c>
      <c r="IJ46">
        <v>-0.86476190476184911</v>
      </c>
      <c r="IK46">
        <v>0</v>
      </c>
      <c r="IL46">
        <v>0</v>
      </c>
      <c r="IM46">
        <v>0</v>
      </c>
      <c r="IN46">
        <v>-0.24964999999999549</v>
      </c>
      <c r="IO46">
        <v>0</v>
      </c>
      <c r="IP46">
        <v>0</v>
      </c>
      <c r="IQ46">
        <v>0</v>
      </c>
      <c r="IR46">
        <v>-1</v>
      </c>
      <c r="IS46">
        <v>-1</v>
      </c>
      <c r="IT46">
        <v>-1</v>
      </c>
      <c r="IU46">
        <v>-1</v>
      </c>
      <c r="IV46">
        <v>0.8</v>
      </c>
      <c r="IW46">
        <v>0.7</v>
      </c>
      <c r="IX46">
        <v>0.79834000000000005</v>
      </c>
      <c r="IY46">
        <v>2.4377399999999998</v>
      </c>
      <c r="IZ46">
        <v>1.49414</v>
      </c>
      <c r="JA46">
        <v>2.2997999999999998</v>
      </c>
      <c r="JB46">
        <v>1.54419</v>
      </c>
      <c r="JC46">
        <v>2.34375</v>
      </c>
      <c r="JD46">
        <v>35.637999999999998</v>
      </c>
      <c r="JE46">
        <v>23.868600000000001</v>
      </c>
      <c r="JF46">
        <v>18</v>
      </c>
      <c r="JG46">
        <v>532.21600000000001</v>
      </c>
      <c r="JH46">
        <v>508.50299999999999</v>
      </c>
      <c r="JI46">
        <v>27.657900000000001</v>
      </c>
      <c r="JJ46">
        <v>28.5167</v>
      </c>
      <c r="JK46">
        <v>30.000499999999999</v>
      </c>
      <c r="JL46">
        <v>28.439</v>
      </c>
      <c r="JM46">
        <v>28.405999999999999</v>
      </c>
      <c r="JN46">
        <v>16.0474</v>
      </c>
      <c r="JO46">
        <v>11.869</v>
      </c>
      <c r="JP46">
        <v>100</v>
      </c>
      <c r="JQ46">
        <v>27.678699999999999</v>
      </c>
      <c r="JR46">
        <v>300</v>
      </c>
      <c r="JS46">
        <v>24.455100000000002</v>
      </c>
      <c r="JT46">
        <v>99.022599999999997</v>
      </c>
      <c r="JU46">
        <v>97.281099999999995</v>
      </c>
    </row>
    <row r="47" spans="1:281" x14ac:dyDescent="0.25">
      <c r="A47">
        <v>31</v>
      </c>
      <c r="B47">
        <v>1693502889.5</v>
      </c>
      <c r="C47">
        <v>8753.5</v>
      </c>
      <c r="D47" t="s">
        <v>575</v>
      </c>
      <c r="E47" t="s">
        <v>576</v>
      </c>
      <c r="F47" t="s">
        <v>414</v>
      </c>
      <c r="G47" t="s">
        <v>566</v>
      </c>
      <c r="H47" t="s">
        <v>31</v>
      </c>
      <c r="I47">
        <v>3</v>
      </c>
      <c r="J47">
        <v>1693502889.5</v>
      </c>
      <c r="K47">
        <f t="shared" si="0"/>
        <v>4.0486480314572875E-3</v>
      </c>
      <c r="L47">
        <f t="shared" si="1"/>
        <v>4.0486480314572875</v>
      </c>
      <c r="M47">
        <f t="shared" si="2"/>
        <v>21.858294524998833</v>
      </c>
      <c r="N47">
        <f t="shared" si="3"/>
        <v>172.97</v>
      </c>
      <c r="O47">
        <f t="shared" si="4"/>
        <v>47.063961453589116</v>
      </c>
      <c r="P47">
        <f t="shared" si="5"/>
        <v>4.6920272355433621</v>
      </c>
      <c r="Q47">
        <f t="shared" si="6"/>
        <v>17.244191221179999</v>
      </c>
      <c r="R47">
        <f t="shared" si="7"/>
        <v>0.29712710653638663</v>
      </c>
      <c r="S47">
        <f t="shared" si="8"/>
        <v>2.9145166948862995</v>
      </c>
      <c r="T47">
        <f t="shared" si="9"/>
        <v>0.28126598633560962</v>
      </c>
      <c r="U47">
        <f t="shared" si="10"/>
        <v>0.17714570972879712</v>
      </c>
      <c r="V47">
        <f t="shared" si="11"/>
        <v>344.35989967090757</v>
      </c>
      <c r="W47">
        <f t="shared" si="12"/>
        <v>31.582169951823282</v>
      </c>
      <c r="X47">
        <f t="shared" si="13"/>
        <v>29.934699999999999</v>
      </c>
      <c r="Y47">
        <f t="shared" si="14"/>
        <v>4.2444958629220197</v>
      </c>
      <c r="Z47">
        <f t="shared" si="15"/>
        <v>64.865493150386342</v>
      </c>
      <c r="AA47">
        <f t="shared" si="16"/>
        <v>2.8605897022889999</v>
      </c>
      <c r="AB47">
        <f t="shared" si="17"/>
        <v>4.4100330751466155</v>
      </c>
      <c r="AC47">
        <f t="shared" si="18"/>
        <v>1.3839061606330199</v>
      </c>
      <c r="AD47">
        <f t="shared" si="19"/>
        <v>-178.54537818726638</v>
      </c>
      <c r="AE47">
        <f t="shared" si="20"/>
        <v>104.86684281411368</v>
      </c>
      <c r="AF47">
        <f t="shared" si="21"/>
        <v>8.0216712475776397</v>
      </c>
      <c r="AG47">
        <f t="shared" si="22"/>
        <v>278.70303554533245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51812.771669450645</v>
      </c>
      <c r="AM47" t="s">
        <v>417</v>
      </c>
      <c r="AN47">
        <v>10366.9</v>
      </c>
      <c r="AO47">
        <v>993.59653846153856</v>
      </c>
      <c r="AP47">
        <v>3431.87</v>
      </c>
      <c r="AQ47">
        <f t="shared" si="26"/>
        <v>0.71047955241266758</v>
      </c>
      <c r="AR47">
        <v>-3.9894345373445681</v>
      </c>
      <c r="AS47" t="s">
        <v>577</v>
      </c>
      <c r="AT47">
        <v>10298.799999999999</v>
      </c>
      <c r="AU47">
        <v>670.23543999999993</v>
      </c>
      <c r="AV47">
        <v>828.64216842114945</v>
      </c>
      <c r="AW47">
        <f t="shared" si="27"/>
        <v>0.19116421352653246</v>
      </c>
      <c r="AX47">
        <v>0.5</v>
      </c>
      <c r="AY47">
        <f t="shared" si="28"/>
        <v>1513.1426998354539</v>
      </c>
      <c r="AZ47">
        <f t="shared" si="29"/>
        <v>21.858294524998833</v>
      </c>
      <c r="BA47">
        <f t="shared" si="30"/>
        <v>144.62936708372925</v>
      </c>
      <c r="BB47">
        <f t="shared" si="31"/>
        <v>1.7082149003629466E-2</v>
      </c>
      <c r="BC47">
        <f t="shared" si="32"/>
        <v>3.1415584805910877</v>
      </c>
      <c r="BD47">
        <f t="shared" si="33"/>
        <v>520.33145134756035</v>
      </c>
      <c r="BE47" t="s">
        <v>578</v>
      </c>
      <c r="BF47">
        <v>524.54</v>
      </c>
      <c r="BG47">
        <f t="shared" si="34"/>
        <v>524.54</v>
      </c>
      <c r="BH47">
        <f t="shared" si="35"/>
        <v>0.36698852654405645</v>
      </c>
      <c r="BI47">
        <f t="shared" si="36"/>
        <v>0.52089970039862687</v>
      </c>
      <c r="BJ47">
        <f t="shared" si="37"/>
        <v>0.89540156486496214</v>
      </c>
      <c r="BK47">
        <f t="shared" si="38"/>
        <v>-0.96030634643000734</v>
      </c>
      <c r="BL47">
        <f t="shared" si="39"/>
        <v>1.0676521205034601</v>
      </c>
      <c r="BM47">
        <f t="shared" si="40"/>
        <v>0.40766678772924292</v>
      </c>
      <c r="BN47">
        <f t="shared" si="41"/>
        <v>0.59233321227075708</v>
      </c>
      <c r="BO47">
        <v>16766</v>
      </c>
      <c r="BP47">
        <v>290.00000000000011</v>
      </c>
      <c r="BQ47">
        <v>785.43</v>
      </c>
      <c r="BR47">
        <v>275</v>
      </c>
      <c r="BS47">
        <v>10298.799999999999</v>
      </c>
      <c r="BT47">
        <v>784.36</v>
      </c>
      <c r="BU47">
        <v>1.07</v>
      </c>
      <c r="BV47">
        <v>300.00000000000011</v>
      </c>
      <c r="BW47">
        <v>38.4</v>
      </c>
      <c r="BX47">
        <v>828.64216842114945</v>
      </c>
      <c r="BY47">
        <v>1.0128524624951789</v>
      </c>
      <c r="BZ47">
        <v>-45.600387225191859</v>
      </c>
      <c r="CA47">
        <v>0.85437327773727412</v>
      </c>
      <c r="CB47">
        <v>0.99026651470804039</v>
      </c>
      <c r="CC47">
        <v>-1.1224721245828699E-2</v>
      </c>
      <c r="CD47">
        <v>289.99999999999989</v>
      </c>
      <c r="CE47">
        <v>783.05</v>
      </c>
      <c r="CF47">
        <v>665</v>
      </c>
      <c r="CG47">
        <v>10285.5</v>
      </c>
      <c r="CH47">
        <v>784.31</v>
      </c>
      <c r="CI47">
        <v>-1.26</v>
      </c>
      <c r="CW47">
        <f t="shared" si="42"/>
        <v>1799.95</v>
      </c>
      <c r="CX47">
        <f t="shared" si="43"/>
        <v>1513.1426998354539</v>
      </c>
      <c r="CY47">
        <f t="shared" si="44"/>
        <v>0.84065818485816479</v>
      </c>
      <c r="CZ47">
        <f t="shared" si="45"/>
        <v>0.19131636971632965</v>
      </c>
      <c r="DA47">
        <v>6</v>
      </c>
      <c r="DB47">
        <v>0.5</v>
      </c>
      <c r="DC47" t="s">
        <v>420</v>
      </c>
      <c r="DD47">
        <v>2</v>
      </c>
      <c r="DE47">
        <v>1693502889.5</v>
      </c>
      <c r="DF47">
        <v>172.97</v>
      </c>
      <c r="DG47">
        <v>200.03299999999999</v>
      </c>
      <c r="DH47">
        <v>28.6935</v>
      </c>
      <c r="DI47">
        <v>23.9758</v>
      </c>
      <c r="DJ47">
        <v>173.78899999999999</v>
      </c>
      <c r="DK47">
        <v>28.9542</v>
      </c>
      <c r="DL47">
        <v>500.13499999999999</v>
      </c>
      <c r="DM47">
        <v>99.593699999999998</v>
      </c>
      <c r="DN47">
        <v>0.100994</v>
      </c>
      <c r="DO47">
        <v>30.6021</v>
      </c>
      <c r="DP47">
        <v>29.934699999999999</v>
      </c>
      <c r="DQ47">
        <v>999.9</v>
      </c>
      <c r="DR47">
        <v>0</v>
      </c>
      <c r="DS47">
        <v>0</v>
      </c>
      <c r="DT47">
        <v>9955</v>
      </c>
      <c r="DU47">
        <v>0</v>
      </c>
      <c r="DV47">
        <v>1877.34</v>
      </c>
      <c r="DW47">
        <v>-27.0624</v>
      </c>
      <c r="DX47">
        <v>178.08</v>
      </c>
      <c r="DY47">
        <v>204.946</v>
      </c>
      <c r="DZ47">
        <v>4.7177300000000004</v>
      </c>
      <c r="EA47">
        <v>200.03299999999999</v>
      </c>
      <c r="EB47">
        <v>23.9758</v>
      </c>
      <c r="EC47">
        <v>2.8576899999999998</v>
      </c>
      <c r="ED47">
        <v>2.3878400000000002</v>
      </c>
      <c r="EE47">
        <v>23.2212</v>
      </c>
      <c r="EF47">
        <v>20.281500000000001</v>
      </c>
      <c r="EG47">
        <v>1799.95</v>
      </c>
      <c r="EH47">
        <v>0.97799700000000001</v>
      </c>
      <c r="EI47">
        <v>2.2002899999999999E-2</v>
      </c>
      <c r="EJ47">
        <v>0</v>
      </c>
      <c r="EK47">
        <v>669.80700000000002</v>
      </c>
      <c r="EL47">
        <v>5.0002500000000003</v>
      </c>
      <c r="EM47">
        <v>21512.5</v>
      </c>
      <c r="EN47">
        <v>14821.7</v>
      </c>
      <c r="EO47">
        <v>46.186999999999998</v>
      </c>
      <c r="EP47">
        <v>48.311999999999998</v>
      </c>
      <c r="EQ47">
        <v>47.186999999999998</v>
      </c>
      <c r="ER47">
        <v>46.25</v>
      </c>
      <c r="ES47">
        <v>47.436999999999998</v>
      </c>
      <c r="ET47">
        <v>1755.46</v>
      </c>
      <c r="EU47">
        <v>39.49</v>
      </c>
      <c r="EV47">
        <v>0</v>
      </c>
      <c r="EW47">
        <v>150.79999995231631</v>
      </c>
      <c r="EX47">
        <v>0</v>
      </c>
      <c r="EY47">
        <v>670.23543999999993</v>
      </c>
      <c r="EZ47">
        <v>-1.89292306721707</v>
      </c>
      <c r="FA47">
        <v>12.792310245843881</v>
      </c>
      <c r="FB47">
        <v>21480.592000000001</v>
      </c>
      <c r="FC47">
        <v>15</v>
      </c>
      <c r="FD47">
        <v>1693502832.0999999</v>
      </c>
      <c r="FE47" t="s">
        <v>579</v>
      </c>
      <c r="FF47">
        <v>1693502832.0999999</v>
      </c>
      <c r="FG47">
        <v>1693502831.5999999</v>
      </c>
      <c r="FH47">
        <v>36</v>
      </c>
      <c r="FI47">
        <v>4.4999999999999998E-2</v>
      </c>
      <c r="FJ47">
        <v>-1.0999999999999999E-2</v>
      </c>
      <c r="FK47">
        <v>-0.81899999999999995</v>
      </c>
      <c r="FL47">
        <v>-0.26100000000000001</v>
      </c>
      <c r="FM47">
        <v>200</v>
      </c>
      <c r="FN47">
        <v>24</v>
      </c>
      <c r="FO47">
        <v>1.07</v>
      </c>
      <c r="FP47">
        <v>0.26</v>
      </c>
      <c r="FQ47">
        <v>21.815445684277041</v>
      </c>
      <c r="FR47">
        <v>0.55270294166592704</v>
      </c>
      <c r="FS47">
        <v>6.7546559314601448E-2</v>
      </c>
      <c r="FT47">
        <v>1</v>
      </c>
      <c r="FU47">
        <v>0.29948797167407532</v>
      </c>
      <c r="FV47">
        <v>-1.5929462102699941E-2</v>
      </c>
      <c r="FW47">
        <v>1.2696925385513121E-3</v>
      </c>
      <c r="FX47">
        <v>1</v>
      </c>
      <c r="FY47">
        <v>2</v>
      </c>
      <c r="FZ47">
        <v>2</v>
      </c>
      <c r="GA47" t="s">
        <v>422</v>
      </c>
      <c r="GB47">
        <v>2.9232100000000001</v>
      </c>
      <c r="GC47">
        <v>2.8304900000000002</v>
      </c>
      <c r="GD47">
        <v>4.5756199999999997E-2</v>
      </c>
      <c r="GE47">
        <v>5.0800900000000003E-2</v>
      </c>
      <c r="GF47">
        <v>0.13720599999999999</v>
      </c>
      <c r="GG47">
        <v>0.115777</v>
      </c>
      <c r="GH47">
        <v>25041.5</v>
      </c>
      <c r="GI47">
        <v>30360.5</v>
      </c>
      <c r="GJ47">
        <v>23614.400000000001</v>
      </c>
      <c r="GK47">
        <v>29266.400000000001</v>
      </c>
      <c r="GL47">
        <v>27761.3</v>
      </c>
      <c r="GM47">
        <v>36592</v>
      </c>
      <c r="GN47">
        <v>33392.400000000001</v>
      </c>
      <c r="GO47">
        <v>43192</v>
      </c>
      <c r="GP47">
        <v>2.0507</v>
      </c>
      <c r="GQ47">
        <v>1.9537</v>
      </c>
      <c r="GR47">
        <v>0.112236</v>
      </c>
      <c r="GS47">
        <v>0</v>
      </c>
      <c r="GT47">
        <v>28.1053</v>
      </c>
      <c r="GU47">
        <v>999.9</v>
      </c>
      <c r="GV47">
        <v>59.9</v>
      </c>
      <c r="GW47">
        <v>29.9</v>
      </c>
      <c r="GX47">
        <v>25.4755</v>
      </c>
      <c r="GY47">
        <v>61.271000000000001</v>
      </c>
      <c r="GZ47">
        <v>34.619399999999999</v>
      </c>
      <c r="HA47">
        <v>1</v>
      </c>
      <c r="HB47">
        <v>7.9298800000000003E-2</v>
      </c>
      <c r="HC47">
        <v>-1.5384199999999999</v>
      </c>
      <c r="HD47">
        <v>20.273399999999999</v>
      </c>
      <c r="HE47">
        <v>5.2112999999999996</v>
      </c>
      <c r="HF47">
        <v>11.866199999999999</v>
      </c>
      <c r="HG47">
        <v>4.9851999999999999</v>
      </c>
      <c r="HH47">
        <v>3.2839999999999998</v>
      </c>
      <c r="HI47">
        <v>9999</v>
      </c>
      <c r="HJ47">
        <v>9999</v>
      </c>
      <c r="HK47">
        <v>9999</v>
      </c>
      <c r="HL47">
        <v>999.9</v>
      </c>
      <c r="HM47">
        <v>1.8549199999999999</v>
      </c>
      <c r="HN47">
        <v>1.8610800000000001</v>
      </c>
      <c r="HO47">
        <v>1.8585199999999999</v>
      </c>
      <c r="HP47">
        <v>1.8596999999999999</v>
      </c>
      <c r="HQ47">
        <v>1.8590100000000001</v>
      </c>
      <c r="HR47">
        <v>1.85958</v>
      </c>
      <c r="HS47">
        <v>1.8579399999999999</v>
      </c>
      <c r="HT47">
        <v>1.86128</v>
      </c>
      <c r="HU47">
        <v>5</v>
      </c>
      <c r="HV47">
        <v>0</v>
      </c>
      <c r="HW47">
        <v>0</v>
      </c>
      <c r="HX47">
        <v>0</v>
      </c>
      <c r="HY47" t="s">
        <v>423</v>
      </c>
      <c r="HZ47" t="s">
        <v>424</v>
      </c>
      <c r="IA47" t="s">
        <v>425</v>
      </c>
      <c r="IB47" t="s">
        <v>425</v>
      </c>
      <c r="IC47" t="s">
        <v>425</v>
      </c>
      <c r="ID47" t="s">
        <v>425</v>
      </c>
      <c r="IE47">
        <v>0</v>
      </c>
      <c r="IF47">
        <v>100</v>
      </c>
      <c r="IG47">
        <v>100</v>
      </c>
      <c r="IH47">
        <v>-0.81899999999999995</v>
      </c>
      <c r="II47">
        <v>-0.26069999999999999</v>
      </c>
      <c r="IJ47">
        <v>-0.81919047619049934</v>
      </c>
      <c r="IK47">
        <v>0</v>
      </c>
      <c r="IL47">
        <v>0</v>
      </c>
      <c r="IM47">
        <v>0</v>
      </c>
      <c r="IN47">
        <v>-0.26070500000000152</v>
      </c>
      <c r="IO47">
        <v>0</v>
      </c>
      <c r="IP47">
        <v>0</v>
      </c>
      <c r="IQ47">
        <v>0</v>
      </c>
      <c r="IR47">
        <v>-1</v>
      </c>
      <c r="IS47">
        <v>-1</v>
      </c>
      <c r="IT47">
        <v>-1</v>
      </c>
      <c r="IU47">
        <v>-1</v>
      </c>
      <c r="IV47">
        <v>1</v>
      </c>
      <c r="IW47">
        <v>1</v>
      </c>
      <c r="IX47">
        <v>0.58715799999999996</v>
      </c>
      <c r="IY47">
        <v>2.4475099999999999</v>
      </c>
      <c r="IZ47">
        <v>1.49414</v>
      </c>
      <c r="JA47">
        <v>2.2997999999999998</v>
      </c>
      <c r="JB47">
        <v>1.54419</v>
      </c>
      <c r="JC47">
        <v>2.3742700000000001</v>
      </c>
      <c r="JD47">
        <v>35.754399999999997</v>
      </c>
      <c r="JE47">
        <v>23.868600000000001</v>
      </c>
      <c r="JF47">
        <v>18</v>
      </c>
      <c r="JG47">
        <v>533.72400000000005</v>
      </c>
      <c r="JH47">
        <v>507.67099999999999</v>
      </c>
      <c r="JI47">
        <v>29.973199999999999</v>
      </c>
      <c r="JJ47">
        <v>28.4788</v>
      </c>
      <c r="JK47">
        <v>29.9999</v>
      </c>
      <c r="JL47">
        <v>28.436599999999999</v>
      </c>
      <c r="JM47">
        <v>28.403500000000001</v>
      </c>
      <c r="JN47">
        <v>11.8245</v>
      </c>
      <c r="JO47">
        <v>14.2211</v>
      </c>
      <c r="JP47">
        <v>100</v>
      </c>
      <c r="JQ47">
        <v>30.012499999999999</v>
      </c>
      <c r="JR47">
        <v>200</v>
      </c>
      <c r="JS47">
        <v>24.048999999999999</v>
      </c>
      <c r="JT47">
        <v>99.034499999999994</v>
      </c>
      <c r="JU47">
        <v>97.295100000000005</v>
      </c>
    </row>
    <row r="48" spans="1:281" x14ac:dyDescent="0.25">
      <c r="A48">
        <v>32</v>
      </c>
      <c r="B48">
        <v>1693503004.5</v>
      </c>
      <c r="C48">
        <v>8868.5</v>
      </c>
      <c r="D48" t="s">
        <v>580</v>
      </c>
      <c r="E48" t="s">
        <v>581</v>
      </c>
      <c r="F48" t="s">
        <v>414</v>
      </c>
      <c r="G48" t="s">
        <v>566</v>
      </c>
      <c r="H48" t="s">
        <v>31</v>
      </c>
      <c r="I48">
        <v>3</v>
      </c>
      <c r="J48">
        <v>1693503004.5</v>
      </c>
      <c r="K48">
        <f t="shared" si="0"/>
        <v>4.4116088915710019E-3</v>
      </c>
      <c r="L48">
        <f t="shared" si="1"/>
        <v>4.4116088915710021</v>
      </c>
      <c r="M48">
        <f t="shared" si="2"/>
        <v>13.796642401079671</v>
      </c>
      <c r="N48">
        <f t="shared" si="3"/>
        <v>102.86</v>
      </c>
      <c r="O48">
        <f t="shared" si="4"/>
        <v>30.611966988776778</v>
      </c>
      <c r="P48">
        <f t="shared" si="5"/>
        <v>3.0516742036945121</v>
      </c>
      <c r="Q48">
        <f t="shared" si="6"/>
        <v>10.254003236939999</v>
      </c>
      <c r="R48">
        <f t="shared" si="7"/>
        <v>0.32866642081578235</v>
      </c>
      <c r="S48">
        <f t="shared" si="8"/>
        <v>2.925829428018865</v>
      </c>
      <c r="T48">
        <f t="shared" si="9"/>
        <v>0.30944659411102532</v>
      </c>
      <c r="U48">
        <f t="shared" si="10"/>
        <v>0.19503721931173273</v>
      </c>
      <c r="V48">
        <f t="shared" si="11"/>
        <v>344.33009967079494</v>
      </c>
      <c r="W48">
        <f t="shared" si="12"/>
        <v>31.681082846535681</v>
      </c>
      <c r="X48">
        <f t="shared" si="13"/>
        <v>30.052499999999998</v>
      </c>
      <c r="Y48">
        <f t="shared" si="14"/>
        <v>4.2733142960621677</v>
      </c>
      <c r="Z48">
        <f t="shared" si="15"/>
        <v>65.096137755237081</v>
      </c>
      <c r="AA48">
        <f t="shared" si="16"/>
        <v>2.9032606170528004</v>
      </c>
      <c r="AB48">
        <f t="shared" si="17"/>
        <v>4.4599583280487769</v>
      </c>
      <c r="AC48">
        <f t="shared" si="18"/>
        <v>1.3700536790093674</v>
      </c>
      <c r="AD48">
        <f t="shared" si="19"/>
        <v>-194.55195211828118</v>
      </c>
      <c r="AE48">
        <f t="shared" si="20"/>
        <v>117.76668021769552</v>
      </c>
      <c r="AF48">
        <f t="shared" si="21"/>
        <v>8.9875808680335023</v>
      </c>
      <c r="AG48">
        <f t="shared" si="22"/>
        <v>276.53240863824277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52100.989204673926</v>
      </c>
      <c r="AM48" t="s">
        <v>417</v>
      </c>
      <c r="AN48">
        <v>10366.9</v>
      </c>
      <c r="AO48">
        <v>993.59653846153856</v>
      </c>
      <c r="AP48">
        <v>3431.87</v>
      </c>
      <c r="AQ48">
        <f t="shared" si="26"/>
        <v>0.71047955241266758</v>
      </c>
      <c r="AR48">
        <v>-3.9894345373445681</v>
      </c>
      <c r="AS48" t="s">
        <v>582</v>
      </c>
      <c r="AT48">
        <v>10299.799999999999</v>
      </c>
      <c r="AU48">
        <v>676.8456153846156</v>
      </c>
      <c r="AV48">
        <v>792.46173094511403</v>
      </c>
      <c r="AW48">
        <f t="shared" si="27"/>
        <v>0.14589488810091955</v>
      </c>
      <c r="AX48">
        <v>0.5</v>
      </c>
      <c r="AY48">
        <f t="shared" si="28"/>
        <v>1513.0085998353975</v>
      </c>
      <c r="AZ48">
        <f t="shared" si="29"/>
        <v>13.796642401079671</v>
      </c>
      <c r="BA48">
        <f t="shared" si="30"/>
        <v>110.37011018435715</v>
      </c>
      <c r="BB48">
        <f t="shared" si="31"/>
        <v>1.1755436777001275E-2</v>
      </c>
      <c r="BC48">
        <f t="shared" si="32"/>
        <v>3.3306444538426443</v>
      </c>
      <c r="BD48">
        <f t="shared" si="33"/>
        <v>505.8299456049549</v>
      </c>
      <c r="BE48" t="s">
        <v>583</v>
      </c>
      <c r="BF48">
        <v>526.79</v>
      </c>
      <c r="BG48">
        <f t="shared" si="34"/>
        <v>526.79</v>
      </c>
      <c r="BH48">
        <f t="shared" si="35"/>
        <v>0.33524865690140748</v>
      </c>
      <c r="BI48">
        <f t="shared" si="36"/>
        <v>0.43518410916057876</v>
      </c>
      <c r="BJ48">
        <f t="shared" si="37"/>
        <v>0.90854925477263482</v>
      </c>
      <c r="BK48">
        <f t="shared" si="38"/>
        <v>-0.574819033006295</v>
      </c>
      <c r="BL48">
        <f t="shared" si="39"/>
        <v>1.0824906683721667</v>
      </c>
      <c r="BM48">
        <f t="shared" si="40"/>
        <v>0.33870447211869764</v>
      </c>
      <c r="BN48">
        <f t="shared" si="41"/>
        <v>0.66129552788130241</v>
      </c>
      <c r="BO48">
        <v>16768</v>
      </c>
      <c r="BP48">
        <v>290.00000000000011</v>
      </c>
      <c r="BQ48">
        <v>760.64</v>
      </c>
      <c r="BR48">
        <v>275</v>
      </c>
      <c r="BS48">
        <v>10299.799999999999</v>
      </c>
      <c r="BT48">
        <v>760.33</v>
      </c>
      <c r="BU48">
        <v>0.31</v>
      </c>
      <c r="BV48">
        <v>300.00000000000011</v>
      </c>
      <c r="BW48">
        <v>38.4</v>
      </c>
      <c r="BX48">
        <v>792.46173094511403</v>
      </c>
      <c r="BY48">
        <v>0.99724576062862413</v>
      </c>
      <c r="BZ48">
        <v>-33.092981632771902</v>
      </c>
      <c r="CA48">
        <v>0.84129505281630645</v>
      </c>
      <c r="CB48">
        <v>0.98222563197391366</v>
      </c>
      <c r="CC48">
        <v>-1.122571101223583E-2</v>
      </c>
      <c r="CD48">
        <v>289.99999999999989</v>
      </c>
      <c r="CE48">
        <v>758.34</v>
      </c>
      <c r="CF48">
        <v>665</v>
      </c>
      <c r="CG48">
        <v>10286.6</v>
      </c>
      <c r="CH48">
        <v>760.29</v>
      </c>
      <c r="CI48">
        <v>-1.95</v>
      </c>
      <c r="CW48">
        <f t="shared" si="42"/>
        <v>1799.79</v>
      </c>
      <c r="CX48">
        <f t="shared" si="43"/>
        <v>1513.0085998353975</v>
      </c>
      <c r="CY48">
        <f t="shared" si="44"/>
        <v>0.84065841005639408</v>
      </c>
      <c r="CZ48">
        <f t="shared" si="45"/>
        <v>0.19131682011278814</v>
      </c>
      <c r="DA48">
        <v>6</v>
      </c>
      <c r="DB48">
        <v>0.5</v>
      </c>
      <c r="DC48" t="s">
        <v>420</v>
      </c>
      <c r="DD48">
        <v>2</v>
      </c>
      <c r="DE48">
        <v>1693503004.5</v>
      </c>
      <c r="DF48">
        <v>102.86</v>
      </c>
      <c r="DG48">
        <v>119.955</v>
      </c>
      <c r="DH48">
        <v>29.123200000000001</v>
      </c>
      <c r="DI48">
        <v>23.985099999999999</v>
      </c>
      <c r="DJ48">
        <v>103.611</v>
      </c>
      <c r="DK48">
        <v>29.3748</v>
      </c>
      <c r="DL48">
        <v>500.161</v>
      </c>
      <c r="DM48">
        <v>99.588899999999995</v>
      </c>
      <c r="DN48">
        <v>0.10002900000000001</v>
      </c>
      <c r="DO48">
        <v>30.799099999999999</v>
      </c>
      <c r="DP48">
        <v>30.052499999999998</v>
      </c>
      <c r="DQ48">
        <v>999.9</v>
      </c>
      <c r="DR48">
        <v>0</v>
      </c>
      <c r="DS48">
        <v>0</v>
      </c>
      <c r="DT48">
        <v>10020</v>
      </c>
      <c r="DU48">
        <v>0</v>
      </c>
      <c r="DV48">
        <v>1880.49</v>
      </c>
      <c r="DW48">
        <v>-17.095800000000001</v>
      </c>
      <c r="DX48">
        <v>105.94499999999999</v>
      </c>
      <c r="DY48">
        <v>122.90300000000001</v>
      </c>
      <c r="DZ48">
        <v>5.1380499999999998</v>
      </c>
      <c r="EA48">
        <v>119.955</v>
      </c>
      <c r="EB48">
        <v>23.985099999999999</v>
      </c>
      <c r="EC48">
        <v>2.90035</v>
      </c>
      <c r="ED48">
        <v>2.3886500000000002</v>
      </c>
      <c r="EE48">
        <v>23.4666</v>
      </c>
      <c r="EF48">
        <v>20.287099999999999</v>
      </c>
      <c r="EG48">
        <v>1799.79</v>
      </c>
      <c r="EH48">
        <v>0.977993</v>
      </c>
      <c r="EI48">
        <v>2.2006600000000001E-2</v>
      </c>
      <c r="EJ48">
        <v>0</v>
      </c>
      <c r="EK48">
        <v>676.73699999999997</v>
      </c>
      <c r="EL48">
        <v>5.0002500000000003</v>
      </c>
      <c r="EM48">
        <v>21622.3</v>
      </c>
      <c r="EN48">
        <v>14820.3</v>
      </c>
      <c r="EO48">
        <v>46</v>
      </c>
      <c r="EP48">
        <v>48</v>
      </c>
      <c r="EQ48">
        <v>47</v>
      </c>
      <c r="ER48">
        <v>46.061999999999998</v>
      </c>
      <c r="ES48">
        <v>47.25</v>
      </c>
      <c r="ET48">
        <v>1755.29</v>
      </c>
      <c r="EU48">
        <v>39.5</v>
      </c>
      <c r="EV48">
        <v>0</v>
      </c>
      <c r="EW48">
        <v>112.7999999523163</v>
      </c>
      <c r="EX48">
        <v>0</v>
      </c>
      <c r="EY48">
        <v>676.8456153846156</v>
      </c>
      <c r="EZ48">
        <v>-1.9431794909464439</v>
      </c>
      <c r="FA48">
        <v>-309.62393128828933</v>
      </c>
      <c r="FB48">
        <v>21637.573076923079</v>
      </c>
      <c r="FC48">
        <v>15</v>
      </c>
      <c r="FD48">
        <v>1693502964</v>
      </c>
      <c r="FE48" t="s">
        <v>584</v>
      </c>
      <c r="FF48">
        <v>1693502950</v>
      </c>
      <c r="FG48">
        <v>1693502964</v>
      </c>
      <c r="FH48">
        <v>37</v>
      </c>
      <c r="FI48">
        <v>6.8000000000000005E-2</v>
      </c>
      <c r="FJ48">
        <v>8.9999999999999993E-3</v>
      </c>
      <c r="FK48">
        <v>-0.751</v>
      </c>
      <c r="FL48">
        <v>-0.252</v>
      </c>
      <c r="FM48">
        <v>120</v>
      </c>
      <c r="FN48">
        <v>24</v>
      </c>
      <c r="FO48">
        <v>0.28999999999999998</v>
      </c>
      <c r="FP48">
        <v>0.05</v>
      </c>
      <c r="FQ48">
        <v>13.794106158227621</v>
      </c>
      <c r="FR48">
        <v>0.38197373472469209</v>
      </c>
      <c r="FS48">
        <v>6.0394112594721938E-2</v>
      </c>
      <c r="FT48">
        <v>1</v>
      </c>
      <c r="FU48">
        <v>0.33267892812989458</v>
      </c>
      <c r="FV48">
        <v>1.9450724584301641E-2</v>
      </c>
      <c r="FW48">
        <v>2.9937105647439388E-3</v>
      </c>
      <c r="FX48">
        <v>1</v>
      </c>
      <c r="FY48">
        <v>2</v>
      </c>
      <c r="FZ48">
        <v>2</v>
      </c>
      <c r="GA48" t="s">
        <v>422</v>
      </c>
      <c r="GB48">
        <v>2.9233799999999999</v>
      </c>
      <c r="GC48">
        <v>2.8300900000000002</v>
      </c>
      <c r="GD48">
        <v>2.84113E-2</v>
      </c>
      <c r="GE48">
        <v>3.1942199999999997E-2</v>
      </c>
      <c r="GF48">
        <v>0.13859299999999999</v>
      </c>
      <c r="GG48">
        <v>0.115816</v>
      </c>
      <c r="GH48">
        <v>25499</v>
      </c>
      <c r="GI48">
        <v>30967</v>
      </c>
      <c r="GJ48">
        <v>23616.3</v>
      </c>
      <c r="GK48">
        <v>29269.200000000001</v>
      </c>
      <c r="GL48">
        <v>27716.2</v>
      </c>
      <c r="GM48">
        <v>36590.699999999997</v>
      </c>
      <c r="GN48">
        <v>33395.5</v>
      </c>
      <c r="GO48">
        <v>43195.6</v>
      </c>
      <c r="GP48">
        <v>2.0512999999999999</v>
      </c>
      <c r="GQ48">
        <v>1.9549000000000001</v>
      </c>
      <c r="GR48">
        <v>0.11897099999999999</v>
      </c>
      <c r="GS48">
        <v>0</v>
      </c>
      <c r="GT48">
        <v>28.113499999999998</v>
      </c>
      <c r="GU48">
        <v>999.9</v>
      </c>
      <c r="GV48">
        <v>59.8</v>
      </c>
      <c r="GW48">
        <v>29.9</v>
      </c>
      <c r="GX48">
        <v>25.434999999999999</v>
      </c>
      <c r="GY48">
        <v>61.350999999999999</v>
      </c>
      <c r="GZ48">
        <v>34.366999999999997</v>
      </c>
      <c r="HA48">
        <v>1</v>
      </c>
      <c r="HB48">
        <v>7.2987800000000005E-2</v>
      </c>
      <c r="HC48">
        <v>-0.60741800000000001</v>
      </c>
      <c r="HD48">
        <v>20.279699999999998</v>
      </c>
      <c r="HE48">
        <v>5.2107000000000001</v>
      </c>
      <c r="HF48">
        <v>11.866199999999999</v>
      </c>
      <c r="HG48">
        <v>4.9846000000000004</v>
      </c>
      <c r="HH48">
        <v>3.2839999999999998</v>
      </c>
      <c r="HI48">
        <v>9999</v>
      </c>
      <c r="HJ48">
        <v>9999</v>
      </c>
      <c r="HK48">
        <v>9999</v>
      </c>
      <c r="HL48">
        <v>999.9</v>
      </c>
      <c r="HM48">
        <v>1.8549199999999999</v>
      </c>
      <c r="HN48">
        <v>1.8611</v>
      </c>
      <c r="HO48">
        <v>1.8585100000000001</v>
      </c>
      <c r="HP48">
        <v>1.85971</v>
      </c>
      <c r="HQ48">
        <v>1.8590100000000001</v>
      </c>
      <c r="HR48">
        <v>1.8595900000000001</v>
      </c>
      <c r="HS48">
        <v>1.8579399999999999</v>
      </c>
      <c r="HT48">
        <v>1.8613200000000001</v>
      </c>
      <c r="HU48">
        <v>5</v>
      </c>
      <c r="HV48">
        <v>0</v>
      </c>
      <c r="HW48">
        <v>0</v>
      </c>
      <c r="HX48">
        <v>0</v>
      </c>
      <c r="HY48" t="s">
        <v>423</v>
      </c>
      <c r="HZ48" t="s">
        <v>424</v>
      </c>
      <c r="IA48" t="s">
        <v>425</v>
      </c>
      <c r="IB48" t="s">
        <v>425</v>
      </c>
      <c r="IC48" t="s">
        <v>425</v>
      </c>
      <c r="ID48" t="s">
        <v>425</v>
      </c>
      <c r="IE48">
        <v>0</v>
      </c>
      <c r="IF48">
        <v>100</v>
      </c>
      <c r="IG48">
        <v>100</v>
      </c>
      <c r="IH48">
        <v>-0.751</v>
      </c>
      <c r="II48">
        <v>-0.25159999999999999</v>
      </c>
      <c r="IJ48">
        <v>-0.75090000000001567</v>
      </c>
      <c r="IK48">
        <v>0</v>
      </c>
      <c r="IL48">
        <v>0</v>
      </c>
      <c r="IM48">
        <v>0</v>
      </c>
      <c r="IN48">
        <v>-0.2515899999999931</v>
      </c>
      <c r="IO48">
        <v>0</v>
      </c>
      <c r="IP48">
        <v>0</v>
      </c>
      <c r="IQ48">
        <v>0</v>
      </c>
      <c r="IR48">
        <v>-1</v>
      </c>
      <c r="IS48">
        <v>-1</v>
      </c>
      <c r="IT48">
        <v>-1</v>
      </c>
      <c r="IU48">
        <v>-1</v>
      </c>
      <c r="IV48">
        <v>0.9</v>
      </c>
      <c r="IW48">
        <v>0.7</v>
      </c>
      <c r="IX48">
        <v>0.41259800000000002</v>
      </c>
      <c r="IY48">
        <v>2.4609399999999999</v>
      </c>
      <c r="IZ48">
        <v>1.49414</v>
      </c>
      <c r="JA48">
        <v>2.2997999999999998</v>
      </c>
      <c r="JB48">
        <v>1.54419</v>
      </c>
      <c r="JC48">
        <v>2.4584999999999999</v>
      </c>
      <c r="JD48">
        <v>35.754399999999997</v>
      </c>
      <c r="JE48">
        <v>23.877400000000002</v>
      </c>
      <c r="JF48">
        <v>18</v>
      </c>
      <c r="JG48">
        <v>533.63199999999995</v>
      </c>
      <c r="JH48">
        <v>508.072</v>
      </c>
      <c r="JI48">
        <v>29.5246</v>
      </c>
      <c r="JJ48">
        <v>28.400099999999998</v>
      </c>
      <c r="JK48">
        <v>29.9998</v>
      </c>
      <c r="JL48">
        <v>28.383700000000001</v>
      </c>
      <c r="JM48">
        <v>28.353200000000001</v>
      </c>
      <c r="JN48">
        <v>8.3197799999999997</v>
      </c>
      <c r="JO48">
        <v>14.067299999999999</v>
      </c>
      <c r="JP48">
        <v>100</v>
      </c>
      <c r="JQ48">
        <v>29.510899999999999</v>
      </c>
      <c r="JR48">
        <v>120</v>
      </c>
      <c r="JS48">
        <v>23.957599999999999</v>
      </c>
      <c r="JT48">
        <v>99.043000000000006</v>
      </c>
      <c r="JU48">
        <v>97.303700000000006</v>
      </c>
    </row>
    <row r="49" spans="1:281" x14ac:dyDescent="0.25">
      <c r="A49">
        <v>33</v>
      </c>
      <c r="B49">
        <v>1693503120</v>
      </c>
      <c r="C49">
        <v>8984</v>
      </c>
      <c r="D49" t="s">
        <v>585</v>
      </c>
      <c r="E49" t="s">
        <v>586</v>
      </c>
      <c r="F49" t="s">
        <v>414</v>
      </c>
      <c r="G49" t="s">
        <v>566</v>
      </c>
      <c r="H49" t="s">
        <v>31</v>
      </c>
      <c r="I49">
        <v>3</v>
      </c>
      <c r="J49">
        <v>1693503120</v>
      </c>
      <c r="K49">
        <f t="shared" ref="K49:K80" si="46">(L49)/1000</f>
        <v>4.758156473069387E-3</v>
      </c>
      <c r="L49">
        <f t="shared" ref="L49:L80" si="47">1000*DL49*AJ49*(DH49-DI49)/(100*DA49*(1000-AJ49*DH49))</f>
        <v>4.7581564730693868</v>
      </c>
      <c r="M49">
        <f t="shared" ref="M49:M80" si="48">DL49*AJ49*(DG49-DF49*(1000-AJ49*DI49)/(1000-AJ49*DH49))/(100*DA49)</f>
        <v>8.7766408462645717</v>
      </c>
      <c r="N49">
        <f t="shared" ref="N49:N80" si="49">DF49 - IF(AJ49&gt;1, M49*DA49*100/(AL49*DT49), 0)</f>
        <v>59.179099999999998</v>
      </c>
      <c r="O49">
        <f t="shared" ref="O49:O80" si="50">((U49-K49/2)*N49-M49)/(U49+K49/2)</f>
        <v>17.46012159780118</v>
      </c>
      <c r="P49">
        <f t="shared" ref="P49:P80" si="51">O49*(DM49+DN49)/1000</f>
        <v>1.740518245218762</v>
      </c>
      <c r="Q49">
        <f t="shared" ref="Q49:Q80" si="52">(DF49 - IF(AJ49&gt;1, M49*DA49*100/(AL49*DT49), 0))*(DM49+DN49)/1000</f>
        <v>5.8992890002895004</v>
      </c>
      <c r="R49">
        <f t="shared" ref="R49:R80" si="53">2/((1/T49-1/S49)+SIGN(T49)*SQRT((1/T49-1/S49)*(1/T49-1/S49) + 4*DB49/((DB49+1)*(DB49+1))*(2*1/T49*1/S49-1/S49*1/S49)))</f>
        <v>0.36388390004611043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2.9178618830827512</v>
      </c>
      <c r="T49">
        <f t="shared" ref="T49:T80" si="55">K49*(1000-(1000*0.61365*EXP(17.502*X49/(240.97+X49))/(DM49+DN49)+DH49)/2)/(1000*0.61365*EXP(17.502*X49/(240.97+X49))/(DM49+DN49)-DH49)</f>
        <v>0.34042233792338072</v>
      </c>
      <c r="U49">
        <f t="shared" ref="U49:U80" si="56">1/((DB49+1)/(R49/1.6)+1/(S49/1.37)) + DB49/((DB49+1)/(R49/1.6) + DB49/(S49/1.37))</f>
        <v>0.21474570791409103</v>
      </c>
      <c r="V49">
        <f t="shared" ref="V49:V80" si="57">(CW49*CZ49)</f>
        <v>344.34339967080774</v>
      </c>
      <c r="W49">
        <f t="shared" ref="W49:W80" si="58">(DO49+(V49+2*0.95*0.0000000567*(((DO49+$B$7)+273)^4-(DO49+273)^4)-44100*K49)/(1.84*29.3*S49+8*0.95*0.0000000567*(DO49+273)^3))</f>
        <v>31.5166186400808</v>
      </c>
      <c r="X49">
        <f t="shared" ref="X49:X80" si="59">($C$7*DP49+$D$7*DQ49+$E$7*W49)</f>
        <v>29.972999999999999</v>
      </c>
      <c r="Y49">
        <f t="shared" ref="Y49:Y80" si="60">0.61365*EXP(17.502*X49/(240.97+X49))</f>
        <v>4.2538468838259158</v>
      </c>
      <c r="Z49">
        <f t="shared" ref="Z49:Z80" si="61">(AA49/AB49*100)</f>
        <v>65.546693193407094</v>
      </c>
      <c r="AA49">
        <f t="shared" ref="AA49:AA80" si="62">DH49*(DM49+DN49)/1000</f>
        <v>2.9105927662409998</v>
      </c>
      <c r="AB49">
        <f t="shared" ref="AB49:AB80" si="63">0.61365*EXP(17.502*DO49/(240.97+DO49))</f>
        <v>4.4404875737251643</v>
      </c>
      <c r="AC49">
        <f t="shared" ref="AC49:AC80" si="64">(Y49-DH49*(DM49+DN49)/1000)</f>
        <v>1.343254117584916</v>
      </c>
      <c r="AD49">
        <f t="shared" ref="AD49:AD80" si="65">(-K49*44100)</f>
        <v>-209.83470046235996</v>
      </c>
      <c r="AE49">
        <f t="shared" ref="AE49:AE80" si="66">2*29.3*S49*0.92*(DO49-X49)</f>
        <v>117.90217349564777</v>
      </c>
      <c r="AF49">
        <f t="shared" ref="AF49:AF80" si="67">2*0.95*0.0000000567*(((DO49+$B$7)+273)^4-(X49+273)^4)</f>
        <v>9.0155304645822696</v>
      </c>
      <c r="AG49">
        <f t="shared" ref="AG49:AG80" si="68">V49+AF49+AD49+AE49</f>
        <v>261.42640316867778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51887.166133981307</v>
      </c>
      <c r="AM49" t="s">
        <v>417</v>
      </c>
      <c r="AN49">
        <v>10366.9</v>
      </c>
      <c r="AO49">
        <v>993.59653846153856</v>
      </c>
      <c r="AP49">
        <v>3431.87</v>
      </c>
      <c r="AQ49">
        <f t="shared" ref="AQ49:AQ80" si="72">1-AO49/AP49</f>
        <v>0.71047955241266758</v>
      </c>
      <c r="AR49">
        <v>-3.9894345373445681</v>
      </c>
      <c r="AS49" t="s">
        <v>587</v>
      </c>
      <c r="AT49">
        <v>10299</v>
      </c>
      <c r="AU49">
        <v>682.10016000000007</v>
      </c>
      <c r="AV49">
        <v>765.95005098809077</v>
      </c>
      <c r="AW49">
        <f t="shared" ref="AW49:AW80" si="73">1-AU49/AV49</f>
        <v>0.10947174803359916</v>
      </c>
      <c r="AX49">
        <v>0.5</v>
      </c>
      <c r="AY49">
        <f t="shared" ref="AY49:AY80" si="74">CX49</f>
        <v>1513.0673998354036</v>
      </c>
      <c r="AZ49">
        <f t="shared" ref="AZ49:AZ80" si="75">M49</f>
        <v>8.7766408462645717</v>
      </c>
      <c r="BA49">
        <f t="shared" ref="BA49:BA80" si="76">AW49*AX49*AY49</f>
        <v>82.819066576317169</v>
      </c>
      <c r="BB49">
        <f t="shared" ref="BB49:BB80" si="77">(AZ49-AR49)/AY49</f>
        <v>8.4372152787099072E-3</v>
      </c>
      <c r="BC49">
        <f t="shared" ref="BC49:BC80" si="78">(AP49-AV49)/AV49</f>
        <v>3.4805402069923743</v>
      </c>
      <c r="BD49">
        <f t="shared" ref="BD49:BD80" si="79">AO49/(AQ49+AO49/AV49)</f>
        <v>494.89599824346743</v>
      </c>
      <c r="BE49" t="s">
        <v>588</v>
      </c>
      <c r="BF49">
        <v>537.22</v>
      </c>
      <c r="BG49">
        <f t="shared" ref="BG49:BG80" si="80">IF(BF49&lt;&gt;0, BF49, BD49)</f>
        <v>537.22</v>
      </c>
      <c r="BH49">
        <f t="shared" ref="BH49:BH80" si="81">1-BG49/AV49</f>
        <v>0.29862267218733707</v>
      </c>
      <c r="BI49">
        <f t="shared" ref="BI49:BI80" si="82">(AV49-AU49)/(AV49-BG49)</f>
        <v>0.36658887026810699</v>
      </c>
      <c r="BJ49">
        <f t="shared" ref="BJ49:BJ80" si="83">(AP49-AV49)/(AP49-BG49)</f>
        <v>0.92098179365792388</v>
      </c>
      <c r="BK49">
        <f t="shared" ref="BK49:BK80" si="84">(AV49-AU49)/(AV49-AO49)</f>
        <v>-0.36833377891618369</v>
      </c>
      <c r="BL49">
        <f t="shared" ref="BL49:BL80" si="85">(AP49-AV49)/(AP49-AO49)</f>
        <v>1.0933638047841487</v>
      </c>
      <c r="BM49">
        <f t="shared" ref="BM49:BM80" si="86">(BI49*BG49/AU49)</f>
        <v>0.28872427311178528</v>
      </c>
      <c r="BN49">
        <f t="shared" ref="BN49:BN80" si="87">(1-BM49)</f>
        <v>0.71127572688821472</v>
      </c>
      <c r="BO49">
        <v>16770</v>
      </c>
      <c r="BP49">
        <v>290.00000000000011</v>
      </c>
      <c r="BQ49">
        <v>743.75</v>
      </c>
      <c r="BR49">
        <v>285</v>
      </c>
      <c r="BS49">
        <v>10299</v>
      </c>
      <c r="BT49">
        <v>743.02</v>
      </c>
      <c r="BU49">
        <v>0.73</v>
      </c>
      <c r="BV49">
        <v>300.00000000000011</v>
      </c>
      <c r="BW49">
        <v>38.4</v>
      </c>
      <c r="BX49">
        <v>765.95005098809077</v>
      </c>
      <c r="BY49">
        <v>1.0634237869585019</v>
      </c>
      <c r="BZ49">
        <v>-23.614358379019031</v>
      </c>
      <c r="CA49">
        <v>0.8971431295906368</v>
      </c>
      <c r="CB49">
        <v>0.96115607405357428</v>
      </c>
      <c r="CC49">
        <v>-1.122599799777532E-2</v>
      </c>
      <c r="CD49">
        <v>289.99999999999989</v>
      </c>
      <c r="CE49">
        <v>740.08</v>
      </c>
      <c r="CF49">
        <v>745</v>
      </c>
      <c r="CG49">
        <v>10281.700000000001</v>
      </c>
      <c r="CH49">
        <v>742.98</v>
      </c>
      <c r="CI49">
        <v>-2.9</v>
      </c>
      <c r="CW49">
        <f t="shared" ref="CW49:CW80" si="88">$B$11*DU49+$C$11*DV49+$F$11*EG49*(1-EJ49)</f>
        <v>1799.86</v>
      </c>
      <c r="CX49">
        <f t="shared" ref="CX49:CX80" si="89">CW49*CY49</f>
        <v>1513.0673998354036</v>
      </c>
      <c r="CY49">
        <f t="shared" ref="CY49:CY80" si="90">($B$11*$D$9+$C$11*$D$9+$F$11*((ET49+EL49)/MAX(ET49+EL49+EU49, 0.1)*$I$9+EU49/MAX(ET49+EL49+EU49, 0.1)*$J$9))/($B$11+$C$11+$F$11)</f>
        <v>0.84065838444957042</v>
      </c>
      <c r="CZ49">
        <f t="shared" ref="CZ49:CZ80" si="91">($B$11*$K$9+$C$11*$K$9+$F$11*((ET49+EL49)/MAX(ET49+EL49+EU49, 0.1)*$P$9+EU49/MAX(ET49+EL49+EU49, 0.1)*$Q$9))/($B$11+$C$11+$F$11)</f>
        <v>0.19131676889914093</v>
      </c>
      <c r="DA49">
        <v>6</v>
      </c>
      <c r="DB49">
        <v>0.5</v>
      </c>
      <c r="DC49" t="s">
        <v>420</v>
      </c>
      <c r="DD49">
        <v>2</v>
      </c>
      <c r="DE49">
        <v>1693503120</v>
      </c>
      <c r="DF49">
        <v>59.179099999999998</v>
      </c>
      <c r="DG49">
        <v>70.034899999999993</v>
      </c>
      <c r="DH49">
        <v>29.197800000000001</v>
      </c>
      <c r="DI49">
        <v>23.661899999999999</v>
      </c>
      <c r="DJ49">
        <v>59.923699999999997</v>
      </c>
      <c r="DK49">
        <v>29.453199999999999</v>
      </c>
      <c r="DL49">
        <v>500.64800000000002</v>
      </c>
      <c r="DM49">
        <v>99.584199999999996</v>
      </c>
      <c r="DN49">
        <v>0.101145</v>
      </c>
      <c r="DO49">
        <v>30.7225</v>
      </c>
      <c r="DP49">
        <v>29.972999999999999</v>
      </c>
      <c r="DQ49">
        <v>999.9</v>
      </c>
      <c r="DR49">
        <v>0</v>
      </c>
      <c r="DS49">
        <v>0</v>
      </c>
      <c r="DT49">
        <v>9975</v>
      </c>
      <c r="DU49">
        <v>0</v>
      </c>
      <c r="DV49">
        <v>1881.33</v>
      </c>
      <c r="DW49">
        <v>-10.8558</v>
      </c>
      <c r="DX49">
        <v>60.959000000000003</v>
      </c>
      <c r="DY49">
        <v>71.732200000000006</v>
      </c>
      <c r="DZ49">
        <v>5.5358799999999997</v>
      </c>
      <c r="EA49">
        <v>70.034899999999993</v>
      </c>
      <c r="EB49">
        <v>23.661899999999999</v>
      </c>
      <c r="EC49">
        <v>2.9076399999999998</v>
      </c>
      <c r="ED49">
        <v>2.3563499999999999</v>
      </c>
      <c r="EE49">
        <v>23.508299999999998</v>
      </c>
      <c r="EF49">
        <v>20.0669</v>
      </c>
      <c r="EG49">
        <v>1799.86</v>
      </c>
      <c r="EH49">
        <v>0.977993</v>
      </c>
      <c r="EI49">
        <v>2.2006499999999998E-2</v>
      </c>
      <c r="EJ49">
        <v>0</v>
      </c>
      <c r="EK49">
        <v>681.51800000000003</v>
      </c>
      <c r="EL49">
        <v>5.0002500000000003</v>
      </c>
      <c r="EM49">
        <v>21652.799999999999</v>
      </c>
      <c r="EN49">
        <v>14820.9</v>
      </c>
      <c r="EO49">
        <v>46</v>
      </c>
      <c r="EP49">
        <v>47.936999999999998</v>
      </c>
      <c r="EQ49">
        <v>46.936999999999998</v>
      </c>
      <c r="ER49">
        <v>46.061999999999998</v>
      </c>
      <c r="ES49">
        <v>47.25</v>
      </c>
      <c r="ET49">
        <v>1755.36</v>
      </c>
      <c r="EU49">
        <v>39.5</v>
      </c>
      <c r="EV49">
        <v>0</v>
      </c>
      <c r="EW49">
        <v>113.4000000953674</v>
      </c>
      <c r="EX49">
        <v>0</v>
      </c>
      <c r="EY49">
        <v>682.10016000000007</v>
      </c>
      <c r="EZ49">
        <v>-1.862384626832206</v>
      </c>
      <c r="FA49">
        <v>-53.907691376902072</v>
      </c>
      <c r="FB49">
        <v>21636.128000000001</v>
      </c>
      <c r="FC49">
        <v>15</v>
      </c>
      <c r="FD49">
        <v>1693503081</v>
      </c>
      <c r="FE49" t="s">
        <v>589</v>
      </c>
      <c r="FF49">
        <v>1693503072</v>
      </c>
      <c r="FG49">
        <v>1693503081</v>
      </c>
      <c r="FH49">
        <v>38</v>
      </c>
      <c r="FI49">
        <v>6.0000000000000001E-3</v>
      </c>
      <c r="FJ49">
        <v>-4.0000000000000001E-3</v>
      </c>
      <c r="FK49">
        <v>-0.745</v>
      </c>
      <c r="FL49">
        <v>-0.255</v>
      </c>
      <c r="FM49">
        <v>70</v>
      </c>
      <c r="FN49">
        <v>24</v>
      </c>
      <c r="FO49">
        <v>0.34</v>
      </c>
      <c r="FP49">
        <v>0.05</v>
      </c>
      <c r="FQ49">
        <v>8.666816824984144</v>
      </c>
      <c r="FR49">
        <v>-4.6692741470819428E-2</v>
      </c>
      <c r="FS49">
        <v>5.7991053356444673E-2</v>
      </c>
      <c r="FT49">
        <v>1</v>
      </c>
      <c r="FU49">
        <v>0.36479085386054211</v>
      </c>
      <c r="FV49">
        <v>4.2582165743928688E-2</v>
      </c>
      <c r="FW49">
        <v>4.0700386827081693E-3</v>
      </c>
      <c r="FX49">
        <v>1</v>
      </c>
      <c r="FY49">
        <v>2</v>
      </c>
      <c r="FZ49">
        <v>2</v>
      </c>
      <c r="GA49" t="s">
        <v>422</v>
      </c>
      <c r="GB49">
        <v>2.9245700000000001</v>
      </c>
      <c r="GC49">
        <v>2.8308200000000001</v>
      </c>
      <c r="GD49">
        <v>1.6767600000000001E-2</v>
      </c>
      <c r="GE49">
        <v>1.9101099999999999E-2</v>
      </c>
      <c r="GF49">
        <v>0.138844</v>
      </c>
      <c r="GG49">
        <v>0.11472</v>
      </c>
      <c r="GH49">
        <v>25804.400000000001</v>
      </c>
      <c r="GI49">
        <v>31379</v>
      </c>
      <c r="GJ49">
        <v>23616.2</v>
      </c>
      <c r="GK49">
        <v>29270.5</v>
      </c>
      <c r="GL49">
        <v>27708.1</v>
      </c>
      <c r="GM49">
        <v>36636.5</v>
      </c>
      <c r="GN49">
        <v>33396.800000000003</v>
      </c>
      <c r="GO49">
        <v>43195.6</v>
      </c>
      <c r="GP49">
        <v>2.0518000000000001</v>
      </c>
      <c r="GQ49">
        <v>1.9530000000000001</v>
      </c>
      <c r="GR49">
        <v>0.102937</v>
      </c>
      <c r="GS49">
        <v>0</v>
      </c>
      <c r="GT49">
        <v>28.295500000000001</v>
      </c>
      <c r="GU49">
        <v>999.9</v>
      </c>
      <c r="GV49">
        <v>59.9</v>
      </c>
      <c r="GW49">
        <v>29.9</v>
      </c>
      <c r="GX49">
        <v>25.478999999999999</v>
      </c>
      <c r="GY49">
        <v>61.301000000000002</v>
      </c>
      <c r="GZ49">
        <v>33.962299999999999</v>
      </c>
      <c r="HA49">
        <v>1</v>
      </c>
      <c r="HB49">
        <v>7.4390200000000004E-2</v>
      </c>
      <c r="HC49">
        <v>-0.92685200000000001</v>
      </c>
      <c r="HD49">
        <v>20.277799999999999</v>
      </c>
      <c r="HE49">
        <v>5.2125000000000004</v>
      </c>
      <c r="HF49">
        <v>11.866199999999999</v>
      </c>
      <c r="HG49">
        <v>4.9855999999999998</v>
      </c>
      <c r="HH49">
        <v>3.2839999999999998</v>
      </c>
      <c r="HI49">
        <v>9999</v>
      </c>
      <c r="HJ49">
        <v>9999</v>
      </c>
      <c r="HK49">
        <v>9999</v>
      </c>
      <c r="HL49">
        <v>999.9</v>
      </c>
      <c r="HM49">
        <v>1.85486</v>
      </c>
      <c r="HN49">
        <v>1.8609800000000001</v>
      </c>
      <c r="HO49">
        <v>1.8583700000000001</v>
      </c>
      <c r="HP49">
        <v>1.8595900000000001</v>
      </c>
      <c r="HQ49">
        <v>1.8589800000000001</v>
      </c>
      <c r="HR49">
        <v>1.8594999999999999</v>
      </c>
      <c r="HS49">
        <v>1.85791</v>
      </c>
      <c r="HT49">
        <v>1.86127</v>
      </c>
      <c r="HU49">
        <v>5</v>
      </c>
      <c r="HV49">
        <v>0</v>
      </c>
      <c r="HW49">
        <v>0</v>
      </c>
      <c r="HX49">
        <v>0</v>
      </c>
      <c r="HY49" t="s">
        <v>423</v>
      </c>
      <c r="HZ49" t="s">
        <v>424</v>
      </c>
      <c r="IA49" t="s">
        <v>425</v>
      </c>
      <c r="IB49" t="s">
        <v>425</v>
      </c>
      <c r="IC49" t="s">
        <v>425</v>
      </c>
      <c r="ID49" t="s">
        <v>425</v>
      </c>
      <c r="IE49">
        <v>0</v>
      </c>
      <c r="IF49">
        <v>100</v>
      </c>
      <c r="IG49">
        <v>100</v>
      </c>
      <c r="IH49">
        <v>-0.745</v>
      </c>
      <c r="II49">
        <v>-0.25540000000000002</v>
      </c>
      <c r="IJ49">
        <v>-0.74460000000000548</v>
      </c>
      <c r="IK49">
        <v>0</v>
      </c>
      <c r="IL49">
        <v>0</v>
      </c>
      <c r="IM49">
        <v>0</v>
      </c>
      <c r="IN49">
        <v>-0.25539500000000359</v>
      </c>
      <c r="IO49">
        <v>0</v>
      </c>
      <c r="IP49">
        <v>0</v>
      </c>
      <c r="IQ49">
        <v>0</v>
      </c>
      <c r="IR49">
        <v>-1</v>
      </c>
      <c r="IS49">
        <v>-1</v>
      </c>
      <c r="IT49">
        <v>-1</v>
      </c>
      <c r="IU49">
        <v>-1</v>
      </c>
      <c r="IV49">
        <v>0.8</v>
      </c>
      <c r="IW49">
        <v>0.7</v>
      </c>
      <c r="IX49">
        <v>0.301514</v>
      </c>
      <c r="IY49">
        <v>2.47681</v>
      </c>
      <c r="IZ49">
        <v>1.49414</v>
      </c>
      <c r="JA49">
        <v>2.2997999999999998</v>
      </c>
      <c r="JB49">
        <v>1.54419</v>
      </c>
      <c r="JC49">
        <v>2.4352999999999998</v>
      </c>
      <c r="JD49">
        <v>35.801000000000002</v>
      </c>
      <c r="JE49">
        <v>23.877400000000002</v>
      </c>
      <c r="JF49">
        <v>18</v>
      </c>
      <c r="JG49">
        <v>533.94299999999998</v>
      </c>
      <c r="JH49">
        <v>506.654</v>
      </c>
      <c r="JI49">
        <v>29.084299999999999</v>
      </c>
      <c r="JJ49">
        <v>28.4147</v>
      </c>
      <c r="JK49">
        <v>29.9999</v>
      </c>
      <c r="JL49">
        <v>28.3813</v>
      </c>
      <c r="JM49">
        <v>28.3507</v>
      </c>
      <c r="JN49">
        <v>6.0933400000000004</v>
      </c>
      <c r="JO49">
        <v>16.133800000000001</v>
      </c>
      <c r="JP49">
        <v>100</v>
      </c>
      <c r="JQ49">
        <v>29.0078</v>
      </c>
      <c r="JR49">
        <v>70</v>
      </c>
      <c r="JS49">
        <v>23.540900000000001</v>
      </c>
      <c r="JT49">
        <v>99.045199999999994</v>
      </c>
      <c r="JU49">
        <v>97.305400000000006</v>
      </c>
    </row>
    <row r="50" spans="1:281" x14ac:dyDescent="0.25">
      <c r="A50">
        <v>34</v>
      </c>
      <c r="B50">
        <v>1693503235.5</v>
      </c>
      <c r="C50">
        <v>9099.5</v>
      </c>
      <c r="D50" t="s">
        <v>590</v>
      </c>
      <c r="E50" t="s">
        <v>591</v>
      </c>
      <c r="F50" t="s">
        <v>414</v>
      </c>
      <c r="G50" t="s">
        <v>566</v>
      </c>
      <c r="H50" t="s">
        <v>31</v>
      </c>
      <c r="I50">
        <v>3</v>
      </c>
      <c r="J50">
        <v>1693503235.5</v>
      </c>
      <c r="K50">
        <f t="shared" si="46"/>
        <v>4.9688745549388083E-3</v>
      </c>
      <c r="L50">
        <f t="shared" si="47"/>
        <v>4.9688745549388083</v>
      </c>
      <c r="M50">
        <f t="shared" si="48"/>
        <v>3.9635869961820154</v>
      </c>
      <c r="N50">
        <f t="shared" si="49"/>
        <v>25.1434</v>
      </c>
      <c r="O50">
        <f t="shared" si="50"/>
        <v>6.8932891748986371</v>
      </c>
      <c r="P50">
        <f t="shared" si="51"/>
        <v>0.68716243252837395</v>
      </c>
      <c r="Q50">
        <f t="shared" si="52"/>
        <v>2.5064377059573997</v>
      </c>
      <c r="R50">
        <f t="shared" si="53"/>
        <v>0.37606668779345076</v>
      </c>
      <c r="S50">
        <f t="shared" si="54"/>
        <v>2.9222646463416484</v>
      </c>
      <c r="T50">
        <f t="shared" si="55"/>
        <v>0.35110071124700498</v>
      </c>
      <c r="U50">
        <f t="shared" si="56"/>
        <v>0.2215427719734068</v>
      </c>
      <c r="V50">
        <f t="shared" si="57"/>
        <v>344.38139967084436</v>
      </c>
      <c r="W50">
        <f t="shared" si="58"/>
        <v>31.529210224187771</v>
      </c>
      <c r="X50">
        <f t="shared" si="59"/>
        <v>30.067299999999999</v>
      </c>
      <c r="Y50">
        <f t="shared" si="60"/>
        <v>4.2769469776040276</v>
      </c>
      <c r="Z50">
        <f t="shared" si="61"/>
        <v>65.436843683216054</v>
      </c>
      <c r="AA50">
        <f t="shared" si="62"/>
        <v>2.9170730552796997</v>
      </c>
      <c r="AB50">
        <f t="shared" si="63"/>
        <v>4.4578449862304437</v>
      </c>
      <c r="AC50">
        <f t="shared" si="64"/>
        <v>1.3598739223243279</v>
      </c>
      <c r="AD50">
        <f t="shared" si="65"/>
        <v>-219.12736787280144</v>
      </c>
      <c r="AE50">
        <f t="shared" si="66"/>
        <v>113.9839027224188</v>
      </c>
      <c r="AF50">
        <f t="shared" si="67"/>
        <v>8.7097818190919885</v>
      </c>
      <c r="AG50">
        <f t="shared" si="68"/>
        <v>247.94771633955369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52000.807572303456</v>
      </c>
      <c r="AM50" t="s">
        <v>417</v>
      </c>
      <c r="AN50">
        <v>10366.9</v>
      </c>
      <c r="AO50">
        <v>993.59653846153856</v>
      </c>
      <c r="AP50">
        <v>3431.87</v>
      </c>
      <c r="AQ50">
        <f t="shared" si="72"/>
        <v>0.71047955241266758</v>
      </c>
      <c r="AR50">
        <v>-3.9894345373445681</v>
      </c>
      <c r="AS50" t="s">
        <v>592</v>
      </c>
      <c r="AT50">
        <v>10310.700000000001</v>
      </c>
      <c r="AU50">
        <v>686.19296153846153</v>
      </c>
      <c r="AV50">
        <v>743.40385002900075</v>
      </c>
      <c r="AW50">
        <f t="shared" si="73"/>
        <v>7.6958020177468001E-2</v>
      </c>
      <c r="AX50">
        <v>0.5</v>
      </c>
      <c r="AY50">
        <f t="shared" si="74"/>
        <v>1513.2353998354222</v>
      </c>
      <c r="AZ50">
        <f t="shared" si="75"/>
        <v>3.9635869961820154</v>
      </c>
      <c r="BA50">
        <f t="shared" si="76"/>
        <v>58.22780021689664</v>
      </c>
      <c r="BB50">
        <f t="shared" si="77"/>
        <v>5.2556406851118767E-3</v>
      </c>
      <c r="BC50">
        <f t="shared" si="78"/>
        <v>3.6164275311005181</v>
      </c>
      <c r="BD50">
        <f t="shared" si="79"/>
        <v>485.38452079185964</v>
      </c>
      <c r="BE50" t="s">
        <v>593</v>
      </c>
      <c r="BF50">
        <v>549.04</v>
      </c>
      <c r="BG50">
        <f t="shared" si="80"/>
        <v>549.04</v>
      </c>
      <c r="BH50">
        <f t="shared" si="81"/>
        <v>0.26145122872503079</v>
      </c>
      <c r="BI50">
        <f t="shared" si="82"/>
        <v>0.29434943011266168</v>
      </c>
      <c r="BJ50">
        <f t="shared" si="83"/>
        <v>0.9325788027636035</v>
      </c>
      <c r="BK50">
        <f t="shared" si="84"/>
        <v>-0.22866730778172048</v>
      </c>
      <c r="BL50">
        <f t="shared" si="85"/>
        <v>1.1026105940859787</v>
      </c>
      <c r="BM50">
        <f t="shared" si="86"/>
        <v>0.23551627627704461</v>
      </c>
      <c r="BN50">
        <f t="shared" si="87"/>
        <v>0.76448372372295537</v>
      </c>
      <c r="BO50">
        <v>16772</v>
      </c>
      <c r="BP50">
        <v>290.00000000000011</v>
      </c>
      <c r="BQ50">
        <v>727.99</v>
      </c>
      <c r="BR50">
        <v>185</v>
      </c>
      <c r="BS50">
        <v>10310.700000000001</v>
      </c>
      <c r="BT50">
        <v>727.47</v>
      </c>
      <c r="BU50">
        <v>0.52</v>
      </c>
      <c r="BV50">
        <v>300.00000000000011</v>
      </c>
      <c r="BW50">
        <v>38.4</v>
      </c>
      <c r="BX50">
        <v>743.40385002900075</v>
      </c>
      <c r="BY50">
        <v>1.2242112899218349</v>
      </c>
      <c r="BZ50">
        <v>-16.427105885730789</v>
      </c>
      <c r="CA50">
        <v>1.0327441539436979</v>
      </c>
      <c r="CB50">
        <v>0.90035919801506015</v>
      </c>
      <c r="CC50">
        <v>-1.1225587541713031E-2</v>
      </c>
      <c r="CD50">
        <v>289.99999999999989</v>
      </c>
      <c r="CE50">
        <v>725.05</v>
      </c>
      <c r="CF50">
        <v>705</v>
      </c>
      <c r="CG50">
        <v>10283.700000000001</v>
      </c>
      <c r="CH50">
        <v>727.43</v>
      </c>
      <c r="CI50">
        <v>-2.38</v>
      </c>
      <c r="CW50">
        <f t="shared" si="88"/>
        <v>1800.06</v>
      </c>
      <c r="CX50">
        <f t="shared" si="89"/>
        <v>1513.2353998354222</v>
      </c>
      <c r="CY50">
        <f t="shared" si="90"/>
        <v>0.84065831129819124</v>
      </c>
      <c r="CZ50">
        <f t="shared" si="91"/>
        <v>0.19131662259638255</v>
      </c>
      <c r="DA50">
        <v>6</v>
      </c>
      <c r="DB50">
        <v>0.5</v>
      </c>
      <c r="DC50" t="s">
        <v>420</v>
      </c>
      <c r="DD50">
        <v>2</v>
      </c>
      <c r="DE50">
        <v>1693503235.5</v>
      </c>
      <c r="DF50">
        <v>25.1434</v>
      </c>
      <c r="DG50">
        <v>30.049399999999999</v>
      </c>
      <c r="DH50">
        <v>29.262699999999999</v>
      </c>
      <c r="DI50">
        <v>23.474799999999998</v>
      </c>
      <c r="DJ50">
        <v>25.7834</v>
      </c>
      <c r="DK50">
        <v>29.512799999999999</v>
      </c>
      <c r="DL50">
        <v>500.02300000000002</v>
      </c>
      <c r="DM50">
        <v>99.585300000000004</v>
      </c>
      <c r="DN50">
        <v>0.100411</v>
      </c>
      <c r="DO50">
        <v>30.790800000000001</v>
      </c>
      <c r="DP50">
        <v>30.067299999999999</v>
      </c>
      <c r="DQ50">
        <v>999.9</v>
      </c>
      <c r="DR50">
        <v>0</v>
      </c>
      <c r="DS50">
        <v>0</v>
      </c>
      <c r="DT50">
        <v>10000</v>
      </c>
      <c r="DU50">
        <v>0</v>
      </c>
      <c r="DV50">
        <v>1881.27</v>
      </c>
      <c r="DW50">
        <v>-4.9060699999999997</v>
      </c>
      <c r="DX50">
        <v>25.901299999999999</v>
      </c>
      <c r="DY50">
        <v>30.771799999999999</v>
      </c>
      <c r="DZ50">
        <v>5.78782</v>
      </c>
      <c r="EA50">
        <v>30.049399999999999</v>
      </c>
      <c r="EB50">
        <v>23.474799999999998</v>
      </c>
      <c r="EC50">
        <v>2.9141300000000001</v>
      </c>
      <c r="ED50">
        <v>2.3377500000000002</v>
      </c>
      <c r="EE50">
        <v>23.545200000000001</v>
      </c>
      <c r="EF50">
        <v>19.9389</v>
      </c>
      <c r="EG50">
        <v>1800.06</v>
      </c>
      <c r="EH50">
        <v>0.97799700000000001</v>
      </c>
      <c r="EI50">
        <v>2.2002899999999999E-2</v>
      </c>
      <c r="EJ50">
        <v>0</v>
      </c>
      <c r="EK50">
        <v>685.64300000000003</v>
      </c>
      <c r="EL50">
        <v>5.0002500000000003</v>
      </c>
      <c r="EM50">
        <v>21661.3</v>
      </c>
      <c r="EN50">
        <v>14822.5</v>
      </c>
      <c r="EO50">
        <v>46.061999999999998</v>
      </c>
      <c r="EP50">
        <v>48.061999999999998</v>
      </c>
      <c r="EQ50">
        <v>47</v>
      </c>
      <c r="ER50">
        <v>46.125</v>
      </c>
      <c r="ES50">
        <v>47.375</v>
      </c>
      <c r="ET50">
        <v>1755.56</v>
      </c>
      <c r="EU50">
        <v>39.5</v>
      </c>
      <c r="EV50">
        <v>0</v>
      </c>
      <c r="EW50">
        <v>113.5999999046326</v>
      </c>
      <c r="EX50">
        <v>0</v>
      </c>
      <c r="EY50">
        <v>686.19296153846153</v>
      </c>
      <c r="EZ50">
        <v>-2.3624957303552869</v>
      </c>
      <c r="FA50">
        <v>-285.7641030890768</v>
      </c>
      <c r="FB50">
        <v>21662.653846153851</v>
      </c>
      <c r="FC50">
        <v>15</v>
      </c>
      <c r="FD50">
        <v>1693503201.5</v>
      </c>
      <c r="FE50" t="s">
        <v>594</v>
      </c>
      <c r="FF50">
        <v>1693503186</v>
      </c>
      <c r="FG50">
        <v>1693503201.5</v>
      </c>
      <c r="FH50">
        <v>39</v>
      </c>
      <c r="FI50">
        <v>0.105</v>
      </c>
      <c r="FJ50">
        <v>5.0000000000000001E-3</v>
      </c>
      <c r="FK50">
        <v>-0.64</v>
      </c>
      <c r="FL50">
        <v>-0.25</v>
      </c>
      <c r="FM50">
        <v>30</v>
      </c>
      <c r="FN50">
        <v>24</v>
      </c>
      <c r="FO50">
        <v>0.76</v>
      </c>
      <c r="FP50">
        <v>0.04</v>
      </c>
      <c r="FQ50">
        <v>3.8839919087860242</v>
      </c>
      <c r="FR50">
        <v>-0.40460982502646742</v>
      </c>
      <c r="FS50">
        <v>4.9160877906540217E-2</v>
      </c>
      <c r="FT50">
        <v>1</v>
      </c>
      <c r="FU50">
        <v>0.37976867352683019</v>
      </c>
      <c r="FV50">
        <v>4.5497454547640537E-2</v>
      </c>
      <c r="FW50">
        <v>6.2005405311153367E-3</v>
      </c>
      <c r="FX50">
        <v>1</v>
      </c>
      <c r="FY50">
        <v>2</v>
      </c>
      <c r="FZ50">
        <v>2</v>
      </c>
      <c r="GA50" t="s">
        <v>422</v>
      </c>
      <c r="GB50">
        <v>2.9229599999999998</v>
      </c>
      <c r="GC50">
        <v>2.8302999999999998</v>
      </c>
      <c r="GD50">
        <v>7.2965E-3</v>
      </c>
      <c r="GE50">
        <v>8.3067499999999999E-3</v>
      </c>
      <c r="GF50">
        <v>0.13902800000000001</v>
      </c>
      <c r="GG50">
        <v>0.114078</v>
      </c>
      <c r="GH50">
        <v>26051.9</v>
      </c>
      <c r="GI50">
        <v>31723.7</v>
      </c>
      <c r="GJ50">
        <v>23615.3</v>
      </c>
      <c r="GK50">
        <v>29270.2</v>
      </c>
      <c r="GL50">
        <v>27700.5</v>
      </c>
      <c r="GM50">
        <v>36663.199999999997</v>
      </c>
      <c r="GN50">
        <v>33395.599999999999</v>
      </c>
      <c r="GO50">
        <v>43195.6</v>
      </c>
      <c r="GP50">
        <v>2.0501999999999998</v>
      </c>
      <c r="GQ50">
        <v>1.9517</v>
      </c>
      <c r="GR50">
        <v>9.4667100000000004E-2</v>
      </c>
      <c r="GS50">
        <v>0</v>
      </c>
      <c r="GT50">
        <v>28.524999999999999</v>
      </c>
      <c r="GU50">
        <v>999.9</v>
      </c>
      <c r="GV50">
        <v>60</v>
      </c>
      <c r="GW50">
        <v>29.9</v>
      </c>
      <c r="GX50">
        <v>25.524899999999999</v>
      </c>
      <c r="GY50">
        <v>61.411000000000001</v>
      </c>
      <c r="GZ50">
        <v>34.399000000000001</v>
      </c>
      <c r="HA50">
        <v>1</v>
      </c>
      <c r="HB50">
        <v>7.9298800000000003E-2</v>
      </c>
      <c r="HC50">
        <v>0.68397600000000003</v>
      </c>
      <c r="HD50">
        <v>20.279800000000002</v>
      </c>
      <c r="HE50">
        <v>5.2119</v>
      </c>
      <c r="HF50">
        <v>11.866199999999999</v>
      </c>
      <c r="HG50">
        <v>4.9855999999999998</v>
      </c>
      <c r="HH50">
        <v>3.2839999999999998</v>
      </c>
      <c r="HI50">
        <v>9999</v>
      </c>
      <c r="HJ50">
        <v>9999</v>
      </c>
      <c r="HK50">
        <v>9999</v>
      </c>
      <c r="HL50">
        <v>999.9</v>
      </c>
      <c r="HM50">
        <v>1.8549199999999999</v>
      </c>
      <c r="HN50">
        <v>1.8611</v>
      </c>
      <c r="HO50">
        <v>1.85849</v>
      </c>
      <c r="HP50">
        <v>1.8597399999999999</v>
      </c>
      <c r="HQ50">
        <v>1.85903</v>
      </c>
      <c r="HR50">
        <v>1.8595900000000001</v>
      </c>
      <c r="HS50">
        <v>1.85798</v>
      </c>
      <c r="HT50">
        <v>1.86127</v>
      </c>
      <c r="HU50">
        <v>5</v>
      </c>
      <c r="HV50">
        <v>0</v>
      </c>
      <c r="HW50">
        <v>0</v>
      </c>
      <c r="HX50">
        <v>0</v>
      </c>
      <c r="HY50" t="s">
        <v>423</v>
      </c>
      <c r="HZ50" t="s">
        <v>424</v>
      </c>
      <c r="IA50" t="s">
        <v>425</v>
      </c>
      <c r="IB50" t="s">
        <v>425</v>
      </c>
      <c r="IC50" t="s">
        <v>425</v>
      </c>
      <c r="ID50" t="s">
        <v>425</v>
      </c>
      <c r="IE50">
        <v>0</v>
      </c>
      <c r="IF50">
        <v>100</v>
      </c>
      <c r="IG50">
        <v>100</v>
      </c>
      <c r="IH50">
        <v>-0.64</v>
      </c>
      <c r="II50">
        <v>-0.25009999999999999</v>
      </c>
      <c r="IJ50">
        <v>-0.64005714285714888</v>
      </c>
      <c r="IK50">
        <v>0</v>
      </c>
      <c r="IL50">
        <v>0</v>
      </c>
      <c r="IM50">
        <v>0</v>
      </c>
      <c r="IN50">
        <v>-0.25008500000000572</v>
      </c>
      <c r="IO50">
        <v>0</v>
      </c>
      <c r="IP50">
        <v>0</v>
      </c>
      <c r="IQ50">
        <v>0</v>
      </c>
      <c r="IR50">
        <v>-1</v>
      </c>
      <c r="IS50">
        <v>-1</v>
      </c>
      <c r="IT50">
        <v>-1</v>
      </c>
      <c r="IU50">
        <v>-1</v>
      </c>
      <c r="IV50">
        <v>0.8</v>
      </c>
      <c r="IW50">
        <v>0.6</v>
      </c>
      <c r="IX50">
        <v>0.21240200000000001</v>
      </c>
      <c r="IY50">
        <v>2.5</v>
      </c>
      <c r="IZ50">
        <v>1.49414</v>
      </c>
      <c r="JA50">
        <v>2.2997999999999998</v>
      </c>
      <c r="JB50">
        <v>1.54419</v>
      </c>
      <c r="JC50">
        <v>2.323</v>
      </c>
      <c r="JD50">
        <v>35.894399999999997</v>
      </c>
      <c r="JE50">
        <v>23.877400000000002</v>
      </c>
      <c r="JF50">
        <v>18</v>
      </c>
      <c r="JG50">
        <v>533.19100000000003</v>
      </c>
      <c r="JH50">
        <v>505.99700000000001</v>
      </c>
      <c r="JI50">
        <v>27.7559</v>
      </c>
      <c r="JJ50">
        <v>28.467400000000001</v>
      </c>
      <c r="JK50">
        <v>30.000900000000001</v>
      </c>
      <c r="JL50">
        <v>28.414999999999999</v>
      </c>
      <c r="JM50">
        <v>28.381900000000002</v>
      </c>
      <c r="JN50">
        <v>4.3159299999999998</v>
      </c>
      <c r="JO50">
        <v>16.818899999999999</v>
      </c>
      <c r="JP50">
        <v>100</v>
      </c>
      <c r="JQ50">
        <v>27.768000000000001</v>
      </c>
      <c r="JR50">
        <v>30</v>
      </c>
      <c r="JS50">
        <v>23.538699999999999</v>
      </c>
      <c r="JT50">
        <v>99.041600000000003</v>
      </c>
      <c r="JU50">
        <v>97.305099999999996</v>
      </c>
    </row>
    <row r="51" spans="1:281" x14ac:dyDescent="0.25">
      <c r="A51">
        <v>35</v>
      </c>
      <c r="B51">
        <v>1693503335</v>
      </c>
      <c r="C51">
        <v>9199</v>
      </c>
      <c r="D51" t="s">
        <v>595</v>
      </c>
      <c r="E51" t="s">
        <v>596</v>
      </c>
      <c r="F51" t="s">
        <v>414</v>
      </c>
      <c r="G51" t="s">
        <v>566</v>
      </c>
      <c r="H51" t="s">
        <v>31</v>
      </c>
      <c r="I51">
        <v>3</v>
      </c>
      <c r="J51">
        <v>1693503335</v>
      </c>
      <c r="K51">
        <f t="shared" si="46"/>
        <v>5.1264302973390912E-3</v>
      </c>
      <c r="L51">
        <f t="shared" si="47"/>
        <v>5.1264302973390912</v>
      </c>
      <c r="M51">
        <f t="shared" si="48"/>
        <v>1.2241913218742786</v>
      </c>
      <c r="N51">
        <f t="shared" si="49"/>
        <v>8.4617900000000006</v>
      </c>
      <c r="O51">
        <f t="shared" si="50"/>
        <v>3.0048935912934844</v>
      </c>
      <c r="P51">
        <f t="shared" si="51"/>
        <v>0.29956708817362787</v>
      </c>
      <c r="Q51">
        <f t="shared" si="52"/>
        <v>0.84358188202783002</v>
      </c>
      <c r="R51">
        <f t="shared" si="53"/>
        <v>0.39091095732422354</v>
      </c>
      <c r="S51">
        <f t="shared" si="54"/>
        <v>2.9127202016101053</v>
      </c>
      <c r="T51">
        <f t="shared" si="55"/>
        <v>0.36392910334161011</v>
      </c>
      <c r="U51">
        <f t="shared" si="56"/>
        <v>0.22972451831051482</v>
      </c>
      <c r="V51">
        <f t="shared" si="57"/>
        <v>344.34849967089667</v>
      </c>
      <c r="W51">
        <f t="shared" si="58"/>
        <v>31.39792156781288</v>
      </c>
      <c r="X51">
        <f t="shared" si="59"/>
        <v>29.9878</v>
      </c>
      <c r="Y51">
        <f t="shared" si="60"/>
        <v>4.2574651396517913</v>
      </c>
      <c r="Z51">
        <f t="shared" si="61"/>
        <v>65.478740053936946</v>
      </c>
      <c r="AA51">
        <f t="shared" si="62"/>
        <v>2.9035907755480999</v>
      </c>
      <c r="AB51">
        <f t="shared" si="63"/>
        <v>4.4344023314381413</v>
      </c>
      <c r="AC51">
        <f t="shared" si="64"/>
        <v>1.3538743641036914</v>
      </c>
      <c r="AD51">
        <f t="shared" si="65"/>
        <v>-226.07557611265392</v>
      </c>
      <c r="AE51">
        <f t="shared" si="66"/>
        <v>111.60162717159116</v>
      </c>
      <c r="AF51">
        <f t="shared" si="67"/>
        <v>8.5484256636154541</v>
      </c>
      <c r="AG51">
        <f t="shared" si="68"/>
        <v>238.42297639344935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51745.21452746795</v>
      </c>
      <c r="AM51" t="s">
        <v>417</v>
      </c>
      <c r="AN51">
        <v>10366.9</v>
      </c>
      <c r="AO51">
        <v>993.59653846153856</v>
      </c>
      <c r="AP51">
        <v>3431.87</v>
      </c>
      <c r="AQ51">
        <f t="shared" si="72"/>
        <v>0.71047955241266758</v>
      </c>
      <c r="AR51">
        <v>-3.9894345373445681</v>
      </c>
      <c r="AS51" t="s">
        <v>597</v>
      </c>
      <c r="AT51">
        <v>10315.700000000001</v>
      </c>
      <c r="AU51">
        <v>687.92927999999984</v>
      </c>
      <c r="AV51">
        <v>733.06977816639778</v>
      </c>
      <c r="AW51">
        <f t="shared" si="73"/>
        <v>6.1577355268015999E-2</v>
      </c>
      <c r="AX51">
        <v>0.5</v>
      </c>
      <c r="AY51">
        <f t="shared" si="74"/>
        <v>1513.0922998354483</v>
      </c>
      <c r="AZ51">
        <f t="shared" si="75"/>
        <v>1.2241913218742786</v>
      </c>
      <c r="BA51">
        <f t="shared" si="76"/>
        <v>46.586111050133397</v>
      </c>
      <c r="BB51">
        <f t="shared" si="77"/>
        <v>3.4456760237203234E-3</v>
      </c>
      <c r="BC51">
        <f t="shared" si="78"/>
        <v>3.6815052293985144</v>
      </c>
      <c r="BD51">
        <f t="shared" si="79"/>
        <v>480.95767758607741</v>
      </c>
      <c r="BE51" t="s">
        <v>598</v>
      </c>
      <c r="BF51">
        <v>554.53</v>
      </c>
      <c r="BG51">
        <f t="shared" si="80"/>
        <v>554.53</v>
      </c>
      <c r="BH51">
        <f t="shared" si="81"/>
        <v>0.24355086443881679</v>
      </c>
      <c r="BI51">
        <f t="shared" si="82"/>
        <v>0.25283160217846423</v>
      </c>
      <c r="BJ51">
        <f t="shared" si="83"/>
        <v>0.93794971113375625</v>
      </c>
      <c r="BK51">
        <f t="shared" si="84"/>
        <v>-0.17326626299448089</v>
      </c>
      <c r="BL51">
        <f t="shared" si="85"/>
        <v>1.1068488684328122</v>
      </c>
      <c r="BM51">
        <f t="shared" si="86"/>
        <v>0.20380395548220279</v>
      </c>
      <c r="BN51">
        <f t="shared" si="87"/>
        <v>0.79619604451779724</v>
      </c>
      <c r="BO51">
        <v>16774</v>
      </c>
      <c r="BP51">
        <v>290.00000000000011</v>
      </c>
      <c r="BQ51">
        <v>721.71</v>
      </c>
      <c r="BR51">
        <v>145</v>
      </c>
      <c r="BS51">
        <v>10315.700000000001</v>
      </c>
      <c r="BT51">
        <v>720.01</v>
      </c>
      <c r="BU51">
        <v>1.7</v>
      </c>
      <c r="BV51">
        <v>300.00000000000011</v>
      </c>
      <c r="BW51">
        <v>38.4</v>
      </c>
      <c r="BX51">
        <v>733.06977816639778</v>
      </c>
      <c r="BY51">
        <v>1.016369765079431</v>
      </c>
      <c r="BZ51">
        <v>-13.47415256350323</v>
      </c>
      <c r="CA51">
        <v>0.85732243639275985</v>
      </c>
      <c r="CB51">
        <v>0.89818552182588496</v>
      </c>
      <c r="CC51">
        <v>-1.122443937708564E-2</v>
      </c>
      <c r="CD51">
        <v>289.99999999999989</v>
      </c>
      <c r="CE51">
        <v>718.12</v>
      </c>
      <c r="CF51">
        <v>675</v>
      </c>
      <c r="CG51">
        <v>10284.6</v>
      </c>
      <c r="CH51">
        <v>719.97</v>
      </c>
      <c r="CI51">
        <v>-1.85</v>
      </c>
      <c r="CW51">
        <f t="shared" si="88"/>
        <v>1799.89</v>
      </c>
      <c r="CX51">
        <f t="shared" si="89"/>
        <v>1513.0922998354483</v>
      </c>
      <c r="CY51">
        <f t="shared" si="90"/>
        <v>0.84065820679899783</v>
      </c>
      <c r="CZ51">
        <f t="shared" si="91"/>
        <v>0.19131641359799578</v>
      </c>
      <c r="DA51">
        <v>6</v>
      </c>
      <c r="DB51">
        <v>0.5</v>
      </c>
      <c r="DC51" t="s">
        <v>420</v>
      </c>
      <c r="DD51">
        <v>2</v>
      </c>
      <c r="DE51">
        <v>1693503335</v>
      </c>
      <c r="DF51">
        <v>8.4617900000000006</v>
      </c>
      <c r="DG51">
        <v>9.9816400000000005</v>
      </c>
      <c r="DH51">
        <v>29.125299999999999</v>
      </c>
      <c r="DI51">
        <v>23.157599999999999</v>
      </c>
      <c r="DJ51">
        <v>9.0709300000000006</v>
      </c>
      <c r="DK51">
        <v>29.3842</v>
      </c>
      <c r="DL51">
        <v>500.40600000000001</v>
      </c>
      <c r="DM51">
        <v>99.591499999999996</v>
      </c>
      <c r="DN51">
        <v>0.101577</v>
      </c>
      <c r="DO51">
        <v>30.698499999999999</v>
      </c>
      <c r="DP51">
        <v>29.9878</v>
      </c>
      <c r="DQ51">
        <v>999.9</v>
      </c>
      <c r="DR51">
        <v>0</v>
      </c>
      <c r="DS51">
        <v>0</v>
      </c>
      <c r="DT51">
        <v>9945</v>
      </c>
      <c r="DU51">
        <v>0</v>
      </c>
      <c r="DV51">
        <v>1878.1</v>
      </c>
      <c r="DW51">
        <v>-1.5198499999999999</v>
      </c>
      <c r="DX51">
        <v>8.7156300000000009</v>
      </c>
      <c r="DY51">
        <v>10.218299999999999</v>
      </c>
      <c r="DZ51">
        <v>5.9676900000000002</v>
      </c>
      <c r="EA51">
        <v>9.9816400000000005</v>
      </c>
      <c r="EB51">
        <v>23.157599999999999</v>
      </c>
      <c r="EC51">
        <v>2.90063</v>
      </c>
      <c r="ED51">
        <v>2.3062999999999998</v>
      </c>
      <c r="EE51">
        <v>23.4682</v>
      </c>
      <c r="EF51">
        <v>19.720500000000001</v>
      </c>
      <c r="EG51">
        <v>1799.89</v>
      </c>
      <c r="EH51">
        <v>0.97799700000000001</v>
      </c>
      <c r="EI51">
        <v>2.2002899999999999E-2</v>
      </c>
      <c r="EJ51">
        <v>0</v>
      </c>
      <c r="EK51">
        <v>687.65899999999999</v>
      </c>
      <c r="EL51">
        <v>5.0002500000000003</v>
      </c>
      <c r="EM51">
        <v>21666.1</v>
      </c>
      <c r="EN51">
        <v>14821.1</v>
      </c>
      <c r="EO51">
        <v>46.25</v>
      </c>
      <c r="EP51">
        <v>48.311999999999998</v>
      </c>
      <c r="EQ51">
        <v>47.125</v>
      </c>
      <c r="ER51">
        <v>46.436999999999998</v>
      </c>
      <c r="ES51">
        <v>47.5</v>
      </c>
      <c r="ET51">
        <v>1755.4</v>
      </c>
      <c r="EU51">
        <v>39.49</v>
      </c>
      <c r="EV51">
        <v>0</v>
      </c>
      <c r="EW51">
        <v>97.400000095367432</v>
      </c>
      <c r="EX51">
        <v>0</v>
      </c>
      <c r="EY51">
        <v>687.92927999999984</v>
      </c>
      <c r="EZ51">
        <v>-0.3640769193449635</v>
      </c>
      <c r="FA51">
        <v>-368.01538212672187</v>
      </c>
      <c r="FB51">
        <v>21721.752</v>
      </c>
      <c r="FC51">
        <v>15</v>
      </c>
      <c r="FD51">
        <v>1693503300.5</v>
      </c>
      <c r="FE51" t="s">
        <v>599</v>
      </c>
      <c r="FF51">
        <v>1693503291.5</v>
      </c>
      <c r="FG51">
        <v>1693503300.5</v>
      </c>
      <c r="FH51">
        <v>40</v>
      </c>
      <c r="FI51">
        <v>3.1E-2</v>
      </c>
      <c r="FJ51">
        <v>-8.9999999999999993E-3</v>
      </c>
      <c r="FK51">
        <v>-0.60899999999999999</v>
      </c>
      <c r="FL51">
        <v>-0.25900000000000001</v>
      </c>
      <c r="FM51">
        <v>10</v>
      </c>
      <c r="FN51">
        <v>23</v>
      </c>
      <c r="FO51">
        <v>1.02</v>
      </c>
      <c r="FP51">
        <v>0.05</v>
      </c>
      <c r="FQ51">
        <v>1.269399430308084</v>
      </c>
      <c r="FR51">
        <v>-0.32745402562915621</v>
      </c>
      <c r="FS51">
        <v>5.3663250815902071E-2</v>
      </c>
      <c r="FT51">
        <v>1</v>
      </c>
      <c r="FU51">
        <v>0.39986616423324639</v>
      </c>
      <c r="FV51">
        <v>-2.8054363185996821E-2</v>
      </c>
      <c r="FW51">
        <v>4.5394792027143747E-3</v>
      </c>
      <c r="FX51">
        <v>1</v>
      </c>
      <c r="FY51">
        <v>2</v>
      </c>
      <c r="FZ51">
        <v>2</v>
      </c>
      <c r="GA51" t="s">
        <v>422</v>
      </c>
      <c r="GB51">
        <v>2.9238400000000002</v>
      </c>
      <c r="GC51">
        <v>2.8309899999999999</v>
      </c>
      <c r="GD51">
        <v>2.5763000000000001E-3</v>
      </c>
      <c r="GE51">
        <v>2.77071E-3</v>
      </c>
      <c r="GF51">
        <v>0.138599</v>
      </c>
      <c r="GG51">
        <v>0.11298800000000001</v>
      </c>
      <c r="GH51">
        <v>26174.799999999999</v>
      </c>
      <c r="GI51">
        <v>31901.7</v>
      </c>
      <c r="GJ51">
        <v>23614.799999999999</v>
      </c>
      <c r="GK51">
        <v>29271.4</v>
      </c>
      <c r="GL51">
        <v>27713.7</v>
      </c>
      <c r="GM51">
        <v>36710.800000000003</v>
      </c>
      <c r="GN51">
        <v>33394.300000000003</v>
      </c>
      <c r="GO51">
        <v>43196.800000000003</v>
      </c>
      <c r="GP51">
        <v>2.0499999999999998</v>
      </c>
      <c r="GQ51">
        <v>1.9491000000000001</v>
      </c>
      <c r="GR51">
        <v>8.4906800000000004E-2</v>
      </c>
      <c r="GS51">
        <v>0</v>
      </c>
      <c r="GT51">
        <v>28.604399999999998</v>
      </c>
      <c r="GU51">
        <v>999.9</v>
      </c>
      <c r="GV51">
        <v>60</v>
      </c>
      <c r="GW51">
        <v>30</v>
      </c>
      <c r="GX51">
        <v>25.665400000000002</v>
      </c>
      <c r="GY51">
        <v>61.131</v>
      </c>
      <c r="GZ51">
        <v>34.218800000000002</v>
      </c>
      <c r="HA51">
        <v>1</v>
      </c>
      <c r="HB51">
        <v>8.3658499999999997E-2</v>
      </c>
      <c r="HC51">
        <v>-0.30699300000000002</v>
      </c>
      <c r="HD51">
        <v>20.280899999999999</v>
      </c>
      <c r="HE51">
        <v>5.2112999999999996</v>
      </c>
      <c r="HF51">
        <v>11.866199999999999</v>
      </c>
      <c r="HG51">
        <v>4.9854000000000003</v>
      </c>
      <c r="HH51">
        <v>3.2839999999999998</v>
      </c>
      <c r="HI51">
        <v>9999</v>
      </c>
      <c r="HJ51">
        <v>9999</v>
      </c>
      <c r="HK51">
        <v>9999</v>
      </c>
      <c r="HL51">
        <v>999.9</v>
      </c>
      <c r="HM51">
        <v>1.8548899999999999</v>
      </c>
      <c r="HN51">
        <v>1.8610199999999999</v>
      </c>
      <c r="HO51">
        <v>1.85849</v>
      </c>
      <c r="HP51">
        <v>1.8597399999999999</v>
      </c>
      <c r="HQ51">
        <v>1.8590100000000001</v>
      </c>
      <c r="HR51">
        <v>1.8595900000000001</v>
      </c>
      <c r="HS51">
        <v>1.8579300000000001</v>
      </c>
      <c r="HT51">
        <v>1.86127</v>
      </c>
      <c r="HU51">
        <v>5</v>
      </c>
      <c r="HV51">
        <v>0</v>
      </c>
      <c r="HW51">
        <v>0</v>
      </c>
      <c r="HX51">
        <v>0</v>
      </c>
      <c r="HY51" t="s">
        <v>423</v>
      </c>
      <c r="HZ51" t="s">
        <v>424</v>
      </c>
      <c r="IA51" t="s">
        <v>425</v>
      </c>
      <c r="IB51" t="s">
        <v>425</v>
      </c>
      <c r="IC51" t="s">
        <v>425</v>
      </c>
      <c r="ID51" t="s">
        <v>425</v>
      </c>
      <c r="IE51">
        <v>0</v>
      </c>
      <c r="IF51">
        <v>100</v>
      </c>
      <c r="IG51">
        <v>100</v>
      </c>
      <c r="IH51">
        <v>-0.60899999999999999</v>
      </c>
      <c r="II51">
        <v>-0.25890000000000002</v>
      </c>
      <c r="IJ51">
        <v>-0.60914649999999781</v>
      </c>
      <c r="IK51">
        <v>0</v>
      </c>
      <c r="IL51">
        <v>0</v>
      </c>
      <c r="IM51">
        <v>0</v>
      </c>
      <c r="IN51">
        <v>-0.2589100000000002</v>
      </c>
      <c r="IO51">
        <v>0</v>
      </c>
      <c r="IP51">
        <v>0</v>
      </c>
      <c r="IQ51">
        <v>0</v>
      </c>
      <c r="IR51">
        <v>-1</v>
      </c>
      <c r="IS51">
        <v>-1</v>
      </c>
      <c r="IT51">
        <v>-1</v>
      </c>
      <c r="IU51">
        <v>-1</v>
      </c>
      <c r="IV51">
        <v>0.7</v>
      </c>
      <c r="IW51">
        <v>0.6</v>
      </c>
      <c r="IX51">
        <v>0.167236</v>
      </c>
      <c r="IY51">
        <v>2.52197</v>
      </c>
      <c r="IZ51">
        <v>1.49414</v>
      </c>
      <c r="JA51">
        <v>2.2997999999999998</v>
      </c>
      <c r="JB51">
        <v>1.54419</v>
      </c>
      <c r="JC51">
        <v>2.4328599999999998</v>
      </c>
      <c r="JD51">
        <v>36.034700000000001</v>
      </c>
      <c r="JE51">
        <v>23.886099999999999</v>
      </c>
      <c r="JF51">
        <v>18</v>
      </c>
      <c r="JG51">
        <v>533.61400000000003</v>
      </c>
      <c r="JH51">
        <v>504.642</v>
      </c>
      <c r="JI51">
        <v>27.622599999999998</v>
      </c>
      <c r="JJ51">
        <v>28.553799999999999</v>
      </c>
      <c r="JK51">
        <v>30</v>
      </c>
      <c r="JL51">
        <v>28.475100000000001</v>
      </c>
      <c r="JM51">
        <v>28.439599999999999</v>
      </c>
      <c r="JN51">
        <v>3.4157000000000002</v>
      </c>
      <c r="JO51">
        <v>18.3446</v>
      </c>
      <c r="JP51">
        <v>100</v>
      </c>
      <c r="JQ51">
        <v>27.747800000000002</v>
      </c>
      <c r="JR51">
        <v>10</v>
      </c>
      <c r="JS51">
        <v>23.168199999999999</v>
      </c>
      <c r="JT51">
        <v>99.038399999999996</v>
      </c>
      <c r="JU51">
        <v>97.308300000000003</v>
      </c>
    </row>
    <row r="52" spans="1:281" x14ac:dyDescent="0.25">
      <c r="A52">
        <v>36</v>
      </c>
      <c r="B52">
        <v>1693503524.5</v>
      </c>
      <c r="C52">
        <v>9388.5</v>
      </c>
      <c r="D52" t="s">
        <v>600</v>
      </c>
      <c r="E52" t="s">
        <v>601</v>
      </c>
      <c r="F52" t="s">
        <v>414</v>
      </c>
      <c r="G52" t="s">
        <v>566</v>
      </c>
      <c r="H52" t="s">
        <v>31</v>
      </c>
      <c r="I52">
        <v>3</v>
      </c>
      <c r="J52">
        <v>1693503524.5</v>
      </c>
      <c r="K52">
        <f t="shared" si="46"/>
        <v>4.9044010426936421E-3</v>
      </c>
      <c r="L52">
        <f t="shared" si="47"/>
        <v>4.9044010426936424</v>
      </c>
      <c r="M52">
        <f t="shared" si="48"/>
        <v>39.232230191176136</v>
      </c>
      <c r="N52">
        <f t="shared" si="49"/>
        <v>350.84500000000003</v>
      </c>
      <c r="O52">
        <f t="shared" si="50"/>
        <v>164.19685639958234</v>
      </c>
      <c r="P52">
        <f t="shared" si="51"/>
        <v>16.368641319877785</v>
      </c>
      <c r="Q52">
        <f t="shared" si="52"/>
        <v>34.975431867568503</v>
      </c>
      <c r="R52">
        <f t="shared" si="53"/>
        <v>0.36787831853211478</v>
      </c>
      <c r="S52">
        <f t="shared" si="54"/>
        <v>2.9153231525833156</v>
      </c>
      <c r="T52">
        <f t="shared" si="55"/>
        <v>0.34389762757300657</v>
      </c>
      <c r="U52">
        <f t="shared" si="56"/>
        <v>0.21696018679214985</v>
      </c>
      <c r="V52">
        <f t="shared" si="57"/>
        <v>344.36179967090942</v>
      </c>
      <c r="W52">
        <f t="shared" si="58"/>
        <v>31.40470236412818</v>
      </c>
      <c r="X52">
        <f t="shared" si="59"/>
        <v>29.926100000000002</v>
      </c>
      <c r="Y52">
        <f t="shared" si="60"/>
        <v>4.2423986205952726</v>
      </c>
      <c r="Z52">
        <f t="shared" si="61"/>
        <v>64.941152153728893</v>
      </c>
      <c r="AA52">
        <f t="shared" si="62"/>
        <v>2.8714356538364698</v>
      </c>
      <c r="AB52">
        <f t="shared" si="63"/>
        <v>4.4215964124553846</v>
      </c>
      <c r="AC52">
        <f t="shared" si="64"/>
        <v>1.3709629667588028</v>
      </c>
      <c r="AD52">
        <f t="shared" si="65"/>
        <v>-216.28408598278961</v>
      </c>
      <c r="AE52">
        <f t="shared" si="66"/>
        <v>113.44595692073509</v>
      </c>
      <c r="AF52">
        <f t="shared" si="67"/>
        <v>8.6771185223145597</v>
      </c>
      <c r="AG52">
        <f t="shared" si="68"/>
        <v>250.20078913116947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51827.805439492047</v>
      </c>
      <c r="AM52" t="s">
        <v>417</v>
      </c>
      <c r="AN52">
        <v>10366.9</v>
      </c>
      <c r="AO52">
        <v>993.59653846153856</v>
      </c>
      <c r="AP52">
        <v>3431.87</v>
      </c>
      <c r="AQ52">
        <f t="shared" si="72"/>
        <v>0.71047955241266758</v>
      </c>
      <c r="AR52">
        <v>-3.9894345373445681</v>
      </c>
      <c r="AS52" t="s">
        <v>602</v>
      </c>
      <c r="AT52">
        <v>10308.1</v>
      </c>
      <c r="AU52">
        <v>675.57464000000004</v>
      </c>
      <c r="AV52">
        <v>966.05530298688961</v>
      </c>
      <c r="AW52">
        <f t="shared" si="73"/>
        <v>0.30068740587497367</v>
      </c>
      <c r="AX52">
        <v>0.5</v>
      </c>
      <c r="AY52">
        <f t="shared" si="74"/>
        <v>1513.1510998354547</v>
      </c>
      <c r="AZ52">
        <f t="shared" si="75"/>
        <v>39.232230191176136</v>
      </c>
      <c r="BA52">
        <f t="shared" si="76"/>
        <v>227.49273945319308</v>
      </c>
      <c r="BB52">
        <f t="shared" si="77"/>
        <v>2.8564011045044201E-2</v>
      </c>
      <c r="BC52">
        <f t="shared" si="78"/>
        <v>2.5524570792057171</v>
      </c>
      <c r="BD52">
        <f t="shared" si="79"/>
        <v>571.36463484881835</v>
      </c>
      <c r="BE52" t="s">
        <v>603</v>
      </c>
      <c r="BF52">
        <v>533.30999999999995</v>
      </c>
      <c r="BG52">
        <f t="shared" si="80"/>
        <v>533.30999999999995</v>
      </c>
      <c r="BH52">
        <f t="shared" si="81"/>
        <v>0.44795085917846511</v>
      </c>
      <c r="BI52">
        <f t="shared" si="82"/>
        <v>0.67125087431784303</v>
      </c>
      <c r="BJ52">
        <f t="shared" si="83"/>
        <v>0.85070334821880877</v>
      </c>
      <c r="BK52">
        <f t="shared" si="84"/>
        <v>-10.547118093313939</v>
      </c>
      <c r="BL52">
        <f t="shared" si="85"/>
        <v>1.0112953841761749</v>
      </c>
      <c r="BM52">
        <f t="shared" si="86"/>
        <v>0.5298967465422455</v>
      </c>
      <c r="BN52">
        <f t="shared" si="87"/>
        <v>0.4701032534577545</v>
      </c>
      <c r="BO52">
        <v>16776</v>
      </c>
      <c r="BP52">
        <v>290.00000000000011</v>
      </c>
      <c r="BQ52">
        <v>869.79</v>
      </c>
      <c r="BR52">
        <v>205</v>
      </c>
      <c r="BS52">
        <v>10308.1</v>
      </c>
      <c r="BT52">
        <v>867.18</v>
      </c>
      <c r="BU52">
        <v>2.61</v>
      </c>
      <c r="BV52">
        <v>300.00000000000011</v>
      </c>
      <c r="BW52">
        <v>38.4</v>
      </c>
      <c r="BX52">
        <v>966.05530298688961</v>
      </c>
      <c r="BY52">
        <v>1.4451660041612131</v>
      </c>
      <c r="BZ52">
        <v>-101.9247472555702</v>
      </c>
      <c r="CA52">
        <v>1.2191209217390979</v>
      </c>
      <c r="CB52">
        <v>0.99601015448890085</v>
      </c>
      <c r="CC52">
        <v>-1.1226409121245831E-2</v>
      </c>
      <c r="CD52">
        <v>289.99999999999989</v>
      </c>
      <c r="CE52">
        <v>846.23</v>
      </c>
      <c r="CF52">
        <v>655</v>
      </c>
      <c r="CG52">
        <v>10286.799999999999</v>
      </c>
      <c r="CH52">
        <v>866.97</v>
      </c>
      <c r="CI52">
        <v>-20.74</v>
      </c>
      <c r="CW52">
        <f t="shared" si="88"/>
        <v>1799.96</v>
      </c>
      <c r="CX52">
        <f t="shared" si="89"/>
        <v>1513.1510998354547</v>
      </c>
      <c r="CY52">
        <f t="shared" si="90"/>
        <v>0.84065818120150149</v>
      </c>
      <c r="CZ52">
        <f t="shared" si="91"/>
        <v>0.19131636240300307</v>
      </c>
      <c r="DA52">
        <v>6</v>
      </c>
      <c r="DB52">
        <v>0.5</v>
      </c>
      <c r="DC52" t="s">
        <v>420</v>
      </c>
      <c r="DD52">
        <v>2</v>
      </c>
      <c r="DE52">
        <v>1693503524.5</v>
      </c>
      <c r="DF52">
        <v>350.84500000000003</v>
      </c>
      <c r="DG52">
        <v>400</v>
      </c>
      <c r="DH52">
        <v>28.803899999999999</v>
      </c>
      <c r="DI52">
        <v>23.0868</v>
      </c>
      <c r="DJ52">
        <v>351.60199999999998</v>
      </c>
      <c r="DK52">
        <v>29.053599999999999</v>
      </c>
      <c r="DL52">
        <v>499.88299999999998</v>
      </c>
      <c r="DM52">
        <v>99.589600000000004</v>
      </c>
      <c r="DN52">
        <v>9.9527299999999999E-2</v>
      </c>
      <c r="DO52">
        <v>30.6479</v>
      </c>
      <c r="DP52">
        <v>29.926100000000002</v>
      </c>
      <c r="DQ52">
        <v>999.9</v>
      </c>
      <c r="DR52">
        <v>0</v>
      </c>
      <c r="DS52">
        <v>0</v>
      </c>
      <c r="DT52">
        <v>9960</v>
      </c>
      <c r="DU52">
        <v>0</v>
      </c>
      <c r="DV52">
        <v>1892.57</v>
      </c>
      <c r="DW52">
        <v>-49.154800000000002</v>
      </c>
      <c r="DX52">
        <v>361.25099999999998</v>
      </c>
      <c r="DY52">
        <v>409.45299999999997</v>
      </c>
      <c r="DZ52">
        <v>5.7170800000000002</v>
      </c>
      <c r="EA52">
        <v>400</v>
      </c>
      <c r="EB52">
        <v>23.0868</v>
      </c>
      <c r="EC52">
        <v>2.8685700000000001</v>
      </c>
      <c r="ED52">
        <v>2.29921</v>
      </c>
      <c r="EE52">
        <v>23.284099999999999</v>
      </c>
      <c r="EF52">
        <v>19.6708</v>
      </c>
      <c r="EG52">
        <v>1799.96</v>
      </c>
      <c r="EH52">
        <v>0.97799700000000001</v>
      </c>
      <c r="EI52">
        <v>2.2002899999999999E-2</v>
      </c>
      <c r="EJ52">
        <v>0</v>
      </c>
      <c r="EK52">
        <v>674.90099999999995</v>
      </c>
      <c r="EL52">
        <v>5.0002500000000003</v>
      </c>
      <c r="EM52">
        <v>21858.1</v>
      </c>
      <c r="EN52">
        <v>14821.7</v>
      </c>
      <c r="EO52">
        <v>46.375</v>
      </c>
      <c r="EP52">
        <v>48.561999999999998</v>
      </c>
      <c r="EQ52">
        <v>47.375</v>
      </c>
      <c r="ER52">
        <v>46.5</v>
      </c>
      <c r="ES52">
        <v>47.625</v>
      </c>
      <c r="ET52">
        <v>1755.47</v>
      </c>
      <c r="EU52">
        <v>39.49</v>
      </c>
      <c r="EV52">
        <v>0</v>
      </c>
      <c r="EW52">
        <v>187.4000000953674</v>
      </c>
      <c r="EX52">
        <v>0</v>
      </c>
      <c r="EY52">
        <v>675.57464000000004</v>
      </c>
      <c r="EZ52">
        <v>-7.4299230772813356</v>
      </c>
      <c r="FA52">
        <v>-113.2076903582341</v>
      </c>
      <c r="FB52">
        <v>21700.644</v>
      </c>
      <c r="FC52">
        <v>15</v>
      </c>
      <c r="FD52">
        <v>1693503430.5</v>
      </c>
      <c r="FE52" t="s">
        <v>604</v>
      </c>
      <c r="FF52">
        <v>1693503419</v>
      </c>
      <c r="FG52">
        <v>1693503430.5</v>
      </c>
      <c r="FH52">
        <v>41</v>
      </c>
      <c r="FI52">
        <v>-0.14699999999999999</v>
      </c>
      <c r="FJ52">
        <v>8.9999999999999993E-3</v>
      </c>
      <c r="FK52">
        <v>-0.75700000000000001</v>
      </c>
      <c r="FL52">
        <v>-0.25</v>
      </c>
      <c r="FM52">
        <v>400</v>
      </c>
      <c r="FN52">
        <v>23</v>
      </c>
      <c r="FO52">
        <v>0.19</v>
      </c>
      <c r="FP52">
        <v>0.06</v>
      </c>
      <c r="FQ52">
        <v>38.89483452661019</v>
      </c>
      <c r="FR52">
        <v>3.2877005545177962</v>
      </c>
      <c r="FS52">
        <v>0.25342375827636598</v>
      </c>
      <c r="FT52">
        <v>0</v>
      </c>
      <c r="FU52">
        <v>0.36880258926698778</v>
      </c>
      <c r="FV52">
        <v>-1.0882784924617099E-2</v>
      </c>
      <c r="FW52">
        <v>9.8041091801767915E-4</v>
      </c>
      <c r="FX52">
        <v>1</v>
      </c>
      <c r="FY52">
        <v>1</v>
      </c>
      <c r="FZ52">
        <v>2</v>
      </c>
      <c r="GA52" t="s">
        <v>461</v>
      </c>
      <c r="GB52">
        <v>2.9224299999999999</v>
      </c>
      <c r="GC52">
        <v>2.8290700000000002</v>
      </c>
      <c r="GD52">
        <v>8.26794E-2</v>
      </c>
      <c r="GE52">
        <v>8.9666099999999999E-2</v>
      </c>
      <c r="GF52">
        <v>0.137487</v>
      </c>
      <c r="GG52">
        <v>0.11272</v>
      </c>
      <c r="GH52">
        <v>24069.8</v>
      </c>
      <c r="GI52">
        <v>29121.599999999999</v>
      </c>
      <c r="GJ52">
        <v>23612.1</v>
      </c>
      <c r="GK52">
        <v>29271.4</v>
      </c>
      <c r="GL52">
        <v>27755.5</v>
      </c>
      <c r="GM52">
        <v>36733.4</v>
      </c>
      <c r="GN52">
        <v>33391.300000000003</v>
      </c>
      <c r="GO52">
        <v>43197.5</v>
      </c>
      <c r="GP52">
        <v>2.0480999999999998</v>
      </c>
      <c r="GQ52">
        <v>1.9482999999999999</v>
      </c>
      <c r="GR52">
        <v>8.8378799999999993E-2</v>
      </c>
      <c r="GS52">
        <v>0</v>
      </c>
      <c r="GT52">
        <v>28.486000000000001</v>
      </c>
      <c r="GU52">
        <v>999.9</v>
      </c>
      <c r="GV52">
        <v>59.8</v>
      </c>
      <c r="GW52">
        <v>30.1</v>
      </c>
      <c r="GX52">
        <v>25.728300000000001</v>
      </c>
      <c r="GY52">
        <v>61.0411</v>
      </c>
      <c r="GZ52">
        <v>34.130600000000001</v>
      </c>
      <c r="HA52">
        <v>1</v>
      </c>
      <c r="HB52">
        <v>9.0528499999999998E-2</v>
      </c>
      <c r="HC52">
        <v>-0.77551199999999998</v>
      </c>
      <c r="HD52">
        <v>20.2758</v>
      </c>
      <c r="HE52">
        <v>5.1987199999999998</v>
      </c>
      <c r="HF52">
        <v>11.8674</v>
      </c>
      <c r="HG52">
        <v>4.9820000000000002</v>
      </c>
      <c r="HH52">
        <v>3.2812000000000001</v>
      </c>
      <c r="HI52">
        <v>9999</v>
      </c>
      <c r="HJ52">
        <v>9999</v>
      </c>
      <c r="HK52">
        <v>9999</v>
      </c>
      <c r="HL52">
        <v>999.9</v>
      </c>
      <c r="HM52">
        <v>1.85487</v>
      </c>
      <c r="HN52">
        <v>1.8609800000000001</v>
      </c>
      <c r="HO52">
        <v>1.85846</v>
      </c>
      <c r="HP52">
        <v>1.85961</v>
      </c>
      <c r="HQ52">
        <v>1.8589800000000001</v>
      </c>
      <c r="HR52">
        <v>1.85954</v>
      </c>
      <c r="HS52">
        <v>1.85791</v>
      </c>
      <c r="HT52">
        <v>1.86128</v>
      </c>
      <c r="HU52">
        <v>5</v>
      </c>
      <c r="HV52">
        <v>0</v>
      </c>
      <c r="HW52">
        <v>0</v>
      </c>
      <c r="HX52">
        <v>0</v>
      </c>
      <c r="HY52" t="s">
        <v>423</v>
      </c>
      <c r="HZ52" t="s">
        <v>424</v>
      </c>
      <c r="IA52" t="s">
        <v>425</v>
      </c>
      <c r="IB52" t="s">
        <v>425</v>
      </c>
      <c r="IC52" t="s">
        <v>425</v>
      </c>
      <c r="ID52" t="s">
        <v>425</v>
      </c>
      <c r="IE52">
        <v>0</v>
      </c>
      <c r="IF52">
        <v>100</v>
      </c>
      <c r="IG52">
        <v>100</v>
      </c>
      <c r="IH52">
        <v>-0.75700000000000001</v>
      </c>
      <c r="II52">
        <v>-0.24970000000000001</v>
      </c>
      <c r="IJ52">
        <v>-0.75657142857147619</v>
      </c>
      <c r="IK52">
        <v>0</v>
      </c>
      <c r="IL52">
        <v>0</v>
      </c>
      <c r="IM52">
        <v>0</v>
      </c>
      <c r="IN52">
        <v>-0.2497599999999984</v>
      </c>
      <c r="IO52">
        <v>0</v>
      </c>
      <c r="IP52">
        <v>0</v>
      </c>
      <c r="IQ52">
        <v>0</v>
      </c>
      <c r="IR52">
        <v>-1</v>
      </c>
      <c r="IS52">
        <v>-1</v>
      </c>
      <c r="IT52">
        <v>-1</v>
      </c>
      <c r="IU52">
        <v>-1</v>
      </c>
      <c r="IV52">
        <v>1.8</v>
      </c>
      <c r="IW52">
        <v>1.6</v>
      </c>
      <c r="IX52">
        <v>0.99609400000000003</v>
      </c>
      <c r="IY52">
        <v>2.4560499999999998</v>
      </c>
      <c r="IZ52">
        <v>1.49414</v>
      </c>
      <c r="JA52">
        <v>2.2997999999999998</v>
      </c>
      <c r="JB52">
        <v>1.54419</v>
      </c>
      <c r="JC52">
        <v>2.4316399999999998</v>
      </c>
      <c r="JD52">
        <v>36.245899999999999</v>
      </c>
      <c r="JE52">
        <v>23.912400000000002</v>
      </c>
      <c r="JF52">
        <v>18</v>
      </c>
      <c r="JG52">
        <v>533.15700000000004</v>
      </c>
      <c r="JH52">
        <v>504.90100000000001</v>
      </c>
      <c r="JI52">
        <v>28.904199999999999</v>
      </c>
      <c r="JJ52">
        <v>28.643699999999999</v>
      </c>
      <c r="JK52">
        <v>30.0002</v>
      </c>
      <c r="JL52">
        <v>28.562000000000001</v>
      </c>
      <c r="JM52">
        <v>28.5288</v>
      </c>
      <c r="JN52">
        <v>20.005099999999999</v>
      </c>
      <c r="JO52">
        <v>18.9879</v>
      </c>
      <c r="JP52">
        <v>100</v>
      </c>
      <c r="JQ52">
        <v>28.917100000000001</v>
      </c>
      <c r="JR52">
        <v>400</v>
      </c>
      <c r="JS52">
        <v>23.0929</v>
      </c>
      <c r="JT52">
        <v>99.028499999999994</v>
      </c>
      <c r="JU52">
        <v>97.309299999999993</v>
      </c>
    </row>
    <row r="53" spans="1:281" x14ac:dyDescent="0.25">
      <c r="A53">
        <v>37</v>
      </c>
      <c r="B53">
        <v>1693503672.5</v>
      </c>
      <c r="C53">
        <v>9536.5</v>
      </c>
      <c r="D53" t="s">
        <v>605</v>
      </c>
      <c r="E53" t="s">
        <v>606</v>
      </c>
      <c r="F53" t="s">
        <v>414</v>
      </c>
      <c r="G53" t="s">
        <v>566</v>
      </c>
      <c r="H53" t="s">
        <v>31</v>
      </c>
      <c r="I53">
        <v>3</v>
      </c>
      <c r="J53">
        <v>1693503672.5</v>
      </c>
      <c r="K53">
        <f t="shared" si="46"/>
        <v>4.6475804576622563E-3</v>
      </c>
      <c r="L53">
        <f t="shared" si="47"/>
        <v>4.6475804576622561</v>
      </c>
      <c r="M53">
        <f t="shared" si="48"/>
        <v>42.574702386817435</v>
      </c>
      <c r="N53">
        <f t="shared" si="49"/>
        <v>346.899</v>
      </c>
      <c r="O53">
        <f t="shared" si="50"/>
        <v>132.24258211926843</v>
      </c>
      <c r="P53">
        <f t="shared" si="51"/>
        <v>13.1835356956742</v>
      </c>
      <c r="Q53">
        <f t="shared" si="52"/>
        <v>34.583076615738001</v>
      </c>
      <c r="R53">
        <f t="shared" si="53"/>
        <v>0.34382633592375184</v>
      </c>
      <c r="S53">
        <f t="shared" si="54"/>
        <v>2.9162487735211817</v>
      </c>
      <c r="T53">
        <f t="shared" si="55"/>
        <v>0.32278889763957569</v>
      </c>
      <c r="U53">
        <f t="shared" si="56"/>
        <v>0.20352583605418725</v>
      </c>
      <c r="V53">
        <f t="shared" si="57"/>
        <v>344.39089967085346</v>
      </c>
      <c r="W53">
        <f t="shared" si="58"/>
        <v>31.556805262542134</v>
      </c>
      <c r="X53">
        <f t="shared" si="59"/>
        <v>29.983499999999999</v>
      </c>
      <c r="Y53">
        <f t="shared" si="60"/>
        <v>4.2564136133185491</v>
      </c>
      <c r="Z53">
        <f t="shared" si="61"/>
        <v>64.645880000992847</v>
      </c>
      <c r="AA53">
        <f t="shared" si="62"/>
        <v>2.8723476287563998</v>
      </c>
      <c r="AB53">
        <f t="shared" si="63"/>
        <v>4.4432029213807365</v>
      </c>
      <c r="AC53">
        <f t="shared" si="64"/>
        <v>1.3840659845621492</v>
      </c>
      <c r="AD53">
        <f t="shared" si="65"/>
        <v>-204.95829818290551</v>
      </c>
      <c r="AE53">
        <f t="shared" si="66"/>
        <v>117.86843666739215</v>
      </c>
      <c r="AF53">
        <f t="shared" si="67"/>
        <v>9.0188816011871431</v>
      </c>
      <c r="AG53">
        <f t="shared" si="68"/>
        <v>266.31991975652727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51839.62642220407</v>
      </c>
      <c r="AM53" t="s">
        <v>417</v>
      </c>
      <c r="AN53">
        <v>10366.9</v>
      </c>
      <c r="AO53">
        <v>993.59653846153856</v>
      </c>
      <c r="AP53">
        <v>3431.87</v>
      </c>
      <c r="AQ53">
        <f t="shared" si="72"/>
        <v>0.71047955241266758</v>
      </c>
      <c r="AR53">
        <v>-3.9894345373445681</v>
      </c>
      <c r="AS53" t="s">
        <v>607</v>
      </c>
      <c r="AT53">
        <v>10316.1</v>
      </c>
      <c r="AU53">
        <v>680.70208000000002</v>
      </c>
      <c r="AV53">
        <v>977.47275347334562</v>
      </c>
      <c r="AW53">
        <f t="shared" si="73"/>
        <v>0.30361017472743101</v>
      </c>
      <c r="AX53">
        <v>0.5</v>
      </c>
      <c r="AY53">
        <f t="shared" si="74"/>
        <v>1513.2773998354264</v>
      </c>
      <c r="AZ53">
        <f t="shared" si="75"/>
        <v>42.574702386817435</v>
      </c>
      <c r="BA53">
        <f t="shared" si="76"/>
        <v>229.72320788755314</v>
      </c>
      <c r="BB53">
        <f t="shared" si="77"/>
        <v>3.0770390761948863E-2</v>
      </c>
      <c r="BC53">
        <f t="shared" si="78"/>
        <v>2.5109623135838972</v>
      </c>
      <c r="BD53">
        <f t="shared" si="79"/>
        <v>575.33929388940612</v>
      </c>
      <c r="BE53" t="s">
        <v>608</v>
      </c>
      <c r="BF53">
        <v>542.91</v>
      </c>
      <c r="BG53">
        <f t="shared" si="80"/>
        <v>542.91</v>
      </c>
      <c r="BH53">
        <f t="shared" si="81"/>
        <v>0.44457786872234861</v>
      </c>
      <c r="BI53">
        <f t="shared" si="82"/>
        <v>0.68291787803104553</v>
      </c>
      <c r="BJ53">
        <f t="shared" si="83"/>
        <v>0.84957813418207739</v>
      </c>
      <c r="BK53">
        <f t="shared" si="84"/>
        <v>-18.405769717883466</v>
      </c>
      <c r="BL53">
        <f t="shared" si="85"/>
        <v>1.0066127877953521</v>
      </c>
      <c r="BM53">
        <f t="shared" si="86"/>
        <v>0.54467726198491251</v>
      </c>
      <c r="BN53">
        <f t="shared" si="87"/>
        <v>0.45532273801508749</v>
      </c>
      <c r="BO53">
        <v>16778</v>
      </c>
      <c r="BP53">
        <v>290.00000000000011</v>
      </c>
      <c r="BQ53">
        <v>892.03</v>
      </c>
      <c r="BR53">
        <v>155</v>
      </c>
      <c r="BS53">
        <v>10316.1</v>
      </c>
      <c r="BT53">
        <v>887.42</v>
      </c>
      <c r="BU53">
        <v>4.6100000000000003</v>
      </c>
      <c r="BV53">
        <v>300.00000000000011</v>
      </c>
      <c r="BW53">
        <v>38.4</v>
      </c>
      <c r="BX53">
        <v>977.47275347334562</v>
      </c>
      <c r="BY53">
        <v>1.232853223846788</v>
      </c>
      <c r="BZ53">
        <v>-92.898868702334298</v>
      </c>
      <c r="CA53">
        <v>1.0401034063920811</v>
      </c>
      <c r="CB53">
        <v>0.9965024126246802</v>
      </c>
      <c r="CC53">
        <v>-1.1226997997775301E-2</v>
      </c>
      <c r="CD53">
        <v>289.99999999999989</v>
      </c>
      <c r="CE53">
        <v>876.49</v>
      </c>
      <c r="CF53">
        <v>635</v>
      </c>
      <c r="CG53">
        <v>10289.200000000001</v>
      </c>
      <c r="CH53">
        <v>887.19</v>
      </c>
      <c r="CI53">
        <v>-10.7</v>
      </c>
      <c r="CW53">
        <f t="shared" si="88"/>
        <v>1800.11</v>
      </c>
      <c r="CX53">
        <f t="shared" si="89"/>
        <v>1513.2773998354264</v>
      </c>
      <c r="CY53">
        <f t="shared" si="90"/>
        <v>0.84065829301288619</v>
      </c>
      <c r="CZ53">
        <f t="shared" si="91"/>
        <v>0.19131658602577259</v>
      </c>
      <c r="DA53">
        <v>6</v>
      </c>
      <c r="DB53">
        <v>0.5</v>
      </c>
      <c r="DC53" t="s">
        <v>420</v>
      </c>
      <c r="DD53">
        <v>2</v>
      </c>
      <c r="DE53">
        <v>1693503672.5</v>
      </c>
      <c r="DF53">
        <v>346.899</v>
      </c>
      <c r="DG53">
        <v>399.935</v>
      </c>
      <c r="DH53">
        <v>28.812200000000001</v>
      </c>
      <c r="DI53">
        <v>23.394600000000001</v>
      </c>
      <c r="DJ53">
        <v>347.74299999999999</v>
      </c>
      <c r="DK53">
        <v>29.065799999999999</v>
      </c>
      <c r="DL53">
        <v>499.89</v>
      </c>
      <c r="DM53">
        <v>99.592299999999994</v>
      </c>
      <c r="DN53">
        <v>9.9762000000000003E-2</v>
      </c>
      <c r="DO53">
        <v>30.7332</v>
      </c>
      <c r="DP53">
        <v>29.983499999999999</v>
      </c>
      <c r="DQ53">
        <v>999.9</v>
      </c>
      <c r="DR53">
        <v>0</v>
      </c>
      <c r="DS53">
        <v>0</v>
      </c>
      <c r="DT53">
        <v>9965</v>
      </c>
      <c r="DU53">
        <v>0</v>
      </c>
      <c r="DV53">
        <v>1894.27</v>
      </c>
      <c r="DW53">
        <v>-53.0366</v>
      </c>
      <c r="DX53">
        <v>357.19</v>
      </c>
      <c r="DY53">
        <v>409.51600000000002</v>
      </c>
      <c r="DZ53">
        <v>5.4176000000000002</v>
      </c>
      <c r="EA53">
        <v>399.935</v>
      </c>
      <c r="EB53">
        <v>23.394600000000001</v>
      </c>
      <c r="EC53">
        <v>2.8694799999999998</v>
      </c>
      <c r="ED53">
        <v>2.32992</v>
      </c>
      <c r="EE53">
        <v>23.289300000000001</v>
      </c>
      <c r="EF53">
        <v>19.884799999999998</v>
      </c>
      <c r="EG53">
        <v>1800.11</v>
      </c>
      <c r="EH53">
        <v>0.97799700000000001</v>
      </c>
      <c r="EI53">
        <v>2.2002899999999999E-2</v>
      </c>
      <c r="EJ53">
        <v>0</v>
      </c>
      <c r="EK53">
        <v>681.11900000000003</v>
      </c>
      <c r="EL53">
        <v>5.0002500000000003</v>
      </c>
      <c r="EM53">
        <v>21967.8</v>
      </c>
      <c r="EN53">
        <v>14823</v>
      </c>
      <c r="EO53">
        <v>46.25</v>
      </c>
      <c r="EP53">
        <v>48.311999999999998</v>
      </c>
      <c r="EQ53">
        <v>47.311999999999998</v>
      </c>
      <c r="ER53">
        <v>46.25</v>
      </c>
      <c r="ES53">
        <v>47.5</v>
      </c>
      <c r="ET53">
        <v>1755.61</v>
      </c>
      <c r="EU53">
        <v>39.5</v>
      </c>
      <c r="EV53">
        <v>0</v>
      </c>
      <c r="EW53">
        <v>146</v>
      </c>
      <c r="EX53">
        <v>0</v>
      </c>
      <c r="EY53">
        <v>680.70208000000002</v>
      </c>
      <c r="EZ53">
        <v>7.6394615345909296</v>
      </c>
      <c r="FA53">
        <v>-239.02307718951269</v>
      </c>
      <c r="FB53">
        <v>21971.227999999999</v>
      </c>
      <c r="FC53">
        <v>15</v>
      </c>
      <c r="FD53">
        <v>1693503596</v>
      </c>
      <c r="FE53" t="s">
        <v>609</v>
      </c>
      <c r="FF53">
        <v>1693503592</v>
      </c>
      <c r="FG53">
        <v>1693503596</v>
      </c>
      <c r="FH53">
        <v>42</v>
      </c>
      <c r="FI53">
        <v>-8.7999999999999995E-2</v>
      </c>
      <c r="FJ53">
        <v>-4.0000000000000001E-3</v>
      </c>
      <c r="FK53">
        <v>-0.84399999999999997</v>
      </c>
      <c r="FL53">
        <v>-0.254</v>
      </c>
      <c r="FM53">
        <v>400</v>
      </c>
      <c r="FN53">
        <v>23</v>
      </c>
      <c r="FO53">
        <v>0.15</v>
      </c>
      <c r="FP53">
        <v>0.04</v>
      </c>
      <c r="FQ53">
        <v>42.478257326552772</v>
      </c>
      <c r="FR53">
        <v>0.59262054200048797</v>
      </c>
      <c r="FS53">
        <v>7.6948013196427439E-2</v>
      </c>
      <c r="FT53">
        <v>1</v>
      </c>
      <c r="FU53">
        <v>0.34663343248793738</v>
      </c>
      <c r="FV53">
        <v>-2.9739270764059241E-2</v>
      </c>
      <c r="FW53">
        <v>2.322575826227794E-3</v>
      </c>
      <c r="FX53">
        <v>1</v>
      </c>
      <c r="FY53">
        <v>2</v>
      </c>
      <c r="FZ53">
        <v>2</v>
      </c>
      <c r="GA53" t="s">
        <v>422</v>
      </c>
      <c r="GB53">
        <v>2.9224700000000001</v>
      </c>
      <c r="GC53">
        <v>2.8293400000000002</v>
      </c>
      <c r="GD53">
        <v>8.1966899999999995E-2</v>
      </c>
      <c r="GE53">
        <v>8.9657700000000007E-2</v>
      </c>
      <c r="GF53">
        <v>0.13752800000000001</v>
      </c>
      <c r="GG53">
        <v>0.113771</v>
      </c>
      <c r="GH53">
        <v>24091.3</v>
      </c>
      <c r="GI53">
        <v>29123.200000000001</v>
      </c>
      <c r="GJ53">
        <v>23614.799999999999</v>
      </c>
      <c r="GK53">
        <v>29272.6</v>
      </c>
      <c r="GL53">
        <v>27756.799999999999</v>
      </c>
      <c r="GM53">
        <v>36688.699999999997</v>
      </c>
      <c r="GN53">
        <v>33394.800000000003</v>
      </c>
      <c r="GO53">
        <v>43198.2</v>
      </c>
      <c r="GP53">
        <v>2.0486</v>
      </c>
      <c r="GQ53">
        <v>1.948</v>
      </c>
      <c r="GR53">
        <v>0.103801</v>
      </c>
      <c r="GS53">
        <v>0</v>
      </c>
      <c r="GT53">
        <v>28.291899999999998</v>
      </c>
      <c r="GU53">
        <v>999.9</v>
      </c>
      <c r="GV53">
        <v>59.5</v>
      </c>
      <c r="GW53">
        <v>30.3</v>
      </c>
      <c r="GX53">
        <v>25.895299999999999</v>
      </c>
      <c r="GY53">
        <v>61.301099999999998</v>
      </c>
      <c r="GZ53">
        <v>34.354999999999997</v>
      </c>
      <c r="HA53">
        <v>1</v>
      </c>
      <c r="HB53">
        <v>9.0152399999999994E-2</v>
      </c>
      <c r="HC53">
        <v>-1.0758300000000001</v>
      </c>
      <c r="HD53">
        <v>20.277200000000001</v>
      </c>
      <c r="HE53">
        <v>5.2112999999999996</v>
      </c>
      <c r="HF53">
        <v>11.8668</v>
      </c>
      <c r="HG53">
        <v>4.9847999999999999</v>
      </c>
      <c r="HH53">
        <v>3.2839999999999998</v>
      </c>
      <c r="HI53">
        <v>9999</v>
      </c>
      <c r="HJ53">
        <v>9999</v>
      </c>
      <c r="HK53">
        <v>9999</v>
      </c>
      <c r="HL53">
        <v>999.9</v>
      </c>
      <c r="HM53">
        <v>1.85486</v>
      </c>
      <c r="HN53">
        <v>1.8610100000000001</v>
      </c>
      <c r="HO53">
        <v>1.8584700000000001</v>
      </c>
      <c r="HP53">
        <v>1.8596699999999999</v>
      </c>
      <c r="HQ53">
        <v>1.8589800000000001</v>
      </c>
      <c r="HR53">
        <v>1.8595900000000001</v>
      </c>
      <c r="HS53">
        <v>1.85791</v>
      </c>
      <c r="HT53">
        <v>1.86127</v>
      </c>
      <c r="HU53">
        <v>5</v>
      </c>
      <c r="HV53">
        <v>0</v>
      </c>
      <c r="HW53">
        <v>0</v>
      </c>
      <c r="HX53">
        <v>0</v>
      </c>
      <c r="HY53" t="s">
        <v>423</v>
      </c>
      <c r="HZ53" t="s">
        <v>424</v>
      </c>
      <c r="IA53" t="s">
        <v>425</v>
      </c>
      <c r="IB53" t="s">
        <v>425</v>
      </c>
      <c r="IC53" t="s">
        <v>425</v>
      </c>
      <c r="ID53" t="s">
        <v>425</v>
      </c>
      <c r="IE53">
        <v>0</v>
      </c>
      <c r="IF53">
        <v>100</v>
      </c>
      <c r="IG53">
        <v>100</v>
      </c>
      <c r="IH53">
        <v>-0.84399999999999997</v>
      </c>
      <c r="II53">
        <v>-0.25359999999999999</v>
      </c>
      <c r="IJ53">
        <v>-0.84444999999993797</v>
      </c>
      <c r="IK53">
        <v>0</v>
      </c>
      <c r="IL53">
        <v>0</v>
      </c>
      <c r="IM53">
        <v>0</v>
      </c>
      <c r="IN53">
        <v>-0.2536250000000031</v>
      </c>
      <c r="IO53">
        <v>0</v>
      </c>
      <c r="IP53">
        <v>0</v>
      </c>
      <c r="IQ53">
        <v>0</v>
      </c>
      <c r="IR53">
        <v>-1</v>
      </c>
      <c r="IS53">
        <v>-1</v>
      </c>
      <c r="IT53">
        <v>-1</v>
      </c>
      <c r="IU53">
        <v>-1</v>
      </c>
      <c r="IV53">
        <v>1.3</v>
      </c>
      <c r="IW53">
        <v>1.3</v>
      </c>
      <c r="IX53">
        <v>0.99609400000000003</v>
      </c>
      <c r="IY53">
        <v>2.4511699999999998</v>
      </c>
      <c r="IZ53">
        <v>1.49414</v>
      </c>
      <c r="JA53">
        <v>2.2997999999999998</v>
      </c>
      <c r="JB53">
        <v>1.54419</v>
      </c>
      <c r="JC53">
        <v>2.3339799999999999</v>
      </c>
      <c r="JD53">
        <v>36.340000000000003</v>
      </c>
      <c r="JE53">
        <v>23.921099999999999</v>
      </c>
      <c r="JF53">
        <v>18</v>
      </c>
      <c r="JG53">
        <v>533.58000000000004</v>
      </c>
      <c r="JH53">
        <v>504.77300000000002</v>
      </c>
      <c r="JI53">
        <v>29.693000000000001</v>
      </c>
      <c r="JJ53">
        <v>28.6144</v>
      </c>
      <c r="JK53">
        <v>29.9998</v>
      </c>
      <c r="JL53">
        <v>28.5717</v>
      </c>
      <c r="JM53">
        <v>28.538499999999999</v>
      </c>
      <c r="JN53">
        <v>20.006499999999999</v>
      </c>
      <c r="JO53">
        <v>17.545100000000001</v>
      </c>
      <c r="JP53">
        <v>100</v>
      </c>
      <c r="JQ53">
        <v>29.689699999999998</v>
      </c>
      <c r="JR53">
        <v>400</v>
      </c>
      <c r="JS53">
        <v>23.4114</v>
      </c>
      <c r="JT53">
        <v>99.039199999999994</v>
      </c>
      <c r="JU53">
        <v>97.311800000000005</v>
      </c>
    </row>
    <row r="54" spans="1:281" x14ac:dyDescent="0.25">
      <c r="A54">
        <v>38</v>
      </c>
      <c r="B54">
        <v>1693503792</v>
      </c>
      <c r="C54">
        <v>9656</v>
      </c>
      <c r="D54" t="s">
        <v>610</v>
      </c>
      <c r="E54" t="s">
        <v>611</v>
      </c>
      <c r="F54" t="s">
        <v>414</v>
      </c>
      <c r="G54" t="s">
        <v>566</v>
      </c>
      <c r="H54" t="s">
        <v>31</v>
      </c>
      <c r="I54">
        <v>3</v>
      </c>
      <c r="J54">
        <v>1693503792</v>
      </c>
      <c r="K54">
        <f t="shared" si="46"/>
        <v>4.6215854111766926E-3</v>
      </c>
      <c r="L54">
        <f t="shared" si="47"/>
        <v>4.6215854111766923</v>
      </c>
      <c r="M54">
        <f t="shared" si="48"/>
        <v>45.950076121372462</v>
      </c>
      <c r="N54">
        <f t="shared" si="49"/>
        <v>442.387</v>
      </c>
      <c r="O54">
        <f t="shared" si="50"/>
        <v>210.2394787093364</v>
      </c>
      <c r="P54">
        <f t="shared" si="51"/>
        <v>20.95893909100349</v>
      </c>
      <c r="Q54">
        <f t="shared" si="52"/>
        <v>44.101908188569006</v>
      </c>
      <c r="R54">
        <f t="shared" si="53"/>
        <v>0.34544118419397529</v>
      </c>
      <c r="S54">
        <f t="shared" si="54"/>
        <v>2.9162171456246293</v>
      </c>
      <c r="T54">
        <f t="shared" si="55"/>
        <v>0.32421199944709889</v>
      </c>
      <c r="U54">
        <f t="shared" si="56"/>
        <v>0.20443104610377094</v>
      </c>
      <c r="V54">
        <f t="shared" si="57"/>
        <v>344.37949967084251</v>
      </c>
      <c r="W54">
        <f t="shared" si="58"/>
        <v>31.60359431503035</v>
      </c>
      <c r="X54">
        <f t="shared" si="59"/>
        <v>30.043500000000002</v>
      </c>
      <c r="Y54">
        <f t="shared" si="60"/>
        <v>4.2711065479600006</v>
      </c>
      <c r="Z54">
        <f t="shared" si="61"/>
        <v>65.144757874370683</v>
      </c>
      <c r="AA54">
        <f t="shared" si="62"/>
        <v>2.9011514378804999</v>
      </c>
      <c r="AB54">
        <f t="shared" si="63"/>
        <v>4.4533920035058934</v>
      </c>
      <c r="AC54">
        <f t="shared" si="64"/>
        <v>1.3699551100795007</v>
      </c>
      <c r="AD54">
        <f t="shared" si="65"/>
        <v>-203.81191663289215</v>
      </c>
      <c r="AE54">
        <f t="shared" si="66"/>
        <v>114.73849827133657</v>
      </c>
      <c r="AF54">
        <f t="shared" si="67"/>
        <v>8.7838303475260346</v>
      </c>
      <c r="AG54">
        <f t="shared" si="68"/>
        <v>264.08991165681294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51831.846453642014</v>
      </c>
      <c r="AM54" t="s">
        <v>417</v>
      </c>
      <c r="AN54">
        <v>10366.9</v>
      </c>
      <c r="AO54">
        <v>993.59653846153856</v>
      </c>
      <c r="AP54">
        <v>3431.87</v>
      </c>
      <c r="AQ54">
        <f t="shared" si="72"/>
        <v>0.71047955241266758</v>
      </c>
      <c r="AR54">
        <v>-3.9894345373445681</v>
      </c>
      <c r="AS54" t="s">
        <v>612</v>
      </c>
      <c r="AT54">
        <v>10316.5</v>
      </c>
      <c r="AU54">
        <v>702.52415384615392</v>
      </c>
      <c r="AV54">
        <v>1044.2380806157421</v>
      </c>
      <c r="AW54">
        <f t="shared" si="73"/>
        <v>0.32723756498910117</v>
      </c>
      <c r="AX54">
        <v>0.5</v>
      </c>
      <c r="AY54">
        <f t="shared" si="74"/>
        <v>1513.2269998354211</v>
      </c>
      <c r="AZ54">
        <f t="shared" si="75"/>
        <v>45.950076121372462</v>
      </c>
      <c r="BA54">
        <f t="shared" si="76"/>
        <v>247.5923593509531</v>
      </c>
      <c r="BB54">
        <f t="shared" si="77"/>
        <v>3.3001995512998684E-2</v>
      </c>
      <c r="BC54">
        <f t="shared" si="78"/>
        <v>2.2864823297541252</v>
      </c>
      <c r="BD54">
        <f t="shared" si="79"/>
        <v>597.83782793978003</v>
      </c>
      <c r="BE54" t="s">
        <v>613</v>
      </c>
      <c r="BF54">
        <v>550.21</v>
      </c>
      <c r="BG54">
        <f t="shared" si="80"/>
        <v>550.21</v>
      </c>
      <c r="BH54">
        <f t="shared" si="81"/>
        <v>0.47309908514774235</v>
      </c>
      <c r="BI54">
        <f t="shared" si="82"/>
        <v>0.6916892787626282</v>
      </c>
      <c r="BJ54">
        <f t="shared" si="83"/>
        <v>0.8285612873775039</v>
      </c>
      <c r="BK54">
        <f t="shared" si="84"/>
        <v>6.747699857343779</v>
      </c>
      <c r="BL54">
        <f t="shared" si="85"/>
        <v>0.97923057320967977</v>
      </c>
      <c r="BM54">
        <f t="shared" si="86"/>
        <v>0.54172423251845636</v>
      </c>
      <c r="BN54">
        <f t="shared" si="87"/>
        <v>0.45827576748154364</v>
      </c>
      <c r="BO54">
        <v>16780</v>
      </c>
      <c r="BP54">
        <v>290.00000000000011</v>
      </c>
      <c r="BQ54">
        <v>948.71</v>
      </c>
      <c r="BR54">
        <v>155</v>
      </c>
      <c r="BS54">
        <v>10316.5</v>
      </c>
      <c r="BT54">
        <v>942.69</v>
      </c>
      <c r="BU54">
        <v>6.02</v>
      </c>
      <c r="BV54">
        <v>300.00000000000011</v>
      </c>
      <c r="BW54">
        <v>38.4</v>
      </c>
      <c r="BX54">
        <v>1044.2380806157421</v>
      </c>
      <c r="BY54">
        <v>1.344872810274736</v>
      </c>
      <c r="BZ54">
        <v>-104.7609821972419</v>
      </c>
      <c r="CA54">
        <v>1.134655842562962</v>
      </c>
      <c r="CB54">
        <v>0.99672611775843234</v>
      </c>
      <c r="CC54">
        <v>-1.1228174860956629E-2</v>
      </c>
      <c r="CD54">
        <v>289.99999999999989</v>
      </c>
      <c r="CE54">
        <v>930.05</v>
      </c>
      <c r="CF54">
        <v>675</v>
      </c>
      <c r="CG54">
        <v>10286.799999999999</v>
      </c>
      <c r="CH54">
        <v>942.4</v>
      </c>
      <c r="CI54">
        <v>-12.35</v>
      </c>
      <c r="CW54">
        <f t="shared" si="88"/>
        <v>1800.05</v>
      </c>
      <c r="CX54">
        <f t="shared" si="89"/>
        <v>1513.2269998354211</v>
      </c>
      <c r="CY54">
        <f t="shared" si="90"/>
        <v>0.84065831495537413</v>
      </c>
      <c r="CZ54">
        <f t="shared" si="91"/>
        <v>0.19131662991074833</v>
      </c>
      <c r="DA54">
        <v>6</v>
      </c>
      <c r="DB54">
        <v>0.5</v>
      </c>
      <c r="DC54" t="s">
        <v>420</v>
      </c>
      <c r="DD54">
        <v>2</v>
      </c>
      <c r="DE54">
        <v>1693503792</v>
      </c>
      <c r="DF54">
        <v>442.387</v>
      </c>
      <c r="DG54">
        <v>499.94299999999998</v>
      </c>
      <c r="DH54">
        <v>29.101500000000001</v>
      </c>
      <c r="DI54">
        <v>23.720500000000001</v>
      </c>
      <c r="DJ54">
        <v>443.05799999999999</v>
      </c>
      <c r="DK54">
        <v>29.355799999999999</v>
      </c>
      <c r="DL54">
        <v>500.32600000000002</v>
      </c>
      <c r="DM54">
        <v>99.590500000000006</v>
      </c>
      <c r="DN54">
        <v>0.100287</v>
      </c>
      <c r="DO54">
        <v>30.773299999999999</v>
      </c>
      <c r="DP54">
        <v>30.043500000000002</v>
      </c>
      <c r="DQ54">
        <v>999.9</v>
      </c>
      <c r="DR54">
        <v>0</v>
      </c>
      <c r="DS54">
        <v>0</v>
      </c>
      <c r="DT54">
        <v>9965</v>
      </c>
      <c r="DU54">
        <v>0</v>
      </c>
      <c r="DV54">
        <v>1891.37</v>
      </c>
      <c r="DW54">
        <v>-57.555900000000001</v>
      </c>
      <c r="DX54">
        <v>455.64699999999999</v>
      </c>
      <c r="DY54">
        <v>512.09</v>
      </c>
      <c r="DZ54">
        <v>5.3809500000000003</v>
      </c>
      <c r="EA54">
        <v>499.94299999999998</v>
      </c>
      <c r="EB54">
        <v>23.720500000000001</v>
      </c>
      <c r="EC54">
        <v>2.8982299999999999</v>
      </c>
      <c r="ED54">
        <v>2.3623400000000001</v>
      </c>
      <c r="EE54">
        <v>23.454499999999999</v>
      </c>
      <c r="EF54">
        <v>20.107900000000001</v>
      </c>
      <c r="EG54">
        <v>1800.05</v>
      </c>
      <c r="EH54">
        <v>0.97799700000000001</v>
      </c>
      <c r="EI54">
        <v>2.2002899999999999E-2</v>
      </c>
      <c r="EJ54">
        <v>0</v>
      </c>
      <c r="EK54">
        <v>702.96699999999998</v>
      </c>
      <c r="EL54">
        <v>5.0002500000000003</v>
      </c>
      <c r="EM54">
        <v>22347.200000000001</v>
      </c>
      <c r="EN54">
        <v>14822.5</v>
      </c>
      <c r="EO54">
        <v>46.25</v>
      </c>
      <c r="EP54">
        <v>48.186999999999998</v>
      </c>
      <c r="EQ54">
        <v>47.25</v>
      </c>
      <c r="ER54">
        <v>46.25</v>
      </c>
      <c r="ES54">
        <v>47.5</v>
      </c>
      <c r="ET54">
        <v>1755.55</v>
      </c>
      <c r="EU54">
        <v>39.5</v>
      </c>
      <c r="EV54">
        <v>0</v>
      </c>
      <c r="EW54">
        <v>117.7999999523163</v>
      </c>
      <c r="EX54">
        <v>0</v>
      </c>
      <c r="EY54">
        <v>702.52415384615392</v>
      </c>
      <c r="EZ54">
        <v>2.4186666687025071</v>
      </c>
      <c r="FA54">
        <v>-223.6854729188224</v>
      </c>
      <c r="FB54">
        <v>22402.23076923077</v>
      </c>
      <c r="FC54">
        <v>15</v>
      </c>
      <c r="FD54">
        <v>1693503756.5</v>
      </c>
      <c r="FE54" t="s">
        <v>614</v>
      </c>
      <c r="FF54">
        <v>1693503756.5</v>
      </c>
      <c r="FG54">
        <v>1693503753.5</v>
      </c>
      <c r="FH54">
        <v>43</v>
      </c>
      <c r="FI54">
        <v>0.17399999999999999</v>
      </c>
      <c r="FJ54">
        <v>-1E-3</v>
      </c>
      <c r="FK54">
        <v>-0.67100000000000004</v>
      </c>
      <c r="FL54">
        <v>-0.254</v>
      </c>
      <c r="FM54">
        <v>500</v>
      </c>
      <c r="FN54">
        <v>24</v>
      </c>
      <c r="FO54">
        <v>0.16</v>
      </c>
      <c r="FP54">
        <v>0.06</v>
      </c>
      <c r="FQ54">
        <v>45.965948305481717</v>
      </c>
      <c r="FR54">
        <v>-0.20621349718274001</v>
      </c>
      <c r="FS54">
        <v>0.103322630880466</v>
      </c>
      <c r="FT54">
        <v>1</v>
      </c>
      <c r="FU54">
        <v>0.35311906747392069</v>
      </c>
      <c r="FV54">
        <v>-3.9100826063639656E-3</v>
      </c>
      <c r="FW54">
        <v>4.2430501585390161E-3</v>
      </c>
      <c r="FX54">
        <v>1</v>
      </c>
      <c r="FY54">
        <v>2</v>
      </c>
      <c r="FZ54">
        <v>2</v>
      </c>
      <c r="GA54" t="s">
        <v>422</v>
      </c>
      <c r="GB54">
        <v>2.9236</v>
      </c>
      <c r="GC54">
        <v>2.8298700000000001</v>
      </c>
      <c r="GD54">
        <v>9.8667699999999997E-2</v>
      </c>
      <c r="GE54">
        <v>0.10589700000000001</v>
      </c>
      <c r="GF54">
        <v>0.13847699999999999</v>
      </c>
      <c r="GG54">
        <v>0.11487700000000001</v>
      </c>
      <c r="GH54">
        <v>23652.799999999999</v>
      </c>
      <c r="GI54">
        <v>28603.4</v>
      </c>
      <c r="GJ54">
        <v>23614.400000000001</v>
      </c>
      <c r="GK54">
        <v>29272.1</v>
      </c>
      <c r="GL54">
        <v>27727.200000000001</v>
      </c>
      <c r="GM54">
        <v>36641.4</v>
      </c>
      <c r="GN54">
        <v>33395.1</v>
      </c>
      <c r="GO54">
        <v>43196.4</v>
      </c>
      <c r="GP54">
        <v>2.048</v>
      </c>
      <c r="GQ54">
        <v>1.9490000000000001</v>
      </c>
      <c r="GR54">
        <v>0.10162599999999999</v>
      </c>
      <c r="GS54">
        <v>0</v>
      </c>
      <c r="GT54">
        <v>28.387499999999999</v>
      </c>
      <c r="GU54">
        <v>999.9</v>
      </c>
      <c r="GV54">
        <v>59.2</v>
      </c>
      <c r="GW54">
        <v>30.4</v>
      </c>
      <c r="GX54">
        <v>25.912299999999998</v>
      </c>
      <c r="GY54">
        <v>61.331099999999999</v>
      </c>
      <c r="GZ54">
        <v>33.753999999999998</v>
      </c>
      <c r="HA54">
        <v>1</v>
      </c>
      <c r="HB54">
        <v>8.6951200000000006E-2</v>
      </c>
      <c r="HC54">
        <v>7.17865E-3</v>
      </c>
      <c r="HD54">
        <v>20.2805</v>
      </c>
      <c r="HE54">
        <v>5.2112999999999996</v>
      </c>
      <c r="HF54">
        <v>11.866199999999999</v>
      </c>
      <c r="HG54">
        <v>4.9850000000000003</v>
      </c>
      <c r="HH54">
        <v>3.2839999999999998</v>
      </c>
      <c r="HI54">
        <v>9999</v>
      </c>
      <c r="HJ54">
        <v>9999</v>
      </c>
      <c r="HK54">
        <v>9999</v>
      </c>
      <c r="HL54">
        <v>999.9</v>
      </c>
      <c r="HM54">
        <v>1.85486</v>
      </c>
      <c r="HN54">
        <v>1.8609599999999999</v>
      </c>
      <c r="HO54">
        <v>1.85843</v>
      </c>
      <c r="HP54">
        <v>1.8595900000000001</v>
      </c>
      <c r="HQ54">
        <v>1.8589800000000001</v>
      </c>
      <c r="HR54">
        <v>1.8594900000000001</v>
      </c>
      <c r="HS54">
        <v>1.85791</v>
      </c>
      <c r="HT54">
        <v>1.8612500000000001</v>
      </c>
      <c r="HU54">
        <v>5</v>
      </c>
      <c r="HV54">
        <v>0</v>
      </c>
      <c r="HW54">
        <v>0</v>
      </c>
      <c r="HX54">
        <v>0</v>
      </c>
      <c r="HY54" t="s">
        <v>423</v>
      </c>
      <c r="HZ54" t="s">
        <v>424</v>
      </c>
      <c r="IA54" t="s">
        <v>425</v>
      </c>
      <c r="IB54" t="s">
        <v>425</v>
      </c>
      <c r="IC54" t="s">
        <v>425</v>
      </c>
      <c r="ID54" t="s">
        <v>425</v>
      </c>
      <c r="IE54">
        <v>0</v>
      </c>
      <c r="IF54">
        <v>100</v>
      </c>
      <c r="IG54">
        <v>100</v>
      </c>
      <c r="IH54">
        <v>-0.67100000000000004</v>
      </c>
      <c r="II54">
        <v>-0.25430000000000003</v>
      </c>
      <c r="IJ54">
        <v>-0.67085714285707354</v>
      </c>
      <c r="IK54">
        <v>0</v>
      </c>
      <c r="IL54">
        <v>0</v>
      </c>
      <c r="IM54">
        <v>0</v>
      </c>
      <c r="IN54">
        <v>-0.25429523809524213</v>
      </c>
      <c r="IO54">
        <v>0</v>
      </c>
      <c r="IP54">
        <v>0</v>
      </c>
      <c r="IQ54">
        <v>0</v>
      </c>
      <c r="IR54">
        <v>-1</v>
      </c>
      <c r="IS54">
        <v>-1</v>
      </c>
      <c r="IT54">
        <v>-1</v>
      </c>
      <c r="IU54">
        <v>-1</v>
      </c>
      <c r="IV54">
        <v>0.6</v>
      </c>
      <c r="IW54">
        <v>0.6</v>
      </c>
      <c r="IX54">
        <v>1.18652</v>
      </c>
      <c r="IY54">
        <v>2.4499499999999999</v>
      </c>
      <c r="IZ54">
        <v>1.49414</v>
      </c>
      <c r="JA54">
        <v>2.2997999999999998</v>
      </c>
      <c r="JB54">
        <v>1.54419</v>
      </c>
      <c r="JC54">
        <v>2.3974600000000001</v>
      </c>
      <c r="JD54">
        <v>36.387099999999997</v>
      </c>
      <c r="JE54">
        <v>23.956199999999999</v>
      </c>
      <c r="JF54">
        <v>18</v>
      </c>
      <c r="JG54">
        <v>533.06799999999998</v>
      </c>
      <c r="JH54">
        <v>505.41300000000001</v>
      </c>
      <c r="JI54">
        <v>28.7056</v>
      </c>
      <c r="JJ54">
        <v>28.582599999999999</v>
      </c>
      <c r="JK54">
        <v>30.0002</v>
      </c>
      <c r="JL54">
        <v>28.5596</v>
      </c>
      <c r="JM54">
        <v>28.5288</v>
      </c>
      <c r="JN54">
        <v>23.8291</v>
      </c>
      <c r="JO54">
        <v>15.987299999999999</v>
      </c>
      <c r="JP54">
        <v>100</v>
      </c>
      <c r="JQ54">
        <v>28.679600000000001</v>
      </c>
      <c r="JR54">
        <v>500</v>
      </c>
      <c r="JS54">
        <v>23.8719</v>
      </c>
      <c r="JT54">
        <v>99.039100000000005</v>
      </c>
      <c r="JU54">
        <v>97.308700000000002</v>
      </c>
    </row>
    <row r="55" spans="1:281" x14ac:dyDescent="0.25">
      <c r="A55">
        <v>39</v>
      </c>
      <c r="B55">
        <v>1693503920</v>
      </c>
      <c r="C55">
        <v>9784</v>
      </c>
      <c r="D55" t="s">
        <v>615</v>
      </c>
      <c r="E55" t="s">
        <v>616</v>
      </c>
      <c r="F55" t="s">
        <v>414</v>
      </c>
      <c r="G55" t="s">
        <v>566</v>
      </c>
      <c r="H55" t="s">
        <v>31</v>
      </c>
      <c r="I55">
        <v>3</v>
      </c>
      <c r="J55">
        <v>1693503920</v>
      </c>
      <c r="K55">
        <f t="shared" si="46"/>
        <v>4.4747848434450819E-3</v>
      </c>
      <c r="L55">
        <f t="shared" si="47"/>
        <v>4.4747848434450823</v>
      </c>
      <c r="M55">
        <f t="shared" si="48"/>
        <v>47.678732112064623</v>
      </c>
      <c r="N55">
        <f t="shared" si="49"/>
        <v>639.35799999999995</v>
      </c>
      <c r="O55">
        <f t="shared" si="50"/>
        <v>382.42038700626802</v>
      </c>
      <c r="P55">
        <f t="shared" si="51"/>
        <v>38.121185827504689</v>
      </c>
      <c r="Q55">
        <f t="shared" si="52"/>
        <v>63.73374944548199</v>
      </c>
      <c r="R55">
        <f t="shared" si="53"/>
        <v>0.32767926650547841</v>
      </c>
      <c r="S55">
        <f t="shared" si="54"/>
        <v>2.9204875430227091</v>
      </c>
      <c r="T55">
        <f t="shared" si="55"/>
        <v>0.30853835874013397</v>
      </c>
      <c r="U55">
        <f t="shared" si="56"/>
        <v>0.19446297001697158</v>
      </c>
      <c r="V55">
        <f t="shared" si="57"/>
        <v>344.38139967084436</v>
      </c>
      <c r="W55">
        <f t="shared" si="58"/>
        <v>31.61128355598472</v>
      </c>
      <c r="X55">
        <f t="shared" si="59"/>
        <v>30.072199999999999</v>
      </c>
      <c r="Y55">
        <f t="shared" si="60"/>
        <v>4.2781502825833204</v>
      </c>
      <c r="Z55">
        <f t="shared" si="61"/>
        <v>64.876473643183701</v>
      </c>
      <c r="AA55">
        <f t="shared" si="62"/>
        <v>2.8843559323649997</v>
      </c>
      <c r="AB55">
        <f t="shared" si="63"/>
        <v>4.4459197154098815</v>
      </c>
      <c r="AC55">
        <f t="shared" si="64"/>
        <v>1.3937943502183208</v>
      </c>
      <c r="AD55">
        <f t="shared" si="65"/>
        <v>-197.33801159592812</v>
      </c>
      <c r="AE55">
        <f t="shared" si="66"/>
        <v>105.75871121253826</v>
      </c>
      <c r="AF55">
        <f t="shared" si="67"/>
        <v>8.084512361476353</v>
      </c>
      <c r="AG55">
        <f t="shared" si="68"/>
        <v>260.88661164893085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51958.215998906853</v>
      </c>
      <c r="AM55" t="s">
        <v>417</v>
      </c>
      <c r="AN55">
        <v>10366.9</v>
      </c>
      <c r="AO55">
        <v>993.59653846153856</v>
      </c>
      <c r="AP55">
        <v>3431.87</v>
      </c>
      <c r="AQ55">
        <f t="shared" si="72"/>
        <v>0.71047955241266758</v>
      </c>
      <c r="AR55">
        <v>-3.9894345373445681</v>
      </c>
      <c r="AS55" t="s">
        <v>617</v>
      </c>
      <c r="AT55">
        <v>10313.700000000001</v>
      </c>
      <c r="AU55">
        <v>710.17184615384622</v>
      </c>
      <c r="AV55">
        <v>1074.259212912393</v>
      </c>
      <c r="AW55">
        <f t="shared" si="73"/>
        <v>0.33891947342157769</v>
      </c>
      <c r="AX55">
        <v>0.5</v>
      </c>
      <c r="AY55">
        <f t="shared" si="74"/>
        <v>1513.2353998354222</v>
      </c>
      <c r="AZ55">
        <f t="shared" si="75"/>
        <v>47.678732112064623</v>
      </c>
      <c r="BA55">
        <f t="shared" si="76"/>
        <v>256.43247243755593</v>
      </c>
      <c r="BB55">
        <f t="shared" si="77"/>
        <v>3.4144169938813591E-2</v>
      </c>
      <c r="BC55">
        <f t="shared" si="78"/>
        <v>2.1946386484282101</v>
      </c>
      <c r="BD55">
        <f t="shared" si="79"/>
        <v>607.55835568312716</v>
      </c>
      <c r="BE55" t="s">
        <v>618</v>
      </c>
      <c r="BF55">
        <v>553.51</v>
      </c>
      <c r="BG55">
        <f t="shared" si="80"/>
        <v>553.51</v>
      </c>
      <c r="BH55">
        <f t="shared" si="81"/>
        <v>0.48475191709141119</v>
      </c>
      <c r="BI55">
        <f t="shared" si="82"/>
        <v>0.69916066646037955</v>
      </c>
      <c r="BJ55">
        <f t="shared" si="83"/>
        <v>0.81908127791089613</v>
      </c>
      <c r="BK55">
        <f t="shared" si="84"/>
        <v>4.5137031376312144</v>
      </c>
      <c r="BL55">
        <f t="shared" si="85"/>
        <v>0.96691811819993334</v>
      </c>
      <c r="BM55">
        <f t="shared" si="86"/>
        <v>0.54492785455852832</v>
      </c>
      <c r="BN55">
        <f t="shared" si="87"/>
        <v>0.45507214544147168</v>
      </c>
      <c r="BO55">
        <v>16782</v>
      </c>
      <c r="BP55">
        <v>290.00000000000011</v>
      </c>
      <c r="BQ55">
        <v>970.81</v>
      </c>
      <c r="BR55">
        <v>175</v>
      </c>
      <c r="BS55">
        <v>10313.700000000001</v>
      </c>
      <c r="BT55">
        <v>966.38</v>
      </c>
      <c r="BU55">
        <v>4.43</v>
      </c>
      <c r="BV55">
        <v>300.00000000000011</v>
      </c>
      <c r="BW55">
        <v>38.4</v>
      </c>
      <c r="BX55">
        <v>1074.259212912393</v>
      </c>
      <c r="BY55">
        <v>1.4018118514508859</v>
      </c>
      <c r="BZ55">
        <v>-111.2602884045167</v>
      </c>
      <c r="CA55">
        <v>1.1827121895164641</v>
      </c>
      <c r="CB55">
        <v>0.99684598410322545</v>
      </c>
      <c r="CC55">
        <v>-1.122797041156842E-2</v>
      </c>
      <c r="CD55">
        <v>289.99999999999989</v>
      </c>
      <c r="CE55">
        <v>953.12</v>
      </c>
      <c r="CF55">
        <v>695</v>
      </c>
      <c r="CG55">
        <v>10285.700000000001</v>
      </c>
      <c r="CH55">
        <v>966.09</v>
      </c>
      <c r="CI55">
        <v>-12.97</v>
      </c>
      <c r="CW55">
        <f t="shared" si="88"/>
        <v>1800.06</v>
      </c>
      <c r="CX55">
        <f t="shared" si="89"/>
        <v>1513.2353998354222</v>
      </c>
      <c r="CY55">
        <f t="shared" si="90"/>
        <v>0.84065831129819124</v>
      </c>
      <c r="CZ55">
        <f t="shared" si="91"/>
        <v>0.19131662259638255</v>
      </c>
      <c r="DA55">
        <v>6</v>
      </c>
      <c r="DB55">
        <v>0.5</v>
      </c>
      <c r="DC55" t="s">
        <v>420</v>
      </c>
      <c r="DD55">
        <v>2</v>
      </c>
      <c r="DE55">
        <v>1693503920</v>
      </c>
      <c r="DF55">
        <v>639.35799999999995</v>
      </c>
      <c r="DG55">
        <v>699.96299999999997</v>
      </c>
      <c r="DH55">
        <v>28.934999999999999</v>
      </c>
      <c r="DI55">
        <v>23.724299999999999</v>
      </c>
      <c r="DJ55">
        <v>640.20399999999995</v>
      </c>
      <c r="DK55">
        <v>29.1892</v>
      </c>
      <c r="DL55">
        <v>500.35199999999998</v>
      </c>
      <c r="DM55">
        <v>99.5839</v>
      </c>
      <c r="DN55">
        <v>0.100079</v>
      </c>
      <c r="DO55">
        <v>30.7439</v>
      </c>
      <c r="DP55">
        <v>30.072199999999999</v>
      </c>
      <c r="DQ55">
        <v>999.9</v>
      </c>
      <c r="DR55">
        <v>0</v>
      </c>
      <c r="DS55">
        <v>0</v>
      </c>
      <c r="DT55">
        <v>9990</v>
      </c>
      <c r="DU55">
        <v>0</v>
      </c>
      <c r="DV55">
        <v>1890.24</v>
      </c>
      <c r="DW55">
        <v>-60.605200000000004</v>
      </c>
      <c r="DX55">
        <v>658.40899999999999</v>
      </c>
      <c r="DY55">
        <v>716.97299999999996</v>
      </c>
      <c r="DZ55">
        <v>5.2107000000000001</v>
      </c>
      <c r="EA55">
        <v>699.96299999999997</v>
      </c>
      <c r="EB55">
        <v>23.724299999999999</v>
      </c>
      <c r="EC55">
        <v>2.8814600000000001</v>
      </c>
      <c r="ED55">
        <v>2.3625600000000002</v>
      </c>
      <c r="EE55">
        <v>23.3584</v>
      </c>
      <c r="EF55">
        <v>20.109400000000001</v>
      </c>
      <c r="EG55">
        <v>1800.06</v>
      </c>
      <c r="EH55">
        <v>0.97799700000000001</v>
      </c>
      <c r="EI55">
        <v>2.2002899999999999E-2</v>
      </c>
      <c r="EJ55">
        <v>0</v>
      </c>
      <c r="EK55">
        <v>709.76499999999999</v>
      </c>
      <c r="EL55">
        <v>5.0002500000000003</v>
      </c>
      <c r="EM55">
        <v>22441.599999999999</v>
      </c>
      <c r="EN55">
        <v>14822.6</v>
      </c>
      <c r="EO55">
        <v>46.186999999999998</v>
      </c>
      <c r="EP55">
        <v>48.125</v>
      </c>
      <c r="EQ55">
        <v>47.186999999999998</v>
      </c>
      <c r="ER55">
        <v>46.186999999999998</v>
      </c>
      <c r="ES55">
        <v>47.436999999999998</v>
      </c>
      <c r="ET55">
        <v>1755.56</v>
      </c>
      <c r="EU55">
        <v>39.5</v>
      </c>
      <c r="EV55">
        <v>0</v>
      </c>
      <c r="EW55">
        <v>126</v>
      </c>
      <c r="EX55">
        <v>0</v>
      </c>
      <c r="EY55">
        <v>710.17184615384622</v>
      </c>
      <c r="EZ55">
        <v>-1.275418804050771</v>
      </c>
      <c r="FA55">
        <v>-95.651282286902642</v>
      </c>
      <c r="FB55">
        <v>22448.646153846152</v>
      </c>
      <c r="FC55">
        <v>15</v>
      </c>
      <c r="FD55">
        <v>1693503883.5</v>
      </c>
      <c r="FE55" t="s">
        <v>619</v>
      </c>
      <c r="FF55">
        <v>1693503883.5</v>
      </c>
      <c r="FG55">
        <v>1693503882.5</v>
      </c>
      <c r="FH55">
        <v>44</v>
      </c>
      <c r="FI55">
        <v>-0.17599999999999999</v>
      </c>
      <c r="FJ55">
        <v>0</v>
      </c>
      <c r="FK55">
        <v>-0.84599999999999997</v>
      </c>
      <c r="FL55">
        <v>-0.254</v>
      </c>
      <c r="FM55">
        <v>700</v>
      </c>
      <c r="FN55">
        <v>24</v>
      </c>
      <c r="FO55">
        <v>0.15</v>
      </c>
      <c r="FP55">
        <v>0.05</v>
      </c>
      <c r="FQ55">
        <v>47.597584196273587</v>
      </c>
      <c r="FR55">
        <v>-0.62382883225021868</v>
      </c>
      <c r="FS55">
        <v>0.15596098735070599</v>
      </c>
      <c r="FT55">
        <v>1</v>
      </c>
      <c r="FU55">
        <v>0.33695368133098452</v>
      </c>
      <c r="FV55">
        <v>-3.4734196004103407E-2</v>
      </c>
      <c r="FW55">
        <v>3.850412190763668E-3</v>
      </c>
      <c r="FX55">
        <v>1</v>
      </c>
      <c r="FY55">
        <v>2</v>
      </c>
      <c r="FZ55">
        <v>2</v>
      </c>
      <c r="GA55" t="s">
        <v>422</v>
      </c>
      <c r="GB55">
        <v>2.92367</v>
      </c>
      <c r="GC55">
        <v>2.8298800000000002</v>
      </c>
      <c r="GD55">
        <v>0.12847700000000001</v>
      </c>
      <c r="GE55">
        <v>0.13417299999999999</v>
      </c>
      <c r="GF55">
        <v>0.13792599999999999</v>
      </c>
      <c r="GG55">
        <v>0.114884</v>
      </c>
      <c r="GH55">
        <v>22873.200000000001</v>
      </c>
      <c r="GI55">
        <v>27700.5</v>
      </c>
      <c r="GJ55">
        <v>23617.1</v>
      </c>
      <c r="GK55">
        <v>29273.8</v>
      </c>
      <c r="GL55">
        <v>27751.3</v>
      </c>
      <c r="GM55">
        <v>36646.199999999997</v>
      </c>
      <c r="GN55">
        <v>33399.1</v>
      </c>
      <c r="GO55">
        <v>43198.7</v>
      </c>
      <c r="GP55">
        <v>2.0486</v>
      </c>
      <c r="GQ55">
        <v>1.9487000000000001</v>
      </c>
      <c r="GR55">
        <v>0.105321</v>
      </c>
      <c r="GS55">
        <v>0</v>
      </c>
      <c r="GT55">
        <v>28.356000000000002</v>
      </c>
      <c r="GU55">
        <v>999.9</v>
      </c>
      <c r="GV55">
        <v>58.8</v>
      </c>
      <c r="GW55">
        <v>30.6</v>
      </c>
      <c r="GX55">
        <v>26.035499999999999</v>
      </c>
      <c r="GY55">
        <v>61.281100000000002</v>
      </c>
      <c r="GZ55">
        <v>33.810099999999998</v>
      </c>
      <c r="HA55">
        <v>1</v>
      </c>
      <c r="HB55">
        <v>8.6097599999999996E-2</v>
      </c>
      <c r="HC55">
        <v>-0.16051199999999999</v>
      </c>
      <c r="HD55">
        <v>20.2807</v>
      </c>
      <c r="HE55">
        <v>5.2112999999999996</v>
      </c>
      <c r="HF55">
        <v>11.866199999999999</v>
      </c>
      <c r="HG55">
        <v>4.9847999999999999</v>
      </c>
      <c r="HH55">
        <v>3.2839999999999998</v>
      </c>
      <c r="HI55">
        <v>9999</v>
      </c>
      <c r="HJ55">
        <v>9999</v>
      </c>
      <c r="HK55">
        <v>9999</v>
      </c>
      <c r="HL55">
        <v>999.9</v>
      </c>
      <c r="HM55">
        <v>1.8548899999999999</v>
      </c>
      <c r="HN55">
        <v>1.8609599999999999</v>
      </c>
      <c r="HO55">
        <v>1.8583799999999999</v>
      </c>
      <c r="HP55">
        <v>1.8596299999999999</v>
      </c>
      <c r="HQ55">
        <v>1.8589800000000001</v>
      </c>
      <c r="HR55">
        <v>1.8594999999999999</v>
      </c>
      <c r="HS55">
        <v>1.85791</v>
      </c>
      <c r="HT55">
        <v>1.86127</v>
      </c>
      <c r="HU55">
        <v>5</v>
      </c>
      <c r="HV55">
        <v>0</v>
      </c>
      <c r="HW55">
        <v>0</v>
      </c>
      <c r="HX55">
        <v>0</v>
      </c>
      <c r="HY55" t="s">
        <v>423</v>
      </c>
      <c r="HZ55" t="s">
        <v>424</v>
      </c>
      <c r="IA55" t="s">
        <v>425</v>
      </c>
      <c r="IB55" t="s">
        <v>425</v>
      </c>
      <c r="IC55" t="s">
        <v>425</v>
      </c>
      <c r="ID55" t="s">
        <v>425</v>
      </c>
      <c r="IE55">
        <v>0</v>
      </c>
      <c r="IF55">
        <v>100</v>
      </c>
      <c r="IG55">
        <v>100</v>
      </c>
      <c r="IH55">
        <v>-0.84599999999999997</v>
      </c>
      <c r="II55">
        <v>-0.25419999999999998</v>
      </c>
      <c r="IJ55">
        <v>-0.84639999999990323</v>
      </c>
      <c r="IK55">
        <v>0</v>
      </c>
      <c r="IL55">
        <v>0</v>
      </c>
      <c r="IM55">
        <v>0</v>
      </c>
      <c r="IN55">
        <v>-0.25415499999999369</v>
      </c>
      <c r="IO55">
        <v>0</v>
      </c>
      <c r="IP55">
        <v>0</v>
      </c>
      <c r="IQ55">
        <v>0</v>
      </c>
      <c r="IR55">
        <v>-1</v>
      </c>
      <c r="IS55">
        <v>-1</v>
      </c>
      <c r="IT55">
        <v>-1</v>
      </c>
      <c r="IU55">
        <v>-1</v>
      </c>
      <c r="IV55">
        <v>0.6</v>
      </c>
      <c r="IW55">
        <v>0.6</v>
      </c>
      <c r="IX55">
        <v>1.5490699999999999</v>
      </c>
      <c r="IY55">
        <v>2.4401899999999999</v>
      </c>
      <c r="IZ55">
        <v>1.49414</v>
      </c>
      <c r="JA55">
        <v>2.2997999999999998</v>
      </c>
      <c r="JB55">
        <v>1.54419</v>
      </c>
      <c r="JC55">
        <v>2.3986800000000001</v>
      </c>
      <c r="JD55">
        <v>36.457799999999999</v>
      </c>
      <c r="JE55">
        <v>23.982399999999998</v>
      </c>
      <c r="JF55">
        <v>18</v>
      </c>
      <c r="JG55">
        <v>533.423</v>
      </c>
      <c r="JH55">
        <v>505.14800000000002</v>
      </c>
      <c r="JI55">
        <v>28.781600000000001</v>
      </c>
      <c r="JJ55">
        <v>28.575299999999999</v>
      </c>
      <c r="JK55">
        <v>30</v>
      </c>
      <c r="JL55">
        <v>28.5548</v>
      </c>
      <c r="JM55">
        <v>28.524000000000001</v>
      </c>
      <c r="JN55">
        <v>31.0778</v>
      </c>
      <c r="JO55">
        <v>16.273399999999999</v>
      </c>
      <c r="JP55">
        <v>100</v>
      </c>
      <c r="JQ55">
        <v>28.745999999999999</v>
      </c>
      <c r="JR55">
        <v>700</v>
      </c>
      <c r="JS55">
        <v>23.816099999999999</v>
      </c>
      <c r="JT55">
        <v>99.050600000000003</v>
      </c>
      <c r="JU55">
        <v>97.314099999999996</v>
      </c>
    </row>
    <row r="56" spans="1:281" x14ac:dyDescent="0.25">
      <c r="A56">
        <v>40</v>
      </c>
      <c r="B56">
        <v>1693504031.5</v>
      </c>
      <c r="C56">
        <v>9895.5</v>
      </c>
      <c r="D56" t="s">
        <v>620</v>
      </c>
      <c r="E56" t="s">
        <v>621</v>
      </c>
      <c r="F56" t="s">
        <v>414</v>
      </c>
      <c r="G56" t="s">
        <v>566</v>
      </c>
      <c r="H56" t="s">
        <v>31</v>
      </c>
      <c r="I56">
        <v>3</v>
      </c>
      <c r="J56">
        <v>1693504031.5</v>
      </c>
      <c r="K56">
        <f t="shared" si="46"/>
        <v>4.3506116961051578E-3</v>
      </c>
      <c r="L56">
        <f t="shared" si="47"/>
        <v>4.3506116961051582</v>
      </c>
      <c r="M56">
        <f t="shared" si="48"/>
        <v>47.358509610166671</v>
      </c>
      <c r="N56">
        <f t="shared" si="49"/>
        <v>838.755</v>
      </c>
      <c r="O56">
        <f t="shared" si="50"/>
        <v>573.33986354005344</v>
      </c>
      <c r="P56">
        <f t="shared" si="51"/>
        <v>57.151498410177084</v>
      </c>
      <c r="Q56">
        <f t="shared" si="52"/>
        <v>83.608533258178483</v>
      </c>
      <c r="R56">
        <f t="shared" si="53"/>
        <v>0.31975504659986498</v>
      </c>
      <c r="S56">
        <f t="shared" si="54"/>
        <v>2.9248330669503946</v>
      </c>
      <c r="T56">
        <f t="shared" si="55"/>
        <v>0.30152649242706703</v>
      </c>
      <c r="U56">
        <f t="shared" si="56"/>
        <v>0.19000516887415997</v>
      </c>
      <c r="V56">
        <f t="shared" si="57"/>
        <v>344.38459967093132</v>
      </c>
      <c r="W56">
        <f t="shared" si="58"/>
        <v>31.545024456149068</v>
      </c>
      <c r="X56">
        <f t="shared" si="59"/>
        <v>30.0318</v>
      </c>
      <c r="Y56">
        <f t="shared" si="60"/>
        <v>4.2682379615177144</v>
      </c>
      <c r="Z56">
        <f t="shared" si="61"/>
        <v>65.175095347086653</v>
      </c>
      <c r="AA56">
        <f t="shared" si="62"/>
        <v>2.8815490520602496</v>
      </c>
      <c r="AB56">
        <f t="shared" si="63"/>
        <v>4.4212425570146188</v>
      </c>
      <c r="AC56">
        <f t="shared" si="64"/>
        <v>1.3866889094574648</v>
      </c>
      <c r="AD56">
        <f t="shared" si="65"/>
        <v>-191.86197579823747</v>
      </c>
      <c r="AE56">
        <f t="shared" si="66"/>
        <v>96.928109107747488</v>
      </c>
      <c r="AF56">
        <f t="shared" si="67"/>
        <v>7.3934255940189306</v>
      </c>
      <c r="AG56">
        <f t="shared" si="68"/>
        <v>256.84415857446027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52098.62537433979</v>
      </c>
      <c r="AM56" t="s">
        <v>417</v>
      </c>
      <c r="AN56">
        <v>10366.9</v>
      </c>
      <c r="AO56">
        <v>993.59653846153856</v>
      </c>
      <c r="AP56">
        <v>3431.87</v>
      </c>
      <c r="AQ56">
        <f t="shared" si="72"/>
        <v>0.71047955241266758</v>
      </c>
      <c r="AR56">
        <v>-3.9894345373445681</v>
      </c>
      <c r="AS56" t="s">
        <v>622</v>
      </c>
      <c r="AT56">
        <v>10315.4</v>
      </c>
      <c r="AU56">
        <v>708.27380000000005</v>
      </c>
      <c r="AV56">
        <v>1075.8089450035529</v>
      </c>
      <c r="AW56">
        <f t="shared" si="73"/>
        <v>0.34163607461205769</v>
      </c>
      <c r="AX56">
        <v>0.5</v>
      </c>
      <c r="AY56">
        <f t="shared" si="74"/>
        <v>1513.2518998354656</v>
      </c>
      <c r="AZ56">
        <f t="shared" si="75"/>
        <v>47.358509610166671</v>
      </c>
      <c r="BA56">
        <f t="shared" si="76"/>
        <v>258.49071947951359</v>
      </c>
      <c r="BB56">
        <f t="shared" si="77"/>
        <v>3.3932185482862608E-2</v>
      </c>
      <c r="BC56">
        <f t="shared" si="78"/>
        <v>2.190036684430678</v>
      </c>
      <c r="BD56">
        <f t="shared" si="79"/>
        <v>608.05374011093966</v>
      </c>
      <c r="BE56" t="s">
        <v>623</v>
      </c>
      <c r="BF56">
        <v>550.69000000000005</v>
      </c>
      <c r="BG56">
        <f t="shared" si="80"/>
        <v>550.69000000000005</v>
      </c>
      <c r="BH56">
        <f t="shared" si="81"/>
        <v>0.48811542927059293</v>
      </c>
      <c r="BI56">
        <f t="shared" si="82"/>
        <v>0.69990837028564301</v>
      </c>
      <c r="BJ56">
        <f t="shared" si="83"/>
        <v>0.81774170825718873</v>
      </c>
      <c r="BK56">
        <f t="shared" si="84"/>
        <v>4.4705557282978363</v>
      </c>
      <c r="BL56">
        <f t="shared" si="85"/>
        <v>0.96628253235789974</v>
      </c>
      <c r="BM56">
        <f t="shared" si="86"/>
        <v>0.54418579429678293</v>
      </c>
      <c r="BN56">
        <f t="shared" si="87"/>
        <v>0.45581420570321707</v>
      </c>
      <c r="BO56">
        <v>16784</v>
      </c>
      <c r="BP56">
        <v>290.00000000000011</v>
      </c>
      <c r="BQ56">
        <v>972.01</v>
      </c>
      <c r="BR56">
        <v>155</v>
      </c>
      <c r="BS56">
        <v>10315.4</v>
      </c>
      <c r="BT56">
        <v>967.64</v>
      </c>
      <c r="BU56">
        <v>4.37</v>
      </c>
      <c r="BV56">
        <v>300.00000000000011</v>
      </c>
      <c r="BW56">
        <v>38.4</v>
      </c>
      <c r="BX56">
        <v>1075.8089450035529</v>
      </c>
      <c r="BY56">
        <v>1.226506553040035</v>
      </c>
      <c r="BZ56">
        <v>-111.5851632536984</v>
      </c>
      <c r="CA56">
        <v>1.034660693051642</v>
      </c>
      <c r="CB56">
        <v>0.99759842154222023</v>
      </c>
      <c r="CC56">
        <v>-1.122663670745272E-2</v>
      </c>
      <c r="CD56">
        <v>289.99999999999989</v>
      </c>
      <c r="CE56">
        <v>955.5</v>
      </c>
      <c r="CF56">
        <v>655</v>
      </c>
      <c r="CG56">
        <v>10287</v>
      </c>
      <c r="CH56">
        <v>967.34</v>
      </c>
      <c r="CI56">
        <v>-11.84</v>
      </c>
      <c r="CW56">
        <f t="shared" si="88"/>
        <v>1800.08</v>
      </c>
      <c r="CX56">
        <f t="shared" si="89"/>
        <v>1513.2518998354656</v>
      </c>
      <c r="CY56">
        <f t="shared" si="90"/>
        <v>0.84065813732471095</v>
      </c>
      <c r="CZ56">
        <f t="shared" si="91"/>
        <v>0.19131627464942189</v>
      </c>
      <c r="DA56">
        <v>6</v>
      </c>
      <c r="DB56">
        <v>0.5</v>
      </c>
      <c r="DC56" t="s">
        <v>420</v>
      </c>
      <c r="DD56">
        <v>2</v>
      </c>
      <c r="DE56">
        <v>1693504031.5</v>
      </c>
      <c r="DF56">
        <v>838.755</v>
      </c>
      <c r="DG56">
        <v>899.94100000000003</v>
      </c>
      <c r="DH56">
        <v>28.907499999999999</v>
      </c>
      <c r="DI56">
        <v>23.839600000000001</v>
      </c>
      <c r="DJ56">
        <v>839.16899999999998</v>
      </c>
      <c r="DK56">
        <v>29.160299999999999</v>
      </c>
      <c r="DL56">
        <v>500.18900000000002</v>
      </c>
      <c r="DM56">
        <v>99.581999999999994</v>
      </c>
      <c r="DN56">
        <v>9.9710699999999999E-2</v>
      </c>
      <c r="DO56">
        <v>30.6465</v>
      </c>
      <c r="DP56">
        <v>30.0318</v>
      </c>
      <c r="DQ56">
        <v>999.9</v>
      </c>
      <c r="DR56">
        <v>0</v>
      </c>
      <c r="DS56">
        <v>0</v>
      </c>
      <c r="DT56">
        <v>10015</v>
      </c>
      <c r="DU56">
        <v>0</v>
      </c>
      <c r="DV56">
        <v>1889.25</v>
      </c>
      <c r="DW56">
        <v>-61.186300000000003</v>
      </c>
      <c r="DX56">
        <v>863.72299999999996</v>
      </c>
      <c r="DY56">
        <v>921.91899999999998</v>
      </c>
      <c r="DZ56">
        <v>5.0678700000000001</v>
      </c>
      <c r="EA56">
        <v>899.94100000000003</v>
      </c>
      <c r="EB56">
        <v>23.839600000000001</v>
      </c>
      <c r="EC56">
        <v>2.8786700000000001</v>
      </c>
      <c r="ED56">
        <v>2.3740000000000001</v>
      </c>
      <c r="EE56">
        <v>23.342300000000002</v>
      </c>
      <c r="EF56">
        <v>20.1875</v>
      </c>
      <c r="EG56">
        <v>1800.08</v>
      </c>
      <c r="EH56">
        <v>0.97800100000000001</v>
      </c>
      <c r="EI56">
        <v>2.1999100000000001E-2</v>
      </c>
      <c r="EJ56">
        <v>0</v>
      </c>
      <c r="EK56">
        <v>707.827</v>
      </c>
      <c r="EL56">
        <v>5.0002500000000003</v>
      </c>
      <c r="EM56">
        <v>22406.9</v>
      </c>
      <c r="EN56">
        <v>14822.7</v>
      </c>
      <c r="EO56">
        <v>46.436999999999998</v>
      </c>
      <c r="EP56">
        <v>48.375</v>
      </c>
      <c r="EQ56">
        <v>47.375</v>
      </c>
      <c r="ER56">
        <v>46.436999999999998</v>
      </c>
      <c r="ES56">
        <v>47.625</v>
      </c>
      <c r="ET56">
        <v>1755.59</v>
      </c>
      <c r="EU56">
        <v>39.49</v>
      </c>
      <c r="EV56">
        <v>0</v>
      </c>
      <c r="EW56">
        <v>109.4000000953674</v>
      </c>
      <c r="EX56">
        <v>0</v>
      </c>
      <c r="EY56">
        <v>708.27380000000005</v>
      </c>
      <c r="EZ56">
        <v>-2.3157692203616009</v>
      </c>
      <c r="FA56">
        <v>-175.94615366052739</v>
      </c>
      <c r="FB56">
        <v>22405.707999999999</v>
      </c>
      <c r="FC56">
        <v>15</v>
      </c>
      <c r="FD56">
        <v>1693503996</v>
      </c>
      <c r="FE56" t="s">
        <v>624</v>
      </c>
      <c r="FF56">
        <v>1693503996</v>
      </c>
      <c r="FG56">
        <v>1693503986.5</v>
      </c>
      <c r="FH56">
        <v>45</v>
      </c>
      <c r="FI56">
        <v>0.433</v>
      </c>
      <c r="FJ56">
        <v>1E-3</v>
      </c>
      <c r="FK56">
        <v>-0.41399999999999998</v>
      </c>
      <c r="FL56">
        <v>-0.253</v>
      </c>
      <c r="FM56">
        <v>900</v>
      </c>
      <c r="FN56">
        <v>24</v>
      </c>
      <c r="FO56">
        <v>0.27</v>
      </c>
      <c r="FP56">
        <v>7.0000000000000007E-2</v>
      </c>
      <c r="FQ56">
        <v>47.224084417014183</v>
      </c>
      <c r="FR56">
        <v>-0.54517308658544439</v>
      </c>
      <c r="FS56">
        <v>0.1440455546676882</v>
      </c>
      <c r="FT56">
        <v>1</v>
      </c>
      <c r="FU56">
        <v>0.32875057478591979</v>
      </c>
      <c r="FV56">
        <v>-2.4720942360062802E-2</v>
      </c>
      <c r="FW56">
        <v>3.6742555005485531E-3</v>
      </c>
      <c r="FX56">
        <v>1</v>
      </c>
      <c r="FY56">
        <v>2</v>
      </c>
      <c r="FZ56">
        <v>2</v>
      </c>
      <c r="GA56" t="s">
        <v>422</v>
      </c>
      <c r="GB56">
        <v>2.9232100000000001</v>
      </c>
      <c r="GC56">
        <v>2.8297300000000001</v>
      </c>
      <c r="GD56">
        <v>0.15410399999999999</v>
      </c>
      <c r="GE56">
        <v>0.158525</v>
      </c>
      <c r="GF56">
        <v>0.137817</v>
      </c>
      <c r="GG56">
        <v>0.115262</v>
      </c>
      <c r="GH56">
        <v>22199.599999999999</v>
      </c>
      <c r="GI56">
        <v>26916.400000000001</v>
      </c>
      <c r="GJ56">
        <v>23616.1</v>
      </c>
      <c r="GK56">
        <v>29268.6</v>
      </c>
      <c r="GL56">
        <v>27756.1</v>
      </c>
      <c r="GM56">
        <v>36627.5</v>
      </c>
      <c r="GN56">
        <v>33397.4</v>
      </c>
      <c r="GO56">
        <v>43192.1</v>
      </c>
      <c r="GP56">
        <v>2.0476999999999999</v>
      </c>
      <c r="GQ56">
        <v>1.9476</v>
      </c>
      <c r="GR56">
        <v>9.1209999999999999E-2</v>
      </c>
      <c r="GS56">
        <v>0</v>
      </c>
      <c r="GT56">
        <v>28.5457</v>
      </c>
      <c r="GU56">
        <v>999.9</v>
      </c>
      <c r="GV56">
        <v>58.5</v>
      </c>
      <c r="GW56">
        <v>30.7</v>
      </c>
      <c r="GX56">
        <v>26.052800000000001</v>
      </c>
      <c r="GY56">
        <v>61.011099999999999</v>
      </c>
      <c r="GZ56">
        <v>34.274799999999999</v>
      </c>
      <c r="HA56">
        <v>1</v>
      </c>
      <c r="HB56">
        <v>9.0061000000000002E-2</v>
      </c>
      <c r="HC56">
        <v>3.6525099999999998E-2</v>
      </c>
      <c r="HD56">
        <v>20.279800000000002</v>
      </c>
      <c r="HE56">
        <v>5.2119</v>
      </c>
      <c r="HF56">
        <v>11.868</v>
      </c>
      <c r="HG56">
        <v>4.9847999999999999</v>
      </c>
      <c r="HH56">
        <v>3.2839999999999998</v>
      </c>
      <c r="HI56">
        <v>9999</v>
      </c>
      <c r="HJ56">
        <v>9999</v>
      </c>
      <c r="HK56">
        <v>9999</v>
      </c>
      <c r="HL56">
        <v>999.9</v>
      </c>
      <c r="HM56">
        <v>1.85487</v>
      </c>
      <c r="HN56">
        <v>1.8609800000000001</v>
      </c>
      <c r="HO56">
        <v>1.85843</v>
      </c>
      <c r="HP56">
        <v>1.8596299999999999</v>
      </c>
      <c r="HQ56">
        <v>1.8589800000000001</v>
      </c>
      <c r="HR56">
        <v>1.8594900000000001</v>
      </c>
      <c r="HS56">
        <v>1.85791</v>
      </c>
      <c r="HT56">
        <v>1.86127</v>
      </c>
      <c r="HU56">
        <v>5</v>
      </c>
      <c r="HV56">
        <v>0</v>
      </c>
      <c r="HW56">
        <v>0</v>
      </c>
      <c r="HX56">
        <v>0</v>
      </c>
      <c r="HY56" t="s">
        <v>423</v>
      </c>
      <c r="HZ56" t="s">
        <v>424</v>
      </c>
      <c r="IA56" t="s">
        <v>425</v>
      </c>
      <c r="IB56" t="s">
        <v>425</v>
      </c>
      <c r="IC56" t="s">
        <v>425</v>
      </c>
      <c r="ID56" t="s">
        <v>425</v>
      </c>
      <c r="IE56">
        <v>0</v>
      </c>
      <c r="IF56">
        <v>100</v>
      </c>
      <c r="IG56">
        <v>100</v>
      </c>
      <c r="IH56">
        <v>-0.41399999999999998</v>
      </c>
      <c r="II56">
        <v>-0.25280000000000002</v>
      </c>
      <c r="IJ56">
        <v>-0.41385000000013861</v>
      </c>
      <c r="IK56">
        <v>0</v>
      </c>
      <c r="IL56">
        <v>0</v>
      </c>
      <c r="IM56">
        <v>0</v>
      </c>
      <c r="IN56">
        <v>-0.25281904761904878</v>
      </c>
      <c r="IO56">
        <v>0</v>
      </c>
      <c r="IP56">
        <v>0</v>
      </c>
      <c r="IQ56">
        <v>0</v>
      </c>
      <c r="IR56">
        <v>-1</v>
      </c>
      <c r="IS56">
        <v>-1</v>
      </c>
      <c r="IT56">
        <v>-1</v>
      </c>
      <c r="IU56">
        <v>-1</v>
      </c>
      <c r="IV56">
        <v>0.6</v>
      </c>
      <c r="IW56">
        <v>0.8</v>
      </c>
      <c r="IX56">
        <v>1.8884300000000001</v>
      </c>
      <c r="IY56">
        <v>2.4328599999999998</v>
      </c>
      <c r="IZ56">
        <v>1.49414</v>
      </c>
      <c r="JA56">
        <v>2.2997999999999998</v>
      </c>
      <c r="JB56">
        <v>1.54419</v>
      </c>
      <c r="JC56">
        <v>2.5268600000000001</v>
      </c>
      <c r="JD56">
        <v>36.552300000000002</v>
      </c>
      <c r="JE56">
        <v>23.9999</v>
      </c>
      <c r="JF56">
        <v>18</v>
      </c>
      <c r="JG56">
        <v>533.16</v>
      </c>
      <c r="JH56">
        <v>504.709</v>
      </c>
      <c r="JI56">
        <v>28.152999999999999</v>
      </c>
      <c r="JJ56">
        <v>28.6266</v>
      </c>
      <c r="JK56">
        <v>30.0002</v>
      </c>
      <c r="JL56">
        <v>28.591100000000001</v>
      </c>
      <c r="JM56">
        <v>28.5626</v>
      </c>
      <c r="JN56">
        <v>37.863300000000002</v>
      </c>
      <c r="JO56">
        <v>16.459</v>
      </c>
      <c r="JP56">
        <v>100</v>
      </c>
      <c r="JQ56">
        <v>28.138500000000001</v>
      </c>
      <c r="JR56">
        <v>900</v>
      </c>
      <c r="JS56">
        <v>23.902100000000001</v>
      </c>
      <c r="JT56">
        <v>99.046099999999996</v>
      </c>
      <c r="JU56">
        <v>97.298199999999994</v>
      </c>
    </row>
    <row r="57" spans="1:281" x14ac:dyDescent="0.25">
      <c r="A57">
        <v>41</v>
      </c>
      <c r="B57">
        <v>1693504143.5</v>
      </c>
      <c r="C57">
        <v>10007.5</v>
      </c>
      <c r="D57" t="s">
        <v>625</v>
      </c>
      <c r="E57" t="s">
        <v>626</v>
      </c>
      <c r="F57" t="s">
        <v>414</v>
      </c>
      <c r="G57" t="s">
        <v>566</v>
      </c>
      <c r="H57" t="s">
        <v>31</v>
      </c>
      <c r="I57">
        <v>3</v>
      </c>
      <c r="J57">
        <v>1693504143.5</v>
      </c>
      <c r="K57">
        <f t="shared" si="46"/>
        <v>4.0668641131508523E-3</v>
      </c>
      <c r="L57">
        <f t="shared" si="47"/>
        <v>4.0668641131508521</v>
      </c>
      <c r="M57">
        <f t="shared" si="48"/>
        <v>47.15382299428672</v>
      </c>
      <c r="N57">
        <f t="shared" si="49"/>
        <v>1137.8900000000001</v>
      </c>
      <c r="O57">
        <f t="shared" si="50"/>
        <v>849.81783979244631</v>
      </c>
      <c r="P57">
        <f t="shared" si="51"/>
        <v>84.702055219681469</v>
      </c>
      <c r="Q57">
        <f t="shared" si="52"/>
        <v>113.41444848635201</v>
      </c>
      <c r="R57">
        <f t="shared" si="53"/>
        <v>0.29802429778759376</v>
      </c>
      <c r="S57">
        <f t="shared" si="54"/>
        <v>2.9368765352351067</v>
      </c>
      <c r="T57">
        <f t="shared" si="55"/>
        <v>0.28218454239779128</v>
      </c>
      <c r="U57">
        <f t="shared" si="56"/>
        <v>0.17771829043785706</v>
      </c>
      <c r="V57">
        <f t="shared" si="57"/>
        <v>344.36559967091301</v>
      </c>
      <c r="W57">
        <f t="shared" si="58"/>
        <v>31.501601872485953</v>
      </c>
      <c r="X57">
        <f t="shared" si="59"/>
        <v>29.953199999999999</v>
      </c>
      <c r="Y57">
        <f t="shared" si="60"/>
        <v>4.2490104353592519</v>
      </c>
      <c r="Z57">
        <f t="shared" si="61"/>
        <v>65.195142232817389</v>
      </c>
      <c r="AA57">
        <f t="shared" si="62"/>
        <v>2.8638022854396805</v>
      </c>
      <c r="AB57">
        <f t="shared" si="63"/>
        <v>4.3926620716813529</v>
      </c>
      <c r="AC57">
        <f t="shared" si="64"/>
        <v>1.3852081499195714</v>
      </c>
      <c r="AD57">
        <f t="shared" si="65"/>
        <v>-179.34870738995258</v>
      </c>
      <c r="AE57">
        <f t="shared" si="66"/>
        <v>91.817241616428717</v>
      </c>
      <c r="AF57">
        <f t="shared" si="67"/>
        <v>6.9682408775759566</v>
      </c>
      <c r="AG57">
        <f t="shared" si="68"/>
        <v>263.80237477496513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52461.671259788032</v>
      </c>
      <c r="AM57" t="s">
        <v>417</v>
      </c>
      <c r="AN57">
        <v>10366.9</v>
      </c>
      <c r="AO57">
        <v>993.59653846153856</v>
      </c>
      <c r="AP57">
        <v>3431.87</v>
      </c>
      <c r="AQ57">
        <f t="shared" si="72"/>
        <v>0.71047955241266758</v>
      </c>
      <c r="AR57">
        <v>-3.9894345373445681</v>
      </c>
      <c r="AS57" t="s">
        <v>627</v>
      </c>
      <c r="AT57">
        <v>10319.200000000001</v>
      </c>
      <c r="AU57">
        <v>704.65211999999997</v>
      </c>
      <c r="AV57">
        <v>1069.600527869881</v>
      </c>
      <c r="AW57">
        <f t="shared" si="73"/>
        <v>0.34120066170561736</v>
      </c>
      <c r="AX57">
        <v>0.5</v>
      </c>
      <c r="AY57">
        <f t="shared" si="74"/>
        <v>1513.1678998354564</v>
      </c>
      <c r="AZ57">
        <f t="shared" si="75"/>
        <v>47.15382299428672</v>
      </c>
      <c r="BA57">
        <f t="shared" si="76"/>
        <v>258.14694434777851</v>
      </c>
      <c r="BB57">
        <f t="shared" si="77"/>
        <v>3.3798798888869282E-2</v>
      </c>
      <c r="BC57">
        <f t="shared" si="78"/>
        <v>2.2085530163626594</v>
      </c>
      <c r="BD57">
        <f t="shared" si="79"/>
        <v>606.0654232239084</v>
      </c>
      <c r="BE57" t="s">
        <v>628</v>
      </c>
      <c r="BF57">
        <v>551.14</v>
      </c>
      <c r="BG57">
        <f t="shared" si="80"/>
        <v>551.14</v>
      </c>
      <c r="BH57">
        <f t="shared" si="81"/>
        <v>0.48472351533184055</v>
      </c>
      <c r="BI57">
        <f t="shared" si="82"/>
        <v>0.70390779674064752</v>
      </c>
      <c r="BJ57">
        <f t="shared" si="83"/>
        <v>0.82002460214255368</v>
      </c>
      <c r="BK57">
        <f t="shared" si="84"/>
        <v>4.8017006832252278</v>
      </c>
      <c r="BL57">
        <f t="shared" si="85"/>
        <v>0.96882876731948386</v>
      </c>
      <c r="BM57">
        <f t="shared" si="86"/>
        <v>0.55055783142416492</v>
      </c>
      <c r="BN57">
        <f t="shared" si="87"/>
        <v>0.44944216857583508</v>
      </c>
      <c r="BO57">
        <v>16786</v>
      </c>
      <c r="BP57">
        <v>290.00000000000011</v>
      </c>
      <c r="BQ57">
        <v>968.02</v>
      </c>
      <c r="BR57">
        <v>125</v>
      </c>
      <c r="BS57">
        <v>10319.200000000001</v>
      </c>
      <c r="BT57">
        <v>963.92</v>
      </c>
      <c r="BU57">
        <v>4.0999999999999996</v>
      </c>
      <c r="BV57">
        <v>300.00000000000011</v>
      </c>
      <c r="BW57">
        <v>38.4</v>
      </c>
      <c r="BX57">
        <v>1069.600527869881</v>
      </c>
      <c r="BY57">
        <v>1.3064142286119731</v>
      </c>
      <c r="BZ57">
        <v>-109.0551721593669</v>
      </c>
      <c r="CA57">
        <v>1.1019669948636679</v>
      </c>
      <c r="CB57">
        <v>0.99714922575496556</v>
      </c>
      <c r="CC57">
        <v>-1.1225565739710799E-2</v>
      </c>
      <c r="CD57">
        <v>289.99999999999989</v>
      </c>
      <c r="CE57">
        <v>953.63</v>
      </c>
      <c r="CF57">
        <v>645</v>
      </c>
      <c r="CG57">
        <v>10286.700000000001</v>
      </c>
      <c r="CH57">
        <v>963.58</v>
      </c>
      <c r="CI57">
        <v>-9.9499999999999993</v>
      </c>
      <c r="CW57">
        <f t="shared" si="88"/>
        <v>1799.98</v>
      </c>
      <c r="CX57">
        <f t="shared" si="89"/>
        <v>1513.1678998354564</v>
      </c>
      <c r="CY57">
        <f t="shared" si="90"/>
        <v>0.84065817388829678</v>
      </c>
      <c r="CZ57">
        <f t="shared" si="91"/>
        <v>0.19131634777659365</v>
      </c>
      <c r="DA57">
        <v>6</v>
      </c>
      <c r="DB57">
        <v>0.5</v>
      </c>
      <c r="DC57" t="s">
        <v>420</v>
      </c>
      <c r="DD57">
        <v>2</v>
      </c>
      <c r="DE57">
        <v>1693504143.5</v>
      </c>
      <c r="DF57">
        <v>1137.8900000000001</v>
      </c>
      <c r="DG57">
        <v>1200.08</v>
      </c>
      <c r="DH57">
        <v>28.732600000000001</v>
      </c>
      <c r="DI57">
        <v>23.988600000000002</v>
      </c>
      <c r="DJ57">
        <v>1138.25</v>
      </c>
      <c r="DK57">
        <v>28.981200000000001</v>
      </c>
      <c r="DL57">
        <v>499.58</v>
      </c>
      <c r="DM57">
        <v>99.571899999999999</v>
      </c>
      <c r="DN57">
        <v>9.8936800000000005E-2</v>
      </c>
      <c r="DO57">
        <v>30.533100000000001</v>
      </c>
      <c r="DP57">
        <v>29.953199999999999</v>
      </c>
      <c r="DQ57">
        <v>999.9</v>
      </c>
      <c r="DR57">
        <v>0</v>
      </c>
      <c r="DS57">
        <v>0</v>
      </c>
      <c r="DT57">
        <v>10085</v>
      </c>
      <c r="DU57">
        <v>0</v>
      </c>
      <c r="DV57">
        <v>1886.64</v>
      </c>
      <c r="DW57">
        <v>-62.1952</v>
      </c>
      <c r="DX57">
        <v>1171.55</v>
      </c>
      <c r="DY57">
        <v>1229.58</v>
      </c>
      <c r="DZ57">
        <v>4.7440499999999997</v>
      </c>
      <c r="EA57">
        <v>1200.08</v>
      </c>
      <c r="EB57">
        <v>23.988600000000002</v>
      </c>
      <c r="EC57">
        <v>2.8609599999999999</v>
      </c>
      <c r="ED57">
        <v>2.3885900000000002</v>
      </c>
      <c r="EE57">
        <v>23.240100000000002</v>
      </c>
      <c r="EF57">
        <v>20.2866</v>
      </c>
      <c r="EG57">
        <v>1799.98</v>
      </c>
      <c r="EH57">
        <v>0.97800100000000001</v>
      </c>
      <c r="EI57">
        <v>2.1999100000000001E-2</v>
      </c>
      <c r="EJ57">
        <v>0</v>
      </c>
      <c r="EK57">
        <v>704.47500000000002</v>
      </c>
      <c r="EL57">
        <v>5.0002500000000003</v>
      </c>
      <c r="EM57">
        <v>22363</v>
      </c>
      <c r="EN57">
        <v>14822</v>
      </c>
      <c r="EO57">
        <v>46.5</v>
      </c>
      <c r="EP57">
        <v>48.436999999999998</v>
      </c>
      <c r="EQ57">
        <v>47.5</v>
      </c>
      <c r="ER57">
        <v>46.561999999999998</v>
      </c>
      <c r="ES57">
        <v>47.75</v>
      </c>
      <c r="ET57">
        <v>1755.49</v>
      </c>
      <c r="EU57">
        <v>39.49</v>
      </c>
      <c r="EV57">
        <v>0</v>
      </c>
      <c r="EW57">
        <v>110</v>
      </c>
      <c r="EX57">
        <v>0</v>
      </c>
      <c r="EY57">
        <v>704.65211999999997</v>
      </c>
      <c r="EZ57">
        <v>-1.994230778715391</v>
      </c>
      <c r="FA57">
        <v>192.0000002083261</v>
      </c>
      <c r="FB57">
        <v>22326.396000000001</v>
      </c>
      <c r="FC57">
        <v>15</v>
      </c>
      <c r="FD57">
        <v>1693504111</v>
      </c>
      <c r="FE57" t="s">
        <v>629</v>
      </c>
      <c r="FF57">
        <v>1693504111</v>
      </c>
      <c r="FG57">
        <v>1693504100.5</v>
      </c>
      <c r="FH57">
        <v>46</v>
      </c>
      <c r="FI57">
        <v>5.1999999999999998E-2</v>
      </c>
      <c r="FJ57">
        <v>4.0000000000000001E-3</v>
      </c>
      <c r="FK57">
        <v>-0.36199999999999999</v>
      </c>
      <c r="FL57">
        <v>-0.249</v>
      </c>
      <c r="FM57">
        <v>1200</v>
      </c>
      <c r="FN57">
        <v>24</v>
      </c>
      <c r="FO57">
        <v>0.2</v>
      </c>
      <c r="FP57">
        <v>7.0000000000000007E-2</v>
      </c>
      <c r="FQ57">
        <v>47.227675550974141</v>
      </c>
      <c r="FR57">
        <v>-0.1075969079123089</v>
      </c>
      <c r="FS57">
        <v>0.17766352727735379</v>
      </c>
      <c r="FT57">
        <v>1</v>
      </c>
      <c r="FU57">
        <v>0.3045481060070509</v>
      </c>
      <c r="FV57">
        <v>8.605030378337819E-3</v>
      </c>
      <c r="FW57">
        <v>4.0521127067075589E-3</v>
      </c>
      <c r="FX57">
        <v>1</v>
      </c>
      <c r="FY57">
        <v>2</v>
      </c>
      <c r="FZ57">
        <v>2</v>
      </c>
      <c r="GA57" t="s">
        <v>422</v>
      </c>
      <c r="GB57">
        <v>2.9216099999999998</v>
      </c>
      <c r="GC57">
        <v>2.8295599999999999</v>
      </c>
      <c r="GD57">
        <v>0.187088</v>
      </c>
      <c r="GE57">
        <v>0.19012200000000001</v>
      </c>
      <c r="GF57">
        <v>0.13719600000000001</v>
      </c>
      <c r="GG57">
        <v>0.115735</v>
      </c>
      <c r="GH57">
        <v>21331.7</v>
      </c>
      <c r="GI57">
        <v>25901.200000000001</v>
      </c>
      <c r="GJ57">
        <v>23613.8</v>
      </c>
      <c r="GK57">
        <v>29263.8</v>
      </c>
      <c r="GL57">
        <v>27776.799999999999</v>
      </c>
      <c r="GM57">
        <v>36604.9</v>
      </c>
      <c r="GN57">
        <v>33393.5</v>
      </c>
      <c r="GO57">
        <v>43184.6</v>
      </c>
      <c r="GP57">
        <v>2.0451000000000001</v>
      </c>
      <c r="GQ57">
        <v>1.9473</v>
      </c>
      <c r="GR57">
        <v>9.3340900000000004E-2</v>
      </c>
      <c r="GS57">
        <v>0</v>
      </c>
      <c r="GT57">
        <v>28.432200000000002</v>
      </c>
      <c r="GU57">
        <v>999.9</v>
      </c>
      <c r="GV57">
        <v>58.2</v>
      </c>
      <c r="GW57">
        <v>30.9</v>
      </c>
      <c r="GX57">
        <v>26.217600000000001</v>
      </c>
      <c r="GY57">
        <v>61.211100000000002</v>
      </c>
      <c r="GZ57">
        <v>34.703499999999998</v>
      </c>
      <c r="HA57">
        <v>1</v>
      </c>
      <c r="HB57">
        <v>9.7682900000000003E-2</v>
      </c>
      <c r="HC57">
        <v>-0.25201499999999999</v>
      </c>
      <c r="HD57">
        <v>20.277799999999999</v>
      </c>
      <c r="HE57">
        <v>5.20411</v>
      </c>
      <c r="HF57">
        <v>11.866199999999999</v>
      </c>
      <c r="HG57">
        <v>4.9832000000000001</v>
      </c>
      <c r="HH57">
        <v>3.2822</v>
      </c>
      <c r="HI57">
        <v>9999</v>
      </c>
      <c r="HJ57">
        <v>9999</v>
      </c>
      <c r="HK57">
        <v>9999</v>
      </c>
      <c r="HL57">
        <v>999.9</v>
      </c>
      <c r="HM57">
        <v>1.85486</v>
      </c>
      <c r="HN57">
        <v>1.8609599999999999</v>
      </c>
      <c r="HO57">
        <v>1.85843</v>
      </c>
      <c r="HP57">
        <v>1.85965</v>
      </c>
      <c r="HQ57">
        <v>1.8589800000000001</v>
      </c>
      <c r="HR57">
        <v>1.8595299999999999</v>
      </c>
      <c r="HS57">
        <v>1.85791</v>
      </c>
      <c r="HT57">
        <v>1.86127</v>
      </c>
      <c r="HU57">
        <v>5</v>
      </c>
      <c r="HV57">
        <v>0</v>
      </c>
      <c r="HW57">
        <v>0</v>
      </c>
      <c r="HX57">
        <v>0</v>
      </c>
      <c r="HY57" t="s">
        <v>423</v>
      </c>
      <c r="HZ57" t="s">
        <v>424</v>
      </c>
      <c r="IA57" t="s">
        <v>425</v>
      </c>
      <c r="IB57" t="s">
        <v>425</v>
      </c>
      <c r="IC57" t="s">
        <v>425</v>
      </c>
      <c r="ID57" t="s">
        <v>425</v>
      </c>
      <c r="IE57">
        <v>0</v>
      </c>
      <c r="IF57">
        <v>100</v>
      </c>
      <c r="IG57">
        <v>100</v>
      </c>
      <c r="IH57">
        <v>-0.36</v>
      </c>
      <c r="II57">
        <v>-0.24859999999999999</v>
      </c>
      <c r="IJ57">
        <v>-0.36249999999995453</v>
      </c>
      <c r="IK57">
        <v>0</v>
      </c>
      <c r="IL57">
        <v>0</v>
      </c>
      <c r="IM57">
        <v>0</v>
      </c>
      <c r="IN57">
        <v>-0.24862857142857561</v>
      </c>
      <c r="IO57">
        <v>0</v>
      </c>
      <c r="IP57">
        <v>0</v>
      </c>
      <c r="IQ57">
        <v>0</v>
      </c>
      <c r="IR57">
        <v>-1</v>
      </c>
      <c r="IS57">
        <v>-1</v>
      </c>
      <c r="IT57">
        <v>-1</v>
      </c>
      <c r="IU57">
        <v>-1</v>
      </c>
      <c r="IV57">
        <v>0.5</v>
      </c>
      <c r="IW57">
        <v>0.7</v>
      </c>
      <c r="IX57">
        <v>2.36328</v>
      </c>
      <c r="IY57">
        <v>2.4169900000000002</v>
      </c>
      <c r="IZ57">
        <v>1.49414</v>
      </c>
      <c r="JA57">
        <v>2.2997999999999998</v>
      </c>
      <c r="JB57">
        <v>1.54419</v>
      </c>
      <c r="JC57">
        <v>2.52441</v>
      </c>
      <c r="JD57">
        <v>36.6706</v>
      </c>
      <c r="JE57">
        <v>23.9999</v>
      </c>
      <c r="JF57">
        <v>18</v>
      </c>
      <c r="JG57">
        <v>532.05700000000002</v>
      </c>
      <c r="JH57">
        <v>505.08499999999998</v>
      </c>
      <c r="JI57">
        <v>28.291</v>
      </c>
      <c r="JJ57">
        <v>28.709900000000001</v>
      </c>
      <c r="JK57">
        <v>30.0001</v>
      </c>
      <c r="JL57">
        <v>28.658999999999999</v>
      </c>
      <c r="JM57">
        <v>28.625599999999999</v>
      </c>
      <c r="JN57">
        <v>47.354999999999997</v>
      </c>
      <c r="JO57">
        <v>16.0944</v>
      </c>
      <c r="JP57">
        <v>100</v>
      </c>
      <c r="JQ57">
        <v>28.290099999999999</v>
      </c>
      <c r="JR57">
        <v>1200</v>
      </c>
      <c r="JS57">
        <v>23.987300000000001</v>
      </c>
      <c r="JT57">
        <v>99.035300000000007</v>
      </c>
      <c r="JU57">
        <v>97.281800000000004</v>
      </c>
    </row>
    <row r="58" spans="1:281" x14ac:dyDescent="0.25">
      <c r="A58">
        <v>42</v>
      </c>
      <c r="B58">
        <v>1693504284.5</v>
      </c>
      <c r="C58">
        <v>10148.5</v>
      </c>
      <c r="D58" t="s">
        <v>630</v>
      </c>
      <c r="E58" t="s">
        <v>631</v>
      </c>
      <c r="F58" t="s">
        <v>414</v>
      </c>
      <c r="G58" t="s">
        <v>566</v>
      </c>
      <c r="H58" t="s">
        <v>31</v>
      </c>
      <c r="I58">
        <v>3</v>
      </c>
      <c r="J58">
        <v>1693504284.5</v>
      </c>
      <c r="K58">
        <f t="shared" si="46"/>
        <v>3.688718974379673E-3</v>
      </c>
      <c r="L58">
        <f t="shared" si="47"/>
        <v>3.6887189743796731</v>
      </c>
      <c r="M58">
        <f t="shared" si="48"/>
        <v>47.1179201517241</v>
      </c>
      <c r="N58">
        <f t="shared" si="49"/>
        <v>1437.04</v>
      </c>
      <c r="O58">
        <f t="shared" si="50"/>
        <v>1111.1240230392875</v>
      </c>
      <c r="P58">
        <f t="shared" si="51"/>
        <v>110.74510592461323</v>
      </c>
      <c r="Q58">
        <f t="shared" si="52"/>
        <v>143.22896789018398</v>
      </c>
      <c r="R58">
        <f t="shared" si="53"/>
        <v>0.26532351226870277</v>
      </c>
      <c r="S58">
        <f t="shared" si="54"/>
        <v>2.9254931933044457</v>
      </c>
      <c r="T58">
        <f t="shared" si="55"/>
        <v>0.25264331678497914</v>
      </c>
      <c r="U58">
        <f t="shared" si="56"/>
        <v>0.15899082679453536</v>
      </c>
      <c r="V58">
        <f t="shared" si="57"/>
        <v>344.40359967094963</v>
      </c>
      <c r="W58">
        <f t="shared" si="58"/>
        <v>31.620442252447283</v>
      </c>
      <c r="X58">
        <f t="shared" si="59"/>
        <v>30.051300000000001</v>
      </c>
      <c r="Y58">
        <f t="shared" si="60"/>
        <v>4.273019872199372</v>
      </c>
      <c r="Z58">
        <f t="shared" si="61"/>
        <v>65.271765827056399</v>
      </c>
      <c r="AA58">
        <f t="shared" si="62"/>
        <v>2.8699415735196601</v>
      </c>
      <c r="AB58">
        <f t="shared" si="63"/>
        <v>4.396911186873413</v>
      </c>
      <c r="AC58">
        <f t="shared" si="64"/>
        <v>1.4030782986797119</v>
      </c>
      <c r="AD58">
        <f t="shared" si="65"/>
        <v>-162.67250677014357</v>
      </c>
      <c r="AE58">
        <f t="shared" si="66"/>
        <v>78.654559572965908</v>
      </c>
      <c r="AF58">
        <f t="shared" si="67"/>
        <v>5.995926991034497</v>
      </c>
      <c r="AG58">
        <f t="shared" si="68"/>
        <v>266.38157946480646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52133.743888050456</v>
      </c>
      <c r="AM58" t="s">
        <v>417</v>
      </c>
      <c r="AN58">
        <v>10366.9</v>
      </c>
      <c r="AO58">
        <v>993.59653846153856</v>
      </c>
      <c r="AP58">
        <v>3431.87</v>
      </c>
      <c r="AQ58">
        <f t="shared" si="72"/>
        <v>0.71047955241266758</v>
      </c>
      <c r="AR58">
        <v>-3.9894345373445681</v>
      </c>
      <c r="AS58" t="s">
        <v>632</v>
      </c>
      <c r="AT58">
        <v>10320.4</v>
      </c>
      <c r="AU58">
        <v>700.48836000000006</v>
      </c>
      <c r="AV58">
        <v>1064.9414654960331</v>
      </c>
      <c r="AW58">
        <f t="shared" si="73"/>
        <v>0.3422282982720336</v>
      </c>
      <c r="AX58">
        <v>0.5</v>
      </c>
      <c r="AY58">
        <f t="shared" si="74"/>
        <v>1513.3358998354747</v>
      </c>
      <c r="AZ58">
        <f t="shared" si="75"/>
        <v>47.1179201517241</v>
      </c>
      <c r="BA58">
        <f t="shared" si="76"/>
        <v>258.9531848573356</v>
      </c>
      <c r="BB58">
        <f t="shared" si="77"/>
        <v>3.3771322476804332E-2</v>
      </c>
      <c r="BC58">
        <f t="shared" si="78"/>
        <v>2.2225902654673031</v>
      </c>
      <c r="BD58">
        <f t="shared" si="79"/>
        <v>604.56672247373217</v>
      </c>
      <c r="BE58" t="s">
        <v>633</v>
      </c>
      <c r="BF58">
        <v>550.53</v>
      </c>
      <c r="BG58">
        <f t="shared" si="80"/>
        <v>550.53</v>
      </c>
      <c r="BH58">
        <f t="shared" si="81"/>
        <v>0.48304200950277421</v>
      </c>
      <c r="BI58">
        <f t="shared" si="82"/>
        <v>0.70848558001054796</v>
      </c>
      <c r="BJ58">
        <f t="shared" si="83"/>
        <v>0.82146797479782563</v>
      </c>
      <c r="BK58">
        <f t="shared" si="84"/>
        <v>5.1083254359461865</v>
      </c>
      <c r="BL58">
        <f t="shared" si="85"/>
        <v>0.97073957119252796</v>
      </c>
      <c r="BM58">
        <f t="shared" si="86"/>
        <v>0.55681520013152952</v>
      </c>
      <c r="BN58">
        <f t="shared" si="87"/>
        <v>0.44318479986847048</v>
      </c>
      <c r="BO58">
        <v>16788</v>
      </c>
      <c r="BP58">
        <v>290.00000000000011</v>
      </c>
      <c r="BQ58">
        <v>964</v>
      </c>
      <c r="BR58">
        <v>115</v>
      </c>
      <c r="BS58">
        <v>10320.4</v>
      </c>
      <c r="BT58">
        <v>960.42</v>
      </c>
      <c r="BU58">
        <v>3.58</v>
      </c>
      <c r="BV58">
        <v>300.00000000000011</v>
      </c>
      <c r="BW58">
        <v>38.4</v>
      </c>
      <c r="BX58">
        <v>1064.9414654960331</v>
      </c>
      <c r="BY58">
        <v>1.3472051535605301</v>
      </c>
      <c r="BZ58">
        <v>-107.8698394394456</v>
      </c>
      <c r="CA58">
        <v>1.136312107308477</v>
      </c>
      <c r="CB58">
        <v>0.99690253835947273</v>
      </c>
      <c r="CC58">
        <v>-1.122481446051168E-2</v>
      </c>
      <c r="CD58">
        <v>289.99999999999989</v>
      </c>
      <c r="CE58">
        <v>951.01</v>
      </c>
      <c r="CF58">
        <v>665</v>
      </c>
      <c r="CG58">
        <v>10284.700000000001</v>
      </c>
      <c r="CH58">
        <v>960.06</v>
      </c>
      <c r="CI58">
        <v>-9.0500000000000007</v>
      </c>
      <c r="CW58">
        <f t="shared" si="88"/>
        <v>1800.18</v>
      </c>
      <c r="CX58">
        <f t="shared" si="89"/>
        <v>1513.3358998354747</v>
      </c>
      <c r="CY58">
        <f t="shared" si="90"/>
        <v>0.84065810076518721</v>
      </c>
      <c r="CZ58">
        <f t="shared" si="91"/>
        <v>0.19131620153037454</v>
      </c>
      <c r="DA58">
        <v>6</v>
      </c>
      <c r="DB58">
        <v>0.5</v>
      </c>
      <c r="DC58" t="s">
        <v>420</v>
      </c>
      <c r="DD58">
        <v>2</v>
      </c>
      <c r="DE58">
        <v>1693504284.5</v>
      </c>
      <c r="DF58">
        <v>1437.04</v>
      </c>
      <c r="DG58">
        <v>1499.96</v>
      </c>
      <c r="DH58">
        <v>28.794599999999999</v>
      </c>
      <c r="DI58">
        <v>24.494399999999999</v>
      </c>
      <c r="DJ58">
        <v>1437.4</v>
      </c>
      <c r="DK58">
        <v>29.033999999999999</v>
      </c>
      <c r="DL58">
        <v>499.86099999999999</v>
      </c>
      <c r="DM58">
        <v>99.569800000000001</v>
      </c>
      <c r="DN58">
        <v>9.9637100000000006E-2</v>
      </c>
      <c r="DO58">
        <v>30.55</v>
      </c>
      <c r="DP58">
        <v>30.051300000000001</v>
      </c>
      <c r="DQ58">
        <v>999.9</v>
      </c>
      <c r="DR58">
        <v>0</v>
      </c>
      <c r="DS58">
        <v>0</v>
      </c>
      <c r="DT58">
        <v>10020</v>
      </c>
      <c r="DU58">
        <v>0</v>
      </c>
      <c r="DV58">
        <v>1893.79</v>
      </c>
      <c r="DW58">
        <v>-62.919800000000002</v>
      </c>
      <c r="DX58">
        <v>1479.64</v>
      </c>
      <c r="DY58">
        <v>1537.62</v>
      </c>
      <c r="DZ58">
        <v>4.3002599999999997</v>
      </c>
      <c r="EA58">
        <v>1499.96</v>
      </c>
      <c r="EB58">
        <v>24.494399999999999</v>
      </c>
      <c r="EC58">
        <v>2.86707</v>
      </c>
      <c r="ED58">
        <v>2.4388999999999998</v>
      </c>
      <c r="EE58">
        <v>23.275400000000001</v>
      </c>
      <c r="EF58">
        <v>20.624400000000001</v>
      </c>
      <c r="EG58">
        <v>1800.18</v>
      </c>
      <c r="EH58">
        <v>0.97800399999999998</v>
      </c>
      <c r="EI58">
        <v>2.1995500000000001E-2</v>
      </c>
      <c r="EJ58">
        <v>0</v>
      </c>
      <c r="EK58">
        <v>700.24</v>
      </c>
      <c r="EL58">
        <v>5.0002500000000003</v>
      </c>
      <c r="EM58">
        <v>22241.599999999999</v>
      </c>
      <c r="EN58">
        <v>14823.6</v>
      </c>
      <c r="EO58">
        <v>46.561999999999998</v>
      </c>
      <c r="EP58">
        <v>48.5</v>
      </c>
      <c r="EQ58">
        <v>47.5</v>
      </c>
      <c r="ER58">
        <v>46.625</v>
      </c>
      <c r="ES58">
        <v>47.811999999999998</v>
      </c>
      <c r="ET58">
        <v>1755.69</v>
      </c>
      <c r="EU58">
        <v>39.49</v>
      </c>
      <c r="EV58">
        <v>0</v>
      </c>
      <c r="EW58">
        <v>138.79999995231631</v>
      </c>
      <c r="EX58">
        <v>0</v>
      </c>
      <c r="EY58">
        <v>700.48836000000006</v>
      </c>
      <c r="EZ58">
        <v>-1.5955384702617901</v>
      </c>
      <c r="FA58">
        <v>457.76923138976719</v>
      </c>
      <c r="FB58">
        <v>22247.547999999999</v>
      </c>
      <c r="FC58">
        <v>15</v>
      </c>
      <c r="FD58">
        <v>1693504253.5</v>
      </c>
      <c r="FE58" t="s">
        <v>634</v>
      </c>
      <c r="FF58">
        <v>1693504111</v>
      </c>
      <c r="FG58">
        <v>1693504247</v>
      </c>
      <c r="FH58">
        <v>47</v>
      </c>
      <c r="FI58">
        <v>5.1999999999999998E-2</v>
      </c>
      <c r="FJ58">
        <v>8.9999999999999993E-3</v>
      </c>
      <c r="FK58">
        <v>-0.36199999999999999</v>
      </c>
      <c r="FL58">
        <v>-0.23899999999999999</v>
      </c>
      <c r="FM58">
        <v>1200</v>
      </c>
      <c r="FN58">
        <v>24</v>
      </c>
      <c r="FO58">
        <v>0.2</v>
      </c>
      <c r="FP58">
        <v>7.0000000000000007E-2</v>
      </c>
      <c r="FQ58">
        <v>47.210287239489197</v>
      </c>
      <c r="FR58">
        <v>-0.57116779609641033</v>
      </c>
      <c r="FS58">
        <v>0.1407912565221234</v>
      </c>
      <c r="FT58">
        <v>1</v>
      </c>
      <c r="FU58">
        <v>0.26728350008170709</v>
      </c>
      <c r="FV58">
        <v>2.9786692873957039E-2</v>
      </c>
      <c r="FW58">
        <v>3.0458461997621782E-3</v>
      </c>
      <c r="FX58">
        <v>1</v>
      </c>
      <c r="FY58">
        <v>2</v>
      </c>
      <c r="FZ58">
        <v>2</v>
      </c>
      <c r="GA58" t="s">
        <v>422</v>
      </c>
      <c r="GB58">
        <v>2.92225</v>
      </c>
      <c r="GC58">
        <v>2.8296899999999998</v>
      </c>
      <c r="GD58">
        <v>0.215477</v>
      </c>
      <c r="GE58">
        <v>0.21748700000000001</v>
      </c>
      <c r="GF58">
        <v>0.137346</v>
      </c>
      <c r="GG58">
        <v>0.117412</v>
      </c>
      <c r="GH58">
        <v>20585.7</v>
      </c>
      <c r="GI58">
        <v>25022.3</v>
      </c>
      <c r="GJ58">
        <v>23612.799999999999</v>
      </c>
      <c r="GK58">
        <v>29259.8</v>
      </c>
      <c r="GL58">
        <v>27774</v>
      </c>
      <c r="GM58">
        <v>36533</v>
      </c>
      <c r="GN58">
        <v>33392.5</v>
      </c>
      <c r="GO58">
        <v>43180.6</v>
      </c>
      <c r="GP58">
        <v>2.0445000000000002</v>
      </c>
      <c r="GQ58">
        <v>1.9466000000000001</v>
      </c>
      <c r="GR58">
        <v>8.8959899999999995E-2</v>
      </c>
      <c r="GS58">
        <v>0</v>
      </c>
      <c r="GT58">
        <v>28.602</v>
      </c>
      <c r="GU58">
        <v>999.9</v>
      </c>
      <c r="GV58">
        <v>57.9</v>
      </c>
      <c r="GW58">
        <v>31.1</v>
      </c>
      <c r="GX58">
        <v>26.385000000000002</v>
      </c>
      <c r="GY58">
        <v>61.1511</v>
      </c>
      <c r="GZ58">
        <v>34.551299999999998</v>
      </c>
      <c r="HA58">
        <v>1</v>
      </c>
      <c r="HB58">
        <v>0.103323</v>
      </c>
      <c r="HC58">
        <v>0.87632900000000002</v>
      </c>
      <c r="HD58">
        <v>20.3171</v>
      </c>
      <c r="HE58">
        <v>5.2100999999999997</v>
      </c>
      <c r="HF58">
        <v>11.8674</v>
      </c>
      <c r="HG58">
        <v>4.9847999999999999</v>
      </c>
      <c r="HH58">
        <v>3.2833999999999999</v>
      </c>
      <c r="HI58">
        <v>9999</v>
      </c>
      <c r="HJ58">
        <v>9999</v>
      </c>
      <c r="HK58">
        <v>9999</v>
      </c>
      <c r="HL58">
        <v>999.9</v>
      </c>
      <c r="HM58">
        <v>1.8547100000000001</v>
      </c>
      <c r="HN58">
        <v>1.8608100000000001</v>
      </c>
      <c r="HO58">
        <v>1.85822</v>
      </c>
      <c r="HP58">
        <v>1.85944</v>
      </c>
      <c r="HQ58">
        <v>1.85883</v>
      </c>
      <c r="HR58">
        <v>1.85928</v>
      </c>
      <c r="HS58">
        <v>1.85771</v>
      </c>
      <c r="HT58">
        <v>1.8610800000000001</v>
      </c>
      <c r="HU58">
        <v>5</v>
      </c>
      <c r="HV58">
        <v>0</v>
      </c>
      <c r="HW58">
        <v>0</v>
      </c>
      <c r="HX58">
        <v>0</v>
      </c>
      <c r="HY58" t="s">
        <v>423</v>
      </c>
      <c r="HZ58" t="s">
        <v>424</v>
      </c>
      <c r="IA58" t="s">
        <v>425</v>
      </c>
      <c r="IB58" t="s">
        <v>425</v>
      </c>
      <c r="IC58" t="s">
        <v>425</v>
      </c>
      <c r="ID58" t="s">
        <v>425</v>
      </c>
      <c r="IE58">
        <v>0</v>
      </c>
      <c r="IF58">
        <v>100</v>
      </c>
      <c r="IG58">
        <v>100</v>
      </c>
      <c r="IH58">
        <v>-0.36</v>
      </c>
      <c r="II58">
        <v>-0.2394</v>
      </c>
      <c r="IJ58">
        <v>-0.36249999999995453</v>
      </c>
      <c r="IK58">
        <v>0</v>
      </c>
      <c r="IL58">
        <v>0</v>
      </c>
      <c r="IM58">
        <v>0</v>
      </c>
      <c r="IN58">
        <v>-0.23939000000000021</v>
      </c>
      <c r="IO58">
        <v>0</v>
      </c>
      <c r="IP58">
        <v>0</v>
      </c>
      <c r="IQ58">
        <v>0</v>
      </c>
      <c r="IR58">
        <v>-1</v>
      </c>
      <c r="IS58">
        <v>-1</v>
      </c>
      <c r="IT58">
        <v>-1</v>
      </c>
      <c r="IU58">
        <v>-1</v>
      </c>
      <c r="IV58">
        <v>2.9</v>
      </c>
      <c r="IW58">
        <v>0.6</v>
      </c>
      <c r="IX58">
        <v>2.8027299999999999</v>
      </c>
      <c r="IY58">
        <v>2.4096700000000002</v>
      </c>
      <c r="IZ58">
        <v>1.49414</v>
      </c>
      <c r="JA58">
        <v>2.2997999999999998</v>
      </c>
      <c r="JB58">
        <v>1.54419</v>
      </c>
      <c r="JC58">
        <v>2.48291</v>
      </c>
      <c r="JD58">
        <v>36.694299999999998</v>
      </c>
      <c r="JE58">
        <v>16.259699999999999</v>
      </c>
      <c r="JF58">
        <v>18</v>
      </c>
      <c r="JG58">
        <v>532.24099999999999</v>
      </c>
      <c r="JH58">
        <v>505.17200000000003</v>
      </c>
      <c r="JI58">
        <v>27.241599999999998</v>
      </c>
      <c r="JJ58">
        <v>28.778300000000002</v>
      </c>
      <c r="JK58">
        <v>30.0002</v>
      </c>
      <c r="JL58">
        <v>28.722200000000001</v>
      </c>
      <c r="JM58">
        <v>28.689399999999999</v>
      </c>
      <c r="JN58">
        <v>56.148400000000002</v>
      </c>
      <c r="JO58">
        <v>14.575100000000001</v>
      </c>
      <c r="JP58">
        <v>100</v>
      </c>
      <c r="JQ58">
        <v>27.251000000000001</v>
      </c>
      <c r="JR58">
        <v>1500</v>
      </c>
      <c r="JS58">
        <v>24.466899999999999</v>
      </c>
      <c r="JT58">
        <v>99.031800000000004</v>
      </c>
      <c r="JU58">
        <v>97.270799999999994</v>
      </c>
    </row>
    <row r="59" spans="1:281" x14ac:dyDescent="0.25">
      <c r="A59">
        <v>43</v>
      </c>
      <c r="B59">
        <v>1693506495</v>
      </c>
      <c r="C59">
        <v>12359</v>
      </c>
      <c r="D59" t="s">
        <v>635</v>
      </c>
      <c r="E59" t="s">
        <v>636</v>
      </c>
      <c r="F59" t="s">
        <v>414</v>
      </c>
      <c r="G59" t="s">
        <v>566</v>
      </c>
      <c r="H59" t="s">
        <v>637</v>
      </c>
      <c r="I59" t="s">
        <v>31</v>
      </c>
      <c r="J59">
        <v>1693506495</v>
      </c>
      <c r="K59">
        <f t="shared" si="46"/>
        <v>3.7336789019401418E-3</v>
      </c>
      <c r="L59">
        <f t="shared" si="47"/>
        <v>3.733678901940142</v>
      </c>
      <c r="M59">
        <f t="shared" si="48"/>
        <v>38.902175251343451</v>
      </c>
      <c r="N59">
        <f t="shared" si="49"/>
        <v>351.76900000000001</v>
      </c>
      <c r="O59">
        <f t="shared" si="50"/>
        <v>96.707131468433886</v>
      </c>
      <c r="P59">
        <f t="shared" si="51"/>
        <v>9.6375406666070855</v>
      </c>
      <c r="Q59">
        <f t="shared" si="52"/>
        <v>35.056236197619995</v>
      </c>
      <c r="R59">
        <f t="shared" si="53"/>
        <v>0.25978132818638006</v>
      </c>
      <c r="S59">
        <f t="shared" si="54"/>
        <v>2.9252643174258015</v>
      </c>
      <c r="T59">
        <f t="shared" si="55"/>
        <v>0.24761137999282742</v>
      </c>
      <c r="U59">
        <f t="shared" si="56"/>
        <v>0.1558030152259669</v>
      </c>
      <c r="V59">
        <f t="shared" si="57"/>
        <v>344.36179967090942</v>
      </c>
      <c r="W59">
        <f t="shared" si="58"/>
        <v>31.28113738952818</v>
      </c>
      <c r="X59">
        <f t="shared" si="59"/>
        <v>29.9863</v>
      </c>
      <c r="Y59">
        <f t="shared" si="60"/>
        <v>4.2570983024302977</v>
      </c>
      <c r="Z59">
        <f t="shared" si="61"/>
        <v>65.065025987356165</v>
      </c>
      <c r="AA59">
        <f t="shared" si="62"/>
        <v>2.807656028936</v>
      </c>
      <c r="AB59">
        <f t="shared" si="63"/>
        <v>4.3151539345909136</v>
      </c>
      <c r="AC59">
        <f t="shared" si="64"/>
        <v>1.4494422734942978</v>
      </c>
      <c r="AD59">
        <f t="shared" si="65"/>
        <v>-164.65523957556024</v>
      </c>
      <c r="AE59">
        <f t="shared" si="66"/>
        <v>37.218816571930219</v>
      </c>
      <c r="AF59">
        <f t="shared" si="67"/>
        <v>2.8319462914887201</v>
      </c>
      <c r="AG59">
        <f t="shared" si="68"/>
        <v>219.75732295876816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52183.27211700505</v>
      </c>
      <c r="AM59" t="s">
        <v>417</v>
      </c>
      <c r="AN59">
        <v>10366.9</v>
      </c>
      <c r="AO59">
        <v>993.59653846153856</v>
      </c>
      <c r="AP59">
        <v>3431.87</v>
      </c>
      <c r="AQ59">
        <f t="shared" si="72"/>
        <v>0.71047955241266758</v>
      </c>
      <c r="AR59">
        <v>-3.9894345373445681</v>
      </c>
      <c r="AS59" t="s">
        <v>638</v>
      </c>
      <c r="AT59">
        <v>10317.200000000001</v>
      </c>
      <c r="AU59">
        <v>687.54516000000001</v>
      </c>
      <c r="AV59">
        <v>973.95381269174129</v>
      </c>
      <c r="AW59">
        <f t="shared" si="73"/>
        <v>0.29406800297868985</v>
      </c>
      <c r="AX59">
        <v>0.5</v>
      </c>
      <c r="AY59">
        <f t="shared" si="74"/>
        <v>1513.1510998354547</v>
      </c>
      <c r="AZ59">
        <f t="shared" si="75"/>
        <v>38.902175251343451</v>
      </c>
      <c r="BA59">
        <f t="shared" si="76"/>
        <v>222.48466106681016</v>
      </c>
      <c r="BB59">
        <f t="shared" si="77"/>
        <v>2.8345886800962703E-2</v>
      </c>
      <c r="BC59">
        <f t="shared" si="78"/>
        <v>2.5236475850073958</v>
      </c>
      <c r="BD59">
        <f t="shared" si="79"/>
        <v>574.11835366318644</v>
      </c>
      <c r="BE59" t="s">
        <v>639</v>
      </c>
      <c r="BF59">
        <v>533.6</v>
      </c>
      <c r="BG59">
        <f t="shared" si="80"/>
        <v>533.6</v>
      </c>
      <c r="BH59">
        <f t="shared" si="81"/>
        <v>0.45213007737474131</v>
      </c>
      <c r="BI59">
        <f t="shared" si="82"/>
        <v>0.6504057520043196</v>
      </c>
      <c r="BJ59">
        <f t="shared" si="83"/>
        <v>0.84806321954416208</v>
      </c>
      <c r="BK59">
        <f t="shared" si="84"/>
        <v>-14.580901655315291</v>
      </c>
      <c r="BL59">
        <f t="shared" si="85"/>
        <v>1.0080559978524324</v>
      </c>
      <c r="BM59">
        <f t="shared" si="86"/>
        <v>0.50477631064918693</v>
      </c>
      <c r="BN59">
        <f t="shared" si="87"/>
        <v>0.49522368935081307</v>
      </c>
      <c r="BO59">
        <v>16790</v>
      </c>
      <c r="BP59">
        <v>290.00000000000011</v>
      </c>
      <c r="BQ59">
        <v>894.67</v>
      </c>
      <c r="BR59">
        <v>145</v>
      </c>
      <c r="BS59">
        <v>10317.200000000001</v>
      </c>
      <c r="BT59">
        <v>892.45</v>
      </c>
      <c r="BU59">
        <v>2.2200000000000002</v>
      </c>
      <c r="BV59">
        <v>300.00000000000011</v>
      </c>
      <c r="BW59">
        <v>38.4</v>
      </c>
      <c r="BX59">
        <v>973.95381269174129</v>
      </c>
      <c r="BY59">
        <v>0.83853503100803151</v>
      </c>
      <c r="BZ59">
        <v>-84.088845166113913</v>
      </c>
      <c r="CA59">
        <v>0.70738488227783636</v>
      </c>
      <c r="CB59">
        <v>0.9980224243641902</v>
      </c>
      <c r="CC59">
        <v>-1.1227114126807569E-2</v>
      </c>
      <c r="CD59">
        <v>289.99999999999989</v>
      </c>
      <c r="CE59">
        <v>885.48</v>
      </c>
      <c r="CF59">
        <v>665</v>
      </c>
      <c r="CG59">
        <v>10286.4</v>
      </c>
      <c r="CH59">
        <v>892.21</v>
      </c>
      <c r="CI59">
        <v>-6.73</v>
      </c>
      <c r="CW59">
        <f t="shared" si="88"/>
        <v>1799.96</v>
      </c>
      <c r="CX59">
        <f t="shared" si="89"/>
        <v>1513.1510998354547</v>
      </c>
      <c r="CY59">
        <f t="shared" si="90"/>
        <v>0.84065818120150149</v>
      </c>
      <c r="CZ59">
        <f t="shared" si="91"/>
        <v>0.19131636240300307</v>
      </c>
      <c r="DA59">
        <v>6</v>
      </c>
      <c r="DB59">
        <v>0.5</v>
      </c>
      <c r="DC59" t="s">
        <v>420</v>
      </c>
      <c r="DD59">
        <v>2</v>
      </c>
      <c r="DE59">
        <v>1693506495</v>
      </c>
      <c r="DF59">
        <v>351.76900000000001</v>
      </c>
      <c r="DG59">
        <v>399.95800000000003</v>
      </c>
      <c r="DH59">
        <v>28.173200000000001</v>
      </c>
      <c r="DI59">
        <v>23.825299999999999</v>
      </c>
      <c r="DJ59">
        <v>352.916</v>
      </c>
      <c r="DK59">
        <v>28.432500000000001</v>
      </c>
      <c r="DL59">
        <v>500.72300000000001</v>
      </c>
      <c r="DM59">
        <v>99.556799999999996</v>
      </c>
      <c r="DN59">
        <v>0.10018000000000001</v>
      </c>
      <c r="DO59">
        <v>30.222300000000001</v>
      </c>
      <c r="DP59">
        <v>29.9863</v>
      </c>
      <c r="DQ59">
        <v>999.9</v>
      </c>
      <c r="DR59">
        <v>0</v>
      </c>
      <c r="DS59">
        <v>0</v>
      </c>
      <c r="DT59">
        <v>10020</v>
      </c>
      <c r="DU59">
        <v>0</v>
      </c>
      <c r="DV59">
        <v>1504.74</v>
      </c>
      <c r="DW59">
        <v>-48.189300000000003</v>
      </c>
      <c r="DX59">
        <v>361.96600000000001</v>
      </c>
      <c r="DY59">
        <v>409.72</v>
      </c>
      <c r="DZ59">
        <v>4.3479000000000001</v>
      </c>
      <c r="EA59">
        <v>399.95800000000003</v>
      </c>
      <c r="EB59">
        <v>23.825299999999999</v>
      </c>
      <c r="EC59">
        <v>2.8048299999999999</v>
      </c>
      <c r="ED59">
        <v>2.3719700000000001</v>
      </c>
      <c r="EE59">
        <v>22.912600000000001</v>
      </c>
      <c r="EF59">
        <v>20.1737</v>
      </c>
      <c r="EG59">
        <v>1799.96</v>
      </c>
      <c r="EH59">
        <v>0.97800100000000001</v>
      </c>
      <c r="EI59">
        <v>2.1999100000000001E-2</v>
      </c>
      <c r="EJ59">
        <v>0</v>
      </c>
      <c r="EK59">
        <v>687.596</v>
      </c>
      <c r="EL59">
        <v>5.0002500000000003</v>
      </c>
      <c r="EM59">
        <v>19302.7</v>
      </c>
      <c r="EN59">
        <v>14821.8</v>
      </c>
      <c r="EO59">
        <v>46.561999999999998</v>
      </c>
      <c r="EP59">
        <v>47.125</v>
      </c>
      <c r="EQ59">
        <v>47.25</v>
      </c>
      <c r="ER59">
        <v>46</v>
      </c>
      <c r="ES59">
        <v>47.625</v>
      </c>
      <c r="ET59">
        <v>1755.47</v>
      </c>
      <c r="EU59">
        <v>39.49</v>
      </c>
      <c r="EV59">
        <v>0</v>
      </c>
      <c r="EW59">
        <v>2208.599999904633</v>
      </c>
      <c r="EX59">
        <v>0</v>
      </c>
      <c r="EY59">
        <v>687.54516000000001</v>
      </c>
      <c r="EZ59">
        <v>1.137692326928516</v>
      </c>
      <c r="FA59">
        <v>103.7846164073526</v>
      </c>
      <c r="FB59">
        <v>19296.036</v>
      </c>
      <c r="FC59">
        <v>15</v>
      </c>
      <c r="FD59">
        <v>1693506461.5</v>
      </c>
      <c r="FE59" t="s">
        <v>640</v>
      </c>
      <c r="FF59">
        <v>1693506460</v>
      </c>
      <c r="FG59">
        <v>1693506461.5</v>
      </c>
      <c r="FH59">
        <v>50</v>
      </c>
      <c r="FI59">
        <v>3.2000000000000001E-2</v>
      </c>
      <c r="FJ59">
        <v>-3.5999999999999997E-2</v>
      </c>
      <c r="FK59">
        <v>-1.147</v>
      </c>
      <c r="FL59">
        <v>-0.25900000000000001</v>
      </c>
      <c r="FM59">
        <v>400</v>
      </c>
      <c r="FN59">
        <v>24</v>
      </c>
      <c r="FO59">
        <v>0.13</v>
      </c>
      <c r="FP59">
        <v>0.05</v>
      </c>
      <c r="FQ59">
        <v>38.896123265077449</v>
      </c>
      <c r="FR59">
        <v>0.51639947968654143</v>
      </c>
      <c r="FS59">
        <v>9.1119657085441993E-2</v>
      </c>
      <c r="FT59">
        <v>1</v>
      </c>
      <c r="FU59">
        <v>0.25940148023164672</v>
      </c>
      <c r="FV59">
        <v>2.0088481285531541E-2</v>
      </c>
      <c r="FW59">
        <v>1.638650551808604E-3</v>
      </c>
      <c r="FX59">
        <v>1</v>
      </c>
      <c r="FY59">
        <v>2</v>
      </c>
      <c r="FZ59">
        <v>2</v>
      </c>
      <c r="GA59" t="s">
        <v>422</v>
      </c>
      <c r="GB59">
        <v>2.9227599999999998</v>
      </c>
      <c r="GC59">
        <v>2.8302499999999999</v>
      </c>
      <c r="GD59">
        <v>8.2504300000000003E-2</v>
      </c>
      <c r="GE59">
        <v>8.9225899999999997E-2</v>
      </c>
      <c r="GF59">
        <v>0.13483999999999999</v>
      </c>
      <c r="GG59">
        <v>0.11471099999999999</v>
      </c>
      <c r="GH59">
        <v>24034.9</v>
      </c>
      <c r="GI59">
        <v>29062.7</v>
      </c>
      <c r="GJ59">
        <v>23578.3</v>
      </c>
      <c r="GK59">
        <v>29205.7</v>
      </c>
      <c r="GL59">
        <v>27815.4</v>
      </c>
      <c r="GM59">
        <v>36586.800000000003</v>
      </c>
      <c r="GN59">
        <v>33346.9</v>
      </c>
      <c r="GO59">
        <v>43115.1</v>
      </c>
      <c r="GP59">
        <v>2.0245000000000002</v>
      </c>
      <c r="GQ59">
        <v>1.9084000000000001</v>
      </c>
      <c r="GR59">
        <v>0.103161</v>
      </c>
      <c r="GS59">
        <v>0</v>
      </c>
      <c r="GT59">
        <v>28.305199999999999</v>
      </c>
      <c r="GU59">
        <v>999.9</v>
      </c>
      <c r="GV59">
        <v>58.6</v>
      </c>
      <c r="GW59">
        <v>31.9</v>
      </c>
      <c r="GX59">
        <v>27.9482</v>
      </c>
      <c r="GY59">
        <v>60.717700000000001</v>
      </c>
      <c r="GZ59">
        <v>33.966299999999997</v>
      </c>
      <c r="HA59">
        <v>1</v>
      </c>
      <c r="HB59">
        <v>0.22754099999999999</v>
      </c>
      <c r="HC59">
        <v>0.26530500000000001</v>
      </c>
      <c r="HD59">
        <v>20.2822</v>
      </c>
      <c r="HE59">
        <v>5.2100999999999997</v>
      </c>
      <c r="HF59">
        <v>11.872199999999999</v>
      </c>
      <c r="HG59">
        <v>4.9843999999999999</v>
      </c>
      <c r="HH59">
        <v>3.2839999999999998</v>
      </c>
      <c r="HI59">
        <v>9999</v>
      </c>
      <c r="HJ59">
        <v>9999</v>
      </c>
      <c r="HK59">
        <v>9999</v>
      </c>
      <c r="HL59">
        <v>999.9</v>
      </c>
      <c r="HM59">
        <v>1.85486</v>
      </c>
      <c r="HN59">
        <v>1.8609599999999999</v>
      </c>
      <c r="HO59">
        <v>1.8583700000000001</v>
      </c>
      <c r="HP59">
        <v>1.8595900000000001</v>
      </c>
      <c r="HQ59">
        <v>1.8589800000000001</v>
      </c>
      <c r="HR59">
        <v>1.85944</v>
      </c>
      <c r="HS59">
        <v>1.8578600000000001</v>
      </c>
      <c r="HT59">
        <v>1.86127</v>
      </c>
      <c r="HU59">
        <v>5</v>
      </c>
      <c r="HV59">
        <v>0</v>
      </c>
      <c r="HW59">
        <v>0</v>
      </c>
      <c r="HX59">
        <v>0</v>
      </c>
      <c r="HY59" t="s">
        <v>423</v>
      </c>
      <c r="HZ59" t="s">
        <v>424</v>
      </c>
      <c r="IA59" t="s">
        <v>425</v>
      </c>
      <c r="IB59" t="s">
        <v>425</v>
      </c>
      <c r="IC59" t="s">
        <v>425</v>
      </c>
      <c r="ID59" t="s">
        <v>425</v>
      </c>
      <c r="IE59">
        <v>0</v>
      </c>
      <c r="IF59">
        <v>100</v>
      </c>
      <c r="IG59">
        <v>100</v>
      </c>
      <c r="IH59">
        <v>-1.147</v>
      </c>
      <c r="II59">
        <v>-0.25929999999999997</v>
      </c>
      <c r="IJ59">
        <v>-1.1471000000000799</v>
      </c>
      <c r="IK59">
        <v>0</v>
      </c>
      <c r="IL59">
        <v>0</v>
      </c>
      <c r="IM59">
        <v>0</v>
      </c>
      <c r="IN59">
        <v>-0.2592476190476205</v>
      </c>
      <c r="IO59">
        <v>0</v>
      </c>
      <c r="IP59">
        <v>0</v>
      </c>
      <c r="IQ59">
        <v>0</v>
      </c>
      <c r="IR59">
        <v>-1</v>
      </c>
      <c r="IS59">
        <v>-1</v>
      </c>
      <c r="IT59">
        <v>-1</v>
      </c>
      <c r="IU59">
        <v>-1</v>
      </c>
      <c r="IV59">
        <v>0.6</v>
      </c>
      <c r="IW59">
        <v>0.6</v>
      </c>
      <c r="IX59">
        <v>0.99609400000000003</v>
      </c>
      <c r="IY59">
        <v>2.4462899999999999</v>
      </c>
      <c r="IZ59">
        <v>1.49414</v>
      </c>
      <c r="JA59">
        <v>2.2985799999999998</v>
      </c>
      <c r="JB59">
        <v>1.54419</v>
      </c>
      <c r="JC59">
        <v>2.34985</v>
      </c>
      <c r="JD59">
        <v>36.245899999999999</v>
      </c>
      <c r="JE59">
        <v>23.956199999999999</v>
      </c>
      <c r="JF59">
        <v>18</v>
      </c>
      <c r="JG59">
        <v>533.79300000000001</v>
      </c>
      <c r="JH59">
        <v>492.54700000000003</v>
      </c>
      <c r="JI59">
        <v>28.065000000000001</v>
      </c>
      <c r="JJ59">
        <v>30.348800000000001</v>
      </c>
      <c r="JK59">
        <v>30</v>
      </c>
      <c r="JL59">
        <v>30.365400000000001</v>
      </c>
      <c r="JM59">
        <v>30.347300000000001</v>
      </c>
      <c r="JN59">
        <v>20.022600000000001</v>
      </c>
      <c r="JO59">
        <v>23.550899999999999</v>
      </c>
      <c r="JP59">
        <v>100</v>
      </c>
      <c r="JQ59">
        <v>28.066700000000001</v>
      </c>
      <c r="JR59">
        <v>400</v>
      </c>
      <c r="JS59">
        <v>23.8398</v>
      </c>
      <c r="JT59">
        <v>98.892700000000005</v>
      </c>
      <c r="JU59">
        <v>97.110399999999998</v>
      </c>
    </row>
    <row r="60" spans="1:281" x14ac:dyDescent="0.25">
      <c r="A60">
        <v>44</v>
      </c>
      <c r="B60">
        <v>1693506600.5</v>
      </c>
      <c r="C60">
        <v>12464.5</v>
      </c>
      <c r="D60" t="s">
        <v>641</v>
      </c>
      <c r="E60" t="s">
        <v>642</v>
      </c>
      <c r="F60" t="s">
        <v>414</v>
      </c>
      <c r="G60" t="s">
        <v>566</v>
      </c>
      <c r="H60" t="s">
        <v>637</v>
      </c>
      <c r="I60" t="s">
        <v>31</v>
      </c>
      <c r="J60">
        <v>1693506600.5</v>
      </c>
      <c r="K60">
        <f t="shared" si="46"/>
        <v>3.6219056367579284E-3</v>
      </c>
      <c r="L60">
        <f t="shared" si="47"/>
        <v>3.6219056367579285</v>
      </c>
      <c r="M60">
        <f t="shared" si="48"/>
        <v>31.152134955350515</v>
      </c>
      <c r="N60">
        <f t="shared" si="49"/>
        <v>261.41199999999998</v>
      </c>
      <c r="O60">
        <f t="shared" si="50"/>
        <v>53.812299014055874</v>
      </c>
      <c r="P60">
        <f t="shared" si="51"/>
        <v>5.3624449049602534</v>
      </c>
      <c r="Q60">
        <f t="shared" si="52"/>
        <v>26.049945331815593</v>
      </c>
      <c r="R60">
        <f t="shared" si="53"/>
        <v>0.2545770273342024</v>
      </c>
      <c r="S60">
        <f t="shared" si="54"/>
        <v>2.9269162158215805</v>
      </c>
      <c r="T60">
        <f t="shared" si="55"/>
        <v>0.24288428308832438</v>
      </c>
      <c r="U60">
        <f t="shared" si="56"/>
        <v>0.15280846329455652</v>
      </c>
      <c r="V60">
        <f t="shared" si="57"/>
        <v>344.39349967102385</v>
      </c>
      <c r="W60">
        <f t="shared" si="58"/>
        <v>31.342771431265657</v>
      </c>
      <c r="X60">
        <f t="shared" si="59"/>
        <v>30.025500000000001</v>
      </c>
      <c r="Y60">
        <f t="shared" si="60"/>
        <v>4.2666940336134118</v>
      </c>
      <c r="Z60">
        <f t="shared" si="61"/>
        <v>65.542899040733531</v>
      </c>
      <c r="AA60">
        <f t="shared" si="62"/>
        <v>2.8336335955402796</v>
      </c>
      <c r="AB60">
        <f t="shared" si="63"/>
        <v>4.3233266105291381</v>
      </c>
      <c r="AC60">
        <f t="shared" si="64"/>
        <v>1.4330604380731322</v>
      </c>
      <c r="AD60">
        <f t="shared" si="65"/>
        <v>-159.72603858102465</v>
      </c>
      <c r="AE60">
        <f t="shared" si="66"/>
        <v>36.261499434889913</v>
      </c>
      <c r="AF60">
        <f t="shared" si="67"/>
        <v>2.7585330774322974</v>
      </c>
      <c r="AG60">
        <f t="shared" si="68"/>
        <v>223.68749360232138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52224.621008934759</v>
      </c>
      <c r="AM60" t="s">
        <v>417</v>
      </c>
      <c r="AN60">
        <v>10366.9</v>
      </c>
      <c r="AO60">
        <v>993.59653846153856</v>
      </c>
      <c r="AP60">
        <v>3431.87</v>
      </c>
      <c r="AQ60">
        <f t="shared" si="72"/>
        <v>0.71047955241266758</v>
      </c>
      <c r="AR60">
        <v>-3.9894345373445681</v>
      </c>
      <c r="AS60" t="s">
        <v>643</v>
      </c>
      <c r="AT60">
        <v>10307.5</v>
      </c>
      <c r="AU60">
        <v>672.70326923076925</v>
      </c>
      <c r="AV60">
        <v>900.76921858997184</v>
      </c>
      <c r="AW60">
        <f t="shared" si="73"/>
        <v>0.25319021193487046</v>
      </c>
      <c r="AX60">
        <v>0.5</v>
      </c>
      <c r="AY60">
        <f t="shared" si="74"/>
        <v>1513.2935998355117</v>
      </c>
      <c r="AZ60">
        <f t="shared" si="75"/>
        <v>31.152134955350515</v>
      </c>
      <c r="BA60">
        <f t="shared" si="76"/>
        <v>191.57556363101813</v>
      </c>
      <c r="BB60">
        <f t="shared" si="77"/>
        <v>2.3221911132456263E-2</v>
      </c>
      <c r="BC60">
        <f t="shared" si="78"/>
        <v>2.8099325878076873</v>
      </c>
      <c r="BD60">
        <f t="shared" si="79"/>
        <v>547.87895839424516</v>
      </c>
      <c r="BE60" t="s">
        <v>644</v>
      </c>
      <c r="BF60">
        <v>525.61</v>
      </c>
      <c r="BG60">
        <f t="shared" si="80"/>
        <v>525.61</v>
      </c>
      <c r="BH60">
        <f t="shared" si="81"/>
        <v>0.41648760953136377</v>
      </c>
      <c r="BI60">
        <f t="shared" si="82"/>
        <v>0.60791775347113619</v>
      </c>
      <c r="BJ60">
        <f t="shared" si="83"/>
        <v>0.87091340121325289</v>
      </c>
      <c r="BK60">
        <f t="shared" si="84"/>
        <v>-2.4568839181692228</v>
      </c>
      <c r="BL60">
        <f t="shared" si="85"/>
        <v>1.0380709224522322</v>
      </c>
      <c r="BM60">
        <f t="shared" si="86"/>
        <v>0.47499048245646436</v>
      </c>
      <c r="BN60">
        <f t="shared" si="87"/>
        <v>0.52500951754353564</v>
      </c>
      <c r="BO60">
        <v>16792</v>
      </c>
      <c r="BP60">
        <v>290.00000000000011</v>
      </c>
      <c r="BQ60">
        <v>837.31</v>
      </c>
      <c r="BR60">
        <v>205</v>
      </c>
      <c r="BS60">
        <v>10307.5</v>
      </c>
      <c r="BT60">
        <v>835.59</v>
      </c>
      <c r="BU60">
        <v>1.72</v>
      </c>
      <c r="BV60">
        <v>300.00000000000011</v>
      </c>
      <c r="BW60">
        <v>38.4</v>
      </c>
      <c r="BX60">
        <v>900.76921858997184</v>
      </c>
      <c r="BY60">
        <v>1.4356794611492181</v>
      </c>
      <c r="BZ60">
        <v>-67.181519193933539</v>
      </c>
      <c r="CA60">
        <v>1.211018334186301</v>
      </c>
      <c r="CB60">
        <v>0.99098374146835555</v>
      </c>
      <c r="CC60">
        <v>-1.122596329254728E-2</v>
      </c>
      <c r="CD60">
        <v>289.99999999999989</v>
      </c>
      <c r="CE60">
        <v>832.3</v>
      </c>
      <c r="CF60">
        <v>665</v>
      </c>
      <c r="CG60">
        <v>10285.5</v>
      </c>
      <c r="CH60">
        <v>835.45</v>
      </c>
      <c r="CI60">
        <v>-3.15</v>
      </c>
      <c r="CW60">
        <f t="shared" si="88"/>
        <v>1800.13</v>
      </c>
      <c r="CX60">
        <f t="shared" si="89"/>
        <v>1513.2935998355117</v>
      </c>
      <c r="CY60">
        <f t="shared" si="90"/>
        <v>0.84065795238983387</v>
      </c>
      <c r="CZ60">
        <f t="shared" si="91"/>
        <v>0.19131590477966803</v>
      </c>
      <c r="DA60">
        <v>6</v>
      </c>
      <c r="DB60">
        <v>0.5</v>
      </c>
      <c r="DC60" t="s">
        <v>420</v>
      </c>
      <c r="DD60">
        <v>2</v>
      </c>
      <c r="DE60">
        <v>1693506600.5</v>
      </c>
      <c r="DF60">
        <v>261.41199999999998</v>
      </c>
      <c r="DG60">
        <v>299.94900000000001</v>
      </c>
      <c r="DH60">
        <v>28.435600000000001</v>
      </c>
      <c r="DI60">
        <v>24.210899999999999</v>
      </c>
      <c r="DJ60">
        <v>262.67700000000002</v>
      </c>
      <c r="DK60">
        <v>28.699300000000001</v>
      </c>
      <c r="DL60">
        <v>499.76299999999998</v>
      </c>
      <c r="DM60">
        <v>99.551299999999998</v>
      </c>
      <c r="DN60">
        <v>9.9616300000000005E-2</v>
      </c>
      <c r="DO60">
        <v>30.255299999999998</v>
      </c>
      <c r="DP60">
        <v>30.025500000000001</v>
      </c>
      <c r="DQ60">
        <v>999.9</v>
      </c>
      <c r="DR60">
        <v>0</v>
      </c>
      <c r="DS60">
        <v>0</v>
      </c>
      <c r="DT60">
        <v>10030</v>
      </c>
      <c r="DU60">
        <v>0</v>
      </c>
      <c r="DV60">
        <v>1496.93</v>
      </c>
      <c r="DW60">
        <v>-38.536299999999997</v>
      </c>
      <c r="DX60">
        <v>269.06299999999999</v>
      </c>
      <c r="DY60">
        <v>307.39100000000002</v>
      </c>
      <c r="DZ60">
        <v>4.2246899999999998</v>
      </c>
      <c r="EA60">
        <v>299.94900000000001</v>
      </c>
      <c r="EB60">
        <v>24.210899999999999</v>
      </c>
      <c r="EC60">
        <v>2.8308</v>
      </c>
      <c r="ED60">
        <v>2.4102299999999999</v>
      </c>
      <c r="EE60">
        <v>23.064800000000002</v>
      </c>
      <c r="EF60">
        <v>20.432700000000001</v>
      </c>
      <c r="EG60">
        <v>1800.13</v>
      </c>
      <c r="EH60">
        <v>0.97800500000000001</v>
      </c>
      <c r="EI60">
        <v>2.1995299999999999E-2</v>
      </c>
      <c r="EJ60">
        <v>0</v>
      </c>
      <c r="EK60">
        <v>672.30399999999997</v>
      </c>
      <c r="EL60">
        <v>5.0002500000000003</v>
      </c>
      <c r="EM60">
        <v>19008.599999999999</v>
      </c>
      <c r="EN60">
        <v>14823.2</v>
      </c>
      <c r="EO60">
        <v>46.561999999999998</v>
      </c>
      <c r="EP60">
        <v>47.25</v>
      </c>
      <c r="EQ60">
        <v>47.311999999999998</v>
      </c>
      <c r="ER60">
        <v>46.125</v>
      </c>
      <c r="ES60">
        <v>47.686999999999998</v>
      </c>
      <c r="ET60">
        <v>1755.65</v>
      </c>
      <c r="EU60">
        <v>39.479999999999997</v>
      </c>
      <c r="EV60">
        <v>0</v>
      </c>
      <c r="EW60">
        <v>103.4000000953674</v>
      </c>
      <c r="EX60">
        <v>0</v>
      </c>
      <c r="EY60">
        <v>672.70326923076925</v>
      </c>
      <c r="EZ60">
        <v>-1.817333326943404</v>
      </c>
      <c r="FA60">
        <v>4.1504278098137899</v>
      </c>
      <c r="FB60">
        <v>19024.169230769228</v>
      </c>
      <c r="FC60">
        <v>15</v>
      </c>
      <c r="FD60">
        <v>1693506568</v>
      </c>
      <c r="FE60" t="s">
        <v>645</v>
      </c>
      <c r="FF60">
        <v>1693506562.5</v>
      </c>
      <c r="FG60">
        <v>1693506568</v>
      </c>
      <c r="FH60">
        <v>51</v>
      </c>
      <c r="FI60">
        <v>-0.11700000000000001</v>
      </c>
      <c r="FJ60">
        <v>-4.0000000000000001E-3</v>
      </c>
      <c r="FK60">
        <v>-1.264</v>
      </c>
      <c r="FL60">
        <v>-0.26400000000000001</v>
      </c>
      <c r="FM60">
        <v>300</v>
      </c>
      <c r="FN60">
        <v>24</v>
      </c>
      <c r="FO60">
        <v>0.15</v>
      </c>
      <c r="FP60">
        <v>7.0000000000000007E-2</v>
      </c>
      <c r="FQ60">
        <v>31.114725234452631</v>
      </c>
      <c r="FR60">
        <v>0.18773073566048601</v>
      </c>
      <c r="FS60">
        <v>6.9368732378159798E-2</v>
      </c>
      <c r="FT60">
        <v>1</v>
      </c>
      <c r="FU60">
        <v>0.25275681763176361</v>
      </c>
      <c r="FV60">
        <v>4.9491190575193203E-2</v>
      </c>
      <c r="FW60">
        <v>3.8714421585170169E-3</v>
      </c>
      <c r="FX60">
        <v>1</v>
      </c>
      <c r="FY60">
        <v>2</v>
      </c>
      <c r="FZ60">
        <v>2</v>
      </c>
      <c r="GA60" t="s">
        <v>422</v>
      </c>
      <c r="GB60">
        <v>2.9203299999999999</v>
      </c>
      <c r="GC60">
        <v>2.8297599999999998</v>
      </c>
      <c r="GD60">
        <v>6.4974199999999996E-2</v>
      </c>
      <c r="GE60">
        <v>7.1102399999999996E-2</v>
      </c>
      <c r="GF60">
        <v>0.13569500000000001</v>
      </c>
      <c r="GG60">
        <v>0.115985</v>
      </c>
      <c r="GH60">
        <v>24494.1</v>
      </c>
      <c r="GI60">
        <v>29639.4</v>
      </c>
      <c r="GJ60">
        <v>23578.6</v>
      </c>
      <c r="GK60">
        <v>29204.5</v>
      </c>
      <c r="GL60">
        <v>27787.3</v>
      </c>
      <c r="GM60">
        <v>36528.699999999997</v>
      </c>
      <c r="GN60">
        <v>33348.199999999997</v>
      </c>
      <c r="GO60">
        <v>43112.4</v>
      </c>
      <c r="GP60">
        <v>2.0226000000000002</v>
      </c>
      <c r="GQ60">
        <v>1.9085000000000001</v>
      </c>
      <c r="GR60">
        <v>0.10022499999999999</v>
      </c>
      <c r="GS60">
        <v>0</v>
      </c>
      <c r="GT60">
        <v>28.392399999999999</v>
      </c>
      <c r="GU60">
        <v>999.9</v>
      </c>
      <c r="GV60">
        <v>58.5</v>
      </c>
      <c r="GW60">
        <v>31.9</v>
      </c>
      <c r="GX60">
        <v>27.902100000000001</v>
      </c>
      <c r="GY60">
        <v>61.197699999999998</v>
      </c>
      <c r="GZ60">
        <v>34.6434</v>
      </c>
      <c r="HA60">
        <v>1</v>
      </c>
      <c r="HB60">
        <v>0.231433</v>
      </c>
      <c r="HC60">
        <v>0.97701499999999997</v>
      </c>
      <c r="HD60">
        <v>20.2774</v>
      </c>
      <c r="HE60">
        <v>5.2023099999999998</v>
      </c>
      <c r="HF60">
        <v>11.872199999999999</v>
      </c>
      <c r="HG60">
        <v>4.9821999999999997</v>
      </c>
      <c r="HH60">
        <v>3.2822</v>
      </c>
      <c r="HI60">
        <v>9999</v>
      </c>
      <c r="HJ60">
        <v>9999</v>
      </c>
      <c r="HK60">
        <v>9999</v>
      </c>
      <c r="HL60">
        <v>999.9</v>
      </c>
      <c r="HM60">
        <v>1.85486</v>
      </c>
      <c r="HN60">
        <v>1.86093</v>
      </c>
      <c r="HO60">
        <v>1.8583700000000001</v>
      </c>
      <c r="HP60">
        <v>1.8595900000000001</v>
      </c>
      <c r="HQ60">
        <v>1.8589500000000001</v>
      </c>
      <c r="HR60">
        <v>1.85944</v>
      </c>
      <c r="HS60">
        <v>1.8578399999999999</v>
      </c>
      <c r="HT60">
        <v>1.86124</v>
      </c>
      <c r="HU60">
        <v>5</v>
      </c>
      <c r="HV60">
        <v>0</v>
      </c>
      <c r="HW60">
        <v>0</v>
      </c>
      <c r="HX60">
        <v>0</v>
      </c>
      <c r="HY60" t="s">
        <v>423</v>
      </c>
      <c r="HZ60" t="s">
        <v>424</v>
      </c>
      <c r="IA60" t="s">
        <v>425</v>
      </c>
      <c r="IB60" t="s">
        <v>425</v>
      </c>
      <c r="IC60" t="s">
        <v>425</v>
      </c>
      <c r="ID60" t="s">
        <v>425</v>
      </c>
      <c r="IE60">
        <v>0</v>
      </c>
      <c r="IF60">
        <v>100</v>
      </c>
      <c r="IG60">
        <v>100</v>
      </c>
      <c r="IH60">
        <v>-1.2649999999999999</v>
      </c>
      <c r="II60">
        <v>-0.26369999999999999</v>
      </c>
      <c r="IJ60">
        <v>-1.2644761904762161</v>
      </c>
      <c r="IK60">
        <v>0</v>
      </c>
      <c r="IL60">
        <v>0</v>
      </c>
      <c r="IM60">
        <v>0</v>
      </c>
      <c r="IN60">
        <v>-0.26374000000000208</v>
      </c>
      <c r="IO60">
        <v>0</v>
      </c>
      <c r="IP60">
        <v>0</v>
      </c>
      <c r="IQ60">
        <v>0</v>
      </c>
      <c r="IR60">
        <v>-1</v>
      </c>
      <c r="IS60">
        <v>-1</v>
      </c>
      <c r="IT60">
        <v>-1</v>
      </c>
      <c r="IU60">
        <v>-1</v>
      </c>
      <c r="IV60">
        <v>0.6</v>
      </c>
      <c r="IW60">
        <v>0.5</v>
      </c>
      <c r="IX60">
        <v>0.79711900000000002</v>
      </c>
      <c r="IY60">
        <v>2.4450699999999999</v>
      </c>
      <c r="IZ60">
        <v>1.49414</v>
      </c>
      <c r="JA60">
        <v>2.2997999999999998</v>
      </c>
      <c r="JB60">
        <v>1.54419</v>
      </c>
      <c r="JC60">
        <v>2.4255399999999998</v>
      </c>
      <c r="JD60">
        <v>36.245899999999999</v>
      </c>
      <c r="JE60">
        <v>23.947399999999998</v>
      </c>
      <c r="JF60">
        <v>18</v>
      </c>
      <c r="JG60">
        <v>532.93600000000004</v>
      </c>
      <c r="JH60">
        <v>493.03800000000001</v>
      </c>
      <c r="JI60">
        <v>27.1464</v>
      </c>
      <c r="JJ60">
        <v>30.398800000000001</v>
      </c>
      <c r="JK60">
        <v>30.0001</v>
      </c>
      <c r="JL60">
        <v>30.412400000000002</v>
      </c>
      <c r="JM60">
        <v>30.394300000000001</v>
      </c>
      <c r="JN60">
        <v>16.027200000000001</v>
      </c>
      <c r="JO60">
        <v>21.444400000000002</v>
      </c>
      <c r="JP60">
        <v>100</v>
      </c>
      <c r="JQ60">
        <v>27.167200000000001</v>
      </c>
      <c r="JR60">
        <v>300</v>
      </c>
      <c r="JS60">
        <v>24.0822</v>
      </c>
      <c r="JT60">
        <v>98.895499999999998</v>
      </c>
      <c r="JU60">
        <v>97.105099999999993</v>
      </c>
    </row>
    <row r="61" spans="1:281" x14ac:dyDescent="0.25">
      <c r="A61">
        <v>45</v>
      </c>
      <c r="B61">
        <v>1693506715</v>
      </c>
      <c r="C61">
        <v>12579</v>
      </c>
      <c r="D61" t="s">
        <v>646</v>
      </c>
      <c r="E61" t="s">
        <v>647</v>
      </c>
      <c r="F61" t="s">
        <v>414</v>
      </c>
      <c r="G61" t="s">
        <v>566</v>
      </c>
      <c r="H61" t="s">
        <v>637</v>
      </c>
      <c r="I61" t="s">
        <v>31</v>
      </c>
      <c r="J61">
        <v>1693506715</v>
      </c>
      <c r="K61">
        <f t="shared" si="46"/>
        <v>4.1686336899922948E-3</v>
      </c>
      <c r="L61">
        <f t="shared" si="47"/>
        <v>4.1686336899922951</v>
      </c>
      <c r="M61">
        <f t="shared" si="48"/>
        <v>22.221108894607347</v>
      </c>
      <c r="N61">
        <f t="shared" si="49"/>
        <v>172.41300000000001</v>
      </c>
      <c r="O61">
        <f t="shared" si="50"/>
        <v>43.596646352183164</v>
      </c>
      <c r="P61">
        <f t="shared" si="51"/>
        <v>4.3445833781356447</v>
      </c>
      <c r="Q61">
        <f t="shared" si="52"/>
        <v>17.181657688148999</v>
      </c>
      <c r="R61">
        <f t="shared" si="53"/>
        <v>0.29510384882682694</v>
      </c>
      <c r="S61">
        <f t="shared" si="54"/>
        <v>2.9155686890425261</v>
      </c>
      <c r="T61">
        <f t="shared" si="55"/>
        <v>0.27945721887891145</v>
      </c>
      <c r="U61">
        <f t="shared" si="56"/>
        <v>0.17599738540313117</v>
      </c>
      <c r="V61">
        <f t="shared" si="57"/>
        <v>344.37259967100374</v>
      </c>
      <c r="W61">
        <f t="shared" si="58"/>
        <v>31.21667467357809</v>
      </c>
      <c r="X61">
        <f t="shared" si="59"/>
        <v>29.991</v>
      </c>
      <c r="Y61">
        <f t="shared" si="60"/>
        <v>4.2582478177999326</v>
      </c>
      <c r="Z61">
        <f t="shared" si="61"/>
        <v>65.285506553552366</v>
      </c>
      <c r="AA61">
        <f t="shared" si="62"/>
        <v>2.8245452180754995</v>
      </c>
      <c r="AB61">
        <f t="shared" si="63"/>
        <v>4.3264506430054013</v>
      </c>
      <c r="AC61">
        <f t="shared" si="64"/>
        <v>1.433702599724433</v>
      </c>
      <c r="AD61">
        <f t="shared" si="65"/>
        <v>-183.83674572866019</v>
      </c>
      <c r="AE61">
        <f t="shared" si="66"/>
        <v>43.524288134417837</v>
      </c>
      <c r="AF61">
        <f t="shared" si="67"/>
        <v>3.3235643514640381</v>
      </c>
      <c r="AG61">
        <f t="shared" si="68"/>
        <v>207.38370642822542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51898.988318165801</v>
      </c>
      <c r="AM61" t="s">
        <v>417</v>
      </c>
      <c r="AN61">
        <v>10366.9</v>
      </c>
      <c r="AO61">
        <v>993.59653846153856</v>
      </c>
      <c r="AP61">
        <v>3431.87</v>
      </c>
      <c r="AQ61">
        <f t="shared" si="72"/>
        <v>0.71047955241266758</v>
      </c>
      <c r="AR61">
        <v>-3.9894345373445681</v>
      </c>
      <c r="AS61" t="s">
        <v>648</v>
      </c>
      <c r="AT61">
        <v>10307.9</v>
      </c>
      <c r="AU61">
        <v>671.72327999999993</v>
      </c>
      <c r="AV61">
        <v>841.81808796139876</v>
      </c>
      <c r="AW61">
        <f t="shared" si="73"/>
        <v>0.20205648986862645</v>
      </c>
      <c r="AX61">
        <v>0.5</v>
      </c>
      <c r="AY61">
        <f t="shared" si="74"/>
        <v>1513.2011998355017</v>
      </c>
      <c r="AZ61">
        <f t="shared" si="75"/>
        <v>22.221108894607347</v>
      </c>
      <c r="BA61">
        <f t="shared" si="76"/>
        <v>152.87606145187772</v>
      </c>
      <c r="BB61">
        <f t="shared" si="77"/>
        <v>1.7321254724620382E-2</v>
      </c>
      <c r="BC61">
        <f t="shared" si="78"/>
        <v>3.0767358756935703</v>
      </c>
      <c r="BD61">
        <f t="shared" si="79"/>
        <v>525.49615336757972</v>
      </c>
      <c r="BE61" t="s">
        <v>649</v>
      </c>
      <c r="BF61">
        <v>516.66</v>
      </c>
      <c r="BG61">
        <f t="shared" si="80"/>
        <v>516.66</v>
      </c>
      <c r="BH61">
        <f t="shared" si="81"/>
        <v>0.38625695101042878</v>
      </c>
      <c r="BI61">
        <f t="shared" si="82"/>
        <v>0.52311418432744528</v>
      </c>
      <c r="BJ61">
        <f t="shared" si="83"/>
        <v>0.88846152148167756</v>
      </c>
      <c r="BK61">
        <f t="shared" si="84"/>
        <v>-1.1206782478072681</v>
      </c>
      <c r="BL61">
        <f t="shared" si="85"/>
        <v>1.0622483297687098</v>
      </c>
      <c r="BM61">
        <f t="shared" si="86"/>
        <v>0.40235642045131725</v>
      </c>
      <c r="BN61">
        <f t="shared" si="87"/>
        <v>0.59764357954868275</v>
      </c>
      <c r="BO61">
        <v>16794</v>
      </c>
      <c r="BP61">
        <v>290.00000000000011</v>
      </c>
      <c r="BQ61">
        <v>793.35</v>
      </c>
      <c r="BR61">
        <v>195</v>
      </c>
      <c r="BS61">
        <v>10307.9</v>
      </c>
      <c r="BT61">
        <v>792.89</v>
      </c>
      <c r="BU61">
        <v>0.46</v>
      </c>
      <c r="BV61">
        <v>300.00000000000011</v>
      </c>
      <c r="BW61">
        <v>38.4</v>
      </c>
      <c r="BX61">
        <v>841.81808796139876</v>
      </c>
      <c r="BY61">
        <v>0.92987368288985051</v>
      </c>
      <c r="BZ61">
        <v>-50.431045817140742</v>
      </c>
      <c r="CA61">
        <v>0.78428700391663486</v>
      </c>
      <c r="CB61">
        <v>0.99327362581207801</v>
      </c>
      <c r="CC61">
        <v>-1.1224678086763079E-2</v>
      </c>
      <c r="CD61">
        <v>289.99999999999989</v>
      </c>
      <c r="CE61">
        <v>790.86</v>
      </c>
      <c r="CF61">
        <v>715</v>
      </c>
      <c r="CG61">
        <v>10281.1</v>
      </c>
      <c r="CH61">
        <v>792.77</v>
      </c>
      <c r="CI61">
        <v>-1.91</v>
      </c>
      <c r="CW61">
        <f t="shared" si="88"/>
        <v>1800.02</v>
      </c>
      <c r="CX61">
        <f t="shared" si="89"/>
        <v>1513.2011998355017</v>
      </c>
      <c r="CY61">
        <f t="shared" si="90"/>
        <v>0.84065799259758323</v>
      </c>
      <c r="CZ61">
        <f t="shared" si="91"/>
        <v>0.19131598519516657</v>
      </c>
      <c r="DA61">
        <v>6</v>
      </c>
      <c r="DB61">
        <v>0.5</v>
      </c>
      <c r="DC61" t="s">
        <v>420</v>
      </c>
      <c r="DD61">
        <v>2</v>
      </c>
      <c r="DE61">
        <v>1693506715</v>
      </c>
      <c r="DF61">
        <v>172.41300000000001</v>
      </c>
      <c r="DG61">
        <v>199.95</v>
      </c>
      <c r="DH61">
        <v>28.343499999999999</v>
      </c>
      <c r="DI61">
        <v>23.481300000000001</v>
      </c>
      <c r="DJ61">
        <v>173.672</v>
      </c>
      <c r="DK61">
        <v>28.613900000000001</v>
      </c>
      <c r="DL61">
        <v>499.83300000000003</v>
      </c>
      <c r="DM61">
        <v>99.553600000000003</v>
      </c>
      <c r="DN61">
        <v>0.10047300000000001</v>
      </c>
      <c r="DO61">
        <v>30.267900000000001</v>
      </c>
      <c r="DP61">
        <v>29.991</v>
      </c>
      <c r="DQ61">
        <v>999.9</v>
      </c>
      <c r="DR61">
        <v>0</v>
      </c>
      <c r="DS61">
        <v>0</v>
      </c>
      <c r="DT61">
        <v>9965</v>
      </c>
      <c r="DU61">
        <v>0</v>
      </c>
      <c r="DV61">
        <v>1492.2</v>
      </c>
      <c r="DW61">
        <v>-27.537099999999999</v>
      </c>
      <c r="DX61">
        <v>177.44200000000001</v>
      </c>
      <c r="DY61">
        <v>204.75800000000001</v>
      </c>
      <c r="DZ61">
        <v>4.8622100000000001</v>
      </c>
      <c r="EA61">
        <v>199.95</v>
      </c>
      <c r="EB61">
        <v>23.481300000000001</v>
      </c>
      <c r="EC61">
        <v>2.8216999999999999</v>
      </c>
      <c r="ED61">
        <v>2.33765</v>
      </c>
      <c r="EE61">
        <v>23.011600000000001</v>
      </c>
      <c r="EF61">
        <v>19.938199999999998</v>
      </c>
      <c r="EG61">
        <v>1800.02</v>
      </c>
      <c r="EH61">
        <v>0.97800500000000001</v>
      </c>
      <c r="EI61">
        <v>2.1995299999999999E-2</v>
      </c>
      <c r="EJ61">
        <v>0</v>
      </c>
      <c r="EK61">
        <v>671.38699999999994</v>
      </c>
      <c r="EL61">
        <v>5.0002500000000003</v>
      </c>
      <c r="EM61">
        <v>18927.5</v>
      </c>
      <c r="EN61">
        <v>14822.3</v>
      </c>
      <c r="EO61">
        <v>46.686999999999998</v>
      </c>
      <c r="EP61">
        <v>47.375</v>
      </c>
      <c r="EQ61">
        <v>47.436999999999998</v>
      </c>
      <c r="ER61">
        <v>46.25</v>
      </c>
      <c r="ES61">
        <v>47.811999999999998</v>
      </c>
      <c r="ET61">
        <v>1755.54</v>
      </c>
      <c r="EU61">
        <v>39.479999999999997</v>
      </c>
      <c r="EV61">
        <v>0</v>
      </c>
      <c r="EW61">
        <v>112.4000000953674</v>
      </c>
      <c r="EX61">
        <v>0</v>
      </c>
      <c r="EY61">
        <v>671.72327999999993</v>
      </c>
      <c r="EZ61">
        <v>-1.615076904419342</v>
      </c>
      <c r="FA61">
        <v>-52.815384543276593</v>
      </c>
      <c r="FB61">
        <v>18933.292000000001</v>
      </c>
      <c r="FC61">
        <v>15</v>
      </c>
      <c r="FD61">
        <v>1693506680.5</v>
      </c>
      <c r="FE61" t="s">
        <v>650</v>
      </c>
      <c r="FF61">
        <v>1693506671</v>
      </c>
      <c r="FG61">
        <v>1693506680.5</v>
      </c>
      <c r="FH61">
        <v>52</v>
      </c>
      <c r="FI61">
        <v>5.0000000000000001E-3</v>
      </c>
      <c r="FJ61">
        <v>-7.0000000000000001E-3</v>
      </c>
      <c r="FK61">
        <v>-1.2589999999999999</v>
      </c>
      <c r="FL61">
        <v>-0.27</v>
      </c>
      <c r="FM61">
        <v>200</v>
      </c>
      <c r="FN61">
        <v>24</v>
      </c>
      <c r="FO61">
        <v>0.14000000000000001</v>
      </c>
      <c r="FP61">
        <v>0.06</v>
      </c>
      <c r="FQ61">
        <v>22.198024091085671</v>
      </c>
      <c r="FR61">
        <v>0.61112084392667865</v>
      </c>
      <c r="FS61">
        <v>7.5112901991960329E-2</v>
      </c>
      <c r="FT61">
        <v>1</v>
      </c>
      <c r="FU61">
        <v>0.28911524360602259</v>
      </c>
      <c r="FV61">
        <v>4.7123145654421432E-2</v>
      </c>
      <c r="FW61">
        <v>3.862032143762786E-3</v>
      </c>
      <c r="FX61">
        <v>1</v>
      </c>
      <c r="FY61">
        <v>2</v>
      </c>
      <c r="FZ61">
        <v>2</v>
      </c>
      <c r="GA61" t="s">
        <v>422</v>
      </c>
      <c r="GB61">
        <v>2.9203999999999999</v>
      </c>
      <c r="GC61">
        <v>2.83005</v>
      </c>
      <c r="GD61">
        <v>4.5434500000000003E-2</v>
      </c>
      <c r="GE61">
        <v>5.0459200000000003E-2</v>
      </c>
      <c r="GF61">
        <v>0.13539499999999999</v>
      </c>
      <c r="GG61">
        <v>0.113515</v>
      </c>
      <c r="GH61">
        <v>25003.4</v>
      </c>
      <c r="GI61">
        <v>30296.799999999999</v>
      </c>
      <c r="GJ61">
        <v>23576.6</v>
      </c>
      <c r="GK61">
        <v>29203.8</v>
      </c>
      <c r="GL61">
        <v>27792.3</v>
      </c>
      <c r="GM61">
        <v>36630.699999999997</v>
      </c>
      <c r="GN61">
        <v>33344.1</v>
      </c>
      <c r="GO61">
        <v>43111.4</v>
      </c>
      <c r="GP61">
        <v>2.0230999999999999</v>
      </c>
      <c r="GQ61">
        <v>1.9043000000000001</v>
      </c>
      <c r="GR61">
        <v>9.5263100000000003E-2</v>
      </c>
      <c r="GS61">
        <v>0</v>
      </c>
      <c r="GT61">
        <v>28.438800000000001</v>
      </c>
      <c r="GU61">
        <v>999.9</v>
      </c>
      <c r="GV61">
        <v>58.4</v>
      </c>
      <c r="GW61">
        <v>32</v>
      </c>
      <c r="GX61">
        <v>28.0121</v>
      </c>
      <c r="GY61">
        <v>61.127699999999997</v>
      </c>
      <c r="GZ61">
        <v>34.923900000000003</v>
      </c>
      <c r="HA61">
        <v>1</v>
      </c>
      <c r="HB61">
        <v>0.23817099999999999</v>
      </c>
      <c r="HC61">
        <v>0.79594799999999999</v>
      </c>
      <c r="HD61">
        <v>20.28</v>
      </c>
      <c r="HE61">
        <v>5.2112999999999996</v>
      </c>
      <c r="HF61">
        <v>11.872199999999999</v>
      </c>
      <c r="HG61">
        <v>4.9854000000000003</v>
      </c>
      <c r="HH61">
        <v>3.2839999999999998</v>
      </c>
      <c r="HI61">
        <v>9999</v>
      </c>
      <c r="HJ61">
        <v>9999</v>
      </c>
      <c r="HK61">
        <v>9999</v>
      </c>
      <c r="HL61">
        <v>999.9</v>
      </c>
      <c r="HM61">
        <v>1.8547800000000001</v>
      </c>
      <c r="HN61">
        <v>1.8608899999999999</v>
      </c>
      <c r="HO61">
        <v>1.8583700000000001</v>
      </c>
      <c r="HP61">
        <v>1.8595900000000001</v>
      </c>
      <c r="HQ61">
        <v>1.85893</v>
      </c>
      <c r="HR61">
        <v>1.85944</v>
      </c>
      <c r="HS61">
        <v>1.8577900000000001</v>
      </c>
      <c r="HT61">
        <v>1.86121</v>
      </c>
      <c r="HU61">
        <v>5</v>
      </c>
      <c r="HV61">
        <v>0</v>
      </c>
      <c r="HW61">
        <v>0</v>
      </c>
      <c r="HX61">
        <v>0</v>
      </c>
      <c r="HY61" t="s">
        <v>423</v>
      </c>
      <c r="HZ61" t="s">
        <v>424</v>
      </c>
      <c r="IA61" t="s">
        <v>425</v>
      </c>
      <c r="IB61" t="s">
        <v>425</v>
      </c>
      <c r="IC61" t="s">
        <v>425</v>
      </c>
      <c r="ID61" t="s">
        <v>425</v>
      </c>
      <c r="IE61">
        <v>0</v>
      </c>
      <c r="IF61">
        <v>100</v>
      </c>
      <c r="IG61">
        <v>100</v>
      </c>
      <c r="IH61">
        <v>-1.2589999999999999</v>
      </c>
      <c r="II61">
        <v>-0.27039999999999997</v>
      </c>
      <c r="IJ61">
        <v>-1.2589499999999989</v>
      </c>
      <c r="IK61">
        <v>0</v>
      </c>
      <c r="IL61">
        <v>0</v>
      </c>
      <c r="IM61">
        <v>0</v>
      </c>
      <c r="IN61">
        <v>-0.27045238095238489</v>
      </c>
      <c r="IO61">
        <v>0</v>
      </c>
      <c r="IP61">
        <v>0</v>
      </c>
      <c r="IQ61">
        <v>0</v>
      </c>
      <c r="IR61">
        <v>-1</v>
      </c>
      <c r="IS61">
        <v>-1</v>
      </c>
      <c r="IT61">
        <v>-1</v>
      </c>
      <c r="IU61">
        <v>-1</v>
      </c>
      <c r="IV61">
        <v>0.7</v>
      </c>
      <c r="IW61">
        <v>0.6</v>
      </c>
      <c r="IX61">
        <v>0.58715799999999996</v>
      </c>
      <c r="IY61">
        <v>2.4548299999999998</v>
      </c>
      <c r="IZ61">
        <v>1.49414</v>
      </c>
      <c r="JA61">
        <v>2.2985799999999998</v>
      </c>
      <c r="JB61">
        <v>1.54419</v>
      </c>
      <c r="JC61">
        <v>2.49756</v>
      </c>
      <c r="JD61">
        <v>36.245899999999999</v>
      </c>
      <c r="JE61">
        <v>23.991199999999999</v>
      </c>
      <c r="JF61">
        <v>18</v>
      </c>
      <c r="JG61">
        <v>533.928</v>
      </c>
      <c r="JH61">
        <v>490.64299999999997</v>
      </c>
      <c r="JI61">
        <v>27.521000000000001</v>
      </c>
      <c r="JJ61">
        <v>30.486699999999999</v>
      </c>
      <c r="JK61">
        <v>30.000699999999998</v>
      </c>
      <c r="JL61">
        <v>30.485700000000001</v>
      </c>
      <c r="JM61">
        <v>30.467300000000002</v>
      </c>
      <c r="JN61">
        <v>11.813800000000001</v>
      </c>
      <c r="JO61">
        <v>24.565000000000001</v>
      </c>
      <c r="JP61">
        <v>100</v>
      </c>
      <c r="JQ61">
        <v>27.463899999999999</v>
      </c>
      <c r="JR61">
        <v>200</v>
      </c>
      <c r="JS61">
        <v>23.465800000000002</v>
      </c>
      <c r="JT61">
        <v>98.884799999999998</v>
      </c>
      <c r="JU61">
        <v>97.102900000000005</v>
      </c>
    </row>
    <row r="62" spans="1:281" x14ac:dyDescent="0.25">
      <c r="A62">
        <v>46</v>
      </c>
      <c r="B62">
        <v>1693506841.5</v>
      </c>
      <c r="C62">
        <v>12705.5</v>
      </c>
      <c r="D62" t="s">
        <v>651</v>
      </c>
      <c r="E62" t="s">
        <v>652</v>
      </c>
      <c r="F62" t="s">
        <v>414</v>
      </c>
      <c r="G62" t="s">
        <v>566</v>
      </c>
      <c r="H62" t="s">
        <v>637</v>
      </c>
      <c r="I62" t="s">
        <v>31</v>
      </c>
      <c r="J62">
        <v>1693506841.5</v>
      </c>
      <c r="K62">
        <f t="shared" si="46"/>
        <v>4.4769989217267464E-3</v>
      </c>
      <c r="L62">
        <f t="shared" si="47"/>
        <v>4.4769989217267465</v>
      </c>
      <c r="M62">
        <f t="shared" si="48"/>
        <v>14.484359106061515</v>
      </c>
      <c r="N62">
        <f t="shared" si="49"/>
        <v>102.072</v>
      </c>
      <c r="O62">
        <f t="shared" si="50"/>
        <v>25.394331030223533</v>
      </c>
      <c r="P62">
        <f t="shared" si="51"/>
        <v>2.530603476347113</v>
      </c>
      <c r="Q62">
        <f t="shared" si="52"/>
        <v>10.171709494149599</v>
      </c>
      <c r="R62">
        <f t="shared" si="53"/>
        <v>0.32440481694855233</v>
      </c>
      <c r="S62">
        <f t="shared" si="54"/>
        <v>2.9217122031819747</v>
      </c>
      <c r="T62">
        <f t="shared" si="55"/>
        <v>0.30564016135072225</v>
      </c>
      <c r="U62">
        <f t="shared" si="56"/>
        <v>0.19262051934798091</v>
      </c>
      <c r="V62">
        <f t="shared" si="57"/>
        <v>344.36499967099638</v>
      </c>
      <c r="W62">
        <f t="shared" si="58"/>
        <v>31.045117485352971</v>
      </c>
      <c r="X62">
        <f t="shared" si="59"/>
        <v>29.889700000000001</v>
      </c>
      <c r="Y62">
        <f t="shared" si="60"/>
        <v>4.233531918241348</v>
      </c>
      <c r="Z62">
        <f t="shared" si="61"/>
        <v>65.644345836244327</v>
      </c>
      <c r="AA62">
        <f t="shared" si="62"/>
        <v>2.8255313291222697</v>
      </c>
      <c r="AB62">
        <f t="shared" si="63"/>
        <v>4.3043026678501892</v>
      </c>
      <c r="AC62">
        <f t="shared" si="64"/>
        <v>1.4080005891190783</v>
      </c>
      <c r="AD62">
        <f t="shared" si="65"/>
        <v>-197.43565244814951</v>
      </c>
      <c r="AE62">
        <f t="shared" si="66"/>
        <v>45.474681053616969</v>
      </c>
      <c r="AF62">
        <f t="shared" si="67"/>
        <v>3.4619263474970063</v>
      </c>
      <c r="AG62">
        <f t="shared" si="68"/>
        <v>195.86595462396085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52089.416341961107</v>
      </c>
      <c r="AM62" t="s">
        <v>417</v>
      </c>
      <c r="AN62">
        <v>10366.9</v>
      </c>
      <c r="AO62">
        <v>993.59653846153856</v>
      </c>
      <c r="AP62">
        <v>3431.87</v>
      </c>
      <c r="AQ62">
        <f t="shared" si="72"/>
        <v>0.71047955241266758</v>
      </c>
      <c r="AR62">
        <v>-3.9894345373445681</v>
      </c>
      <c r="AS62" t="s">
        <v>653</v>
      </c>
      <c r="AT62">
        <v>10311.6</v>
      </c>
      <c r="AU62">
        <v>676.85559999999998</v>
      </c>
      <c r="AV62">
        <v>796.89706645927993</v>
      </c>
      <c r="AW62">
        <f t="shared" si="73"/>
        <v>0.15063610033431318</v>
      </c>
      <c r="AX62">
        <v>0.5</v>
      </c>
      <c r="AY62">
        <f t="shared" si="74"/>
        <v>1513.1675998354983</v>
      </c>
      <c r="AZ62">
        <f t="shared" si="75"/>
        <v>14.484359106061515</v>
      </c>
      <c r="BA62">
        <f t="shared" si="76"/>
        <v>113.96883319572599</v>
      </c>
      <c r="BB62">
        <f t="shared" si="77"/>
        <v>1.2208689668886932E-2</v>
      </c>
      <c r="BC62">
        <f t="shared" si="78"/>
        <v>3.3065411386796248</v>
      </c>
      <c r="BD62">
        <f t="shared" si="79"/>
        <v>507.63338129656836</v>
      </c>
      <c r="BE62" t="s">
        <v>654</v>
      </c>
      <c r="BF62">
        <v>519.35</v>
      </c>
      <c r="BG62">
        <f t="shared" si="80"/>
        <v>519.35</v>
      </c>
      <c r="BH62">
        <f t="shared" si="81"/>
        <v>0.34828471347304435</v>
      </c>
      <c r="BI62">
        <f t="shared" si="82"/>
        <v>0.43250850383926409</v>
      </c>
      <c r="BJ62">
        <f t="shared" si="83"/>
        <v>0.90470552426789175</v>
      </c>
      <c r="BK62">
        <f t="shared" si="84"/>
        <v>-0.61027853932369247</v>
      </c>
      <c r="BL62">
        <f t="shared" si="85"/>
        <v>1.0806716207615812</v>
      </c>
      <c r="BM62">
        <f t="shared" si="86"/>
        <v>0.33186294309882614</v>
      </c>
      <c r="BN62">
        <f t="shared" si="87"/>
        <v>0.66813705690117386</v>
      </c>
      <c r="BO62">
        <v>16796</v>
      </c>
      <c r="BP62">
        <v>290.00000000000011</v>
      </c>
      <c r="BQ62">
        <v>762.67</v>
      </c>
      <c r="BR62">
        <v>165</v>
      </c>
      <c r="BS62">
        <v>10311.6</v>
      </c>
      <c r="BT62">
        <v>763.25</v>
      </c>
      <c r="BU62">
        <v>-0.57999999999999996</v>
      </c>
      <c r="BV62">
        <v>300.00000000000011</v>
      </c>
      <c r="BW62">
        <v>38.4</v>
      </c>
      <c r="BX62">
        <v>796.89706645927993</v>
      </c>
      <c r="BY62">
        <v>1.2512976197610819</v>
      </c>
      <c r="BZ62">
        <v>-34.694093079624729</v>
      </c>
      <c r="CA62">
        <v>1.0553308944593689</v>
      </c>
      <c r="CB62">
        <v>0.97474681944832187</v>
      </c>
      <c r="CC62">
        <v>-1.122398976640712E-2</v>
      </c>
      <c r="CD62">
        <v>289.99999999999989</v>
      </c>
      <c r="CE62">
        <v>761.77</v>
      </c>
      <c r="CF62">
        <v>655</v>
      </c>
      <c r="CG62">
        <v>10284.6</v>
      </c>
      <c r="CH62">
        <v>763.16</v>
      </c>
      <c r="CI62">
        <v>-1.39</v>
      </c>
      <c r="CW62">
        <f t="shared" si="88"/>
        <v>1799.98</v>
      </c>
      <c r="CX62">
        <f t="shared" si="89"/>
        <v>1513.1675998354983</v>
      </c>
      <c r="CY62">
        <f t="shared" si="90"/>
        <v>0.84065800721980144</v>
      </c>
      <c r="CZ62">
        <f t="shared" si="91"/>
        <v>0.19131601443960289</v>
      </c>
      <c r="DA62">
        <v>6</v>
      </c>
      <c r="DB62">
        <v>0.5</v>
      </c>
      <c r="DC62" t="s">
        <v>420</v>
      </c>
      <c r="DD62">
        <v>2</v>
      </c>
      <c r="DE62">
        <v>1693506841.5</v>
      </c>
      <c r="DF62">
        <v>102.072</v>
      </c>
      <c r="DG62">
        <v>120.023</v>
      </c>
      <c r="DH62">
        <v>28.353899999999999</v>
      </c>
      <c r="DI62">
        <v>23.127600000000001</v>
      </c>
      <c r="DJ62">
        <v>103.119</v>
      </c>
      <c r="DK62">
        <v>28.634899999999998</v>
      </c>
      <c r="DL62">
        <v>499.404</v>
      </c>
      <c r="DM62">
        <v>99.553899999999999</v>
      </c>
      <c r="DN62">
        <v>9.8399299999999995E-2</v>
      </c>
      <c r="DO62">
        <v>30.1784</v>
      </c>
      <c r="DP62">
        <v>29.889700000000001</v>
      </c>
      <c r="DQ62">
        <v>999.9</v>
      </c>
      <c r="DR62">
        <v>0</v>
      </c>
      <c r="DS62">
        <v>0</v>
      </c>
      <c r="DT62">
        <v>10000</v>
      </c>
      <c r="DU62">
        <v>0</v>
      </c>
      <c r="DV62">
        <v>1495.34</v>
      </c>
      <c r="DW62">
        <v>-17.9513</v>
      </c>
      <c r="DX62">
        <v>105.051</v>
      </c>
      <c r="DY62">
        <v>122.86499999999999</v>
      </c>
      <c r="DZ62">
        <v>5.22628</v>
      </c>
      <c r="EA62">
        <v>120.023</v>
      </c>
      <c r="EB62">
        <v>23.127600000000001</v>
      </c>
      <c r="EC62">
        <v>2.82274</v>
      </c>
      <c r="ED62">
        <v>2.3024399999999998</v>
      </c>
      <c r="EE62">
        <v>23.017700000000001</v>
      </c>
      <c r="EF62">
        <v>19.6935</v>
      </c>
      <c r="EG62">
        <v>1799.98</v>
      </c>
      <c r="EH62">
        <v>0.97800500000000001</v>
      </c>
      <c r="EI62">
        <v>2.1995299999999999E-2</v>
      </c>
      <c r="EJ62">
        <v>0</v>
      </c>
      <c r="EK62">
        <v>676.49199999999996</v>
      </c>
      <c r="EL62">
        <v>5.0002500000000003</v>
      </c>
      <c r="EM62">
        <v>19037</v>
      </c>
      <c r="EN62">
        <v>14822</v>
      </c>
      <c r="EO62">
        <v>46.75</v>
      </c>
      <c r="EP62">
        <v>47.436999999999998</v>
      </c>
      <c r="EQ62">
        <v>47.5</v>
      </c>
      <c r="ER62">
        <v>46.25</v>
      </c>
      <c r="ES62">
        <v>47.875</v>
      </c>
      <c r="ET62">
        <v>1755.5</v>
      </c>
      <c r="EU62">
        <v>39.479999999999997</v>
      </c>
      <c r="EV62">
        <v>0</v>
      </c>
      <c r="EW62">
        <v>124.4000000953674</v>
      </c>
      <c r="EX62">
        <v>0</v>
      </c>
      <c r="EY62">
        <v>676.85559999999998</v>
      </c>
      <c r="EZ62">
        <v>-0.79961538134898802</v>
      </c>
      <c r="FA62">
        <v>17.623077179724181</v>
      </c>
      <c r="FB62">
        <v>19037.900000000001</v>
      </c>
      <c r="FC62">
        <v>15</v>
      </c>
      <c r="FD62">
        <v>1693506809.5</v>
      </c>
      <c r="FE62" t="s">
        <v>655</v>
      </c>
      <c r="FF62">
        <v>1693506809.5</v>
      </c>
      <c r="FG62">
        <v>1693506809</v>
      </c>
      <c r="FH62">
        <v>53</v>
      </c>
      <c r="FI62">
        <v>0.21199999999999999</v>
      </c>
      <c r="FJ62">
        <v>-1.0999999999999999E-2</v>
      </c>
      <c r="FK62">
        <v>-1.0469999999999999</v>
      </c>
      <c r="FL62">
        <v>-0.28100000000000003</v>
      </c>
      <c r="FM62">
        <v>120</v>
      </c>
      <c r="FN62">
        <v>23</v>
      </c>
      <c r="FO62">
        <v>0.18</v>
      </c>
      <c r="FP62">
        <v>0.06</v>
      </c>
      <c r="FQ62">
        <v>14.482296413913041</v>
      </c>
      <c r="FR62">
        <v>0.46880127930308307</v>
      </c>
      <c r="FS62">
        <v>5.4832493354138589E-2</v>
      </c>
      <c r="FT62">
        <v>1</v>
      </c>
      <c r="FU62">
        <v>0.32523704699486072</v>
      </c>
      <c r="FV62">
        <v>2.9959152966159881E-2</v>
      </c>
      <c r="FW62">
        <v>3.803057236578956E-3</v>
      </c>
      <c r="FX62">
        <v>1</v>
      </c>
      <c r="FY62">
        <v>2</v>
      </c>
      <c r="FZ62">
        <v>2</v>
      </c>
      <c r="GA62" t="s">
        <v>422</v>
      </c>
      <c r="GB62">
        <v>2.9192100000000001</v>
      </c>
      <c r="GC62">
        <v>2.8282799999999999</v>
      </c>
      <c r="GD62">
        <v>2.8080500000000001E-2</v>
      </c>
      <c r="GE62">
        <v>3.1730800000000003E-2</v>
      </c>
      <c r="GF62">
        <v>0.135436</v>
      </c>
      <c r="GG62">
        <v>0.112292</v>
      </c>
      <c r="GH62">
        <v>25454.6</v>
      </c>
      <c r="GI62">
        <v>30893.5</v>
      </c>
      <c r="GJ62">
        <v>23574.1</v>
      </c>
      <c r="GK62">
        <v>29203.8</v>
      </c>
      <c r="GL62">
        <v>27787.599999999999</v>
      </c>
      <c r="GM62">
        <v>36680.1</v>
      </c>
      <c r="GN62">
        <v>33341.199999999997</v>
      </c>
      <c r="GO62">
        <v>43110.6</v>
      </c>
      <c r="GP62">
        <v>2.0209999999999999</v>
      </c>
      <c r="GQ62">
        <v>1.9021999999999999</v>
      </c>
      <c r="GR62">
        <v>9.2119000000000006E-2</v>
      </c>
      <c r="GS62">
        <v>0</v>
      </c>
      <c r="GT62">
        <v>28.388500000000001</v>
      </c>
      <c r="GU62">
        <v>999.9</v>
      </c>
      <c r="GV62">
        <v>58.4</v>
      </c>
      <c r="GW62">
        <v>32</v>
      </c>
      <c r="GX62">
        <v>28.010300000000001</v>
      </c>
      <c r="GY62">
        <v>61.127699999999997</v>
      </c>
      <c r="GZ62">
        <v>35.084099999999999</v>
      </c>
      <c r="HA62">
        <v>1</v>
      </c>
      <c r="HB62">
        <v>0.244695</v>
      </c>
      <c r="HC62">
        <v>-9.60675E-2</v>
      </c>
      <c r="HD62">
        <v>20.279900000000001</v>
      </c>
      <c r="HE62">
        <v>5.20052</v>
      </c>
      <c r="HF62">
        <v>11.872199999999999</v>
      </c>
      <c r="HG62">
        <v>4.9800000000000004</v>
      </c>
      <c r="HH62">
        <v>3.2812999999999999</v>
      </c>
      <c r="HI62">
        <v>9999</v>
      </c>
      <c r="HJ62">
        <v>9999</v>
      </c>
      <c r="HK62">
        <v>9999</v>
      </c>
      <c r="HL62">
        <v>999.9</v>
      </c>
      <c r="HM62">
        <v>1.8547800000000001</v>
      </c>
      <c r="HN62">
        <v>1.8608199999999999</v>
      </c>
      <c r="HO62">
        <v>1.85833</v>
      </c>
      <c r="HP62">
        <v>1.85947</v>
      </c>
      <c r="HQ62">
        <v>1.85883</v>
      </c>
      <c r="HR62">
        <v>1.85938</v>
      </c>
      <c r="HS62">
        <v>1.8577600000000001</v>
      </c>
      <c r="HT62">
        <v>1.86111</v>
      </c>
      <c r="HU62">
        <v>5</v>
      </c>
      <c r="HV62">
        <v>0</v>
      </c>
      <c r="HW62">
        <v>0</v>
      </c>
      <c r="HX62">
        <v>0</v>
      </c>
      <c r="HY62" t="s">
        <v>423</v>
      </c>
      <c r="HZ62" t="s">
        <v>424</v>
      </c>
      <c r="IA62" t="s">
        <v>425</v>
      </c>
      <c r="IB62" t="s">
        <v>425</v>
      </c>
      <c r="IC62" t="s">
        <v>425</v>
      </c>
      <c r="ID62" t="s">
        <v>425</v>
      </c>
      <c r="IE62">
        <v>0</v>
      </c>
      <c r="IF62">
        <v>100</v>
      </c>
      <c r="IG62">
        <v>100</v>
      </c>
      <c r="IH62">
        <v>-1.0469999999999999</v>
      </c>
      <c r="II62">
        <v>-0.28100000000000003</v>
      </c>
      <c r="IJ62">
        <v>-1.0474499999999549</v>
      </c>
      <c r="IK62">
        <v>0</v>
      </c>
      <c r="IL62">
        <v>0</v>
      </c>
      <c r="IM62">
        <v>0</v>
      </c>
      <c r="IN62">
        <v>-0.28101428571428139</v>
      </c>
      <c r="IO62">
        <v>0</v>
      </c>
      <c r="IP62">
        <v>0</v>
      </c>
      <c r="IQ62">
        <v>0</v>
      </c>
      <c r="IR62">
        <v>-1</v>
      </c>
      <c r="IS62">
        <v>-1</v>
      </c>
      <c r="IT62">
        <v>-1</v>
      </c>
      <c r="IU62">
        <v>-1</v>
      </c>
      <c r="IV62">
        <v>0.5</v>
      </c>
      <c r="IW62">
        <v>0.5</v>
      </c>
      <c r="IX62">
        <v>0.41137699999999999</v>
      </c>
      <c r="IY62">
        <v>2.4682599999999999</v>
      </c>
      <c r="IZ62">
        <v>1.49414</v>
      </c>
      <c r="JA62">
        <v>2.2985799999999998</v>
      </c>
      <c r="JB62">
        <v>1.54419</v>
      </c>
      <c r="JC62">
        <v>2.5122100000000001</v>
      </c>
      <c r="JD62">
        <v>36.245899999999999</v>
      </c>
      <c r="JE62">
        <v>24.017499999999998</v>
      </c>
      <c r="JF62">
        <v>18</v>
      </c>
      <c r="JG62">
        <v>533.33500000000004</v>
      </c>
      <c r="JH62">
        <v>489.90300000000002</v>
      </c>
      <c r="JI62">
        <v>28.175699999999999</v>
      </c>
      <c r="JJ62">
        <v>30.581399999999999</v>
      </c>
      <c r="JK62">
        <v>30.000499999999999</v>
      </c>
      <c r="JL62">
        <v>30.5777</v>
      </c>
      <c r="JM62">
        <v>30.555199999999999</v>
      </c>
      <c r="JN62">
        <v>8.3069500000000005</v>
      </c>
      <c r="JO62">
        <v>25.9572</v>
      </c>
      <c r="JP62">
        <v>100</v>
      </c>
      <c r="JQ62">
        <v>28.1709</v>
      </c>
      <c r="JR62">
        <v>120</v>
      </c>
      <c r="JS62">
        <v>23.033200000000001</v>
      </c>
      <c r="JT62">
        <v>98.875500000000002</v>
      </c>
      <c r="JU62">
        <v>97.101799999999997</v>
      </c>
    </row>
    <row r="63" spans="1:281" x14ac:dyDescent="0.25">
      <c r="A63">
        <v>47</v>
      </c>
      <c r="B63">
        <v>1693506941</v>
      </c>
      <c r="C63">
        <v>12805</v>
      </c>
      <c r="D63" t="s">
        <v>656</v>
      </c>
      <c r="E63" t="s">
        <v>657</v>
      </c>
      <c r="F63" t="s">
        <v>414</v>
      </c>
      <c r="G63" t="s">
        <v>566</v>
      </c>
      <c r="H63" t="s">
        <v>637</v>
      </c>
      <c r="I63" t="s">
        <v>31</v>
      </c>
      <c r="J63">
        <v>1693506941</v>
      </c>
      <c r="K63">
        <f t="shared" si="46"/>
        <v>4.7993756220206301E-3</v>
      </c>
      <c r="L63">
        <f t="shared" si="47"/>
        <v>4.7993756220206301</v>
      </c>
      <c r="M63">
        <f t="shared" si="48"/>
        <v>9.0873616170507923</v>
      </c>
      <c r="N63">
        <f t="shared" si="49"/>
        <v>58.832500000000003</v>
      </c>
      <c r="O63">
        <f t="shared" si="50"/>
        <v>13.561449944580737</v>
      </c>
      <c r="P63">
        <f t="shared" si="51"/>
        <v>1.3514133503266097</v>
      </c>
      <c r="Q63">
        <f t="shared" si="52"/>
        <v>5.8627231054199997</v>
      </c>
      <c r="R63">
        <f t="shared" si="53"/>
        <v>0.34572228725965914</v>
      </c>
      <c r="S63">
        <f t="shared" si="54"/>
        <v>2.9111349645783164</v>
      </c>
      <c r="T63">
        <f t="shared" si="55"/>
        <v>0.32442501248617872</v>
      </c>
      <c r="U63">
        <f t="shared" si="56"/>
        <v>0.20456968603526077</v>
      </c>
      <c r="V63">
        <f t="shared" si="57"/>
        <v>344.36689967099824</v>
      </c>
      <c r="W63">
        <f t="shared" si="58"/>
        <v>31.173591831178015</v>
      </c>
      <c r="X63">
        <f t="shared" si="59"/>
        <v>30.032900000000001</v>
      </c>
      <c r="Y63">
        <f t="shared" si="60"/>
        <v>4.2685075861522712</v>
      </c>
      <c r="Z63">
        <f t="shared" si="61"/>
        <v>65.351372396933343</v>
      </c>
      <c r="AA63">
        <f t="shared" si="62"/>
        <v>2.8469520918432001</v>
      </c>
      <c r="AB63">
        <f t="shared" si="63"/>
        <v>4.3563769013928093</v>
      </c>
      <c r="AC63">
        <f t="shared" si="64"/>
        <v>1.4215554943090711</v>
      </c>
      <c r="AD63">
        <f t="shared" si="65"/>
        <v>-211.65246493110979</v>
      </c>
      <c r="AE63">
        <f t="shared" si="66"/>
        <v>55.762596947135961</v>
      </c>
      <c r="AF63">
        <f t="shared" si="67"/>
        <v>4.2680051258356819</v>
      </c>
      <c r="AG63">
        <f t="shared" si="68"/>
        <v>192.74503681286006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51752.226125520625</v>
      </c>
      <c r="AM63" t="s">
        <v>417</v>
      </c>
      <c r="AN63">
        <v>10366.9</v>
      </c>
      <c r="AO63">
        <v>993.59653846153856</v>
      </c>
      <c r="AP63">
        <v>3431.87</v>
      </c>
      <c r="AQ63">
        <f t="shared" si="72"/>
        <v>0.71047955241266758</v>
      </c>
      <c r="AR63">
        <v>-3.9894345373445681</v>
      </c>
      <c r="AS63" t="s">
        <v>658</v>
      </c>
      <c r="AT63">
        <v>10305.9</v>
      </c>
      <c r="AU63">
        <v>681.55611538461551</v>
      </c>
      <c r="AV63">
        <v>770.69913427372967</v>
      </c>
      <c r="AW63">
        <f t="shared" si="73"/>
        <v>0.11566513432393866</v>
      </c>
      <c r="AX63">
        <v>0.5</v>
      </c>
      <c r="AY63">
        <f t="shared" si="74"/>
        <v>1513.1759998354989</v>
      </c>
      <c r="AZ63">
        <f t="shared" si="75"/>
        <v>9.0873616170507923</v>
      </c>
      <c r="BA63">
        <f t="shared" si="76"/>
        <v>87.510852638366586</v>
      </c>
      <c r="BB63">
        <f t="shared" si="77"/>
        <v>8.6419531870826471E-3</v>
      </c>
      <c r="BC63">
        <f t="shared" si="78"/>
        <v>3.4529309134803059</v>
      </c>
      <c r="BD63">
        <f t="shared" si="79"/>
        <v>496.87426526546517</v>
      </c>
      <c r="BE63" t="s">
        <v>659</v>
      </c>
      <c r="BF63">
        <v>527.25</v>
      </c>
      <c r="BG63">
        <f t="shared" si="80"/>
        <v>527.25</v>
      </c>
      <c r="BH63">
        <f t="shared" si="81"/>
        <v>0.31588089754784088</v>
      </c>
      <c r="BI63">
        <f t="shared" si="82"/>
        <v>0.36616691677729857</v>
      </c>
      <c r="BJ63">
        <f t="shared" si="83"/>
        <v>0.91618554775711469</v>
      </c>
      <c r="BK63">
        <f t="shared" si="84"/>
        <v>-0.39992847477938342</v>
      </c>
      <c r="BL63">
        <f t="shared" si="85"/>
        <v>1.0914160809703308</v>
      </c>
      <c r="BM63">
        <f t="shared" si="86"/>
        <v>0.28326575393118181</v>
      </c>
      <c r="BN63">
        <f t="shared" si="87"/>
        <v>0.71673424606881819</v>
      </c>
      <c r="BO63">
        <v>16798</v>
      </c>
      <c r="BP63">
        <v>290.00000000000011</v>
      </c>
      <c r="BQ63">
        <v>746.41</v>
      </c>
      <c r="BR63">
        <v>205</v>
      </c>
      <c r="BS63">
        <v>10305.9</v>
      </c>
      <c r="BT63">
        <v>746.49</v>
      </c>
      <c r="BU63">
        <v>-0.08</v>
      </c>
      <c r="BV63">
        <v>300.00000000000011</v>
      </c>
      <c r="BW63">
        <v>38.4</v>
      </c>
      <c r="BX63">
        <v>770.69913427372967</v>
      </c>
      <c r="BY63">
        <v>1.222738066145078</v>
      </c>
      <c r="BZ63">
        <v>-24.95108744906139</v>
      </c>
      <c r="CA63">
        <v>1.031238775944284</v>
      </c>
      <c r="CB63">
        <v>0.95435356704748198</v>
      </c>
      <c r="CC63">
        <v>-1.122389655172415E-2</v>
      </c>
      <c r="CD63">
        <v>289.99999999999989</v>
      </c>
      <c r="CE63">
        <v>745.11</v>
      </c>
      <c r="CF63">
        <v>645</v>
      </c>
      <c r="CG63">
        <v>10285.200000000001</v>
      </c>
      <c r="CH63">
        <v>746.44</v>
      </c>
      <c r="CI63">
        <v>-1.33</v>
      </c>
      <c r="CW63">
        <f t="shared" si="88"/>
        <v>1799.99</v>
      </c>
      <c r="CX63">
        <f t="shared" si="89"/>
        <v>1513.1759998354989</v>
      </c>
      <c r="CY63">
        <f t="shared" si="90"/>
        <v>0.84065800356418585</v>
      </c>
      <c r="CZ63">
        <f t="shared" si="91"/>
        <v>0.19131600712837196</v>
      </c>
      <c r="DA63">
        <v>6</v>
      </c>
      <c r="DB63">
        <v>0.5</v>
      </c>
      <c r="DC63" t="s">
        <v>420</v>
      </c>
      <c r="DD63">
        <v>2</v>
      </c>
      <c r="DE63">
        <v>1693506941</v>
      </c>
      <c r="DF63">
        <v>58.832500000000003</v>
      </c>
      <c r="DG63">
        <v>70.068299999999994</v>
      </c>
      <c r="DH63">
        <v>28.569199999999999</v>
      </c>
      <c r="DI63">
        <v>22.978400000000001</v>
      </c>
      <c r="DJ63">
        <v>59.852499999999999</v>
      </c>
      <c r="DK63">
        <v>28.854600000000001</v>
      </c>
      <c r="DL63">
        <v>500.35</v>
      </c>
      <c r="DM63">
        <v>99.551299999999998</v>
      </c>
      <c r="DN63">
        <v>9.9795999999999996E-2</v>
      </c>
      <c r="DO63">
        <v>30.388200000000001</v>
      </c>
      <c r="DP63">
        <v>30.032900000000001</v>
      </c>
      <c r="DQ63">
        <v>999.9</v>
      </c>
      <c r="DR63">
        <v>0</v>
      </c>
      <c r="DS63">
        <v>0</v>
      </c>
      <c r="DT63">
        <v>9940</v>
      </c>
      <c r="DU63">
        <v>0</v>
      </c>
      <c r="DV63">
        <v>1490.27</v>
      </c>
      <c r="DW63">
        <v>-11.235799999999999</v>
      </c>
      <c r="DX63">
        <v>60.5627</v>
      </c>
      <c r="DY63">
        <v>71.716300000000004</v>
      </c>
      <c r="DZ63">
        <v>5.5908100000000003</v>
      </c>
      <c r="EA63">
        <v>70.068299999999994</v>
      </c>
      <c r="EB63">
        <v>22.978400000000001</v>
      </c>
      <c r="EC63">
        <v>2.8441000000000001</v>
      </c>
      <c r="ED63">
        <v>2.2875299999999998</v>
      </c>
      <c r="EE63">
        <v>23.142299999999999</v>
      </c>
      <c r="EF63">
        <v>19.588799999999999</v>
      </c>
      <c r="EG63">
        <v>1799.99</v>
      </c>
      <c r="EH63">
        <v>0.97800500000000001</v>
      </c>
      <c r="EI63">
        <v>2.1995299999999999E-2</v>
      </c>
      <c r="EJ63">
        <v>0</v>
      </c>
      <c r="EK63">
        <v>680.97299999999996</v>
      </c>
      <c r="EL63">
        <v>5.0002500000000003</v>
      </c>
      <c r="EM63">
        <v>19073.3</v>
      </c>
      <c r="EN63">
        <v>14822</v>
      </c>
      <c r="EO63">
        <v>46.75</v>
      </c>
      <c r="EP63">
        <v>47.375</v>
      </c>
      <c r="EQ63">
        <v>47.5</v>
      </c>
      <c r="ER63">
        <v>46.311999999999998</v>
      </c>
      <c r="ES63">
        <v>47.875</v>
      </c>
      <c r="ET63">
        <v>1755.51</v>
      </c>
      <c r="EU63">
        <v>39.479999999999997</v>
      </c>
      <c r="EV63">
        <v>0</v>
      </c>
      <c r="EW63">
        <v>97.400000095367432</v>
      </c>
      <c r="EX63">
        <v>0</v>
      </c>
      <c r="EY63">
        <v>681.55611538461551</v>
      </c>
      <c r="EZ63">
        <v>-2.5153846209660471</v>
      </c>
      <c r="FA63">
        <v>-144.9470078232433</v>
      </c>
      <c r="FB63">
        <v>19092.957692307689</v>
      </c>
      <c r="FC63">
        <v>15</v>
      </c>
      <c r="FD63">
        <v>1693506909.5</v>
      </c>
      <c r="FE63" t="s">
        <v>660</v>
      </c>
      <c r="FF63">
        <v>1693506900</v>
      </c>
      <c r="FG63">
        <v>1693506909.5</v>
      </c>
      <c r="FH63">
        <v>54</v>
      </c>
      <c r="FI63">
        <v>2.7E-2</v>
      </c>
      <c r="FJ63">
        <v>-4.0000000000000001E-3</v>
      </c>
      <c r="FK63">
        <v>-1.02</v>
      </c>
      <c r="FL63">
        <v>-0.28499999999999998</v>
      </c>
      <c r="FM63">
        <v>70</v>
      </c>
      <c r="FN63">
        <v>23</v>
      </c>
      <c r="FO63">
        <v>0.49</v>
      </c>
      <c r="FP63">
        <v>0.06</v>
      </c>
      <c r="FQ63">
        <v>9.0053695380051089</v>
      </c>
      <c r="FR63">
        <v>0.34628877189935781</v>
      </c>
      <c r="FS63">
        <v>5.4791263017074383E-2</v>
      </c>
      <c r="FT63">
        <v>1</v>
      </c>
      <c r="FU63">
        <v>0.34291781871268479</v>
      </c>
      <c r="FV63">
        <v>3.4190935568355417E-2</v>
      </c>
      <c r="FW63">
        <v>3.4911387300703869E-3</v>
      </c>
      <c r="FX63">
        <v>1</v>
      </c>
      <c r="FY63">
        <v>2</v>
      </c>
      <c r="FZ63">
        <v>2</v>
      </c>
      <c r="GA63" t="s">
        <v>422</v>
      </c>
      <c r="GB63">
        <v>2.9215300000000002</v>
      </c>
      <c r="GC63">
        <v>2.8291599999999999</v>
      </c>
      <c r="GD63">
        <v>1.6621199999999999E-2</v>
      </c>
      <c r="GE63">
        <v>1.8965099999999999E-2</v>
      </c>
      <c r="GF63">
        <v>0.13613400000000001</v>
      </c>
      <c r="GG63">
        <v>0.111764</v>
      </c>
      <c r="GH63">
        <v>25752.9</v>
      </c>
      <c r="GI63">
        <v>31300</v>
      </c>
      <c r="GJ63">
        <v>23572.799999999999</v>
      </c>
      <c r="GK63">
        <v>29203.5</v>
      </c>
      <c r="GL63">
        <v>27762.9</v>
      </c>
      <c r="GM63">
        <v>36699.599999999999</v>
      </c>
      <c r="GN63">
        <v>33339.699999999997</v>
      </c>
      <c r="GO63">
        <v>43108.7</v>
      </c>
      <c r="GP63">
        <v>2.0213999999999999</v>
      </c>
      <c r="GQ63">
        <v>1.8996999999999999</v>
      </c>
      <c r="GR63">
        <v>9.39667E-2</v>
      </c>
      <c r="GS63">
        <v>0</v>
      </c>
      <c r="GT63">
        <v>28.501899999999999</v>
      </c>
      <c r="GU63">
        <v>999.9</v>
      </c>
      <c r="GV63">
        <v>58.4</v>
      </c>
      <c r="GW63">
        <v>32.1</v>
      </c>
      <c r="GX63">
        <v>28.170500000000001</v>
      </c>
      <c r="GY63">
        <v>61.5077</v>
      </c>
      <c r="GZ63">
        <v>34.174700000000001</v>
      </c>
      <c r="HA63">
        <v>1</v>
      </c>
      <c r="HB63">
        <v>0.25067099999999998</v>
      </c>
      <c r="HC63">
        <v>0.72136199999999995</v>
      </c>
      <c r="HD63">
        <v>20.279299999999999</v>
      </c>
      <c r="HE63">
        <v>5.2071100000000001</v>
      </c>
      <c r="HF63">
        <v>11.872199999999999</v>
      </c>
      <c r="HG63">
        <v>4.984</v>
      </c>
      <c r="HH63">
        <v>3.2831000000000001</v>
      </c>
      <c r="HI63">
        <v>9999</v>
      </c>
      <c r="HJ63">
        <v>9999</v>
      </c>
      <c r="HK63">
        <v>9999</v>
      </c>
      <c r="HL63">
        <v>999.9</v>
      </c>
      <c r="HM63">
        <v>1.8547199999999999</v>
      </c>
      <c r="HN63">
        <v>1.8608100000000001</v>
      </c>
      <c r="HO63">
        <v>1.85822</v>
      </c>
      <c r="HP63">
        <v>1.85944</v>
      </c>
      <c r="HQ63">
        <v>1.85883</v>
      </c>
      <c r="HR63">
        <v>1.85928</v>
      </c>
      <c r="HS63">
        <v>1.8577600000000001</v>
      </c>
      <c r="HT63">
        <v>1.86111</v>
      </c>
      <c r="HU63">
        <v>5</v>
      </c>
      <c r="HV63">
        <v>0</v>
      </c>
      <c r="HW63">
        <v>0</v>
      </c>
      <c r="HX63">
        <v>0</v>
      </c>
      <c r="HY63" t="s">
        <v>423</v>
      </c>
      <c r="HZ63" t="s">
        <v>424</v>
      </c>
      <c r="IA63" t="s">
        <v>425</v>
      </c>
      <c r="IB63" t="s">
        <v>425</v>
      </c>
      <c r="IC63" t="s">
        <v>425</v>
      </c>
      <c r="ID63" t="s">
        <v>425</v>
      </c>
      <c r="IE63">
        <v>0</v>
      </c>
      <c r="IF63">
        <v>100</v>
      </c>
      <c r="IG63">
        <v>100</v>
      </c>
      <c r="IH63">
        <v>-1.02</v>
      </c>
      <c r="II63">
        <v>-0.28539999999999999</v>
      </c>
      <c r="IJ63">
        <v>-1.0199619047619279</v>
      </c>
      <c r="IK63">
        <v>0</v>
      </c>
      <c r="IL63">
        <v>0</v>
      </c>
      <c r="IM63">
        <v>0</v>
      </c>
      <c r="IN63">
        <v>-0.28542499999999288</v>
      </c>
      <c r="IO63">
        <v>0</v>
      </c>
      <c r="IP63">
        <v>0</v>
      </c>
      <c r="IQ63">
        <v>0</v>
      </c>
      <c r="IR63">
        <v>-1</v>
      </c>
      <c r="IS63">
        <v>-1</v>
      </c>
      <c r="IT63">
        <v>-1</v>
      </c>
      <c r="IU63">
        <v>-1</v>
      </c>
      <c r="IV63">
        <v>0.7</v>
      </c>
      <c r="IW63">
        <v>0.5</v>
      </c>
      <c r="IX63">
        <v>0.301514</v>
      </c>
      <c r="IY63">
        <v>2.4853499999999999</v>
      </c>
      <c r="IZ63">
        <v>1.49414</v>
      </c>
      <c r="JA63">
        <v>2.2985799999999998</v>
      </c>
      <c r="JB63">
        <v>1.54419</v>
      </c>
      <c r="JC63">
        <v>2.3327599999999999</v>
      </c>
      <c r="JD63">
        <v>36.198900000000002</v>
      </c>
      <c r="JE63">
        <v>24.008700000000001</v>
      </c>
      <c r="JF63">
        <v>18</v>
      </c>
      <c r="JG63">
        <v>534.14599999999996</v>
      </c>
      <c r="JH63">
        <v>488.65</v>
      </c>
      <c r="JI63">
        <v>27.947600000000001</v>
      </c>
      <c r="JJ63">
        <v>30.637699999999999</v>
      </c>
      <c r="JK63">
        <v>30.000399999999999</v>
      </c>
      <c r="JL63">
        <v>30.638400000000001</v>
      </c>
      <c r="JM63">
        <v>30.6174</v>
      </c>
      <c r="JN63">
        <v>6.0857000000000001</v>
      </c>
      <c r="JO63">
        <v>26.805499999999999</v>
      </c>
      <c r="JP63">
        <v>100</v>
      </c>
      <c r="JQ63">
        <v>27.933800000000002</v>
      </c>
      <c r="JR63">
        <v>70</v>
      </c>
      <c r="JS63">
        <v>22.9146</v>
      </c>
      <c r="JT63">
        <v>98.870500000000007</v>
      </c>
      <c r="JU63">
        <v>97.0989</v>
      </c>
    </row>
    <row r="64" spans="1:281" x14ac:dyDescent="0.25">
      <c r="A64">
        <v>48</v>
      </c>
      <c r="B64">
        <v>1693507045</v>
      </c>
      <c r="C64">
        <v>12909</v>
      </c>
      <c r="D64" t="s">
        <v>661</v>
      </c>
      <c r="E64" t="s">
        <v>662</v>
      </c>
      <c r="F64" t="s">
        <v>414</v>
      </c>
      <c r="G64" t="s">
        <v>566</v>
      </c>
      <c r="H64" t="s">
        <v>637</v>
      </c>
      <c r="I64" t="s">
        <v>31</v>
      </c>
      <c r="J64">
        <v>1693507045</v>
      </c>
      <c r="K64">
        <f t="shared" si="46"/>
        <v>5.0992279242878984E-3</v>
      </c>
      <c r="L64">
        <f t="shared" si="47"/>
        <v>5.0992279242878986</v>
      </c>
      <c r="M64">
        <f t="shared" si="48"/>
        <v>4.0927610247929564</v>
      </c>
      <c r="N64">
        <f t="shared" si="49"/>
        <v>24.892800000000001</v>
      </c>
      <c r="O64">
        <f t="shared" si="50"/>
        <v>5.8896163519072946</v>
      </c>
      <c r="P64">
        <f t="shared" si="51"/>
        <v>0.58692312706862371</v>
      </c>
      <c r="Q64">
        <f t="shared" si="52"/>
        <v>2.4806641289568003</v>
      </c>
      <c r="R64">
        <f t="shared" si="53"/>
        <v>0.37244660789356565</v>
      </c>
      <c r="S64">
        <f t="shared" si="54"/>
        <v>2.9155599012587912</v>
      </c>
      <c r="T64">
        <f t="shared" si="55"/>
        <v>0.34788981095594768</v>
      </c>
      <c r="U64">
        <f t="shared" si="56"/>
        <v>0.21950239394392018</v>
      </c>
      <c r="V64">
        <f t="shared" si="57"/>
        <v>344.36689967099824</v>
      </c>
      <c r="W64">
        <f t="shared" si="58"/>
        <v>31.115429075879508</v>
      </c>
      <c r="X64">
        <f t="shared" si="59"/>
        <v>30.02</v>
      </c>
      <c r="Y64">
        <f t="shared" si="60"/>
        <v>4.265346557993702</v>
      </c>
      <c r="Z64">
        <f t="shared" si="61"/>
        <v>65.499552288870248</v>
      </c>
      <c r="AA64">
        <f t="shared" si="62"/>
        <v>2.8568575297318</v>
      </c>
      <c r="AB64">
        <f t="shared" si="63"/>
        <v>4.3616443622886267</v>
      </c>
      <c r="AC64">
        <f t="shared" si="64"/>
        <v>1.408489028261902</v>
      </c>
      <c r="AD64">
        <f t="shared" si="65"/>
        <v>-224.87595146109632</v>
      </c>
      <c r="AE64">
        <f t="shared" si="66"/>
        <v>61.191600938921631</v>
      </c>
      <c r="AF64">
        <f t="shared" si="67"/>
        <v>4.6766166967592326</v>
      </c>
      <c r="AG64">
        <f t="shared" si="68"/>
        <v>185.35916584558279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51874.540925450608</v>
      </c>
      <c r="AM64" t="s">
        <v>417</v>
      </c>
      <c r="AN64">
        <v>10366.9</v>
      </c>
      <c r="AO64">
        <v>993.59653846153856</v>
      </c>
      <c r="AP64">
        <v>3431.87</v>
      </c>
      <c r="AQ64">
        <f t="shared" si="72"/>
        <v>0.71047955241266758</v>
      </c>
      <c r="AR64">
        <v>-3.9894345373445681</v>
      </c>
      <c r="AS64" t="s">
        <v>663</v>
      </c>
      <c r="AT64">
        <v>10314.4</v>
      </c>
      <c r="AU64">
        <v>685.98965384615383</v>
      </c>
      <c r="AV64">
        <v>742.84111689471717</v>
      </c>
      <c r="AW64">
        <f t="shared" si="73"/>
        <v>7.6532466708652769E-2</v>
      </c>
      <c r="AX64">
        <v>0.5</v>
      </c>
      <c r="AY64">
        <f t="shared" si="74"/>
        <v>1513.1759998354989</v>
      </c>
      <c r="AZ64">
        <f t="shared" si="75"/>
        <v>4.0927610247929564</v>
      </c>
      <c r="BA64">
        <f t="shared" si="76"/>
        <v>57.903545915871348</v>
      </c>
      <c r="BB64">
        <f t="shared" si="77"/>
        <v>5.3412131589558381E-3</v>
      </c>
      <c r="BC64">
        <f t="shared" si="78"/>
        <v>3.619924667533446</v>
      </c>
      <c r="BD64">
        <f t="shared" si="79"/>
        <v>485.14456080123369</v>
      </c>
      <c r="BE64" t="s">
        <v>664</v>
      </c>
      <c r="BF64">
        <v>537.14</v>
      </c>
      <c r="BG64">
        <f t="shared" si="80"/>
        <v>537.14</v>
      </c>
      <c r="BH64">
        <f t="shared" si="81"/>
        <v>0.27691132358774806</v>
      </c>
      <c r="BI64">
        <f t="shared" si="82"/>
        <v>0.27637897113442172</v>
      </c>
      <c r="BJ64">
        <f t="shared" si="83"/>
        <v>0.92893944620233415</v>
      </c>
      <c r="BK64">
        <f t="shared" si="84"/>
        <v>-0.22672077314752515</v>
      </c>
      <c r="BL64">
        <f t="shared" si="85"/>
        <v>1.1028413857273431</v>
      </c>
      <c r="BM64">
        <f t="shared" si="86"/>
        <v>0.21640880401446541</v>
      </c>
      <c r="BN64">
        <f t="shared" si="87"/>
        <v>0.78359119598553462</v>
      </c>
      <c r="BO64">
        <v>16800</v>
      </c>
      <c r="BP64">
        <v>290.00000000000011</v>
      </c>
      <c r="BQ64">
        <v>730</v>
      </c>
      <c r="BR64">
        <v>145</v>
      </c>
      <c r="BS64">
        <v>10314.4</v>
      </c>
      <c r="BT64">
        <v>728.98</v>
      </c>
      <c r="BU64">
        <v>1.02</v>
      </c>
      <c r="BV64">
        <v>300.00000000000011</v>
      </c>
      <c r="BW64">
        <v>38.4</v>
      </c>
      <c r="BX64">
        <v>742.84111689471717</v>
      </c>
      <c r="BY64">
        <v>0.78266728327839841</v>
      </c>
      <c r="BZ64">
        <v>-14.29725863124091</v>
      </c>
      <c r="CA64">
        <v>0.66007471476632129</v>
      </c>
      <c r="CB64">
        <v>0.94367990422979509</v>
      </c>
      <c r="CC64">
        <v>-1.1223249833147941E-2</v>
      </c>
      <c r="CD64">
        <v>289.99999999999989</v>
      </c>
      <c r="CE64">
        <v>727.9</v>
      </c>
      <c r="CF64">
        <v>655</v>
      </c>
      <c r="CG64">
        <v>10284.299999999999</v>
      </c>
      <c r="CH64">
        <v>728.94</v>
      </c>
      <c r="CI64">
        <v>-1.04</v>
      </c>
      <c r="CW64">
        <f t="shared" si="88"/>
        <v>1799.99</v>
      </c>
      <c r="CX64">
        <f t="shared" si="89"/>
        <v>1513.1759998354989</v>
      </c>
      <c r="CY64">
        <f t="shared" si="90"/>
        <v>0.84065800356418585</v>
      </c>
      <c r="CZ64">
        <f t="shared" si="91"/>
        <v>0.19131600712837196</v>
      </c>
      <c r="DA64">
        <v>6</v>
      </c>
      <c r="DB64">
        <v>0.5</v>
      </c>
      <c r="DC64" t="s">
        <v>420</v>
      </c>
      <c r="DD64">
        <v>2</v>
      </c>
      <c r="DE64">
        <v>1693507045</v>
      </c>
      <c r="DF64">
        <v>24.892800000000001</v>
      </c>
      <c r="DG64">
        <v>29.956900000000001</v>
      </c>
      <c r="DH64">
        <v>28.6678</v>
      </c>
      <c r="DI64">
        <v>22.723600000000001</v>
      </c>
      <c r="DJ64">
        <v>25.867999999999999</v>
      </c>
      <c r="DK64">
        <v>28.950900000000001</v>
      </c>
      <c r="DL64">
        <v>499.95400000000001</v>
      </c>
      <c r="DM64">
        <v>99.553100000000001</v>
      </c>
      <c r="DN64">
        <v>0.100781</v>
      </c>
      <c r="DO64">
        <v>30.409300000000002</v>
      </c>
      <c r="DP64">
        <v>30.02</v>
      </c>
      <c r="DQ64">
        <v>999.9</v>
      </c>
      <c r="DR64">
        <v>0</v>
      </c>
      <c r="DS64">
        <v>0</v>
      </c>
      <c r="DT64">
        <v>9965</v>
      </c>
      <c r="DU64">
        <v>0</v>
      </c>
      <c r="DV64">
        <v>1486.68</v>
      </c>
      <c r="DW64">
        <v>-5.0641600000000002</v>
      </c>
      <c r="DX64">
        <v>25.627500000000001</v>
      </c>
      <c r="DY64">
        <v>30.653500000000001</v>
      </c>
      <c r="DZ64">
        <v>5.9442000000000004</v>
      </c>
      <c r="EA64">
        <v>29.956900000000001</v>
      </c>
      <c r="EB64">
        <v>22.723600000000001</v>
      </c>
      <c r="EC64">
        <v>2.8539699999999999</v>
      </c>
      <c r="ED64">
        <v>2.2622100000000001</v>
      </c>
      <c r="EE64">
        <v>23.1996</v>
      </c>
      <c r="EF64">
        <v>19.409800000000001</v>
      </c>
      <c r="EG64">
        <v>1799.99</v>
      </c>
      <c r="EH64">
        <v>0.97800500000000001</v>
      </c>
      <c r="EI64">
        <v>2.1995299999999999E-2</v>
      </c>
      <c r="EJ64">
        <v>0</v>
      </c>
      <c r="EK64">
        <v>685.87900000000002</v>
      </c>
      <c r="EL64">
        <v>5.0002500000000003</v>
      </c>
      <c r="EM64">
        <v>19166.8</v>
      </c>
      <c r="EN64">
        <v>14822</v>
      </c>
      <c r="EO64">
        <v>46.811999999999998</v>
      </c>
      <c r="EP64">
        <v>47.436999999999998</v>
      </c>
      <c r="EQ64">
        <v>47.561999999999998</v>
      </c>
      <c r="ER64">
        <v>46.375</v>
      </c>
      <c r="ES64">
        <v>47.936999999999998</v>
      </c>
      <c r="ET64">
        <v>1755.51</v>
      </c>
      <c r="EU64">
        <v>39.479999999999997</v>
      </c>
      <c r="EV64">
        <v>0</v>
      </c>
      <c r="EW64">
        <v>102.2000000476837</v>
      </c>
      <c r="EX64">
        <v>0</v>
      </c>
      <c r="EY64">
        <v>685.98965384615383</v>
      </c>
      <c r="EZ64">
        <v>-2.322017096016769</v>
      </c>
      <c r="FA64">
        <v>105.2717948792808</v>
      </c>
      <c r="FB64">
        <v>19173.56923076923</v>
      </c>
      <c r="FC64">
        <v>15</v>
      </c>
      <c r="FD64">
        <v>1693507015.5</v>
      </c>
      <c r="FE64" t="s">
        <v>665</v>
      </c>
      <c r="FF64">
        <v>1693506999.5</v>
      </c>
      <c r="FG64">
        <v>1693507015.5</v>
      </c>
      <c r="FH64">
        <v>55</v>
      </c>
      <c r="FI64">
        <v>4.4999999999999998E-2</v>
      </c>
      <c r="FJ64">
        <v>2E-3</v>
      </c>
      <c r="FK64">
        <v>-0.97499999999999998</v>
      </c>
      <c r="FL64">
        <v>-0.28299999999999997</v>
      </c>
      <c r="FM64">
        <v>30</v>
      </c>
      <c r="FN64">
        <v>23</v>
      </c>
      <c r="FO64">
        <v>1.04</v>
      </c>
      <c r="FP64">
        <v>0.06</v>
      </c>
      <c r="FQ64">
        <v>4.1361708479884554</v>
      </c>
      <c r="FR64">
        <v>8.9057631168740992E-2</v>
      </c>
      <c r="FS64">
        <v>4.0950931725304278E-2</v>
      </c>
      <c r="FT64">
        <v>1</v>
      </c>
      <c r="FU64">
        <v>0.37529866520143612</v>
      </c>
      <c r="FV64">
        <v>3.7035543794084337E-2</v>
      </c>
      <c r="FW64">
        <v>5.9611846366401039E-3</v>
      </c>
      <c r="FX64">
        <v>1</v>
      </c>
      <c r="FY64">
        <v>2</v>
      </c>
      <c r="FZ64">
        <v>2</v>
      </c>
      <c r="GA64" t="s">
        <v>422</v>
      </c>
      <c r="GB64">
        <v>2.9204599999999998</v>
      </c>
      <c r="GC64">
        <v>2.8303600000000002</v>
      </c>
      <c r="GD64">
        <v>7.2630699999999999E-3</v>
      </c>
      <c r="GE64">
        <v>8.2164500000000001E-3</v>
      </c>
      <c r="GF64">
        <v>0.13642899999999999</v>
      </c>
      <c r="GG64">
        <v>0.110877</v>
      </c>
      <c r="GH64">
        <v>25995.9</v>
      </c>
      <c r="GI64">
        <v>31642.2</v>
      </c>
      <c r="GJ64">
        <v>23571.4</v>
      </c>
      <c r="GK64">
        <v>29203.4</v>
      </c>
      <c r="GL64">
        <v>27751.7</v>
      </c>
      <c r="GM64">
        <v>36736.199999999997</v>
      </c>
      <c r="GN64">
        <v>33338.199999999997</v>
      </c>
      <c r="GO64">
        <v>43108.800000000003</v>
      </c>
      <c r="GP64">
        <v>2.0202</v>
      </c>
      <c r="GQ64">
        <v>1.8980999999999999</v>
      </c>
      <c r="GR64">
        <v>8.9138700000000001E-2</v>
      </c>
      <c r="GS64">
        <v>0</v>
      </c>
      <c r="GT64">
        <v>28.567699999999999</v>
      </c>
      <c r="GU64">
        <v>999.9</v>
      </c>
      <c r="GV64">
        <v>58.5</v>
      </c>
      <c r="GW64">
        <v>32.1</v>
      </c>
      <c r="GX64">
        <v>28.218900000000001</v>
      </c>
      <c r="GY64">
        <v>61.277700000000003</v>
      </c>
      <c r="GZ64">
        <v>34.639400000000002</v>
      </c>
      <c r="HA64">
        <v>1</v>
      </c>
      <c r="HB64">
        <v>0.25634099999999999</v>
      </c>
      <c r="HC64">
        <v>0.80273399999999995</v>
      </c>
      <c r="HD64">
        <v>20.278500000000001</v>
      </c>
      <c r="HE64">
        <v>5.2100999999999997</v>
      </c>
      <c r="HF64">
        <v>11.872199999999999</v>
      </c>
      <c r="HG64">
        <v>4.9854000000000003</v>
      </c>
      <c r="HH64">
        <v>3.2839999999999998</v>
      </c>
      <c r="HI64">
        <v>9999</v>
      </c>
      <c r="HJ64">
        <v>9999</v>
      </c>
      <c r="HK64">
        <v>9999</v>
      </c>
      <c r="HL64">
        <v>999.9</v>
      </c>
      <c r="HM64">
        <v>1.8547100000000001</v>
      </c>
      <c r="HN64">
        <v>1.8608100000000001</v>
      </c>
      <c r="HO64">
        <v>1.8582399999999999</v>
      </c>
      <c r="HP64">
        <v>1.85945</v>
      </c>
      <c r="HQ64">
        <v>1.85883</v>
      </c>
      <c r="HR64">
        <v>1.8593900000000001</v>
      </c>
      <c r="HS64">
        <v>1.8577600000000001</v>
      </c>
      <c r="HT64">
        <v>1.86111</v>
      </c>
      <c r="HU64">
        <v>5</v>
      </c>
      <c r="HV64">
        <v>0</v>
      </c>
      <c r="HW64">
        <v>0</v>
      </c>
      <c r="HX64">
        <v>0</v>
      </c>
      <c r="HY64" t="s">
        <v>423</v>
      </c>
      <c r="HZ64" t="s">
        <v>424</v>
      </c>
      <c r="IA64" t="s">
        <v>425</v>
      </c>
      <c r="IB64" t="s">
        <v>425</v>
      </c>
      <c r="IC64" t="s">
        <v>425</v>
      </c>
      <c r="ID64" t="s">
        <v>425</v>
      </c>
      <c r="IE64">
        <v>0</v>
      </c>
      <c r="IF64">
        <v>100</v>
      </c>
      <c r="IG64">
        <v>100</v>
      </c>
      <c r="IH64">
        <v>-0.97499999999999998</v>
      </c>
      <c r="II64">
        <v>-0.28310000000000002</v>
      </c>
      <c r="IJ64">
        <v>-0.97520999999998992</v>
      </c>
      <c r="IK64">
        <v>0</v>
      </c>
      <c r="IL64">
        <v>0</v>
      </c>
      <c r="IM64">
        <v>0</v>
      </c>
      <c r="IN64">
        <v>-0.28309499999999937</v>
      </c>
      <c r="IO64">
        <v>0</v>
      </c>
      <c r="IP64">
        <v>0</v>
      </c>
      <c r="IQ64">
        <v>0</v>
      </c>
      <c r="IR64">
        <v>-1</v>
      </c>
      <c r="IS64">
        <v>-1</v>
      </c>
      <c r="IT64">
        <v>-1</v>
      </c>
      <c r="IU64">
        <v>-1</v>
      </c>
      <c r="IV64">
        <v>0.8</v>
      </c>
      <c r="IW64">
        <v>0.5</v>
      </c>
      <c r="IX64">
        <v>0.21240200000000001</v>
      </c>
      <c r="IY64">
        <v>2.50488</v>
      </c>
      <c r="IZ64">
        <v>1.49414</v>
      </c>
      <c r="JA64">
        <v>2.2985799999999998</v>
      </c>
      <c r="JB64">
        <v>1.54419</v>
      </c>
      <c r="JC64">
        <v>2.51831</v>
      </c>
      <c r="JD64">
        <v>36.128500000000003</v>
      </c>
      <c r="JE64">
        <v>24.017499999999998</v>
      </c>
      <c r="JF64">
        <v>18</v>
      </c>
      <c r="JG64">
        <v>533.97199999999998</v>
      </c>
      <c r="JH64">
        <v>488.09899999999999</v>
      </c>
      <c r="JI64">
        <v>27.619700000000002</v>
      </c>
      <c r="JJ64">
        <v>30.717700000000001</v>
      </c>
      <c r="JK64">
        <v>30.0002</v>
      </c>
      <c r="JL64">
        <v>30.709700000000002</v>
      </c>
      <c r="JM64">
        <v>30.686</v>
      </c>
      <c r="JN64">
        <v>4.3108899999999997</v>
      </c>
      <c r="JO64">
        <v>27.601299999999998</v>
      </c>
      <c r="JP64">
        <v>100</v>
      </c>
      <c r="JQ64">
        <v>27.616099999999999</v>
      </c>
      <c r="JR64">
        <v>30</v>
      </c>
      <c r="JS64">
        <v>22.673300000000001</v>
      </c>
      <c r="JT64">
        <v>98.865499999999997</v>
      </c>
      <c r="JU64">
        <v>97.098799999999997</v>
      </c>
    </row>
    <row r="65" spans="1:281" x14ac:dyDescent="0.25">
      <c r="A65">
        <v>49</v>
      </c>
      <c r="B65">
        <v>1693507144.5</v>
      </c>
      <c r="C65">
        <v>13008.5</v>
      </c>
      <c r="D65" t="s">
        <v>666</v>
      </c>
      <c r="E65" t="s">
        <v>667</v>
      </c>
      <c r="F65" t="s">
        <v>414</v>
      </c>
      <c r="G65" t="s">
        <v>566</v>
      </c>
      <c r="H65" t="s">
        <v>637</v>
      </c>
      <c r="I65" t="s">
        <v>31</v>
      </c>
      <c r="J65">
        <v>1693507144.5</v>
      </c>
      <c r="K65">
        <f t="shared" si="46"/>
        <v>5.2787791773039779E-3</v>
      </c>
      <c r="L65">
        <f t="shared" si="47"/>
        <v>5.2787791773039778</v>
      </c>
      <c r="M65">
        <f t="shared" si="48"/>
        <v>1.4018333724823544</v>
      </c>
      <c r="N65">
        <f t="shared" si="49"/>
        <v>8.2630199999999991</v>
      </c>
      <c r="O65">
        <f t="shared" si="50"/>
        <v>2.0080441769816262</v>
      </c>
      <c r="P65">
        <f t="shared" si="51"/>
        <v>0.20010317232596103</v>
      </c>
      <c r="Q65">
        <f t="shared" si="52"/>
        <v>0.82341640385533788</v>
      </c>
      <c r="R65">
        <f t="shared" si="53"/>
        <v>0.38851462234870193</v>
      </c>
      <c r="S65">
        <f t="shared" si="54"/>
        <v>2.9234193188411748</v>
      </c>
      <c r="T65">
        <f t="shared" si="55"/>
        <v>0.3619408929932213</v>
      </c>
      <c r="U65">
        <f t="shared" si="56"/>
        <v>0.22844895851986072</v>
      </c>
      <c r="V65">
        <f t="shared" si="57"/>
        <v>344.37259967100374</v>
      </c>
      <c r="W65">
        <f t="shared" si="58"/>
        <v>31.042034904953262</v>
      </c>
      <c r="X65">
        <f t="shared" si="59"/>
        <v>29.970099999999999</v>
      </c>
      <c r="Y65">
        <f t="shared" si="60"/>
        <v>4.2531382153593018</v>
      </c>
      <c r="Z65">
        <f t="shared" si="61"/>
        <v>65.472156974375167</v>
      </c>
      <c r="AA65">
        <f t="shared" si="62"/>
        <v>2.8515768796158301</v>
      </c>
      <c r="AB65">
        <f t="shared" si="63"/>
        <v>4.3554039020463229</v>
      </c>
      <c r="AC65">
        <f t="shared" si="64"/>
        <v>1.4015613357434717</v>
      </c>
      <c r="AD65">
        <f t="shared" si="65"/>
        <v>-232.79416171910543</v>
      </c>
      <c r="AE65">
        <f t="shared" si="66"/>
        <v>65.28097775585293</v>
      </c>
      <c r="AF65">
        <f t="shared" si="67"/>
        <v>4.9738944103440899</v>
      </c>
      <c r="AG65">
        <f t="shared" si="68"/>
        <v>181.83331011809531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52102.675194753872</v>
      </c>
      <c r="AM65" t="s">
        <v>417</v>
      </c>
      <c r="AN65">
        <v>10366.9</v>
      </c>
      <c r="AO65">
        <v>993.59653846153856</v>
      </c>
      <c r="AP65">
        <v>3431.87</v>
      </c>
      <c r="AQ65">
        <f t="shared" si="72"/>
        <v>0.71047955241266758</v>
      </c>
      <c r="AR65">
        <v>-3.9894345373445681</v>
      </c>
      <c r="AS65" t="s">
        <v>668</v>
      </c>
      <c r="AT65">
        <v>10308.299999999999</v>
      </c>
      <c r="AU65">
        <v>687.95180000000005</v>
      </c>
      <c r="AV65">
        <v>737.2662225310537</v>
      </c>
      <c r="AW65">
        <f t="shared" si="73"/>
        <v>6.6888216256206556E-2</v>
      </c>
      <c r="AX65">
        <v>0.5</v>
      </c>
      <c r="AY65">
        <f t="shared" si="74"/>
        <v>1513.2011998355017</v>
      </c>
      <c r="AZ65">
        <f t="shared" si="75"/>
        <v>1.4018333724823544</v>
      </c>
      <c r="BA65">
        <f t="shared" si="76"/>
        <v>50.607664546874133</v>
      </c>
      <c r="BB65">
        <f t="shared" si="77"/>
        <v>3.562822915031392E-3</v>
      </c>
      <c r="BC65">
        <f t="shared" si="78"/>
        <v>3.6548585777038625</v>
      </c>
      <c r="BD65">
        <f t="shared" si="79"/>
        <v>482.76048940922919</v>
      </c>
      <c r="BE65" t="s">
        <v>669</v>
      </c>
      <c r="BF65">
        <v>541.76</v>
      </c>
      <c r="BG65">
        <f t="shared" si="80"/>
        <v>541.76</v>
      </c>
      <c r="BH65">
        <f t="shared" si="81"/>
        <v>0.26517724067145765</v>
      </c>
      <c r="BI65">
        <f t="shared" si="82"/>
        <v>0.25223965709439594</v>
      </c>
      <c r="BJ65">
        <f t="shared" si="83"/>
        <v>0.93235336283703618</v>
      </c>
      <c r="BK65">
        <f t="shared" si="84"/>
        <v>-0.19238622771575489</v>
      </c>
      <c r="BL65">
        <f t="shared" si="85"/>
        <v>1.105127796358309</v>
      </c>
      <c r="BM65">
        <f t="shared" si="86"/>
        <v>0.19863798107288902</v>
      </c>
      <c r="BN65">
        <f t="shared" si="87"/>
        <v>0.80136201892711101</v>
      </c>
      <c r="BO65">
        <v>16802</v>
      </c>
      <c r="BP65">
        <v>290.00000000000011</v>
      </c>
      <c r="BQ65">
        <v>723.35</v>
      </c>
      <c r="BR65">
        <v>185</v>
      </c>
      <c r="BS65">
        <v>10308.299999999999</v>
      </c>
      <c r="BT65">
        <v>722.28</v>
      </c>
      <c r="BU65">
        <v>1.07</v>
      </c>
      <c r="BV65">
        <v>300.00000000000011</v>
      </c>
      <c r="BW65">
        <v>38.4</v>
      </c>
      <c r="BX65">
        <v>737.2662225310537</v>
      </c>
      <c r="BY65">
        <v>0.87077343180843625</v>
      </c>
      <c r="BZ65">
        <v>-15.445015520604301</v>
      </c>
      <c r="CA65">
        <v>0.73437354379264386</v>
      </c>
      <c r="CB65">
        <v>0.94046684893319288</v>
      </c>
      <c r="CC65">
        <v>-1.1223349499443831E-2</v>
      </c>
      <c r="CD65">
        <v>289.99999999999989</v>
      </c>
      <c r="CE65">
        <v>719.21</v>
      </c>
      <c r="CF65">
        <v>625</v>
      </c>
      <c r="CG65">
        <v>10286.4</v>
      </c>
      <c r="CH65">
        <v>722.25</v>
      </c>
      <c r="CI65">
        <v>-3.04</v>
      </c>
      <c r="CW65">
        <f t="shared" si="88"/>
        <v>1800.02</v>
      </c>
      <c r="CX65">
        <f t="shared" si="89"/>
        <v>1513.2011998355017</v>
      </c>
      <c r="CY65">
        <f t="shared" si="90"/>
        <v>0.84065799259758323</v>
      </c>
      <c r="CZ65">
        <f t="shared" si="91"/>
        <v>0.19131598519516657</v>
      </c>
      <c r="DA65">
        <v>6</v>
      </c>
      <c r="DB65">
        <v>0.5</v>
      </c>
      <c r="DC65" t="s">
        <v>420</v>
      </c>
      <c r="DD65">
        <v>2</v>
      </c>
      <c r="DE65">
        <v>1693507144.5</v>
      </c>
      <c r="DF65">
        <v>8.2630199999999991</v>
      </c>
      <c r="DG65">
        <v>9.9988399999999995</v>
      </c>
      <c r="DH65">
        <v>28.6157</v>
      </c>
      <c r="DI65">
        <v>22.457899999999999</v>
      </c>
      <c r="DJ65">
        <v>9.2066300000000005</v>
      </c>
      <c r="DK65">
        <v>28.9087</v>
      </c>
      <c r="DL65">
        <v>499.63200000000001</v>
      </c>
      <c r="DM65">
        <v>99.551400000000001</v>
      </c>
      <c r="DN65">
        <v>9.9381899999999995E-2</v>
      </c>
      <c r="DO65">
        <v>30.3843</v>
      </c>
      <c r="DP65">
        <v>29.970099999999999</v>
      </c>
      <c r="DQ65">
        <v>999.9</v>
      </c>
      <c r="DR65">
        <v>0</v>
      </c>
      <c r="DS65">
        <v>0</v>
      </c>
      <c r="DT65">
        <v>10010</v>
      </c>
      <c r="DU65">
        <v>0</v>
      </c>
      <c r="DV65">
        <v>1510.24</v>
      </c>
      <c r="DW65">
        <v>-1.7358199999999999</v>
      </c>
      <c r="DX65">
        <v>8.5064399999999996</v>
      </c>
      <c r="DY65">
        <v>10.2285</v>
      </c>
      <c r="DZ65">
        <v>6.1577999999999999</v>
      </c>
      <c r="EA65">
        <v>9.9988399999999995</v>
      </c>
      <c r="EB65">
        <v>22.457899999999999</v>
      </c>
      <c r="EC65">
        <v>2.8487300000000002</v>
      </c>
      <c r="ED65">
        <v>2.2357200000000002</v>
      </c>
      <c r="EE65">
        <v>23.1692</v>
      </c>
      <c r="EF65">
        <v>19.220600000000001</v>
      </c>
      <c r="EG65">
        <v>1800.02</v>
      </c>
      <c r="EH65">
        <v>0.97800500000000001</v>
      </c>
      <c r="EI65">
        <v>2.1995299999999999E-2</v>
      </c>
      <c r="EJ65">
        <v>0</v>
      </c>
      <c r="EK65">
        <v>688.02599999999995</v>
      </c>
      <c r="EL65">
        <v>5.0002500000000003</v>
      </c>
      <c r="EM65">
        <v>19305.900000000001</v>
      </c>
      <c r="EN65">
        <v>14822.3</v>
      </c>
      <c r="EO65">
        <v>46.875</v>
      </c>
      <c r="EP65">
        <v>47.561999999999998</v>
      </c>
      <c r="EQ65">
        <v>47.625</v>
      </c>
      <c r="ER65">
        <v>46.436999999999998</v>
      </c>
      <c r="ES65">
        <v>48</v>
      </c>
      <c r="ET65">
        <v>1755.54</v>
      </c>
      <c r="EU65">
        <v>39.479999999999997</v>
      </c>
      <c r="EV65">
        <v>0</v>
      </c>
      <c r="EW65">
        <v>97.800000190734863</v>
      </c>
      <c r="EX65">
        <v>0</v>
      </c>
      <c r="EY65">
        <v>687.95180000000005</v>
      </c>
      <c r="EZ65">
        <v>-0.81507691024091367</v>
      </c>
      <c r="FA65">
        <v>2.392306141406435</v>
      </c>
      <c r="FB65">
        <v>19232.227999999999</v>
      </c>
      <c r="FC65">
        <v>15</v>
      </c>
      <c r="FD65">
        <v>1693507112</v>
      </c>
      <c r="FE65" t="s">
        <v>670</v>
      </c>
      <c r="FF65">
        <v>1693507102.5</v>
      </c>
      <c r="FG65">
        <v>1693507112</v>
      </c>
      <c r="FH65">
        <v>56</v>
      </c>
      <c r="FI65">
        <v>3.2000000000000001E-2</v>
      </c>
      <c r="FJ65">
        <v>-0.01</v>
      </c>
      <c r="FK65">
        <v>-0.94399999999999995</v>
      </c>
      <c r="FL65">
        <v>-0.29299999999999998</v>
      </c>
      <c r="FM65">
        <v>10</v>
      </c>
      <c r="FN65">
        <v>23</v>
      </c>
      <c r="FO65">
        <v>0.87</v>
      </c>
      <c r="FP65">
        <v>0.04</v>
      </c>
      <c r="FQ65">
        <v>1.408473584931015</v>
      </c>
      <c r="FR65">
        <v>-0.2608978017841963</v>
      </c>
      <c r="FS65">
        <v>5.0041829674156803E-2</v>
      </c>
      <c r="FT65">
        <v>1</v>
      </c>
      <c r="FU65">
        <v>0.39377537361345161</v>
      </c>
      <c r="FV65">
        <v>-1.7690591902646099E-2</v>
      </c>
      <c r="FW65">
        <v>1.936803680792494E-3</v>
      </c>
      <c r="FX65">
        <v>1</v>
      </c>
      <c r="FY65">
        <v>2</v>
      </c>
      <c r="FZ65">
        <v>2</v>
      </c>
      <c r="GA65" t="s">
        <v>422</v>
      </c>
      <c r="GB65">
        <v>2.9195799999999998</v>
      </c>
      <c r="GC65">
        <v>2.8293599999999999</v>
      </c>
      <c r="GD65">
        <v>2.59406E-3</v>
      </c>
      <c r="GE65">
        <v>2.7533800000000002E-3</v>
      </c>
      <c r="GF65">
        <v>0.136271</v>
      </c>
      <c r="GG65">
        <v>0.109947</v>
      </c>
      <c r="GH65">
        <v>26117.5</v>
      </c>
      <c r="GI65">
        <v>31817.8</v>
      </c>
      <c r="GJ65">
        <v>23571.1</v>
      </c>
      <c r="GK65">
        <v>29205.1</v>
      </c>
      <c r="GL65">
        <v>27755.7</v>
      </c>
      <c r="GM65">
        <v>36776.699999999997</v>
      </c>
      <c r="GN65">
        <v>33336.9</v>
      </c>
      <c r="GO65">
        <v>43110.6</v>
      </c>
      <c r="GP65">
        <v>2.0182000000000002</v>
      </c>
      <c r="GQ65">
        <v>1.8976999999999999</v>
      </c>
      <c r="GR65">
        <v>8.8170200000000004E-2</v>
      </c>
      <c r="GS65">
        <v>0</v>
      </c>
      <c r="GT65">
        <v>28.5335</v>
      </c>
      <c r="GU65">
        <v>999.9</v>
      </c>
      <c r="GV65">
        <v>58.6</v>
      </c>
      <c r="GW65">
        <v>32.1</v>
      </c>
      <c r="GX65">
        <v>28.268000000000001</v>
      </c>
      <c r="GY65">
        <v>60.707700000000003</v>
      </c>
      <c r="GZ65">
        <v>34.6434</v>
      </c>
      <c r="HA65">
        <v>1</v>
      </c>
      <c r="HB65">
        <v>0.26023400000000002</v>
      </c>
      <c r="HC65">
        <v>0.42812600000000001</v>
      </c>
      <c r="HD65">
        <v>20.28</v>
      </c>
      <c r="HE65">
        <v>5.2011200000000004</v>
      </c>
      <c r="HF65">
        <v>11.872199999999999</v>
      </c>
      <c r="HG65">
        <v>4.9817999999999998</v>
      </c>
      <c r="HH65">
        <v>3.2818999999999998</v>
      </c>
      <c r="HI65">
        <v>9999</v>
      </c>
      <c r="HJ65">
        <v>9999</v>
      </c>
      <c r="HK65">
        <v>9999</v>
      </c>
      <c r="HL65">
        <v>999.9</v>
      </c>
      <c r="HM65">
        <v>1.8547100000000001</v>
      </c>
      <c r="HN65">
        <v>1.8608100000000001</v>
      </c>
      <c r="HO65">
        <v>1.85826</v>
      </c>
      <c r="HP65">
        <v>1.8594900000000001</v>
      </c>
      <c r="HQ65">
        <v>1.85883</v>
      </c>
      <c r="HR65">
        <v>1.85928</v>
      </c>
      <c r="HS65">
        <v>1.8577399999999999</v>
      </c>
      <c r="HT65">
        <v>1.86111</v>
      </c>
      <c r="HU65">
        <v>5</v>
      </c>
      <c r="HV65">
        <v>0</v>
      </c>
      <c r="HW65">
        <v>0</v>
      </c>
      <c r="HX65">
        <v>0</v>
      </c>
      <c r="HY65" t="s">
        <v>423</v>
      </c>
      <c r="HZ65" t="s">
        <v>424</v>
      </c>
      <c r="IA65" t="s">
        <v>425</v>
      </c>
      <c r="IB65" t="s">
        <v>425</v>
      </c>
      <c r="IC65" t="s">
        <v>425</v>
      </c>
      <c r="ID65" t="s">
        <v>425</v>
      </c>
      <c r="IE65">
        <v>0</v>
      </c>
      <c r="IF65">
        <v>100</v>
      </c>
      <c r="IG65">
        <v>100</v>
      </c>
      <c r="IH65">
        <v>-0.94399999999999995</v>
      </c>
      <c r="II65">
        <v>-0.29299999999999998</v>
      </c>
      <c r="IJ65">
        <v>-0.94361150000000116</v>
      </c>
      <c r="IK65">
        <v>0</v>
      </c>
      <c r="IL65">
        <v>0</v>
      </c>
      <c r="IM65">
        <v>0</v>
      </c>
      <c r="IN65">
        <v>-0.29303809523809221</v>
      </c>
      <c r="IO65">
        <v>0</v>
      </c>
      <c r="IP65">
        <v>0</v>
      </c>
      <c r="IQ65">
        <v>0</v>
      </c>
      <c r="IR65">
        <v>-1</v>
      </c>
      <c r="IS65">
        <v>-1</v>
      </c>
      <c r="IT65">
        <v>-1</v>
      </c>
      <c r="IU65">
        <v>-1</v>
      </c>
      <c r="IV65">
        <v>0.7</v>
      </c>
      <c r="IW65">
        <v>0.5</v>
      </c>
      <c r="IX65">
        <v>0.167236</v>
      </c>
      <c r="IY65">
        <v>2.52563</v>
      </c>
      <c r="IZ65">
        <v>1.49414</v>
      </c>
      <c r="JA65">
        <v>2.2985799999999998</v>
      </c>
      <c r="JB65">
        <v>1.54419</v>
      </c>
      <c r="JC65">
        <v>2.3010299999999999</v>
      </c>
      <c r="JD65">
        <v>36.058199999999999</v>
      </c>
      <c r="JE65">
        <v>24.008700000000001</v>
      </c>
      <c r="JF65">
        <v>18</v>
      </c>
      <c r="JG65">
        <v>533.14200000000005</v>
      </c>
      <c r="JH65">
        <v>488.32100000000003</v>
      </c>
      <c r="JI65">
        <v>27.841200000000001</v>
      </c>
      <c r="JJ65">
        <v>30.781400000000001</v>
      </c>
      <c r="JK65">
        <v>30.0002</v>
      </c>
      <c r="JL65">
        <v>30.768000000000001</v>
      </c>
      <c r="JM65">
        <v>30.744199999999999</v>
      </c>
      <c r="JN65">
        <v>3.4144800000000002</v>
      </c>
      <c r="JO65">
        <v>28.855799999999999</v>
      </c>
      <c r="JP65">
        <v>99.629400000000004</v>
      </c>
      <c r="JQ65">
        <v>27.842600000000001</v>
      </c>
      <c r="JR65">
        <v>10</v>
      </c>
      <c r="JS65">
        <v>22.410699999999999</v>
      </c>
      <c r="JT65">
        <v>98.862799999999993</v>
      </c>
      <c r="JU65">
        <v>97.103499999999997</v>
      </c>
    </row>
    <row r="66" spans="1:281" x14ac:dyDescent="0.25">
      <c r="A66">
        <v>50</v>
      </c>
      <c r="B66">
        <v>1693507334</v>
      </c>
      <c r="C66">
        <v>13198</v>
      </c>
      <c r="D66" t="s">
        <v>671</v>
      </c>
      <c r="E66" t="s">
        <v>672</v>
      </c>
      <c r="F66" t="s">
        <v>414</v>
      </c>
      <c r="G66" t="s">
        <v>566</v>
      </c>
      <c r="H66" t="s">
        <v>637</v>
      </c>
      <c r="I66" t="s">
        <v>31</v>
      </c>
      <c r="J66">
        <v>1693507334</v>
      </c>
      <c r="K66">
        <f t="shared" si="46"/>
        <v>5.0530609441947006E-3</v>
      </c>
      <c r="L66">
        <f t="shared" si="47"/>
        <v>5.0530609441947005</v>
      </c>
      <c r="M66">
        <f t="shared" si="48"/>
        <v>38.706735659062048</v>
      </c>
      <c r="N66">
        <f t="shared" si="49"/>
        <v>351.47899999999998</v>
      </c>
      <c r="O66">
        <f t="shared" si="50"/>
        <v>164.97570411085471</v>
      </c>
      <c r="P66">
        <f t="shared" si="51"/>
        <v>16.439501800820558</v>
      </c>
      <c r="Q66">
        <f t="shared" si="52"/>
        <v>35.024185437438796</v>
      </c>
      <c r="R66">
        <f t="shared" si="53"/>
        <v>0.36349214959801474</v>
      </c>
      <c r="S66">
        <f t="shared" si="54"/>
        <v>2.9198596355800857</v>
      </c>
      <c r="T66">
        <f t="shared" si="55"/>
        <v>0.34009424665232246</v>
      </c>
      <c r="U66">
        <f t="shared" si="56"/>
        <v>0.21453548054313432</v>
      </c>
      <c r="V66">
        <f t="shared" si="57"/>
        <v>344.33079967096347</v>
      </c>
      <c r="W66">
        <f t="shared" si="58"/>
        <v>31.129163624264041</v>
      </c>
      <c r="X66">
        <f t="shared" si="59"/>
        <v>30.001300000000001</v>
      </c>
      <c r="Y66">
        <f t="shared" si="60"/>
        <v>4.2607679145395698</v>
      </c>
      <c r="Z66">
        <f t="shared" si="61"/>
        <v>64.939796854192693</v>
      </c>
      <c r="AA66">
        <f t="shared" si="62"/>
        <v>2.8329134105822398</v>
      </c>
      <c r="AB66">
        <f t="shared" si="63"/>
        <v>4.362368759703533</v>
      </c>
      <c r="AC66">
        <f t="shared" si="64"/>
        <v>1.42785450395733</v>
      </c>
      <c r="AD66">
        <f t="shared" si="65"/>
        <v>-222.83998763898629</v>
      </c>
      <c r="AE66">
        <f t="shared" si="66"/>
        <v>64.682017721497118</v>
      </c>
      <c r="AF66">
        <f t="shared" si="67"/>
        <v>4.9357094690383621</v>
      </c>
      <c r="AG66">
        <f t="shared" si="68"/>
        <v>191.10853922251269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51996.371444399869</v>
      </c>
      <c r="AM66" t="s">
        <v>417</v>
      </c>
      <c r="AN66">
        <v>10366.9</v>
      </c>
      <c r="AO66">
        <v>993.59653846153856</v>
      </c>
      <c r="AP66">
        <v>3431.87</v>
      </c>
      <c r="AQ66">
        <f t="shared" si="72"/>
        <v>0.71047955241266758</v>
      </c>
      <c r="AR66">
        <v>-3.9894345373445681</v>
      </c>
      <c r="AS66" t="s">
        <v>673</v>
      </c>
      <c r="AT66">
        <v>10306.1</v>
      </c>
      <c r="AU66">
        <v>678.55361538461534</v>
      </c>
      <c r="AV66">
        <v>962.39899411027943</v>
      </c>
      <c r="AW66">
        <f t="shared" si="73"/>
        <v>0.29493524043847741</v>
      </c>
      <c r="AX66">
        <v>0.5</v>
      </c>
      <c r="AY66">
        <f t="shared" si="74"/>
        <v>1513.0163998354817</v>
      </c>
      <c r="AZ66">
        <f t="shared" si="75"/>
        <v>38.706735659062048</v>
      </c>
      <c r="BA66">
        <f t="shared" si="76"/>
        <v>223.12092783641864</v>
      </c>
      <c r="BB66">
        <f t="shared" si="77"/>
        <v>2.8219238205910518E-2</v>
      </c>
      <c r="BC66">
        <f t="shared" si="78"/>
        <v>2.5659534361553464</v>
      </c>
      <c r="BD66">
        <f t="shared" si="79"/>
        <v>570.08366861129286</v>
      </c>
      <c r="BE66" t="s">
        <v>674</v>
      </c>
      <c r="BF66">
        <v>529.21</v>
      </c>
      <c r="BG66">
        <f t="shared" si="80"/>
        <v>529.21</v>
      </c>
      <c r="BH66">
        <f t="shared" si="81"/>
        <v>0.45011372285437068</v>
      </c>
      <c r="BI66">
        <f t="shared" si="82"/>
        <v>0.65524605330440122</v>
      </c>
      <c r="BJ66">
        <f t="shared" si="83"/>
        <v>0.85076137263397034</v>
      </c>
      <c r="BK66">
        <f t="shared" si="84"/>
        <v>-9.0983243914903884</v>
      </c>
      <c r="BL66">
        <f t="shared" si="85"/>
        <v>1.0127949324976757</v>
      </c>
      <c r="BM66">
        <f t="shared" si="86"/>
        <v>0.51103222502568402</v>
      </c>
      <c r="BN66">
        <f t="shared" si="87"/>
        <v>0.48896777497431598</v>
      </c>
      <c r="BO66">
        <v>16804</v>
      </c>
      <c r="BP66">
        <v>290.00000000000011</v>
      </c>
      <c r="BQ66">
        <v>870.69</v>
      </c>
      <c r="BR66">
        <v>215</v>
      </c>
      <c r="BS66">
        <v>10306.1</v>
      </c>
      <c r="BT66">
        <v>869.66</v>
      </c>
      <c r="BU66">
        <v>1.03</v>
      </c>
      <c r="BV66">
        <v>300.00000000000011</v>
      </c>
      <c r="BW66">
        <v>38.4</v>
      </c>
      <c r="BX66">
        <v>962.39899411027943</v>
      </c>
      <c r="BY66">
        <v>1.0914761316051169</v>
      </c>
      <c r="BZ66">
        <v>-95.58273135751999</v>
      </c>
      <c r="CA66">
        <v>0.92065172947647334</v>
      </c>
      <c r="CB66">
        <v>0.99740902514485408</v>
      </c>
      <c r="CC66">
        <v>-1.1226127030033371E-2</v>
      </c>
      <c r="CD66">
        <v>289.99999999999989</v>
      </c>
      <c r="CE66">
        <v>852.65</v>
      </c>
      <c r="CF66">
        <v>635</v>
      </c>
      <c r="CG66">
        <v>10287.299999999999</v>
      </c>
      <c r="CH66">
        <v>869.49</v>
      </c>
      <c r="CI66">
        <v>-16.84</v>
      </c>
      <c r="CW66">
        <f t="shared" si="88"/>
        <v>1799.8</v>
      </c>
      <c r="CX66">
        <f t="shared" si="89"/>
        <v>1513.0163998354817</v>
      </c>
      <c r="CY66">
        <f t="shared" si="90"/>
        <v>0.84065807302782625</v>
      </c>
      <c r="CZ66">
        <f t="shared" si="91"/>
        <v>0.19131614605565256</v>
      </c>
      <c r="DA66">
        <v>6</v>
      </c>
      <c r="DB66">
        <v>0.5</v>
      </c>
      <c r="DC66" t="s">
        <v>420</v>
      </c>
      <c r="DD66">
        <v>2</v>
      </c>
      <c r="DE66">
        <v>1693507334</v>
      </c>
      <c r="DF66">
        <v>351.47899999999998</v>
      </c>
      <c r="DG66">
        <v>400.084</v>
      </c>
      <c r="DH66">
        <v>28.429200000000002</v>
      </c>
      <c r="DI66">
        <v>22.534800000000001</v>
      </c>
      <c r="DJ66">
        <v>352.73899999999998</v>
      </c>
      <c r="DK66">
        <v>28.7225</v>
      </c>
      <c r="DL66">
        <v>499.73599999999999</v>
      </c>
      <c r="DM66">
        <v>99.548199999999994</v>
      </c>
      <c r="DN66">
        <v>9.9817199999999995E-2</v>
      </c>
      <c r="DO66">
        <v>30.412199999999999</v>
      </c>
      <c r="DP66">
        <v>30.001300000000001</v>
      </c>
      <c r="DQ66">
        <v>999.9</v>
      </c>
      <c r="DR66">
        <v>0</v>
      </c>
      <c r="DS66">
        <v>0</v>
      </c>
      <c r="DT66">
        <v>9990</v>
      </c>
      <c r="DU66">
        <v>0</v>
      </c>
      <c r="DV66">
        <v>1485.1</v>
      </c>
      <c r="DW66">
        <v>-48.605200000000004</v>
      </c>
      <c r="DX66">
        <v>361.76299999999998</v>
      </c>
      <c r="DY66">
        <v>409.30799999999999</v>
      </c>
      <c r="DZ66">
        <v>5.8944099999999997</v>
      </c>
      <c r="EA66">
        <v>400.084</v>
      </c>
      <c r="EB66">
        <v>22.534800000000001</v>
      </c>
      <c r="EC66">
        <v>2.8300700000000001</v>
      </c>
      <c r="ED66">
        <v>2.24329</v>
      </c>
      <c r="EE66">
        <v>23.060500000000001</v>
      </c>
      <c r="EF66">
        <v>19.274899999999999</v>
      </c>
      <c r="EG66">
        <v>1799.8</v>
      </c>
      <c r="EH66">
        <v>0.97800100000000001</v>
      </c>
      <c r="EI66">
        <v>2.1999100000000001E-2</v>
      </c>
      <c r="EJ66">
        <v>0</v>
      </c>
      <c r="EK66">
        <v>677.125</v>
      </c>
      <c r="EL66">
        <v>5.0002500000000003</v>
      </c>
      <c r="EM66">
        <v>19035.7</v>
      </c>
      <c r="EN66">
        <v>14820.4</v>
      </c>
      <c r="EO66">
        <v>46.936999999999998</v>
      </c>
      <c r="EP66">
        <v>47.5</v>
      </c>
      <c r="EQ66">
        <v>47.625</v>
      </c>
      <c r="ER66">
        <v>46.375</v>
      </c>
      <c r="ES66">
        <v>48</v>
      </c>
      <c r="ET66">
        <v>1755.32</v>
      </c>
      <c r="EU66">
        <v>39.479999999999997</v>
      </c>
      <c r="EV66">
        <v>0</v>
      </c>
      <c r="EW66">
        <v>187.79999995231631</v>
      </c>
      <c r="EX66">
        <v>0</v>
      </c>
      <c r="EY66">
        <v>678.55361538461534</v>
      </c>
      <c r="EZ66">
        <v>-9.3465299146670979</v>
      </c>
      <c r="FA66">
        <v>-119.9589740585247</v>
      </c>
      <c r="FB66">
        <v>19045.461538461539</v>
      </c>
      <c r="FC66">
        <v>15</v>
      </c>
      <c r="FD66">
        <v>1693507249.5</v>
      </c>
      <c r="FE66" t="s">
        <v>675</v>
      </c>
      <c r="FF66">
        <v>1693507249.5</v>
      </c>
      <c r="FG66">
        <v>1693507245.5</v>
      </c>
      <c r="FH66">
        <v>57</v>
      </c>
      <c r="FI66">
        <v>-0.317</v>
      </c>
      <c r="FJ66">
        <v>0</v>
      </c>
      <c r="FK66">
        <v>-1.26</v>
      </c>
      <c r="FL66">
        <v>-0.29299999999999998</v>
      </c>
      <c r="FM66">
        <v>400</v>
      </c>
      <c r="FN66">
        <v>22</v>
      </c>
      <c r="FO66">
        <v>0.25</v>
      </c>
      <c r="FP66">
        <v>0.05</v>
      </c>
      <c r="FQ66">
        <v>38.245134152019823</v>
      </c>
      <c r="FR66">
        <v>2.9996846564194199</v>
      </c>
      <c r="FS66">
        <v>0.22882570438887381</v>
      </c>
      <c r="FT66">
        <v>0</v>
      </c>
      <c r="FU66">
        <v>0.36540121574869239</v>
      </c>
      <c r="FV66">
        <v>-7.1313480472050038E-3</v>
      </c>
      <c r="FW66">
        <v>8.9627898608105419E-4</v>
      </c>
      <c r="FX66">
        <v>1</v>
      </c>
      <c r="FY66">
        <v>1</v>
      </c>
      <c r="FZ66">
        <v>2</v>
      </c>
      <c r="GA66" t="s">
        <v>461</v>
      </c>
      <c r="GB66">
        <v>2.9197899999999999</v>
      </c>
      <c r="GC66">
        <v>2.8296100000000002</v>
      </c>
      <c r="GD66">
        <v>8.2370600000000002E-2</v>
      </c>
      <c r="GE66">
        <v>8.9127200000000004E-2</v>
      </c>
      <c r="GF66">
        <v>0.13564100000000001</v>
      </c>
      <c r="GG66">
        <v>0.110194</v>
      </c>
      <c r="GH66">
        <v>24028.5</v>
      </c>
      <c r="GI66">
        <v>29066.7</v>
      </c>
      <c r="GJ66">
        <v>23569.9</v>
      </c>
      <c r="GK66">
        <v>29208.7</v>
      </c>
      <c r="GL66">
        <v>27783.3</v>
      </c>
      <c r="GM66">
        <v>36779.1</v>
      </c>
      <c r="GN66">
        <v>33336.400000000001</v>
      </c>
      <c r="GO66">
        <v>43113.9</v>
      </c>
      <c r="GP66">
        <v>2.0198999999999998</v>
      </c>
      <c r="GQ66">
        <v>1.8975</v>
      </c>
      <c r="GR66">
        <v>9.2625600000000002E-2</v>
      </c>
      <c r="GS66">
        <v>0</v>
      </c>
      <c r="GT66">
        <v>28.492100000000001</v>
      </c>
      <c r="GU66">
        <v>999.9</v>
      </c>
      <c r="GV66">
        <v>58.6</v>
      </c>
      <c r="GW66">
        <v>32.1</v>
      </c>
      <c r="GX66">
        <v>28.265999999999998</v>
      </c>
      <c r="GY66">
        <v>61.387700000000002</v>
      </c>
      <c r="GZ66">
        <v>34.819699999999997</v>
      </c>
      <c r="HA66">
        <v>1</v>
      </c>
      <c r="HB66">
        <v>0.26185000000000003</v>
      </c>
      <c r="HC66">
        <v>8.7440100000000007E-2</v>
      </c>
      <c r="HD66">
        <v>20.282299999999999</v>
      </c>
      <c r="HE66">
        <v>5.2100999999999997</v>
      </c>
      <c r="HF66">
        <v>11.872199999999999</v>
      </c>
      <c r="HG66">
        <v>4.9851999999999999</v>
      </c>
      <c r="HH66">
        <v>3.2839999999999998</v>
      </c>
      <c r="HI66">
        <v>9999</v>
      </c>
      <c r="HJ66">
        <v>9999</v>
      </c>
      <c r="HK66">
        <v>9999</v>
      </c>
      <c r="HL66">
        <v>999.9</v>
      </c>
      <c r="HM66">
        <v>1.8547100000000001</v>
      </c>
      <c r="HN66">
        <v>1.8608100000000001</v>
      </c>
      <c r="HO66">
        <v>1.85822</v>
      </c>
      <c r="HP66">
        <v>1.8594900000000001</v>
      </c>
      <c r="HQ66">
        <v>1.85883</v>
      </c>
      <c r="HR66">
        <v>1.85938</v>
      </c>
      <c r="HS66">
        <v>1.8577600000000001</v>
      </c>
      <c r="HT66">
        <v>1.86111</v>
      </c>
      <c r="HU66">
        <v>5</v>
      </c>
      <c r="HV66">
        <v>0</v>
      </c>
      <c r="HW66">
        <v>0</v>
      </c>
      <c r="HX66">
        <v>0</v>
      </c>
      <c r="HY66" t="s">
        <v>423</v>
      </c>
      <c r="HZ66" t="s">
        <v>424</v>
      </c>
      <c r="IA66" t="s">
        <v>425</v>
      </c>
      <c r="IB66" t="s">
        <v>425</v>
      </c>
      <c r="IC66" t="s">
        <v>425</v>
      </c>
      <c r="ID66" t="s">
        <v>425</v>
      </c>
      <c r="IE66">
        <v>0</v>
      </c>
      <c r="IF66">
        <v>100</v>
      </c>
      <c r="IG66">
        <v>100</v>
      </c>
      <c r="IH66">
        <v>-1.26</v>
      </c>
      <c r="II66">
        <v>-0.29330000000000001</v>
      </c>
      <c r="IJ66">
        <v>-1.260350000000074</v>
      </c>
      <c r="IK66">
        <v>0</v>
      </c>
      <c r="IL66">
        <v>0</v>
      </c>
      <c r="IM66">
        <v>0</v>
      </c>
      <c r="IN66">
        <v>-0.29332500000000289</v>
      </c>
      <c r="IO66">
        <v>0</v>
      </c>
      <c r="IP66">
        <v>0</v>
      </c>
      <c r="IQ66">
        <v>0</v>
      </c>
      <c r="IR66">
        <v>-1</v>
      </c>
      <c r="IS66">
        <v>-1</v>
      </c>
      <c r="IT66">
        <v>-1</v>
      </c>
      <c r="IU66">
        <v>-1</v>
      </c>
      <c r="IV66">
        <v>1.4</v>
      </c>
      <c r="IW66">
        <v>1.5</v>
      </c>
      <c r="IX66">
        <v>0.99731400000000003</v>
      </c>
      <c r="IY66">
        <v>2.4609399999999999</v>
      </c>
      <c r="IZ66">
        <v>1.49414</v>
      </c>
      <c r="JA66">
        <v>2.2985799999999998</v>
      </c>
      <c r="JB66">
        <v>1.54419</v>
      </c>
      <c r="JC66">
        <v>2.3718300000000001</v>
      </c>
      <c r="JD66">
        <v>35.871099999999998</v>
      </c>
      <c r="JE66">
        <v>24.017499999999998</v>
      </c>
      <c r="JF66">
        <v>18</v>
      </c>
      <c r="JG66">
        <v>534.73900000000003</v>
      </c>
      <c r="JH66">
        <v>488.66500000000002</v>
      </c>
      <c r="JI66">
        <v>28.241599999999998</v>
      </c>
      <c r="JJ66">
        <v>30.8217</v>
      </c>
      <c r="JK66">
        <v>30.000399999999999</v>
      </c>
      <c r="JL66">
        <v>30.8187</v>
      </c>
      <c r="JM66">
        <v>30.8</v>
      </c>
      <c r="JN66">
        <v>20.025400000000001</v>
      </c>
      <c r="JO66">
        <v>28.321999999999999</v>
      </c>
      <c r="JP66">
        <v>99.228399999999993</v>
      </c>
      <c r="JQ66">
        <v>28.2363</v>
      </c>
      <c r="JR66">
        <v>400</v>
      </c>
      <c r="JS66">
        <v>22.497399999999999</v>
      </c>
      <c r="JT66">
        <v>98.859899999999996</v>
      </c>
      <c r="JU66">
        <v>97.112799999999993</v>
      </c>
    </row>
    <row r="67" spans="1:281" x14ac:dyDescent="0.25">
      <c r="A67">
        <v>51</v>
      </c>
      <c r="B67">
        <v>1693507474.5</v>
      </c>
      <c r="C67">
        <v>13338.5</v>
      </c>
      <c r="D67" t="s">
        <v>676</v>
      </c>
      <c r="E67" t="s">
        <v>677</v>
      </c>
      <c r="F67" t="s">
        <v>414</v>
      </c>
      <c r="G67" t="s">
        <v>566</v>
      </c>
      <c r="H67" t="s">
        <v>637</v>
      </c>
      <c r="I67" t="s">
        <v>31</v>
      </c>
      <c r="J67">
        <v>1693507474.5</v>
      </c>
      <c r="K67">
        <f t="shared" si="46"/>
        <v>4.9056605814001945E-3</v>
      </c>
      <c r="L67">
        <f t="shared" si="47"/>
        <v>4.9056605814001948</v>
      </c>
      <c r="M67">
        <f t="shared" si="48"/>
        <v>42.223951393280473</v>
      </c>
      <c r="N67">
        <f t="shared" si="49"/>
        <v>347.33300000000003</v>
      </c>
      <c r="O67">
        <f t="shared" si="50"/>
        <v>138.154762853172</v>
      </c>
      <c r="P67">
        <f t="shared" si="51"/>
        <v>13.76548502582521</v>
      </c>
      <c r="Q67">
        <f t="shared" si="52"/>
        <v>34.607617658149906</v>
      </c>
      <c r="R67">
        <f t="shared" si="53"/>
        <v>0.35097942973477825</v>
      </c>
      <c r="S67">
        <f t="shared" si="54"/>
        <v>2.9205740542822278</v>
      </c>
      <c r="T67">
        <f t="shared" si="55"/>
        <v>0.32911769750544773</v>
      </c>
      <c r="U67">
        <f t="shared" si="56"/>
        <v>0.20754917469400469</v>
      </c>
      <c r="V67">
        <f t="shared" si="57"/>
        <v>344.36879967100003</v>
      </c>
      <c r="W67">
        <f t="shared" si="58"/>
        <v>31.128298105334565</v>
      </c>
      <c r="X67">
        <f t="shared" si="59"/>
        <v>30.046700000000001</v>
      </c>
      <c r="Y67">
        <f t="shared" si="60"/>
        <v>4.2718914111540371</v>
      </c>
      <c r="Z67">
        <f t="shared" si="61"/>
        <v>65.242904345164419</v>
      </c>
      <c r="AA67">
        <f t="shared" si="62"/>
        <v>2.8397371026251497</v>
      </c>
      <c r="AB67">
        <f t="shared" si="63"/>
        <v>4.3525608357372603</v>
      </c>
      <c r="AC67">
        <f t="shared" si="64"/>
        <v>1.4321543085288875</v>
      </c>
      <c r="AD67">
        <f t="shared" si="65"/>
        <v>-216.33963163974857</v>
      </c>
      <c r="AE67">
        <f t="shared" si="66"/>
        <v>51.361491020797992</v>
      </c>
      <c r="AF67">
        <f t="shared" si="67"/>
        <v>3.9184150461131799</v>
      </c>
      <c r="AG67">
        <f t="shared" si="68"/>
        <v>183.30907409816263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52023.267143162899</v>
      </c>
      <c r="AM67" t="s">
        <v>417</v>
      </c>
      <c r="AN67">
        <v>10366.9</v>
      </c>
      <c r="AO67">
        <v>993.59653846153856</v>
      </c>
      <c r="AP67">
        <v>3431.87</v>
      </c>
      <c r="AQ67">
        <f t="shared" si="72"/>
        <v>0.71047955241266758</v>
      </c>
      <c r="AR67">
        <v>-3.9894345373445681</v>
      </c>
      <c r="AS67" t="s">
        <v>678</v>
      </c>
      <c r="AT67">
        <v>10315.9</v>
      </c>
      <c r="AU67">
        <v>680.45368000000008</v>
      </c>
      <c r="AV67">
        <v>975.95784577160714</v>
      </c>
      <c r="AW67">
        <f t="shared" si="73"/>
        <v>0.30278373912551204</v>
      </c>
      <c r="AX67">
        <v>0.5</v>
      </c>
      <c r="AY67">
        <f t="shared" si="74"/>
        <v>1513.1843998355</v>
      </c>
      <c r="AZ67">
        <f t="shared" si="75"/>
        <v>42.223951393280473</v>
      </c>
      <c r="BA67">
        <f t="shared" si="76"/>
        <v>229.08381528429328</v>
      </c>
      <c r="BB67">
        <f t="shared" si="77"/>
        <v>3.0540485307441013E-2</v>
      </c>
      <c r="BC67">
        <f t="shared" si="78"/>
        <v>2.5164121225816993</v>
      </c>
      <c r="BD67">
        <f t="shared" si="79"/>
        <v>574.81412146017783</v>
      </c>
      <c r="BE67" t="s">
        <v>679</v>
      </c>
      <c r="BF67">
        <v>534.07000000000005</v>
      </c>
      <c r="BG67">
        <f t="shared" si="80"/>
        <v>534.07000000000005</v>
      </c>
      <c r="BH67">
        <f t="shared" si="81"/>
        <v>0.45277349599279448</v>
      </c>
      <c r="BI67">
        <f t="shared" si="82"/>
        <v>0.66873114660035371</v>
      </c>
      <c r="BJ67">
        <f t="shared" si="83"/>
        <v>0.84750919809110126</v>
      </c>
      <c r="BK67">
        <f t="shared" si="84"/>
        <v>-16.753178422360509</v>
      </c>
      <c r="BL67">
        <f t="shared" si="85"/>
        <v>1.0072340912404476</v>
      </c>
      <c r="BM67">
        <f t="shared" si="86"/>
        <v>0.52486929523968606</v>
      </c>
      <c r="BN67">
        <f t="shared" si="87"/>
        <v>0.47513070476031394</v>
      </c>
      <c r="BO67">
        <v>16806</v>
      </c>
      <c r="BP67">
        <v>290.00000000000011</v>
      </c>
      <c r="BQ67">
        <v>891.09</v>
      </c>
      <c r="BR67">
        <v>145</v>
      </c>
      <c r="BS67">
        <v>10315.9</v>
      </c>
      <c r="BT67">
        <v>887.04</v>
      </c>
      <c r="BU67">
        <v>4.05</v>
      </c>
      <c r="BV67">
        <v>300.00000000000011</v>
      </c>
      <c r="BW67">
        <v>38.4</v>
      </c>
      <c r="BX67">
        <v>975.95784577160714</v>
      </c>
      <c r="BY67">
        <v>1.32382360145531</v>
      </c>
      <c r="BZ67">
        <v>-91.723318279429279</v>
      </c>
      <c r="CA67">
        <v>1.1165938738164121</v>
      </c>
      <c r="CB67">
        <v>0.99586771136473384</v>
      </c>
      <c r="CC67">
        <v>-1.122573036707452E-2</v>
      </c>
      <c r="CD67">
        <v>289.99999999999989</v>
      </c>
      <c r="CE67">
        <v>876.88</v>
      </c>
      <c r="CF67">
        <v>675</v>
      </c>
      <c r="CG67">
        <v>10284.1</v>
      </c>
      <c r="CH67">
        <v>886.77</v>
      </c>
      <c r="CI67">
        <v>-9.89</v>
      </c>
      <c r="CW67">
        <f t="shared" si="88"/>
        <v>1800</v>
      </c>
      <c r="CX67">
        <f t="shared" si="89"/>
        <v>1513.1843998355</v>
      </c>
      <c r="CY67">
        <f t="shared" si="90"/>
        <v>0.84065799990861112</v>
      </c>
      <c r="CZ67">
        <f t="shared" si="91"/>
        <v>0.19131599981722225</v>
      </c>
      <c r="DA67">
        <v>6</v>
      </c>
      <c r="DB67">
        <v>0.5</v>
      </c>
      <c r="DC67" t="s">
        <v>420</v>
      </c>
      <c r="DD67">
        <v>2</v>
      </c>
      <c r="DE67">
        <v>1693507474.5</v>
      </c>
      <c r="DF67">
        <v>347.33300000000003</v>
      </c>
      <c r="DG67">
        <v>400.07299999999998</v>
      </c>
      <c r="DH67">
        <v>28.500499999999999</v>
      </c>
      <c r="DI67">
        <v>22.778600000000001</v>
      </c>
      <c r="DJ67">
        <v>348.65199999999999</v>
      </c>
      <c r="DK67">
        <v>28.785</v>
      </c>
      <c r="DL67">
        <v>499.74799999999999</v>
      </c>
      <c r="DM67">
        <v>99.539000000000001</v>
      </c>
      <c r="DN67">
        <v>9.9150299999999997E-2</v>
      </c>
      <c r="DO67">
        <v>30.372900000000001</v>
      </c>
      <c r="DP67">
        <v>30.046700000000001</v>
      </c>
      <c r="DQ67">
        <v>999.9</v>
      </c>
      <c r="DR67">
        <v>0</v>
      </c>
      <c r="DS67">
        <v>0</v>
      </c>
      <c r="DT67">
        <v>9995</v>
      </c>
      <c r="DU67">
        <v>0</v>
      </c>
      <c r="DV67">
        <v>1483.2</v>
      </c>
      <c r="DW67">
        <v>-52.739899999999999</v>
      </c>
      <c r="DX67">
        <v>357.52300000000002</v>
      </c>
      <c r="DY67">
        <v>409.399</v>
      </c>
      <c r="DZ67">
        <v>5.7219699999999998</v>
      </c>
      <c r="EA67">
        <v>400.07299999999998</v>
      </c>
      <c r="EB67">
        <v>22.778600000000001</v>
      </c>
      <c r="EC67">
        <v>2.8369200000000001</v>
      </c>
      <c r="ED67">
        <v>2.26736</v>
      </c>
      <c r="EE67">
        <v>23.1005</v>
      </c>
      <c r="EF67">
        <v>19.446300000000001</v>
      </c>
      <c r="EG67">
        <v>1800</v>
      </c>
      <c r="EH67">
        <v>0.97800500000000001</v>
      </c>
      <c r="EI67">
        <v>2.1995299999999999E-2</v>
      </c>
      <c r="EJ67">
        <v>0</v>
      </c>
      <c r="EK67">
        <v>681.14499999999998</v>
      </c>
      <c r="EL67">
        <v>5.0002500000000003</v>
      </c>
      <c r="EM67">
        <v>19042.3</v>
      </c>
      <c r="EN67">
        <v>14822.1</v>
      </c>
      <c r="EO67">
        <v>46.936999999999998</v>
      </c>
      <c r="EP67">
        <v>47.5</v>
      </c>
      <c r="EQ67">
        <v>47.625</v>
      </c>
      <c r="ER67">
        <v>46.436999999999998</v>
      </c>
      <c r="ES67">
        <v>48.061999999999998</v>
      </c>
      <c r="ET67">
        <v>1755.52</v>
      </c>
      <c r="EU67">
        <v>39.479999999999997</v>
      </c>
      <c r="EV67">
        <v>0</v>
      </c>
      <c r="EW67">
        <v>138.60000014305109</v>
      </c>
      <c r="EX67">
        <v>0</v>
      </c>
      <c r="EY67">
        <v>680.45368000000008</v>
      </c>
      <c r="EZ67">
        <v>6.9331538449201151</v>
      </c>
      <c r="FA67">
        <v>104.85384657140629</v>
      </c>
      <c r="FB67">
        <v>19038.572</v>
      </c>
      <c r="FC67">
        <v>15</v>
      </c>
      <c r="FD67">
        <v>1693507443</v>
      </c>
      <c r="FE67" t="s">
        <v>680</v>
      </c>
      <c r="FF67">
        <v>1693507443</v>
      </c>
      <c r="FG67">
        <v>1693507439</v>
      </c>
      <c r="FH67">
        <v>58</v>
      </c>
      <c r="FI67">
        <v>-5.8999999999999997E-2</v>
      </c>
      <c r="FJ67">
        <v>8.9999999999999993E-3</v>
      </c>
      <c r="FK67">
        <v>-1.319</v>
      </c>
      <c r="FL67">
        <v>-0.28399999999999997</v>
      </c>
      <c r="FM67">
        <v>400</v>
      </c>
      <c r="FN67">
        <v>23</v>
      </c>
      <c r="FO67">
        <v>0.15</v>
      </c>
      <c r="FP67">
        <v>0.04</v>
      </c>
      <c r="FQ67">
        <v>42.141906607584147</v>
      </c>
      <c r="FR67">
        <v>0.31715521428956889</v>
      </c>
      <c r="FS67">
        <v>5.8198107201349963E-2</v>
      </c>
      <c r="FT67">
        <v>1</v>
      </c>
      <c r="FU67">
        <v>0.35731462690326837</v>
      </c>
      <c r="FV67">
        <v>2.0950039352097861E-2</v>
      </c>
      <c r="FW67">
        <v>3.212693063553893E-3</v>
      </c>
      <c r="FX67">
        <v>1</v>
      </c>
      <c r="FY67">
        <v>2</v>
      </c>
      <c r="FZ67">
        <v>2</v>
      </c>
      <c r="GA67" t="s">
        <v>422</v>
      </c>
      <c r="GB67">
        <v>2.9197899999999999</v>
      </c>
      <c r="GC67">
        <v>2.8289900000000001</v>
      </c>
      <c r="GD67">
        <v>8.1605700000000003E-2</v>
      </c>
      <c r="GE67">
        <v>8.9111800000000005E-2</v>
      </c>
      <c r="GF67">
        <v>0.135822</v>
      </c>
      <c r="GG67">
        <v>0.111012</v>
      </c>
      <c r="GH67">
        <v>24048</v>
      </c>
      <c r="GI67">
        <v>29067</v>
      </c>
      <c r="GJ67">
        <v>23569.5</v>
      </c>
      <c r="GK67">
        <v>29208.7</v>
      </c>
      <c r="GL67">
        <v>27776.9</v>
      </c>
      <c r="GM67">
        <v>36743.9</v>
      </c>
      <c r="GN67">
        <v>33335.699999999997</v>
      </c>
      <c r="GO67">
        <v>43112.9</v>
      </c>
      <c r="GP67">
        <v>2.0182000000000002</v>
      </c>
      <c r="GQ67">
        <v>1.8976</v>
      </c>
      <c r="GR67">
        <v>9.0867299999999998E-2</v>
      </c>
      <c r="GS67">
        <v>0</v>
      </c>
      <c r="GT67">
        <v>28.566299999999998</v>
      </c>
      <c r="GU67">
        <v>999.9</v>
      </c>
      <c r="GV67">
        <v>58.6</v>
      </c>
      <c r="GW67">
        <v>32.1</v>
      </c>
      <c r="GX67">
        <v>28.269200000000001</v>
      </c>
      <c r="GY67">
        <v>61.097799999999999</v>
      </c>
      <c r="GZ67">
        <v>34.839700000000001</v>
      </c>
      <c r="HA67">
        <v>1</v>
      </c>
      <c r="HB67">
        <v>0.26444099999999998</v>
      </c>
      <c r="HC67">
        <v>0.616035</v>
      </c>
      <c r="HD67">
        <v>20.281500000000001</v>
      </c>
      <c r="HE67">
        <v>5.2071100000000001</v>
      </c>
      <c r="HF67">
        <v>11.872199999999999</v>
      </c>
      <c r="HG67">
        <v>4.9836</v>
      </c>
      <c r="HH67">
        <v>3.2831000000000001</v>
      </c>
      <c r="HI67">
        <v>9999</v>
      </c>
      <c r="HJ67">
        <v>9999</v>
      </c>
      <c r="HK67">
        <v>9999</v>
      </c>
      <c r="HL67">
        <v>999.9</v>
      </c>
      <c r="HM67">
        <v>1.8547100000000001</v>
      </c>
      <c r="HN67">
        <v>1.8608199999999999</v>
      </c>
      <c r="HO67">
        <v>1.8583099999999999</v>
      </c>
      <c r="HP67">
        <v>1.8594999999999999</v>
      </c>
      <c r="HQ67">
        <v>1.85883</v>
      </c>
      <c r="HR67">
        <v>1.8594200000000001</v>
      </c>
      <c r="HS67">
        <v>1.8577600000000001</v>
      </c>
      <c r="HT67">
        <v>1.86111</v>
      </c>
      <c r="HU67">
        <v>5</v>
      </c>
      <c r="HV67">
        <v>0</v>
      </c>
      <c r="HW67">
        <v>0</v>
      </c>
      <c r="HX67">
        <v>0</v>
      </c>
      <c r="HY67" t="s">
        <v>423</v>
      </c>
      <c r="HZ67" t="s">
        <v>424</v>
      </c>
      <c r="IA67" t="s">
        <v>425</v>
      </c>
      <c r="IB67" t="s">
        <v>425</v>
      </c>
      <c r="IC67" t="s">
        <v>425</v>
      </c>
      <c r="ID67" t="s">
        <v>425</v>
      </c>
      <c r="IE67">
        <v>0</v>
      </c>
      <c r="IF67">
        <v>100</v>
      </c>
      <c r="IG67">
        <v>100</v>
      </c>
      <c r="IH67">
        <v>-1.319</v>
      </c>
      <c r="II67">
        <v>-0.28449999999999998</v>
      </c>
      <c r="IJ67">
        <v>-1.31880000000001</v>
      </c>
      <c r="IK67">
        <v>0</v>
      </c>
      <c r="IL67">
        <v>0</v>
      </c>
      <c r="IM67">
        <v>0</v>
      </c>
      <c r="IN67">
        <v>-0.28448500000000371</v>
      </c>
      <c r="IO67">
        <v>0</v>
      </c>
      <c r="IP67">
        <v>0</v>
      </c>
      <c r="IQ67">
        <v>0</v>
      </c>
      <c r="IR67">
        <v>-1</v>
      </c>
      <c r="IS67">
        <v>-1</v>
      </c>
      <c r="IT67">
        <v>-1</v>
      </c>
      <c r="IU67">
        <v>-1</v>
      </c>
      <c r="IV67">
        <v>0.5</v>
      </c>
      <c r="IW67">
        <v>0.6</v>
      </c>
      <c r="IX67">
        <v>0.99731400000000003</v>
      </c>
      <c r="IY67">
        <v>2.4621599999999999</v>
      </c>
      <c r="IZ67">
        <v>1.49414</v>
      </c>
      <c r="JA67">
        <v>2.2973599999999998</v>
      </c>
      <c r="JB67">
        <v>1.54419</v>
      </c>
      <c r="JC67">
        <v>2.3828100000000001</v>
      </c>
      <c r="JD67">
        <v>35.754399999999997</v>
      </c>
      <c r="JE67">
        <v>24.017499999999998</v>
      </c>
      <c r="JF67">
        <v>18</v>
      </c>
      <c r="JG67">
        <v>533.923</v>
      </c>
      <c r="JH67">
        <v>489.041</v>
      </c>
      <c r="JI67">
        <v>27.6982</v>
      </c>
      <c r="JJ67">
        <v>30.8538</v>
      </c>
      <c r="JK67">
        <v>30.000299999999999</v>
      </c>
      <c r="JL67">
        <v>30.855799999999999</v>
      </c>
      <c r="JM67">
        <v>30.834599999999998</v>
      </c>
      <c r="JN67">
        <v>20.032499999999999</v>
      </c>
      <c r="JO67">
        <v>27.514399999999998</v>
      </c>
      <c r="JP67">
        <v>100</v>
      </c>
      <c r="JQ67">
        <v>27.6492</v>
      </c>
      <c r="JR67">
        <v>400</v>
      </c>
      <c r="JS67">
        <v>22.819400000000002</v>
      </c>
      <c r="JT67">
        <v>98.858000000000004</v>
      </c>
      <c r="JU67">
        <v>97.111400000000003</v>
      </c>
    </row>
    <row r="68" spans="1:281" x14ac:dyDescent="0.25">
      <c r="A68">
        <v>52</v>
      </c>
      <c r="B68">
        <v>1693507575</v>
      </c>
      <c r="C68">
        <v>13439</v>
      </c>
      <c r="D68" t="s">
        <v>681</v>
      </c>
      <c r="E68" t="s">
        <v>682</v>
      </c>
      <c r="F68" t="s">
        <v>414</v>
      </c>
      <c r="G68" t="s">
        <v>566</v>
      </c>
      <c r="H68" t="s">
        <v>637</v>
      </c>
      <c r="I68" t="s">
        <v>31</v>
      </c>
      <c r="J68">
        <v>1693507575</v>
      </c>
      <c r="K68">
        <f t="shared" si="46"/>
        <v>4.5909184829241055E-3</v>
      </c>
      <c r="L68">
        <f t="shared" si="47"/>
        <v>4.5909184829241054</v>
      </c>
      <c r="M68">
        <f t="shared" si="48"/>
        <v>45.362235426640062</v>
      </c>
      <c r="N68">
        <f t="shared" si="49"/>
        <v>443.142</v>
      </c>
      <c r="O68">
        <f t="shared" si="50"/>
        <v>202.34608037530316</v>
      </c>
      <c r="P68">
        <f t="shared" si="51"/>
        <v>20.161440767300832</v>
      </c>
      <c r="Q68">
        <f t="shared" si="52"/>
        <v>44.1539622014526</v>
      </c>
      <c r="R68">
        <f t="shared" si="53"/>
        <v>0.32777538265963341</v>
      </c>
      <c r="S68">
        <f t="shared" si="54"/>
        <v>2.9266907606026997</v>
      </c>
      <c r="T68">
        <f t="shared" si="55"/>
        <v>0.3086616487391135</v>
      </c>
      <c r="U68">
        <f t="shared" si="56"/>
        <v>0.19453787704958547</v>
      </c>
      <c r="V68">
        <f t="shared" si="57"/>
        <v>344.39539967102564</v>
      </c>
      <c r="W68">
        <f t="shared" si="58"/>
        <v>31.139664834455342</v>
      </c>
      <c r="X68">
        <f t="shared" si="59"/>
        <v>30.025500000000001</v>
      </c>
      <c r="Y68">
        <f t="shared" si="60"/>
        <v>4.2666940336134118</v>
      </c>
      <c r="Z68">
        <f t="shared" si="61"/>
        <v>65.451098895073372</v>
      </c>
      <c r="AA68">
        <f t="shared" si="62"/>
        <v>2.8375423614955202</v>
      </c>
      <c r="AB68">
        <f t="shared" si="63"/>
        <v>4.3353624452424704</v>
      </c>
      <c r="AC68">
        <f t="shared" si="64"/>
        <v>1.4291516721178916</v>
      </c>
      <c r="AD68">
        <f t="shared" si="65"/>
        <v>-202.45950509695305</v>
      </c>
      <c r="AE68">
        <f t="shared" si="66"/>
        <v>43.911218261085715</v>
      </c>
      <c r="AF68">
        <f t="shared" si="67"/>
        <v>3.3415320288237256</v>
      </c>
      <c r="AG68">
        <f t="shared" si="68"/>
        <v>189.18864486398203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52209.556188052688</v>
      </c>
      <c r="AM68" t="s">
        <v>417</v>
      </c>
      <c r="AN68">
        <v>10366.9</v>
      </c>
      <c r="AO68">
        <v>993.59653846153856</v>
      </c>
      <c r="AP68">
        <v>3431.87</v>
      </c>
      <c r="AQ68">
        <f t="shared" si="72"/>
        <v>0.71047955241266758</v>
      </c>
      <c r="AR68">
        <v>-3.9894345373445681</v>
      </c>
      <c r="AS68" t="s">
        <v>683</v>
      </c>
      <c r="AT68">
        <v>10317</v>
      </c>
      <c r="AU68">
        <v>697.42023076923056</v>
      </c>
      <c r="AV68">
        <v>1027.4355936749139</v>
      </c>
      <c r="AW68">
        <f t="shared" si="73"/>
        <v>0.32120296876740473</v>
      </c>
      <c r="AX68">
        <v>0.5</v>
      </c>
      <c r="AY68">
        <f t="shared" si="74"/>
        <v>1513.301999835513</v>
      </c>
      <c r="AZ68">
        <f t="shared" si="75"/>
        <v>45.362235426640062</v>
      </c>
      <c r="BA68">
        <f t="shared" si="76"/>
        <v>243.0385474944087</v>
      </c>
      <c r="BB68">
        <f t="shared" si="77"/>
        <v>3.2611910887151985E-2</v>
      </c>
      <c r="BC68">
        <f t="shared" si="78"/>
        <v>2.3402288387975219</v>
      </c>
      <c r="BD68">
        <f t="shared" si="79"/>
        <v>592.29235043594031</v>
      </c>
      <c r="BE68" t="s">
        <v>684</v>
      </c>
      <c r="BF68">
        <v>537.80999999999995</v>
      </c>
      <c r="BG68">
        <f t="shared" si="80"/>
        <v>537.80999999999995</v>
      </c>
      <c r="BH68">
        <f t="shared" si="81"/>
        <v>0.47655113049337683</v>
      </c>
      <c r="BI68">
        <f t="shared" si="82"/>
        <v>0.67401575238078026</v>
      </c>
      <c r="BJ68">
        <f t="shared" si="83"/>
        <v>0.83081705504553671</v>
      </c>
      <c r="BK68">
        <f t="shared" si="84"/>
        <v>9.7524993184573425</v>
      </c>
      <c r="BL68">
        <f t="shared" si="85"/>
        <v>0.98612171450530228</v>
      </c>
      <c r="BM68">
        <f t="shared" si="86"/>
        <v>0.51976182478688737</v>
      </c>
      <c r="BN68">
        <f t="shared" si="87"/>
        <v>0.48023817521311263</v>
      </c>
      <c r="BO68">
        <v>16808</v>
      </c>
      <c r="BP68">
        <v>290.00000000000011</v>
      </c>
      <c r="BQ68">
        <v>935.26</v>
      </c>
      <c r="BR68">
        <v>135</v>
      </c>
      <c r="BS68">
        <v>10317</v>
      </c>
      <c r="BT68">
        <v>930.62</v>
      </c>
      <c r="BU68">
        <v>4.6399999999999997</v>
      </c>
      <c r="BV68">
        <v>300.00000000000011</v>
      </c>
      <c r="BW68">
        <v>38.4</v>
      </c>
      <c r="BX68">
        <v>1027.4355936749139</v>
      </c>
      <c r="BY68">
        <v>1.115602988702701</v>
      </c>
      <c r="BZ68">
        <v>-99.887310061223388</v>
      </c>
      <c r="CA68">
        <v>0.94091484419765725</v>
      </c>
      <c r="CB68">
        <v>0.9975216629359146</v>
      </c>
      <c r="CC68">
        <v>-1.122516017797553E-2</v>
      </c>
      <c r="CD68">
        <v>289.99999999999989</v>
      </c>
      <c r="CE68">
        <v>918.93</v>
      </c>
      <c r="CF68">
        <v>665</v>
      </c>
      <c r="CG68">
        <v>10284.200000000001</v>
      </c>
      <c r="CH68">
        <v>930.31</v>
      </c>
      <c r="CI68">
        <v>-11.38</v>
      </c>
      <c r="CW68">
        <f t="shared" si="88"/>
        <v>1800.14</v>
      </c>
      <c r="CX68">
        <f t="shared" si="89"/>
        <v>1513.301999835513</v>
      </c>
      <c r="CY68">
        <f t="shared" si="90"/>
        <v>0.8406579487348278</v>
      </c>
      <c r="CZ68">
        <f t="shared" si="91"/>
        <v>0.19131589746965549</v>
      </c>
      <c r="DA68">
        <v>6</v>
      </c>
      <c r="DB68">
        <v>0.5</v>
      </c>
      <c r="DC68" t="s">
        <v>420</v>
      </c>
      <c r="DD68">
        <v>2</v>
      </c>
      <c r="DE68">
        <v>1693507575</v>
      </c>
      <c r="DF68">
        <v>443.142</v>
      </c>
      <c r="DG68">
        <v>500.03699999999998</v>
      </c>
      <c r="DH68">
        <v>28.478400000000001</v>
      </c>
      <c r="DI68">
        <v>23.124400000000001</v>
      </c>
      <c r="DJ68">
        <v>444.29899999999998</v>
      </c>
      <c r="DK68">
        <v>28.767199999999999</v>
      </c>
      <c r="DL68">
        <v>499.83300000000003</v>
      </c>
      <c r="DM68">
        <v>99.538499999999999</v>
      </c>
      <c r="DN68">
        <v>9.9905300000000002E-2</v>
      </c>
      <c r="DO68">
        <v>30.303799999999999</v>
      </c>
      <c r="DP68">
        <v>30.025500000000001</v>
      </c>
      <c r="DQ68">
        <v>999.9</v>
      </c>
      <c r="DR68">
        <v>0</v>
      </c>
      <c r="DS68">
        <v>0</v>
      </c>
      <c r="DT68">
        <v>10030</v>
      </c>
      <c r="DU68">
        <v>0</v>
      </c>
      <c r="DV68">
        <v>1501.71</v>
      </c>
      <c r="DW68">
        <v>-56.895000000000003</v>
      </c>
      <c r="DX68">
        <v>456.13200000000001</v>
      </c>
      <c r="DY68">
        <v>511.87400000000002</v>
      </c>
      <c r="DZ68">
        <v>5.3540099999999997</v>
      </c>
      <c r="EA68">
        <v>500.03699999999998</v>
      </c>
      <c r="EB68">
        <v>23.124400000000001</v>
      </c>
      <c r="EC68">
        <v>2.8347000000000002</v>
      </c>
      <c r="ED68">
        <v>2.3017699999999999</v>
      </c>
      <c r="EE68">
        <v>23.087599999999998</v>
      </c>
      <c r="EF68">
        <v>19.688800000000001</v>
      </c>
      <c r="EG68">
        <v>1800.14</v>
      </c>
      <c r="EH68">
        <v>0.97800799999999999</v>
      </c>
      <c r="EI68">
        <v>2.19916E-2</v>
      </c>
      <c r="EJ68">
        <v>0</v>
      </c>
      <c r="EK68">
        <v>697.54899999999998</v>
      </c>
      <c r="EL68">
        <v>5.0002500000000003</v>
      </c>
      <c r="EM68">
        <v>19360.5</v>
      </c>
      <c r="EN68">
        <v>14823.2</v>
      </c>
      <c r="EO68">
        <v>47</v>
      </c>
      <c r="EP68">
        <v>47.625</v>
      </c>
      <c r="EQ68">
        <v>47.75</v>
      </c>
      <c r="ER68">
        <v>46.561999999999998</v>
      </c>
      <c r="ES68">
        <v>48.125</v>
      </c>
      <c r="ET68">
        <v>1755.66</v>
      </c>
      <c r="EU68">
        <v>39.479999999999997</v>
      </c>
      <c r="EV68">
        <v>0</v>
      </c>
      <c r="EW68">
        <v>98.600000143051147</v>
      </c>
      <c r="EX68">
        <v>0</v>
      </c>
      <c r="EY68">
        <v>697.42023076923056</v>
      </c>
      <c r="EZ68">
        <v>0.60615384290614216</v>
      </c>
      <c r="FA68">
        <v>47.85641108432349</v>
      </c>
      <c r="FB68">
        <v>19333.707692307689</v>
      </c>
      <c r="FC68">
        <v>15</v>
      </c>
      <c r="FD68">
        <v>1693507539.5</v>
      </c>
      <c r="FE68" t="s">
        <v>685</v>
      </c>
      <c r="FF68">
        <v>1693507534.5</v>
      </c>
      <c r="FG68">
        <v>1693507539.5</v>
      </c>
      <c r="FH68">
        <v>59</v>
      </c>
      <c r="FI68">
        <v>0.16200000000000001</v>
      </c>
      <c r="FJ68">
        <v>-4.0000000000000001E-3</v>
      </c>
      <c r="FK68">
        <v>-1.157</v>
      </c>
      <c r="FL68">
        <v>-0.28899999999999998</v>
      </c>
      <c r="FM68">
        <v>500</v>
      </c>
      <c r="FN68">
        <v>23</v>
      </c>
      <c r="FO68">
        <v>0.14000000000000001</v>
      </c>
      <c r="FP68">
        <v>0.04</v>
      </c>
      <c r="FQ68">
        <v>45.257184979336138</v>
      </c>
      <c r="FR68">
        <v>0.56804300979089795</v>
      </c>
      <c r="FS68">
        <v>0.1040925907961764</v>
      </c>
      <c r="FT68">
        <v>1</v>
      </c>
      <c r="FU68">
        <v>0.32818951046720157</v>
      </c>
      <c r="FV68">
        <v>-2.9815749590373999E-2</v>
      </c>
      <c r="FW68">
        <v>2.2795847252137218E-3</v>
      </c>
      <c r="FX68">
        <v>1</v>
      </c>
      <c r="FY68">
        <v>2</v>
      </c>
      <c r="FZ68">
        <v>2</v>
      </c>
      <c r="GA68" t="s">
        <v>422</v>
      </c>
      <c r="GB68">
        <v>2.9199600000000001</v>
      </c>
      <c r="GC68">
        <v>2.83005</v>
      </c>
      <c r="GD68">
        <v>9.8249500000000003E-2</v>
      </c>
      <c r="GE68">
        <v>0.105253</v>
      </c>
      <c r="GF68">
        <v>0.13574900000000001</v>
      </c>
      <c r="GG68">
        <v>0.112179</v>
      </c>
      <c r="GH68">
        <v>23610.7</v>
      </c>
      <c r="GI68">
        <v>28550.1</v>
      </c>
      <c r="GJ68">
        <v>23568.1</v>
      </c>
      <c r="GK68">
        <v>29207</v>
      </c>
      <c r="GL68">
        <v>27780.2</v>
      </c>
      <c r="GM68">
        <v>36694.300000000003</v>
      </c>
      <c r="GN68">
        <v>33334.6</v>
      </c>
      <c r="GO68">
        <v>43110.1</v>
      </c>
      <c r="GP68">
        <v>2.0177</v>
      </c>
      <c r="GQ68">
        <v>1.8976999999999999</v>
      </c>
      <c r="GR68">
        <v>8.8274500000000006E-2</v>
      </c>
      <c r="GS68">
        <v>0</v>
      </c>
      <c r="GT68">
        <v>28.587299999999999</v>
      </c>
      <c r="GU68">
        <v>999.9</v>
      </c>
      <c r="GV68">
        <v>58.6</v>
      </c>
      <c r="GW68">
        <v>32.1</v>
      </c>
      <c r="GX68">
        <v>28.270800000000001</v>
      </c>
      <c r="GY68">
        <v>61.047800000000002</v>
      </c>
      <c r="GZ68">
        <v>34.919899999999998</v>
      </c>
      <c r="HA68">
        <v>1</v>
      </c>
      <c r="HB68">
        <v>0.270264</v>
      </c>
      <c r="HC68">
        <v>1.25942</v>
      </c>
      <c r="HD68">
        <v>20.2776</v>
      </c>
      <c r="HE68">
        <v>5.2100999999999997</v>
      </c>
      <c r="HF68">
        <v>11.872199999999999</v>
      </c>
      <c r="HG68">
        <v>4.9850000000000003</v>
      </c>
      <c r="HH68">
        <v>3.2839999999999998</v>
      </c>
      <c r="HI68">
        <v>9999</v>
      </c>
      <c r="HJ68">
        <v>9999</v>
      </c>
      <c r="HK68">
        <v>9999</v>
      </c>
      <c r="HL68">
        <v>999.9</v>
      </c>
      <c r="HM68">
        <v>1.8547100000000001</v>
      </c>
      <c r="HN68">
        <v>1.8608100000000001</v>
      </c>
      <c r="HO68">
        <v>1.85826</v>
      </c>
      <c r="HP68">
        <v>1.85945</v>
      </c>
      <c r="HQ68">
        <v>1.85883</v>
      </c>
      <c r="HR68">
        <v>1.8593</v>
      </c>
      <c r="HS68">
        <v>1.8577600000000001</v>
      </c>
      <c r="HT68">
        <v>1.86111</v>
      </c>
      <c r="HU68">
        <v>5</v>
      </c>
      <c r="HV68">
        <v>0</v>
      </c>
      <c r="HW68">
        <v>0</v>
      </c>
      <c r="HX68">
        <v>0</v>
      </c>
      <c r="HY68" t="s">
        <v>423</v>
      </c>
      <c r="HZ68" t="s">
        <v>424</v>
      </c>
      <c r="IA68" t="s">
        <v>425</v>
      </c>
      <c r="IB68" t="s">
        <v>425</v>
      </c>
      <c r="IC68" t="s">
        <v>425</v>
      </c>
      <c r="ID68" t="s">
        <v>425</v>
      </c>
      <c r="IE68">
        <v>0</v>
      </c>
      <c r="IF68">
        <v>100</v>
      </c>
      <c r="IG68">
        <v>100</v>
      </c>
      <c r="IH68">
        <v>-1.157</v>
      </c>
      <c r="II68">
        <v>-0.2888</v>
      </c>
      <c r="IJ68">
        <v>-1.157095238095053</v>
      </c>
      <c r="IK68">
        <v>0</v>
      </c>
      <c r="IL68">
        <v>0</v>
      </c>
      <c r="IM68">
        <v>0</v>
      </c>
      <c r="IN68">
        <v>-0.28877142857142962</v>
      </c>
      <c r="IO68">
        <v>0</v>
      </c>
      <c r="IP68">
        <v>0</v>
      </c>
      <c r="IQ68">
        <v>0</v>
      </c>
      <c r="IR68">
        <v>-1</v>
      </c>
      <c r="IS68">
        <v>-1</v>
      </c>
      <c r="IT68">
        <v>-1</v>
      </c>
      <c r="IU68">
        <v>-1</v>
      </c>
      <c r="IV68">
        <v>0.7</v>
      </c>
      <c r="IW68">
        <v>0.6</v>
      </c>
      <c r="IX68">
        <v>1.18896</v>
      </c>
      <c r="IY68">
        <v>2.4548299999999998</v>
      </c>
      <c r="IZ68">
        <v>1.49414</v>
      </c>
      <c r="JA68">
        <v>2.2985799999999998</v>
      </c>
      <c r="JB68">
        <v>1.54419</v>
      </c>
      <c r="JC68">
        <v>2.4499499999999999</v>
      </c>
      <c r="JD68">
        <v>35.754399999999997</v>
      </c>
      <c r="JE68">
        <v>24.017499999999998</v>
      </c>
      <c r="JF68">
        <v>18</v>
      </c>
      <c r="JG68">
        <v>533.98800000000006</v>
      </c>
      <c r="JH68">
        <v>489.53199999999998</v>
      </c>
      <c r="JI68">
        <v>26.780200000000001</v>
      </c>
      <c r="JJ68">
        <v>30.904900000000001</v>
      </c>
      <c r="JK68">
        <v>30.0001</v>
      </c>
      <c r="JL68">
        <v>30.9011</v>
      </c>
      <c r="JM68">
        <v>30.8825</v>
      </c>
      <c r="JN68">
        <v>23.868099999999998</v>
      </c>
      <c r="JO68">
        <v>26.449000000000002</v>
      </c>
      <c r="JP68">
        <v>100</v>
      </c>
      <c r="JQ68">
        <v>26.786899999999999</v>
      </c>
      <c r="JR68">
        <v>500</v>
      </c>
      <c r="JS68">
        <v>23.0002</v>
      </c>
      <c r="JT68">
        <v>98.8536</v>
      </c>
      <c r="JU68">
        <v>97.105400000000003</v>
      </c>
    </row>
    <row r="69" spans="1:281" x14ac:dyDescent="0.25">
      <c r="A69">
        <v>53</v>
      </c>
      <c r="B69">
        <v>1693507707</v>
      </c>
      <c r="C69">
        <v>13571</v>
      </c>
      <c r="D69" t="s">
        <v>686</v>
      </c>
      <c r="E69" t="s">
        <v>687</v>
      </c>
      <c r="F69" t="s">
        <v>414</v>
      </c>
      <c r="G69" t="s">
        <v>566</v>
      </c>
      <c r="H69" t="s">
        <v>637</v>
      </c>
      <c r="I69" t="s">
        <v>31</v>
      </c>
      <c r="J69">
        <v>1693507707</v>
      </c>
      <c r="K69">
        <f t="shared" si="46"/>
        <v>4.3744556210229286E-3</v>
      </c>
      <c r="L69">
        <f t="shared" si="47"/>
        <v>4.3744556210229284</v>
      </c>
      <c r="M69">
        <f t="shared" si="48"/>
        <v>46.668413981448978</v>
      </c>
      <c r="N69">
        <f t="shared" si="49"/>
        <v>640.79399999999998</v>
      </c>
      <c r="O69">
        <f t="shared" si="50"/>
        <v>375.77836408859497</v>
      </c>
      <c r="P69">
        <f t="shared" si="51"/>
        <v>37.442007937154401</v>
      </c>
      <c r="Q69">
        <f t="shared" si="52"/>
        <v>63.847779241554001</v>
      </c>
      <c r="R69">
        <f t="shared" si="53"/>
        <v>0.31008751782461436</v>
      </c>
      <c r="S69">
        <f t="shared" si="54"/>
        <v>2.9091350523112083</v>
      </c>
      <c r="T69">
        <f t="shared" si="55"/>
        <v>0.29282563453119714</v>
      </c>
      <c r="U69">
        <f t="shared" si="56"/>
        <v>0.18448681021947533</v>
      </c>
      <c r="V69">
        <f t="shared" si="57"/>
        <v>344.38769967076649</v>
      </c>
      <c r="W69">
        <f t="shared" si="58"/>
        <v>30.98896996425621</v>
      </c>
      <c r="X69">
        <f t="shared" si="59"/>
        <v>29.9055</v>
      </c>
      <c r="Y69">
        <f t="shared" si="60"/>
        <v>4.2373786658902333</v>
      </c>
      <c r="Z69">
        <f t="shared" si="61"/>
        <v>65.409736562444692</v>
      </c>
      <c r="AA69">
        <f t="shared" si="62"/>
        <v>2.8014770741724</v>
      </c>
      <c r="AB69">
        <f t="shared" si="63"/>
        <v>4.2829664533168001</v>
      </c>
      <c r="AC69">
        <f t="shared" si="64"/>
        <v>1.4359015917178333</v>
      </c>
      <c r="AD69">
        <f t="shared" si="65"/>
        <v>-192.91349288711115</v>
      </c>
      <c r="AE69">
        <f t="shared" si="66"/>
        <v>29.218786929559489</v>
      </c>
      <c r="AF69">
        <f t="shared" si="67"/>
        <v>2.2332206123610137</v>
      </c>
      <c r="AG69">
        <f t="shared" si="68"/>
        <v>182.92621432557587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51745.645350105769</v>
      </c>
      <c r="AM69" t="s">
        <v>417</v>
      </c>
      <c r="AN69">
        <v>10366.9</v>
      </c>
      <c r="AO69">
        <v>993.59653846153856</v>
      </c>
      <c r="AP69">
        <v>3431.87</v>
      </c>
      <c r="AQ69">
        <f t="shared" si="72"/>
        <v>0.71047955241266758</v>
      </c>
      <c r="AR69">
        <v>-3.9894345373445681</v>
      </c>
      <c r="AS69" t="s">
        <v>688</v>
      </c>
      <c r="AT69">
        <v>10311.9</v>
      </c>
      <c r="AU69">
        <v>704.64396153846144</v>
      </c>
      <c r="AV69">
        <v>1055.6986927392741</v>
      </c>
      <c r="AW69">
        <f t="shared" si="73"/>
        <v>0.33253307370298379</v>
      </c>
      <c r="AX69">
        <v>0.5</v>
      </c>
      <c r="AY69">
        <f t="shared" si="74"/>
        <v>1513.260899835383</v>
      </c>
      <c r="AZ69">
        <f t="shared" si="75"/>
        <v>46.668413981448978</v>
      </c>
      <c r="BA69">
        <f t="shared" si="76"/>
        <v>251.60464916840149</v>
      </c>
      <c r="BB69">
        <f t="shared" si="77"/>
        <v>3.3475951519202178E-2</v>
      </c>
      <c r="BC69">
        <f t="shared" si="78"/>
        <v>2.2508044422174622</v>
      </c>
      <c r="BD69">
        <f t="shared" si="79"/>
        <v>601.57671817387381</v>
      </c>
      <c r="BE69" t="s">
        <v>689</v>
      </c>
      <c r="BF69">
        <v>544.52</v>
      </c>
      <c r="BG69">
        <f t="shared" si="80"/>
        <v>544.52</v>
      </c>
      <c r="BH69">
        <f t="shared" si="81"/>
        <v>0.48420889052433436</v>
      </c>
      <c r="BI69">
        <f t="shared" si="82"/>
        <v>0.68675540703702131</v>
      </c>
      <c r="BJ69">
        <f t="shared" si="83"/>
        <v>0.82295922117537734</v>
      </c>
      <c r="BK69">
        <f t="shared" si="84"/>
        <v>5.6528591525313745</v>
      </c>
      <c r="BL69">
        <f t="shared" si="85"/>
        <v>0.97453027510763635</v>
      </c>
      <c r="BM69">
        <f t="shared" si="86"/>
        <v>0.53069645757460659</v>
      </c>
      <c r="BN69">
        <f t="shared" si="87"/>
        <v>0.46930354242539341</v>
      </c>
      <c r="BO69">
        <v>16810</v>
      </c>
      <c r="BP69">
        <v>290.00000000000011</v>
      </c>
      <c r="BQ69">
        <v>956.27</v>
      </c>
      <c r="BR69">
        <v>165</v>
      </c>
      <c r="BS69">
        <v>10311.9</v>
      </c>
      <c r="BT69">
        <v>952.39</v>
      </c>
      <c r="BU69">
        <v>3.88</v>
      </c>
      <c r="BV69">
        <v>300.00000000000011</v>
      </c>
      <c r="BW69">
        <v>38.4</v>
      </c>
      <c r="BX69">
        <v>1055.6986927392741</v>
      </c>
      <c r="BY69">
        <v>1.172609046904614</v>
      </c>
      <c r="BZ69">
        <v>-106.5291531892567</v>
      </c>
      <c r="CA69">
        <v>0.98894655151742972</v>
      </c>
      <c r="CB69">
        <v>0.99759275657212088</v>
      </c>
      <c r="CC69">
        <v>-1.122494282536152E-2</v>
      </c>
      <c r="CD69">
        <v>289.99999999999989</v>
      </c>
      <c r="CE69">
        <v>940.42</v>
      </c>
      <c r="CF69">
        <v>665</v>
      </c>
      <c r="CG69">
        <v>10283.700000000001</v>
      </c>
      <c r="CH69">
        <v>952.11</v>
      </c>
      <c r="CI69">
        <v>-11.69</v>
      </c>
      <c r="CW69">
        <f t="shared" si="88"/>
        <v>1800.09</v>
      </c>
      <c r="CX69">
        <f t="shared" si="89"/>
        <v>1513.260899835383</v>
      </c>
      <c r="CY69">
        <f t="shared" si="90"/>
        <v>0.84065846698519697</v>
      </c>
      <c r="CZ69">
        <f t="shared" si="91"/>
        <v>0.19131693397039398</v>
      </c>
      <c r="DA69">
        <v>6</v>
      </c>
      <c r="DB69">
        <v>0.5</v>
      </c>
      <c r="DC69" t="s">
        <v>420</v>
      </c>
      <c r="DD69">
        <v>2</v>
      </c>
      <c r="DE69">
        <v>1693507707</v>
      </c>
      <c r="DF69">
        <v>640.79399999999998</v>
      </c>
      <c r="DG69">
        <v>700.11500000000001</v>
      </c>
      <c r="DH69">
        <v>28.116399999999999</v>
      </c>
      <c r="DI69">
        <v>23.0185</v>
      </c>
      <c r="DJ69">
        <v>641.95100000000002</v>
      </c>
      <c r="DK69">
        <v>28.407</v>
      </c>
      <c r="DL69">
        <v>500.37799999999999</v>
      </c>
      <c r="DM69">
        <v>99.537599999999998</v>
      </c>
      <c r="DN69">
        <v>0.100941</v>
      </c>
      <c r="DO69">
        <v>30.091799999999999</v>
      </c>
      <c r="DP69">
        <v>29.9055</v>
      </c>
      <c r="DQ69">
        <v>999.9</v>
      </c>
      <c r="DR69">
        <v>0</v>
      </c>
      <c r="DS69">
        <v>0</v>
      </c>
      <c r="DT69">
        <v>9930</v>
      </c>
      <c r="DU69">
        <v>0</v>
      </c>
      <c r="DV69">
        <v>1555.88</v>
      </c>
      <c r="DW69">
        <v>-59.320999999999998</v>
      </c>
      <c r="DX69">
        <v>659.33199999999999</v>
      </c>
      <c r="DY69">
        <v>716.61</v>
      </c>
      <c r="DZ69">
        <v>5.0979099999999997</v>
      </c>
      <c r="EA69">
        <v>700.11500000000001</v>
      </c>
      <c r="EB69">
        <v>23.0185</v>
      </c>
      <c r="EC69">
        <v>2.7986399999999998</v>
      </c>
      <c r="ED69">
        <v>2.29121</v>
      </c>
      <c r="EE69">
        <v>22.876100000000001</v>
      </c>
      <c r="EF69">
        <v>19.614699999999999</v>
      </c>
      <c r="EG69">
        <v>1800.09</v>
      </c>
      <c r="EH69">
        <v>0.97799199999999997</v>
      </c>
      <c r="EI69">
        <v>2.2007599999999999E-2</v>
      </c>
      <c r="EJ69">
        <v>0</v>
      </c>
      <c r="EK69">
        <v>704.19299999999998</v>
      </c>
      <c r="EL69">
        <v>5.0002500000000003</v>
      </c>
      <c r="EM69">
        <v>19549</v>
      </c>
      <c r="EN69">
        <v>14822.8</v>
      </c>
      <c r="EO69">
        <v>47.061999999999998</v>
      </c>
      <c r="EP69">
        <v>47.686999999999998</v>
      </c>
      <c r="EQ69">
        <v>47.811999999999998</v>
      </c>
      <c r="ER69">
        <v>46.561999999999998</v>
      </c>
      <c r="ES69">
        <v>48.186999999999998</v>
      </c>
      <c r="ET69">
        <v>1755.58</v>
      </c>
      <c r="EU69">
        <v>39.51</v>
      </c>
      <c r="EV69">
        <v>0</v>
      </c>
      <c r="EW69">
        <v>129.80000019073489</v>
      </c>
      <c r="EX69">
        <v>0</v>
      </c>
      <c r="EY69">
        <v>704.64396153846144</v>
      </c>
      <c r="EZ69">
        <v>-1.4777777805037671</v>
      </c>
      <c r="FA69">
        <v>-65.432476041391183</v>
      </c>
      <c r="FB69">
        <v>19556.688461538459</v>
      </c>
      <c r="FC69">
        <v>15</v>
      </c>
      <c r="FD69">
        <v>1693507674</v>
      </c>
      <c r="FE69" t="s">
        <v>690</v>
      </c>
      <c r="FF69">
        <v>1693507534.5</v>
      </c>
      <c r="FG69">
        <v>1693507656.5</v>
      </c>
      <c r="FH69">
        <v>60</v>
      </c>
      <c r="FI69">
        <v>0.16200000000000001</v>
      </c>
      <c r="FJ69">
        <v>-2E-3</v>
      </c>
      <c r="FK69">
        <v>-1.157</v>
      </c>
      <c r="FL69">
        <v>-0.29099999999999998</v>
      </c>
      <c r="FM69">
        <v>500</v>
      </c>
      <c r="FN69">
        <v>23</v>
      </c>
      <c r="FO69">
        <v>0.14000000000000001</v>
      </c>
      <c r="FP69">
        <v>0.05</v>
      </c>
      <c r="FQ69">
        <v>46.596631605977052</v>
      </c>
      <c r="FR69">
        <v>-0.52590218517778797</v>
      </c>
      <c r="FS69">
        <v>8.4903710605099755E-2</v>
      </c>
      <c r="FT69">
        <v>1</v>
      </c>
      <c r="FU69">
        <v>0.3124909065041872</v>
      </c>
      <c r="FV69">
        <v>1.139144612956375E-2</v>
      </c>
      <c r="FW69">
        <v>1.4838677282537601E-3</v>
      </c>
      <c r="FX69">
        <v>1</v>
      </c>
      <c r="FY69">
        <v>2</v>
      </c>
      <c r="FZ69">
        <v>2</v>
      </c>
      <c r="GA69" t="s">
        <v>422</v>
      </c>
      <c r="GB69">
        <v>2.9212500000000001</v>
      </c>
      <c r="GC69">
        <v>2.8302299999999998</v>
      </c>
      <c r="GD69">
        <v>0.127941</v>
      </c>
      <c r="GE69">
        <v>0.13339100000000001</v>
      </c>
      <c r="GF69">
        <v>0.134544</v>
      </c>
      <c r="GG69">
        <v>0.1118</v>
      </c>
      <c r="GH69">
        <v>22831.1</v>
      </c>
      <c r="GI69">
        <v>27648.6</v>
      </c>
      <c r="GJ69">
        <v>23566.1</v>
      </c>
      <c r="GK69">
        <v>29203.599999999999</v>
      </c>
      <c r="GL69">
        <v>27819.9</v>
      </c>
      <c r="GM69">
        <v>36709.199999999997</v>
      </c>
      <c r="GN69">
        <v>33331.5</v>
      </c>
      <c r="GO69">
        <v>43104.7</v>
      </c>
      <c r="GP69">
        <v>2.0164</v>
      </c>
      <c r="GQ69">
        <v>1.8973</v>
      </c>
      <c r="GR69">
        <v>9.3460100000000004E-2</v>
      </c>
      <c r="GS69">
        <v>0</v>
      </c>
      <c r="GT69">
        <v>28.382400000000001</v>
      </c>
      <c r="GU69">
        <v>999.9</v>
      </c>
      <c r="GV69">
        <v>58.6</v>
      </c>
      <c r="GW69">
        <v>32.1</v>
      </c>
      <c r="GX69">
        <v>28.271999999999998</v>
      </c>
      <c r="GY69">
        <v>61.1678</v>
      </c>
      <c r="GZ69">
        <v>34.058500000000002</v>
      </c>
      <c r="HA69">
        <v>1</v>
      </c>
      <c r="HB69">
        <v>0.275671</v>
      </c>
      <c r="HC69">
        <v>0.492288</v>
      </c>
      <c r="HD69">
        <v>20.282299999999999</v>
      </c>
      <c r="HE69">
        <v>5.2095000000000002</v>
      </c>
      <c r="HF69">
        <v>11.872199999999999</v>
      </c>
      <c r="HG69">
        <v>4.9843999999999999</v>
      </c>
      <c r="HH69">
        <v>3.2839999999999998</v>
      </c>
      <c r="HI69">
        <v>9999</v>
      </c>
      <c r="HJ69">
        <v>9999</v>
      </c>
      <c r="HK69">
        <v>9999</v>
      </c>
      <c r="HL69">
        <v>999.9</v>
      </c>
      <c r="HM69">
        <v>1.8547199999999999</v>
      </c>
      <c r="HN69">
        <v>1.8608100000000001</v>
      </c>
      <c r="HO69">
        <v>1.85822</v>
      </c>
      <c r="HP69">
        <v>1.8595600000000001</v>
      </c>
      <c r="HQ69">
        <v>1.85883</v>
      </c>
      <c r="HR69">
        <v>1.85941</v>
      </c>
      <c r="HS69">
        <v>1.8577600000000001</v>
      </c>
      <c r="HT69">
        <v>1.86111</v>
      </c>
      <c r="HU69">
        <v>5</v>
      </c>
      <c r="HV69">
        <v>0</v>
      </c>
      <c r="HW69">
        <v>0</v>
      </c>
      <c r="HX69">
        <v>0</v>
      </c>
      <c r="HY69" t="s">
        <v>423</v>
      </c>
      <c r="HZ69" t="s">
        <v>424</v>
      </c>
      <c r="IA69" t="s">
        <v>425</v>
      </c>
      <c r="IB69" t="s">
        <v>425</v>
      </c>
      <c r="IC69" t="s">
        <v>425</v>
      </c>
      <c r="ID69" t="s">
        <v>425</v>
      </c>
      <c r="IE69">
        <v>0</v>
      </c>
      <c r="IF69">
        <v>100</v>
      </c>
      <c r="IG69">
        <v>100</v>
      </c>
      <c r="IH69">
        <v>-1.157</v>
      </c>
      <c r="II69">
        <v>-0.29060000000000002</v>
      </c>
      <c r="IJ69">
        <v>-1.157095238095053</v>
      </c>
      <c r="IK69">
        <v>0</v>
      </c>
      <c r="IL69">
        <v>0</v>
      </c>
      <c r="IM69">
        <v>0</v>
      </c>
      <c r="IN69">
        <v>-0.29055500000000117</v>
      </c>
      <c r="IO69">
        <v>0</v>
      </c>
      <c r="IP69">
        <v>0</v>
      </c>
      <c r="IQ69">
        <v>0</v>
      </c>
      <c r="IR69">
        <v>-1</v>
      </c>
      <c r="IS69">
        <v>-1</v>
      </c>
      <c r="IT69">
        <v>-1</v>
      </c>
      <c r="IU69">
        <v>-1</v>
      </c>
      <c r="IV69">
        <v>2.9</v>
      </c>
      <c r="IW69">
        <v>0.8</v>
      </c>
      <c r="IX69">
        <v>1.5515099999999999</v>
      </c>
      <c r="IY69">
        <v>2.4438499999999999</v>
      </c>
      <c r="IZ69">
        <v>1.49414</v>
      </c>
      <c r="JA69">
        <v>2.2973599999999998</v>
      </c>
      <c r="JB69">
        <v>1.54419</v>
      </c>
      <c r="JC69">
        <v>2.49634</v>
      </c>
      <c r="JD69">
        <v>35.731099999999998</v>
      </c>
      <c r="JE69">
        <v>24.026199999999999</v>
      </c>
      <c r="JF69">
        <v>18</v>
      </c>
      <c r="JG69">
        <v>533.72699999999998</v>
      </c>
      <c r="JH69">
        <v>489.82799999999997</v>
      </c>
      <c r="JI69">
        <v>27.364000000000001</v>
      </c>
      <c r="JJ69">
        <v>30.975000000000001</v>
      </c>
      <c r="JK69">
        <v>30.000399999999999</v>
      </c>
      <c r="JL69">
        <v>30.970500000000001</v>
      </c>
      <c r="JM69">
        <v>30.949200000000001</v>
      </c>
      <c r="JN69">
        <v>31.123100000000001</v>
      </c>
      <c r="JO69">
        <v>27.002099999999999</v>
      </c>
      <c r="JP69">
        <v>100</v>
      </c>
      <c r="JQ69">
        <v>27.4284</v>
      </c>
      <c r="JR69">
        <v>700</v>
      </c>
      <c r="JS69">
        <v>22.947800000000001</v>
      </c>
      <c r="JT69">
        <v>98.844700000000003</v>
      </c>
      <c r="JU69">
        <v>97.093599999999995</v>
      </c>
    </row>
    <row r="70" spans="1:281" x14ac:dyDescent="0.25">
      <c r="A70">
        <v>54</v>
      </c>
      <c r="B70">
        <v>1693507809</v>
      </c>
      <c r="C70">
        <v>13673</v>
      </c>
      <c r="D70" t="s">
        <v>691</v>
      </c>
      <c r="E70" t="s">
        <v>692</v>
      </c>
      <c r="F70" t="s">
        <v>414</v>
      </c>
      <c r="G70" t="s">
        <v>566</v>
      </c>
      <c r="H70" t="s">
        <v>637</v>
      </c>
      <c r="I70" t="s">
        <v>31</v>
      </c>
      <c r="J70">
        <v>1693507809</v>
      </c>
      <c r="K70">
        <f t="shared" si="46"/>
        <v>4.1194132100857202E-3</v>
      </c>
      <c r="L70">
        <f t="shared" si="47"/>
        <v>4.1194132100857201</v>
      </c>
      <c r="M70">
        <f t="shared" si="48"/>
        <v>46.949888502716867</v>
      </c>
      <c r="N70">
        <f t="shared" si="49"/>
        <v>839.476</v>
      </c>
      <c r="O70">
        <f t="shared" si="50"/>
        <v>544.97276427892518</v>
      </c>
      <c r="P70">
        <f t="shared" si="51"/>
        <v>54.301515616793083</v>
      </c>
      <c r="Q70">
        <f t="shared" si="52"/>
        <v>83.646050063140393</v>
      </c>
      <c r="R70">
        <f t="shared" si="53"/>
        <v>0.28299566053235375</v>
      </c>
      <c r="S70">
        <f t="shared" si="54"/>
        <v>2.9197347395142863</v>
      </c>
      <c r="T70">
        <f t="shared" si="55"/>
        <v>0.26859241635532161</v>
      </c>
      <c r="U70">
        <f t="shared" si="56"/>
        <v>0.16910322443456199</v>
      </c>
      <c r="V70">
        <f t="shared" si="57"/>
        <v>344.32129967095437</v>
      </c>
      <c r="W70">
        <f t="shared" si="58"/>
        <v>31.207939113823709</v>
      </c>
      <c r="X70">
        <f t="shared" si="59"/>
        <v>30.081800000000001</v>
      </c>
      <c r="Y70">
        <f t="shared" si="60"/>
        <v>4.280508633313219</v>
      </c>
      <c r="Z70">
        <f t="shared" si="61"/>
        <v>64.946580494502967</v>
      </c>
      <c r="AA70">
        <f t="shared" si="62"/>
        <v>2.8066617854096201</v>
      </c>
      <c r="AB70">
        <f t="shared" si="63"/>
        <v>4.3214927776639049</v>
      </c>
      <c r="AC70">
        <f t="shared" si="64"/>
        <v>1.4738468479035989</v>
      </c>
      <c r="AD70">
        <f t="shared" si="65"/>
        <v>-181.66612256478027</v>
      </c>
      <c r="AE70">
        <f t="shared" si="66"/>
        <v>26.145591593858928</v>
      </c>
      <c r="AF70">
        <f t="shared" si="67"/>
        <v>1.994356784693365</v>
      </c>
      <c r="AG70">
        <f t="shared" si="68"/>
        <v>190.79512548472641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52020.832621161579</v>
      </c>
      <c r="AM70" t="s">
        <v>417</v>
      </c>
      <c r="AN70">
        <v>10366.9</v>
      </c>
      <c r="AO70">
        <v>993.59653846153856</v>
      </c>
      <c r="AP70">
        <v>3431.87</v>
      </c>
      <c r="AQ70">
        <f t="shared" si="72"/>
        <v>0.71047955241266758</v>
      </c>
      <c r="AR70">
        <v>-3.9894345373445681</v>
      </c>
      <c r="AS70" t="s">
        <v>693</v>
      </c>
      <c r="AT70">
        <v>10316.5</v>
      </c>
      <c r="AU70">
        <v>705.20975999999996</v>
      </c>
      <c r="AV70">
        <v>1062.688547656431</v>
      </c>
      <c r="AW70">
        <f t="shared" si="73"/>
        <v>0.33639092888013744</v>
      </c>
      <c r="AX70">
        <v>0.5</v>
      </c>
      <c r="AY70">
        <f t="shared" si="74"/>
        <v>1512.974399835477</v>
      </c>
      <c r="AZ70">
        <f t="shared" si="75"/>
        <v>46.949888502716867</v>
      </c>
      <c r="BA70">
        <f t="shared" si="76"/>
        <v>254.47543186626228</v>
      </c>
      <c r="BB70">
        <f t="shared" si="77"/>
        <v>3.3668331100381248E-2</v>
      </c>
      <c r="BC70">
        <f t="shared" si="78"/>
        <v>2.2294222117744411</v>
      </c>
      <c r="BD70">
        <f t="shared" si="79"/>
        <v>603.8399813774605</v>
      </c>
      <c r="BE70" t="s">
        <v>694</v>
      </c>
      <c r="BF70">
        <v>545.26</v>
      </c>
      <c r="BG70">
        <f t="shared" si="80"/>
        <v>545.26</v>
      </c>
      <c r="BH70">
        <f t="shared" si="81"/>
        <v>0.48690516972025988</v>
      </c>
      <c r="BI70">
        <f t="shared" si="82"/>
        <v>0.69087565669800355</v>
      </c>
      <c r="BJ70">
        <f t="shared" si="83"/>
        <v>0.82074871643331415</v>
      </c>
      <c r="BK70">
        <f t="shared" si="84"/>
        <v>5.1739527019407836</v>
      </c>
      <c r="BL70">
        <f t="shared" si="85"/>
        <v>0.97166355198268106</v>
      </c>
      <c r="BM70">
        <f t="shared" si="86"/>
        <v>0.53417703772442604</v>
      </c>
      <c r="BN70">
        <f t="shared" si="87"/>
        <v>0.46582296227557396</v>
      </c>
      <c r="BO70">
        <v>16812</v>
      </c>
      <c r="BP70">
        <v>290.00000000000011</v>
      </c>
      <c r="BQ70">
        <v>962.36</v>
      </c>
      <c r="BR70">
        <v>135</v>
      </c>
      <c r="BS70">
        <v>10316.5</v>
      </c>
      <c r="BT70">
        <v>958.24</v>
      </c>
      <c r="BU70">
        <v>4.12</v>
      </c>
      <c r="BV70">
        <v>300.00000000000011</v>
      </c>
      <c r="BW70">
        <v>38.4</v>
      </c>
      <c r="BX70">
        <v>1062.688547656431</v>
      </c>
      <c r="BY70">
        <v>1.583038257480341</v>
      </c>
      <c r="BZ70">
        <v>-107.7494572883012</v>
      </c>
      <c r="CA70">
        <v>1.335090987648079</v>
      </c>
      <c r="CB70">
        <v>0.9957195776471166</v>
      </c>
      <c r="CC70">
        <v>-1.122470656284762E-2</v>
      </c>
      <c r="CD70">
        <v>289.99999999999989</v>
      </c>
      <c r="CE70">
        <v>947.61</v>
      </c>
      <c r="CF70">
        <v>655</v>
      </c>
      <c r="CG70">
        <v>10284.4</v>
      </c>
      <c r="CH70">
        <v>957.92</v>
      </c>
      <c r="CI70">
        <v>-10.31</v>
      </c>
      <c r="CW70">
        <f t="shared" si="88"/>
        <v>1799.75</v>
      </c>
      <c r="CX70">
        <f t="shared" si="89"/>
        <v>1512.974399835477</v>
      </c>
      <c r="CY70">
        <f t="shared" si="90"/>
        <v>0.84065809131016922</v>
      </c>
      <c r="CZ70">
        <f t="shared" si="91"/>
        <v>0.19131618262033859</v>
      </c>
      <c r="DA70">
        <v>6</v>
      </c>
      <c r="DB70">
        <v>0.5</v>
      </c>
      <c r="DC70" t="s">
        <v>420</v>
      </c>
      <c r="DD70">
        <v>2</v>
      </c>
      <c r="DE70">
        <v>1693507809</v>
      </c>
      <c r="DF70">
        <v>839.476</v>
      </c>
      <c r="DG70">
        <v>899.97</v>
      </c>
      <c r="DH70">
        <v>28.1678</v>
      </c>
      <c r="DI70">
        <v>23.363399999999999</v>
      </c>
      <c r="DJ70">
        <v>840.61199999999997</v>
      </c>
      <c r="DK70">
        <v>28.450299999999999</v>
      </c>
      <c r="DL70">
        <v>499.964</v>
      </c>
      <c r="DM70">
        <v>99.5411</v>
      </c>
      <c r="DN70">
        <v>9.9687899999999996E-2</v>
      </c>
      <c r="DO70">
        <v>30.247900000000001</v>
      </c>
      <c r="DP70">
        <v>30.081800000000001</v>
      </c>
      <c r="DQ70">
        <v>999.9</v>
      </c>
      <c r="DR70">
        <v>0</v>
      </c>
      <c r="DS70">
        <v>0</v>
      </c>
      <c r="DT70">
        <v>9990</v>
      </c>
      <c r="DU70">
        <v>0</v>
      </c>
      <c r="DV70">
        <v>1477.27</v>
      </c>
      <c r="DW70">
        <v>-60.494</v>
      </c>
      <c r="DX70">
        <v>863.80799999999999</v>
      </c>
      <c r="DY70">
        <v>921.5</v>
      </c>
      <c r="DZ70">
        <v>4.8044099999999998</v>
      </c>
      <c r="EA70">
        <v>899.97</v>
      </c>
      <c r="EB70">
        <v>23.363399999999999</v>
      </c>
      <c r="EC70">
        <v>2.8038500000000002</v>
      </c>
      <c r="ED70">
        <v>2.3256199999999998</v>
      </c>
      <c r="EE70">
        <v>22.9068</v>
      </c>
      <c r="EF70">
        <v>19.854900000000001</v>
      </c>
      <c r="EG70">
        <v>1799.75</v>
      </c>
      <c r="EH70">
        <v>0.97800500000000001</v>
      </c>
      <c r="EI70">
        <v>2.1995299999999999E-2</v>
      </c>
      <c r="EJ70">
        <v>0</v>
      </c>
      <c r="EK70">
        <v>705.12400000000002</v>
      </c>
      <c r="EL70">
        <v>5.0002500000000003</v>
      </c>
      <c r="EM70">
        <v>19630.3</v>
      </c>
      <c r="EN70">
        <v>14820</v>
      </c>
      <c r="EO70">
        <v>47.061999999999998</v>
      </c>
      <c r="EP70">
        <v>47.561999999999998</v>
      </c>
      <c r="EQ70">
        <v>47.75</v>
      </c>
      <c r="ER70">
        <v>46.5</v>
      </c>
      <c r="ES70">
        <v>48.061999999999998</v>
      </c>
      <c r="ET70">
        <v>1755.27</v>
      </c>
      <c r="EU70">
        <v>39.479999999999997</v>
      </c>
      <c r="EV70">
        <v>0</v>
      </c>
      <c r="EW70">
        <v>100.2000000476837</v>
      </c>
      <c r="EX70">
        <v>0</v>
      </c>
      <c r="EY70">
        <v>705.20975999999996</v>
      </c>
      <c r="EZ70">
        <v>-1.8201538605138099</v>
      </c>
      <c r="FA70">
        <v>217.14615456669711</v>
      </c>
      <c r="FB70">
        <v>19578.288</v>
      </c>
      <c r="FC70">
        <v>15</v>
      </c>
      <c r="FD70">
        <v>1693507779</v>
      </c>
      <c r="FE70" t="s">
        <v>695</v>
      </c>
      <c r="FF70">
        <v>1693507771.5</v>
      </c>
      <c r="FG70">
        <v>1693507779</v>
      </c>
      <c r="FH70">
        <v>61</v>
      </c>
      <c r="FI70">
        <v>2.1000000000000001E-2</v>
      </c>
      <c r="FJ70">
        <v>8.0000000000000002E-3</v>
      </c>
      <c r="FK70">
        <v>-1.1359999999999999</v>
      </c>
      <c r="FL70">
        <v>-0.28199999999999997</v>
      </c>
      <c r="FM70">
        <v>900</v>
      </c>
      <c r="FN70">
        <v>23</v>
      </c>
      <c r="FO70">
        <v>0.17</v>
      </c>
      <c r="FP70">
        <v>0.08</v>
      </c>
      <c r="FQ70">
        <v>47.085370280404732</v>
      </c>
      <c r="FR70">
        <v>-0.51447606221483733</v>
      </c>
      <c r="FS70">
        <v>0.12752494873178721</v>
      </c>
      <c r="FT70">
        <v>1</v>
      </c>
      <c r="FU70">
        <v>0.28307408806173789</v>
      </c>
      <c r="FV70">
        <v>3.6975761979919419E-2</v>
      </c>
      <c r="FW70">
        <v>3.909456641157924E-3</v>
      </c>
      <c r="FX70">
        <v>1</v>
      </c>
      <c r="FY70">
        <v>2</v>
      </c>
      <c r="FZ70">
        <v>2</v>
      </c>
      <c r="GA70" t="s">
        <v>422</v>
      </c>
      <c r="GB70">
        <v>2.92021</v>
      </c>
      <c r="GC70">
        <v>2.8294899999999998</v>
      </c>
      <c r="GD70">
        <v>0.15340300000000001</v>
      </c>
      <c r="GE70">
        <v>0.157639</v>
      </c>
      <c r="GF70">
        <v>0.134686</v>
      </c>
      <c r="GG70">
        <v>0.11297</v>
      </c>
      <c r="GH70">
        <v>22166.400000000001</v>
      </c>
      <c r="GI70">
        <v>26874.400000000001</v>
      </c>
      <c r="GJ70">
        <v>23568.3</v>
      </c>
      <c r="GK70">
        <v>29203.3</v>
      </c>
      <c r="GL70">
        <v>27819.599999999999</v>
      </c>
      <c r="GM70">
        <v>36661.800000000003</v>
      </c>
      <c r="GN70">
        <v>33334</v>
      </c>
      <c r="GO70">
        <v>43103.8</v>
      </c>
      <c r="GP70">
        <v>2.0154000000000001</v>
      </c>
      <c r="GQ70">
        <v>1.8984000000000001</v>
      </c>
      <c r="GR70">
        <v>0.11079</v>
      </c>
      <c r="GS70">
        <v>0</v>
      </c>
      <c r="GT70">
        <v>28.276399999999999</v>
      </c>
      <c r="GU70">
        <v>999.9</v>
      </c>
      <c r="GV70">
        <v>58.6</v>
      </c>
      <c r="GW70">
        <v>32.1</v>
      </c>
      <c r="GX70">
        <v>28.272200000000002</v>
      </c>
      <c r="GY70">
        <v>61.197800000000001</v>
      </c>
      <c r="GZ70">
        <v>34.471200000000003</v>
      </c>
      <c r="HA70">
        <v>1</v>
      </c>
      <c r="HB70">
        <v>0.27679900000000002</v>
      </c>
      <c r="HC70">
        <v>0.81594800000000001</v>
      </c>
      <c r="HD70">
        <v>20.280799999999999</v>
      </c>
      <c r="HE70">
        <v>5.2112999999999996</v>
      </c>
      <c r="HF70">
        <v>11.872199999999999</v>
      </c>
      <c r="HG70">
        <v>4.9837999999999996</v>
      </c>
      <c r="HH70">
        <v>3.2839999999999998</v>
      </c>
      <c r="HI70">
        <v>9999</v>
      </c>
      <c r="HJ70">
        <v>9999</v>
      </c>
      <c r="HK70">
        <v>9999</v>
      </c>
      <c r="HL70">
        <v>999.9</v>
      </c>
      <c r="HM70">
        <v>1.8547100000000001</v>
      </c>
      <c r="HN70">
        <v>1.8608100000000001</v>
      </c>
      <c r="HO70">
        <v>1.8582399999999999</v>
      </c>
      <c r="HP70">
        <v>1.8594900000000001</v>
      </c>
      <c r="HQ70">
        <v>1.85883</v>
      </c>
      <c r="HR70">
        <v>1.85938</v>
      </c>
      <c r="HS70">
        <v>1.8577600000000001</v>
      </c>
      <c r="HT70">
        <v>1.86111</v>
      </c>
      <c r="HU70">
        <v>5</v>
      </c>
      <c r="HV70">
        <v>0</v>
      </c>
      <c r="HW70">
        <v>0</v>
      </c>
      <c r="HX70">
        <v>0</v>
      </c>
      <c r="HY70" t="s">
        <v>423</v>
      </c>
      <c r="HZ70" t="s">
        <v>424</v>
      </c>
      <c r="IA70" t="s">
        <v>425</v>
      </c>
      <c r="IB70" t="s">
        <v>425</v>
      </c>
      <c r="IC70" t="s">
        <v>425</v>
      </c>
      <c r="ID70" t="s">
        <v>425</v>
      </c>
      <c r="IE70">
        <v>0</v>
      </c>
      <c r="IF70">
        <v>100</v>
      </c>
      <c r="IG70">
        <v>100</v>
      </c>
      <c r="IH70">
        <v>-1.1359999999999999</v>
      </c>
      <c r="II70">
        <v>-0.28249999999999997</v>
      </c>
      <c r="IJ70">
        <v>-1.136099999999828</v>
      </c>
      <c r="IK70">
        <v>0</v>
      </c>
      <c r="IL70">
        <v>0</v>
      </c>
      <c r="IM70">
        <v>0</v>
      </c>
      <c r="IN70">
        <v>-0.2824571428571403</v>
      </c>
      <c r="IO70">
        <v>0</v>
      </c>
      <c r="IP70">
        <v>0</v>
      </c>
      <c r="IQ70">
        <v>0</v>
      </c>
      <c r="IR70">
        <v>-1</v>
      </c>
      <c r="IS70">
        <v>-1</v>
      </c>
      <c r="IT70">
        <v>-1</v>
      </c>
      <c r="IU70">
        <v>-1</v>
      </c>
      <c r="IV70">
        <v>0.6</v>
      </c>
      <c r="IW70">
        <v>0.5</v>
      </c>
      <c r="IX70">
        <v>1.89209</v>
      </c>
      <c r="IY70">
        <v>2.4340799999999998</v>
      </c>
      <c r="IZ70">
        <v>1.49414</v>
      </c>
      <c r="JA70">
        <v>2.2973599999999998</v>
      </c>
      <c r="JB70">
        <v>1.54419</v>
      </c>
      <c r="JC70">
        <v>2.52441</v>
      </c>
      <c r="JD70">
        <v>35.754399999999997</v>
      </c>
      <c r="JE70">
        <v>24.026199999999999</v>
      </c>
      <c r="JF70">
        <v>18</v>
      </c>
      <c r="JG70">
        <v>533.21799999999996</v>
      </c>
      <c r="JH70">
        <v>490.81200000000001</v>
      </c>
      <c r="JI70">
        <v>27.579000000000001</v>
      </c>
      <c r="JJ70">
        <v>30.975000000000001</v>
      </c>
      <c r="JK70">
        <v>30.000399999999999</v>
      </c>
      <c r="JL70">
        <v>30.9893</v>
      </c>
      <c r="JM70">
        <v>30.970700000000001</v>
      </c>
      <c r="JN70">
        <v>37.917999999999999</v>
      </c>
      <c r="JO70">
        <v>25.316299999999998</v>
      </c>
      <c r="JP70">
        <v>100</v>
      </c>
      <c r="JQ70">
        <v>27.508299999999998</v>
      </c>
      <c r="JR70">
        <v>900</v>
      </c>
      <c r="JS70">
        <v>23.368400000000001</v>
      </c>
      <c r="JT70">
        <v>98.852800000000002</v>
      </c>
      <c r="JU70">
        <v>97.091899999999995</v>
      </c>
    </row>
    <row r="71" spans="1:281" x14ac:dyDescent="0.25">
      <c r="A71">
        <v>55</v>
      </c>
      <c r="B71">
        <v>1693507941</v>
      </c>
      <c r="C71">
        <v>13805</v>
      </c>
      <c r="D71" t="s">
        <v>696</v>
      </c>
      <c r="E71" t="s">
        <v>697</v>
      </c>
      <c r="F71" t="s">
        <v>414</v>
      </c>
      <c r="G71" t="s">
        <v>566</v>
      </c>
      <c r="H71" t="s">
        <v>637</v>
      </c>
      <c r="I71" t="s">
        <v>31</v>
      </c>
      <c r="J71">
        <v>1693507941</v>
      </c>
      <c r="K71">
        <f t="shared" si="46"/>
        <v>3.887606711410778E-3</v>
      </c>
      <c r="L71">
        <f t="shared" si="47"/>
        <v>3.8876067114107782</v>
      </c>
      <c r="M71">
        <f t="shared" si="48"/>
        <v>46.713331639394333</v>
      </c>
      <c r="N71">
        <f t="shared" si="49"/>
        <v>1138.45</v>
      </c>
      <c r="O71">
        <f t="shared" si="50"/>
        <v>824.92083003935295</v>
      </c>
      <c r="P71">
        <f t="shared" si="51"/>
        <v>82.191154442391522</v>
      </c>
      <c r="Q71">
        <f t="shared" si="52"/>
        <v>113.42969696919502</v>
      </c>
      <c r="R71">
        <f t="shared" si="53"/>
        <v>0.26910032623683022</v>
      </c>
      <c r="S71">
        <f t="shared" si="54"/>
        <v>2.9275153200752411</v>
      </c>
      <c r="T71">
        <f t="shared" si="55"/>
        <v>0.25607462491282545</v>
      </c>
      <c r="U71">
        <f t="shared" si="56"/>
        <v>0.16116439326414558</v>
      </c>
      <c r="V71">
        <f t="shared" si="57"/>
        <v>344.3566996708206</v>
      </c>
      <c r="W71">
        <f t="shared" si="58"/>
        <v>31.127663310874318</v>
      </c>
      <c r="X71">
        <f t="shared" si="59"/>
        <v>29.994399999999999</v>
      </c>
      <c r="Y71">
        <f t="shared" si="60"/>
        <v>4.2590795507267458</v>
      </c>
      <c r="Z71">
        <f t="shared" si="61"/>
        <v>65.309989386901648</v>
      </c>
      <c r="AA71">
        <f t="shared" si="62"/>
        <v>2.8000481127193009</v>
      </c>
      <c r="AB71">
        <f t="shared" si="63"/>
        <v>4.2873198097332246</v>
      </c>
      <c r="AC71">
        <f t="shared" si="64"/>
        <v>1.4590314380074449</v>
      </c>
      <c r="AD71">
        <f t="shared" si="65"/>
        <v>-171.44345597321532</v>
      </c>
      <c r="AE71">
        <f t="shared" si="66"/>
        <v>18.166026503221953</v>
      </c>
      <c r="AF71">
        <f t="shared" si="67"/>
        <v>1.380458130587932</v>
      </c>
      <c r="AG71">
        <f t="shared" si="68"/>
        <v>192.45972833141519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52266.511717207846</v>
      </c>
      <c r="AM71" t="s">
        <v>417</v>
      </c>
      <c r="AN71">
        <v>10366.9</v>
      </c>
      <c r="AO71">
        <v>993.59653846153856</v>
      </c>
      <c r="AP71">
        <v>3431.87</v>
      </c>
      <c r="AQ71">
        <f t="shared" si="72"/>
        <v>0.71047955241266758</v>
      </c>
      <c r="AR71">
        <v>-3.9894345373445681</v>
      </c>
      <c r="AS71" t="s">
        <v>698</v>
      </c>
      <c r="AT71">
        <v>10317.5</v>
      </c>
      <c r="AU71">
        <v>704.11959999999988</v>
      </c>
      <c r="AV71">
        <v>1063.1657898868409</v>
      </c>
      <c r="AW71">
        <f t="shared" si="73"/>
        <v>0.33771420534990737</v>
      </c>
      <c r="AX71">
        <v>0.5</v>
      </c>
      <c r="AY71">
        <f t="shared" si="74"/>
        <v>1513.1261998354103</v>
      </c>
      <c r="AZ71">
        <f t="shared" si="75"/>
        <v>46.713331639394333</v>
      </c>
      <c r="BA71">
        <f t="shared" si="76"/>
        <v>255.50210608577035</v>
      </c>
      <c r="BB71">
        <f t="shared" si="77"/>
        <v>3.3508616916589032E-2</v>
      </c>
      <c r="BC71">
        <f t="shared" si="78"/>
        <v>2.2279725633057423</v>
      </c>
      <c r="BD71">
        <f t="shared" si="79"/>
        <v>603.99404013505375</v>
      </c>
      <c r="BE71" t="s">
        <v>699</v>
      </c>
      <c r="BF71">
        <v>544.80999999999995</v>
      </c>
      <c r="BG71">
        <f t="shared" si="80"/>
        <v>544.80999999999995</v>
      </c>
      <c r="BH71">
        <f t="shared" si="81"/>
        <v>0.48755875595095344</v>
      </c>
      <c r="BI71">
        <f t="shared" si="82"/>
        <v>0.69266360459718634</v>
      </c>
      <c r="BJ71">
        <f t="shared" si="83"/>
        <v>0.82045548416491487</v>
      </c>
      <c r="BK71">
        <f t="shared" si="84"/>
        <v>5.1609896977597183</v>
      </c>
      <c r="BL71">
        <f t="shared" si="85"/>
        <v>0.97146782240684082</v>
      </c>
      <c r="BM71">
        <f t="shared" si="86"/>
        <v>0.53594596489089796</v>
      </c>
      <c r="BN71">
        <f t="shared" si="87"/>
        <v>0.46405403510910204</v>
      </c>
      <c r="BO71">
        <v>16814</v>
      </c>
      <c r="BP71">
        <v>290.00000000000011</v>
      </c>
      <c r="BQ71">
        <v>961.79</v>
      </c>
      <c r="BR71">
        <v>125</v>
      </c>
      <c r="BS71">
        <v>10317.5</v>
      </c>
      <c r="BT71">
        <v>958.62</v>
      </c>
      <c r="BU71">
        <v>3.17</v>
      </c>
      <c r="BV71">
        <v>300.00000000000011</v>
      </c>
      <c r="BW71">
        <v>38.4</v>
      </c>
      <c r="BX71">
        <v>1063.1657898868409</v>
      </c>
      <c r="BY71">
        <v>1.380686985098758</v>
      </c>
      <c r="BZ71">
        <v>-107.8661047434493</v>
      </c>
      <c r="CA71">
        <v>1.1643655538205619</v>
      </c>
      <c r="CB71">
        <v>0.99674798825489686</v>
      </c>
      <c r="CC71">
        <v>-1.1224203559510589E-2</v>
      </c>
      <c r="CD71">
        <v>289.99999999999989</v>
      </c>
      <c r="CE71">
        <v>948.26</v>
      </c>
      <c r="CF71">
        <v>655</v>
      </c>
      <c r="CG71">
        <v>10283.799999999999</v>
      </c>
      <c r="CH71">
        <v>958.28</v>
      </c>
      <c r="CI71">
        <v>-10.02</v>
      </c>
      <c r="CW71">
        <f t="shared" si="88"/>
        <v>1799.93</v>
      </c>
      <c r="CX71">
        <f t="shared" si="89"/>
        <v>1513.1261998354103</v>
      </c>
      <c r="CY71">
        <f t="shared" si="90"/>
        <v>0.8406583588447385</v>
      </c>
      <c r="CZ71">
        <f t="shared" si="91"/>
        <v>0.19131671768947714</v>
      </c>
      <c r="DA71">
        <v>6</v>
      </c>
      <c r="DB71">
        <v>0.5</v>
      </c>
      <c r="DC71" t="s">
        <v>420</v>
      </c>
      <c r="DD71">
        <v>2</v>
      </c>
      <c r="DE71">
        <v>1693507941</v>
      </c>
      <c r="DF71">
        <v>1138.45</v>
      </c>
      <c r="DG71">
        <v>1199.8599999999999</v>
      </c>
      <c r="DH71">
        <v>28.103000000000002</v>
      </c>
      <c r="DI71">
        <v>23.565799999999999</v>
      </c>
      <c r="DJ71">
        <v>1139.55</v>
      </c>
      <c r="DK71">
        <v>28.383500000000002</v>
      </c>
      <c r="DL71">
        <v>499.65</v>
      </c>
      <c r="DM71">
        <v>99.535700000000006</v>
      </c>
      <c r="DN71">
        <v>9.9503099999999997E-2</v>
      </c>
      <c r="DO71">
        <v>30.109500000000001</v>
      </c>
      <c r="DP71">
        <v>29.994399999999999</v>
      </c>
      <c r="DQ71">
        <v>999.9</v>
      </c>
      <c r="DR71">
        <v>0</v>
      </c>
      <c r="DS71">
        <v>0</v>
      </c>
      <c r="DT71">
        <v>10035</v>
      </c>
      <c r="DU71">
        <v>0</v>
      </c>
      <c r="DV71">
        <v>1473.9</v>
      </c>
      <c r="DW71">
        <v>-61.407499999999999</v>
      </c>
      <c r="DX71">
        <v>1171.3699999999999</v>
      </c>
      <c r="DY71">
        <v>1228.82</v>
      </c>
      <c r="DZ71">
        <v>4.53721</v>
      </c>
      <c r="EA71">
        <v>1199.8599999999999</v>
      </c>
      <c r="EB71">
        <v>23.565799999999999</v>
      </c>
      <c r="EC71">
        <v>2.79725</v>
      </c>
      <c r="ED71">
        <v>2.3456399999999999</v>
      </c>
      <c r="EE71">
        <v>22.867899999999999</v>
      </c>
      <c r="EF71">
        <v>19.993300000000001</v>
      </c>
      <c r="EG71">
        <v>1799.93</v>
      </c>
      <c r="EH71">
        <v>0.97799199999999997</v>
      </c>
      <c r="EI71">
        <v>2.2007599999999999E-2</v>
      </c>
      <c r="EJ71">
        <v>0</v>
      </c>
      <c r="EK71">
        <v>703.84299999999996</v>
      </c>
      <c r="EL71">
        <v>5.0002500000000003</v>
      </c>
      <c r="EM71">
        <v>19535.599999999999</v>
      </c>
      <c r="EN71">
        <v>14821.5</v>
      </c>
      <c r="EO71">
        <v>47.061999999999998</v>
      </c>
      <c r="EP71">
        <v>47.625</v>
      </c>
      <c r="EQ71">
        <v>47.75</v>
      </c>
      <c r="ER71">
        <v>46.561999999999998</v>
      </c>
      <c r="ES71">
        <v>48.125</v>
      </c>
      <c r="ET71">
        <v>1755.43</v>
      </c>
      <c r="EU71">
        <v>39.5</v>
      </c>
      <c r="EV71">
        <v>0</v>
      </c>
      <c r="EW71">
        <v>130.20000004768369</v>
      </c>
      <c r="EX71">
        <v>0</v>
      </c>
      <c r="EY71">
        <v>704.11959999999988</v>
      </c>
      <c r="EZ71">
        <v>-1.4703846285300259</v>
      </c>
      <c r="FA71">
        <v>15.17692393276244</v>
      </c>
      <c r="FB71">
        <v>19557.84</v>
      </c>
      <c r="FC71">
        <v>15</v>
      </c>
      <c r="FD71">
        <v>1693507910.5</v>
      </c>
      <c r="FE71" t="s">
        <v>700</v>
      </c>
      <c r="FF71">
        <v>1693507910.5</v>
      </c>
      <c r="FG71">
        <v>1693507902.5</v>
      </c>
      <c r="FH71">
        <v>62</v>
      </c>
      <c r="FI71">
        <v>4.2000000000000003E-2</v>
      </c>
      <c r="FJ71">
        <v>2E-3</v>
      </c>
      <c r="FK71">
        <v>-1.095</v>
      </c>
      <c r="FL71">
        <v>-0.28000000000000003</v>
      </c>
      <c r="FM71">
        <v>1200</v>
      </c>
      <c r="FN71">
        <v>24</v>
      </c>
      <c r="FO71">
        <v>0.13</v>
      </c>
      <c r="FP71">
        <v>0.05</v>
      </c>
      <c r="FQ71">
        <v>46.795873852726572</v>
      </c>
      <c r="FR71">
        <v>-0.55633765931760248</v>
      </c>
      <c r="FS71">
        <v>0.11444563940424481</v>
      </c>
      <c r="FT71">
        <v>1</v>
      </c>
      <c r="FU71">
        <v>0.2709889627591312</v>
      </c>
      <c r="FV71">
        <v>-3.6876947110702622E-3</v>
      </c>
      <c r="FW71">
        <v>2.7831000609551621E-3</v>
      </c>
      <c r="FX71">
        <v>1</v>
      </c>
      <c r="FY71">
        <v>2</v>
      </c>
      <c r="FZ71">
        <v>2</v>
      </c>
      <c r="GA71" t="s">
        <v>422</v>
      </c>
      <c r="GB71">
        <v>2.9194100000000001</v>
      </c>
      <c r="GC71">
        <v>2.8296999999999999</v>
      </c>
      <c r="GD71">
        <v>0.18623700000000001</v>
      </c>
      <c r="GE71">
        <v>0.189105</v>
      </c>
      <c r="GF71">
        <v>0.13444999999999999</v>
      </c>
      <c r="GG71">
        <v>0.11364100000000001</v>
      </c>
      <c r="GH71">
        <v>21305.4</v>
      </c>
      <c r="GI71">
        <v>25869</v>
      </c>
      <c r="GJ71">
        <v>23567.4</v>
      </c>
      <c r="GK71">
        <v>29202.400000000001</v>
      </c>
      <c r="GL71">
        <v>27830.6</v>
      </c>
      <c r="GM71">
        <v>36635.300000000003</v>
      </c>
      <c r="GN71">
        <v>33334.199999999997</v>
      </c>
      <c r="GO71">
        <v>43101.5</v>
      </c>
      <c r="GP71">
        <v>2.0154999999999998</v>
      </c>
      <c r="GQ71">
        <v>1.8996999999999999</v>
      </c>
      <c r="GR71">
        <v>0.104398</v>
      </c>
      <c r="GS71">
        <v>0</v>
      </c>
      <c r="GT71">
        <v>28.293099999999999</v>
      </c>
      <c r="GU71">
        <v>999.9</v>
      </c>
      <c r="GV71">
        <v>58.7</v>
      </c>
      <c r="GW71">
        <v>32.1</v>
      </c>
      <c r="GX71">
        <v>28.3184</v>
      </c>
      <c r="GY71">
        <v>61.227800000000002</v>
      </c>
      <c r="GZ71">
        <v>34.6875</v>
      </c>
      <c r="HA71">
        <v>1</v>
      </c>
      <c r="HB71">
        <v>0.27711400000000003</v>
      </c>
      <c r="HC71">
        <v>-0.33383400000000002</v>
      </c>
      <c r="HD71">
        <v>20.3249</v>
      </c>
      <c r="HE71">
        <v>5.2112999999999996</v>
      </c>
      <c r="HF71">
        <v>11.872199999999999</v>
      </c>
      <c r="HG71">
        <v>4.9851999999999999</v>
      </c>
      <c r="HH71">
        <v>3.2839999999999998</v>
      </c>
      <c r="HI71">
        <v>9999</v>
      </c>
      <c r="HJ71">
        <v>9999</v>
      </c>
      <c r="HK71">
        <v>9999</v>
      </c>
      <c r="HL71">
        <v>999.9</v>
      </c>
      <c r="HM71">
        <v>1.8546800000000001</v>
      </c>
      <c r="HN71">
        <v>1.8608</v>
      </c>
      <c r="HO71">
        <v>1.85822</v>
      </c>
      <c r="HP71">
        <v>1.85944</v>
      </c>
      <c r="HQ71">
        <v>1.85873</v>
      </c>
      <c r="HR71">
        <v>1.85928</v>
      </c>
      <c r="HS71">
        <v>1.85771</v>
      </c>
      <c r="HT71">
        <v>1.8610599999999999</v>
      </c>
      <c r="HU71">
        <v>5</v>
      </c>
      <c r="HV71">
        <v>0</v>
      </c>
      <c r="HW71">
        <v>0</v>
      </c>
      <c r="HX71">
        <v>0</v>
      </c>
      <c r="HY71" t="s">
        <v>423</v>
      </c>
      <c r="HZ71" t="s">
        <v>424</v>
      </c>
      <c r="IA71" t="s">
        <v>425</v>
      </c>
      <c r="IB71" t="s">
        <v>425</v>
      </c>
      <c r="IC71" t="s">
        <v>425</v>
      </c>
      <c r="ID71" t="s">
        <v>425</v>
      </c>
      <c r="IE71">
        <v>0</v>
      </c>
      <c r="IF71">
        <v>100</v>
      </c>
      <c r="IG71">
        <v>100</v>
      </c>
      <c r="IH71">
        <v>-1.1000000000000001</v>
      </c>
      <c r="II71">
        <v>-0.28050000000000003</v>
      </c>
      <c r="IJ71">
        <v>-1.0949999999997999</v>
      </c>
      <c r="IK71">
        <v>0</v>
      </c>
      <c r="IL71">
        <v>0</v>
      </c>
      <c r="IM71">
        <v>0</v>
      </c>
      <c r="IN71">
        <v>-0.28044999999999481</v>
      </c>
      <c r="IO71">
        <v>0</v>
      </c>
      <c r="IP71">
        <v>0</v>
      </c>
      <c r="IQ71">
        <v>0</v>
      </c>
      <c r="IR71">
        <v>-1</v>
      </c>
      <c r="IS71">
        <v>-1</v>
      </c>
      <c r="IT71">
        <v>-1</v>
      </c>
      <c r="IU71">
        <v>-1</v>
      </c>
      <c r="IV71">
        <v>0.5</v>
      </c>
      <c r="IW71">
        <v>0.6</v>
      </c>
      <c r="IX71">
        <v>2.36694</v>
      </c>
      <c r="IY71">
        <v>2.4206500000000002</v>
      </c>
      <c r="IZ71">
        <v>1.49414</v>
      </c>
      <c r="JA71">
        <v>2.2973599999999998</v>
      </c>
      <c r="JB71">
        <v>1.54419</v>
      </c>
      <c r="JC71">
        <v>2.4706999999999999</v>
      </c>
      <c r="JD71">
        <v>35.707799999999999</v>
      </c>
      <c r="JE71">
        <v>16.3123</v>
      </c>
      <c r="JF71">
        <v>18</v>
      </c>
      <c r="JG71">
        <v>533.52200000000005</v>
      </c>
      <c r="JH71">
        <v>492.01100000000002</v>
      </c>
      <c r="JI71">
        <v>27.145399999999999</v>
      </c>
      <c r="JJ71">
        <v>30.996700000000001</v>
      </c>
      <c r="JK71">
        <v>29.999500000000001</v>
      </c>
      <c r="JL71">
        <v>31.016100000000002</v>
      </c>
      <c r="JM71">
        <v>31.0001</v>
      </c>
      <c r="JN71">
        <v>47.423499999999997</v>
      </c>
      <c r="JO71">
        <v>24.8767</v>
      </c>
      <c r="JP71">
        <v>100</v>
      </c>
      <c r="JQ71">
        <v>27.2073</v>
      </c>
      <c r="JR71">
        <v>1200</v>
      </c>
      <c r="JS71">
        <v>23.641999999999999</v>
      </c>
      <c r="JT71">
        <v>98.851799999999997</v>
      </c>
      <c r="JU71">
        <v>97.087599999999995</v>
      </c>
    </row>
    <row r="72" spans="1:281" x14ac:dyDescent="0.25">
      <c r="A72">
        <v>56</v>
      </c>
      <c r="B72">
        <v>1693508063.5999999</v>
      </c>
      <c r="C72">
        <v>13927.599999904631</v>
      </c>
      <c r="D72" t="s">
        <v>701</v>
      </c>
      <c r="E72" t="s">
        <v>702</v>
      </c>
      <c r="F72" t="s">
        <v>414</v>
      </c>
      <c r="G72" t="s">
        <v>566</v>
      </c>
      <c r="H72" t="s">
        <v>637</v>
      </c>
      <c r="I72" t="s">
        <v>31</v>
      </c>
      <c r="J72">
        <v>1693508063.5999999</v>
      </c>
      <c r="K72">
        <f t="shared" si="46"/>
        <v>3.6859297697697858E-3</v>
      </c>
      <c r="L72">
        <f t="shared" si="47"/>
        <v>3.6859297697697859</v>
      </c>
      <c r="M72">
        <f t="shared" si="48"/>
        <v>46.879384932811391</v>
      </c>
      <c r="N72">
        <f t="shared" si="49"/>
        <v>1437.74</v>
      </c>
      <c r="O72">
        <f t="shared" si="50"/>
        <v>1096.7523532040627</v>
      </c>
      <c r="P72">
        <f t="shared" si="51"/>
        <v>109.27404001934717</v>
      </c>
      <c r="Q72">
        <f t="shared" si="52"/>
        <v>143.24807039478</v>
      </c>
      <c r="R72">
        <f t="shared" si="53"/>
        <v>0.25178787458675411</v>
      </c>
      <c r="S72">
        <f t="shared" si="54"/>
        <v>2.9169740589530537</v>
      </c>
      <c r="T72">
        <f t="shared" si="55"/>
        <v>0.24030665528876086</v>
      </c>
      <c r="U72">
        <f t="shared" si="56"/>
        <v>0.15117956860069437</v>
      </c>
      <c r="V72">
        <f t="shared" si="57"/>
        <v>344.40039967086267</v>
      </c>
      <c r="W72">
        <f t="shared" si="58"/>
        <v>31.110641292443539</v>
      </c>
      <c r="X72">
        <f t="shared" si="59"/>
        <v>29.998000000000001</v>
      </c>
      <c r="Y72">
        <f t="shared" si="60"/>
        <v>4.2599603634351402</v>
      </c>
      <c r="Z72">
        <f t="shared" si="61"/>
        <v>65.250776152355328</v>
      </c>
      <c r="AA72">
        <f t="shared" si="62"/>
        <v>2.7857621847003</v>
      </c>
      <c r="AB72">
        <f t="shared" si="63"/>
        <v>4.2693165491177743</v>
      </c>
      <c r="AC72">
        <f t="shared" si="64"/>
        <v>1.4741981787348402</v>
      </c>
      <c r="AD72">
        <f t="shared" si="65"/>
        <v>-162.54950284684756</v>
      </c>
      <c r="AE72">
        <f t="shared" si="66"/>
        <v>6.0073283888117501</v>
      </c>
      <c r="AF72">
        <f t="shared" si="67"/>
        <v>0.45799572927666948</v>
      </c>
      <c r="AG72">
        <f t="shared" si="68"/>
        <v>188.31622094210351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51978.305365276618</v>
      </c>
      <c r="AM72" t="s">
        <v>417</v>
      </c>
      <c r="AN72">
        <v>10366.9</v>
      </c>
      <c r="AO72">
        <v>993.59653846153856</v>
      </c>
      <c r="AP72">
        <v>3431.87</v>
      </c>
      <c r="AQ72">
        <f t="shared" si="72"/>
        <v>0.71047955241266758</v>
      </c>
      <c r="AR72">
        <v>-3.9894345373445681</v>
      </c>
      <c r="AS72" t="s">
        <v>703</v>
      </c>
      <c r="AT72">
        <v>10318.6</v>
      </c>
      <c r="AU72">
        <v>703.28055999999992</v>
      </c>
      <c r="AV72">
        <v>1063.32203097094</v>
      </c>
      <c r="AW72">
        <f t="shared" si="73"/>
        <v>0.338600593690492</v>
      </c>
      <c r="AX72">
        <v>0.5</v>
      </c>
      <c r="AY72">
        <f t="shared" si="74"/>
        <v>1513.3193998354313</v>
      </c>
      <c r="AZ72">
        <f t="shared" si="75"/>
        <v>46.879384932811391</v>
      </c>
      <c r="BA72">
        <f t="shared" si="76"/>
        <v>256.20542361380802</v>
      </c>
      <c r="BB72">
        <f t="shared" si="77"/>
        <v>3.3614066849131638E-2</v>
      </c>
      <c r="BC72">
        <f t="shared" si="78"/>
        <v>2.2274982555061826</v>
      </c>
      <c r="BD72">
        <f t="shared" si="79"/>
        <v>604.0444634041886</v>
      </c>
      <c r="BE72" t="s">
        <v>704</v>
      </c>
      <c r="BF72">
        <v>542.94000000000005</v>
      </c>
      <c r="BG72">
        <f t="shared" si="80"/>
        <v>542.94000000000005</v>
      </c>
      <c r="BH72">
        <f t="shared" si="81"/>
        <v>0.48939269178479161</v>
      </c>
      <c r="BI72">
        <f t="shared" si="82"/>
        <v>0.69187913790790778</v>
      </c>
      <c r="BJ72">
        <f t="shared" si="83"/>
        <v>0.81987032189393994</v>
      </c>
      <c r="BK72">
        <f t="shared" si="84"/>
        <v>5.1636992154970285</v>
      </c>
      <c r="BL72">
        <f t="shared" si="85"/>
        <v>0.97140374383379979</v>
      </c>
      <c r="BM72">
        <f t="shared" si="86"/>
        <v>0.53413798205330676</v>
      </c>
      <c r="BN72">
        <f t="shared" si="87"/>
        <v>0.46586201794669324</v>
      </c>
      <c r="BO72">
        <v>16816</v>
      </c>
      <c r="BP72">
        <v>290.00000000000011</v>
      </c>
      <c r="BQ72">
        <v>961.89</v>
      </c>
      <c r="BR72">
        <v>115</v>
      </c>
      <c r="BS72">
        <v>10318.6</v>
      </c>
      <c r="BT72">
        <v>958.77</v>
      </c>
      <c r="BU72">
        <v>3.12</v>
      </c>
      <c r="BV72">
        <v>300.00000000000011</v>
      </c>
      <c r="BW72">
        <v>38.4</v>
      </c>
      <c r="BX72">
        <v>1063.32203097094</v>
      </c>
      <c r="BY72">
        <v>1.6119915855549001</v>
      </c>
      <c r="BZ72">
        <v>-107.8855464698552</v>
      </c>
      <c r="CA72">
        <v>1.359340699022719</v>
      </c>
      <c r="CB72">
        <v>0.99557450447284379</v>
      </c>
      <c r="CC72">
        <v>-1.122341423804228E-2</v>
      </c>
      <c r="CD72">
        <v>289.99999999999989</v>
      </c>
      <c r="CE72">
        <v>948</v>
      </c>
      <c r="CF72">
        <v>635</v>
      </c>
      <c r="CG72">
        <v>10284.6</v>
      </c>
      <c r="CH72">
        <v>958.42</v>
      </c>
      <c r="CI72">
        <v>-10.42</v>
      </c>
      <c r="CW72">
        <f t="shared" si="88"/>
        <v>1800.16</v>
      </c>
      <c r="CX72">
        <f t="shared" si="89"/>
        <v>1513.3193998354313</v>
      </c>
      <c r="CY72">
        <f t="shared" si="90"/>
        <v>0.84065827472859711</v>
      </c>
      <c r="CZ72">
        <f t="shared" si="91"/>
        <v>0.19131654945719417</v>
      </c>
      <c r="DA72">
        <v>6</v>
      </c>
      <c r="DB72">
        <v>0.5</v>
      </c>
      <c r="DC72" t="s">
        <v>420</v>
      </c>
      <c r="DD72">
        <v>2</v>
      </c>
      <c r="DE72">
        <v>1693508063.5999999</v>
      </c>
      <c r="DF72">
        <v>1437.74</v>
      </c>
      <c r="DG72">
        <v>1500.3</v>
      </c>
      <c r="DH72">
        <v>27.959900000000001</v>
      </c>
      <c r="DI72">
        <v>23.664200000000001</v>
      </c>
      <c r="DJ72">
        <v>1438.77</v>
      </c>
      <c r="DK72">
        <v>28.233599999999999</v>
      </c>
      <c r="DL72">
        <v>500.43599999999998</v>
      </c>
      <c r="DM72">
        <v>99.533699999999996</v>
      </c>
      <c r="DN72">
        <v>0.100497</v>
      </c>
      <c r="DO72">
        <v>30.036200000000001</v>
      </c>
      <c r="DP72">
        <v>29.998000000000001</v>
      </c>
      <c r="DQ72">
        <v>999.9</v>
      </c>
      <c r="DR72">
        <v>0</v>
      </c>
      <c r="DS72">
        <v>0</v>
      </c>
      <c r="DT72">
        <v>9975</v>
      </c>
      <c r="DU72">
        <v>0</v>
      </c>
      <c r="DV72">
        <v>1480.77</v>
      </c>
      <c r="DW72">
        <v>-62.5657</v>
      </c>
      <c r="DX72">
        <v>1479.09</v>
      </c>
      <c r="DY72">
        <v>1536.67</v>
      </c>
      <c r="DZ72">
        <v>4.2957400000000003</v>
      </c>
      <c r="EA72">
        <v>1500.3</v>
      </c>
      <c r="EB72">
        <v>23.664200000000001</v>
      </c>
      <c r="EC72">
        <v>2.78295</v>
      </c>
      <c r="ED72">
        <v>2.3553799999999998</v>
      </c>
      <c r="EE72">
        <v>22.783300000000001</v>
      </c>
      <c r="EF72">
        <v>20.060300000000002</v>
      </c>
      <c r="EG72">
        <v>1800.16</v>
      </c>
      <c r="EH72">
        <v>0.97799599999999998</v>
      </c>
      <c r="EI72">
        <v>2.20039E-2</v>
      </c>
      <c r="EJ72">
        <v>0</v>
      </c>
      <c r="EK72">
        <v>703.101</v>
      </c>
      <c r="EL72">
        <v>5.0002500000000003</v>
      </c>
      <c r="EM72">
        <v>19506.7</v>
      </c>
      <c r="EN72">
        <v>14823.4</v>
      </c>
      <c r="EO72">
        <v>47.125</v>
      </c>
      <c r="EP72">
        <v>47.686999999999998</v>
      </c>
      <c r="EQ72">
        <v>47.811999999999998</v>
      </c>
      <c r="ER72">
        <v>46.686999999999998</v>
      </c>
      <c r="ES72">
        <v>48.186999999999998</v>
      </c>
      <c r="ET72">
        <v>1755.66</v>
      </c>
      <c r="EU72">
        <v>39.5</v>
      </c>
      <c r="EV72">
        <v>0</v>
      </c>
      <c r="EW72">
        <v>120.6000001430511</v>
      </c>
      <c r="EX72">
        <v>0</v>
      </c>
      <c r="EY72">
        <v>703.28055999999992</v>
      </c>
      <c r="EZ72">
        <v>-1.2950769276803811</v>
      </c>
      <c r="FA72">
        <v>213.15384527662789</v>
      </c>
      <c r="FB72">
        <v>19511.256000000001</v>
      </c>
      <c r="FC72">
        <v>15</v>
      </c>
      <c r="FD72">
        <v>1693508028.5999999</v>
      </c>
      <c r="FE72" t="s">
        <v>705</v>
      </c>
      <c r="FF72">
        <v>1693508028.5999999</v>
      </c>
      <c r="FG72">
        <v>1693508023.5999999</v>
      </c>
      <c r="FH72">
        <v>63</v>
      </c>
      <c r="FI72">
        <v>5.8000000000000003E-2</v>
      </c>
      <c r="FJ72">
        <v>7.0000000000000001E-3</v>
      </c>
      <c r="FK72">
        <v>-1.0369999999999999</v>
      </c>
      <c r="FL72">
        <v>-0.27400000000000002</v>
      </c>
      <c r="FM72">
        <v>1500</v>
      </c>
      <c r="FN72">
        <v>24</v>
      </c>
      <c r="FO72">
        <v>0.13</v>
      </c>
      <c r="FP72">
        <v>0.05</v>
      </c>
      <c r="FQ72">
        <v>46.482899341347782</v>
      </c>
      <c r="FR72">
        <v>-0.19717366144942081</v>
      </c>
      <c r="FS72">
        <v>0.18812662303004321</v>
      </c>
      <c r="FT72">
        <v>1</v>
      </c>
      <c r="FU72">
        <v>0.25987641860318728</v>
      </c>
      <c r="FV72">
        <v>-4.8998868602549921E-2</v>
      </c>
      <c r="FW72">
        <v>3.7662094787285099E-3</v>
      </c>
      <c r="FX72">
        <v>1</v>
      </c>
      <c r="FY72">
        <v>2</v>
      </c>
      <c r="FZ72">
        <v>2</v>
      </c>
      <c r="GA72" t="s">
        <v>422</v>
      </c>
      <c r="GB72">
        <v>2.9213200000000001</v>
      </c>
      <c r="GC72">
        <v>2.8301699999999999</v>
      </c>
      <c r="GD72">
        <v>0.21451100000000001</v>
      </c>
      <c r="GE72">
        <v>0.216415</v>
      </c>
      <c r="GF72">
        <v>0.13394</v>
      </c>
      <c r="GG72">
        <v>0.113959</v>
      </c>
      <c r="GH72">
        <v>20562.7</v>
      </c>
      <c r="GI72">
        <v>24995.3</v>
      </c>
      <c r="GJ72">
        <v>23565.5</v>
      </c>
      <c r="GK72">
        <v>29200.6</v>
      </c>
      <c r="GL72">
        <v>27847.8</v>
      </c>
      <c r="GM72">
        <v>36622.5</v>
      </c>
      <c r="GN72">
        <v>33331.599999999999</v>
      </c>
      <c r="GO72">
        <v>43098.3</v>
      </c>
      <c r="GP72">
        <v>2.0154000000000001</v>
      </c>
      <c r="GQ72">
        <v>1.8996</v>
      </c>
      <c r="GR72">
        <v>0.10058300000000001</v>
      </c>
      <c r="GS72">
        <v>0</v>
      </c>
      <c r="GT72">
        <v>28.358899999999998</v>
      </c>
      <c r="GU72">
        <v>999.9</v>
      </c>
      <c r="GV72">
        <v>58.8</v>
      </c>
      <c r="GW72">
        <v>32.1</v>
      </c>
      <c r="GX72">
        <v>28.369700000000002</v>
      </c>
      <c r="GY72">
        <v>61.466900000000003</v>
      </c>
      <c r="GZ72">
        <v>34.122599999999998</v>
      </c>
      <c r="HA72">
        <v>1</v>
      </c>
      <c r="HB72">
        <v>0.281829</v>
      </c>
      <c r="HC72">
        <v>0.89675400000000005</v>
      </c>
      <c r="HD72">
        <v>20.323399999999999</v>
      </c>
      <c r="HE72">
        <v>5.2112999999999996</v>
      </c>
      <c r="HF72">
        <v>11.872199999999999</v>
      </c>
      <c r="HG72">
        <v>4.9855999999999998</v>
      </c>
      <c r="HH72">
        <v>3.2839999999999998</v>
      </c>
      <c r="HI72">
        <v>9999</v>
      </c>
      <c r="HJ72">
        <v>9999</v>
      </c>
      <c r="HK72">
        <v>9999</v>
      </c>
      <c r="HL72">
        <v>999.9</v>
      </c>
      <c r="HM72">
        <v>1.8545700000000001</v>
      </c>
      <c r="HN72">
        <v>1.8606799999999999</v>
      </c>
      <c r="HO72">
        <v>1.85816</v>
      </c>
      <c r="HP72">
        <v>1.8593900000000001</v>
      </c>
      <c r="HQ72">
        <v>1.85867</v>
      </c>
      <c r="HR72">
        <v>1.85928</v>
      </c>
      <c r="HS72">
        <v>1.8575999999999999</v>
      </c>
      <c r="HT72">
        <v>1.8609899999999999</v>
      </c>
      <c r="HU72">
        <v>5</v>
      </c>
      <c r="HV72">
        <v>0</v>
      </c>
      <c r="HW72">
        <v>0</v>
      </c>
      <c r="HX72">
        <v>0</v>
      </c>
      <c r="HY72" t="s">
        <v>423</v>
      </c>
      <c r="HZ72" t="s">
        <v>424</v>
      </c>
      <c r="IA72" t="s">
        <v>425</v>
      </c>
      <c r="IB72" t="s">
        <v>425</v>
      </c>
      <c r="IC72" t="s">
        <v>425</v>
      </c>
      <c r="ID72" t="s">
        <v>425</v>
      </c>
      <c r="IE72">
        <v>0</v>
      </c>
      <c r="IF72">
        <v>100</v>
      </c>
      <c r="IG72">
        <v>100</v>
      </c>
      <c r="IH72">
        <v>-1.03</v>
      </c>
      <c r="II72">
        <v>-0.2737</v>
      </c>
      <c r="IJ72">
        <v>-1.0371428571429531</v>
      </c>
      <c r="IK72">
        <v>0</v>
      </c>
      <c r="IL72">
        <v>0</v>
      </c>
      <c r="IM72">
        <v>0</v>
      </c>
      <c r="IN72">
        <v>-0.27367142857141857</v>
      </c>
      <c r="IO72">
        <v>0</v>
      </c>
      <c r="IP72">
        <v>0</v>
      </c>
      <c r="IQ72">
        <v>0</v>
      </c>
      <c r="IR72">
        <v>-1</v>
      </c>
      <c r="IS72">
        <v>-1</v>
      </c>
      <c r="IT72">
        <v>-1</v>
      </c>
      <c r="IU72">
        <v>-1</v>
      </c>
      <c r="IV72">
        <v>0.6</v>
      </c>
      <c r="IW72">
        <v>0.7</v>
      </c>
      <c r="IX72">
        <v>2.80518</v>
      </c>
      <c r="IY72">
        <v>2.4169900000000002</v>
      </c>
      <c r="IZ72">
        <v>1.49414</v>
      </c>
      <c r="JA72">
        <v>2.2973599999999998</v>
      </c>
      <c r="JB72">
        <v>1.54419</v>
      </c>
      <c r="JC72">
        <v>2.34253</v>
      </c>
      <c r="JD72">
        <v>35.521799999999999</v>
      </c>
      <c r="JE72">
        <v>16.224699999999999</v>
      </c>
      <c r="JF72">
        <v>18</v>
      </c>
      <c r="JG72">
        <v>533.85799999999995</v>
      </c>
      <c r="JH72">
        <v>492.31799999999998</v>
      </c>
      <c r="JI72">
        <v>26.9176</v>
      </c>
      <c r="JJ72">
        <v>31.050799999999999</v>
      </c>
      <c r="JK72">
        <v>30.0001</v>
      </c>
      <c r="JL72">
        <v>31.061699999999998</v>
      </c>
      <c r="JM72">
        <v>31.042999999999999</v>
      </c>
      <c r="JN72">
        <v>56.197800000000001</v>
      </c>
      <c r="JO72">
        <v>24.644100000000002</v>
      </c>
      <c r="JP72">
        <v>100</v>
      </c>
      <c r="JQ72">
        <v>26.92</v>
      </c>
      <c r="JR72">
        <v>1500</v>
      </c>
      <c r="JS72">
        <v>23.706199999999999</v>
      </c>
      <c r="JT72">
        <v>98.843800000000002</v>
      </c>
      <c r="JU72">
        <v>97.0809</v>
      </c>
    </row>
    <row r="73" spans="1:281" x14ac:dyDescent="0.25">
      <c r="A73">
        <v>57</v>
      </c>
      <c r="B73">
        <v>1693509134.0999999</v>
      </c>
      <c r="C73">
        <v>14998.099999904631</v>
      </c>
      <c r="D73" t="s">
        <v>706</v>
      </c>
      <c r="E73" t="s">
        <v>707</v>
      </c>
      <c r="F73" t="s">
        <v>414</v>
      </c>
      <c r="G73" t="s">
        <v>415</v>
      </c>
      <c r="H73" t="s">
        <v>708</v>
      </c>
      <c r="I73" t="s">
        <v>31</v>
      </c>
      <c r="J73">
        <v>1693509134.0999999</v>
      </c>
      <c r="K73">
        <f t="shared" si="46"/>
        <v>4.3576651232929524E-3</v>
      </c>
      <c r="L73">
        <f t="shared" si="47"/>
        <v>4.3576651232929526</v>
      </c>
      <c r="M73">
        <f t="shared" si="48"/>
        <v>41.797394485911937</v>
      </c>
      <c r="N73">
        <f t="shared" si="49"/>
        <v>348.09800000000001</v>
      </c>
      <c r="O73">
        <f t="shared" si="50"/>
        <v>123.65894711424725</v>
      </c>
      <c r="P73">
        <f t="shared" si="51"/>
        <v>12.318846191816169</v>
      </c>
      <c r="Q73">
        <f t="shared" si="52"/>
        <v>34.677359153940003</v>
      </c>
      <c r="R73">
        <f t="shared" si="53"/>
        <v>0.32116652195137413</v>
      </c>
      <c r="S73">
        <f t="shared" si="54"/>
        <v>2.9272246131434487</v>
      </c>
      <c r="T73">
        <f t="shared" si="55"/>
        <v>0.30279574657577124</v>
      </c>
      <c r="U73">
        <f t="shared" si="56"/>
        <v>0.19081025932357207</v>
      </c>
      <c r="V73">
        <f t="shared" si="57"/>
        <v>344.37449967100554</v>
      </c>
      <c r="W73">
        <f t="shared" si="58"/>
        <v>31.437018274609176</v>
      </c>
      <c r="X73">
        <f t="shared" si="59"/>
        <v>29.995699999999999</v>
      </c>
      <c r="Y73">
        <f t="shared" si="60"/>
        <v>4.2593976036717143</v>
      </c>
      <c r="Z73">
        <f t="shared" si="61"/>
        <v>65.467856042781634</v>
      </c>
      <c r="AA73">
        <f t="shared" si="62"/>
        <v>2.8770817600710004</v>
      </c>
      <c r="AB73">
        <f t="shared" si="63"/>
        <v>4.3946478989489099</v>
      </c>
      <c r="AC73">
        <f t="shared" si="64"/>
        <v>1.3823158436007139</v>
      </c>
      <c r="AD73">
        <f t="shared" si="65"/>
        <v>-192.17303193721921</v>
      </c>
      <c r="AE73">
        <f t="shared" si="66"/>
        <v>86.055174432368645</v>
      </c>
      <c r="AF73">
        <f t="shared" si="67"/>
        <v>6.5541105891428737</v>
      </c>
      <c r="AG73">
        <f t="shared" si="68"/>
        <v>244.81075275529781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52183.560149411336</v>
      </c>
      <c r="AM73" t="s">
        <v>417</v>
      </c>
      <c r="AN73">
        <v>10366.9</v>
      </c>
      <c r="AO73">
        <v>993.59653846153856</v>
      </c>
      <c r="AP73">
        <v>3431.87</v>
      </c>
      <c r="AQ73">
        <f t="shared" si="72"/>
        <v>0.71047955241266758</v>
      </c>
      <c r="AR73">
        <v>-3.9894345373445681</v>
      </c>
      <c r="AS73" t="s">
        <v>709</v>
      </c>
      <c r="AT73">
        <v>10306.799999999999</v>
      </c>
      <c r="AU73">
        <v>709.20696153846143</v>
      </c>
      <c r="AV73">
        <v>1045.423873316804</v>
      </c>
      <c r="AW73">
        <f t="shared" si="73"/>
        <v>0.32160822070346562</v>
      </c>
      <c r="AX73">
        <v>0.5</v>
      </c>
      <c r="AY73">
        <f t="shared" si="74"/>
        <v>1513.2095998355028</v>
      </c>
      <c r="AZ73">
        <f t="shared" si="75"/>
        <v>41.797394485911937</v>
      </c>
      <c r="BA73">
        <f t="shared" si="76"/>
        <v>243.33032347724964</v>
      </c>
      <c r="BB73">
        <f t="shared" si="77"/>
        <v>3.0258087860554065E-2</v>
      </c>
      <c r="BC73">
        <f t="shared" si="78"/>
        <v>2.2827545721830003</v>
      </c>
      <c r="BD73">
        <f t="shared" si="79"/>
        <v>598.22630531434311</v>
      </c>
      <c r="BE73" t="s">
        <v>710</v>
      </c>
      <c r="BF73">
        <v>545.29999999999995</v>
      </c>
      <c r="BG73">
        <f t="shared" si="80"/>
        <v>545.29999999999995</v>
      </c>
      <c r="BH73">
        <f t="shared" si="81"/>
        <v>0.47839339246201351</v>
      </c>
      <c r="BI73">
        <f t="shared" si="82"/>
        <v>0.67226727160326061</v>
      </c>
      <c r="BJ73">
        <f t="shared" si="83"/>
        <v>0.8267411241311301</v>
      </c>
      <c r="BK73">
        <f t="shared" si="84"/>
        <v>6.4872506509792913</v>
      </c>
      <c r="BL73">
        <f t="shared" si="85"/>
        <v>0.97874424847221009</v>
      </c>
      <c r="BM73">
        <f t="shared" si="86"/>
        <v>0.51689755330380716</v>
      </c>
      <c r="BN73">
        <f t="shared" si="87"/>
        <v>0.48310244669619284</v>
      </c>
      <c r="BO73">
        <v>16818</v>
      </c>
      <c r="BP73">
        <v>290.00000000000011</v>
      </c>
      <c r="BQ73">
        <v>952.02</v>
      </c>
      <c r="BR73">
        <v>255</v>
      </c>
      <c r="BS73">
        <v>10306.799999999999</v>
      </c>
      <c r="BT73">
        <v>950.58</v>
      </c>
      <c r="BU73">
        <v>1.44</v>
      </c>
      <c r="BV73">
        <v>300.00000000000011</v>
      </c>
      <c r="BW73">
        <v>38.4</v>
      </c>
      <c r="BX73">
        <v>1045.423873316804</v>
      </c>
      <c r="BY73">
        <v>1.623559025930374</v>
      </c>
      <c r="BZ73">
        <v>-97.751709219567402</v>
      </c>
      <c r="CA73">
        <v>1.3700954056371819</v>
      </c>
      <c r="CB73">
        <v>0.99452948021963739</v>
      </c>
      <c r="CC73">
        <v>-1.123329788654061E-2</v>
      </c>
      <c r="CD73">
        <v>289.99999999999989</v>
      </c>
      <c r="CE73">
        <v>941.92</v>
      </c>
      <c r="CF73">
        <v>665</v>
      </c>
      <c r="CG73">
        <v>10289.799999999999</v>
      </c>
      <c r="CH73">
        <v>950.43</v>
      </c>
      <c r="CI73">
        <v>-8.51</v>
      </c>
      <c r="CW73">
        <f t="shared" si="88"/>
        <v>1800.03</v>
      </c>
      <c r="CX73">
        <f t="shared" si="89"/>
        <v>1513.2095998355028</v>
      </c>
      <c r="CY73">
        <f t="shared" si="90"/>
        <v>0.84065798894213029</v>
      </c>
      <c r="CZ73">
        <f t="shared" si="91"/>
        <v>0.19131597788426055</v>
      </c>
      <c r="DA73">
        <v>6</v>
      </c>
      <c r="DB73">
        <v>0.5</v>
      </c>
      <c r="DC73" t="s">
        <v>420</v>
      </c>
      <c r="DD73">
        <v>2</v>
      </c>
      <c r="DE73">
        <v>1693509134.0999999</v>
      </c>
      <c r="DF73">
        <v>348.09800000000001</v>
      </c>
      <c r="DG73">
        <v>400.05799999999999</v>
      </c>
      <c r="DH73">
        <v>28.880700000000001</v>
      </c>
      <c r="DI73">
        <v>23.804200000000002</v>
      </c>
      <c r="DJ73">
        <v>349.62900000000002</v>
      </c>
      <c r="DK73">
        <v>29.174700000000001</v>
      </c>
      <c r="DL73">
        <v>500.16500000000002</v>
      </c>
      <c r="DM73">
        <v>99.519199999999998</v>
      </c>
      <c r="DN73">
        <v>0.10033</v>
      </c>
      <c r="DO73">
        <v>30.541</v>
      </c>
      <c r="DP73">
        <v>29.995699999999999</v>
      </c>
      <c r="DQ73">
        <v>999.9</v>
      </c>
      <c r="DR73">
        <v>0</v>
      </c>
      <c r="DS73">
        <v>0</v>
      </c>
      <c r="DT73">
        <v>10035</v>
      </c>
      <c r="DU73">
        <v>0</v>
      </c>
      <c r="DV73">
        <v>1410.49</v>
      </c>
      <c r="DW73">
        <v>-51.960599999999999</v>
      </c>
      <c r="DX73">
        <v>358.45</v>
      </c>
      <c r="DY73">
        <v>409.81400000000002</v>
      </c>
      <c r="DZ73">
        <v>5.0764800000000001</v>
      </c>
      <c r="EA73">
        <v>400.05799999999999</v>
      </c>
      <c r="EB73">
        <v>23.804200000000002</v>
      </c>
      <c r="EC73">
        <v>2.87418</v>
      </c>
      <c r="ED73">
        <v>2.3689800000000001</v>
      </c>
      <c r="EE73">
        <v>23.316500000000001</v>
      </c>
      <c r="EF73">
        <v>20.153300000000002</v>
      </c>
      <c r="EG73">
        <v>1800.03</v>
      </c>
      <c r="EH73">
        <v>0.97800600000000004</v>
      </c>
      <c r="EI73">
        <v>2.1994400000000001E-2</v>
      </c>
      <c r="EJ73">
        <v>0</v>
      </c>
      <c r="EK73">
        <v>708.81600000000003</v>
      </c>
      <c r="EL73">
        <v>5.0002500000000003</v>
      </c>
      <c r="EM73">
        <v>22220.3</v>
      </c>
      <c r="EN73">
        <v>14822.3</v>
      </c>
      <c r="EO73">
        <v>49.186999999999998</v>
      </c>
      <c r="EP73">
        <v>50.75</v>
      </c>
      <c r="EQ73">
        <v>50.186999999999998</v>
      </c>
      <c r="ER73">
        <v>49.25</v>
      </c>
      <c r="ES73">
        <v>50.25</v>
      </c>
      <c r="ET73">
        <v>1755.55</v>
      </c>
      <c r="EU73">
        <v>39.479999999999997</v>
      </c>
      <c r="EV73">
        <v>0</v>
      </c>
      <c r="EW73">
        <v>1068.7999999523161</v>
      </c>
      <c r="EX73">
        <v>0</v>
      </c>
      <c r="EY73">
        <v>709.20696153846143</v>
      </c>
      <c r="EZ73">
        <v>-1.7068376001189309</v>
      </c>
      <c r="FA73">
        <v>269.08034229397077</v>
      </c>
      <c r="FB73">
        <v>22199.315384615391</v>
      </c>
      <c r="FC73">
        <v>15</v>
      </c>
      <c r="FD73">
        <v>1693509098.0999999</v>
      </c>
      <c r="FE73" t="s">
        <v>711</v>
      </c>
      <c r="FF73">
        <v>1693509096.0999999</v>
      </c>
      <c r="FG73">
        <v>1693509098.0999999</v>
      </c>
      <c r="FH73">
        <v>65</v>
      </c>
      <c r="FI73">
        <v>-7.0999999999999994E-2</v>
      </c>
      <c r="FJ73">
        <v>-3.1E-2</v>
      </c>
      <c r="FK73">
        <v>-1.5309999999999999</v>
      </c>
      <c r="FL73">
        <v>-0.29399999999999998</v>
      </c>
      <c r="FM73">
        <v>400</v>
      </c>
      <c r="FN73">
        <v>24</v>
      </c>
      <c r="FO73">
        <v>0.12</v>
      </c>
      <c r="FP73">
        <v>0.05</v>
      </c>
      <c r="FQ73">
        <v>41.841540518642127</v>
      </c>
      <c r="FR73">
        <v>-9.1178461893810889E-2</v>
      </c>
      <c r="FS73">
        <v>9.1961572970037264E-2</v>
      </c>
      <c r="FT73">
        <v>1</v>
      </c>
      <c r="FU73">
        <v>0.32099402848223879</v>
      </c>
      <c r="FV73">
        <v>1.5603044410085009E-2</v>
      </c>
      <c r="FW73">
        <v>1.41732653300368E-3</v>
      </c>
      <c r="FX73">
        <v>1</v>
      </c>
      <c r="FY73">
        <v>2</v>
      </c>
      <c r="FZ73">
        <v>2</v>
      </c>
      <c r="GA73" t="s">
        <v>422</v>
      </c>
      <c r="GB73">
        <v>2.9198900000000001</v>
      </c>
      <c r="GC73">
        <v>2.8305199999999999</v>
      </c>
      <c r="GD73">
        <v>8.1603800000000004E-2</v>
      </c>
      <c r="GE73">
        <v>8.8925299999999999E-2</v>
      </c>
      <c r="GF73">
        <v>0.136818</v>
      </c>
      <c r="GG73">
        <v>0.114263</v>
      </c>
      <c r="GH73">
        <v>24027.8</v>
      </c>
      <c r="GI73">
        <v>29041.200000000001</v>
      </c>
      <c r="GJ73">
        <v>23552.3</v>
      </c>
      <c r="GK73">
        <v>29180.9</v>
      </c>
      <c r="GL73">
        <v>27731.200000000001</v>
      </c>
      <c r="GM73">
        <v>36573.699999999997</v>
      </c>
      <c r="GN73">
        <v>33313.1</v>
      </c>
      <c r="GO73">
        <v>43068.9</v>
      </c>
      <c r="GP73">
        <v>2.0066999999999999</v>
      </c>
      <c r="GQ73">
        <v>1.8847</v>
      </c>
      <c r="GR73">
        <v>4.1514599999999999E-2</v>
      </c>
      <c r="GS73">
        <v>0</v>
      </c>
      <c r="GT73">
        <v>29.319800000000001</v>
      </c>
      <c r="GU73">
        <v>999.9</v>
      </c>
      <c r="GV73">
        <v>58.8</v>
      </c>
      <c r="GW73">
        <v>32.200000000000003</v>
      </c>
      <c r="GX73">
        <v>28.534700000000001</v>
      </c>
      <c r="GY73">
        <v>61.136899999999997</v>
      </c>
      <c r="GZ73">
        <v>34.575299999999999</v>
      </c>
      <c r="HA73">
        <v>1</v>
      </c>
      <c r="HB73">
        <v>0.33670699999999998</v>
      </c>
      <c r="HC73">
        <v>2.22966</v>
      </c>
      <c r="HD73">
        <v>20.306799999999999</v>
      </c>
      <c r="HE73">
        <v>5.2100999999999997</v>
      </c>
      <c r="HF73">
        <v>11.872199999999999</v>
      </c>
      <c r="HG73">
        <v>4.9847999999999999</v>
      </c>
      <c r="HH73">
        <v>3.2839999999999998</v>
      </c>
      <c r="HI73">
        <v>9999</v>
      </c>
      <c r="HJ73">
        <v>9999</v>
      </c>
      <c r="HK73">
        <v>9999</v>
      </c>
      <c r="HL73">
        <v>999.9</v>
      </c>
      <c r="HM73">
        <v>1.8545499999999999</v>
      </c>
      <c r="HN73">
        <v>1.86066</v>
      </c>
      <c r="HO73">
        <v>1.8581099999999999</v>
      </c>
      <c r="HP73">
        <v>1.85928</v>
      </c>
      <c r="HQ73">
        <v>1.85867</v>
      </c>
      <c r="HR73">
        <v>1.8591800000000001</v>
      </c>
      <c r="HS73">
        <v>1.8575999999999999</v>
      </c>
      <c r="HT73">
        <v>1.8609599999999999</v>
      </c>
      <c r="HU73">
        <v>5</v>
      </c>
      <c r="HV73">
        <v>0</v>
      </c>
      <c r="HW73">
        <v>0</v>
      </c>
      <c r="HX73">
        <v>0</v>
      </c>
      <c r="HY73" t="s">
        <v>423</v>
      </c>
      <c r="HZ73" t="s">
        <v>424</v>
      </c>
      <c r="IA73" t="s">
        <v>425</v>
      </c>
      <c r="IB73" t="s">
        <v>425</v>
      </c>
      <c r="IC73" t="s">
        <v>425</v>
      </c>
      <c r="ID73" t="s">
        <v>425</v>
      </c>
      <c r="IE73">
        <v>0</v>
      </c>
      <c r="IF73">
        <v>100</v>
      </c>
      <c r="IG73">
        <v>100</v>
      </c>
      <c r="IH73">
        <v>-1.5309999999999999</v>
      </c>
      <c r="II73">
        <v>-0.29399999999999998</v>
      </c>
      <c r="IJ73">
        <v>-1.531200000000069</v>
      </c>
      <c r="IK73">
        <v>0</v>
      </c>
      <c r="IL73">
        <v>0</v>
      </c>
      <c r="IM73">
        <v>0</v>
      </c>
      <c r="IN73">
        <v>-0.29396999999999102</v>
      </c>
      <c r="IO73">
        <v>0</v>
      </c>
      <c r="IP73">
        <v>0</v>
      </c>
      <c r="IQ73">
        <v>0</v>
      </c>
      <c r="IR73">
        <v>-1</v>
      </c>
      <c r="IS73">
        <v>-1</v>
      </c>
      <c r="IT73">
        <v>-1</v>
      </c>
      <c r="IU73">
        <v>-1</v>
      </c>
      <c r="IV73">
        <v>0.6</v>
      </c>
      <c r="IW73">
        <v>0.6</v>
      </c>
      <c r="IX73">
        <v>0.99853499999999995</v>
      </c>
      <c r="IY73">
        <v>2.4401899999999999</v>
      </c>
      <c r="IZ73">
        <v>1.49414</v>
      </c>
      <c r="JA73">
        <v>2.2973599999999998</v>
      </c>
      <c r="JB73">
        <v>1.54419</v>
      </c>
      <c r="JC73">
        <v>2.49512</v>
      </c>
      <c r="JD73">
        <v>35.871099999999998</v>
      </c>
      <c r="JE73">
        <v>15.988300000000001</v>
      </c>
      <c r="JF73">
        <v>18</v>
      </c>
      <c r="JG73">
        <v>533.19000000000005</v>
      </c>
      <c r="JH73">
        <v>486.53</v>
      </c>
      <c r="JI73">
        <v>25.497800000000002</v>
      </c>
      <c r="JJ73">
        <v>31.777000000000001</v>
      </c>
      <c r="JK73">
        <v>30.001000000000001</v>
      </c>
      <c r="JL73">
        <v>31.654800000000002</v>
      </c>
      <c r="JM73">
        <v>31.6189</v>
      </c>
      <c r="JN73">
        <v>20.052</v>
      </c>
      <c r="JO73">
        <v>24.979600000000001</v>
      </c>
      <c r="JP73">
        <v>100</v>
      </c>
      <c r="JQ73">
        <v>25.484200000000001</v>
      </c>
      <c r="JR73">
        <v>400</v>
      </c>
      <c r="JS73">
        <v>23.730399999999999</v>
      </c>
      <c r="JT73">
        <v>98.788799999999995</v>
      </c>
      <c r="JU73">
        <v>97.015100000000004</v>
      </c>
    </row>
    <row r="74" spans="1:281" x14ac:dyDescent="0.25">
      <c r="A74">
        <v>58</v>
      </c>
      <c r="B74">
        <v>1693509255.5999999</v>
      </c>
      <c r="C74">
        <v>15119.599999904631</v>
      </c>
      <c r="D74" t="s">
        <v>712</v>
      </c>
      <c r="E74" t="s">
        <v>713</v>
      </c>
      <c r="F74" t="s">
        <v>414</v>
      </c>
      <c r="G74" t="s">
        <v>415</v>
      </c>
      <c r="H74" t="s">
        <v>708</v>
      </c>
      <c r="I74" t="s">
        <v>31</v>
      </c>
      <c r="J74">
        <v>1693509255.5999999</v>
      </c>
      <c r="K74">
        <f t="shared" si="46"/>
        <v>4.3449008199055719E-3</v>
      </c>
      <c r="L74">
        <f t="shared" si="47"/>
        <v>4.3449008199055719</v>
      </c>
      <c r="M74">
        <f t="shared" si="48"/>
        <v>32.874273655912958</v>
      </c>
      <c r="N74">
        <f t="shared" si="49"/>
        <v>259.20100000000002</v>
      </c>
      <c r="O74">
        <f t="shared" si="50"/>
        <v>80.407765512753627</v>
      </c>
      <c r="P74">
        <f t="shared" si="51"/>
        <v>8.0099068843863002</v>
      </c>
      <c r="Q74">
        <f t="shared" si="52"/>
        <v>25.820589107286004</v>
      </c>
      <c r="R74">
        <f t="shared" si="53"/>
        <v>0.31625766579591746</v>
      </c>
      <c r="S74">
        <f t="shared" si="54"/>
        <v>2.914029799160879</v>
      </c>
      <c r="T74">
        <f t="shared" si="55"/>
        <v>0.29835161107449876</v>
      </c>
      <c r="U74">
        <f t="shared" si="56"/>
        <v>0.18799400857738999</v>
      </c>
      <c r="V74">
        <f t="shared" si="57"/>
        <v>344.38519967084801</v>
      </c>
      <c r="W74">
        <f t="shared" si="58"/>
        <v>31.457169188394317</v>
      </c>
      <c r="X74">
        <f t="shared" si="59"/>
        <v>29.9785</v>
      </c>
      <c r="Y74">
        <f t="shared" si="60"/>
        <v>4.2551911928940127</v>
      </c>
      <c r="Z74">
        <f t="shared" si="61"/>
        <v>64.945788590917957</v>
      </c>
      <c r="AA74">
        <f t="shared" si="62"/>
        <v>2.8562621490522</v>
      </c>
      <c r="AB74">
        <f t="shared" si="63"/>
        <v>4.3979174185462444</v>
      </c>
      <c r="AC74">
        <f t="shared" si="64"/>
        <v>1.3989290438418127</v>
      </c>
      <c r="AD74">
        <f t="shared" si="65"/>
        <v>-191.61012615783571</v>
      </c>
      <c r="AE74">
        <f t="shared" si="66"/>
        <v>90.411725943373639</v>
      </c>
      <c r="AF74">
        <f t="shared" si="67"/>
        <v>6.9169496343672678</v>
      </c>
      <c r="AG74">
        <f t="shared" si="68"/>
        <v>250.10374909075318</v>
      </c>
      <c r="AH74">
        <v>0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51805.523308360374</v>
      </c>
      <c r="AM74" t="s">
        <v>417</v>
      </c>
      <c r="AN74">
        <v>10366.9</v>
      </c>
      <c r="AO74">
        <v>993.59653846153856</v>
      </c>
      <c r="AP74">
        <v>3431.87</v>
      </c>
      <c r="AQ74">
        <f t="shared" si="72"/>
        <v>0.71047955241266758</v>
      </c>
      <c r="AR74">
        <v>-3.9894345373445681</v>
      </c>
      <c r="AS74" t="s">
        <v>714</v>
      </c>
      <c r="AT74">
        <v>10320.700000000001</v>
      </c>
      <c r="AU74">
        <v>650.23504000000003</v>
      </c>
      <c r="AV74">
        <v>897.68168757339333</v>
      </c>
      <c r="AW74">
        <f t="shared" si="73"/>
        <v>0.27565076908529718</v>
      </c>
      <c r="AX74">
        <v>0.5</v>
      </c>
      <c r="AY74">
        <f t="shared" si="74"/>
        <v>1513.2521998354239</v>
      </c>
      <c r="AZ74">
        <f t="shared" si="75"/>
        <v>32.874273655912958</v>
      </c>
      <c r="BA74">
        <f t="shared" si="76"/>
        <v>208.56456635232621</v>
      </c>
      <c r="BB74">
        <f t="shared" si="77"/>
        <v>2.4360584572265413E-2</v>
      </c>
      <c r="BC74">
        <f t="shared" si="78"/>
        <v>2.823036659327435</v>
      </c>
      <c r="BD74">
        <f t="shared" si="79"/>
        <v>546.73519267019662</v>
      </c>
      <c r="BE74" t="s">
        <v>715</v>
      </c>
      <c r="BF74">
        <v>520</v>
      </c>
      <c r="BG74">
        <f t="shared" si="80"/>
        <v>520</v>
      </c>
      <c r="BH74">
        <f t="shared" si="81"/>
        <v>0.42073007927157313</v>
      </c>
      <c r="BI74">
        <f t="shared" si="82"/>
        <v>0.65517247914040844</v>
      </c>
      <c r="BJ74">
        <f t="shared" si="83"/>
        <v>0.87029582791354232</v>
      </c>
      <c r="BK74">
        <f t="shared" si="84"/>
        <v>-2.579857501545435</v>
      </c>
      <c r="BL74">
        <f t="shared" si="85"/>
        <v>1.0393372000315444</v>
      </c>
      <c r="BM74">
        <f t="shared" si="86"/>
        <v>0.52394852352621968</v>
      </c>
      <c r="BN74">
        <f t="shared" si="87"/>
        <v>0.47605147647378032</v>
      </c>
      <c r="BO74">
        <v>16820</v>
      </c>
      <c r="BP74">
        <v>290.00000000000011</v>
      </c>
      <c r="BQ74">
        <v>827.9</v>
      </c>
      <c r="BR74">
        <v>145</v>
      </c>
      <c r="BS74">
        <v>10320.700000000001</v>
      </c>
      <c r="BT74">
        <v>826.62</v>
      </c>
      <c r="BU74">
        <v>1.28</v>
      </c>
      <c r="BV74">
        <v>300.00000000000011</v>
      </c>
      <c r="BW74">
        <v>38.4</v>
      </c>
      <c r="BX74">
        <v>897.68168757339333</v>
      </c>
      <c r="BY74">
        <v>1.2728152578134071</v>
      </c>
      <c r="BZ74">
        <v>-73.339334942194171</v>
      </c>
      <c r="CA74">
        <v>1.073870862444458</v>
      </c>
      <c r="CB74">
        <v>0.9940325495759964</v>
      </c>
      <c r="CC74">
        <v>-1.123064694104561E-2</v>
      </c>
      <c r="CD74">
        <v>289.99999999999989</v>
      </c>
      <c r="CE74">
        <v>821.04</v>
      </c>
      <c r="CF74">
        <v>655</v>
      </c>
      <c r="CG74">
        <v>10288.1</v>
      </c>
      <c r="CH74">
        <v>826.4</v>
      </c>
      <c r="CI74">
        <v>-5.36</v>
      </c>
      <c r="CW74">
        <f t="shared" si="88"/>
        <v>1800.08</v>
      </c>
      <c r="CX74">
        <f t="shared" si="89"/>
        <v>1513.2521998354239</v>
      </c>
      <c r="CY74">
        <f t="shared" si="90"/>
        <v>0.84065830398394736</v>
      </c>
      <c r="CZ74">
        <f t="shared" si="91"/>
        <v>0.19131660796789476</v>
      </c>
      <c r="DA74">
        <v>6</v>
      </c>
      <c r="DB74">
        <v>0.5</v>
      </c>
      <c r="DC74" t="s">
        <v>420</v>
      </c>
      <c r="DD74">
        <v>2</v>
      </c>
      <c r="DE74">
        <v>1693509255.5999999</v>
      </c>
      <c r="DF74">
        <v>259.20100000000002</v>
      </c>
      <c r="DG74">
        <v>300.017</v>
      </c>
      <c r="DH74">
        <v>28.672699999999999</v>
      </c>
      <c r="DI74">
        <v>23.606400000000001</v>
      </c>
      <c r="DJ74">
        <v>260.762</v>
      </c>
      <c r="DK74">
        <v>28.971699999999998</v>
      </c>
      <c r="DL74">
        <v>499.81099999999998</v>
      </c>
      <c r="DM74">
        <v>99.516000000000005</v>
      </c>
      <c r="DN74">
        <v>0.10008599999999999</v>
      </c>
      <c r="DO74">
        <v>30.553999999999998</v>
      </c>
      <c r="DP74">
        <v>29.9785</v>
      </c>
      <c r="DQ74">
        <v>999.9</v>
      </c>
      <c r="DR74">
        <v>0</v>
      </c>
      <c r="DS74">
        <v>0</v>
      </c>
      <c r="DT74">
        <v>9960</v>
      </c>
      <c r="DU74">
        <v>0</v>
      </c>
      <c r="DV74">
        <v>1404.3</v>
      </c>
      <c r="DW74">
        <v>-40.816000000000003</v>
      </c>
      <c r="DX74">
        <v>266.85199999999998</v>
      </c>
      <c r="DY74">
        <v>307.27100000000002</v>
      </c>
      <c r="DZ74">
        <v>5.0663</v>
      </c>
      <c r="EA74">
        <v>300.017</v>
      </c>
      <c r="EB74">
        <v>23.606400000000001</v>
      </c>
      <c r="EC74">
        <v>2.8533900000000001</v>
      </c>
      <c r="ED74">
        <v>2.3492099999999998</v>
      </c>
      <c r="EE74">
        <v>23.196200000000001</v>
      </c>
      <c r="EF74">
        <v>20.017900000000001</v>
      </c>
      <c r="EG74">
        <v>1800.08</v>
      </c>
      <c r="EH74">
        <v>0.977993</v>
      </c>
      <c r="EI74">
        <v>2.2006600000000001E-2</v>
      </c>
      <c r="EJ74">
        <v>0</v>
      </c>
      <c r="EK74">
        <v>649.649</v>
      </c>
      <c r="EL74">
        <v>5.0002500000000003</v>
      </c>
      <c r="EM74">
        <v>21171.9</v>
      </c>
      <c r="EN74">
        <v>14822.7</v>
      </c>
      <c r="EO74">
        <v>49.311999999999998</v>
      </c>
      <c r="EP74">
        <v>50.811999999999998</v>
      </c>
      <c r="EQ74">
        <v>50.311999999999998</v>
      </c>
      <c r="ER74">
        <v>49.25</v>
      </c>
      <c r="ES74">
        <v>50.311999999999998</v>
      </c>
      <c r="ET74">
        <v>1755.58</v>
      </c>
      <c r="EU74">
        <v>39.5</v>
      </c>
      <c r="EV74">
        <v>0</v>
      </c>
      <c r="EW74">
        <v>119.3999998569489</v>
      </c>
      <c r="EX74">
        <v>0</v>
      </c>
      <c r="EY74">
        <v>650.23504000000003</v>
      </c>
      <c r="EZ74">
        <v>-8.8380000174771478</v>
      </c>
      <c r="FA74">
        <v>-90.00000030079994</v>
      </c>
      <c r="FB74">
        <v>21157.356</v>
      </c>
      <c r="FC74">
        <v>15</v>
      </c>
      <c r="FD74">
        <v>1693509221.5999999</v>
      </c>
      <c r="FE74" t="s">
        <v>716</v>
      </c>
      <c r="FF74">
        <v>1693509212.5999999</v>
      </c>
      <c r="FG74">
        <v>1693509221.5999999</v>
      </c>
      <c r="FH74">
        <v>66</v>
      </c>
      <c r="FI74">
        <v>-0.03</v>
      </c>
      <c r="FJ74">
        <v>-5.0000000000000001E-3</v>
      </c>
      <c r="FK74">
        <v>-1.5609999999999999</v>
      </c>
      <c r="FL74">
        <v>-0.29899999999999999</v>
      </c>
      <c r="FM74">
        <v>300</v>
      </c>
      <c r="FN74">
        <v>24</v>
      </c>
      <c r="FO74">
        <v>0.2</v>
      </c>
      <c r="FP74">
        <v>7.0000000000000007E-2</v>
      </c>
      <c r="FQ74">
        <v>32.916872808157819</v>
      </c>
      <c r="FR74">
        <v>-0.60045737964217671</v>
      </c>
      <c r="FS74">
        <v>6.4091962253384246E-2</v>
      </c>
      <c r="FT74">
        <v>1</v>
      </c>
      <c r="FU74">
        <v>0.32103420759330931</v>
      </c>
      <c r="FV74">
        <v>-1.6950703510868071E-2</v>
      </c>
      <c r="FW74">
        <v>1.6570090170552609E-3</v>
      </c>
      <c r="FX74">
        <v>1</v>
      </c>
      <c r="FY74">
        <v>2</v>
      </c>
      <c r="FZ74">
        <v>2</v>
      </c>
      <c r="GA74" t="s">
        <v>422</v>
      </c>
      <c r="GB74">
        <v>2.9189500000000002</v>
      </c>
      <c r="GC74">
        <v>2.8296199999999998</v>
      </c>
      <c r="GD74">
        <v>6.4327599999999999E-2</v>
      </c>
      <c r="GE74">
        <v>7.0843699999999996E-2</v>
      </c>
      <c r="GF74">
        <v>0.13613400000000001</v>
      </c>
      <c r="GG74">
        <v>0.113578</v>
      </c>
      <c r="GH74">
        <v>24478.9</v>
      </c>
      <c r="GI74">
        <v>29616.7</v>
      </c>
      <c r="GJ74">
        <v>23551.8</v>
      </c>
      <c r="GK74">
        <v>29180.5</v>
      </c>
      <c r="GL74">
        <v>27751.599999999999</v>
      </c>
      <c r="GM74">
        <v>36599.699999999997</v>
      </c>
      <c r="GN74">
        <v>33312.5</v>
      </c>
      <c r="GO74">
        <v>43067.8</v>
      </c>
      <c r="GP74">
        <v>2.0062000000000002</v>
      </c>
      <c r="GQ74">
        <v>1.883</v>
      </c>
      <c r="GR74">
        <v>5.5015099999999997E-2</v>
      </c>
      <c r="GS74">
        <v>0</v>
      </c>
      <c r="GT74">
        <v>29.0825</v>
      </c>
      <c r="GU74">
        <v>999.9</v>
      </c>
      <c r="GV74">
        <v>58.8</v>
      </c>
      <c r="GW74">
        <v>32.299999999999997</v>
      </c>
      <c r="GX74">
        <v>28.6968</v>
      </c>
      <c r="GY74">
        <v>61.427</v>
      </c>
      <c r="GZ74">
        <v>34.887799999999999</v>
      </c>
      <c r="HA74">
        <v>1</v>
      </c>
      <c r="HB74">
        <v>0.33758100000000002</v>
      </c>
      <c r="HC74">
        <v>1.4089</v>
      </c>
      <c r="HD74">
        <v>20.316800000000001</v>
      </c>
      <c r="HE74">
        <v>5.2112999999999996</v>
      </c>
      <c r="HF74">
        <v>11.872199999999999</v>
      </c>
      <c r="HG74">
        <v>4.9851999999999999</v>
      </c>
      <c r="HH74">
        <v>3.2839999999999998</v>
      </c>
      <c r="HI74">
        <v>9999</v>
      </c>
      <c r="HJ74">
        <v>9999</v>
      </c>
      <c r="HK74">
        <v>9999</v>
      </c>
      <c r="HL74">
        <v>999.9</v>
      </c>
      <c r="HM74">
        <v>1.8546499999999999</v>
      </c>
      <c r="HN74">
        <v>1.8607499999999999</v>
      </c>
      <c r="HO74">
        <v>1.8582000000000001</v>
      </c>
      <c r="HP74">
        <v>1.85944</v>
      </c>
      <c r="HQ74">
        <v>1.8587199999999999</v>
      </c>
      <c r="HR74">
        <v>1.85928</v>
      </c>
      <c r="HS74">
        <v>1.8576600000000001</v>
      </c>
      <c r="HT74">
        <v>1.8610599999999999</v>
      </c>
      <c r="HU74">
        <v>5</v>
      </c>
      <c r="HV74">
        <v>0</v>
      </c>
      <c r="HW74">
        <v>0</v>
      </c>
      <c r="HX74">
        <v>0</v>
      </c>
      <c r="HY74" t="s">
        <v>423</v>
      </c>
      <c r="HZ74" t="s">
        <v>424</v>
      </c>
      <c r="IA74" t="s">
        <v>425</v>
      </c>
      <c r="IB74" t="s">
        <v>425</v>
      </c>
      <c r="IC74" t="s">
        <v>425</v>
      </c>
      <c r="ID74" t="s">
        <v>425</v>
      </c>
      <c r="IE74">
        <v>0</v>
      </c>
      <c r="IF74">
        <v>100</v>
      </c>
      <c r="IG74">
        <v>100</v>
      </c>
      <c r="IH74">
        <v>-1.5609999999999999</v>
      </c>
      <c r="II74">
        <v>-0.29899999999999999</v>
      </c>
      <c r="IJ74">
        <v>-1.560900000000004</v>
      </c>
      <c r="IK74">
        <v>0</v>
      </c>
      <c r="IL74">
        <v>0</v>
      </c>
      <c r="IM74">
        <v>0</v>
      </c>
      <c r="IN74">
        <v>-0.29904499999999962</v>
      </c>
      <c r="IO74">
        <v>0</v>
      </c>
      <c r="IP74">
        <v>0</v>
      </c>
      <c r="IQ74">
        <v>0</v>
      </c>
      <c r="IR74">
        <v>-1</v>
      </c>
      <c r="IS74">
        <v>-1</v>
      </c>
      <c r="IT74">
        <v>-1</v>
      </c>
      <c r="IU74">
        <v>-1</v>
      </c>
      <c r="IV74">
        <v>0.7</v>
      </c>
      <c r="IW74">
        <v>0.6</v>
      </c>
      <c r="IX74">
        <v>0.79834000000000005</v>
      </c>
      <c r="IY74">
        <v>2.4438499999999999</v>
      </c>
      <c r="IZ74">
        <v>1.49414</v>
      </c>
      <c r="JA74">
        <v>2.2985799999999998</v>
      </c>
      <c r="JB74">
        <v>1.54419</v>
      </c>
      <c r="JC74">
        <v>2.48169</v>
      </c>
      <c r="JD74">
        <v>35.941200000000002</v>
      </c>
      <c r="JE74">
        <v>15.9795</v>
      </c>
      <c r="JF74">
        <v>18</v>
      </c>
      <c r="JG74">
        <v>533.40599999999995</v>
      </c>
      <c r="JH74">
        <v>485.846</v>
      </c>
      <c r="JI74">
        <v>26.522099999999998</v>
      </c>
      <c r="JJ74">
        <v>31.8245</v>
      </c>
      <c r="JK74">
        <v>30</v>
      </c>
      <c r="JL74">
        <v>31.718299999999999</v>
      </c>
      <c r="JM74">
        <v>31.682300000000001</v>
      </c>
      <c r="JN74">
        <v>16.0412</v>
      </c>
      <c r="JO74">
        <v>25.407</v>
      </c>
      <c r="JP74">
        <v>100</v>
      </c>
      <c r="JQ74">
        <v>26.510200000000001</v>
      </c>
      <c r="JR74">
        <v>300</v>
      </c>
      <c r="JS74">
        <v>23.584800000000001</v>
      </c>
      <c r="JT74">
        <v>98.786900000000003</v>
      </c>
      <c r="JU74">
        <v>97.013000000000005</v>
      </c>
    </row>
    <row r="75" spans="1:281" x14ac:dyDescent="0.25">
      <c r="A75">
        <v>59</v>
      </c>
      <c r="B75">
        <v>1693509359.5999999</v>
      </c>
      <c r="C75">
        <v>15223.599999904631</v>
      </c>
      <c r="D75" t="s">
        <v>717</v>
      </c>
      <c r="E75" t="s">
        <v>718</v>
      </c>
      <c r="F75" t="s">
        <v>414</v>
      </c>
      <c r="G75" t="s">
        <v>415</v>
      </c>
      <c r="H75" t="s">
        <v>708</v>
      </c>
      <c r="I75" t="s">
        <v>31</v>
      </c>
      <c r="J75">
        <v>1693509359.5999999</v>
      </c>
      <c r="K75">
        <f t="shared" si="46"/>
        <v>4.2317537780104724E-3</v>
      </c>
      <c r="L75">
        <f t="shared" si="47"/>
        <v>4.2317537780104724</v>
      </c>
      <c r="M75">
        <f t="shared" si="48"/>
        <v>22.465341753967941</v>
      </c>
      <c r="N75">
        <f t="shared" si="49"/>
        <v>172.167</v>
      </c>
      <c r="O75">
        <f t="shared" si="50"/>
        <v>48.390085769080649</v>
      </c>
      <c r="P75">
        <f t="shared" si="51"/>
        <v>4.8202675322004724</v>
      </c>
      <c r="Q75">
        <f t="shared" si="52"/>
        <v>17.150021270403002</v>
      </c>
      <c r="R75">
        <f t="shared" si="53"/>
        <v>0.31140940606401524</v>
      </c>
      <c r="S75">
        <f t="shared" si="54"/>
        <v>2.9201007182252199</v>
      </c>
      <c r="T75">
        <f t="shared" si="55"/>
        <v>0.29406592186214398</v>
      </c>
      <c r="U75">
        <f t="shared" si="56"/>
        <v>0.18526890524731382</v>
      </c>
      <c r="V75">
        <f t="shared" si="57"/>
        <v>344.33009967079494</v>
      </c>
      <c r="W75">
        <f t="shared" si="58"/>
        <v>31.549898569477548</v>
      </c>
      <c r="X75">
        <f t="shared" si="59"/>
        <v>30.024100000000001</v>
      </c>
      <c r="Y75">
        <f t="shared" si="60"/>
        <v>4.2663510046271318</v>
      </c>
      <c r="Z75">
        <f t="shared" si="61"/>
        <v>65.339055836716071</v>
      </c>
      <c r="AA75">
        <f t="shared" si="62"/>
        <v>2.8843258341786004</v>
      </c>
      <c r="AB75">
        <f t="shared" si="63"/>
        <v>4.4143977858917989</v>
      </c>
      <c r="AC75">
        <f t="shared" si="64"/>
        <v>1.3820251704485313</v>
      </c>
      <c r="AD75">
        <f t="shared" si="65"/>
        <v>-186.62034161026185</v>
      </c>
      <c r="AE75">
        <f t="shared" si="66"/>
        <v>93.717168143946054</v>
      </c>
      <c r="AF75">
        <f t="shared" si="67"/>
        <v>7.1588557382664622</v>
      </c>
      <c r="AG75">
        <f t="shared" si="68"/>
        <v>258.5857819427456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51966.983267541429</v>
      </c>
      <c r="AM75" t="s">
        <v>417</v>
      </c>
      <c r="AN75">
        <v>10366.9</v>
      </c>
      <c r="AO75">
        <v>993.59653846153856</v>
      </c>
      <c r="AP75">
        <v>3431.87</v>
      </c>
      <c r="AQ75">
        <f t="shared" si="72"/>
        <v>0.71047955241266758</v>
      </c>
      <c r="AR75">
        <v>-3.9894345373445681</v>
      </c>
      <c r="AS75" t="s">
        <v>719</v>
      </c>
      <c r="AT75">
        <v>10304.9</v>
      </c>
      <c r="AU75">
        <v>623.06647999999996</v>
      </c>
      <c r="AV75">
        <v>792.75829420631305</v>
      </c>
      <c r="AW75">
        <f t="shared" si="73"/>
        <v>0.2140523983747199</v>
      </c>
      <c r="AX75">
        <v>0.5</v>
      </c>
      <c r="AY75">
        <f t="shared" si="74"/>
        <v>1513.0085998353975</v>
      </c>
      <c r="AZ75">
        <f t="shared" si="75"/>
        <v>22.465341753967941</v>
      </c>
      <c r="BA75">
        <f t="shared" si="76"/>
        <v>161.93155977817185</v>
      </c>
      <c r="BB75">
        <f t="shared" si="77"/>
        <v>1.7484881641909086E-2</v>
      </c>
      <c r="BC75">
        <f t="shared" si="78"/>
        <v>3.3290244013604298</v>
      </c>
      <c r="BD75">
        <f t="shared" si="79"/>
        <v>505.95075787445666</v>
      </c>
      <c r="BE75" t="s">
        <v>720</v>
      </c>
      <c r="BF75">
        <v>503.01</v>
      </c>
      <c r="BG75">
        <f t="shared" si="80"/>
        <v>503.01</v>
      </c>
      <c r="BH75">
        <f t="shared" si="81"/>
        <v>0.36549386657177874</v>
      </c>
      <c r="BI75">
        <f t="shared" si="82"/>
        <v>0.58565250460278928</v>
      </c>
      <c r="BJ75">
        <f t="shared" si="83"/>
        <v>0.90107130617157771</v>
      </c>
      <c r="BK75">
        <f t="shared" si="84"/>
        <v>-0.84491783343150784</v>
      </c>
      <c r="BL75">
        <f t="shared" si="85"/>
        <v>1.0823690399880346</v>
      </c>
      <c r="BM75">
        <f t="shared" si="86"/>
        <v>0.47280519141432392</v>
      </c>
      <c r="BN75">
        <f t="shared" si="87"/>
        <v>0.52719480858567613</v>
      </c>
      <c r="BO75">
        <v>16822</v>
      </c>
      <c r="BP75">
        <v>290.00000000000011</v>
      </c>
      <c r="BQ75">
        <v>745.87</v>
      </c>
      <c r="BR75">
        <v>235</v>
      </c>
      <c r="BS75">
        <v>10304.9</v>
      </c>
      <c r="BT75">
        <v>745.5</v>
      </c>
      <c r="BU75">
        <v>0.37</v>
      </c>
      <c r="BV75">
        <v>300.00000000000011</v>
      </c>
      <c r="BW75">
        <v>38.4</v>
      </c>
      <c r="BX75">
        <v>792.75829420631305</v>
      </c>
      <c r="BY75">
        <v>0.96883208424363088</v>
      </c>
      <c r="BZ75">
        <v>-48.700942899077717</v>
      </c>
      <c r="CA75">
        <v>0.81722015760017674</v>
      </c>
      <c r="CB75">
        <v>0.99217740644123886</v>
      </c>
      <c r="CC75">
        <v>-1.122772458286986E-2</v>
      </c>
      <c r="CD75">
        <v>289.99999999999989</v>
      </c>
      <c r="CE75">
        <v>743.13</v>
      </c>
      <c r="CF75">
        <v>675</v>
      </c>
      <c r="CG75">
        <v>10284.4</v>
      </c>
      <c r="CH75">
        <v>745.4</v>
      </c>
      <c r="CI75">
        <v>-2.27</v>
      </c>
      <c r="CW75">
        <f t="shared" si="88"/>
        <v>1799.79</v>
      </c>
      <c r="CX75">
        <f t="shared" si="89"/>
        <v>1513.0085998353975</v>
      </c>
      <c r="CY75">
        <f t="shared" si="90"/>
        <v>0.84065841005639408</v>
      </c>
      <c r="CZ75">
        <f t="shared" si="91"/>
        <v>0.19131682011278814</v>
      </c>
      <c r="DA75">
        <v>6</v>
      </c>
      <c r="DB75">
        <v>0.5</v>
      </c>
      <c r="DC75" t="s">
        <v>420</v>
      </c>
      <c r="DD75">
        <v>2</v>
      </c>
      <c r="DE75">
        <v>1693509359.5999999</v>
      </c>
      <c r="DF75">
        <v>172.167</v>
      </c>
      <c r="DG75">
        <v>199.97900000000001</v>
      </c>
      <c r="DH75">
        <v>28.955400000000001</v>
      </c>
      <c r="DI75">
        <v>24.027999999999999</v>
      </c>
      <c r="DJ75">
        <v>173.63399999999999</v>
      </c>
      <c r="DK75">
        <v>29.2544</v>
      </c>
      <c r="DL75">
        <v>500.37200000000001</v>
      </c>
      <c r="DM75">
        <v>99.512100000000004</v>
      </c>
      <c r="DN75">
        <v>0.100609</v>
      </c>
      <c r="DO75">
        <v>30.619399999999999</v>
      </c>
      <c r="DP75">
        <v>30.024100000000001</v>
      </c>
      <c r="DQ75">
        <v>999.9</v>
      </c>
      <c r="DR75">
        <v>0</v>
      </c>
      <c r="DS75">
        <v>0</v>
      </c>
      <c r="DT75">
        <v>9995</v>
      </c>
      <c r="DU75">
        <v>0</v>
      </c>
      <c r="DV75">
        <v>1395.43</v>
      </c>
      <c r="DW75">
        <v>-27.811800000000002</v>
      </c>
      <c r="DX75">
        <v>177.30099999999999</v>
      </c>
      <c r="DY75">
        <v>204.90199999999999</v>
      </c>
      <c r="DZ75">
        <v>4.9274699999999996</v>
      </c>
      <c r="EA75">
        <v>199.97900000000001</v>
      </c>
      <c r="EB75">
        <v>24.027999999999999</v>
      </c>
      <c r="EC75">
        <v>2.8814199999999999</v>
      </c>
      <c r="ED75">
        <v>2.39107</v>
      </c>
      <c r="EE75">
        <v>23.3581</v>
      </c>
      <c r="EF75">
        <v>20.3034</v>
      </c>
      <c r="EG75">
        <v>1799.79</v>
      </c>
      <c r="EH75">
        <v>0.977993</v>
      </c>
      <c r="EI75">
        <v>2.2006600000000001E-2</v>
      </c>
      <c r="EJ75">
        <v>0</v>
      </c>
      <c r="EK75">
        <v>622.90099999999995</v>
      </c>
      <c r="EL75">
        <v>5.0002500000000003</v>
      </c>
      <c r="EM75">
        <v>20656.400000000001</v>
      </c>
      <c r="EN75">
        <v>14820.3</v>
      </c>
      <c r="EO75">
        <v>49.436999999999998</v>
      </c>
      <c r="EP75">
        <v>50.875</v>
      </c>
      <c r="EQ75">
        <v>50.436999999999998</v>
      </c>
      <c r="ER75">
        <v>49.375</v>
      </c>
      <c r="ES75">
        <v>50.436999999999998</v>
      </c>
      <c r="ET75">
        <v>1755.29</v>
      </c>
      <c r="EU75">
        <v>39.5</v>
      </c>
      <c r="EV75">
        <v>0</v>
      </c>
      <c r="EW75">
        <v>102.2000000476837</v>
      </c>
      <c r="EX75">
        <v>0</v>
      </c>
      <c r="EY75">
        <v>623.06647999999996</v>
      </c>
      <c r="EZ75">
        <v>-3.315538436723124</v>
      </c>
      <c r="FA75">
        <v>-141.03077077438209</v>
      </c>
      <c r="FB75">
        <v>20684.151999999998</v>
      </c>
      <c r="FC75">
        <v>15</v>
      </c>
      <c r="FD75">
        <v>1693509326.0999999</v>
      </c>
      <c r="FE75" t="s">
        <v>721</v>
      </c>
      <c r="FF75">
        <v>1693509313.5999999</v>
      </c>
      <c r="FG75">
        <v>1693509326.0999999</v>
      </c>
      <c r="FH75">
        <v>67</v>
      </c>
      <c r="FI75">
        <v>9.4E-2</v>
      </c>
      <c r="FJ75">
        <v>0</v>
      </c>
      <c r="FK75">
        <v>-1.4670000000000001</v>
      </c>
      <c r="FL75">
        <v>-0.29899999999999999</v>
      </c>
      <c r="FM75">
        <v>200</v>
      </c>
      <c r="FN75">
        <v>24</v>
      </c>
      <c r="FO75">
        <v>0.22</v>
      </c>
      <c r="FP75">
        <v>0.06</v>
      </c>
      <c r="FQ75">
        <v>22.44948505066127</v>
      </c>
      <c r="FR75">
        <v>-0.4294239381960735</v>
      </c>
      <c r="FS75">
        <v>6.1597662169062303E-2</v>
      </c>
      <c r="FT75">
        <v>1</v>
      </c>
      <c r="FU75">
        <v>0.31202256830311659</v>
      </c>
      <c r="FV75">
        <v>2.2620426346399158E-2</v>
      </c>
      <c r="FW75">
        <v>2.5467848251286532E-3</v>
      </c>
      <c r="FX75">
        <v>1</v>
      </c>
      <c r="FY75">
        <v>2</v>
      </c>
      <c r="FZ75">
        <v>2</v>
      </c>
      <c r="GA75" t="s">
        <v>422</v>
      </c>
      <c r="GB75">
        <v>2.9203600000000001</v>
      </c>
      <c r="GC75">
        <v>2.8304499999999999</v>
      </c>
      <c r="GD75">
        <v>4.5241999999999997E-2</v>
      </c>
      <c r="GE75">
        <v>5.0267300000000001E-2</v>
      </c>
      <c r="GF75">
        <v>0.137042</v>
      </c>
      <c r="GG75">
        <v>0.114982</v>
      </c>
      <c r="GH75">
        <v>24980</v>
      </c>
      <c r="GI75">
        <v>30272.3</v>
      </c>
      <c r="GJ75">
        <v>23553.9</v>
      </c>
      <c r="GK75">
        <v>29180.5</v>
      </c>
      <c r="GL75">
        <v>27723</v>
      </c>
      <c r="GM75">
        <v>36537.800000000003</v>
      </c>
      <c r="GN75">
        <v>33315.599999999999</v>
      </c>
      <c r="GO75">
        <v>43067.199999999997</v>
      </c>
      <c r="GP75">
        <v>2.0053000000000001</v>
      </c>
      <c r="GQ75">
        <v>1.8828</v>
      </c>
      <c r="GR75">
        <v>5.5253499999999997E-2</v>
      </c>
      <c r="GS75">
        <v>0</v>
      </c>
      <c r="GT75">
        <v>29.124300000000002</v>
      </c>
      <c r="GU75">
        <v>999.9</v>
      </c>
      <c r="GV75">
        <v>58.7</v>
      </c>
      <c r="GW75">
        <v>32.299999999999997</v>
      </c>
      <c r="GX75">
        <v>28.6477</v>
      </c>
      <c r="GY75">
        <v>61.286999999999999</v>
      </c>
      <c r="GZ75">
        <v>34.455100000000002</v>
      </c>
      <c r="HA75">
        <v>1</v>
      </c>
      <c r="HB75">
        <v>0.340366</v>
      </c>
      <c r="HC75">
        <v>2.3775300000000001</v>
      </c>
      <c r="HD75">
        <v>20.305700000000002</v>
      </c>
      <c r="HE75">
        <v>5.2107000000000001</v>
      </c>
      <c r="HF75">
        <v>11.872199999999999</v>
      </c>
      <c r="HG75">
        <v>4.9851999999999999</v>
      </c>
      <c r="HH75">
        <v>3.2839999999999998</v>
      </c>
      <c r="HI75">
        <v>9999</v>
      </c>
      <c r="HJ75">
        <v>9999</v>
      </c>
      <c r="HK75">
        <v>9999</v>
      </c>
      <c r="HL75">
        <v>999.9</v>
      </c>
      <c r="HM75">
        <v>1.8545499999999999</v>
      </c>
      <c r="HN75">
        <v>1.86066</v>
      </c>
      <c r="HO75">
        <v>1.85812</v>
      </c>
      <c r="HP75">
        <v>1.8593299999999999</v>
      </c>
      <c r="HQ75">
        <v>1.85867</v>
      </c>
      <c r="HR75">
        <v>1.85921</v>
      </c>
      <c r="HS75">
        <v>1.8575999999999999</v>
      </c>
      <c r="HT75">
        <v>1.8609599999999999</v>
      </c>
      <c r="HU75">
        <v>5</v>
      </c>
      <c r="HV75">
        <v>0</v>
      </c>
      <c r="HW75">
        <v>0</v>
      </c>
      <c r="HX75">
        <v>0</v>
      </c>
      <c r="HY75" t="s">
        <v>423</v>
      </c>
      <c r="HZ75" t="s">
        <v>424</v>
      </c>
      <c r="IA75" t="s">
        <v>425</v>
      </c>
      <c r="IB75" t="s">
        <v>425</v>
      </c>
      <c r="IC75" t="s">
        <v>425</v>
      </c>
      <c r="ID75" t="s">
        <v>425</v>
      </c>
      <c r="IE75">
        <v>0</v>
      </c>
      <c r="IF75">
        <v>100</v>
      </c>
      <c r="IG75">
        <v>100</v>
      </c>
      <c r="IH75">
        <v>-1.4670000000000001</v>
      </c>
      <c r="II75">
        <v>-0.29899999999999999</v>
      </c>
      <c r="IJ75">
        <v>-1.466800000000035</v>
      </c>
      <c r="IK75">
        <v>0</v>
      </c>
      <c r="IL75">
        <v>0</v>
      </c>
      <c r="IM75">
        <v>0</v>
      </c>
      <c r="IN75">
        <v>-0.29891904761904442</v>
      </c>
      <c r="IO75">
        <v>0</v>
      </c>
      <c r="IP75">
        <v>0</v>
      </c>
      <c r="IQ75">
        <v>0</v>
      </c>
      <c r="IR75">
        <v>-1</v>
      </c>
      <c r="IS75">
        <v>-1</v>
      </c>
      <c r="IT75">
        <v>-1</v>
      </c>
      <c r="IU75">
        <v>-1</v>
      </c>
      <c r="IV75">
        <v>0.8</v>
      </c>
      <c r="IW75">
        <v>0.6</v>
      </c>
      <c r="IX75">
        <v>0.58715799999999996</v>
      </c>
      <c r="IY75">
        <v>2.4487299999999999</v>
      </c>
      <c r="IZ75">
        <v>1.49414</v>
      </c>
      <c r="JA75">
        <v>2.2973599999999998</v>
      </c>
      <c r="JB75">
        <v>1.54419</v>
      </c>
      <c r="JC75">
        <v>2.3779300000000001</v>
      </c>
      <c r="JD75">
        <v>35.987900000000003</v>
      </c>
      <c r="JE75">
        <v>15.962</v>
      </c>
      <c r="JF75">
        <v>18</v>
      </c>
      <c r="JG75">
        <v>532.96500000000003</v>
      </c>
      <c r="JH75">
        <v>485.89100000000002</v>
      </c>
      <c r="JI75">
        <v>25.706900000000001</v>
      </c>
      <c r="JJ75">
        <v>31.8245</v>
      </c>
      <c r="JK75">
        <v>30</v>
      </c>
      <c r="JL75">
        <v>31.7376</v>
      </c>
      <c r="JM75">
        <v>31.7044</v>
      </c>
      <c r="JN75">
        <v>11.835599999999999</v>
      </c>
      <c r="JO75">
        <v>23.829599999999999</v>
      </c>
      <c r="JP75">
        <v>100</v>
      </c>
      <c r="JQ75">
        <v>25.703199999999999</v>
      </c>
      <c r="JR75">
        <v>200</v>
      </c>
      <c r="JS75">
        <v>24.0139</v>
      </c>
      <c r="JT75">
        <v>98.7958</v>
      </c>
      <c r="JU75">
        <v>97.012200000000007</v>
      </c>
    </row>
    <row r="76" spans="1:281" x14ac:dyDescent="0.25">
      <c r="A76">
        <v>60</v>
      </c>
      <c r="B76">
        <v>1693509468.5999999</v>
      </c>
      <c r="C76">
        <v>15332.599999904631</v>
      </c>
      <c r="D76" t="s">
        <v>722</v>
      </c>
      <c r="E76" t="s">
        <v>723</v>
      </c>
      <c r="F76" t="s">
        <v>414</v>
      </c>
      <c r="G76" t="s">
        <v>415</v>
      </c>
      <c r="H76" t="s">
        <v>708</v>
      </c>
      <c r="I76" t="s">
        <v>31</v>
      </c>
      <c r="J76">
        <v>1693509468.5999999</v>
      </c>
      <c r="K76">
        <f t="shared" si="46"/>
        <v>4.4396394425425334E-3</v>
      </c>
      <c r="L76">
        <f t="shared" si="47"/>
        <v>4.4396394425425338</v>
      </c>
      <c r="M76">
        <f t="shared" si="48"/>
        <v>13.784118959647897</v>
      </c>
      <c r="N76">
        <f t="shared" si="49"/>
        <v>102.886</v>
      </c>
      <c r="O76">
        <f t="shared" si="50"/>
        <v>30.296457302828358</v>
      </c>
      <c r="P76">
        <f t="shared" si="51"/>
        <v>3.0178430121662521</v>
      </c>
      <c r="Q76">
        <f t="shared" si="52"/>
        <v>10.248518268858799</v>
      </c>
      <c r="R76">
        <f t="shared" si="53"/>
        <v>0.32675528758748446</v>
      </c>
      <c r="S76">
        <f t="shared" si="54"/>
        <v>2.9270801284247288</v>
      </c>
      <c r="T76">
        <f t="shared" si="55"/>
        <v>0.30775900811420176</v>
      </c>
      <c r="U76">
        <f t="shared" si="56"/>
        <v>0.19396402679699876</v>
      </c>
      <c r="V76">
        <f t="shared" si="57"/>
        <v>344.35989967090757</v>
      </c>
      <c r="W76">
        <f t="shared" si="58"/>
        <v>31.455266044368933</v>
      </c>
      <c r="X76">
        <f t="shared" si="59"/>
        <v>30.0154</v>
      </c>
      <c r="Y76">
        <f t="shared" si="60"/>
        <v>4.2642198631978268</v>
      </c>
      <c r="Z76">
        <f t="shared" si="61"/>
        <v>65.358533903431109</v>
      </c>
      <c r="AA76">
        <f t="shared" si="62"/>
        <v>2.8787911108329003</v>
      </c>
      <c r="AB76">
        <f t="shared" si="63"/>
        <v>4.4046139637807471</v>
      </c>
      <c r="AC76">
        <f t="shared" si="64"/>
        <v>1.3854287523649265</v>
      </c>
      <c r="AD76">
        <f t="shared" si="65"/>
        <v>-195.78809941612573</v>
      </c>
      <c r="AE76">
        <f t="shared" si="66"/>
        <v>89.191241243030063</v>
      </c>
      <c r="AF76">
        <f t="shared" si="67"/>
        <v>6.7952872653760972</v>
      </c>
      <c r="AG76">
        <f t="shared" si="68"/>
        <v>244.558328763188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52172.453998981407</v>
      </c>
      <c r="AM76" t="s">
        <v>417</v>
      </c>
      <c r="AN76">
        <v>10366.9</v>
      </c>
      <c r="AO76">
        <v>993.59653846153856</v>
      </c>
      <c r="AP76">
        <v>3431.87</v>
      </c>
      <c r="AQ76">
        <f t="shared" si="72"/>
        <v>0.71047955241266758</v>
      </c>
      <c r="AR76">
        <v>-3.9894345373445681</v>
      </c>
      <c r="AS76" t="s">
        <v>724</v>
      </c>
      <c r="AT76">
        <v>10302.299999999999</v>
      </c>
      <c r="AU76">
        <v>622.82632000000001</v>
      </c>
      <c r="AV76">
        <v>734.27952272350728</v>
      </c>
      <c r="AW76">
        <f t="shared" si="73"/>
        <v>0.15178579719902519</v>
      </c>
      <c r="AX76">
        <v>0.5</v>
      </c>
      <c r="AY76">
        <f t="shared" si="74"/>
        <v>1513.1426998354539</v>
      </c>
      <c r="AZ76">
        <f t="shared" si="75"/>
        <v>13.784118959647897</v>
      </c>
      <c r="BA76">
        <f t="shared" si="76"/>
        <v>114.83678548520481</v>
      </c>
      <c r="BB76">
        <f t="shared" si="77"/>
        <v>1.1746118524660789E-2</v>
      </c>
      <c r="BC76">
        <f t="shared" si="78"/>
        <v>3.6737923281189873</v>
      </c>
      <c r="BD76">
        <f t="shared" si="79"/>
        <v>481.47811721648389</v>
      </c>
      <c r="BE76" t="s">
        <v>725</v>
      </c>
      <c r="BF76">
        <v>503.91</v>
      </c>
      <c r="BG76">
        <f t="shared" si="80"/>
        <v>503.91</v>
      </c>
      <c r="BH76">
        <f t="shared" si="81"/>
        <v>0.31373545849276374</v>
      </c>
      <c r="BI76">
        <f t="shared" si="82"/>
        <v>0.48380185627798938</v>
      </c>
      <c r="BJ76">
        <f t="shared" si="83"/>
        <v>0.92132080946341222</v>
      </c>
      <c r="BK76">
        <f t="shared" si="84"/>
        <v>-0.42979517717456756</v>
      </c>
      <c r="BL76">
        <f t="shared" si="85"/>
        <v>1.1063527204099624</v>
      </c>
      <c r="BM76">
        <f t="shared" si="86"/>
        <v>0.39142949738707516</v>
      </c>
      <c r="BN76">
        <f t="shared" si="87"/>
        <v>0.60857050261292489</v>
      </c>
      <c r="BO76">
        <v>16824</v>
      </c>
      <c r="BP76">
        <v>290.00000000000011</v>
      </c>
      <c r="BQ76">
        <v>706</v>
      </c>
      <c r="BR76">
        <v>245</v>
      </c>
      <c r="BS76">
        <v>10302.299999999999</v>
      </c>
      <c r="BT76">
        <v>705.05</v>
      </c>
      <c r="BU76">
        <v>0.95</v>
      </c>
      <c r="BV76">
        <v>300.00000000000011</v>
      </c>
      <c r="BW76">
        <v>38.4</v>
      </c>
      <c r="BX76">
        <v>734.27952272350728</v>
      </c>
      <c r="BY76">
        <v>1.131231119152446</v>
      </c>
      <c r="BZ76">
        <v>-30.117362745382611</v>
      </c>
      <c r="CA76">
        <v>0.95409043493732115</v>
      </c>
      <c r="CB76">
        <v>0.97266821720376018</v>
      </c>
      <c r="CC76">
        <v>-1.1226725472747501E-2</v>
      </c>
      <c r="CD76">
        <v>289.99999999999989</v>
      </c>
      <c r="CE76">
        <v>703.95</v>
      </c>
      <c r="CF76">
        <v>685</v>
      </c>
      <c r="CG76">
        <v>10282.299999999999</v>
      </c>
      <c r="CH76">
        <v>704.99</v>
      </c>
      <c r="CI76">
        <v>-1.04</v>
      </c>
      <c r="CW76">
        <f t="shared" si="88"/>
        <v>1799.95</v>
      </c>
      <c r="CX76">
        <f t="shared" si="89"/>
        <v>1513.1426998354539</v>
      </c>
      <c r="CY76">
        <f t="shared" si="90"/>
        <v>0.84065818485816479</v>
      </c>
      <c r="CZ76">
        <f t="shared" si="91"/>
        <v>0.19131636971632965</v>
      </c>
      <c r="DA76">
        <v>6</v>
      </c>
      <c r="DB76">
        <v>0.5</v>
      </c>
      <c r="DC76" t="s">
        <v>420</v>
      </c>
      <c r="DD76">
        <v>2</v>
      </c>
      <c r="DE76">
        <v>1693509468.5999999</v>
      </c>
      <c r="DF76">
        <v>102.886</v>
      </c>
      <c r="DG76">
        <v>119.98399999999999</v>
      </c>
      <c r="DH76">
        <v>28.900500000000001</v>
      </c>
      <c r="DI76">
        <v>23.7242</v>
      </c>
      <c r="DJ76">
        <v>104.13800000000001</v>
      </c>
      <c r="DK76">
        <v>29.2059</v>
      </c>
      <c r="DL76">
        <v>499.73899999999998</v>
      </c>
      <c r="DM76">
        <v>99.510999999999996</v>
      </c>
      <c r="DN76">
        <v>9.9425799999999995E-2</v>
      </c>
      <c r="DO76">
        <v>30.5806</v>
      </c>
      <c r="DP76">
        <v>30.0154</v>
      </c>
      <c r="DQ76">
        <v>999.9</v>
      </c>
      <c r="DR76">
        <v>0</v>
      </c>
      <c r="DS76">
        <v>0</v>
      </c>
      <c r="DT76">
        <v>10035</v>
      </c>
      <c r="DU76">
        <v>0</v>
      </c>
      <c r="DV76">
        <v>1390.14</v>
      </c>
      <c r="DW76">
        <v>-17.097899999999999</v>
      </c>
      <c r="DX76">
        <v>105.94799999999999</v>
      </c>
      <c r="DY76">
        <v>122.9</v>
      </c>
      <c r="DZ76">
        <v>5.1763599999999999</v>
      </c>
      <c r="EA76">
        <v>119.98399999999999</v>
      </c>
      <c r="EB76">
        <v>23.7242</v>
      </c>
      <c r="EC76">
        <v>2.8759199999999998</v>
      </c>
      <c r="ED76">
        <v>2.3608199999999999</v>
      </c>
      <c r="EE76">
        <v>23.326499999999999</v>
      </c>
      <c r="EF76">
        <v>20.0975</v>
      </c>
      <c r="EG76">
        <v>1799.95</v>
      </c>
      <c r="EH76">
        <v>0.97799700000000001</v>
      </c>
      <c r="EI76">
        <v>2.2002899999999999E-2</v>
      </c>
      <c r="EJ76">
        <v>0</v>
      </c>
      <c r="EK76">
        <v>622.61</v>
      </c>
      <c r="EL76">
        <v>5.0002500000000003</v>
      </c>
      <c r="EM76">
        <v>20853</v>
      </c>
      <c r="EN76">
        <v>14821.7</v>
      </c>
      <c r="EO76">
        <v>49.561999999999998</v>
      </c>
      <c r="EP76">
        <v>50.936999999999998</v>
      </c>
      <c r="EQ76">
        <v>50.561999999999998</v>
      </c>
      <c r="ER76">
        <v>49.436999999999998</v>
      </c>
      <c r="ES76">
        <v>50.561999999999998</v>
      </c>
      <c r="ET76">
        <v>1755.46</v>
      </c>
      <c r="EU76">
        <v>39.49</v>
      </c>
      <c r="EV76">
        <v>0</v>
      </c>
      <c r="EW76">
        <v>106.7999999523163</v>
      </c>
      <c r="EX76">
        <v>0</v>
      </c>
      <c r="EY76">
        <v>622.82632000000001</v>
      </c>
      <c r="EZ76">
        <v>-1.844076928489601</v>
      </c>
      <c r="FA76">
        <v>338.38461246118447</v>
      </c>
      <c r="FB76">
        <v>20729.7</v>
      </c>
      <c r="FC76">
        <v>15</v>
      </c>
      <c r="FD76">
        <v>1693509437.5999999</v>
      </c>
      <c r="FE76" t="s">
        <v>726</v>
      </c>
      <c r="FF76">
        <v>1693509427.5999999</v>
      </c>
      <c r="FG76">
        <v>1693509437.5999999</v>
      </c>
      <c r="FH76">
        <v>68</v>
      </c>
      <c r="FI76">
        <v>0.215</v>
      </c>
      <c r="FJ76">
        <v>-6.0000000000000001E-3</v>
      </c>
      <c r="FK76">
        <v>-1.252</v>
      </c>
      <c r="FL76">
        <v>-0.30499999999999999</v>
      </c>
      <c r="FM76">
        <v>120</v>
      </c>
      <c r="FN76">
        <v>24</v>
      </c>
      <c r="FO76">
        <v>0.25</v>
      </c>
      <c r="FP76">
        <v>0.05</v>
      </c>
      <c r="FQ76">
        <v>13.816638920126501</v>
      </c>
      <c r="FR76">
        <v>0.32541528718052581</v>
      </c>
      <c r="FS76">
        <v>3.9276457638929327E-2</v>
      </c>
      <c r="FT76">
        <v>1</v>
      </c>
      <c r="FU76">
        <v>0.32633631417701509</v>
      </c>
      <c r="FV76">
        <v>3.741864478781011E-2</v>
      </c>
      <c r="FW76">
        <v>3.6611007836803689E-3</v>
      </c>
      <c r="FX76">
        <v>1</v>
      </c>
      <c r="FY76">
        <v>2</v>
      </c>
      <c r="FZ76">
        <v>2</v>
      </c>
      <c r="GA76" t="s">
        <v>422</v>
      </c>
      <c r="GB76">
        <v>2.9187500000000002</v>
      </c>
      <c r="GC76">
        <v>2.8296100000000002</v>
      </c>
      <c r="GD76">
        <v>2.8227100000000001E-2</v>
      </c>
      <c r="GE76">
        <v>3.1593700000000002E-2</v>
      </c>
      <c r="GF76">
        <v>0.136875</v>
      </c>
      <c r="GG76">
        <v>0.113955</v>
      </c>
      <c r="GH76">
        <v>25424.3</v>
      </c>
      <c r="GI76">
        <v>30866.5</v>
      </c>
      <c r="GJ76">
        <v>23553.5</v>
      </c>
      <c r="GK76">
        <v>29180.1</v>
      </c>
      <c r="GL76">
        <v>27726.3</v>
      </c>
      <c r="GM76">
        <v>36578.300000000003</v>
      </c>
      <c r="GN76">
        <v>33314.699999999997</v>
      </c>
      <c r="GO76">
        <v>43066.5</v>
      </c>
      <c r="GP76">
        <v>2.0053000000000001</v>
      </c>
      <c r="GQ76">
        <v>1.8816999999999999</v>
      </c>
      <c r="GR76">
        <v>5.3182199999999999E-2</v>
      </c>
      <c r="GS76">
        <v>0</v>
      </c>
      <c r="GT76">
        <v>29.1493</v>
      </c>
      <c r="GU76">
        <v>999.9</v>
      </c>
      <c r="GV76">
        <v>58.7</v>
      </c>
      <c r="GW76">
        <v>32.299999999999997</v>
      </c>
      <c r="GX76">
        <v>28.650600000000001</v>
      </c>
      <c r="GY76">
        <v>61.307000000000002</v>
      </c>
      <c r="GZ76">
        <v>34.831699999999998</v>
      </c>
      <c r="HA76">
        <v>1</v>
      </c>
      <c r="HB76">
        <v>0.34247</v>
      </c>
      <c r="HC76">
        <v>2.5247899999999999</v>
      </c>
      <c r="HD76">
        <v>20.303799999999999</v>
      </c>
      <c r="HE76">
        <v>5.2107000000000001</v>
      </c>
      <c r="HF76">
        <v>11.872199999999999</v>
      </c>
      <c r="HG76">
        <v>4.9855999999999998</v>
      </c>
      <c r="HH76">
        <v>3.2839999999999998</v>
      </c>
      <c r="HI76">
        <v>9999</v>
      </c>
      <c r="HJ76">
        <v>9999</v>
      </c>
      <c r="HK76">
        <v>9999</v>
      </c>
      <c r="HL76">
        <v>999.9</v>
      </c>
      <c r="HM76">
        <v>1.8545499999999999</v>
      </c>
      <c r="HN76">
        <v>1.8607199999999999</v>
      </c>
      <c r="HO76">
        <v>1.85822</v>
      </c>
      <c r="HP76">
        <v>1.85944</v>
      </c>
      <c r="HQ76">
        <v>1.85867</v>
      </c>
      <c r="HR76">
        <v>1.85928</v>
      </c>
      <c r="HS76">
        <v>1.85762</v>
      </c>
      <c r="HT76">
        <v>1.8609599999999999</v>
      </c>
      <c r="HU76">
        <v>5</v>
      </c>
      <c r="HV76">
        <v>0</v>
      </c>
      <c r="HW76">
        <v>0</v>
      </c>
      <c r="HX76">
        <v>0</v>
      </c>
      <c r="HY76" t="s">
        <v>423</v>
      </c>
      <c r="HZ76" t="s">
        <v>424</v>
      </c>
      <c r="IA76" t="s">
        <v>425</v>
      </c>
      <c r="IB76" t="s">
        <v>425</v>
      </c>
      <c r="IC76" t="s">
        <v>425</v>
      </c>
      <c r="ID76" t="s">
        <v>425</v>
      </c>
      <c r="IE76">
        <v>0</v>
      </c>
      <c r="IF76">
        <v>100</v>
      </c>
      <c r="IG76">
        <v>100</v>
      </c>
      <c r="IH76">
        <v>-1.252</v>
      </c>
      <c r="II76">
        <v>-0.3054</v>
      </c>
      <c r="IJ76">
        <v>-1.25220000000003</v>
      </c>
      <c r="IK76">
        <v>0</v>
      </c>
      <c r="IL76">
        <v>0</v>
      </c>
      <c r="IM76">
        <v>0</v>
      </c>
      <c r="IN76">
        <v>-0.30538999999999922</v>
      </c>
      <c r="IO76">
        <v>0</v>
      </c>
      <c r="IP76">
        <v>0</v>
      </c>
      <c r="IQ76">
        <v>0</v>
      </c>
      <c r="IR76">
        <v>-1</v>
      </c>
      <c r="IS76">
        <v>-1</v>
      </c>
      <c r="IT76">
        <v>-1</v>
      </c>
      <c r="IU76">
        <v>-1</v>
      </c>
      <c r="IV76">
        <v>0.7</v>
      </c>
      <c r="IW76">
        <v>0.5</v>
      </c>
      <c r="IX76">
        <v>0.41259800000000002</v>
      </c>
      <c r="IY76">
        <v>2.4658199999999999</v>
      </c>
      <c r="IZ76">
        <v>1.49414</v>
      </c>
      <c r="JA76">
        <v>2.2973599999999998</v>
      </c>
      <c r="JB76">
        <v>1.54419</v>
      </c>
      <c r="JC76">
        <v>2.5097700000000001</v>
      </c>
      <c r="JD76">
        <v>36.034700000000001</v>
      </c>
      <c r="JE76">
        <v>15.962</v>
      </c>
      <c r="JF76">
        <v>18</v>
      </c>
      <c r="JG76">
        <v>533.20600000000002</v>
      </c>
      <c r="JH76">
        <v>485.334</v>
      </c>
      <c r="JI76">
        <v>25.56</v>
      </c>
      <c r="JJ76">
        <v>31.849699999999999</v>
      </c>
      <c r="JK76">
        <v>30.0002</v>
      </c>
      <c r="JL76">
        <v>31.7652</v>
      </c>
      <c r="JM76">
        <v>31.7319</v>
      </c>
      <c r="JN76">
        <v>8.3247099999999996</v>
      </c>
      <c r="JO76">
        <v>24.9819</v>
      </c>
      <c r="JP76">
        <v>100</v>
      </c>
      <c r="JQ76">
        <v>25.5396</v>
      </c>
      <c r="JR76">
        <v>120</v>
      </c>
      <c r="JS76">
        <v>23.6526</v>
      </c>
      <c r="JT76">
        <v>98.793700000000001</v>
      </c>
      <c r="JU76">
        <v>97.0107</v>
      </c>
    </row>
    <row r="77" spans="1:281" x14ac:dyDescent="0.25">
      <c r="A77">
        <v>61</v>
      </c>
      <c r="B77">
        <v>1693509577.0999999</v>
      </c>
      <c r="C77">
        <v>15441.099999904631</v>
      </c>
      <c r="D77" t="s">
        <v>727</v>
      </c>
      <c r="E77" t="s">
        <v>728</v>
      </c>
      <c r="F77" t="s">
        <v>414</v>
      </c>
      <c r="G77" t="s">
        <v>415</v>
      </c>
      <c r="H77" t="s">
        <v>708</v>
      </c>
      <c r="I77" t="s">
        <v>31</v>
      </c>
      <c r="J77">
        <v>1693509577.0999999</v>
      </c>
      <c r="K77">
        <f t="shared" si="46"/>
        <v>4.6129637250072299E-3</v>
      </c>
      <c r="L77">
        <f t="shared" si="47"/>
        <v>4.61296372500723</v>
      </c>
      <c r="M77">
        <f t="shared" si="48"/>
        <v>8.4602254601662921</v>
      </c>
      <c r="N77">
        <f t="shared" si="49"/>
        <v>59.5139</v>
      </c>
      <c r="O77">
        <f t="shared" si="50"/>
        <v>16.717240163674511</v>
      </c>
      <c r="P77">
        <f t="shared" si="51"/>
        <v>1.6651202718545552</v>
      </c>
      <c r="Q77">
        <f t="shared" si="52"/>
        <v>5.9278804621385994</v>
      </c>
      <c r="R77">
        <f t="shared" si="53"/>
        <v>0.3407300010168352</v>
      </c>
      <c r="S77">
        <f t="shared" si="54"/>
        <v>2.9173411282275916</v>
      </c>
      <c r="T77">
        <f t="shared" si="55"/>
        <v>0.32006477731972749</v>
      </c>
      <c r="U77">
        <f t="shared" si="56"/>
        <v>0.20179264539195563</v>
      </c>
      <c r="V77">
        <f t="shared" si="57"/>
        <v>344.39029967093683</v>
      </c>
      <c r="W77">
        <f t="shared" si="58"/>
        <v>31.386134708737348</v>
      </c>
      <c r="X77">
        <f t="shared" si="59"/>
        <v>30.000800000000002</v>
      </c>
      <c r="Y77">
        <f t="shared" si="60"/>
        <v>4.2606455497365427</v>
      </c>
      <c r="Z77">
        <f t="shared" si="61"/>
        <v>65.407352097462947</v>
      </c>
      <c r="AA77">
        <f t="shared" si="62"/>
        <v>2.8765119651408</v>
      </c>
      <c r="AB77">
        <f t="shared" si="63"/>
        <v>4.3978419442122254</v>
      </c>
      <c r="AC77">
        <f t="shared" si="64"/>
        <v>1.3841335845957428</v>
      </c>
      <c r="AD77">
        <f t="shared" si="65"/>
        <v>-203.43170027281883</v>
      </c>
      <c r="AE77">
        <f t="shared" si="66"/>
        <v>86.959943312977387</v>
      </c>
      <c r="AF77">
        <f t="shared" si="67"/>
        <v>6.646042317433146</v>
      </c>
      <c r="AG77">
        <f t="shared" si="68"/>
        <v>234.56458502852854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51899.527321432775</v>
      </c>
      <c r="AM77" t="s">
        <v>417</v>
      </c>
      <c r="AN77">
        <v>10366.9</v>
      </c>
      <c r="AO77">
        <v>993.59653846153856</v>
      </c>
      <c r="AP77">
        <v>3431.87</v>
      </c>
      <c r="AQ77">
        <f t="shared" si="72"/>
        <v>0.71047955241266758</v>
      </c>
      <c r="AR77">
        <v>-3.9894345373445681</v>
      </c>
      <c r="AS77" t="s">
        <v>729</v>
      </c>
      <c r="AT77">
        <v>10302.5</v>
      </c>
      <c r="AU77">
        <v>625.56915384615377</v>
      </c>
      <c r="AV77">
        <v>704.10414303264963</v>
      </c>
      <c r="AW77">
        <f t="shared" si="73"/>
        <v>0.11153888237077758</v>
      </c>
      <c r="AX77">
        <v>0.5</v>
      </c>
      <c r="AY77">
        <f t="shared" si="74"/>
        <v>1513.2770998354681</v>
      </c>
      <c r="AZ77">
        <f t="shared" si="75"/>
        <v>8.4602254601662921</v>
      </c>
      <c r="BA77">
        <f t="shared" si="76"/>
        <v>84.394618216469866</v>
      </c>
      <c r="BB77">
        <f t="shared" si="77"/>
        <v>8.2269532783285065E-3</v>
      </c>
      <c r="BC77">
        <f t="shared" si="78"/>
        <v>3.8740943139726172</v>
      </c>
      <c r="BD77">
        <f t="shared" si="79"/>
        <v>468.31764415024924</v>
      </c>
      <c r="BE77" t="s">
        <v>730</v>
      </c>
      <c r="BF77">
        <v>510.19</v>
      </c>
      <c r="BG77">
        <f t="shared" si="80"/>
        <v>510.19</v>
      </c>
      <c r="BH77">
        <f t="shared" si="81"/>
        <v>0.27540548504293882</v>
      </c>
      <c r="BI77">
        <f t="shared" si="82"/>
        <v>0.40499876882767033</v>
      </c>
      <c r="BJ77">
        <f t="shared" si="83"/>
        <v>0.9336292328274659</v>
      </c>
      <c r="BK77">
        <f t="shared" si="84"/>
        <v>-0.27128515438253453</v>
      </c>
      <c r="BL77">
        <f t="shared" si="85"/>
        <v>1.1187284363281507</v>
      </c>
      <c r="BM77">
        <f t="shared" si="86"/>
        <v>0.33030132735573586</v>
      </c>
      <c r="BN77">
        <f t="shared" si="87"/>
        <v>0.66969867264426419</v>
      </c>
      <c r="BO77">
        <v>16826</v>
      </c>
      <c r="BP77">
        <v>290.00000000000011</v>
      </c>
      <c r="BQ77">
        <v>683.28</v>
      </c>
      <c r="BR77">
        <v>235</v>
      </c>
      <c r="BS77">
        <v>10302.5</v>
      </c>
      <c r="BT77">
        <v>682.78</v>
      </c>
      <c r="BU77">
        <v>0.5</v>
      </c>
      <c r="BV77">
        <v>300.00000000000011</v>
      </c>
      <c r="BW77">
        <v>38.4</v>
      </c>
      <c r="BX77">
        <v>704.10414303264963</v>
      </c>
      <c r="BY77">
        <v>1.0121868559815339</v>
      </c>
      <c r="BZ77">
        <v>-21.97007491603156</v>
      </c>
      <c r="CA77">
        <v>0.85359005850499658</v>
      </c>
      <c r="CB77">
        <v>0.95944774771317864</v>
      </c>
      <c r="CC77">
        <v>-1.122535550611792E-2</v>
      </c>
      <c r="CD77">
        <v>289.99999999999989</v>
      </c>
      <c r="CE77">
        <v>681.56</v>
      </c>
      <c r="CF77">
        <v>645</v>
      </c>
      <c r="CG77">
        <v>10284.1</v>
      </c>
      <c r="CH77">
        <v>682.74</v>
      </c>
      <c r="CI77">
        <v>-1.18</v>
      </c>
      <c r="CW77">
        <f t="shared" si="88"/>
        <v>1800.11</v>
      </c>
      <c r="CX77">
        <f t="shared" si="89"/>
        <v>1513.2770998354681</v>
      </c>
      <c r="CY77">
        <f t="shared" si="90"/>
        <v>0.84065812635642723</v>
      </c>
      <c r="CZ77">
        <f t="shared" si="91"/>
        <v>0.19131625271285468</v>
      </c>
      <c r="DA77">
        <v>6</v>
      </c>
      <c r="DB77">
        <v>0.5</v>
      </c>
      <c r="DC77" t="s">
        <v>420</v>
      </c>
      <c r="DD77">
        <v>2</v>
      </c>
      <c r="DE77">
        <v>1693509577.0999999</v>
      </c>
      <c r="DF77">
        <v>59.5139</v>
      </c>
      <c r="DG77">
        <v>69.992699999999999</v>
      </c>
      <c r="DH77">
        <v>28.879200000000001</v>
      </c>
      <c r="DI77">
        <v>23.504999999999999</v>
      </c>
      <c r="DJ77">
        <v>60.757100000000001</v>
      </c>
      <c r="DK77">
        <v>29.187200000000001</v>
      </c>
      <c r="DL77">
        <v>500.13900000000001</v>
      </c>
      <c r="DM77">
        <v>99.5047</v>
      </c>
      <c r="DN77">
        <v>0.100274</v>
      </c>
      <c r="DO77">
        <v>30.553699999999999</v>
      </c>
      <c r="DP77">
        <v>30.000800000000002</v>
      </c>
      <c r="DQ77">
        <v>999.9</v>
      </c>
      <c r="DR77">
        <v>0</v>
      </c>
      <c r="DS77">
        <v>0</v>
      </c>
      <c r="DT77">
        <v>9980</v>
      </c>
      <c r="DU77">
        <v>0</v>
      </c>
      <c r="DV77">
        <v>1382.93</v>
      </c>
      <c r="DW77">
        <v>-10.4788</v>
      </c>
      <c r="DX77">
        <v>61.283799999999999</v>
      </c>
      <c r="DY77">
        <v>71.677499999999995</v>
      </c>
      <c r="DZ77">
        <v>5.3742400000000004</v>
      </c>
      <c r="EA77">
        <v>69.992699999999999</v>
      </c>
      <c r="EB77">
        <v>23.504999999999999</v>
      </c>
      <c r="EC77">
        <v>2.8736199999999998</v>
      </c>
      <c r="ED77">
        <v>2.3388499999999999</v>
      </c>
      <c r="EE77">
        <v>23.313199999999998</v>
      </c>
      <c r="EF77">
        <v>19.9465</v>
      </c>
      <c r="EG77">
        <v>1800.11</v>
      </c>
      <c r="EH77">
        <v>0.97800100000000001</v>
      </c>
      <c r="EI77">
        <v>2.1999100000000001E-2</v>
      </c>
      <c r="EJ77">
        <v>0</v>
      </c>
      <c r="EK77">
        <v>625.12199999999996</v>
      </c>
      <c r="EL77">
        <v>5.0002500000000003</v>
      </c>
      <c r="EM77">
        <v>20834.599999999999</v>
      </c>
      <c r="EN77">
        <v>14823</v>
      </c>
      <c r="EO77">
        <v>49.686999999999998</v>
      </c>
      <c r="EP77">
        <v>51.125</v>
      </c>
      <c r="EQ77">
        <v>50.686999999999998</v>
      </c>
      <c r="ER77">
        <v>49.5</v>
      </c>
      <c r="ES77">
        <v>50.686999999999998</v>
      </c>
      <c r="ET77">
        <v>1755.62</v>
      </c>
      <c r="EU77">
        <v>39.49</v>
      </c>
      <c r="EV77">
        <v>0</v>
      </c>
      <c r="EW77">
        <v>106.7999999523163</v>
      </c>
      <c r="EX77">
        <v>0</v>
      </c>
      <c r="EY77">
        <v>625.56915384615377</v>
      </c>
      <c r="EZ77">
        <v>-0.55917948464589418</v>
      </c>
      <c r="FA77">
        <v>38.229060194218938</v>
      </c>
      <c r="FB77">
        <v>20821.784615384611</v>
      </c>
      <c r="FC77">
        <v>15</v>
      </c>
      <c r="FD77">
        <v>1693509546.0999999</v>
      </c>
      <c r="FE77" t="s">
        <v>731</v>
      </c>
      <c r="FF77">
        <v>1693509537.0999999</v>
      </c>
      <c r="FG77">
        <v>1693509546.0999999</v>
      </c>
      <c r="FH77">
        <v>69</v>
      </c>
      <c r="FI77">
        <v>8.9999999999999993E-3</v>
      </c>
      <c r="FJ77">
        <v>-3.0000000000000001E-3</v>
      </c>
      <c r="FK77">
        <v>-1.2430000000000001</v>
      </c>
      <c r="FL77">
        <v>-0.308</v>
      </c>
      <c r="FM77">
        <v>70</v>
      </c>
      <c r="FN77">
        <v>23</v>
      </c>
      <c r="FO77">
        <v>0.43</v>
      </c>
      <c r="FP77">
        <v>0.05</v>
      </c>
      <c r="FQ77">
        <v>8.432199959847603</v>
      </c>
      <c r="FR77">
        <v>-0.24638202596716499</v>
      </c>
      <c r="FS77">
        <v>4.5301566107614571E-2</v>
      </c>
      <c r="FT77">
        <v>1</v>
      </c>
      <c r="FU77">
        <v>0.33890857317157502</v>
      </c>
      <c r="FV77">
        <v>4.50314968026145E-2</v>
      </c>
      <c r="FW77">
        <v>4.1330220013707517E-3</v>
      </c>
      <c r="FX77">
        <v>1</v>
      </c>
      <c r="FY77">
        <v>2</v>
      </c>
      <c r="FZ77">
        <v>2</v>
      </c>
      <c r="GA77" t="s">
        <v>422</v>
      </c>
      <c r="GB77">
        <v>2.9197199999999999</v>
      </c>
      <c r="GC77">
        <v>2.8299799999999999</v>
      </c>
      <c r="GD77">
        <v>1.6796599999999998E-2</v>
      </c>
      <c r="GE77">
        <v>1.8867800000000001E-2</v>
      </c>
      <c r="GF77">
        <v>0.136797</v>
      </c>
      <c r="GG77">
        <v>0.113203</v>
      </c>
      <c r="GH77">
        <v>25721.5</v>
      </c>
      <c r="GI77">
        <v>31271.8</v>
      </c>
      <c r="GJ77">
        <v>23552.3</v>
      </c>
      <c r="GK77">
        <v>29180.3</v>
      </c>
      <c r="GL77">
        <v>27727.1</v>
      </c>
      <c r="GM77">
        <v>36608.1</v>
      </c>
      <c r="GN77">
        <v>33313.699999999997</v>
      </c>
      <c r="GO77">
        <v>43065.9</v>
      </c>
      <c r="GP77">
        <v>2.0063</v>
      </c>
      <c r="GQ77">
        <v>1.8802000000000001</v>
      </c>
      <c r="GR77">
        <v>5.0440400000000003E-2</v>
      </c>
      <c r="GS77">
        <v>0</v>
      </c>
      <c r="GT77">
        <v>29.179400000000001</v>
      </c>
      <c r="GU77">
        <v>999.9</v>
      </c>
      <c r="GV77">
        <v>58.7</v>
      </c>
      <c r="GW77">
        <v>32.299999999999997</v>
      </c>
      <c r="GX77">
        <v>28.646899999999999</v>
      </c>
      <c r="GY77">
        <v>61.326999999999998</v>
      </c>
      <c r="GZ77">
        <v>34.511200000000002</v>
      </c>
      <c r="HA77">
        <v>1</v>
      </c>
      <c r="HB77">
        <v>0.34473599999999999</v>
      </c>
      <c r="HC77">
        <v>2.42645</v>
      </c>
      <c r="HD77">
        <v>20.305499999999999</v>
      </c>
      <c r="HE77">
        <v>5.2100999999999997</v>
      </c>
      <c r="HF77">
        <v>11.872199999999999</v>
      </c>
      <c r="HG77">
        <v>4.9847999999999999</v>
      </c>
      <c r="HH77">
        <v>3.2839999999999998</v>
      </c>
      <c r="HI77">
        <v>9999</v>
      </c>
      <c r="HJ77">
        <v>9999</v>
      </c>
      <c r="HK77">
        <v>9999</v>
      </c>
      <c r="HL77">
        <v>999.9</v>
      </c>
      <c r="HM77">
        <v>1.8545499999999999</v>
      </c>
      <c r="HN77">
        <v>1.8606799999999999</v>
      </c>
      <c r="HO77">
        <v>1.85816</v>
      </c>
      <c r="HP77">
        <v>1.8593299999999999</v>
      </c>
      <c r="HQ77">
        <v>1.85867</v>
      </c>
      <c r="HR77">
        <v>1.8592599999999999</v>
      </c>
      <c r="HS77">
        <v>1.8575999999999999</v>
      </c>
      <c r="HT77">
        <v>1.8609599999999999</v>
      </c>
      <c r="HU77">
        <v>5</v>
      </c>
      <c r="HV77">
        <v>0</v>
      </c>
      <c r="HW77">
        <v>0</v>
      </c>
      <c r="HX77">
        <v>0</v>
      </c>
      <c r="HY77" t="s">
        <v>423</v>
      </c>
      <c r="HZ77" t="s">
        <v>424</v>
      </c>
      <c r="IA77" t="s">
        <v>425</v>
      </c>
      <c r="IB77" t="s">
        <v>425</v>
      </c>
      <c r="IC77" t="s">
        <v>425</v>
      </c>
      <c r="ID77" t="s">
        <v>425</v>
      </c>
      <c r="IE77">
        <v>0</v>
      </c>
      <c r="IF77">
        <v>100</v>
      </c>
      <c r="IG77">
        <v>100</v>
      </c>
      <c r="IH77">
        <v>-1.2430000000000001</v>
      </c>
      <c r="II77">
        <v>-0.308</v>
      </c>
      <c r="IJ77">
        <v>-1.2431449999999979</v>
      </c>
      <c r="IK77">
        <v>0</v>
      </c>
      <c r="IL77">
        <v>0</v>
      </c>
      <c r="IM77">
        <v>0</v>
      </c>
      <c r="IN77">
        <v>-0.30799999999999977</v>
      </c>
      <c r="IO77">
        <v>0</v>
      </c>
      <c r="IP77">
        <v>0</v>
      </c>
      <c r="IQ77">
        <v>0</v>
      </c>
      <c r="IR77">
        <v>-1</v>
      </c>
      <c r="IS77">
        <v>-1</v>
      </c>
      <c r="IT77">
        <v>-1</v>
      </c>
      <c r="IU77">
        <v>-1</v>
      </c>
      <c r="IV77">
        <v>0.7</v>
      </c>
      <c r="IW77">
        <v>0.5</v>
      </c>
      <c r="IX77">
        <v>0.301514</v>
      </c>
      <c r="IY77">
        <v>2.48169</v>
      </c>
      <c r="IZ77">
        <v>1.49414</v>
      </c>
      <c r="JA77">
        <v>2.2973599999999998</v>
      </c>
      <c r="JB77">
        <v>1.54419</v>
      </c>
      <c r="JC77">
        <v>2.34741</v>
      </c>
      <c r="JD77">
        <v>36.104999999999997</v>
      </c>
      <c r="JE77">
        <v>15.9445</v>
      </c>
      <c r="JF77">
        <v>18</v>
      </c>
      <c r="JG77">
        <v>534.10199999999998</v>
      </c>
      <c r="JH77">
        <v>484.48899999999998</v>
      </c>
      <c r="JI77">
        <v>25.474399999999999</v>
      </c>
      <c r="JJ77">
        <v>31.8749</v>
      </c>
      <c r="JK77">
        <v>30.0002</v>
      </c>
      <c r="JL77">
        <v>31.790199999999999</v>
      </c>
      <c r="JM77">
        <v>31.759599999999999</v>
      </c>
      <c r="JN77">
        <v>6.1007499999999997</v>
      </c>
      <c r="JO77">
        <v>26.2699</v>
      </c>
      <c r="JP77">
        <v>100</v>
      </c>
      <c r="JQ77">
        <v>25.476700000000001</v>
      </c>
      <c r="JR77">
        <v>70</v>
      </c>
      <c r="JS77">
        <v>23.415299999999998</v>
      </c>
      <c r="JT77">
        <v>98.789699999999996</v>
      </c>
      <c r="JU77">
        <v>97.010300000000001</v>
      </c>
    </row>
    <row r="78" spans="1:281" x14ac:dyDescent="0.25">
      <c r="A78">
        <v>62</v>
      </c>
      <c r="B78">
        <v>1693509692</v>
      </c>
      <c r="C78">
        <v>15556</v>
      </c>
      <c r="D78" t="s">
        <v>732</v>
      </c>
      <c r="E78" t="s">
        <v>733</v>
      </c>
      <c r="F78" t="s">
        <v>414</v>
      </c>
      <c r="G78" t="s">
        <v>415</v>
      </c>
      <c r="H78" t="s">
        <v>708</v>
      </c>
      <c r="I78" t="s">
        <v>31</v>
      </c>
      <c r="J78">
        <v>1693509692</v>
      </c>
      <c r="K78">
        <f t="shared" si="46"/>
        <v>4.8235391449775065E-3</v>
      </c>
      <c r="L78">
        <f t="shared" si="47"/>
        <v>4.8235391449775067</v>
      </c>
      <c r="M78">
        <f t="shared" si="48"/>
        <v>3.7336958125315278</v>
      </c>
      <c r="N78">
        <f t="shared" si="49"/>
        <v>25.417100000000001</v>
      </c>
      <c r="O78">
        <f t="shared" si="50"/>
        <v>7.4041320081508388</v>
      </c>
      <c r="P78">
        <f t="shared" si="51"/>
        <v>0.73741762968309421</v>
      </c>
      <c r="Q78">
        <f t="shared" si="52"/>
        <v>2.5314267242649002</v>
      </c>
      <c r="R78">
        <f t="shared" si="53"/>
        <v>0.35834278999802771</v>
      </c>
      <c r="S78">
        <f t="shared" si="54"/>
        <v>2.9224263984038692</v>
      </c>
      <c r="T78">
        <f t="shared" si="55"/>
        <v>0.33559948423800906</v>
      </c>
      <c r="U78">
        <f t="shared" si="56"/>
        <v>0.2116726717632369</v>
      </c>
      <c r="V78">
        <f t="shared" si="57"/>
        <v>344.35799967090577</v>
      </c>
      <c r="W78">
        <f t="shared" si="58"/>
        <v>31.307058837264421</v>
      </c>
      <c r="X78">
        <f t="shared" si="59"/>
        <v>29.9953</v>
      </c>
      <c r="Y78">
        <f t="shared" si="60"/>
        <v>4.2592997390225413</v>
      </c>
      <c r="Z78">
        <f t="shared" si="61"/>
        <v>65.552201989038636</v>
      </c>
      <c r="AA78">
        <f t="shared" si="62"/>
        <v>2.8791242915358004</v>
      </c>
      <c r="AB78">
        <f t="shared" si="63"/>
        <v>4.3921091956868743</v>
      </c>
      <c r="AC78">
        <f t="shared" si="64"/>
        <v>1.3801754474867409</v>
      </c>
      <c r="AD78">
        <f t="shared" si="65"/>
        <v>-212.71807629350803</v>
      </c>
      <c r="AE78">
        <f t="shared" si="66"/>
        <v>84.385843126245192</v>
      </c>
      <c r="AF78">
        <f t="shared" si="67"/>
        <v>6.4371891177036344</v>
      </c>
      <c r="AG78">
        <f t="shared" si="68"/>
        <v>222.46295562134654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52048.00646260861</v>
      </c>
      <c r="AM78" t="s">
        <v>417</v>
      </c>
      <c r="AN78">
        <v>10366.9</v>
      </c>
      <c r="AO78">
        <v>993.59653846153856</v>
      </c>
      <c r="AP78">
        <v>3431.87</v>
      </c>
      <c r="AQ78">
        <f t="shared" si="72"/>
        <v>0.71047955241266758</v>
      </c>
      <c r="AR78">
        <v>-3.9894345373445681</v>
      </c>
      <c r="AS78" t="s">
        <v>734</v>
      </c>
      <c r="AT78">
        <v>10322.4</v>
      </c>
      <c r="AU78">
        <v>628.96403846153839</v>
      </c>
      <c r="AV78">
        <v>678.70960704287756</v>
      </c>
      <c r="AW78">
        <f t="shared" si="73"/>
        <v>7.3294333931826161E-2</v>
      </c>
      <c r="AX78">
        <v>0.5</v>
      </c>
      <c r="AY78">
        <f t="shared" si="74"/>
        <v>1513.134299835453</v>
      </c>
      <c r="AZ78">
        <f t="shared" si="75"/>
        <v>3.7336958125315278</v>
      </c>
      <c r="BA78">
        <f t="shared" si="76"/>
        <v>55.452085327919832</v>
      </c>
      <c r="BB78">
        <f t="shared" si="77"/>
        <v>5.1040613848459806E-3</v>
      </c>
      <c r="BC78">
        <f t="shared" si="78"/>
        <v>4.0564629767841067</v>
      </c>
      <c r="BD78">
        <f t="shared" si="79"/>
        <v>456.9459610438729</v>
      </c>
      <c r="BE78" t="s">
        <v>735</v>
      </c>
      <c r="BF78">
        <v>516.27</v>
      </c>
      <c r="BG78">
        <f t="shared" si="80"/>
        <v>516.27</v>
      </c>
      <c r="BH78">
        <f t="shared" si="81"/>
        <v>0.2393359477415139</v>
      </c>
      <c r="BI78">
        <f t="shared" si="82"/>
        <v>0.30624038980966212</v>
      </c>
      <c r="BJ78">
        <f t="shared" si="83"/>
        <v>0.94428604505320435</v>
      </c>
      <c r="BK78">
        <f t="shared" si="84"/>
        <v>-0.15797914621994733</v>
      </c>
      <c r="BL78">
        <f t="shared" si="85"/>
        <v>1.1291434026518006</v>
      </c>
      <c r="BM78">
        <f t="shared" si="86"/>
        <v>0.25137005675834412</v>
      </c>
      <c r="BN78">
        <f t="shared" si="87"/>
        <v>0.74862994324165588</v>
      </c>
      <c r="BO78">
        <v>16828</v>
      </c>
      <c r="BP78">
        <v>290.00000000000011</v>
      </c>
      <c r="BQ78">
        <v>666.79</v>
      </c>
      <c r="BR78">
        <v>105</v>
      </c>
      <c r="BS78">
        <v>10322.4</v>
      </c>
      <c r="BT78">
        <v>666.24</v>
      </c>
      <c r="BU78">
        <v>0.55000000000000004</v>
      </c>
      <c r="BV78">
        <v>300.00000000000011</v>
      </c>
      <c r="BW78">
        <v>38.4</v>
      </c>
      <c r="BX78">
        <v>678.70960704287756</v>
      </c>
      <c r="BY78">
        <v>1.0177364043318791</v>
      </c>
      <c r="BZ78">
        <v>-12.87027933459032</v>
      </c>
      <c r="CA78">
        <v>0.85817628264729939</v>
      </c>
      <c r="CB78">
        <v>0.88929189083264792</v>
      </c>
      <c r="CC78">
        <v>-1.1224171523915459E-2</v>
      </c>
      <c r="CD78">
        <v>289.99999999999989</v>
      </c>
      <c r="CE78">
        <v>665.43</v>
      </c>
      <c r="CF78">
        <v>695</v>
      </c>
      <c r="CG78">
        <v>10279.299999999999</v>
      </c>
      <c r="CH78">
        <v>666.19</v>
      </c>
      <c r="CI78">
        <v>-0.76</v>
      </c>
      <c r="CW78">
        <f t="shared" si="88"/>
        <v>1799.94</v>
      </c>
      <c r="CX78">
        <f t="shared" si="89"/>
        <v>1513.134299835453</v>
      </c>
      <c r="CY78">
        <f t="shared" si="90"/>
        <v>0.84065818851486884</v>
      </c>
      <c r="CZ78">
        <f t="shared" si="91"/>
        <v>0.19131637702973753</v>
      </c>
      <c r="DA78">
        <v>6</v>
      </c>
      <c r="DB78">
        <v>0.5</v>
      </c>
      <c r="DC78" t="s">
        <v>420</v>
      </c>
      <c r="DD78">
        <v>2</v>
      </c>
      <c r="DE78">
        <v>1693509692</v>
      </c>
      <c r="DF78">
        <v>25.417100000000001</v>
      </c>
      <c r="DG78">
        <v>30.0397</v>
      </c>
      <c r="DH78">
        <v>28.908200000000001</v>
      </c>
      <c r="DI78">
        <v>23.293299999999999</v>
      </c>
      <c r="DJ78">
        <v>26.526599999999998</v>
      </c>
      <c r="DK78">
        <v>29.218900000000001</v>
      </c>
      <c r="DL78">
        <v>500.536</v>
      </c>
      <c r="DM78">
        <v>99.495000000000005</v>
      </c>
      <c r="DN78">
        <v>0.10041899999999999</v>
      </c>
      <c r="DO78">
        <v>30.530899999999999</v>
      </c>
      <c r="DP78">
        <v>29.9953</v>
      </c>
      <c r="DQ78">
        <v>999.9</v>
      </c>
      <c r="DR78">
        <v>0</v>
      </c>
      <c r="DS78">
        <v>0</v>
      </c>
      <c r="DT78">
        <v>10010</v>
      </c>
      <c r="DU78">
        <v>0</v>
      </c>
      <c r="DV78">
        <v>1376.16</v>
      </c>
      <c r="DW78">
        <v>-4.6225399999999999</v>
      </c>
      <c r="DX78">
        <v>26.1738</v>
      </c>
      <c r="DY78">
        <v>30.7561</v>
      </c>
      <c r="DZ78">
        <v>5.6148600000000002</v>
      </c>
      <c r="EA78">
        <v>30.0397</v>
      </c>
      <c r="EB78">
        <v>23.293299999999999</v>
      </c>
      <c r="EC78">
        <v>2.87622</v>
      </c>
      <c r="ED78">
        <v>2.3175699999999999</v>
      </c>
      <c r="EE78">
        <v>23.328199999999999</v>
      </c>
      <c r="EF78">
        <v>19.798999999999999</v>
      </c>
      <c r="EG78">
        <v>1799.94</v>
      </c>
      <c r="EH78">
        <v>0.97800100000000001</v>
      </c>
      <c r="EI78">
        <v>2.1999100000000001E-2</v>
      </c>
      <c r="EJ78">
        <v>0</v>
      </c>
      <c r="EK78">
        <v>628.82600000000002</v>
      </c>
      <c r="EL78">
        <v>5.0002500000000003</v>
      </c>
      <c r="EM78">
        <v>20942.900000000001</v>
      </c>
      <c r="EN78">
        <v>14821.6</v>
      </c>
      <c r="EO78">
        <v>49.811999999999998</v>
      </c>
      <c r="EP78">
        <v>51.311999999999998</v>
      </c>
      <c r="EQ78">
        <v>50.811999999999998</v>
      </c>
      <c r="ER78">
        <v>49.625</v>
      </c>
      <c r="ES78">
        <v>50.811999999999998</v>
      </c>
      <c r="ET78">
        <v>1755.45</v>
      </c>
      <c r="EU78">
        <v>39.49</v>
      </c>
      <c r="EV78">
        <v>0</v>
      </c>
      <c r="EW78">
        <v>112.7999999523163</v>
      </c>
      <c r="EX78">
        <v>0</v>
      </c>
      <c r="EY78">
        <v>628.96403846153839</v>
      </c>
      <c r="EZ78">
        <v>-1.35483760277772</v>
      </c>
      <c r="FA78">
        <v>-75.791452432781512</v>
      </c>
      <c r="FB78">
        <v>20972.01923076923</v>
      </c>
      <c r="FC78">
        <v>15</v>
      </c>
      <c r="FD78">
        <v>1693509658.5</v>
      </c>
      <c r="FE78" t="s">
        <v>736</v>
      </c>
      <c r="FF78">
        <v>1693509647.5</v>
      </c>
      <c r="FG78">
        <v>1693509658.5</v>
      </c>
      <c r="FH78">
        <v>70</v>
      </c>
      <c r="FI78">
        <v>0.13400000000000001</v>
      </c>
      <c r="FJ78">
        <v>-3.0000000000000001E-3</v>
      </c>
      <c r="FK78">
        <v>-1.109</v>
      </c>
      <c r="FL78">
        <v>-0.311</v>
      </c>
      <c r="FM78">
        <v>30</v>
      </c>
      <c r="FN78">
        <v>23</v>
      </c>
      <c r="FO78">
        <v>1.02</v>
      </c>
      <c r="FP78">
        <v>0.06</v>
      </c>
      <c r="FQ78">
        <v>3.724314436849157</v>
      </c>
      <c r="FR78">
        <v>-0.22978040417531909</v>
      </c>
      <c r="FS78">
        <v>3.5404422683936898E-2</v>
      </c>
      <c r="FT78">
        <v>1</v>
      </c>
      <c r="FU78">
        <v>0.35383669213795321</v>
      </c>
      <c r="FV78">
        <v>4.4038797600797271E-2</v>
      </c>
      <c r="FW78">
        <v>3.627407205276492E-3</v>
      </c>
      <c r="FX78">
        <v>1</v>
      </c>
      <c r="FY78">
        <v>2</v>
      </c>
      <c r="FZ78">
        <v>2</v>
      </c>
      <c r="GA78" t="s">
        <v>422</v>
      </c>
      <c r="GB78">
        <v>2.9206799999999999</v>
      </c>
      <c r="GC78">
        <v>2.8304</v>
      </c>
      <c r="GD78">
        <v>7.4154700000000004E-3</v>
      </c>
      <c r="GE78">
        <v>8.2046900000000006E-3</v>
      </c>
      <c r="GF78">
        <v>0.136876</v>
      </c>
      <c r="GG78">
        <v>0.112469</v>
      </c>
      <c r="GH78">
        <v>25965.1</v>
      </c>
      <c r="GI78">
        <v>31611.4</v>
      </c>
      <c r="GJ78">
        <v>23550.9</v>
      </c>
      <c r="GK78">
        <v>29180.6</v>
      </c>
      <c r="GL78">
        <v>27721.4</v>
      </c>
      <c r="GM78">
        <v>36637.5</v>
      </c>
      <c r="GN78">
        <v>33310.699999999997</v>
      </c>
      <c r="GO78">
        <v>43065.5</v>
      </c>
      <c r="GP78">
        <v>2.0055000000000001</v>
      </c>
      <c r="GQ78">
        <v>1.8784000000000001</v>
      </c>
      <c r="GR78">
        <v>4.6715100000000002E-2</v>
      </c>
      <c r="GS78">
        <v>0</v>
      </c>
      <c r="GT78">
        <v>29.2346</v>
      </c>
      <c r="GU78">
        <v>999.9</v>
      </c>
      <c r="GV78">
        <v>58.8</v>
      </c>
      <c r="GW78">
        <v>32.4</v>
      </c>
      <c r="GX78">
        <v>28.8658</v>
      </c>
      <c r="GY78">
        <v>61.317</v>
      </c>
      <c r="GZ78">
        <v>34.383000000000003</v>
      </c>
      <c r="HA78">
        <v>1</v>
      </c>
      <c r="HB78">
        <v>0.34631099999999998</v>
      </c>
      <c r="HC78">
        <v>2.1148600000000002</v>
      </c>
      <c r="HD78">
        <v>20.3094</v>
      </c>
      <c r="HE78">
        <v>5.2107000000000001</v>
      </c>
      <c r="HF78">
        <v>11.872199999999999</v>
      </c>
      <c r="HG78">
        <v>4.9858000000000002</v>
      </c>
      <c r="HH78">
        <v>3.2839999999999998</v>
      </c>
      <c r="HI78">
        <v>9999</v>
      </c>
      <c r="HJ78">
        <v>9999</v>
      </c>
      <c r="HK78">
        <v>9999</v>
      </c>
      <c r="HL78">
        <v>999.9</v>
      </c>
      <c r="HM78">
        <v>1.8545799999999999</v>
      </c>
      <c r="HN78">
        <v>1.8607100000000001</v>
      </c>
      <c r="HO78">
        <v>1.8581399999999999</v>
      </c>
      <c r="HP78">
        <v>1.8594200000000001</v>
      </c>
      <c r="HQ78">
        <v>1.85867</v>
      </c>
      <c r="HR78">
        <v>1.8592599999999999</v>
      </c>
      <c r="HS78">
        <v>1.8575999999999999</v>
      </c>
      <c r="HT78">
        <v>1.8609599999999999</v>
      </c>
      <c r="HU78">
        <v>5</v>
      </c>
      <c r="HV78">
        <v>0</v>
      </c>
      <c r="HW78">
        <v>0</v>
      </c>
      <c r="HX78">
        <v>0</v>
      </c>
      <c r="HY78" t="s">
        <v>423</v>
      </c>
      <c r="HZ78" t="s">
        <v>424</v>
      </c>
      <c r="IA78" t="s">
        <v>425</v>
      </c>
      <c r="IB78" t="s">
        <v>425</v>
      </c>
      <c r="IC78" t="s">
        <v>425</v>
      </c>
      <c r="ID78" t="s">
        <v>425</v>
      </c>
      <c r="IE78">
        <v>0</v>
      </c>
      <c r="IF78">
        <v>100</v>
      </c>
      <c r="IG78">
        <v>100</v>
      </c>
      <c r="IH78">
        <v>-1.109</v>
      </c>
      <c r="II78">
        <v>-0.31069999999999998</v>
      </c>
      <c r="IJ78">
        <v>-1.109471428571432</v>
      </c>
      <c r="IK78">
        <v>0</v>
      </c>
      <c r="IL78">
        <v>0</v>
      </c>
      <c r="IM78">
        <v>0</v>
      </c>
      <c r="IN78">
        <v>-0.31073809523808998</v>
      </c>
      <c r="IO78">
        <v>0</v>
      </c>
      <c r="IP78">
        <v>0</v>
      </c>
      <c r="IQ78">
        <v>0</v>
      </c>
      <c r="IR78">
        <v>-1</v>
      </c>
      <c r="IS78">
        <v>-1</v>
      </c>
      <c r="IT78">
        <v>-1</v>
      </c>
      <c r="IU78">
        <v>-1</v>
      </c>
      <c r="IV78">
        <v>0.7</v>
      </c>
      <c r="IW78">
        <v>0.6</v>
      </c>
      <c r="IX78">
        <v>0.21240200000000001</v>
      </c>
      <c r="IY78">
        <v>2.50732</v>
      </c>
      <c r="IZ78">
        <v>1.49414</v>
      </c>
      <c r="JA78">
        <v>2.2973599999999998</v>
      </c>
      <c r="JB78">
        <v>1.54419</v>
      </c>
      <c r="JC78">
        <v>2.3083499999999999</v>
      </c>
      <c r="JD78">
        <v>36.128500000000003</v>
      </c>
      <c r="JE78">
        <v>15.9358</v>
      </c>
      <c r="JF78">
        <v>18</v>
      </c>
      <c r="JG78">
        <v>533.87400000000002</v>
      </c>
      <c r="JH78">
        <v>483.47699999999998</v>
      </c>
      <c r="JI78">
        <v>25.485399999999998</v>
      </c>
      <c r="JJ78">
        <v>31.9114</v>
      </c>
      <c r="JK78">
        <v>29.9999</v>
      </c>
      <c r="JL78">
        <v>31.8262</v>
      </c>
      <c r="JM78">
        <v>31.7928</v>
      </c>
      <c r="JN78">
        <v>4.3226000000000004</v>
      </c>
      <c r="JO78">
        <v>27.099599999999999</v>
      </c>
      <c r="JP78">
        <v>100</v>
      </c>
      <c r="JQ78">
        <v>25.482900000000001</v>
      </c>
      <c r="JR78">
        <v>30</v>
      </c>
      <c r="JS78">
        <v>23.216100000000001</v>
      </c>
      <c r="JT78">
        <v>98.782300000000006</v>
      </c>
      <c r="JU78">
        <v>97.010099999999994</v>
      </c>
    </row>
    <row r="79" spans="1:281" x14ac:dyDescent="0.25">
      <c r="A79">
        <v>63</v>
      </c>
      <c r="B79">
        <v>1693509791.5</v>
      </c>
      <c r="C79">
        <v>15655.5</v>
      </c>
      <c r="D79" t="s">
        <v>737</v>
      </c>
      <c r="E79" t="s">
        <v>738</v>
      </c>
      <c r="F79" t="s">
        <v>414</v>
      </c>
      <c r="G79" t="s">
        <v>415</v>
      </c>
      <c r="H79" t="s">
        <v>708</v>
      </c>
      <c r="I79" t="s">
        <v>31</v>
      </c>
      <c r="J79">
        <v>1693509791.5</v>
      </c>
      <c r="K79">
        <f t="shared" si="46"/>
        <v>4.9260374864190251E-3</v>
      </c>
      <c r="L79">
        <f t="shared" si="47"/>
        <v>4.9260374864190251</v>
      </c>
      <c r="M79">
        <f t="shared" si="48"/>
        <v>1.2587979150760196</v>
      </c>
      <c r="N79">
        <f t="shared" si="49"/>
        <v>8.4138199999999994</v>
      </c>
      <c r="O79">
        <f t="shared" si="50"/>
        <v>2.4775958682361741</v>
      </c>
      <c r="P79">
        <f t="shared" si="51"/>
        <v>0.24676778042160377</v>
      </c>
      <c r="Q79">
        <f t="shared" si="52"/>
        <v>0.83801386371579989</v>
      </c>
      <c r="R79">
        <f t="shared" si="53"/>
        <v>0.36716787959895164</v>
      </c>
      <c r="S79">
        <f t="shared" si="54"/>
        <v>2.9172355860362447</v>
      </c>
      <c r="T79">
        <f t="shared" si="55"/>
        <v>0.34329106550463806</v>
      </c>
      <c r="U79">
        <f t="shared" si="56"/>
        <v>0.21657263067619018</v>
      </c>
      <c r="V79">
        <f t="shared" si="57"/>
        <v>344.34849967089667</v>
      </c>
      <c r="W79">
        <f t="shared" si="58"/>
        <v>31.26999628690109</v>
      </c>
      <c r="X79">
        <f t="shared" si="59"/>
        <v>29.9757</v>
      </c>
      <c r="Y79">
        <f t="shared" si="60"/>
        <v>4.2545067711103766</v>
      </c>
      <c r="Z79">
        <f t="shared" si="61"/>
        <v>65.535226959064417</v>
      </c>
      <c r="AA79">
        <f t="shared" si="62"/>
        <v>2.8764689271069996</v>
      </c>
      <c r="AB79">
        <f t="shared" si="63"/>
        <v>4.3891950338460601</v>
      </c>
      <c r="AC79">
        <f t="shared" si="64"/>
        <v>1.3780378440033769</v>
      </c>
      <c r="AD79">
        <f t="shared" si="65"/>
        <v>-217.23825315107902</v>
      </c>
      <c r="AE79">
        <f t="shared" si="66"/>
        <v>85.49414907146047</v>
      </c>
      <c r="AF79">
        <f t="shared" si="67"/>
        <v>6.532330291852575</v>
      </c>
      <c r="AG79">
        <f t="shared" si="68"/>
        <v>219.13672588313071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51902.279637220978</v>
      </c>
      <c r="AM79" t="s">
        <v>417</v>
      </c>
      <c r="AN79">
        <v>10366.9</v>
      </c>
      <c r="AO79">
        <v>993.59653846153856</v>
      </c>
      <c r="AP79">
        <v>3431.87</v>
      </c>
      <c r="AQ79">
        <f t="shared" si="72"/>
        <v>0.71047955241266758</v>
      </c>
      <c r="AR79">
        <v>-3.9894345373445681</v>
      </c>
      <c r="AS79" t="s">
        <v>739</v>
      </c>
      <c r="AT79">
        <v>10323.700000000001</v>
      </c>
      <c r="AU79">
        <v>630.63008000000002</v>
      </c>
      <c r="AV79">
        <v>673.86049396343094</v>
      </c>
      <c r="AW79">
        <f t="shared" si="73"/>
        <v>6.4153358670966942E-2</v>
      </c>
      <c r="AX79">
        <v>0.5</v>
      </c>
      <c r="AY79">
        <f t="shared" si="74"/>
        <v>1513.0922998354483</v>
      </c>
      <c r="AZ79">
        <f t="shared" si="75"/>
        <v>1.2587979150760196</v>
      </c>
      <c r="BA79">
        <f t="shared" si="76"/>
        <v>48.534976506810885</v>
      </c>
      <c r="BB79">
        <f t="shared" si="77"/>
        <v>3.4685474593924926E-3</v>
      </c>
      <c r="BC79">
        <f t="shared" si="78"/>
        <v>4.092849381649966</v>
      </c>
      <c r="BD79">
        <f t="shared" si="79"/>
        <v>454.74283660192833</v>
      </c>
      <c r="BE79" t="s">
        <v>740</v>
      </c>
      <c r="BF79">
        <v>521.11</v>
      </c>
      <c r="BG79">
        <f t="shared" si="80"/>
        <v>521.11</v>
      </c>
      <c r="BH79">
        <f t="shared" si="81"/>
        <v>0.22667969903533236</v>
      </c>
      <c r="BI79">
        <f t="shared" si="82"/>
        <v>0.28301325149089501</v>
      </c>
      <c r="BJ79">
        <f t="shared" si="83"/>
        <v>0.94752212687977333</v>
      </c>
      <c r="BK79">
        <f t="shared" si="84"/>
        <v>-0.13520657025481775</v>
      </c>
      <c r="BL79">
        <f t="shared" si="85"/>
        <v>1.1311321513118409</v>
      </c>
      <c r="BM79">
        <f t="shared" si="86"/>
        <v>0.23386298903537922</v>
      </c>
      <c r="BN79">
        <f t="shared" si="87"/>
        <v>0.76613701096462083</v>
      </c>
      <c r="BO79">
        <v>16830</v>
      </c>
      <c r="BP79">
        <v>290.00000000000011</v>
      </c>
      <c r="BQ79">
        <v>661.14</v>
      </c>
      <c r="BR79">
        <v>95</v>
      </c>
      <c r="BS79">
        <v>10323.700000000001</v>
      </c>
      <c r="BT79">
        <v>660.54</v>
      </c>
      <c r="BU79">
        <v>0.6</v>
      </c>
      <c r="BV79">
        <v>300.00000000000011</v>
      </c>
      <c r="BW79">
        <v>38.4</v>
      </c>
      <c r="BX79">
        <v>673.86049396343094</v>
      </c>
      <c r="BY79">
        <v>0.95547641831876573</v>
      </c>
      <c r="BZ79">
        <v>-13.750533664567451</v>
      </c>
      <c r="CA79">
        <v>0.80562770587279076</v>
      </c>
      <c r="CB79">
        <v>0.91231367009613373</v>
      </c>
      <c r="CC79">
        <v>-1.122340711902114E-2</v>
      </c>
      <c r="CD79">
        <v>289.99999999999989</v>
      </c>
      <c r="CE79">
        <v>658.83</v>
      </c>
      <c r="CF79">
        <v>725</v>
      </c>
      <c r="CG79">
        <v>10276.5</v>
      </c>
      <c r="CH79">
        <v>660.48</v>
      </c>
      <c r="CI79">
        <v>-1.65</v>
      </c>
      <c r="CW79">
        <f t="shared" si="88"/>
        <v>1799.89</v>
      </c>
      <c r="CX79">
        <f t="shared" si="89"/>
        <v>1513.0922998354483</v>
      </c>
      <c r="CY79">
        <f t="shared" si="90"/>
        <v>0.84065820679899783</v>
      </c>
      <c r="CZ79">
        <f t="shared" si="91"/>
        <v>0.19131641359799578</v>
      </c>
      <c r="DA79">
        <v>6</v>
      </c>
      <c r="DB79">
        <v>0.5</v>
      </c>
      <c r="DC79" t="s">
        <v>420</v>
      </c>
      <c r="DD79">
        <v>2</v>
      </c>
      <c r="DE79">
        <v>1693509791.5</v>
      </c>
      <c r="DF79">
        <v>8.4138199999999994</v>
      </c>
      <c r="DG79">
        <v>9.9725300000000008</v>
      </c>
      <c r="DH79">
        <v>28.880299999999998</v>
      </c>
      <c r="DI79">
        <v>23.145600000000002</v>
      </c>
      <c r="DJ79">
        <v>9.5260499999999997</v>
      </c>
      <c r="DK79">
        <v>29.192699999999999</v>
      </c>
      <c r="DL79">
        <v>500.50799999999998</v>
      </c>
      <c r="DM79">
        <v>99.498699999999999</v>
      </c>
      <c r="DN79">
        <v>0.10099</v>
      </c>
      <c r="DO79">
        <v>30.519300000000001</v>
      </c>
      <c r="DP79">
        <v>29.9757</v>
      </c>
      <c r="DQ79">
        <v>999.9</v>
      </c>
      <c r="DR79">
        <v>0</v>
      </c>
      <c r="DS79">
        <v>0</v>
      </c>
      <c r="DT79">
        <v>9980</v>
      </c>
      <c r="DU79">
        <v>0</v>
      </c>
      <c r="DV79">
        <v>1367.21</v>
      </c>
      <c r="DW79">
        <v>-1.5587</v>
      </c>
      <c r="DX79">
        <v>8.66404</v>
      </c>
      <c r="DY79">
        <v>10.2088</v>
      </c>
      <c r="DZ79">
        <v>5.7346700000000004</v>
      </c>
      <c r="EA79">
        <v>9.9725300000000008</v>
      </c>
      <c r="EB79">
        <v>23.145600000000002</v>
      </c>
      <c r="EC79">
        <v>2.8735499999999998</v>
      </c>
      <c r="ED79">
        <v>2.3029600000000001</v>
      </c>
      <c r="EE79">
        <v>23.312799999999999</v>
      </c>
      <c r="EF79">
        <v>19.697099999999999</v>
      </c>
      <c r="EG79">
        <v>1799.89</v>
      </c>
      <c r="EH79">
        <v>0.97800100000000001</v>
      </c>
      <c r="EI79">
        <v>2.1999100000000001E-2</v>
      </c>
      <c r="EJ79">
        <v>0</v>
      </c>
      <c r="EK79">
        <v>630.59199999999998</v>
      </c>
      <c r="EL79">
        <v>5.0002500000000003</v>
      </c>
      <c r="EM79">
        <v>21013.3</v>
      </c>
      <c r="EN79">
        <v>14821.1</v>
      </c>
      <c r="EO79">
        <v>49.936999999999998</v>
      </c>
      <c r="EP79">
        <v>51.375</v>
      </c>
      <c r="EQ79">
        <v>50.936999999999998</v>
      </c>
      <c r="ER79">
        <v>49.75</v>
      </c>
      <c r="ES79">
        <v>50.936999999999998</v>
      </c>
      <c r="ET79">
        <v>1755.4</v>
      </c>
      <c r="EU79">
        <v>39.49</v>
      </c>
      <c r="EV79">
        <v>0</v>
      </c>
      <c r="EW79">
        <v>97.799999952316284</v>
      </c>
      <c r="EX79">
        <v>0</v>
      </c>
      <c r="EY79">
        <v>630.63008000000002</v>
      </c>
      <c r="EZ79">
        <v>-0.49023077532152998</v>
      </c>
      <c r="FA79">
        <v>234.8461533097734</v>
      </c>
      <c r="FB79">
        <v>21052.691999999999</v>
      </c>
      <c r="FC79">
        <v>15</v>
      </c>
      <c r="FD79">
        <v>1693509757</v>
      </c>
      <c r="FE79" t="s">
        <v>741</v>
      </c>
      <c r="FF79">
        <v>1693509753</v>
      </c>
      <c r="FG79">
        <v>1693509757</v>
      </c>
      <c r="FH79">
        <v>71</v>
      </c>
      <c r="FI79">
        <v>-3.0000000000000001E-3</v>
      </c>
      <c r="FJ79">
        <v>-2E-3</v>
      </c>
      <c r="FK79">
        <v>-1.1120000000000001</v>
      </c>
      <c r="FL79">
        <v>-0.312</v>
      </c>
      <c r="FM79">
        <v>10</v>
      </c>
      <c r="FN79">
        <v>23</v>
      </c>
      <c r="FO79">
        <v>0.92</v>
      </c>
      <c r="FP79">
        <v>0.05</v>
      </c>
      <c r="FQ79">
        <v>1.2815085084708071</v>
      </c>
      <c r="FR79">
        <v>-0.18811692699707019</v>
      </c>
      <c r="FS79">
        <v>4.1069375719830319E-2</v>
      </c>
      <c r="FT79">
        <v>1</v>
      </c>
      <c r="FU79">
        <v>0.36986933751879397</v>
      </c>
      <c r="FV79">
        <v>-1.9874905464228551E-3</v>
      </c>
      <c r="FW79">
        <v>2.6438050384220962E-3</v>
      </c>
      <c r="FX79">
        <v>1</v>
      </c>
      <c r="FY79">
        <v>2</v>
      </c>
      <c r="FZ79">
        <v>2</v>
      </c>
      <c r="GA79" t="s">
        <v>422</v>
      </c>
      <c r="GB79">
        <v>2.9205700000000001</v>
      </c>
      <c r="GC79">
        <v>2.8307000000000002</v>
      </c>
      <c r="GD79">
        <v>2.6729700000000002E-3</v>
      </c>
      <c r="GE79">
        <v>2.7350299999999998E-3</v>
      </c>
      <c r="GF79">
        <v>0.13678599999999999</v>
      </c>
      <c r="GG79">
        <v>0.11196399999999999</v>
      </c>
      <c r="GH79">
        <v>26088.7</v>
      </c>
      <c r="GI79">
        <v>31784.799999999999</v>
      </c>
      <c r="GJ79">
        <v>23550.9</v>
      </c>
      <c r="GK79">
        <v>29180.1</v>
      </c>
      <c r="GL79">
        <v>27725</v>
      </c>
      <c r="GM79">
        <v>36658</v>
      </c>
      <c r="GN79">
        <v>33311.800000000003</v>
      </c>
      <c r="GO79">
        <v>43065.3</v>
      </c>
      <c r="GP79">
        <v>2.0051999999999999</v>
      </c>
      <c r="GQ79">
        <v>1.8774</v>
      </c>
      <c r="GR79">
        <v>4.8130800000000001E-2</v>
      </c>
      <c r="GS79">
        <v>0</v>
      </c>
      <c r="GT79">
        <v>29.1919</v>
      </c>
      <c r="GU79">
        <v>999.9</v>
      </c>
      <c r="GV79">
        <v>58.8</v>
      </c>
      <c r="GW79">
        <v>32.4</v>
      </c>
      <c r="GX79">
        <v>28.862300000000001</v>
      </c>
      <c r="GY79">
        <v>61.347000000000001</v>
      </c>
      <c r="GZ79">
        <v>34.286900000000003</v>
      </c>
      <c r="HA79">
        <v>1</v>
      </c>
      <c r="HB79">
        <v>0.34912599999999999</v>
      </c>
      <c r="HC79">
        <v>2.1301600000000001</v>
      </c>
      <c r="HD79">
        <v>20.309200000000001</v>
      </c>
      <c r="HE79">
        <v>5.2112999999999996</v>
      </c>
      <c r="HF79">
        <v>11.872199999999999</v>
      </c>
      <c r="HG79">
        <v>4.9854000000000003</v>
      </c>
      <c r="HH79">
        <v>3.2839999999999998</v>
      </c>
      <c r="HI79">
        <v>9999</v>
      </c>
      <c r="HJ79">
        <v>9999</v>
      </c>
      <c r="HK79">
        <v>9999</v>
      </c>
      <c r="HL79">
        <v>999.9</v>
      </c>
      <c r="HM79">
        <v>1.8545499999999999</v>
      </c>
      <c r="HN79">
        <v>1.8606799999999999</v>
      </c>
      <c r="HO79">
        <v>1.8582000000000001</v>
      </c>
      <c r="HP79">
        <v>1.85941</v>
      </c>
      <c r="HQ79">
        <v>1.85867</v>
      </c>
      <c r="HR79">
        <v>1.8592500000000001</v>
      </c>
      <c r="HS79">
        <v>1.85762</v>
      </c>
      <c r="HT79">
        <v>1.8609599999999999</v>
      </c>
      <c r="HU79">
        <v>5</v>
      </c>
      <c r="HV79">
        <v>0</v>
      </c>
      <c r="HW79">
        <v>0</v>
      </c>
      <c r="HX79">
        <v>0</v>
      </c>
      <c r="HY79" t="s">
        <v>423</v>
      </c>
      <c r="HZ79" t="s">
        <v>424</v>
      </c>
      <c r="IA79" t="s">
        <v>425</v>
      </c>
      <c r="IB79" t="s">
        <v>425</v>
      </c>
      <c r="IC79" t="s">
        <v>425</v>
      </c>
      <c r="ID79" t="s">
        <v>425</v>
      </c>
      <c r="IE79">
        <v>0</v>
      </c>
      <c r="IF79">
        <v>100</v>
      </c>
      <c r="IG79">
        <v>100</v>
      </c>
      <c r="IH79">
        <v>-1.1120000000000001</v>
      </c>
      <c r="II79">
        <v>-0.31240000000000001</v>
      </c>
      <c r="IJ79">
        <v>-1.112228571428568</v>
      </c>
      <c r="IK79">
        <v>0</v>
      </c>
      <c r="IL79">
        <v>0</v>
      </c>
      <c r="IM79">
        <v>0</v>
      </c>
      <c r="IN79">
        <v>-0.31236666666666218</v>
      </c>
      <c r="IO79">
        <v>0</v>
      </c>
      <c r="IP79">
        <v>0</v>
      </c>
      <c r="IQ79">
        <v>0</v>
      </c>
      <c r="IR79">
        <v>-1</v>
      </c>
      <c r="IS79">
        <v>-1</v>
      </c>
      <c r="IT79">
        <v>-1</v>
      </c>
      <c r="IU79">
        <v>-1</v>
      </c>
      <c r="IV79">
        <v>0.6</v>
      </c>
      <c r="IW79">
        <v>0.6</v>
      </c>
      <c r="IX79">
        <v>0.168457</v>
      </c>
      <c r="IY79">
        <v>2.52319</v>
      </c>
      <c r="IZ79">
        <v>1.49414</v>
      </c>
      <c r="JA79">
        <v>2.2973599999999998</v>
      </c>
      <c r="JB79">
        <v>1.54419</v>
      </c>
      <c r="JC79">
        <v>2.4939</v>
      </c>
      <c r="JD79">
        <v>36.152000000000001</v>
      </c>
      <c r="JE79">
        <v>15.9445</v>
      </c>
      <c r="JF79">
        <v>18</v>
      </c>
      <c r="JG79">
        <v>533.93700000000001</v>
      </c>
      <c r="JH79">
        <v>483.041</v>
      </c>
      <c r="JI79">
        <v>25.583400000000001</v>
      </c>
      <c r="JJ79">
        <v>31.9452</v>
      </c>
      <c r="JK79">
        <v>30.000299999999999</v>
      </c>
      <c r="JL79">
        <v>31.8567</v>
      </c>
      <c r="JM79">
        <v>31.8261</v>
      </c>
      <c r="JN79">
        <v>3.4247100000000001</v>
      </c>
      <c r="JO79">
        <v>27.838200000000001</v>
      </c>
      <c r="JP79">
        <v>99.628900000000002</v>
      </c>
      <c r="JQ79">
        <v>25.5807</v>
      </c>
      <c r="JR79">
        <v>10</v>
      </c>
      <c r="JS79">
        <v>23.046099999999999</v>
      </c>
      <c r="JT79">
        <v>98.784099999999995</v>
      </c>
      <c r="JU79">
        <v>97.009100000000004</v>
      </c>
    </row>
    <row r="80" spans="1:281" x14ac:dyDescent="0.25">
      <c r="A80">
        <v>64</v>
      </c>
      <c r="B80">
        <v>1693509981</v>
      </c>
      <c r="C80">
        <v>15845</v>
      </c>
      <c r="D80" t="s">
        <v>742</v>
      </c>
      <c r="E80" t="s">
        <v>743</v>
      </c>
      <c r="F80" t="s">
        <v>414</v>
      </c>
      <c r="G80" t="s">
        <v>415</v>
      </c>
      <c r="H80" t="s">
        <v>708</v>
      </c>
      <c r="I80" t="s">
        <v>31</v>
      </c>
      <c r="J80">
        <v>1693509981</v>
      </c>
      <c r="K80">
        <f t="shared" si="46"/>
        <v>4.6593466967356691E-3</v>
      </c>
      <c r="L80">
        <f t="shared" si="47"/>
        <v>4.6593466967356694</v>
      </c>
      <c r="M80">
        <f t="shared" si="48"/>
        <v>39.409982475307068</v>
      </c>
      <c r="N80">
        <f t="shared" si="49"/>
        <v>350.73599999999999</v>
      </c>
      <c r="O80">
        <f t="shared" si="50"/>
        <v>148.24402091614414</v>
      </c>
      <c r="P80">
        <f t="shared" si="51"/>
        <v>14.764950650427451</v>
      </c>
      <c r="Q80">
        <f t="shared" si="52"/>
        <v>34.932941641252803</v>
      </c>
      <c r="R80">
        <f t="shared" si="53"/>
        <v>0.33817834136532166</v>
      </c>
      <c r="S80">
        <f t="shared" si="54"/>
        <v>2.9189940351406762</v>
      </c>
      <c r="T80">
        <f t="shared" si="55"/>
        <v>0.31782233605932358</v>
      </c>
      <c r="U80">
        <f t="shared" si="56"/>
        <v>0.20036567924797452</v>
      </c>
      <c r="V80">
        <f t="shared" si="57"/>
        <v>344.38019967101098</v>
      </c>
      <c r="W80">
        <f t="shared" si="58"/>
        <v>31.400448412348993</v>
      </c>
      <c r="X80">
        <f t="shared" si="59"/>
        <v>30.0335</v>
      </c>
      <c r="Y80">
        <f t="shared" si="60"/>
        <v>4.2686546603909283</v>
      </c>
      <c r="Z80">
        <f t="shared" si="61"/>
        <v>64.949415721124765</v>
      </c>
      <c r="AA80">
        <f t="shared" si="62"/>
        <v>2.8607710342466697</v>
      </c>
      <c r="AB80">
        <f t="shared" si="63"/>
        <v>4.4046139637807471</v>
      </c>
      <c r="AC80">
        <f t="shared" si="64"/>
        <v>1.4078836261442587</v>
      </c>
      <c r="AD80">
        <f t="shared" si="65"/>
        <v>-205.477189326043</v>
      </c>
      <c r="AE80">
        <f t="shared" si="66"/>
        <v>86.096473993752085</v>
      </c>
      <c r="AF80">
        <f t="shared" si="67"/>
        <v>6.5782630267126683</v>
      </c>
      <c r="AG80">
        <f t="shared" si="68"/>
        <v>231.57774736543271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51941.84433467772</v>
      </c>
      <c r="AM80" t="s">
        <v>417</v>
      </c>
      <c r="AN80">
        <v>10366.9</v>
      </c>
      <c r="AO80">
        <v>993.59653846153856</v>
      </c>
      <c r="AP80">
        <v>3431.87</v>
      </c>
      <c r="AQ80">
        <f t="shared" si="72"/>
        <v>0.71047955241266758</v>
      </c>
      <c r="AR80">
        <v>-3.9894345373445681</v>
      </c>
      <c r="AS80" t="s">
        <v>744</v>
      </c>
      <c r="AT80">
        <v>10301.6</v>
      </c>
      <c r="AU80">
        <v>652.77963999999997</v>
      </c>
      <c r="AV80">
        <v>942.23735679050003</v>
      </c>
      <c r="AW80">
        <f t="shared" si="73"/>
        <v>0.30720254796144641</v>
      </c>
      <c r="AX80">
        <v>0.5</v>
      </c>
      <c r="AY80">
        <f t="shared" si="74"/>
        <v>1513.2347998355056</v>
      </c>
      <c r="AZ80">
        <f t="shared" si="75"/>
        <v>39.409982475307068</v>
      </c>
      <c r="BA80">
        <f t="shared" si="76"/>
        <v>232.43479308669833</v>
      </c>
      <c r="BB80">
        <f t="shared" si="77"/>
        <v>2.867989621793612E-2</v>
      </c>
      <c r="BC80">
        <f t="shared" si="78"/>
        <v>2.6422563542691848</v>
      </c>
      <c r="BD80">
        <f t="shared" si="79"/>
        <v>562.94828349621412</v>
      </c>
      <c r="BE80" t="s">
        <v>745</v>
      </c>
      <c r="BF80">
        <v>524.26</v>
      </c>
      <c r="BG80">
        <f t="shared" si="80"/>
        <v>524.26</v>
      </c>
      <c r="BH80">
        <f t="shared" si="81"/>
        <v>0.44360091836545001</v>
      </c>
      <c r="BI80">
        <f t="shared" si="82"/>
        <v>0.69252009011479299</v>
      </c>
      <c r="BJ80">
        <f t="shared" si="83"/>
        <v>0.85624710439484664</v>
      </c>
      <c r="BK80">
        <f t="shared" si="84"/>
        <v>-5.6359487704556912</v>
      </c>
      <c r="BL80">
        <f t="shared" si="85"/>
        <v>1.0210637496085579</v>
      </c>
      <c r="BM80">
        <f t="shared" si="86"/>
        <v>0.55617632688970109</v>
      </c>
      <c r="BN80">
        <f t="shared" si="87"/>
        <v>0.44382367311029891</v>
      </c>
      <c r="BO80">
        <v>16832</v>
      </c>
      <c r="BP80">
        <v>290.00000000000011</v>
      </c>
      <c r="BQ80">
        <v>851.08</v>
      </c>
      <c r="BR80">
        <v>235</v>
      </c>
      <c r="BS80">
        <v>10301.6</v>
      </c>
      <c r="BT80">
        <v>850.37</v>
      </c>
      <c r="BU80">
        <v>0.71</v>
      </c>
      <c r="BV80">
        <v>300.00000000000011</v>
      </c>
      <c r="BW80">
        <v>38.5</v>
      </c>
      <c r="BX80">
        <v>942.23735679050003</v>
      </c>
      <c r="BY80">
        <v>1.4532853512189221</v>
      </c>
      <c r="BZ80">
        <v>-94.639098809071484</v>
      </c>
      <c r="CA80">
        <v>1.2254175827975811</v>
      </c>
      <c r="CB80">
        <v>0.99532748128767312</v>
      </c>
      <c r="CC80">
        <v>-1.122516551724138E-2</v>
      </c>
      <c r="CD80">
        <v>289.99999999999989</v>
      </c>
      <c r="CE80">
        <v>832.98</v>
      </c>
      <c r="CF80">
        <v>635</v>
      </c>
      <c r="CG80">
        <v>10283.6</v>
      </c>
      <c r="CH80">
        <v>850.21</v>
      </c>
      <c r="CI80">
        <v>-17.23</v>
      </c>
      <c r="CW80">
        <f t="shared" si="88"/>
        <v>1800.06</v>
      </c>
      <c r="CX80">
        <f t="shared" si="89"/>
        <v>1513.2347998355056</v>
      </c>
      <c r="CY80">
        <f t="shared" si="90"/>
        <v>0.84065797797601505</v>
      </c>
      <c r="CZ80">
        <f t="shared" si="91"/>
        <v>0.19131595595202994</v>
      </c>
      <c r="DA80">
        <v>6</v>
      </c>
      <c r="DB80">
        <v>0.5</v>
      </c>
      <c r="DC80" t="s">
        <v>420</v>
      </c>
      <c r="DD80">
        <v>2</v>
      </c>
      <c r="DE80">
        <v>1693509981</v>
      </c>
      <c r="DF80">
        <v>350.73599999999999</v>
      </c>
      <c r="DG80">
        <v>399.99700000000001</v>
      </c>
      <c r="DH80">
        <v>28.722899999999999</v>
      </c>
      <c r="DI80">
        <v>23.291399999999999</v>
      </c>
      <c r="DJ80">
        <v>352.30799999999999</v>
      </c>
      <c r="DK80">
        <v>29.0383</v>
      </c>
      <c r="DL80">
        <v>499.91899999999998</v>
      </c>
      <c r="DM80">
        <v>99.498999999999995</v>
      </c>
      <c r="DN80">
        <v>9.9962300000000004E-2</v>
      </c>
      <c r="DO80">
        <v>30.5806</v>
      </c>
      <c r="DP80">
        <v>30.0335</v>
      </c>
      <c r="DQ80">
        <v>999.9</v>
      </c>
      <c r="DR80">
        <v>0</v>
      </c>
      <c r="DS80">
        <v>0</v>
      </c>
      <c r="DT80">
        <v>9990</v>
      </c>
      <c r="DU80">
        <v>0</v>
      </c>
      <c r="DV80">
        <v>1354.4</v>
      </c>
      <c r="DW80">
        <v>-49.261000000000003</v>
      </c>
      <c r="DX80">
        <v>361.10899999999998</v>
      </c>
      <c r="DY80">
        <v>409.536</v>
      </c>
      <c r="DZ80">
        <v>5.4314900000000002</v>
      </c>
      <c r="EA80">
        <v>399.99700000000001</v>
      </c>
      <c r="EB80">
        <v>23.291399999999999</v>
      </c>
      <c r="EC80">
        <v>2.8578999999999999</v>
      </c>
      <c r="ED80">
        <v>2.3174800000000002</v>
      </c>
      <c r="EE80">
        <v>23.2224</v>
      </c>
      <c r="EF80">
        <v>19.798400000000001</v>
      </c>
      <c r="EG80">
        <v>1800.06</v>
      </c>
      <c r="EH80">
        <v>0.97800500000000001</v>
      </c>
      <c r="EI80">
        <v>2.1995299999999999E-2</v>
      </c>
      <c r="EJ80">
        <v>0</v>
      </c>
      <c r="EK80">
        <v>652.70799999999997</v>
      </c>
      <c r="EL80">
        <v>5.0002500000000003</v>
      </c>
      <c r="EM80">
        <v>21642.400000000001</v>
      </c>
      <c r="EN80">
        <v>14822.6</v>
      </c>
      <c r="EO80">
        <v>50.125</v>
      </c>
      <c r="EP80">
        <v>51.561999999999998</v>
      </c>
      <c r="EQ80">
        <v>51.125</v>
      </c>
      <c r="ER80">
        <v>50.061999999999998</v>
      </c>
      <c r="ES80">
        <v>51.125</v>
      </c>
      <c r="ET80">
        <v>1755.58</v>
      </c>
      <c r="EU80">
        <v>39.479999999999997</v>
      </c>
      <c r="EV80">
        <v>0</v>
      </c>
      <c r="EW80">
        <v>187.79999995231631</v>
      </c>
      <c r="EX80">
        <v>0</v>
      </c>
      <c r="EY80">
        <v>652.77963999999997</v>
      </c>
      <c r="EZ80">
        <v>2.1556153924992478</v>
      </c>
      <c r="FA80">
        <v>43.807691678563543</v>
      </c>
      <c r="FB80">
        <v>21643.7</v>
      </c>
      <c r="FC80">
        <v>15</v>
      </c>
      <c r="FD80">
        <v>1693509884.5</v>
      </c>
      <c r="FE80" t="s">
        <v>746</v>
      </c>
      <c r="FF80">
        <v>1693509884.5</v>
      </c>
      <c r="FG80">
        <v>1693509878</v>
      </c>
      <c r="FH80">
        <v>72</v>
      </c>
      <c r="FI80">
        <v>-0.45900000000000002</v>
      </c>
      <c r="FJ80">
        <v>-3.0000000000000001E-3</v>
      </c>
      <c r="FK80">
        <v>-1.571</v>
      </c>
      <c r="FL80">
        <v>-0.315</v>
      </c>
      <c r="FM80">
        <v>400</v>
      </c>
      <c r="FN80">
        <v>23</v>
      </c>
      <c r="FO80">
        <v>0.24</v>
      </c>
      <c r="FP80">
        <v>0.04</v>
      </c>
      <c r="FQ80">
        <v>39.167570064170121</v>
      </c>
      <c r="FR80">
        <v>1.8438387481891221</v>
      </c>
      <c r="FS80">
        <v>0.1520807822352396</v>
      </c>
      <c r="FT80">
        <v>0</v>
      </c>
      <c r="FU80">
        <v>0.33899376502441497</v>
      </c>
      <c r="FV80">
        <v>1.9410295321932839E-3</v>
      </c>
      <c r="FW80">
        <v>6.3285865470445052E-4</v>
      </c>
      <c r="FX80">
        <v>1</v>
      </c>
      <c r="FY80">
        <v>1</v>
      </c>
      <c r="FZ80">
        <v>2</v>
      </c>
      <c r="GA80" t="s">
        <v>461</v>
      </c>
      <c r="GB80">
        <v>2.91899</v>
      </c>
      <c r="GC80">
        <v>2.8297599999999998</v>
      </c>
      <c r="GD80">
        <v>8.2016599999999995E-2</v>
      </c>
      <c r="GE80">
        <v>8.8827199999999995E-2</v>
      </c>
      <c r="GF80">
        <v>0.13625799999999999</v>
      </c>
      <c r="GG80">
        <v>0.11243499999999999</v>
      </c>
      <c r="GH80">
        <v>24011.1</v>
      </c>
      <c r="GI80">
        <v>29040.5</v>
      </c>
      <c r="GJ80">
        <v>23547.4</v>
      </c>
      <c r="GK80">
        <v>29178.3</v>
      </c>
      <c r="GL80">
        <v>27746</v>
      </c>
      <c r="GM80">
        <v>36646.199999999997</v>
      </c>
      <c r="GN80">
        <v>33307.1</v>
      </c>
      <c r="GO80">
        <v>43062.5</v>
      </c>
      <c r="GP80">
        <v>2.0049999999999999</v>
      </c>
      <c r="GQ80">
        <v>1.8763000000000001</v>
      </c>
      <c r="GR80">
        <v>4.3958400000000002E-2</v>
      </c>
      <c r="GS80">
        <v>0</v>
      </c>
      <c r="GT80">
        <v>29.317699999999999</v>
      </c>
      <c r="GU80">
        <v>999.9</v>
      </c>
      <c r="GV80">
        <v>58.8</v>
      </c>
      <c r="GW80">
        <v>32.5</v>
      </c>
      <c r="GX80">
        <v>29.027699999999999</v>
      </c>
      <c r="GY80">
        <v>61.517099999999999</v>
      </c>
      <c r="GZ80">
        <v>34.959899999999998</v>
      </c>
      <c r="HA80">
        <v>1</v>
      </c>
      <c r="HB80">
        <v>0.36022399999999999</v>
      </c>
      <c r="HC80">
        <v>2.80911</v>
      </c>
      <c r="HD80">
        <v>20.299900000000001</v>
      </c>
      <c r="HE80">
        <v>5.2112999999999996</v>
      </c>
      <c r="HF80">
        <v>11.872199999999999</v>
      </c>
      <c r="HG80">
        <v>4.9851999999999999</v>
      </c>
      <c r="HH80">
        <v>3.2839999999999998</v>
      </c>
      <c r="HI80">
        <v>9999</v>
      </c>
      <c r="HJ80">
        <v>9999</v>
      </c>
      <c r="HK80">
        <v>9999</v>
      </c>
      <c r="HL80">
        <v>999.9</v>
      </c>
      <c r="HM80">
        <v>1.8545700000000001</v>
      </c>
      <c r="HN80">
        <v>1.8606799999999999</v>
      </c>
      <c r="HO80">
        <v>1.8581700000000001</v>
      </c>
      <c r="HP80">
        <v>1.85938</v>
      </c>
      <c r="HQ80">
        <v>1.85867</v>
      </c>
      <c r="HR80">
        <v>1.8592500000000001</v>
      </c>
      <c r="HS80">
        <v>1.8575999999999999</v>
      </c>
      <c r="HT80">
        <v>1.8609800000000001</v>
      </c>
      <c r="HU80">
        <v>5</v>
      </c>
      <c r="HV80">
        <v>0</v>
      </c>
      <c r="HW80">
        <v>0</v>
      </c>
      <c r="HX80">
        <v>0</v>
      </c>
      <c r="HY80" t="s">
        <v>423</v>
      </c>
      <c r="HZ80" t="s">
        <v>424</v>
      </c>
      <c r="IA80" t="s">
        <v>425</v>
      </c>
      <c r="IB80" t="s">
        <v>425</v>
      </c>
      <c r="IC80" t="s">
        <v>425</v>
      </c>
      <c r="ID80" t="s">
        <v>425</v>
      </c>
      <c r="IE80">
        <v>0</v>
      </c>
      <c r="IF80">
        <v>100</v>
      </c>
      <c r="IG80">
        <v>100</v>
      </c>
      <c r="IH80">
        <v>-1.5720000000000001</v>
      </c>
      <c r="II80">
        <v>-0.31540000000000001</v>
      </c>
      <c r="IJ80">
        <v>-1.571142857142888</v>
      </c>
      <c r="IK80">
        <v>0</v>
      </c>
      <c r="IL80">
        <v>0</v>
      </c>
      <c r="IM80">
        <v>0</v>
      </c>
      <c r="IN80">
        <v>-0.31536000000000192</v>
      </c>
      <c r="IO80">
        <v>0</v>
      </c>
      <c r="IP80">
        <v>0</v>
      </c>
      <c r="IQ80">
        <v>0</v>
      </c>
      <c r="IR80">
        <v>-1</v>
      </c>
      <c r="IS80">
        <v>-1</v>
      </c>
      <c r="IT80">
        <v>-1</v>
      </c>
      <c r="IU80">
        <v>-1</v>
      </c>
      <c r="IV80">
        <v>1.6</v>
      </c>
      <c r="IW80">
        <v>1.7</v>
      </c>
      <c r="IX80">
        <v>0.99731400000000003</v>
      </c>
      <c r="IY80">
        <v>2.4597199999999999</v>
      </c>
      <c r="IZ80">
        <v>1.49414</v>
      </c>
      <c r="JA80">
        <v>2.2973599999999998</v>
      </c>
      <c r="JB80">
        <v>1.54419</v>
      </c>
      <c r="JC80">
        <v>2.4487299999999999</v>
      </c>
      <c r="JD80">
        <v>36.269399999999997</v>
      </c>
      <c r="JE80">
        <v>15.918200000000001</v>
      </c>
      <c r="JF80">
        <v>18</v>
      </c>
      <c r="JG80">
        <v>534.55399999999997</v>
      </c>
      <c r="JH80">
        <v>483.00400000000002</v>
      </c>
      <c r="JI80">
        <v>25.0273</v>
      </c>
      <c r="JJ80">
        <v>32.043900000000001</v>
      </c>
      <c r="JK80">
        <v>30.000499999999999</v>
      </c>
      <c r="JL80">
        <v>31.943000000000001</v>
      </c>
      <c r="JM80">
        <v>31.914999999999999</v>
      </c>
      <c r="JN80">
        <v>20.042999999999999</v>
      </c>
      <c r="JO80">
        <v>27.078499999999998</v>
      </c>
      <c r="JP80">
        <v>99.627600000000001</v>
      </c>
      <c r="JQ80">
        <v>25.027000000000001</v>
      </c>
      <c r="JR80">
        <v>400</v>
      </c>
      <c r="JS80">
        <v>23.396000000000001</v>
      </c>
      <c r="JT80">
        <v>98.769800000000004</v>
      </c>
      <c r="JU80">
        <v>97.002899999999997</v>
      </c>
    </row>
    <row r="81" spans="1:281" x14ac:dyDescent="0.25">
      <c r="A81">
        <v>65</v>
      </c>
      <c r="B81">
        <v>1693510166</v>
      </c>
      <c r="C81">
        <v>16030</v>
      </c>
      <c r="D81" t="s">
        <v>747</v>
      </c>
      <c r="E81" t="s">
        <v>748</v>
      </c>
      <c r="F81" t="s">
        <v>414</v>
      </c>
      <c r="G81" t="s">
        <v>415</v>
      </c>
      <c r="H81" t="s">
        <v>708</v>
      </c>
      <c r="I81" t="s">
        <v>31</v>
      </c>
      <c r="J81">
        <v>1693510166</v>
      </c>
      <c r="K81">
        <f t="shared" ref="K81:K111" si="92">(L81)/1000</f>
        <v>4.5386791275796208E-3</v>
      </c>
      <c r="L81">
        <f t="shared" ref="L81:L111" si="93">1000*DL81*AJ81*(DH81-DI81)/(100*DA81*(1000-AJ81*DH81))</f>
        <v>4.5386791275796208</v>
      </c>
      <c r="M81">
        <f t="shared" ref="M81:M111" si="94">DL81*AJ81*(DG81-DF81*(1000-AJ81*DI81)/(1000-AJ81*DH81))/(100*DA81)</f>
        <v>41.886299061695752</v>
      </c>
      <c r="N81">
        <f t="shared" ref="N81:N111" si="95">DF81 - IF(AJ81&gt;1, M81*DA81*100/(AL81*DT81), 0)</f>
        <v>347.83199999999999</v>
      </c>
      <c r="O81">
        <f t="shared" ref="O81:O111" si="96">((U81-K81/2)*N81-M81)/(U81+K81/2)</f>
        <v>128.87927179302139</v>
      </c>
      <c r="P81">
        <f t="shared" ref="P81:P111" si="97">O81*(DM81+DN81)/1000</f>
        <v>12.836155860305793</v>
      </c>
      <c r="Q81">
        <f t="shared" ref="Q81:Q111" si="98">(DF81 - IF(AJ81&gt;1, M81*DA81*100/(AL81*DT81), 0))*(DM81+DN81)/1000</f>
        <v>34.643474494271999</v>
      </c>
      <c r="R81">
        <f t="shared" ref="R81:R111" si="99">2/((1/T81-1/S81)+SIGN(T81)*SQRT((1/T81-1/S81)*(1/T81-1/S81) + 4*DB81/((DB81+1)*(DB81+1))*(2*1/T81*1/S81-1/S81*1/S81)))</f>
        <v>0.33088153376805329</v>
      </c>
      <c r="S81">
        <f t="shared" ref="S81:S111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2.9137169080442655</v>
      </c>
      <c r="T81">
        <f t="shared" ref="T81:T111" si="101">K81*(1000-(1000*0.61365*EXP(17.502*X81/(240.97+X81))/(DM81+DN81)+DH81)/2)/(1000*0.61365*EXP(17.502*X81/(240.97+X81))/(DM81+DN81)-DH81)</f>
        <v>0.31133418617367864</v>
      </c>
      <c r="U81">
        <f t="shared" ref="U81:U111" si="102">1/((DB81+1)/(R81/1.6)+1/(S81/1.37)) + DB81/((DB81+1)/(R81/1.6) + DB81/(S81/1.37))</f>
        <v>0.19624381556306503</v>
      </c>
      <c r="V81">
        <f t="shared" ref="V81:V111" si="103">(CW81*CZ81)</f>
        <v>344.39539967102564</v>
      </c>
      <c r="W81">
        <f t="shared" ref="W81:W111" si="104">(DO81+(V81+2*0.95*0.0000000567*(((DO81+$B$7)+273)^4-(DO81+273)^4)-44100*K81)/(1.84*29.3*S81+8*0.95*0.0000000567*(DO81+273)^3))</f>
        <v>31.277272691683827</v>
      </c>
      <c r="X81">
        <f t="shared" ref="X81:X111" si="105">($C$7*DP81+$D$7*DQ81+$E$7*W81)</f>
        <v>29.9434</v>
      </c>
      <c r="Y81">
        <f t="shared" ref="Y81:Y111" si="106">0.61365*EXP(17.502*X81/(240.97+X81))</f>
        <v>4.2466184111365326</v>
      </c>
      <c r="Z81">
        <f t="shared" ref="Z81:Z111" si="107">(AA81/AB81*100)</f>
        <v>65.202469758281865</v>
      </c>
      <c r="AA81">
        <f t="shared" ref="AA81:AA111" si="108">DH81*(DM81+DN81)/1000</f>
        <v>2.8463599424063997</v>
      </c>
      <c r="AB81">
        <f t="shared" ref="AB81:AB111" si="109">0.61365*EXP(17.502*DO81/(240.97+DO81))</f>
        <v>4.3654173729283645</v>
      </c>
      <c r="AC81">
        <f t="shared" ref="AC81:AC111" si="110">(Y81-DH81*(DM81+DN81)/1000)</f>
        <v>1.4002584687301329</v>
      </c>
      <c r="AD81">
        <f t="shared" ref="AD81:AD111" si="111">(-K81*44100)</f>
        <v>-200.15574952626127</v>
      </c>
      <c r="AE81">
        <f t="shared" ref="AE81:AE111" si="112">2*29.3*S81*0.92*(DO81-X81)</f>
        <v>75.557551160257759</v>
      </c>
      <c r="AF81">
        <f t="shared" ref="AF81:AF111" si="113">2*0.95*0.0000000567*(((DO81+$B$7)+273)^4-(X81+273)^4)</f>
        <v>5.7764418585943886</v>
      </c>
      <c r="AG81">
        <f t="shared" ref="AG81:AG111" si="114">V81+AF81+AD81+AE81</f>
        <v>225.57364316361654</v>
      </c>
      <c r="AH81">
        <v>0</v>
      </c>
      <c r="AI81">
        <v>0</v>
      </c>
      <c r="AJ81">
        <f t="shared" ref="AJ81:AJ111" si="115">IF(AH81*$H$13&gt;=AL81,1,(AL81/(AL81-AH81*$H$13)))</f>
        <v>1</v>
      </c>
      <c r="AK81">
        <f t="shared" ref="AK81:AK111" si="116">(AJ81-1)*100</f>
        <v>0</v>
      </c>
      <c r="AL81">
        <f t="shared" ref="AL81:AL111" si="117">MAX(0,($B$13+$C$13*DT81)/(1+$D$13*DT81)*DM81/(DO81+273)*$E$13)</f>
        <v>51818.38052788574</v>
      </c>
      <c r="AM81" t="s">
        <v>417</v>
      </c>
      <c r="AN81">
        <v>10366.9</v>
      </c>
      <c r="AO81">
        <v>993.59653846153856</v>
      </c>
      <c r="AP81">
        <v>3431.87</v>
      </c>
      <c r="AQ81">
        <f t="shared" ref="AQ81:AQ111" si="118">1-AO81/AP81</f>
        <v>0.71047955241266758</v>
      </c>
      <c r="AR81">
        <v>-3.9894345373445681</v>
      </c>
      <c r="AS81" t="s">
        <v>749</v>
      </c>
      <c r="AT81">
        <v>10304.6</v>
      </c>
      <c r="AU81">
        <v>684.6217200000001</v>
      </c>
      <c r="AV81">
        <v>990.8961819791333</v>
      </c>
      <c r="AW81">
        <f t="shared" ref="AW81:AW111" si="119">1-AU81/AV81</f>
        <v>0.30908834603379554</v>
      </c>
      <c r="AX81">
        <v>0.5</v>
      </c>
      <c r="AY81">
        <f t="shared" ref="AY81:AY111" si="120">CX81</f>
        <v>1513.301999835513</v>
      </c>
      <c r="AZ81">
        <f t="shared" ref="AZ81:AZ111" si="121">M81</f>
        <v>41.886299061695752</v>
      </c>
      <c r="BA81">
        <f t="shared" ref="BA81:BA111" si="122">AW81*AX81*AY81</f>
        <v>233.87200608939693</v>
      </c>
      <c r="BB81">
        <f t="shared" ref="BB81:BB111" si="123">(AZ81-AR81)/AY81</f>
        <v>3.0314989079527243E-2</v>
      </c>
      <c r="BC81">
        <f t="shared" ref="BC81:BC111" si="124">(AP81-AV81)/AV81</f>
        <v>2.4634001648340891</v>
      </c>
      <c r="BD81">
        <f t="shared" ref="BD81:BD111" si="125">AO81/(AQ81+AO81/AV81)</f>
        <v>579.9636948478535</v>
      </c>
      <c r="BE81" t="s">
        <v>750</v>
      </c>
      <c r="BF81">
        <v>539.80999999999995</v>
      </c>
      <c r="BG81">
        <f t="shared" ref="BG81:BG111" si="126">IF(BF81&lt;&gt;0, BF81, BD81)</f>
        <v>539.80999999999995</v>
      </c>
      <c r="BH81">
        <f t="shared" ref="BH81:BH111" si="127">1-BG81/AV81</f>
        <v>0.45523051777046053</v>
      </c>
      <c r="BI81">
        <f t="shared" ref="BI81:BI111" si="128">(AV81-AU81)/(AV81-BG81)</f>
        <v>0.67897105744928599</v>
      </c>
      <c r="BJ81">
        <f t="shared" ref="BJ81:BJ111" si="129">(AP81-AV81)/(AP81-BG81)</f>
        <v>0.84402599462696715</v>
      </c>
      <c r="BK81">
        <f t="shared" ref="BK81:BK111" si="130">(AV81-AU81)/(AV81-AO81)</f>
        <v>-113.42001101511205</v>
      </c>
      <c r="BL81">
        <f t="shared" ref="BL81:BL111" si="131">(AP81-AV81)/(AP81-AO81)</f>
        <v>1.001107487131776</v>
      </c>
      <c r="BM81">
        <f t="shared" ref="BM81:BM111" si="132">(BI81*BG81/AU81)</f>
        <v>0.53535456999771935</v>
      </c>
      <c r="BN81">
        <f t="shared" ref="BN81:BN111" si="133">(1-BM81)</f>
        <v>0.46464543000228065</v>
      </c>
      <c r="BO81">
        <v>16834</v>
      </c>
      <c r="BP81">
        <v>290.00000000000011</v>
      </c>
      <c r="BQ81">
        <v>902.89</v>
      </c>
      <c r="BR81">
        <v>205</v>
      </c>
      <c r="BS81">
        <v>10304.6</v>
      </c>
      <c r="BT81">
        <v>900.06</v>
      </c>
      <c r="BU81">
        <v>2.83</v>
      </c>
      <c r="BV81">
        <v>300.00000000000011</v>
      </c>
      <c r="BW81">
        <v>38.5</v>
      </c>
      <c r="BX81">
        <v>990.8961819791333</v>
      </c>
      <c r="BY81">
        <v>1.3634047963546621</v>
      </c>
      <c r="BZ81">
        <v>-93.604452146268756</v>
      </c>
      <c r="CA81">
        <v>1.149476508198175</v>
      </c>
      <c r="CB81">
        <v>0.99579529732777006</v>
      </c>
      <c r="CC81">
        <v>-1.122371368186875E-2</v>
      </c>
      <c r="CD81">
        <v>289.99999999999989</v>
      </c>
      <c r="CE81">
        <v>889.57</v>
      </c>
      <c r="CF81">
        <v>645</v>
      </c>
      <c r="CG81">
        <v>10281.4</v>
      </c>
      <c r="CH81">
        <v>899.85</v>
      </c>
      <c r="CI81">
        <v>-10.28</v>
      </c>
      <c r="CW81">
        <f t="shared" ref="CW81:CW111" si="134">$B$11*DU81+$C$11*DV81+$F$11*EG81*(1-EJ81)</f>
        <v>1800.14</v>
      </c>
      <c r="CX81">
        <f t="shared" ref="CX81:CX111" si="135">CW81*CY81</f>
        <v>1513.301999835513</v>
      </c>
      <c r="CY81">
        <f t="shared" ref="CY81:CY111" si="136">($B$11*$D$9+$C$11*$D$9+$F$11*((ET81+EL81)/MAX(ET81+EL81+EU81, 0.1)*$I$9+EU81/MAX(ET81+EL81+EU81, 0.1)*$J$9))/($B$11+$C$11+$F$11)</f>
        <v>0.8406579487348278</v>
      </c>
      <c r="CZ81">
        <f t="shared" ref="CZ81:CZ111" si="137">($B$11*$K$9+$C$11*$K$9+$F$11*((ET81+EL81)/MAX(ET81+EL81+EU81, 0.1)*$P$9+EU81/MAX(ET81+EL81+EU81, 0.1)*$Q$9))/($B$11+$C$11+$F$11)</f>
        <v>0.19131589746965549</v>
      </c>
      <c r="DA81">
        <v>6</v>
      </c>
      <c r="DB81">
        <v>0.5</v>
      </c>
      <c r="DC81" t="s">
        <v>420</v>
      </c>
      <c r="DD81">
        <v>2</v>
      </c>
      <c r="DE81">
        <v>1693510166</v>
      </c>
      <c r="DF81">
        <v>347.83199999999999</v>
      </c>
      <c r="DG81">
        <v>400.01400000000001</v>
      </c>
      <c r="DH81">
        <v>28.578399999999998</v>
      </c>
      <c r="DI81">
        <v>23.2852</v>
      </c>
      <c r="DJ81">
        <v>349.39699999999999</v>
      </c>
      <c r="DK81">
        <v>28.882300000000001</v>
      </c>
      <c r="DL81">
        <v>499.77</v>
      </c>
      <c r="DM81">
        <v>99.498199999999997</v>
      </c>
      <c r="DN81">
        <v>0.100096</v>
      </c>
      <c r="DO81">
        <v>30.424399999999999</v>
      </c>
      <c r="DP81">
        <v>29.9434</v>
      </c>
      <c r="DQ81">
        <v>999.9</v>
      </c>
      <c r="DR81">
        <v>0</v>
      </c>
      <c r="DS81">
        <v>0</v>
      </c>
      <c r="DT81">
        <v>9960</v>
      </c>
      <c r="DU81">
        <v>0</v>
      </c>
      <c r="DV81">
        <v>1344.16</v>
      </c>
      <c r="DW81">
        <v>-52.181800000000003</v>
      </c>
      <c r="DX81">
        <v>358.065</v>
      </c>
      <c r="DY81">
        <v>409.55099999999999</v>
      </c>
      <c r="DZ81">
        <v>5.2932399999999999</v>
      </c>
      <c r="EA81">
        <v>400.01400000000001</v>
      </c>
      <c r="EB81">
        <v>23.2852</v>
      </c>
      <c r="EC81">
        <v>2.8435000000000001</v>
      </c>
      <c r="ED81">
        <v>2.3168299999999999</v>
      </c>
      <c r="EE81">
        <v>23.1388</v>
      </c>
      <c r="EF81">
        <v>19.793900000000001</v>
      </c>
      <c r="EG81">
        <v>1800.14</v>
      </c>
      <c r="EH81">
        <v>0.97800799999999999</v>
      </c>
      <c r="EI81">
        <v>2.19916E-2</v>
      </c>
      <c r="EJ81">
        <v>0</v>
      </c>
      <c r="EK81">
        <v>685.24599999999998</v>
      </c>
      <c r="EL81">
        <v>5.0002500000000003</v>
      </c>
      <c r="EM81">
        <v>22396.6</v>
      </c>
      <c r="EN81">
        <v>14823.3</v>
      </c>
      <c r="EO81">
        <v>50.311999999999998</v>
      </c>
      <c r="EP81">
        <v>51.811999999999998</v>
      </c>
      <c r="EQ81">
        <v>51.375</v>
      </c>
      <c r="ER81">
        <v>50.311999999999998</v>
      </c>
      <c r="ES81">
        <v>51.311999999999998</v>
      </c>
      <c r="ET81">
        <v>1755.66</v>
      </c>
      <c r="EU81">
        <v>39.479999999999997</v>
      </c>
      <c r="EV81">
        <v>0</v>
      </c>
      <c r="EW81">
        <v>183</v>
      </c>
      <c r="EX81">
        <v>0</v>
      </c>
      <c r="EY81">
        <v>684.6217200000001</v>
      </c>
      <c r="EZ81">
        <v>5.6119230753660307</v>
      </c>
      <c r="FA81">
        <v>50.315384904499041</v>
      </c>
      <c r="FB81">
        <v>22402.031999999999</v>
      </c>
      <c r="FC81">
        <v>15</v>
      </c>
      <c r="FD81">
        <v>1693510049.5</v>
      </c>
      <c r="FE81" t="s">
        <v>751</v>
      </c>
      <c r="FF81">
        <v>1693510042.5</v>
      </c>
      <c r="FG81">
        <v>1693510049.5</v>
      </c>
      <c r="FH81">
        <v>73</v>
      </c>
      <c r="FI81">
        <v>6.0000000000000001E-3</v>
      </c>
      <c r="FJ81">
        <v>1.0999999999999999E-2</v>
      </c>
      <c r="FK81">
        <v>-1.5649999999999999</v>
      </c>
      <c r="FL81">
        <v>-0.30399999999999999</v>
      </c>
      <c r="FM81">
        <v>400</v>
      </c>
      <c r="FN81">
        <v>23</v>
      </c>
      <c r="FO81">
        <v>0.16</v>
      </c>
      <c r="FP81">
        <v>0.05</v>
      </c>
      <c r="FQ81">
        <v>41.857012688320523</v>
      </c>
      <c r="FR81">
        <v>0.28413712519171153</v>
      </c>
      <c r="FS81">
        <v>8.2565436083105848E-2</v>
      </c>
      <c r="FT81">
        <v>1</v>
      </c>
      <c r="FU81">
        <v>0.32846744333723488</v>
      </c>
      <c r="FV81">
        <v>2.5762374949532811E-2</v>
      </c>
      <c r="FW81">
        <v>2.1642983888216722E-3</v>
      </c>
      <c r="FX81">
        <v>1</v>
      </c>
      <c r="FY81">
        <v>2</v>
      </c>
      <c r="FZ81">
        <v>2</v>
      </c>
      <c r="GA81" t="s">
        <v>422</v>
      </c>
      <c r="GB81">
        <v>2.9184399999999999</v>
      </c>
      <c r="GC81">
        <v>2.8296299999999999</v>
      </c>
      <c r="GD81">
        <v>8.1450300000000003E-2</v>
      </c>
      <c r="GE81">
        <v>8.8796899999999998E-2</v>
      </c>
      <c r="GF81">
        <v>0.13570299999999999</v>
      </c>
      <c r="GG81">
        <v>0.112376</v>
      </c>
      <c r="GH81">
        <v>24018.799999999999</v>
      </c>
      <c r="GI81">
        <v>29033.200000000001</v>
      </c>
      <c r="GJ81">
        <v>23540.799999999999</v>
      </c>
      <c r="GK81">
        <v>29170.799999999999</v>
      </c>
      <c r="GL81">
        <v>27757.4</v>
      </c>
      <c r="GM81">
        <v>36640.699999999997</v>
      </c>
      <c r="GN81">
        <v>33298.1</v>
      </c>
      <c r="GO81">
        <v>43052.2</v>
      </c>
      <c r="GP81">
        <v>2.0024000000000002</v>
      </c>
      <c r="GQ81">
        <v>1.8733</v>
      </c>
      <c r="GR81">
        <v>4.3541200000000002E-2</v>
      </c>
      <c r="GS81">
        <v>0</v>
      </c>
      <c r="GT81">
        <v>29.234400000000001</v>
      </c>
      <c r="GU81">
        <v>999.9</v>
      </c>
      <c r="GV81">
        <v>58.7</v>
      </c>
      <c r="GW81">
        <v>32.5</v>
      </c>
      <c r="GX81">
        <v>28.9818</v>
      </c>
      <c r="GY81">
        <v>61.497100000000003</v>
      </c>
      <c r="GZ81">
        <v>34.8598</v>
      </c>
      <c r="HA81">
        <v>1</v>
      </c>
      <c r="HB81">
        <v>0.37256099999999998</v>
      </c>
      <c r="HC81">
        <v>2.31426</v>
      </c>
      <c r="HD81">
        <v>20.307099999999998</v>
      </c>
      <c r="HE81">
        <v>5.2095000000000002</v>
      </c>
      <c r="HF81">
        <v>11.872199999999999</v>
      </c>
      <c r="HG81">
        <v>4.984</v>
      </c>
      <c r="HH81">
        <v>3.2839999999999998</v>
      </c>
      <c r="HI81">
        <v>9999</v>
      </c>
      <c r="HJ81">
        <v>9999</v>
      </c>
      <c r="HK81">
        <v>9999</v>
      </c>
      <c r="HL81">
        <v>999.9</v>
      </c>
      <c r="HM81">
        <v>1.8545799999999999</v>
      </c>
      <c r="HN81">
        <v>1.86066</v>
      </c>
      <c r="HO81">
        <v>1.85808</v>
      </c>
      <c r="HP81">
        <v>1.8593299999999999</v>
      </c>
      <c r="HQ81">
        <v>1.85867</v>
      </c>
      <c r="HR81">
        <v>1.8591899999999999</v>
      </c>
      <c r="HS81">
        <v>1.8575999999999999</v>
      </c>
      <c r="HT81">
        <v>1.8609599999999999</v>
      </c>
      <c r="HU81">
        <v>5</v>
      </c>
      <c r="HV81">
        <v>0</v>
      </c>
      <c r="HW81">
        <v>0</v>
      </c>
      <c r="HX81">
        <v>0</v>
      </c>
      <c r="HY81" t="s">
        <v>423</v>
      </c>
      <c r="HZ81" t="s">
        <v>424</v>
      </c>
      <c r="IA81" t="s">
        <v>425</v>
      </c>
      <c r="IB81" t="s">
        <v>425</v>
      </c>
      <c r="IC81" t="s">
        <v>425</v>
      </c>
      <c r="ID81" t="s">
        <v>425</v>
      </c>
      <c r="IE81">
        <v>0</v>
      </c>
      <c r="IF81">
        <v>100</v>
      </c>
      <c r="IG81">
        <v>100</v>
      </c>
      <c r="IH81">
        <v>-1.5649999999999999</v>
      </c>
      <c r="II81">
        <v>-0.3039</v>
      </c>
      <c r="IJ81">
        <v>-1.5649500000000101</v>
      </c>
      <c r="IK81">
        <v>0</v>
      </c>
      <c r="IL81">
        <v>0</v>
      </c>
      <c r="IM81">
        <v>0</v>
      </c>
      <c r="IN81">
        <v>-0.30389999999999873</v>
      </c>
      <c r="IO81">
        <v>0</v>
      </c>
      <c r="IP81">
        <v>0</v>
      </c>
      <c r="IQ81">
        <v>0</v>
      </c>
      <c r="IR81">
        <v>-1</v>
      </c>
      <c r="IS81">
        <v>-1</v>
      </c>
      <c r="IT81">
        <v>-1</v>
      </c>
      <c r="IU81">
        <v>-1</v>
      </c>
      <c r="IV81">
        <v>2.1</v>
      </c>
      <c r="IW81">
        <v>1.9</v>
      </c>
      <c r="IX81">
        <v>0.99731400000000003</v>
      </c>
      <c r="IY81">
        <v>2.4584999999999999</v>
      </c>
      <c r="IZ81">
        <v>1.49414</v>
      </c>
      <c r="JA81">
        <v>2.2973599999999998</v>
      </c>
      <c r="JB81">
        <v>1.54419</v>
      </c>
      <c r="JC81">
        <v>2.32544</v>
      </c>
      <c r="JD81">
        <v>36.340000000000003</v>
      </c>
      <c r="JE81">
        <v>15.9095</v>
      </c>
      <c r="JF81">
        <v>18</v>
      </c>
      <c r="JG81">
        <v>534.10199999999998</v>
      </c>
      <c r="JH81">
        <v>482.072</v>
      </c>
      <c r="JI81">
        <v>25.156500000000001</v>
      </c>
      <c r="JJ81">
        <v>32.2196</v>
      </c>
      <c r="JK81">
        <v>29.9999</v>
      </c>
      <c r="JL81">
        <v>32.094099999999997</v>
      </c>
      <c r="JM81">
        <v>32.06</v>
      </c>
      <c r="JN81">
        <v>20.041699999999999</v>
      </c>
      <c r="JO81">
        <v>28.205300000000001</v>
      </c>
      <c r="JP81">
        <v>99.248599999999996</v>
      </c>
      <c r="JQ81">
        <v>25.166599999999999</v>
      </c>
      <c r="JR81">
        <v>400</v>
      </c>
      <c r="JS81">
        <v>23.199100000000001</v>
      </c>
      <c r="JT81">
        <v>98.742800000000003</v>
      </c>
      <c r="JU81">
        <v>96.979100000000003</v>
      </c>
    </row>
    <row r="82" spans="1:281" x14ac:dyDescent="0.25">
      <c r="A82">
        <v>66</v>
      </c>
      <c r="B82">
        <v>1693510265.5</v>
      </c>
      <c r="C82">
        <v>16129.5</v>
      </c>
      <c r="D82" t="s">
        <v>752</v>
      </c>
      <c r="E82" t="s">
        <v>753</v>
      </c>
      <c r="F82" t="s">
        <v>414</v>
      </c>
      <c r="G82" t="s">
        <v>415</v>
      </c>
      <c r="H82" t="s">
        <v>708</v>
      </c>
      <c r="I82" t="s">
        <v>31</v>
      </c>
      <c r="J82">
        <v>1693510265.5</v>
      </c>
      <c r="K82">
        <f t="shared" si="92"/>
        <v>4.2810472348826858E-3</v>
      </c>
      <c r="L82">
        <f t="shared" si="93"/>
        <v>4.2810472348826858</v>
      </c>
      <c r="M82">
        <f t="shared" si="94"/>
        <v>45.35660739183713</v>
      </c>
      <c r="N82">
        <f t="shared" si="95"/>
        <v>443.334</v>
      </c>
      <c r="O82">
        <f t="shared" si="96"/>
        <v>187.8146289032743</v>
      </c>
      <c r="P82">
        <f t="shared" si="97"/>
        <v>18.705815853170911</v>
      </c>
      <c r="Q82">
        <f t="shared" si="98"/>
        <v>44.154836148149997</v>
      </c>
      <c r="R82">
        <f t="shared" si="99"/>
        <v>0.30706861602686902</v>
      </c>
      <c r="S82">
        <f t="shared" si="100"/>
        <v>2.9154495800822735</v>
      </c>
      <c r="T82">
        <f t="shared" si="101"/>
        <v>0.29016586871335365</v>
      </c>
      <c r="U82">
        <f t="shared" si="102"/>
        <v>0.18279473582626879</v>
      </c>
      <c r="V82">
        <f t="shared" si="103"/>
        <v>344.36821282781949</v>
      </c>
      <c r="W82">
        <f t="shared" si="104"/>
        <v>31.456111080751192</v>
      </c>
      <c r="X82">
        <f t="shared" si="105"/>
        <v>30.056799999999999</v>
      </c>
      <c r="Y82">
        <f t="shared" si="106"/>
        <v>4.274369460088332</v>
      </c>
      <c r="Z82">
        <f t="shared" si="107"/>
        <v>65.038901040350964</v>
      </c>
      <c r="AA82">
        <f t="shared" si="108"/>
        <v>2.8575439824749997</v>
      </c>
      <c r="AB82">
        <f t="shared" si="109"/>
        <v>4.3935920453239863</v>
      </c>
      <c r="AC82">
        <f t="shared" si="110"/>
        <v>1.4168254776133322</v>
      </c>
      <c r="AD82">
        <f t="shared" si="111"/>
        <v>-188.79418305832644</v>
      </c>
      <c r="AE82">
        <f t="shared" si="112"/>
        <v>75.445304525469922</v>
      </c>
      <c r="AF82">
        <f t="shared" si="113"/>
        <v>5.7708747044043882</v>
      </c>
      <c r="AG82">
        <f t="shared" si="114"/>
        <v>236.79020899936734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51848.439153363892</v>
      </c>
      <c r="AM82" t="s">
        <v>417</v>
      </c>
      <c r="AN82">
        <v>10366.9</v>
      </c>
      <c r="AO82">
        <v>993.59653846153856</v>
      </c>
      <c r="AP82">
        <v>3431.87</v>
      </c>
      <c r="AQ82">
        <f t="shared" si="118"/>
        <v>0.71047955241266758</v>
      </c>
      <c r="AR82">
        <v>-3.9894345373445681</v>
      </c>
      <c r="AS82" t="s">
        <v>754</v>
      </c>
      <c r="AT82">
        <v>10308.700000000001</v>
      </c>
      <c r="AU82">
        <v>717.61900000000014</v>
      </c>
      <c r="AV82">
        <v>1068.9094541834841</v>
      </c>
      <c r="AW82">
        <f t="shared" si="119"/>
        <v>0.32864378999419253</v>
      </c>
      <c r="AX82">
        <v>0.5</v>
      </c>
      <c r="AY82">
        <f t="shared" si="120"/>
        <v>1513.1841064139096</v>
      </c>
      <c r="AZ82">
        <f t="shared" si="121"/>
        <v>45.35660739183713</v>
      </c>
      <c r="BA82">
        <f t="shared" si="122"/>
        <v>248.6492798454214</v>
      </c>
      <c r="BB82">
        <f t="shared" si="123"/>
        <v>3.2610732375538048E-2</v>
      </c>
      <c r="BC82">
        <f t="shared" si="124"/>
        <v>2.2106274171010383</v>
      </c>
      <c r="BD82">
        <f t="shared" si="125"/>
        <v>605.84348005827803</v>
      </c>
      <c r="BE82" t="s">
        <v>755</v>
      </c>
      <c r="BF82">
        <v>549.39</v>
      </c>
      <c r="BG82">
        <f t="shared" si="126"/>
        <v>549.39</v>
      </c>
      <c r="BH82">
        <f t="shared" si="127"/>
        <v>0.48602756028604244</v>
      </c>
      <c r="BI82">
        <f t="shared" si="128"/>
        <v>0.67618344482517689</v>
      </c>
      <c r="BJ82">
        <f t="shared" si="129"/>
        <v>0.81976650169871634</v>
      </c>
      <c r="BK82">
        <f t="shared" si="130"/>
        <v>4.664411818557717</v>
      </c>
      <c r="BL82">
        <f t="shared" si="131"/>
        <v>0.96911219479277533</v>
      </c>
      <c r="BM82">
        <f t="shared" si="132"/>
        <v>0.51766804216792461</v>
      </c>
      <c r="BN82">
        <f t="shared" si="133"/>
        <v>0.48233195783207539</v>
      </c>
      <c r="BO82">
        <v>16836</v>
      </c>
      <c r="BP82">
        <v>290.00000000000011</v>
      </c>
      <c r="BQ82">
        <v>972</v>
      </c>
      <c r="BR82">
        <v>175</v>
      </c>
      <c r="BS82">
        <v>10308.700000000001</v>
      </c>
      <c r="BT82">
        <v>968.63</v>
      </c>
      <c r="BU82">
        <v>3.37</v>
      </c>
      <c r="BV82">
        <v>300.00000000000011</v>
      </c>
      <c r="BW82">
        <v>38.5</v>
      </c>
      <c r="BX82">
        <v>1068.9094541834841</v>
      </c>
      <c r="BY82">
        <v>1.0923495681341051</v>
      </c>
      <c r="BZ82">
        <v>-103.3746267407534</v>
      </c>
      <c r="CA82">
        <v>0.92089000686672151</v>
      </c>
      <c r="CB82">
        <v>0.99778291824752263</v>
      </c>
      <c r="CC82">
        <v>-1.122326918798666E-2</v>
      </c>
      <c r="CD82">
        <v>289.99999999999989</v>
      </c>
      <c r="CE82">
        <v>958.29</v>
      </c>
      <c r="CF82">
        <v>675</v>
      </c>
      <c r="CG82">
        <v>10278.5</v>
      </c>
      <c r="CH82">
        <v>968.34</v>
      </c>
      <c r="CI82">
        <v>-10.050000000000001</v>
      </c>
      <c r="CW82">
        <f t="shared" si="134"/>
        <v>1800</v>
      </c>
      <c r="CX82">
        <f t="shared" si="135"/>
        <v>1513.1841064139096</v>
      </c>
      <c r="CY82">
        <f t="shared" si="136"/>
        <v>0.84065783689661644</v>
      </c>
      <c r="CZ82">
        <f t="shared" si="137"/>
        <v>0.19131567379323305</v>
      </c>
      <c r="DA82">
        <v>6</v>
      </c>
      <c r="DB82">
        <v>0.5</v>
      </c>
      <c r="DC82" t="s">
        <v>420</v>
      </c>
      <c r="DD82">
        <v>2</v>
      </c>
      <c r="DE82">
        <v>1693510265.5</v>
      </c>
      <c r="DF82">
        <v>443.334</v>
      </c>
      <c r="DG82">
        <v>500.06599999999997</v>
      </c>
      <c r="DH82">
        <v>28.690999999999999</v>
      </c>
      <c r="DI82">
        <v>23.698799999999999</v>
      </c>
      <c r="DJ82">
        <v>444.8</v>
      </c>
      <c r="DK82">
        <v>28.999700000000001</v>
      </c>
      <c r="DL82">
        <v>499.76600000000002</v>
      </c>
      <c r="DM82">
        <v>99.496899999999997</v>
      </c>
      <c r="DN82">
        <v>0.100325</v>
      </c>
      <c r="DO82">
        <v>30.536799999999999</v>
      </c>
      <c r="DP82">
        <v>30.056799999999999</v>
      </c>
      <c r="DQ82">
        <v>999.9</v>
      </c>
      <c r="DR82">
        <v>0</v>
      </c>
      <c r="DS82">
        <v>0</v>
      </c>
      <c r="DT82">
        <v>9970</v>
      </c>
      <c r="DU82">
        <v>0</v>
      </c>
      <c r="DV82">
        <v>1338.68</v>
      </c>
      <c r="DW82">
        <v>-56.732100000000003</v>
      </c>
      <c r="DX82">
        <v>456.43</v>
      </c>
      <c r="DY82">
        <v>512.20500000000004</v>
      </c>
      <c r="DZ82">
        <v>4.9921800000000003</v>
      </c>
      <c r="EA82">
        <v>500.06599999999997</v>
      </c>
      <c r="EB82">
        <v>23.698799999999999</v>
      </c>
      <c r="EC82">
        <v>2.85467</v>
      </c>
      <c r="ED82">
        <v>2.3579599999999998</v>
      </c>
      <c r="EE82">
        <v>23.203600000000002</v>
      </c>
      <c r="EF82">
        <v>20.0779</v>
      </c>
      <c r="EG82">
        <v>1800</v>
      </c>
      <c r="EH82">
        <v>0.97800799999999999</v>
      </c>
      <c r="EI82">
        <v>2.19916E-2</v>
      </c>
      <c r="EJ82">
        <v>0</v>
      </c>
      <c r="EK82">
        <v>717.99</v>
      </c>
      <c r="EL82">
        <v>5.0002500000000003</v>
      </c>
      <c r="EM82">
        <v>23182.1</v>
      </c>
      <c r="EN82">
        <v>14822.1</v>
      </c>
      <c r="EO82">
        <v>50.5</v>
      </c>
      <c r="EP82">
        <v>51.936999999999998</v>
      </c>
      <c r="EQ82">
        <v>51.5</v>
      </c>
      <c r="ER82">
        <v>50.375</v>
      </c>
      <c r="ES82">
        <v>51.436999999999998</v>
      </c>
      <c r="ET82">
        <v>1755.52</v>
      </c>
      <c r="EU82">
        <v>39.47</v>
      </c>
      <c r="EV82">
        <v>0</v>
      </c>
      <c r="EW82">
        <v>97.400000095367432</v>
      </c>
      <c r="EX82">
        <v>0</v>
      </c>
      <c r="EY82">
        <v>717.61900000000014</v>
      </c>
      <c r="EZ82">
        <v>4.1238461503014916</v>
      </c>
      <c r="FA82">
        <v>83.592309098949016</v>
      </c>
      <c r="FB82">
        <v>23141.3</v>
      </c>
      <c r="FC82">
        <v>15</v>
      </c>
      <c r="FD82">
        <v>1693510237.5</v>
      </c>
      <c r="FE82" t="s">
        <v>756</v>
      </c>
      <c r="FF82">
        <v>1693510235.5</v>
      </c>
      <c r="FG82">
        <v>1693510237.5</v>
      </c>
      <c r="FH82">
        <v>74</v>
      </c>
      <c r="FI82">
        <v>9.9000000000000005E-2</v>
      </c>
      <c r="FJ82">
        <v>-5.0000000000000001E-3</v>
      </c>
      <c r="FK82">
        <v>-1.466</v>
      </c>
      <c r="FL82">
        <v>-0.309</v>
      </c>
      <c r="FM82">
        <v>500</v>
      </c>
      <c r="FN82">
        <v>23</v>
      </c>
      <c r="FO82">
        <v>0.3</v>
      </c>
      <c r="FP82">
        <v>0.08</v>
      </c>
      <c r="FQ82">
        <v>45.408059387595877</v>
      </c>
      <c r="FR82">
        <v>-0.46426413219490842</v>
      </c>
      <c r="FS82">
        <v>8.1550590202874765E-2</v>
      </c>
      <c r="FT82">
        <v>1</v>
      </c>
      <c r="FU82">
        <v>0.30770931964038528</v>
      </c>
      <c r="FV82">
        <v>2.757508206245601E-2</v>
      </c>
      <c r="FW82">
        <v>3.297814020874661E-3</v>
      </c>
      <c r="FX82">
        <v>1</v>
      </c>
      <c r="FY82">
        <v>2</v>
      </c>
      <c r="FZ82">
        <v>2</v>
      </c>
      <c r="GA82" t="s">
        <v>422</v>
      </c>
      <c r="GB82">
        <v>2.91839</v>
      </c>
      <c r="GC82">
        <v>2.8299400000000001</v>
      </c>
      <c r="GD82">
        <v>9.7994899999999996E-2</v>
      </c>
      <c r="GE82">
        <v>0.10491200000000001</v>
      </c>
      <c r="GF82">
        <v>0.13606699999999999</v>
      </c>
      <c r="GG82">
        <v>0.113755</v>
      </c>
      <c r="GH82">
        <v>23585</v>
      </c>
      <c r="GI82">
        <v>28519.4</v>
      </c>
      <c r="GJ82">
        <v>23539.599999999999</v>
      </c>
      <c r="GK82">
        <v>29170.5</v>
      </c>
      <c r="GL82">
        <v>27745.9</v>
      </c>
      <c r="GM82">
        <v>36584.199999999997</v>
      </c>
      <c r="GN82">
        <v>33296.300000000003</v>
      </c>
      <c r="GO82">
        <v>43051.3</v>
      </c>
      <c r="GP82">
        <v>2.0002</v>
      </c>
      <c r="GQ82">
        <v>1.8733</v>
      </c>
      <c r="GR82">
        <v>4.8637399999999997E-2</v>
      </c>
      <c r="GS82">
        <v>0</v>
      </c>
      <c r="GT82">
        <v>29.264800000000001</v>
      </c>
      <c r="GU82">
        <v>999.9</v>
      </c>
      <c r="GV82">
        <v>58.7</v>
      </c>
      <c r="GW82">
        <v>32.5</v>
      </c>
      <c r="GX82">
        <v>28.98</v>
      </c>
      <c r="GY82">
        <v>61.2271</v>
      </c>
      <c r="GZ82">
        <v>34.823700000000002</v>
      </c>
      <c r="HA82">
        <v>1</v>
      </c>
      <c r="HB82">
        <v>0.379583</v>
      </c>
      <c r="HC82">
        <v>3.2247300000000001</v>
      </c>
      <c r="HD82">
        <v>20.292400000000001</v>
      </c>
      <c r="HE82">
        <v>5.2095000000000002</v>
      </c>
      <c r="HF82">
        <v>11.872199999999999</v>
      </c>
      <c r="HG82">
        <v>4.9850000000000003</v>
      </c>
      <c r="HH82">
        <v>3.2839999999999998</v>
      </c>
      <c r="HI82">
        <v>9999</v>
      </c>
      <c r="HJ82">
        <v>9999</v>
      </c>
      <c r="HK82">
        <v>9999</v>
      </c>
      <c r="HL82">
        <v>999.9</v>
      </c>
      <c r="HM82">
        <v>1.8546</v>
      </c>
      <c r="HN82">
        <v>1.86069</v>
      </c>
      <c r="HO82">
        <v>1.85809</v>
      </c>
      <c r="HP82">
        <v>1.8593599999999999</v>
      </c>
      <c r="HQ82">
        <v>1.85867</v>
      </c>
      <c r="HR82">
        <v>1.8592599999999999</v>
      </c>
      <c r="HS82">
        <v>1.8575999999999999</v>
      </c>
      <c r="HT82">
        <v>1.8609599999999999</v>
      </c>
      <c r="HU82">
        <v>5</v>
      </c>
      <c r="HV82">
        <v>0</v>
      </c>
      <c r="HW82">
        <v>0</v>
      </c>
      <c r="HX82">
        <v>0</v>
      </c>
      <c r="HY82" t="s">
        <v>423</v>
      </c>
      <c r="HZ82" t="s">
        <v>424</v>
      </c>
      <c r="IA82" t="s">
        <v>425</v>
      </c>
      <c r="IB82" t="s">
        <v>425</v>
      </c>
      <c r="IC82" t="s">
        <v>425</v>
      </c>
      <c r="ID82" t="s">
        <v>425</v>
      </c>
      <c r="IE82">
        <v>0</v>
      </c>
      <c r="IF82">
        <v>100</v>
      </c>
      <c r="IG82">
        <v>100</v>
      </c>
      <c r="IH82">
        <v>-1.466</v>
      </c>
      <c r="II82">
        <v>-0.30869999999999997</v>
      </c>
      <c r="IJ82">
        <v>-1.4657000000000271</v>
      </c>
      <c r="IK82">
        <v>0</v>
      </c>
      <c r="IL82">
        <v>0</v>
      </c>
      <c r="IM82">
        <v>0</v>
      </c>
      <c r="IN82">
        <v>-0.30867499999999742</v>
      </c>
      <c r="IO82">
        <v>0</v>
      </c>
      <c r="IP82">
        <v>0</v>
      </c>
      <c r="IQ82">
        <v>0</v>
      </c>
      <c r="IR82">
        <v>-1</v>
      </c>
      <c r="IS82">
        <v>-1</v>
      </c>
      <c r="IT82">
        <v>-1</v>
      </c>
      <c r="IU82">
        <v>-1</v>
      </c>
      <c r="IV82">
        <v>0.5</v>
      </c>
      <c r="IW82">
        <v>0.5</v>
      </c>
      <c r="IX82">
        <v>1.18896</v>
      </c>
      <c r="IY82">
        <v>2.4511699999999998</v>
      </c>
      <c r="IZ82">
        <v>1.49414</v>
      </c>
      <c r="JA82">
        <v>2.2973599999999998</v>
      </c>
      <c r="JB82">
        <v>1.54419</v>
      </c>
      <c r="JC82">
        <v>2.4890099999999999</v>
      </c>
      <c r="JD82">
        <v>36.387099999999997</v>
      </c>
      <c r="JE82">
        <v>15.900700000000001</v>
      </c>
      <c r="JF82">
        <v>18</v>
      </c>
      <c r="JG82">
        <v>533.07000000000005</v>
      </c>
      <c r="JH82">
        <v>482.52600000000001</v>
      </c>
      <c r="JI82">
        <v>24.933399999999999</v>
      </c>
      <c r="JJ82">
        <v>32.264600000000002</v>
      </c>
      <c r="JK82">
        <v>30.000900000000001</v>
      </c>
      <c r="JL82">
        <v>32.147500000000001</v>
      </c>
      <c r="JM82">
        <v>32.113500000000002</v>
      </c>
      <c r="JN82">
        <v>23.875299999999999</v>
      </c>
      <c r="JO82">
        <v>26.161799999999999</v>
      </c>
      <c r="JP82">
        <v>100</v>
      </c>
      <c r="JQ82">
        <v>24.912099999999999</v>
      </c>
      <c r="JR82">
        <v>500</v>
      </c>
      <c r="JS82">
        <v>23.6754</v>
      </c>
      <c r="JT82">
        <v>98.737700000000004</v>
      </c>
      <c r="JU82">
        <v>96.977400000000003</v>
      </c>
    </row>
    <row r="83" spans="1:281" x14ac:dyDescent="0.25">
      <c r="A83">
        <v>67</v>
      </c>
      <c r="B83">
        <v>1693510374</v>
      </c>
      <c r="C83">
        <v>16238</v>
      </c>
      <c r="D83" t="s">
        <v>757</v>
      </c>
      <c r="E83" t="s">
        <v>758</v>
      </c>
      <c r="F83" t="s">
        <v>414</v>
      </c>
      <c r="G83" t="s">
        <v>415</v>
      </c>
      <c r="H83" t="s">
        <v>708</v>
      </c>
      <c r="I83" t="s">
        <v>31</v>
      </c>
      <c r="J83">
        <v>1693510374</v>
      </c>
      <c r="K83">
        <f t="shared" si="92"/>
        <v>4.1830925705899106E-3</v>
      </c>
      <c r="L83">
        <f t="shared" si="93"/>
        <v>4.1830925705899107</v>
      </c>
      <c r="M83">
        <f t="shared" si="94"/>
        <v>47.214532068826038</v>
      </c>
      <c r="N83">
        <f t="shared" si="95"/>
        <v>640.16200000000003</v>
      </c>
      <c r="O83">
        <f t="shared" si="96"/>
        <v>363.23162402941563</v>
      </c>
      <c r="P83">
        <f t="shared" si="97"/>
        <v>36.175161498341033</v>
      </c>
      <c r="Q83">
        <f t="shared" si="98"/>
        <v>63.755362152128001</v>
      </c>
      <c r="R83">
        <f t="shared" si="99"/>
        <v>0.29877124828734214</v>
      </c>
      <c r="S83">
        <f t="shared" si="100"/>
        <v>2.9109671810408884</v>
      </c>
      <c r="T83">
        <f t="shared" si="101"/>
        <v>0.28272077278657692</v>
      </c>
      <c r="U83">
        <f t="shared" si="102"/>
        <v>0.178070665245807</v>
      </c>
      <c r="V83">
        <f t="shared" si="103"/>
        <v>344.38079967092767</v>
      </c>
      <c r="W83">
        <f t="shared" si="104"/>
        <v>31.439891882635187</v>
      </c>
      <c r="X83">
        <f t="shared" si="105"/>
        <v>30.057400000000001</v>
      </c>
      <c r="Y83">
        <f t="shared" si="106"/>
        <v>4.2745167103278758</v>
      </c>
      <c r="Z83">
        <f t="shared" si="107"/>
        <v>65.112049656285649</v>
      </c>
      <c r="AA83">
        <f t="shared" si="108"/>
        <v>2.8536948780127998</v>
      </c>
      <c r="AB83">
        <f t="shared" si="109"/>
        <v>4.3827446579810072</v>
      </c>
      <c r="AC83">
        <f t="shared" si="110"/>
        <v>1.4208218323150761</v>
      </c>
      <c r="AD83">
        <f t="shared" si="111"/>
        <v>-184.47438236301505</v>
      </c>
      <c r="AE83">
        <f t="shared" si="112"/>
        <v>68.455510534157284</v>
      </c>
      <c r="AF83">
        <f t="shared" si="113"/>
        <v>5.2431770036339413</v>
      </c>
      <c r="AG83">
        <f t="shared" si="114"/>
        <v>233.60510484570386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51728.261123401018</v>
      </c>
      <c r="AM83" t="s">
        <v>417</v>
      </c>
      <c r="AN83">
        <v>10366.9</v>
      </c>
      <c r="AO83">
        <v>993.59653846153856</v>
      </c>
      <c r="AP83">
        <v>3431.87</v>
      </c>
      <c r="AQ83">
        <f t="shared" si="118"/>
        <v>0.71047955241266758</v>
      </c>
      <c r="AR83">
        <v>-3.9894345373445681</v>
      </c>
      <c r="AS83" t="s">
        <v>759</v>
      </c>
      <c r="AT83">
        <v>10316</v>
      </c>
      <c r="AU83">
        <v>732.8473076923076</v>
      </c>
      <c r="AV83">
        <v>1108.789508485969</v>
      </c>
      <c r="AW83">
        <f t="shared" si="119"/>
        <v>0.33905641956064625</v>
      </c>
      <c r="AX83">
        <v>0.5</v>
      </c>
      <c r="AY83">
        <f t="shared" si="120"/>
        <v>1513.2350998354636</v>
      </c>
      <c r="AZ83">
        <f t="shared" si="121"/>
        <v>47.214532068826038</v>
      </c>
      <c r="BA83">
        <f t="shared" si="122"/>
        <v>256.53603745185467</v>
      </c>
      <c r="BB83">
        <f t="shared" si="123"/>
        <v>3.3837416678834699E-2</v>
      </c>
      <c r="BC83">
        <f t="shared" si="124"/>
        <v>2.0951501378166473</v>
      </c>
      <c r="BD83">
        <f t="shared" si="125"/>
        <v>618.4510529135033</v>
      </c>
      <c r="BE83" t="s">
        <v>760</v>
      </c>
      <c r="BF83">
        <v>551.69000000000005</v>
      </c>
      <c r="BG83">
        <f t="shared" si="126"/>
        <v>551.69000000000005</v>
      </c>
      <c r="BH83">
        <f t="shared" si="127"/>
        <v>0.50243937575372422</v>
      </c>
      <c r="BI83">
        <f t="shared" si="128"/>
        <v>0.67482055731005886</v>
      </c>
      <c r="BJ83">
        <f t="shared" si="129"/>
        <v>0.80657475974211013</v>
      </c>
      <c r="BK83">
        <f t="shared" si="130"/>
        <v>3.2635863170637109</v>
      </c>
      <c r="BL83">
        <f t="shared" si="131"/>
        <v>0.95275633687463901</v>
      </c>
      <c r="BM83">
        <f t="shared" si="132"/>
        <v>0.50800726065940105</v>
      </c>
      <c r="BN83">
        <f t="shared" si="133"/>
        <v>0.49199273934059895</v>
      </c>
      <c r="BO83">
        <v>16838</v>
      </c>
      <c r="BP83">
        <v>290.00000000000011</v>
      </c>
      <c r="BQ83">
        <v>1007.05</v>
      </c>
      <c r="BR83">
        <v>145</v>
      </c>
      <c r="BS83">
        <v>10316</v>
      </c>
      <c r="BT83">
        <v>1002.9</v>
      </c>
      <c r="BU83">
        <v>4.1500000000000004</v>
      </c>
      <c r="BV83">
        <v>300.00000000000011</v>
      </c>
      <c r="BW83">
        <v>38.4</v>
      </c>
      <c r="BX83">
        <v>1108.789508485969</v>
      </c>
      <c r="BY83">
        <v>1.500936694902292</v>
      </c>
      <c r="BZ83">
        <v>-109.2328283833771</v>
      </c>
      <c r="CA83">
        <v>1.2656626225890799</v>
      </c>
      <c r="CB83">
        <v>0.99625494609398391</v>
      </c>
      <c r="CC83">
        <v>-1.1225060734149051E-2</v>
      </c>
      <c r="CD83">
        <v>289.99999999999989</v>
      </c>
      <c r="CE83">
        <v>992.74</v>
      </c>
      <c r="CF83">
        <v>645</v>
      </c>
      <c r="CG83">
        <v>10283.299999999999</v>
      </c>
      <c r="CH83">
        <v>1002.57</v>
      </c>
      <c r="CI83">
        <v>-9.83</v>
      </c>
      <c r="CW83">
        <f t="shared" si="134"/>
        <v>1800.06</v>
      </c>
      <c r="CX83">
        <f t="shared" si="135"/>
        <v>1513.2350998354636</v>
      </c>
      <c r="CY83">
        <f t="shared" si="136"/>
        <v>0.84065814463710309</v>
      </c>
      <c r="CZ83">
        <f t="shared" si="137"/>
        <v>0.19131628927420624</v>
      </c>
      <c r="DA83">
        <v>6</v>
      </c>
      <c r="DB83">
        <v>0.5</v>
      </c>
      <c r="DC83" t="s">
        <v>420</v>
      </c>
      <c r="DD83">
        <v>2</v>
      </c>
      <c r="DE83">
        <v>1693510374</v>
      </c>
      <c r="DF83">
        <v>640.16200000000003</v>
      </c>
      <c r="DG83">
        <v>700.02700000000004</v>
      </c>
      <c r="DH83">
        <v>28.653700000000001</v>
      </c>
      <c r="DI83">
        <v>23.778300000000002</v>
      </c>
      <c r="DJ83">
        <v>641.89599999999996</v>
      </c>
      <c r="DK83">
        <v>28.956299999999999</v>
      </c>
      <c r="DL83">
        <v>500.04899999999998</v>
      </c>
      <c r="DM83">
        <v>99.491699999999994</v>
      </c>
      <c r="DN83">
        <v>0.100844</v>
      </c>
      <c r="DO83">
        <v>30.493600000000001</v>
      </c>
      <c r="DP83">
        <v>30.057400000000001</v>
      </c>
      <c r="DQ83">
        <v>999.9</v>
      </c>
      <c r="DR83">
        <v>0</v>
      </c>
      <c r="DS83">
        <v>0</v>
      </c>
      <c r="DT83">
        <v>9945</v>
      </c>
      <c r="DU83">
        <v>0</v>
      </c>
      <c r="DV83">
        <v>1329.56</v>
      </c>
      <c r="DW83">
        <v>-59.864600000000003</v>
      </c>
      <c r="DX83">
        <v>659.04700000000003</v>
      </c>
      <c r="DY83">
        <v>717.07799999999997</v>
      </c>
      <c r="DZ83">
        <v>4.8754900000000001</v>
      </c>
      <c r="EA83">
        <v>700.02700000000004</v>
      </c>
      <c r="EB83">
        <v>23.778300000000002</v>
      </c>
      <c r="EC83">
        <v>2.8508100000000001</v>
      </c>
      <c r="ED83">
        <v>2.3657400000000002</v>
      </c>
      <c r="EE83">
        <v>23.1813</v>
      </c>
      <c r="EF83">
        <v>20.1312</v>
      </c>
      <c r="EG83">
        <v>1800.06</v>
      </c>
      <c r="EH83">
        <v>0.97800100000000001</v>
      </c>
      <c r="EI83">
        <v>2.1999100000000001E-2</v>
      </c>
      <c r="EJ83">
        <v>0</v>
      </c>
      <c r="EK83">
        <v>732.56500000000005</v>
      </c>
      <c r="EL83">
        <v>5.0002500000000003</v>
      </c>
      <c r="EM83">
        <v>23523.4</v>
      </c>
      <c r="EN83">
        <v>14822.6</v>
      </c>
      <c r="EO83">
        <v>50.125</v>
      </c>
      <c r="EP83">
        <v>51.561999999999998</v>
      </c>
      <c r="EQ83">
        <v>51.125</v>
      </c>
      <c r="ER83">
        <v>49.811999999999998</v>
      </c>
      <c r="ES83">
        <v>51.125</v>
      </c>
      <c r="ET83">
        <v>1755.57</v>
      </c>
      <c r="EU83">
        <v>39.49</v>
      </c>
      <c r="EV83">
        <v>0</v>
      </c>
      <c r="EW83">
        <v>106.4000000953674</v>
      </c>
      <c r="EX83">
        <v>0</v>
      </c>
      <c r="EY83">
        <v>732.8473076923076</v>
      </c>
      <c r="EZ83">
        <v>0.59617093673976329</v>
      </c>
      <c r="FA83">
        <v>119.34358931227951</v>
      </c>
      <c r="FB83">
        <v>23517.02307692308</v>
      </c>
      <c r="FC83">
        <v>15</v>
      </c>
      <c r="FD83">
        <v>1693510346.5</v>
      </c>
      <c r="FE83" t="s">
        <v>761</v>
      </c>
      <c r="FF83">
        <v>1693510346.5</v>
      </c>
      <c r="FG83">
        <v>1693510339</v>
      </c>
      <c r="FH83">
        <v>75</v>
      </c>
      <c r="FI83">
        <v>-0.26800000000000002</v>
      </c>
      <c r="FJ83">
        <v>6.0000000000000001E-3</v>
      </c>
      <c r="FK83">
        <v>-1.7330000000000001</v>
      </c>
      <c r="FL83">
        <v>-0.30299999999999999</v>
      </c>
      <c r="FM83">
        <v>700</v>
      </c>
      <c r="FN83">
        <v>23</v>
      </c>
      <c r="FO83">
        <v>0.11</v>
      </c>
      <c r="FP83">
        <v>0.05</v>
      </c>
      <c r="FQ83">
        <v>47.365345933049902</v>
      </c>
      <c r="FR83">
        <v>-0.51652913892654251</v>
      </c>
      <c r="FS83">
        <v>0.1221443721204383</v>
      </c>
      <c r="FT83">
        <v>1</v>
      </c>
      <c r="FU83">
        <v>0.29418421508260878</v>
      </c>
      <c r="FV83">
        <v>4.9170987791832391E-2</v>
      </c>
      <c r="FW83">
        <v>5.0472649165414097E-3</v>
      </c>
      <c r="FX83">
        <v>1</v>
      </c>
      <c r="FY83">
        <v>2</v>
      </c>
      <c r="FZ83">
        <v>2</v>
      </c>
      <c r="GA83" t="s">
        <v>422</v>
      </c>
      <c r="GB83">
        <v>2.91906</v>
      </c>
      <c r="GC83">
        <v>2.8302499999999999</v>
      </c>
      <c r="GD83">
        <v>0.12753200000000001</v>
      </c>
      <c r="GE83">
        <v>0.13297500000000001</v>
      </c>
      <c r="GF83">
        <v>0.135905</v>
      </c>
      <c r="GG83">
        <v>0.114005</v>
      </c>
      <c r="GH83">
        <v>22812.2</v>
      </c>
      <c r="GI83">
        <v>27623.7</v>
      </c>
      <c r="GJ83">
        <v>23539.3</v>
      </c>
      <c r="GK83">
        <v>29169.200000000001</v>
      </c>
      <c r="GL83">
        <v>27753.4</v>
      </c>
      <c r="GM83">
        <v>36574.9</v>
      </c>
      <c r="GN83">
        <v>33295.699999999997</v>
      </c>
      <c r="GO83">
        <v>43048.6</v>
      </c>
      <c r="GP83">
        <v>1.9993000000000001</v>
      </c>
      <c r="GQ83">
        <v>1.8732</v>
      </c>
      <c r="GR83">
        <v>4.8354300000000003E-2</v>
      </c>
      <c r="GS83">
        <v>0</v>
      </c>
      <c r="GT83">
        <v>29.270099999999999</v>
      </c>
      <c r="GU83">
        <v>999.9</v>
      </c>
      <c r="GV83">
        <v>58.7</v>
      </c>
      <c r="GW83">
        <v>32.6</v>
      </c>
      <c r="GX83">
        <v>29.1448</v>
      </c>
      <c r="GY83">
        <v>61.577100000000002</v>
      </c>
      <c r="GZ83">
        <v>34.527200000000001</v>
      </c>
      <c r="HA83">
        <v>1</v>
      </c>
      <c r="HB83">
        <v>0.38124000000000002</v>
      </c>
      <c r="HC83">
        <v>3.36138</v>
      </c>
      <c r="HD83">
        <v>20.288699999999999</v>
      </c>
      <c r="HE83">
        <v>5.2107000000000001</v>
      </c>
      <c r="HF83">
        <v>11.872199999999999</v>
      </c>
      <c r="HG83">
        <v>4.9837999999999996</v>
      </c>
      <c r="HH83">
        <v>3.2839999999999998</v>
      </c>
      <c r="HI83">
        <v>9999</v>
      </c>
      <c r="HJ83">
        <v>9999</v>
      </c>
      <c r="HK83">
        <v>9999</v>
      </c>
      <c r="HL83">
        <v>999.9</v>
      </c>
      <c r="HM83">
        <v>1.8545700000000001</v>
      </c>
      <c r="HN83">
        <v>1.86073</v>
      </c>
      <c r="HO83">
        <v>1.8581700000000001</v>
      </c>
      <c r="HP83">
        <v>1.8593900000000001</v>
      </c>
      <c r="HQ83">
        <v>1.85869</v>
      </c>
      <c r="HR83">
        <v>1.85928</v>
      </c>
      <c r="HS83">
        <v>1.85762</v>
      </c>
      <c r="HT83">
        <v>1.8609800000000001</v>
      </c>
      <c r="HU83">
        <v>5</v>
      </c>
      <c r="HV83">
        <v>0</v>
      </c>
      <c r="HW83">
        <v>0</v>
      </c>
      <c r="HX83">
        <v>0</v>
      </c>
      <c r="HY83" t="s">
        <v>423</v>
      </c>
      <c r="HZ83" t="s">
        <v>424</v>
      </c>
      <c r="IA83" t="s">
        <v>425</v>
      </c>
      <c r="IB83" t="s">
        <v>425</v>
      </c>
      <c r="IC83" t="s">
        <v>425</v>
      </c>
      <c r="ID83" t="s">
        <v>425</v>
      </c>
      <c r="IE83">
        <v>0</v>
      </c>
      <c r="IF83">
        <v>100</v>
      </c>
      <c r="IG83">
        <v>100</v>
      </c>
      <c r="IH83">
        <v>-1.734</v>
      </c>
      <c r="II83">
        <v>-0.30259999999999998</v>
      </c>
      <c r="IJ83">
        <v>-1.733285714285671</v>
      </c>
      <c r="IK83">
        <v>0</v>
      </c>
      <c r="IL83">
        <v>0</v>
      </c>
      <c r="IM83">
        <v>0</v>
      </c>
      <c r="IN83">
        <v>-0.30253999999999692</v>
      </c>
      <c r="IO83">
        <v>0</v>
      </c>
      <c r="IP83">
        <v>0</v>
      </c>
      <c r="IQ83">
        <v>0</v>
      </c>
      <c r="IR83">
        <v>-1</v>
      </c>
      <c r="IS83">
        <v>-1</v>
      </c>
      <c r="IT83">
        <v>-1</v>
      </c>
      <c r="IU83">
        <v>-1</v>
      </c>
      <c r="IV83">
        <v>0.5</v>
      </c>
      <c r="IW83">
        <v>0.6</v>
      </c>
      <c r="IX83">
        <v>1.5515099999999999</v>
      </c>
      <c r="IY83">
        <v>2.4438499999999999</v>
      </c>
      <c r="IZ83">
        <v>1.49414</v>
      </c>
      <c r="JA83">
        <v>2.2973599999999998</v>
      </c>
      <c r="JB83">
        <v>1.54419</v>
      </c>
      <c r="JC83">
        <v>2.5268600000000001</v>
      </c>
      <c r="JD83">
        <v>36.410699999999999</v>
      </c>
      <c r="JE83">
        <v>15.8832</v>
      </c>
      <c r="JF83">
        <v>18</v>
      </c>
      <c r="JG83">
        <v>532.82399999999996</v>
      </c>
      <c r="JH83">
        <v>482.786</v>
      </c>
      <c r="JI83">
        <v>24.697800000000001</v>
      </c>
      <c r="JJ83">
        <v>32.299399999999999</v>
      </c>
      <c r="JK83">
        <v>30.0001</v>
      </c>
      <c r="JL83">
        <v>32.189700000000002</v>
      </c>
      <c r="JM83">
        <v>32.152900000000002</v>
      </c>
      <c r="JN83">
        <v>31.130800000000001</v>
      </c>
      <c r="JO83">
        <v>26.361999999999998</v>
      </c>
      <c r="JP83">
        <v>100</v>
      </c>
      <c r="JQ83">
        <v>24.648700000000002</v>
      </c>
      <c r="JR83">
        <v>700</v>
      </c>
      <c r="JS83">
        <v>23.748899999999999</v>
      </c>
      <c r="JT83">
        <v>98.735900000000001</v>
      </c>
      <c r="JU83">
        <v>96.972200000000001</v>
      </c>
    </row>
    <row r="84" spans="1:281" x14ac:dyDescent="0.25">
      <c r="A84">
        <v>68</v>
      </c>
      <c r="B84">
        <v>1693510491</v>
      </c>
      <c r="C84">
        <v>16355</v>
      </c>
      <c r="D84" t="s">
        <v>762</v>
      </c>
      <c r="E84" t="s">
        <v>763</v>
      </c>
      <c r="F84" t="s">
        <v>414</v>
      </c>
      <c r="G84" t="s">
        <v>415</v>
      </c>
      <c r="H84" t="s">
        <v>708</v>
      </c>
      <c r="I84" t="s">
        <v>31</v>
      </c>
      <c r="J84">
        <v>1693510491</v>
      </c>
      <c r="K84">
        <f t="shared" si="92"/>
        <v>3.9379127526516823E-3</v>
      </c>
      <c r="L84">
        <f t="shared" si="93"/>
        <v>3.9379127526516826</v>
      </c>
      <c r="M84">
        <f t="shared" si="94"/>
        <v>47.154032166547033</v>
      </c>
      <c r="N84">
        <f t="shared" si="95"/>
        <v>839.47400000000005</v>
      </c>
      <c r="O84">
        <f t="shared" si="96"/>
        <v>541.64067417540366</v>
      </c>
      <c r="P84">
        <f t="shared" si="97"/>
        <v>53.946052713059373</v>
      </c>
      <c r="Q84">
        <f t="shared" si="98"/>
        <v>83.609504999207999</v>
      </c>
      <c r="R84">
        <f t="shared" si="99"/>
        <v>0.28013694703399367</v>
      </c>
      <c r="S84">
        <f t="shared" si="100"/>
        <v>2.9136958129101105</v>
      </c>
      <c r="T84">
        <f t="shared" si="101"/>
        <v>0.26598774614021581</v>
      </c>
      <c r="U84">
        <f t="shared" si="102"/>
        <v>0.16745401668070536</v>
      </c>
      <c r="V84">
        <f t="shared" si="103"/>
        <v>344.36499967099638</v>
      </c>
      <c r="W84">
        <f t="shared" si="104"/>
        <v>31.384689418148987</v>
      </c>
      <c r="X84">
        <f t="shared" si="105"/>
        <v>29.996700000000001</v>
      </c>
      <c r="Y84">
        <f t="shared" si="106"/>
        <v>4.2596422738682334</v>
      </c>
      <c r="Z84">
        <f t="shared" si="107"/>
        <v>65.186038612068302</v>
      </c>
      <c r="AA84">
        <f t="shared" si="108"/>
        <v>2.8376520640703999</v>
      </c>
      <c r="AB84">
        <f t="shared" si="109"/>
        <v>4.3531592415941764</v>
      </c>
      <c r="AC84">
        <f t="shared" si="110"/>
        <v>1.4219902097978334</v>
      </c>
      <c r="AD84">
        <f t="shared" si="111"/>
        <v>-173.6619523919392</v>
      </c>
      <c r="AE84">
        <f t="shared" si="112"/>
        <v>59.471687656799702</v>
      </c>
      <c r="AF84">
        <f t="shared" si="113"/>
        <v>4.5467896222052246</v>
      </c>
      <c r="AG84">
        <f t="shared" si="114"/>
        <v>234.7215245580621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51826.142054295371</v>
      </c>
      <c r="AM84" t="s">
        <v>417</v>
      </c>
      <c r="AN84">
        <v>10366.9</v>
      </c>
      <c r="AO84">
        <v>993.59653846153856</v>
      </c>
      <c r="AP84">
        <v>3431.87</v>
      </c>
      <c r="AQ84">
        <f t="shared" si="118"/>
        <v>0.71047955241266758</v>
      </c>
      <c r="AR84">
        <v>-3.9894345373445681</v>
      </c>
      <c r="AS84" t="s">
        <v>764</v>
      </c>
      <c r="AT84">
        <v>10322.799999999999</v>
      </c>
      <c r="AU84">
        <v>733.62919230769216</v>
      </c>
      <c r="AV84">
        <v>1117.3948793301479</v>
      </c>
      <c r="AW84">
        <f t="shared" si="119"/>
        <v>0.34344679228574437</v>
      </c>
      <c r="AX84">
        <v>0.5</v>
      </c>
      <c r="AY84">
        <f t="shared" si="120"/>
        <v>1513.1675998354983</v>
      </c>
      <c r="AZ84">
        <f t="shared" si="121"/>
        <v>47.154032166547033</v>
      </c>
      <c r="BA84">
        <f t="shared" si="122"/>
        <v>259.84627917711038</v>
      </c>
      <c r="BB84">
        <f t="shared" si="123"/>
        <v>3.3798943824498745E-2</v>
      </c>
      <c r="BC84">
        <f t="shared" si="124"/>
        <v>2.0713135199414245</v>
      </c>
      <c r="BD84">
        <f t="shared" si="125"/>
        <v>621.11910329370392</v>
      </c>
      <c r="BE84" t="s">
        <v>765</v>
      </c>
      <c r="BF84">
        <v>556.62</v>
      </c>
      <c r="BG84">
        <f t="shared" si="126"/>
        <v>556.62</v>
      </c>
      <c r="BH84">
        <f t="shared" si="127"/>
        <v>0.50185918130063323</v>
      </c>
      <c r="BI84">
        <f t="shared" si="128"/>
        <v>0.68434892711468864</v>
      </c>
      <c r="BJ84">
        <f t="shared" si="129"/>
        <v>0.80496482763928423</v>
      </c>
      <c r="BK84">
        <f t="shared" si="130"/>
        <v>3.0999259305886584</v>
      </c>
      <c r="BL84">
        <f t="shared" si="131"/>
        <v>0.94922704822842252</v>
      </c>
      <c r="BM84">
        <f t="shared" si="132"/>
        <v>0.5192300194766718</v>
      </c>
      <c r="BN84">
        <f t="shared" si="133"/>
        <v>0.4807699805233282</v>
      </c>
      <c r="BO84">
        <v>16840</v>
      </c>
      <c r="BP84">
        <v>290.00000000000011</v>
      </c>
      <c r="BQ84">
        <v>1012.19</v>
      </c>
      <c r="BR84">
        <v>135</v>
      </c>
      <c r="BS84">
        <v>10322.799999999999</v>
      </c>
      <c r="BT84">
        <v>1009.52</v>
      </c>
      <c r="BU84">
        <v>2.67</v>
      </c>
      <c r="BV84">
        <v>300.00000000000011</v>
      </c>
      <c r="BW84">
        <v>38.4</v>
      </c>
      <c r="BX84">
        <v>1117.3948793301479</v>
      </c>
      <c r="BY84">
        <v>1.428303085091112</v>
      </c>
      <c r="BZ84">
        <v>-111.3546546205894</v>
      </c>
      <c r="CA84">
        <v>1.2050920832116629</v>
      </c>
      <c r="CB84">
        <v>0.99673141416829492</v>
      </c>
      <c r="CC84">
        <v>-1.123076329254729E-2</v>
      </c>
      <c r="CD84">
        <v>289.99999999999989</v>
      </c>
      <c r="CE84">
        <v>999.98</v>
      </c>
      <c r="CF84">
        <v>645</v>
      </c>
      <c r="CG84">
        <v>10289.1</v>
      </c>
      <c r="CH84">
        <v>1009.17</v>
      </c>
      <c r="CI84">
        <v>-9.19</v>
      </c>
      <c r="CW84">
        <f t="shared" si="134"/>
        <v>1799.98</v>
      </c>
      <c r="CX84">
        <f t="shared" si="135"/>
        <v>1513.1675998354983</v>
      </c>
      <c r="CY84">
        <f t="shared" si="136"/>
        <v>0.84065800721980144</v>
      </c>
      <c r="CZ84">
        <f t="shared" si="137"/>
        <v>0.19131601443960289</v>
      </c>
      <c r="DA84">
        <v>6</v>
      </c>
      <c r="DB84">
        <v>0.5</v>
      </c>
      <c r="DC84" t="s">
        <v>420</v>
      </c>
      <c r="DD84">
        <v>2</v>
      </c>
      <c r="DE84">
        <v>1693510491</v>
      </c>
      <c r="DF84">
        <v>839.47400000000005</v>
      </c>
      <c r="DG84">
        <v>899.99199999999996</v>
      </c>
      <c r="DH84">
        <v>28.491199999999999</v>
      </c>
      <c r="DI84">
        <v>23.902899999999999</v>
      </c>
      <c r="DJ84">
        <v>841.11300000000006</v>
      </c>
      <c r="DK84">
        <v>28.784500000000001</v>
      </c>
      <c r="DL84">
        <v>500.279</v>
      </c>
      <c r="DM84">
        <v>99.497</v>
      </c>
      <c r="DN84">
        <v>0.100492</v>
      </c>
      <c r="DO84">
        <v>30.375299999999999</v>
      </c>
      <c r="DP84">
        <v>29.996700000000001</v>
      </c>
      <c r="DQ84">
        <v>999.9</v>
      </c>
      <c r="DR84">
        <v>0</v>
      </c>
      <c r="DS84">
        <v>0</v>
      </c>
      <c r="DT84">
        <v>9960</v>
      </c>
      <c r="DU84">
        <v>0</v>
      </c>
      <c r="DV84">
        <v>1324.07</v>
      </c>
      <c r="DW84">
        <v>-60.517800000000001</v>
      </c>
      <c r="DX84">
        <v>864.09400000000005</v>
      </c>
      <c r="DY84">
        <v>922.03099999999995</v>
      </c>
      <c r="DZ84">
        <v>4.5883000000000003</v>
      </c>
      <c r="EA84">
        <v>899.99199999999996</v>
      </c>
      <c r="EB84">
        <v>23.902899999999999</v>
      </c>
      <c r="EC84">
        <v>2.8347899999999999</v>
      </c>
      <c r="ED84">
        <v>2.3782700000000001</v>
      </c>
      <c r="EE84">
        <v>23.088100000000001</v>
      </c>
      <c r="EF84">
        <v>20.2166</v>
      </c>
      <c r="EG84">
        <v>1799.98</v>
      </c>
      <c r="EH84">
        <v>0.97800600000000004</v>
      </c>
      <c r="EI84">
        <v>2.1994400000000001E-2</v>
      </c>
      <c r="EJ84">
        <v>0</v>
      </c>
      <c r="EK84">
        <v>733.33799999999997</v>
      </c>
      <c r="EL84">
        <v>5.0002500000000003</v>
      </c>
      <c r="EM84">
        <v>23621.3</v>
      </c>
      <c r="EN84">
        <v>14822</v>
      </c>
      <c r="EO84">
        <v>49.311999999999998</v>
      </c>
      <c r="EP84">
        <v>50.875</v>
      </c>
      <c r="EQ84">
        <v>50.375</v>
      </c>
      <c r="ER84">
        <v>49.061999999999998</v>
      </c>
      <c r="ES84">
        <v>50.375</v>
      </c>
      <c r="ET84">
        <v>1755.5</v>
      </c>
      <c r="EU84">
        <v>39.479999999999997</v>
      </c>
      <c r="EV84">
        <v>0</v>
      </c>
      <c r="EW84">
        <v>114.7999999523163</v>
      </c>
      <c r="EX84">
        <v>0</v>
      </c>
      <c r="EY84">
        <v>733.62919230769216</v>
      </c>
      <c r="EZ84">
        <v>-2.1631111122723472</v>
      </c>
      <c r="FA84">
        <v>-116.8820506516155</v>
      </c>
      <c r="FB84">
        <v>23689.61538461539</v>
      </c>
      <c r="FC84">
        <v>15</v>
      </c>
      <c r="FD84">
        <v>1693510462</v>
      </c>
      <c r="FE84" t="s">
        <v>766</v>
      </c>
      <c r="FF84">
        <v>1693510457</v>
      </c>
      <c r="FG84">
        <v>1693510462</v>
      </c>
      <c r="FH84">
        <v>76</v>
      </c>
      <c r="FI84">
        <v>9.5000000000000001E-2</v>
      </c>
      <c r="FJ84">
        <v>8.9999999999999993E-3</v>
      </c>
      <c r="FK84">
        <v>-1.6379999999999999</v>
      </c>
      <c r="FL84">
        <v>-0.29299999999999998</v>
      </c>
      <c r="FM84">
        <v>900</v>
      </c>
      <c r="FN84">
        <v>24</v>
      </c>
      <c r="FO84">
        <v>0.13</v>
      </c>
      <c r="FP84">
        <v>0.38</v>
      </c>
      <c r="FQ84">
        <v>47.148751344911638</v>
      </c>
      <c r="FR84">
        <v>-0.60645400741994582</v>
      </c>
      <c r="FS84">
        <v>0.1182228263743329</v>
      </c>
      <c r="FT84">
        <v>1</v>
      </c>
      <c r="FU84">
        <v>0.28026683522512158</v>
      </c>
      <c r="FV84">
        <v>3.4684980433847018E-2</v>
      </c>
      <c r="FW84">
        <v>4.5204523266192996E-3</v>
      </c>
      <c r="FX84">
        <v>1</v>
      </c>
      <c r="FY84">
        <v>2</v>
      </c>
      <c r="FZ84">
        <v>2</v>
      </c>
      <c r="GA84" t="s">
        <v>422</v>
      </c>
      <c r="GB84">
        <v>2.9196</v>
      </c>
      <c r="GC84">
        <v>2.8300299999999998</v>
      </c>
      <c r="GD84">
        <v>0.15299199999999999</v>
      </c>
      <c r="GE84">
        <v>0.15717200000000001</v>
      </c>
      <c r="GF84">
        <v>0.13533800000000001</v>
      </c>
      <c r="GG84">
        <v>0.114416</v>
      </c>
      <c r="GH84">
        <v>22147.3</v>
      </c>
      <c r="GI84">
        <v>26850.1</v>
      </c>
      <c r="GJ84">
        <v>23540.6</v>
      </c>
      <c r="GK84">
        <v>29167</v>
      </c>
      <c r="GL84">
        <v>27776.2</v>
      </c>
      <c r="GM84">
        <v>36558.199999999997</v>
      </c>
      <c r="GN84">
        <v>33297.800000000003</v>
      </c>
      <c r="GO84">
        <v>43045.7</v>
      </c>
      <c r="GP84">
        <v>1.9986999999999999</v>
      </c>
      <c r="GQ84">
        <v>1.8727</v>
      </c>
      <c r="GR84">
        <v>4.5403800000000001E-2</v>
      </c>
      <c r="GS84">
        <v>0</v>
      </c>
      <c r="GT84">
        <v>29.257300000000001</v>
      </c>
      <c r="GU84">
        <v>999.9</v>
      </c>
      <c r="GV84">
        <v>58.7</v>
      </c>
      <c r="GW84">
        <v>32.6</v>
      </c>
      <c r="GX84">
        <v>29.141500000000001</v>
      </c>
      <c r="GY84">
        <v>61.487099999999998</v>
      </c>
      <c r="GZ84">
        <v>34.354999999999997</v>
      </c>
      <c r="HA84">
        <v>1</v>
      </c>
      <c r="HB84">
        <v>0.38481700000000002</v>
      </c>
      <c r="HC84">
        <v>3.04297</v>
      </c>
      <c r="HD84">
        <v>20.295200000000001</v>
      </c>
      <c r="HE84">
        <v>5.2100999999999997</v>
      </c>
      <c r="HF84">
        <v>11.872199999999999</v>
      </c>
      <c r="HG84">
        <v>4.9846000000000004</v>
      </c>
      <c r="HH84">
        <v>3.2839999999999998</v>
      </c>
      <c r="HI84">
        <v>9999</v>
      </c>
      <c r="HJ84">
        <v>9999</v>
      </c>
      <c r="HK84">
        <v>9999</v>
      </c>
      <c r="HL84">
        <v>999.9</v>
      </c>
      <c r="HM84">
        <v>1.8545499999999999</v>
      </c>
      <c r="HN84">
        <v>1.8607199999999999</v>
      </c>
      <c r="HO84">
        <v>1.85809</v>
      </c>
      <c r="HP84">
        <v>1.85941</v>
      </c>
      <c r="HQ84">
        <v>1.85869</v>
      </c>
      <c r="HR84">
        <v>1.85924</v>
      </c>
      <c r="HS84">
        <v>1.8575999999999999</v>
      </c>
      <c r="HT84">
        <v>1.8609899999999999</v>
      </c>
      <c r="HU84">
        <v>5</v>
      </c>
      <c r="HV84">
        <v>0</v>
      </c>
      <c r="HW84">
        <v>0</v>
      </c>
      <c r="HX84">
        <v>0</v>
      </c>
      <c r="HY84" t="s">
        <v>423</v>
      </c>
      <c r="HZ84" t="s">
        <v>424</v>
      </c>
      <c r="IA84" t="s">
        <v>425</v>
      </c>
      <c r="IB84" t="s">
        <v>425</v>
      </c>
      <c r="IC84" t="s">
        <v>425</v>
      </c>
      <c r="ID84" t="s">
        <v>425</v>
      </c>
      <c r="IE84">
        <v>0</v>
      </c>
      <c r="IF84">
        <v>100</v>
      </c>
      <c r="IG84">
        <v>100</v>
      </c>
      <c r="IH84">
        <v>-1.639</v>
      </c>
      <c r="II84">
        <v>-0.29330000000000001</v>
      </c>
      <c r="IJ84">
        <v>-1.6382380952383071</v>
      </c>
      <c r="IK84">
        <v>0</v>
      </c>
      <c r="IL84">
        <v>0</v>
      </c>
      <c r="IM84">
        <v>0</v>
      </c>
      <c r="IN84">
        <v>-0.29320476190475731</v>
      </c>
      <c r="IO84">
        <v>0</v>
      </c>
      <c r="IP84">
        <v>0</v>
      </c>
      <c r="IQ84">
        <v>0</v>
      </c>
      <c r="IR84">
        <v>-1</v>
      </c>
      <c r="IS84">
        <v>-1</v>
      </c>
      <c r="IT84">
        <v>-1</v>
      </c>
      <c r="IU84">
        <v>-1</v>
      </c>
      <c r="IV84">
        <v>0.6</v>
      </c>
      <c r="IW84">
        <v>0.5</v>
      </c>
      <c r="IX84">
        <v>1.8908700000000001</v>
      </c>
      <c r="IY84">
        <v>2.4352999999999998</v>
      </c>
      <c r="IZ84">
        <v>1.49414</v>
      </c>
      <c r="JA84">
        <v>2.2973599999999998</v>
      </c>
      <c r="JB84">
        <v>1.54419</v>
      </c>
      <c r="JC84">
        <v>2.50854</v>
      </c>
      <c r="JD84">
        <v>36.4343</v>
      </c>
      <c r="JE84">
        <v>15.8832</v>
      </c>
      <c r="JF84">
        <v>18</v>
      </c>
      <c r="JG84">
        <v>532.83100000000002</v>
      </c>
      <c r="JH84">
        <v>482.85300000000001</v>
      </c>
      <c r="JI84">
        <v>24.578299999999999</v>
      </c>
      <c r="JJ84">
        <v>32.342300000000002</v>
      </c>
      <c r="JK84">
        <v>30.000699999999998</v>
      </c>
      <c r="JL84">
        <v>32.2376</v>
      </c>
      <c r="JM84">
        <v>32.203499999999998</v>
      </c>
      <c r="JN84">
        <v>37.914099999999998</v>
      </c>
      <c r="JO84">
        <v>25.887899999999998</v>
      </c>
      <c r="JP84">
        <v>100</v>
      </c>
      <c r="JQ84">
        <v>24.552499999999998</v>
      </c>
      <c r="JR84">
        <v>900</v>
      </c>
      <c r="JS84">
        <v>23.846900000000002</v>
      </c>
      <c r="JT84">
        <v>98.741900000000001</v>
      </c>
      <c r="JU84">
        <v>96.965199999999996</v>
      </c>
    </row>
    <row r="85" spans="1:281" x14ac:dyDescent="0.25">
      <c r="A85">
        <v>69</v>
      </c>
      <c r="B85">
        <v>1693510604</v>
      </c>
      <c r="C85">
        <v>16468</v>
      </c>
      <c r="D85" t="s">
        <v>767</v>
      </c>
      <c r="E85" t="s">
        <v>768</v>
      </c>
      <c r="F85" t="s">
        <v>414</v>
      </c>
      <c r="G85" t="s">
        <v>415</v>
      </c>
      <c r="H85" t="s">
        <v>708</v>
      </c>
      <c r="I85" t="s">
        <v>31</v>
      </c>
      <c r="J85">
        <v>1693510604</v>
      </c>
      <c r="K85">
        <f t="shared" si="92"/>
        <v>3.7634515335473813E-3</v>
      </c>
      <c r="L85">
        <f t="shared" si="93"/>
        <v>3.7634515335473813</v>
      </c>
      <c r="M85">
        <f t="shared" si="94"/>
        <v>46.808419513808786</v>
      </c>
      <c r="N85">
        <f t="shared" si="95"/>
        <v>1138.77</v>
      </c>
      <c r="O85">
        <f t="shared" si="96"/>
        <v>820.35832370650814</v>
      </c>
      <c r="P85">
        <f t="shared" si="97"/>
        <v>81.700649546392484</v>
      </c>
      <c r="Q85">
        <f t="shared" si="98"/>
        <v>113.41172021462999</v>
      </c>
      <c r="R85">
        <f t="shared" si="99"/>
        <v>0.26461388694883109</v>
      </c>
      <c r="S85">
        <f t="shared" si="100"/>
        <v>2.9258821303744038</v>
      </c>
      <c r="T85">
        <f t="shared" si="101"/>
        <v>0.25200128723950405</v>
      </c>
      <c r="U85">
        <f t="shared" si="102"/>
        <v>0.1585838884702219</v>
      </c>
      <c r="V85">
        <f t="shared" si="103"/>
        <v>344.37759967084065</v>
      </c>
      <c r="W85">
        <f t="shared" si="104"/>
        <v>31.315157307100225</v>
      </c>
      <c r="X85">
        <f t="shared" si="105"/>
        <v>29.938700000000001</v>
      </c>
      <c r="Y85">
        <f t="shared" si="106"/>
        <v>4.2454716323035964</v>
      </c>
      <c r="Z85">
        <f t="shared" si="107"/>
        <v>64.982472461736947</v>
      </c>
      <c r="AA85">
        <f t="shared" si="108"/>
        <v>2.8108383324303001</v>
      </c>
      <c r="AB85">
        <f t="shared" si="109"/>
        <v>4.3255330644511583</v>
      </c>
      <c r="AC85">
        <f t="shared" si="110"/>
        <v>1.4346332998732962</v>
      </c>
      <c r="AD85">
        <f t="shared" si="111"/>
        <v>-165.96821262943951</v>
      </c>
      <c r="AE85">
        <f t="shared" si="112"/>
        <v>51.344421237848159</v>
      </c>
      <c r="AF85">
        <f t="shared" si="113"/>
        <v>3.9058162796027815</v>
      </c>
      <c r="AG85">
        <f t="shared" si="114"/>
        <v>233.6596245588521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52192.295233209239</v>
      </c>
      <c r="AM85" t="s">
        <v>417</v>
      </c>
      <c r="AN85">
        <v>10366.9</v>
      </c>
      <c r="AO85">
        <v>993.59653846153856</v>
      </c>
      <c r="AP85">
        <v>3431.87</v>
      </c>
      <c r="AQ85">
        <f t="shared" si="118"/>
        <v>0.71047955241266758</v>
      </c>
      <c r="AR85">
        <v>-3.9894345373445681</v>
      </c>
      <c r="AS85" t="s">
        <v>769</v>
      </c>
      <c r="AT85">
        <v>10318.6</v>
      </c>
      <c r="AU85">
        <v>730.92963999999995</v>
      </c>
      <c r="AV85">
        <v>1111.9875794475199</v>
      </c>
      <c r="AW85">
        <f t="shared" si="119"/>
        <v>0.34268183070609914</v>
      </c>
      <c r="AX85">
        <v>0.5</v>
      </c>
      <c r="AY85">
        <f t="shared" si="120"/>
        <v>1513.2185998354203</v>
      </c>
      <c r="AZ85">
        <f t="shared" si="121"/>
        <v>46.808419513808786</v>
      </c>
      <c r="BA85">
        <f t="shared" si="122"/>
        <v>259.27626002506094</v>
      </c>
      <c r="BB85">
        <f t="shared" si="123"/>
        <v>3.3569408978106792E-2</v>
      </c>
      <c r="BC85">
        <f t="shared" si="124"/>
        <v>2.0862485008196678</v>
      </c>
      <c r="BD85">
        <f t="shared" si="125"/>
        <v>619.44473383188165</v>
      </c>
      <c r="BE85" t="s">
        <v>770</v>
      </c>
      <c r="BF85">
        <v>555.66999999999996</v>
      </c>
      <c r="BG85">
        <f t="shared" si="126"/>
        <v>555.66999999999996</v>
      </c>
      <c r="BH85">
        <f t="shared" si="127"/>
        <v>0.5002911810615015</v>
      </c>
      <c r="BI85">
        <f t="shared" si="128"/>
        <v>0.68496476387812399</v>
      </c>
      <c r="BJ85">
        <f t="shared" si="129"/>
        <v>0.80657896549352615</v>
      </c>
      <c r="BK85">
        <f t="shared" si="130"/>
        <v>3.2186383046724023</v>
      </c>
      <c r="BL85">
        <f t="shared" si="131"/>
        <v>0.95144472396001001</v>
      </c>
      <c r="BM85">
        <f t="shared" si="132"/>
        <v>0.52072641402824649</v>
      </c>
      <c r="BN85">
        <f t="shared" si="133"/>
        <v>0.47927358597175351</v>
      </c>
      <c r="BO85">
        <v>16842</v>
      </c>
      <c r="BP85">
        <v>290.00000000000011</v>
      </c>
      <c r="BQ85">
        <v>1011.89</v>
      </c>
      <c r="BR85">
        <v>195</v>
      </c>
      <c r="BS85">
        <v>10318.6</v>
      </c>
      <c r="BT85">
        <v>1008.12</v>
      </c>
      <c r="BU85">
        <v>3.77</v>
      </c>
      <c r="BV85">
        <v>300.00000000000011</v>
      </c>
      <c r="BW85">
        <v>38.4</v>
      </c>
      <c r="BX85">
        <v>1111.9875794475199</v>
      </c>
      <c r="BY85">
        <v>1.3203589424311339</v>
      </c>
      <c r="BZ85">
        <v>-107.1747146531485</v>
      </c>
      <c r="CA85">
        <v>1.114666948413122</v>
      </c>
      <c r="CB85">
        <v>0.99698039437871266</v>
      </c>
      <c r="CC85">
        <v>-1.1236580645161309E-2</v>
      </c>
      <c r="CD85">
        <v>289.99999999999989</v>
      </c>
      <c r="CE85">
        <v>999.69</v>
      </c>
      <c r="CF85">
        <v>675</v>
      </c>
      <c r="CG85">
        <v>10292.9</v>
      </c>
      <c r="CH85">
        <v>1007.86</v>
      </c>
      <c r="CI85">
        <v>-8.17</v>
      </c>
      <c r="CW85">
        <f t="shared" si="134"/>
        <v>1800.04</v>
      </c>
      <c r="CX85">
        <f t="shared" si="135"/>
        <v>1513.2185998354203</v>
      </c>
      <c r="CY85">
        <f t="shared" si="136"/>
        <v>0.84065831861259765</v>
      </c>
      <c r="CZ85">
        <f t="shared" si="137"/>
        <v>0.19131663722519537</v>
      </c>
      <c r="DA85">
        <v>6</v>
      </c>
      <c r="DB85">
        <v>0.5</v>
      </c>
      <c r="DC85" t="s">
        <v>420</v>
      </c>
      <c r="DD85">
        <v>2</v>
      </c>
      <c r="DE85">
        <v>1693510604</v>
      </c>
      <c r="DF85">
        <v>1138.77</v>
      </c>
      <c r="DG85">
        <v>1200.0999999999999</v>
      </c>
      <c r="DH85">
        <v>28.223700000000001</v>
      </c>
      <c r="DI85">
        <v>23.8338</v>
      </c>
      <c r="DJ85">
        <v>1140.26</v>
      </c>
      <c r="DK85">
        <v>28.520700000000001</v>
      </c>
      <c r="DL85">
        <v>499.86099999999999</v>
      </c>
      <c r="DM85">
        <v>99.492599999999996</v>
      </c>
      <c r="DN85">
        <v>9.8819000000000004E-2</v>
      </c>
      <c r="DO85">
        <v>30.264199999999999</v>
      </c>
      <c r="DP85">
        <v>29.938700000000001</v>
      </c>
      <c r="DQ85">
        <v>999.9</v>
      </c>
      <c r="DR85">
        <v>0</v>
      </c>
      <c r="DS85">
        <v>0</v>
      </c>
      <c r="DT85">
        <v>10030</v>
      </c>
      <c r="DU85">
        <v>0</v>
      </c>
      <c r="DV85">
        <v>1316.53</v>
      </c>
      <c r="DW85">
        <v>-61.335000000000001</v>
      </c>
      <c r="DX85">
        <v>1171.8399999999999</v>
      </c>
      <c r="DY85">
        <v>1229.4000000000001</v>
      </c>
      <c r="DZ85">
        <v>4.3898999999999999</v>
      </c>
      <c r="EA85">
        <v>1200.0999999999999</v>
      </c>
      <c r="EB85">
        <v>23.8338</v>
      </c>
      <c r="EC85">
        <v>2.8080500000000002</v>
      </c>
      <c r="ED85">
        <v>2.3712900000000001</v>
      </c>
      <c r="EE85">
        <v>22.9315</v>
      </c>
      <c r="EF85">
        <v>20.1691</v>
      </c>
      <c r="EG85">
        <v>1800.04</v>
      </c>
      <c r="EH85">
        <v>0.97799400000000003</v>
      </c>
      <c r="EI85">
        <v>2.20057E-2</v>
      </c>
      <c r="EJ85">
        <v>0</v>
      </c>
      <c r="EK85">
        <v>730.36699999999996</v>
      </c>
      <c r="EL85">
        <v>5.0002500000000003</v>
      </c>
      <c r="EM85">
        <v>23677.200000000001</v>
      </c>
      <c r="EN85">
        <v>14822.3</v>
      </c>
      <c r="EO85">
        <v>48.561999999999998</v>
      </c>
      <c r="EP85">
        <v>50.186999999999998</v>
      </c>
      <c r="EQ85">
        <v>49.625</v>
      </c>
      <c r="ER85">
        <v>48.375</v>
      </c>
      <c r="ES85">
        <v>49.686999999999998</v>
      </c>
      <c r="ET85">
        <v>1755.54</v>
      </c>
      <c r="EU85">
        <v>39.5</v>
      </c>
      <c r="EV85">
        <v>0</v>
      </c>
      <c r="EW85">
        <v>111</v>
      </c>
      <c r="EX85">
        <v>0</v>
      </c>
      <c r="EY85">
        <v>730.92963999999995</v>
      </c>
      <c r="EZ85">
        <v>-4.0620769264454024</v>
      </c>
      <c r="FA85">
        <v>-103.8230757163124</v>
      </c>
      <c r="FB85">
        <v>23675.112000000001</v>
      </c>
      <c r="FC85">
        <v>15</v>
      </c>
      <c r="FD85">
        <v>1693510572</v>
      </c>
      <c r="FE85" t="s">
        <v>771</v>
      </c>
      <c r="FF85">
        <v>1693510572</v>
      </c>
      <c r="FG85">
        <v>1693510570.5</v>
      </c>
      <c r="FH85">
        <v>77</v>
      </c>
      <c r="FI85">
        <v>0.14399999999999999</v>
      </c>
      <c r="FJ85">
        <v>-4.0000000000000001E-3</v>
      </c>
      <c r="FK85">
        <v>-1.4950000000000001</v>
      </c>
      <c r="FL85">
        <v>-0.29699999999999999</v>
      </c>
      <c r="FM85">
        <v>1200</v>
      </c>
      <c r="FN85">
        <v>24</v>
      </c>
      <c r="FO85">
        <v>0.16</v>
      </c>
      <c r="FP85">
        <v>7.0000000000000007E-2</v>
      </c>
      <c r="FQ85">
        <v>46.84354652881381</v>
      </c>
      <c r="FR85">
        <v>-0.40951300620997871</v>
      </c>
      <c r="FS85">
        <v>0.12841487454984221</v>
      </c>
      <c r="FT85">
        <v>1</v>
      </c>
      <c r="FU85">
        <v>0.26656141914735032</v>
      </c>
      <c r="FV85">
        <v>4.5530742524127249E-4</v>
      </c>
      <c r="FW85">
        <v>1.4589894031844209E-3</v>
      </c>
      <c r="FX85">
        <v>1</v>
      </c>
      <c r="FY85">
        <v>2</v>
      </c>
      <c r="FZ85">
        <v>2</v>
      </c>
      <c r="GA85" t="s">
        <v>422</v>
      </c>
      <c r="GB85">
        <v>2.9185400000000001</v>
      </c>
      <c r="GC85">
        <v>2.8289599999999999</v>
      </c>
      <c r="GD85">
        <v>0.18576400000000001</v>
      </c>
      <c r="GE85">
        <v>0.18858900000000001</v>
      </c>
      <c r="GF85">
        <v>0.134463</v>
      </c>
      <c r="GG85">
        <v>0.114174</v>
      </c>
      <c r="GH85">
        <v>21290.1</v>
      </c>
      <c r="GI85">
        <v>25848.1</v>
      </c>
      <c r="GJ85">
        <v>23541.1</v>
      </c>
      <c r="GK85">
        <v>29167</v>
      </c>
      <c r="GL85">
        <v>27808.3</v>
      </c>
      <c r="GM85">
        <v>36571.699999999997</v>
      </c>
      <c r="GN85">
        <v>33298.800000000003</v>
      </c>
      <c r="GO85">
        <v>43045.4</v>
      </c>
      <c r="GP85">
        <v>1.998</v>
      </c>
      <c r="GQ85">
        <v>1.8738999999999999</v>
      </c>
      <c r="GR85">
        <v>5.5983699999999997E-2</v>
      </c>
      <c r="GS85">
        <v>0</v>
      </c>
      <c r="GT85">
        <v>29.026900000000001</v>
      </c>
      <c r="GU85">
        <v>999.9</v>
      </c>
      <c r="GV85">
        <v>58.6</v>
      </c>
      <c r="GW85">
        <v>32.6</v>
      </c>
      <c r="GX85">
        <v>29.0928</v>
      </c>
      <c r="GY85">
        <v>61.377099999999999</v>
      </c>
      <c r="GZ85">
        <v>34.310899999999997</v>
      </c>
      <c r="HA85">
        <v>1</v>
      </c>
      <c r="HB85">
        <v>0.38172800000000001</v>
      </c>
      <c r="HC85">
        <v>1.81857</v>
      </c>
      <c r="HD85">
        <v>20.311299999999999</v>
      </c>
      <c r="HE85">
        <v>5.20052</v>
      </c>
      <c r="HF85">
        <v>11.872199999999999</v>
      </c>
      <c r="HG85">
        <v>4.9805999999999999</v>
      </c>
      <c r="HH85">
        <v>3.2816000000000001</v>
      </c>
      <c r="HI85">
        <v>9999</v>
      </c>
      <c r="HJ85">
        <v>9999</v>
      </c>
      <c r="HK85">
        <v>9999</v>
      </c>
      <c r="HL85">
        <v>999.9</v>
      </c>
      <c r="HM85">
        <v>1.8546499999999999</v>
      </c>
      <c r="HN85">
        <v>1.8607499999999999</v>
      </c>
      <c r="HO85">
        <v>1.85819</v>
      </c>
      <c r="HP85">
        <v>1.85941</v>
      </c>
      <c r="HQ85">
        <v>1.85867</v>
      </c>
      <c r="HR85">
        <v>1.85928</v>
      </c>
      <c r="HS85">
        <v>1.8575999999999999</v>
      </c>
      <c r="HT85">
        <v>1.8609899999999999</v>
      </c>
      <c r="HU85">
        <v>5</v>
      </c>
      <c r="HV85">
        <v>0</v>
      </c>
      <c r="HW85">
        <v>0</v>
      </c>
      <c r="HX85">
        <v>0</v>
      </c>
      <c r="HY85" t="s">
        <v>423</v>
      </c>
      <c r="HZ85" t="s">
        <v>424</v>
      </c>
      <c r="IA85" t="s">
        <v>425</v>
      </c>
      <c r="IB85" t="s">
        <v>425</v>
      </c>
      <c r="IC85" t="s">
        <v>425</v>
      </c>
      <c r="ID85" t="s">
        <v>425</v>
      </c>
      <c r="IE85">
        <v>0</v>
      </c>
      <c r="IF85">
        <v>100</v>
      </c>
      <c r="IG85">
        <v>100</v>
      </c>
      <c r="IH85">
        <v>-1.49</v>
      </c>
      <c r="II85">
        <v>-0.29699999999999999</v>
      </c>
      <c r="IJ85">
        <v>-1.494761904761617</v>
      </c>
      <c r="IK85">
        <v>0</v>
      </c>
      <c r="IL85">
        <v>0</v>
      </c>
      <c r="IM85">
        <v>0</v>
      </c>
      <c r="IN85">
        <v>-0.29692999999999969</v>
      </c>
      <c r="IO85">
        <v>0</v>
      </c>
      <c r="IP85">
        <v>0</v>
      </c>
      <c r="IQ85">
        <v>0</v>
      </c>
      <c r="IR85">
        <v>-1</v>
      </c>
      <c r="IS85">
        <v>-1</v>
      </c>
      <c r="IT85">
        <v>-1</v>
      </c>
      <c r="IU85">
        <v>-1</v>
      </c>
      <c r="IV85">
        <v>0.5</v>
      </c>
      <c r="IW85">
        <v>0.6</v>
      </c>
      <c r="IX85">
        <v>2.36572</v>
      </c>
      <c r="IY85">
        <v>2.4194300000000002</v>
      </c>
      <c r="IZ85">
        <v>1.49414</v>
      </c>
      <c r="JA85">
        <v>2.2973599999999998</v>
      </c>
      <c r="JB85">
        <v>1.54419</v>
      </c>
      <c r="JC85">
        <v>2.3913600000000002</v>
      </c>
      <c r="JD85">
        <v>36.457799999999999</v>
      </c>
      <c r="JE85">
        <v>15.874499999999999</v>
      </c>
      <c r="JF85">
        <v>18</v>
      </c>
      <c r="JG85">
        <v>532.55200000000002</v>
      </c>
      <c r="JH85">
        <v>483.88400000000001</v>
      </c>
      <c r="JI85">
        <v>25.551600000000001</v>
      </c>
      <c r="JJ85">
        <v>32.353700000000003</v>
      </c>
      <c r="JK85">
        <v>29.9999</v>
      </c>
      <c r="JL85">
        <v>32.260199999999998</v>
      </c>
      <c r="JM85">
        <v>32.223300000000002</v>
      </c>
      <c r="JN85">
        <v>47.404699999999998</v>
      </c>
      <c r="JO85">
        <v>26.372900000000001</v>
      </c>
      <c r="JP85">
        <v>100</v>
      </c>
      <c r="JQ85">
        <v>25.577000000000002</v>
      </c>
      <c r="JR85">
        <v>1200</v>
      </c>
      <c r="JS85">
        <v>23.804300000000001</v>
      </c>
      <c r="JT85">
        <v>98.744299999999996</v>
      </c>
      <c r="JU85">
        <v>96.964799999999997</v>
      </c>
    </row>
    <row r="86" spans="1:281" x14ac:dyDescent="0.25">
      <c r="A86">
        <v>70</v>
      </c>
      <c r="B86">
        <v>1693510718.5</v>
      </c>
      <c r="C86">
        <v>16582.5</v>
      </c>
      <c r="D86" t="s">
        <v>772</v>
      </c>
      <c r="E86" t="s">
        <v>773</v>
      </c>
      <c r="F86" t="s">
        <v>414</v>
      </c>
      <c r="G86" t="s">
        <v>415</v>
      </c>
      <c r="H86" t="s">
        <v>708</v>
      </c>
      <c r="I86" t="s">
        <v>31</v>
      </c>
      <c r="J86">
        <v>1693510718.5</v>
      </c>
      <c r="K86">
        <f t="shared" si="92"/>
        <v>3.2284348677758846E-3</v>
      </c>
      <c r="L86">
        <f t="shared" si="93"/>
        <v>3.2284348677758845</v>
      </c>
      <c r="M86">
        <f t="shared" si="94"/>
        <v>46.455780373412651</v>
      </c>
      <c r="N86">
        <f t="shared" si="95"/>
        <v>1438.69</v>
      </c>
      <c r="O86">
        <f t="shared" si="96"/>
        <v>1059.9700711789994</v>
      </c>
      <c r="P86">
        <f t="shared" si="97"/>
        <v>105.56047116372572</v>
      </c>
      <c r="Q86">
        <f t="shared" si="98"/>
        <v>143.27649278778</v>
      </c>
      <c r="R86">
        <f t="shared" si="99"/>
        <v>0.22095973911283012</v>
      </c>
      <c r="S86">
        <f t="shared" si="100"/>
        <v>2.9205471122420188</v>
      </c>
      <c r="T86">
        <f t="shared" si="101"/>
        <v>0.21207488027817209</v>
      </c>
      <c r="U86">
        <f t="shared" si="102"/>
        <v>0.1333153002506316</v>
      </c>
      <c r="V86">
        <f t="shared" si="103"/>
        <v>344.3313996708801</v>
      </c>
      <c r="W86">
        <f t="shared" si="104"/>
        <v>31.552010493206296</v>
      </c>
      <c r="X86">
        <f t="shared" si="105"/>
        <v>30.083200000000001</v>
      </c>
      <c r="Y86">
        <f t="shared" si="106"/>
        <v>4.2808526541017562</v>
      </c>
      <c r="Z86">
        <f t="shared" si="107"/>
        <v>64.809480096754186</v>
      </c>
      <c r="AA86">
        <f t="shared" si="108"/>
        <v>2.8188528842262</v>
      </c>
      <c r="AB86">
        <f t="shared" si="109"/>
        <v>4.3494452972280131</v>
      </c>
      <c r="AC86">
        <f t="shared" si="110"/>
        <v>1.4619997698755562</v>
      </c>
      <c r="AD86">
        <f t="shared" si="111"/>
        <v>-142.37397766891652</v>
      </c>
      <c r="AE86">
        <f t="shared" si="112"/>
        <v>43.645842955690668</v>
      </c>
      <c r="AF86">
        <f t="shared" si="113"/>
        <v>3.3302070229193661</v>
      </c>
      <c r="AG86">
        <f t="shared" si="114"/>
        <v>248.93347198057359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52023.548549013882</v>
      </c>
      <c r="AM86" t="s">
        <v>417</v>
      </c>
      <c r="AN86">
        <v>10366.9</v>
      </c>
      <c r="AO86">
        <v>993.59653846153856</v>
      </c>
      <c r="AP86">
        <v>3431.87</v>
      </c>
      <c r="AQ86">
        <f t="shared" si="118"/>
        <v>0.71047955241266758</v>
      </c>
      <c r="AR86">
        <v>-3.9894345373445681</v>
      </c>
      <c r="AS86" t="s">
        <v>774</v>
      </c>
      <c r="AT86">
        <v>10314.9</v>
      </c>
      <c r="AU86">
        <v>724.93665384615383</v>
      </c>
      <c r="AV86">
        <v>1109.799101487831</v>
      </c>
      <c r="AW86">
        <f t="shared" si="119"/>
        <v>0.34678569042425667</v>
      </c>
      <c r="AX86">
        <v>0.5</v>
      </c>
      <c r="AY86">
        <f t="shared" si="120"/>
        <v>1513.01669983544</v>
      </c>
      <c r="AZ86">
        <f t="shared" si="121"/>
        <v>46.455780373412651</v>
      </c>
      <c r="BA86">
        <f t="shared" si="122"/>
        <v>262.34627043793171</v>
      </c>
      <c r="BB86">
        <f t="shared" si="123"/>
        <v>3.3340818324241746E-2</v>
      </c>
      <c r="BC86">
        <f t="shared" si="124"/>
        <v>2.0923344553073879</v>
      </c>
      <c r="BD86">
        <f t="shared" si="125"/>
        <v>618.76501986928099</v>
      </c>
      <c r="BE86" t="s">
        <v>775</v>
      </c>
      <c r="BF86">
        <v>558.73</v>
      </c>
      <c r="BG86">
        <f t="shared" si="126"/>
        <v>558.73</v>
      </c>
      <c r="BH86">
        <f t="shared" si="127"/>
        <v>0.49654852013220296</v>
      </c>
      <c r="BI86">
        <f t="shared" si="128"/>
        <v>0.69839235515580056</v>
      </c>
      <c r="BJ86">
        <f t="shared" si="129"/>
        <v>0.80819970433468935</v>
      </c>
      <c r="BK86">
        <f t="shared" si="130"/>
        <v>3.311996204030343</v>
      </c>
      <c r="BL86">
        <f t="shared" si="131"/>
        <v>0.95234227626257606</v>
      </c>
      <c r="BM86">
        <f t="shared" si="132"/>
        <v>0.53827152831343994</v>
      </c>
      <c r="BN86">
        <f t="shared" si="133"/>
        <v>0.46172847168656006</v>
      </c>
      <c r="BO86">
        <v>16844</v>
      </c>
      <c r="BP86">
        <v>290.00000000000011</v>
      </c>
      <c r="BQ86">
        <v>1005.12</v>
      </c>
      <c r="BR86">
        <v>255</v>
      </c>
      <c r="BS86">
        <v>10314.9</v>
      </c>
      <c r="BT86">
        <v>1003.4</v>
      </c>
      <c r="BU86">
        <v>1.72</v>
      </c>
      <c r="BV86">
        <v>300.00000000000011</v>
      </c>
      <c r="BW86">
        <v>38.4</v>
      </c>
      <c r="BX86">
        <v>1109.799101487831</v>
      </c>
      <c r="BY86">
        <v>1.0666671330845989</v>
      </c>
      <c r="BZ86">
        <v>-109.7538956971885</v>
      </c>
      <c r="CA86">
        <v>0.90090184304915133</v>
      </c>
      <c r="CB86">
        <v>0.99811698171193242</v>
      </c>
      <c r="CC86">
        <v>-1.1241231813125689E-2</v>
      </c>
      <c r="CD86">
        <v>289.99999999999989</v>
      </c>
      <c r="CE86">
        <v>995.24</v>
      </c>
      <c r="CF86">
        <v>655</v>
      </c>
      <c r="CG86">
        <v>10299.1</v>
      </c>
      <c r="CH86">
        <v>1003.23</v>
      </c>
      <c r="CI86">
        <v>-7.99</v>
      </c>
      <c r="CW86">
        <f t="shared" si="134"/>
        <v>1799.8</v>
      </c>
      <c r="CX86">
        <f t="shared" si="135"/>
        <v>1513.01669983544</v>
      </c>
      <c r="CY86">
        <f t="shared" si="136"/>
        <v>0.84065823971299036</v>
      </c>
      <c r="CZ86">
        <f t="shared" si="137"/>
        <v>0.19131647942598073</v>
      </c>
      <c r="DA86">
        <v>6</v>
      </c>
      <c r="DB86">
        <v>0.5</v>
      </c>
      <c r="DC86" t="s">
        <v>420</v>
      </c>
      <c r="DD86">
        <v>2</v>
      </c>
      <c r="DE86">
        <v>1693510718.5</v>
      </c>
      <c r="DF86">
        <v>1438.69</v>
      </c>
      <c r="DG86">
        <v>1499.99</v>
      </c>
      <c r="DH86">
        <v>28.305099999999999</v>
      </c>
      <c r="DI86">
        <v>24.541899999999998</v>
      </c>
      <c r="DJ86">
        <v>1440.25</v>
      </c>
      <c r="DK86">
        <v>28.595600000000001</v>
      </c>
      <c r="DL86">
        <v>500.16800000000001</v>
      </c>
      <c r="DM86">
        <v>99.487700000000004</v>
      </c>
      <c r="DN86">
        <v>0.100462</v>
      </c>
      <c r="DO86">
        <v>30.360399999999998</v>
      </c>
      <c r="DP86">
        <v>30.083200000000001</v>
      </c>
      <c r="DQ86">
        <v>999.9</v>
      </c>
      <c r="DR86">
        <v>0</v>
      </c>
      <c r="DS86">
        <v>0</v>
      </c>
      <c r="DT86">
        <v>10000</v>
      </c>
      <c r="DU86">
        <v>0</v>
      </c>
      <c r="DV86">
        <v>1306.1400000000001</v>
      </c>
      <c r="DW86">
        <v>-61.298499999999997</v>
      </c>
      <c r="DX86">
        <v>1480.6</v>
      </c>
      <c r="DY86">
        <v>1537.73</v>
      </c>
      <c r="DZ86">
        <v>3.7632599999999998</v>
      </c>
      <c r="EA86">
        <v>1499.99</v>
      </c>
      <c r="EB86">
        <v>24.541899999999998</v>
      </c>
      <c r="EC86">
        <v>2.8160099999999999</v>
      </c>
      <c r="ED86">
        <v>2.4416199999999999</v>
      </c>
      <c r="EE86">
        <v>22.978300000000001</v>
      </c>
      <c r="EF86">
        <v>20.642499999999998</v>
      </c>
      <c r="EG86">
        <v>1799.8</v>
      </c>
      <c r="EH86">
        <v>0.97799899999999995</v>
      </c>
      <c r="EI86">
        <v>2.20009E-2</v>
      </c>
      <c r="EJ86">
        <v>0</v>
      </c>
      <c r="EK86">
        <v>723.88599999999997</v>
      </c>
      <c r="EL86">
        <v>5.0002500000000003</v>
      </c>
      <c r="EM86">
        <v>23636</v>
      </c>
      <c r="EN86">
        <v>14820.5</v>
      </c>
      <c r="EO86">
        <v>47.936999999999998</v>
      </c>
      <c r="EP86">
        <v>49.5</v>
      </c>
      <c r="EQ86">
        <v>48.936999999999998</v>
      </c>
      <c r="ER86">
        <v>47.811999999999998</v>
      </c>
      <c r="ES86">
        <v>49.061999999999998</v>
      </c>
      <c r="ET86">
        <v>1755.31</v>
      </c>
      <c r="EU86">
        <v>39.49</v>
      </c>
      <c r="EV86">
        <v>0</v>
      </c>
      <c r="EW86">
        <v>112.4000000953674</v>
      </c>
      <c r="EX86">
        <v>0</v>
      </c>
      <c r="EY86">
        <v>724.93665384615383</v>
      </c>
      <c r="EZ86">
        <v>-4.2600683841488989</v>
      </c>
      <c r="FA86">
        <v>-63.890599764779083</v>
      </c>
      <c r="FB86">
        <v>23656.615384615379</v>
      </c>
      <c r="FC86">
        <v>15</v>
      </c>
      <c r="FD86">
        <v>1693510685.5</v>
      </c>
      <c r="FE86" t="s">
        <v>776</v>
      </c>
      <c r="FF86">
        <v>1693510685.5</v>
      </c>
      <c r="FG86">
        <v>1693510679.5</v>
      </c>
      <c r="FH86">
        <v>78</v>
      </c>
      <c r="FI86">
        <v>-6.2E-2</v>
      </c>
      <c r="FJ86">
        <v>7.0000000000000001E-3</v>
      </c>
      <c r="FK86">
        <v>-1.5580000000000001</v>
      </c>
      <c r="FL86">
        <v>-0.28999999999999998</v>
      </c>
      <c r="FM86">
        <v>1500</v>
      </c>
      <c r="FN86">
        <v>24</v>
      </c>
      <c r="FO86">
        <v>0.23</v>
      </c>
      <c r="FP86">
        <v>0.08</v>
      </c>
      <c r="FQ86">
        <v>46.776615890204553</v>
      </c>
      <c r="FR86">
        <v>-3.4331352267280062E-2</v>
      </c>
      <c r="FS86">
        <v>0.14504584838548171</v>
      </c>
      <c r="FT86">
        <v>1</v>
      </c>
      <c r="FU86">
        <v>0.21852883722242261</v>
      </c>
      <c r="FV86">
        <v>1.1166396745671299E-2</v>
      </c>
      <c r="FW86">
        <v>1.3600687704627601E-3</v>
      </c>
      <c r="FX86">
        <v>1</v>
      </c>
      <c r="FY86">
        <v>2</v>
      </c>
      <c r="FZ86">
        <v>2</v>
      </c>
      <c r="GA86" t="s">
        <v>422</v>
      </c>
      <c r="GB86">
        <v>2.9193699999999998</v>
      </c>
      <c r="GC86">
        <v>2.8303500000000001</v>
      </c>
      <c r="GD86">
        <v>0.21407200000000001</v>
      </c>
      <c r="GE86">
        <v>0.21584</v>
      </c>
      <c r="GF86">
        <v>0.134712</v>
      </c>
      <c r="GG86">
        <v>0.116535</v>
      </c>
      <c r="GH86">
        <v>20549.5</v>
      </c>
      <c r="GI86">
        <v>24980.1</v>
      </c>
      <c r="GJ86">
        <v>23541.5</v>
      </c>
      <c r="GK86">
        <v>29168.2</v>
      </c>
      <c r="GL86">
        <v>27803.7</v>
      </c>
      <c r="GM86">
        <v>36475.800000000003</v>
      </c>
      <c r="GN86">
        <v>33300.400000000001</v>
      </c>
      <c r="GO86">
        <v>43045.5</v>
      </c>
      <c r="GP86">
        <v>1.9987999999999999</v>
      </c>
      <c r="GQ86">
        <v>1.8764000000000001</v>
      </c>
      <c r="GR86">
        <v>6.3240500000000005E-2</v>
      </c>
      <c r="GS86">
        <v>0</v>
      </c>
      <c r="GT86">
        <v>29.0533</v>
      </c>
      <c r="GU86">
        <v>999.9</v>
      </c>
      <c r="GV86">
        <v>58.6</v>
      </c>
      <c r="GW86">
        <v>32.6</v>
      </c>
      <c r="GX86">
        <v>29.0943</v>
      </c>
      <c r="GY86">
        <v>61.497100000000003</v>
      </c>
      <c r="GZ86">
        <v>34.615400000000001</v>
      </c>
      <c r="HA86">
        <v>1</v>
      </c>
      <c r="HB86">
        <v>0.38083299999999998</v>
      </c>
      <c r="HC86">
        <v>3.0974499999999998</v>
      </c>
      <c r="HD86">
        <v>20.293600000000001</v>
      </c>
      <c r="HE86">
        <v>5.2095000000000002</v>
      </c>
      <c r="HF86">
        <v>11.872199999999999</v>
      </c>
      <c r="HG86">
        <v>4.9843999999999999</v>
      </c>
      <c r="HH86">
        <v>3.2837000000000001</v>
      </c>
      <c r="HI86">
        <v>9999</v>
      </c>
      <c r="HJ86">
        <v>9999</v>
      </c>
      <c r="HK86">
        <v>9999</v>
      </c>
      <c r="HL86">
        <v>999.9</v>
      </c>
      <c r="HM86">
        <v>1.8546</v>
      </c>
      <c r="HN86">
        <v>1.8606799999999999</v>
      </c>
      <c r="HO86">
        <v>1.8582000000000001</v>
      </c>
      <c r="HP86">
        <v>1.85938</v>
      </c>
      <c r="HQ86">
        <v>1.85867</v>
      </c>
      <c r="HR86">
        <v>1.85924</v>
      </c>
      <c r="HS86">
        <v>1.8575999999999999</v>
      </c>
      <c r="HT86">
        <v>1.8609599999999999</v>
      </c>
      <c r="HU86">
        <v>5</v>
      </c>
      <c r="HV86">
        <v>0</v>
      </c>
      <c r="HW86">
        <v>0</v>
      </c>
      <c r="HX86">
        <v>0</v>
      </c>
      <c r="HY86" t="s">
        <v>423</v>
      </c>
      <c r="HZ86" t="s">
        <v>424</v>
      </c>
      <c r="IA86" t="s">
        <v>425</v>
      </c>
      <c r="IB86" t="s">
        <v>425</v>
      </c>
      <c r="IC86" t="s">
        <v>425</v>
      </c>
      <c r="ID86" t="s">
        <v>425</v>
      </c>
      <c r="IE86">
        <v>0</v>
      </c>
      <c r="IF86">
        <v>100</v>
      </c>
      <c r="IG86">
        <v>100</v>
      </c>
      <c r="IH86">
        <v>-1.56</v>
      </c>
      <c r="II86">
        <v>-0.29049999999999998</v>
      </c>
      <c r="IJ86">
        <v>-1.557500000000118</v>
      </c>
      <c r="IK86">
        <v>0</v>
      </c>
      <c r="IL86">
        <v>0</v>
      </c>
      <c r="IM86">
        <v>0</v>
      </c>
      <c r="IN86">
        <v>-0.29043000000000418</v>
      </c>
      <c r="IO86">
        <v>0</v>
      </c>
      <c r="IP86">
        <v>0</v>
      </c>
      <c r="IQ86">
        <v>0</v>
      </c>
      <c r="IR86">
        <v>-1</v>
      </c>
      <c r="IS86">
        <v>-1</v>
      </c>
      <c r="IT86">
        <v>-1</v>
      </c>
      <c r="IU86">
        <v>-1</v>
      </c>
      <c r="IV86">
        <v>0.6</v>
      </c>
      <c r="IW86">
        <v>0.7</v>
      </c>
      <c r="IX86">
        <v>2.80518</v>
      </c>
      <c r="IY86">
        <v>2.4133300000000002</v>
      </c>
      <c r="IZ86">
        <v>1.49414</v>
      </c>
      <c r="JA86">
        <v>2.2973599999999998</v>
      </c>
      <c r="JB86">
        <v>1.54419</v>
      </c>
      <c r="JC86">
        <v>2.4902299999999999</v>
      </c>
      <c r="JD86">
        <v>36.457799999999999</v>
      </c>
      <c r="JE86">
        <v>15.8569</v>
      </c>
      <c r="JF86">
        <v>18</v>
      </c>
      <c r="JG86">
        <v>532.77700000000004</v>
      </c>
      <c r="JH86">
        <v>485.42700000000002</v>
      </c>
      <c r="JI86">
        <v>25.113299999999999</v>
      </c>
      <c r="JJ86">
        <v>32.290900000000001</v>
      </c>
      <c r="JK86">
        <v>30.000299999999999</v>
      </c>
      <c r="JL86">
        <v>32.223500000000001</v>
      </c>
      <c r="JM86">
        <v>32.192300000000003</v>
      </c>
      <c r="JN86">
        <v>56.186700000000002</v>
      </c>
      <c r="JO86">
        <v>23.808599999999998</v>
      </c>
      <c r="JP86">
        <v>100</v>
      </c>
      <c r="JQ86">
        <v>25.087399999999999</v>
      </c>
      <c r="JR86">
        <v>1500</v>
      </c>
      <c r="JS86">
        <v>24.6189</v>
      </c>
      <c r="JT86">
        <v>98.748000000000005</v>
      </c>
      <c r="JU86">
        <v>96.966499999999996</v>
      </c>
    </row>
    <row r="87" spans="1:281" x14ac:dyDescent="0.25">
      <c r="A87">
        <v>71</v>
      </c>
      <c r="B87">
        <v>1693512154.5999999</v>
      </c>
      <c r="C87">
        <v>18018.599999904629</v>
      </c>
      <c r="D87" t="s">
        <v>777</v>
      </c>
      <c r="E87" t="s">
        <v>778</v>
      </c>
      <c r="F87" t="s">
        <v>414</v>
      </c>
      <c r="G87" t="s">
        <v>779</v>
      </c>
      <c r="H87" t="s">
        <v>780</v>
      </c>
      <c r="I87" t="s">
        <v>31</v>
      </c>
      <c r="J87">
        <v>1693512154.5999999</v>
      </c>
      <c r="K87">
        <f t="shared" si="92"/>
        <v>4.0410247079047086E-3</v>
      </c>
      <c r="L87">
        <f t="shared" si="93"/>
        <v>4.0410247079047084</v>
      </c>
      <c r="M87">
        <f t="shared" si="94"/>
        <v>42.548953240795591</v>
      </c>
      <c r="N87">
        <f t="shared" si="95"/>
        <v>347.36</v>
      </c>
      <c r="O87">
        <f t="shared" si="96"/>
        <v>95.983349698638648</v>
      </c>
      <c r="P87">
        <f t="shared" si="97"/>
        <v>9.5583218149748959</v>
      </c>
      <c r="Q87">
        <f t="shared" si="98"/>
        <v>34.591193952640005</v>
      </c>
      <c r="R87">
        <f t="shared" si="99"/>
        <v>0.28958602551553847</v>
      </c>
      <c r="S87">
        <f t="shared" si="100"/>
        <v>2.9055197599201632</v>
      </c>
      <c r="T87">
        <f t="shared" si="101"/>
        <v>0.27445374687275093</v>
      </c>
      <c r="U87">
        <f t="shared" si="102"/>
        <v>0.17282724510737513</v>
      </c>
      <c r="V87">
        <f t="shared" si="103"/>
        <v>344.3509996708151</v>
      </c>
      <c r="W87">
        <f t="shared" si="104"/>
        <v>31.298028804625154</v>
      </c>
      <c r="X87">
        <f t="shared" si="105"/>
        <v>29.961200000000002</v>
      </c>
      <c r="Y87">
        <f t="shared" si="106"/>
        <v>4.2509639786608444</v>
      </c>
      <c r="Z87">
        <f t="shared" si="107"/>
        <v>65.401655999155778</v>
      </c>
      <c r="AA87">
        <f t="shared" si="108"/>
        <v>2.8368941615747998</v>
      </c>
      <c r="AB87">
        <f t="shared" si="109"/>
        <v>4.3376488228546064</v>
      </c>
      <c r="AC87">
        <f t="shared" si="110"/>
        <v>1.4140698170860446</v>
      </c>
      <c r="AD87">
        <f t="shared" si="111"/>
        <v>-178.20918961859766</v>
      </c>
      <c r="AE87">
        <f t="shared" si="112"/>
        <v>55.106789740219376</v>
      </c>
      <c r="AF87">
        <f t="shared" si="113"/>
        <v>4.2228913453793222</v>
      </c>
      <c r="AG87">
        <f t="shared" si="114"/>
        <v>225.47149113781612</v>
      </c>
      <c r="AH87">
        <v>11</v>
      </c>
      <c r="AI87">
        <v>2</v>
      </c>
      <c r="AJ87">
        <f t="shared" si="115"/>
        <v>1</v>
      </c>
      <c r="AK87">
        <f t="shared" si="116"/>
        <v>0</v>
      </c>
      <c r="AL87">
        <f t="shared" si="117"/>
        <v>51604.054178492443</v>
      </c>
      <c r="AM87" t="s">
        <v>417</v>
      </c>
      <c r="AN87">
        <v>10366.9</v>
      </c>
      <c r="AO87">
        <v>993.59653846153856</v>
      </c>
      <c r="AP87">
        <v>3431.87</v>
      </c>
      <c r="AQ87">
        <f t="shared" si="118"/>
        <v>0.71047955241266758</v>
      </c>
      <c r="AR87">
        <v>-3.9894345373445681</v>
      </c>
      <c r="AS87" t="s">
        <v>781</v>
      </c>
      <c r="AT87">
        <v>10294.1</v>
      </c>
      <c r="AU87">
        <v>684.82591999999988</v>
      </c>
      <c r="AV87">
        <v>996.69397790048652</v>
      </c>
      <c r="AW87">
        <f t="shared" si="119"/>
        <v>0.31290252054841317</v>
      </c>
      <c r="AX87">
        <v>0.5</v>
      </c>
      <c r="AY87">
        <f t="shared" si="120"/>
        <v>1513.1009998354077</v>
      </c>
      <c r="AZ87">
        <f t="shared" si="121"/>
        <v>42.548953240795591</v>
      </c>
      <c r="BA87">
        <f t="shared" si="122"/>
        <v>236.72655834641159</v>
      </c>
      <c r="BB87">
        <f t="shared" si="123"/>
        <v>3.0756960561920534E-2</v>
      </c>
      <c r="BC87">
        <f t="shared" si="124"/>
        <v>2.4432534720728993</v>
      </c>
      <c r="BD87">
        <f t="shared" si="125"/>
        <v>581.94501975482513</v>
      </c>
      <c r="BE87" t="s">
        <v>782</v>
      </c>
      <c r="BF87">
        <v>538.29</v>
      </c>
      <c r="BG87">
        <f t="shared" si="126"/>
        <v>538.29</v>
      </c>
      <c r="BH87">
        <f t="shared" si="127"/>
        <v>0.45992449845649142</v>
      </c>
      <c r="BI87">
        <f t="shared" si="128"/>
        <v>0.68033453664354782</v>
      </c>
      <c r="BJ87">
        <f t="shared" si="129"/>
        <v>0.84157895136803318</v>
      </c>
      <c r="BK87">
        <f t="shared" si="130"/>
        <v>100.68576449921237</v>
      </c>
      <c r="BL87">
        <f t="shared" si="131"/>
        <v>0.99872965871637964</v>
      </c>
      <c r="BM87">
        <f t="shared" si="132"/>
        <v>0.53475966232390182</v>
      </c>
      <c r="BN87">
        <f t="shared" si="133"/>
        <v>0.46524033767609818</v>
      </c>
      <c r="BO87">
        <v>16846</v>
      </c>
      <c r="BP87">
        <v>290.00000000000011</v>
      </c>
      <c r="BQ87">
        <v>910.29</v>
      </c>
      <c r="BR87">
        <v>125</v>
      </c>
      <c r="BS87">
        <v>10294.1</v>
      </c>
      <c r="BT87">
        <v>908.62</v>
      </c>
      <c r="BU87">
        <v>1.67</v>
      </c>
      <c r="BV87">
        <v>300.00000000000011</v>
      </c>
      <c r="BW87">
        <v>38.5</v>
      </c>
      <c r="BX87">
        <v>996.69397790048652</v>
      </c>
      <c r="BY87">
        <v>1.465654851366069</v>
      </c>
      <c r="BZ87">
        <v>-90.662304180029693</v>
      </c>
      <c r="CA87">
        <v>1.232934922280484</v>
      </c>
      <c r="CB87">
        <v>0.99484840465419544</v>
      </c>
      <c r="CC87">
        <v>-1.119983426028922E-2</v>
      </c>
      <c r="CD87">
        <v>289.99999999999989</v>
      </c>
      <c r="CE87">
        <v>902.5</v>
      </c>
      <c r="CF87">
        <v>675</v>
      </c>
      <c r="CG87">
        <v>10256.6</v>
      </c>
      <c r="CH87">
        <v>908.3</v>
      </c>
      <c r="CI87">
        <v>-5.8</v>
      </c>
      <c r="CW87">
        <f t="shared" si="134"/>
        <v>1799.9</v>
      </c>
      <c r="CX87">
        <f t="shared" si="135"/>
        <v>1513.1009998354077</v>
      </c>
      <c r="CY87">
        <f t="shared" si="136"/>
        <v>0.84065836981799413</v>
      </c>
      <c r="CZ87">
        <f t="shared" si="137"/>
        <v>0.19131673963598816</v>
      </c>
      <c r="DA87">
        <v>6</v>
      </c>
      <c r="DB87">
        <v>0.5</v>
      </c>
      <c r="DC87" t="s">
        <v>420</v>
      </c>
      <c r="DD87">
        <v>2</v>
      </c>
      <c r="DE87">
        <v>1693512154.5999999</v>
      </c>
      <c r="DF87">
        <v>347.36</v>
      </c>
      <c r="DG87">
        <v>400.11900000000003</v>
      </c>
      <c r="DH87">
        <v>28.4877</v>
      </c>
      <c r="DI87">
        <v>23.775200000000002</v>
      </c>
      <c r="DJ87">
        <v>349.209</v>
      </c>
      <c r="DK87">
        <v>28.8003</v>
      </c>
      <c r="DL87">
        <v>499.85</v>
      </c>
      <c r="DM87">
        <v>99.482100000000003</v>
      </c>
      <c r="DN87">
        <v>0.101024</v>
      </c>
      <c r="DO87">
        <v>30.312999999999999</v>
      </c>
      <c r="DP87">
        <v>29.961200000000002</v>
      </c>
      <c r="DQ87">
        <v>999.9</v>
      </c>
      <c r="DR87">
        <v>0</v>
      </c>
      <c r="DS87">
        <v>0</v>
      </c>
      <c r="DT87">
        <v>9915</v>
      </c>
      <c r="DU87">
        <v>0</v>
      </c>
      <c r="DV87">
        <v>1377.71</v>
      </c>
      <c r="DW87">
        <v>-52.759599999999999</v>
      </c>
      <c r="DX87">
        <v>357.54500000000002</v>
      </c>
      <c r="DY87">
        <v>409.86399999999998</v>
      </c>
      <c r="DZ87">
        <v>4.7124600000000001</v>
      </c>
      <c r="EA87">
        <v>400.11900000000003</v>
      </c>
      <c r="EB87">
        <v>23.775200000000002</v>
      </c>
      <c r="EC87">
        <v>2.8340100000000001</v>
      </c>
      <c r="ED87">
        <v>2.3652099999999998</v>
      </c>
      <c r="EE87">
        <v>23.083600000000001</v>
      </c>
      <c r="EF87">
        <v>20.127500000000001</v>
      </c>
      <c r="EG87">
        <v>1799.9</v>
      </c>
      <c r="EH87">
        <v>0.977993</v>
      </c>
      <c r="EI87">
        <v>2.2006700000000001E-2</v>
      </c>
      <c r="EJ87">
        <v>0</v>
      </c>
      <c r="EK87">
        <v>685.21500000000003</v>
      </c>
      <c r="EL87">
        <v>5.0002500000000003</v>
      </c>
      <c r="EM87">
        <v>21528.1</v>
      </c>
      <c r="EN87">
        <v>14821.2</v>
      </c>
      <c r="EO87">
        <v>49.686999999999998</v>
      </c>
      <c r="EP87">
        <v>51.061999999999998</v>
      </c>
      <c r="EQ87">
        <v>50.436999999999998</v>
      </c>
      <c r="ER87">
        <v>50.436999999999998</v>
      </c>
      <c r="ES87">
        <v>50.75</v>
      </c>
      <c r="ET87">
        <v>1755.4</v>
      </c>
      <c r="EU87">
        <v>39.5</v>
      </c>
      <c r="EV87">
        <v>0</v>
      </c>
      <c r="EW87">
        <v>1434.2000000476839</v>
      </c>
      <c r="EX87">
        <v>0</v>
      </c>
      <c r="EY87">
        <v>684.82591999999988</v>
      </c>
      <c r="EZ87">
        <v>2.8876922966722822</v>
      </c>
      <c r="FA87">
        <v>54.361538162614593</v>
      </c>
      <c r="FB87">
        <v>21470.651999999998</v>
      </c>
      <c r="FC87">
        <v>15</v>
      </c>
      <c r="FD87">
        <v>1693512125.5999999</v>
      </c>
      <c r="FE87" t="s">
        <v>783</v>
      </c>
      <c r="FF87">
        <v>1693512113.5999999</v>
      </c>
      <c r="FG87">
        <v>1693512125.5999999</v>
      </c>
      <c r="FH87">
        <v>80</v>
      </c>
      <c r="FI87">
        <v>0.106</v>
      </c>
      <c r="FJ87">
        <v>-6.9000000000000006E-2</v>
      </c>
      <c r="FK87">
        <v>-1.849</v>
      </c>
      <c r="FL87">
        <v>-0.313</v>
      </c>
      <c r="FM87">
        <v>400</v>
      </c>
      <c r="FN87">
        <v>24</v>
      </c>
      <c r="FO87">
        <v>0.12</v>
      </c>
      <c r="FP87">
        <v>0.09</v>
      </c>
      <c r="FQ87">
        <v>42.400040562232633</v>
      </c>
      <c r="FR87">
        <v>7.9653137468249424E-2</v>
      </c>
      <c r="FS87">
        <v>5.8784230367181077E-2</v>
      </c>
      <c r="FT87">
        <v>1</v>
      </c>
      <c r="FU87">
        <v>0.28982058552119377</v>
      </c>
      <c r="FV87">
        <v>3.7257956776076087E-2</v>
      </c>
      <c r="FW87">
        <v>4.4706701434869319E-3</v>
      </c>
      <c r="FX87">
        <v>1</v>
      </c>
      <c r="FY87">
        <v>2</v>
      </c>
      <c r="FZ87">
        <v>2</v>
      </c>
      <c r="GA87" t="s">
        <v>422</v>
      </c>
      <c r="GB87">
        <v>2.9171900000000002</v>
      </c>
      <c r="GC87">
        <v>2.8301699999999999</v>
      </c>
      <c r="GD87">
        <v>8.1107600000000002E-2</v>
      </c>
      <c r="GE87">
        <v>8.8495400000000002E-2</v>
      </c>
      <c r="GF87">
        <v>0.13498099999999999</v>
      </c>
      <c r="GG87">
        <v>0.113645</v>
      </c>
      <c r="GH87">
        <v>23974.1</v>
      </c>
      <c r="GI87">
        <v>28970.6</v>
      </c>
      <c r="GJ87">
        <v>23492.2</v>
      </c>
      <c r="GK87">
        <v>29104.3</v>
      </c>
      <c r="GL87">
        <v>27732.799999999999</v>
      </c>
      <c r="GM87">
        <v>36513.4</v>
      </c>
      <c r="GN87">
        <v>33231.300000000003</v>
      </c>
      <c r="GO87">
        <v>42957.5</v>
      </c>
      <c r="GP87">
        <v>1.9259999999999999</v>
      </c>
      <c r="GQ87">
        <v>1.8027</v>
      </c>
      <c r="GR87">
        <v>3.4332300000000003E-2</v>
      </c>
      <c r="GS87">
        <v>0</v>
      </c>
      <c r="GT87">
        <v>29.402200000000001</v>
      </c>
      <c r="GU87">
        <v>999.9</v>
      </c>
      <c r="GV87">
        <v>52.3</v>
      </c>
      <c r="GW87">
        <v>37.700000000000003</v>
      </c>
      <c r="GX87">
        <v>34.434399999999997</v>
      </c>
      <c r="GY87">
        <v>61.2864</v>
      </c>
      <c r="GZ87">
        <v>36.310099999999998</v>
      </c>
      <c r="HA87">
        <v>1</v>
      </c>
      <c r="HB87">
        <v>0.50213399999999997</v>
      </c>
      <c r="HC87">
        <v>2.5778099999999999</v>
      </c>
      <c r="HD87">
        <v>20.250699999999998</v>
      </c>
      <c r="HE87">
        <v>5.2100999999999997</v>
      </c>
      <c r="HF87">
        <v>11.872199999999999</v>
      </c>
      <c r="HG87">
        <v>4.9843999999999999</v>
      </c>
      <c r="HH87">
        <v>3.2839999999999998</v>
      </c>
      <c r="HI87">
        <v>9999</v>
      </c>
      <c r="HJ87">
        <v>9999</v>
      </c>
      <c r="HK87">
        <v>9999</v>
      </c>
      <c r="HL87">
        <v>999.9</v>
      </c>
      <c r="HM87">
        <v>1.85503</v>
      </c>
      <c r="HN87">
        <v>1.8610800000000001</v>
      </c>
      <c r="HO87">
        <v>1.8584700000000001</v>
      </c>
      <c r="HP87">
        <v>1.8595900000000001</v>
      </c>
      <c r="HQ87">
        <v>1.8589800000000001</v>
      </c>
      <c r="HR87">
        <v>1.85944</v>
      </c>
      <c r="HS87">
        <v>1.8577699999999999</v>
      </c>
      <c r="HT87">
        <v>1.86111</v>
      </c>
      <c r="HU87">
        <v>5</v>
      </c>
      <c r="HV87">
        <v>0</v>
      </c>
      <c r="HW87">
        <v>0</v>
      </c>
      <c r="HX87">
        <v>0</v>
      </c>
      <c r="HY87" t="s">
        <v>423</v>
      </c>
      <c r="HZ87" t="s">
        <v>424</v>
      </c>
      <c r="IA87" t="s">
        <v>425</v>
      </c>
      <c r="IB87" t="s">
        <v>425</v>
      </c>
      <c r="IC87" t="s">
        <v>425</v>
      </c>
      <c r="ID87" t="s">
        <v>425</v>
      </c>
      <c r="IE87">
        <v>0</v>
      </c>
      <c r="IF87">
        <v>100</v>
      </c>
      <c r="IG87">
        <v>100</v>
      </c>
      <c r="IH87">
        <v>-1.849</v>
      </c>
      <c r="II87">
        <v>-0.31259999999999999</v>
      </c>
      <c r="IJ87">
        <v>-1.849333333333391</v>
      </c>
      <c r="IK87">
        <v>0</v>
      </c>
      <c r="IL87">
        <v>0</v>
      </c>
      <c r="IM87">
        <v>0</v>
      </c>
      <c r="IN87">
        <v>-0.31258571428571003</v>
      </c>
      <c r="IO87">
        <v>0</v>
      </c>
      <c r="IP87">
        <v>0</v>
      </c>
      <c r="IQ87">
        <v>0</v>
      </c>
      <c r="IR87">
        <v>-1</v>
      </c>
      <c r="IS87">
        <v>-1</v>
      </c>
      <c r="IT87">
        <v>-1</v>
      </c>
      <c r="IU87">
        <v>-1</v>
      </c>
      <c r="IV87">
        <v>0.7</v>
      </c>
      <c r="IW87">
        <v>0.5</v>
      </c>
      <c r="IX87">
        <v>0.98510699999999995</v>
      </c>
      <c r="IY87">
        <v>2.4499499999999999</v>
      </c>
      <c r="IZ87">
        <v>1.49414</v>
      </c>
      <c r="JA87">
        <v>2.2924799999999999</v>
      </c>
      <c r="JB87">
        <v>1.54419</v>
      </c>
      <c r="JC87">
        <v>2.3986800000000001</v>
      </c>
      <c r="JD87">
        <v>45.805599999999998</v>
      </c>
      <c r="JE87">
        <v>23.745999999999999</v>
      </c>
      <c r="JF87">
        <v>18</v>
      </c>
      <c r="JG87">
        <v>495.04300000000001</v>
      </c>
      <c r="JH87">
        <v>443.88499999999999</v>
      </c>
      <c r="JI87">
        <v>25.371300000000002</v>
      </c>
      <c r="JJ87">
        <v>33.578099999999999</v>
      </c>
      <c r="JK87">
        <v>29.999700000000001</v>
      </c>
      <c r="JL87">
        <v>33.5045</v>
      </c>
      <c r="JM87">
        <v>33.454500000000003</v>
      </c>
      <c r="JN87">
        <v>19.799800000000001</v>
      </c>
      <c r="JO87">
        <v>34.273899999999998</v>
      </c>
      <c r="JP87">
        <v>64.781199999999998</v>
      </c>
      <c r="JQ87">
        <v>25.408000000000001</v>
      </c>
      <c r="JR87">
        <v>400</v>
      </c>
      <c r="JS87">
        <v>23.7563</v>
      </c>
      <c r="JT87">
        <v>98.542299999999997</v>
      </c>
      <c r="JU87">
        <v>96.762699999999995</v>
      </c>
    </row>
    <row r="88" spans="1:281" x14ac:dyDescent="0.25">
      <c r="A88">
        <v>72</v>
      </c>
      <c r="B88">
        <v>1693512254.0999999</v>
      </c>
      <c r="C88">
        <v>18118.099999904629</v>
      </c>
      <c r="D88" t="s">
        <v>784</v>
      </c>
      <c r="E88" t="s">
        <v>785</v>
      </c>
      <c r="F88" t="s">
        <v>414</v>
      </c>
      <c r="G88" t="s">
        <v>779</v>
      </c>
      <c r="H88" t="s">
        <v>780</v>
      </c>
      <c r="I88" t="s">
        <v>31</v>
      </c>
      <c r="J88">
        <v>1693512254.0999999</v>
      </c>
      <c r="K88">
        <f t="shared" si="92"/>
        <v>4.0942768128316787E-3</v>
      </c>
      <c r="L88">
        <f t="shared" si="93"/>
        <v>4.0942768128316791</v>
      </c>
      <c r="M88">
        <f t="shared" si="94"/>
        <v>33.82290573183559</v>
      </c>
      <c r="N88">
        <f t="shared" si="95"/>
        <v>258.16300000000001</v>
      </c>
      <c r="O88">
        <f t="shared" si="96"/>
        <v>60.582492452985072</v>
      </c>
      <c r="P88">
        <f t="shared" si="97"/>
        <v>6.0330253247212564</v>
      </c>
      <c r="Q88">
        <f t="shared" si="98"/>
        <v>25.708812131074204</v>
      </c>
      <c r="R88">
        <f t="shared" si="99"/>
        <v>0.29238029776623686</v>
      </c>
      <c r="S88">
        <f t="shared" si="100"/>
        <v>2.9309703326073793</v>
      </c>
      <c r="T88">
        <f t="shared" si="101"/>
        <v>0.27708928504905106</v>
      </c>
      <c r="U88">
        <f t="shared" si="102"/>
        <v>0.17448797100141311</v>
      </c>
      <c r="V88">
        <f t="shared" si="103"/>
        <v>344.38329967084621</v>
      </c>
      <c r="W88">
        <f t="shared" si="104"/>
        <v>31.348710514760928</v>
      </c>
      <c r="X88">
        <f t="shared" si="105"/>
        <v>29.9984</v>
      </c>
      <c r="Y88">
        <f t="shared" si="106"/>
        <v>4.2600582413126675</v>
      </c>
      <c r="Z88">
        <f t="shared" si="107"/>
        <v>65.227218797827163</v>
      </c>
      <c r="AA88">
        <f t="shared" si="108"/>
        <v>2.8410715543802998</v>
      </c>
      <c r="AB88">
        <f t="shared" si="109"/>
        <v>4.355653371004899</v>
      </c>
      <c r="AC88">
        <f t="shared" si="110"/>
        <v>1.4189866869323677</v>
      </c>
      <c r="AD88">
        <f t="shared" si="111"/>
        <v>-180.55760744587704</v>
      </c>
      <c r="AE88">
        <f t="shared" si="112"/>
        <v>61.135799437924696</v>
      </c>
      <c r="AF88">
        <f t="shared" si="113"/>
        <v>4.6467373644720551</v>
      </c>
      <c r="AG88">
        <f t="shared" si="114"/>
        <v>229.60822902736595</v>
      </c>
      <c r="AH88">
        <v>12</v>
      </c>
      <c r="AI88">
        <v>2</v>
      </c>
      <c r="AJ88">
        <f t="shared" si="115"/>
        <v>1</v>
      </c>
      <c r="AK88">
        <f t="shared" si="116"/>
        <v>0</v>
      </c>
      <c r="AL88">
        <f t="shared" si="117"/>
        <v>52316.482342497467</v>
      </c>
      <c r="AM88" t="s">
        <v>417</v>
      </c>
      <c r="AN88">
        <v>10366.9</v>
      </c>
      <c r="AO88">
        <v>993.59653846153856</v>
      </c>
      <c r="AP88">
        <v>3431.87</v>
      </c>
      <c r="AQ88">
        <f t="shared" si="118"/>
        <v>0.71047955241266758</v>
      </c>
      <c r="AR88">
        <v>-3.9894345373445681</v>
      </c>
      <c r="AS88" t="s">
        <v>786</v>
      </c>
      <c r="AT88">
        <v>10284.299999999999</v>
      </c>
      <c r="AU88">
        <v>664.74687999999992</v>
      </c>
      <c r="AV88">
        <v>910.94331662443426</v>
      </c>
      <c r="AW88">
        <f t="shared" si="119"/>
        <v>0.27026537450950616</v>
      </c>
      <c r="AX88">
        <v>0.5</v>
      </c>
      <c r="AY88">
        <f t="shared" si="120"/>
        <v>1513.243799835423</v>
      </c>
      <c r="AZ88">
        <f t="shared" si="121"/>
        <v>33.82290573183559</v>
      </c>
      <c r="BA88">
        <f t="shared" si="122"/>
        <v>204.4887011433544</v>
      </c>
      <c r="BB88">
        <f t="shared" si="123"/>
        <v>2.4987606275533751E-2</v>
      </c>
      <c r="BC88">
        <f t="shared" si="124"/>
        <v>2.7673804037742324</v>
      </c>
      <c r="BD88">
        <f t="shared" si="125"/>
        <v>551.62627678408091</v>
      </c>
      <c r="BE88" t="s">
        <v>787</v>
      </c>
      <c r="BF88">
        <v>524.57000000000005</v>
      </c>
      <c r="BG88">
        <f t="shared" si="126"/>
        <v>524.57000000000005</v>
      </c>
      <c r="BH88">
        <f t="shared" si="127"/>
        <v>0.42414638712776143</v>
      </c>
      <c r="BI88">
        <f t="shared" si="128"/>
        <v>0.63719834168502953</v>
      </c>
      <c r="BJ88">
        <f t="shared" si="129"/>
        <v>0.86710235729906293</v>
      </c>
      <c r="BK88">
        <f t="shared" si="130"/>
        <v>-2.9786671487488583</v>
      </c>
      <c r="BL88">
        <f t="shared" si="131"/>
        <v>1.0338982575748303</v>
      </c>
      <c r="BM88">
        <f t="shared" si="132"/>
        <v>0.50283069263554281</v>
      </c>
      <c r="BN88">
        <f t="shared" si="133"/>
        <v>0.49716930736445719</v>
      </c>
      <c r="BO88">
        <v>16848</v>
      </c>
      <c r="BP88">
        <v>290.00000000000011</v>
      </c>
      <c r="BQ88">
        <v>842.56</v>
      </c>
      <c r="BR88">
        <v>175</v>
      </c>
      <c r="BS88">
        <v>10284.299999999999</v>
      </c>
      <c r="BT88">
        <v>841.94</v>
      </c>
      <c r="BU88">
        <v>0.62</v>
      </c>
      <c r="BV88">
        <v>300.00000000000011</v>
      </c>
      <c r="BW88">
        <v>38.5</v>
      </c>
      <c r="BX88">
        <v>910.94331662443426</v>
      </c>
      <c r="BY88">
        <v>0.98706720045219598</v>
      </c>
      <c r="BZ88">
        <v>-70.967882225966875</v>
      </c>
      <c r="CA88">
        <v>0.83022066189179677</v>
      </c>
      <c r="CB88">
        <v>0.9961826639376572</v>
      </c>
      <c r="CC88">
        <v>-1.1196532814238051E-2</v>
      </c>
      <c r="CD88">
        <v>289.99999999999989</v>
      </c>
      <c r="CE88">
        <v>838.62</v>
      </c>
      <c r="CF88">
        <v>685</v>
      </c>
      <c r="CG88">
        <v>10254.299999999999</v>
      </c>
      <c r="CH88">
        <v>841.74</v>
      </c>
      <c r="CI88">
        <v>-3.12</v>
      </c>
      <c r="CW88">
        <f t="shared" si="134"/>
        <v>1800.07</v>
      </c>
      <c r="CX88">
        <f t="shared" si="135"/>
        <v>1513.243799835423</v>
      </c>
      <c r="CY88">
        <f t="shared" si="136"/>
        <v>0.84065830764104899</v>
      </c>
      <c r="CZ88">
        <f t="shared" si="137"/>
        <v>0.19131661528209803</v>
      </c>
      <c r="DA88">
        <v>6</v>
      </c>
      <c r="DB88">
        <v>0.5</v>
      </c>
      <c r="DC88" t="s">
        <v>420</v>
      </c>
      <c r="DD88">
        <v>2</v>
      </c>
      <c r="DE88">
        <v>1693512254.0999999</v>
      </c>
      <c r="DF88">
        <v>258.16300000000001</v>
      </c>
      <c r="DG88">
        <v>299.98500000000001</v>
      </c>
      <c r="DH88">
        <v>28.529499999999999</v>
      </c>
      <c r="DI88">
        <v>23.760400000000001</v>
      </c>
      <c r="DJ88">
        <v>260.00200000000001</v>
      </c>
      <c r="DK88">
        <v>28.8475</v>
      </c>
      <c r="DL88">
        <v>500.40499999999997</v>
      </c>
      <c r="DM88">
        <v>99.484099999999998</v>
      </c>
      <c r="DN88">
        <v>9.9543400000000004E-2</v>
      </c>
      <c r="DO88">
        <v>30.385300000000001</v>
      </c>
      <c r="DP88">
        <v>29.9984</v>
      </c>
      <c r="DQ88">
        <v>999.9</v>
      </c>
      <c r="DR88">
        <v>0</v>
      </c>
      <c r="DS88">
        <v>0</v>
      </c>
      <c r="DT88">
        <v>10060</v>
      </c>
      <c r="DU88">
        <v>0</v>
      </c>
      <c r="DV88">
        <v>1370.14</v>
      </c>
      <c r="DW88">
        <v>-41.8215</v>
      </c>
      <c r="DX88">
        <v>265.745</v>
      </c>
      <c r="DY88">
        <v>307.286</v>
      </c>
      <c r="DZ88">
        <v>4.7690700000000001</v>
      </c>
      <c r="EA88">
        <v>299.98500000000001</v>
      </c>
      <c r="EB88">
        <v>23.760400000000001</v>
      </c>
      <c r="EC88">
        <v>2.8382299999999998</v>
      </c>
      <c r="ED88">
        <v>2.3637899999999998</v>
      </c>
      <c r="EE88">
        <v>23.1082</v>
      </c>
      <c r="EF88">
        <v>20.117799999999999</v>
      </c>
      <c r="EG88">
        <v>1800.07</v>
      </c>
      <c r="EH88">
        <v>0.97799700000000001</v>
      </c>
      <c r="EI88">
        <v>2.2003000000000002E-2</v>
      </c>
      <c r="EJ88">
        <v>0</v>
      </c>
      <c r="EK88">
        <v>664.27800000000002</v>
      </c>
      <c r="EL88">
        <v>5.0002500000000003</v>
      </c>
      <c r="EM88">
        <v>21066.5</v>
      </c>
      <c r="EN88">
        <v>14822.6</v>
      </c>
      <c r="EO88">
        <v>49.875</v>
      </c>
      <c r="EP88">
        <v>51.125</v>
      </c>
      <c r="EQ88">
        <v>50.561999999999998</v>
      </c>
      <c r="ER88">
        <v>50.5</v>
      </c>
      <c r="ES88">
        <v>50.875</v>
      </c>
      <c r="ET88">
        <v>1755.57</v>
      </c>
      <c r="EU88">
        <v>39.5</v>
      </c>
      <c r="EV88">
        <v>0</v>
      </c>
      <c r="EW88">
        <v>97.399999856948853</v>
      </c>
      <c r="EX88">
        <v>0</v>
      </c>
      <c r="EY88">
        <v>664.74687999999992</v>
      </c>
      <c r="EZ88">
        <v>-4.5920000096155311</v>
      </c>
      <c r="FA88">
        <v>-27.484615212441959</v>
      </c>
      <c r="FB88">
        <v>21062.263999999999</v>
      </c>
      <c r="FC88">
        <v>15</v>
      </c>
      <c r="FD88">
        <v>1693512223.5999999</v>
      </c>
      <c r="FE88" t="s">
        <v>788</v>
      </c>
      <c r="FF88">
        <v>1693512212.0999999</v>
      </c>
      <c r="FG88">
        <v>1693512223.5999999</v>
      </c>
      <c r="FH88">
        <v>81</v>
      </c>
      <c r="FI88">
        <v>1.0999999999999999E-2</v>
      </c>
      <c r="FJ88">
        <v>-5.0000000000000001E-3</v>
      </c>
      <c r="FK88">
        <v>-1.8380000000000001</v>
      </c>
      <c r="FL88">
        <v>-0.318</v>
      </c>
      <c r="FM88">
        <v>300</v>
      </c>
      <c r="FN88">
        <v>24</v>
      </c>
      <c r="FO88">
        <v>0.14000000000000001</v>
      </c>
      <c r="FP88">
        <v>0.06</v>
      </c>
      <c r="FQ88">
        <v>33.678720423161288</v>
      </c>
      <c r="FR88">
        <v>0.3288026433528819</v>
      </c>
      <c r="FS88">
        <v>7.7109208939537696E-2</v>
      </c>
      <c r="FT88">
        <v>1</v>
      </c>
      <c r="FU88">
        <v>0.29074499605262583</v>
      </c>
      <c r="FV88">
        <v>-1.4486375265920319E-3</v>
      </c>
      <c r="FW88">
        <v>1.139050683910783E-3</v>
      </c>
      <c r="FX88">
        <v>1</v>
      </c>
      <c r="FY88">
        <v>2</v>
      </c>
      <c r="FZ88">
        <v>2</v>
      </c>
      <c r="GA88" t="s">
        <v>422</v>
      </c>
      <c r="GB88">
        <v>2.9185500000000002</v>
      </c>
      <c r="GC88">
        <v>2.8299500000000002</v>
      </c>
      <c r="GD88">
        <v>6.3832700000000006E-2</v>
      </c>
      <c r="GE88">
        <v>7.0476200000000003E-2</v>
      </c>
      <c r="GF88">
        <v>0.135127</v>
      </c>
      <c r="GG88">
        <v>0.113589</v>
      </c>
      <c r="GH88">
        <v>24423.5</v>
      </c>
      <c r="GI88">
        <v>29541.5</v>
      </c>
      <c r="GJ88">
        <v>23491.3</v>
      </c>
      <c r="GK88">
        <v>29102.9</v>
      </c>
      <c r="GL88">
        <v>27725.8</v>
      </c>
      <c r="GM88">
        <v>36511.800000000003</v>
      </c>
      <c r="GN88">
        <v>33230.300000000003</v>
      </c>
      <c r="GO88">
        <v>42955.3</v>
      </c>
      <c r="GP88">
        <v>1.9238999999999999</v>
      </c>
      <c r="GQ88">
        <v>1.7981</v>
      </c>
      <c r="GR88">
        <v>3.6060799999999997E-2</v>
      </c>
      <c r="GS88">
        <v>0</v>
      </c>
      <c r="GT88">
        <v>29.411300000000001</v>
      </c>
      <c r="GU88">
        <v>999.9</v>
      </c>
      <c r="GV88">
        <v>51.4</v>
      </c>
      <c r="GW88">
        <v>38.1</v>
      </c>
      <c r="GX88">
        <v>34.584699999999998</v>
      </c>
      <c r="GY88">
        <v>61.366399999999999</v>
      </c>
      <c r="GZ88">
        <v>35.621000000000002</v>
      </c>
      <c r="HA88">
        <v>1</v>
      </c>
      <c r="HB88">
        <v>0.504969</v>
      </c>
      <c r="HC88">
        <v>2.9355099999999998</v>
      </c>
      <c r="HD88">
        <v>20.244599999999998</v>
      </c>
      <c r="HE88">
        <v>5.2107000000000001</v>
      </c>
      <c r="HF88">
        <v>11.872199999999999</v>
      </c>
      <c r="HG88">
        <v>4.9847999999999999</v>
      </c>
      <c r="HH88">
        <v>3.2839999999999998</v>
      </c>
      <c r="HI88">
        <v>9999</v>
      </c>
      <c r="HJ88">
        <v>9999</v>
      </c>
      <c r="HK88">
        <v>9999</v>
      </c>
      <c r="HL88">
        <v>999.9</v>
      </c>
      <c r="HM88">
        <v>1.85501</v>
      </c>
      <c r="HN88">
        <v>1.86111</v>
      </c>
      <c r="HO88">
        <v>1.8585100000000001</v>
      </c>
      <c r="HP88">
        <v>1.85958</v>
      </c>
      <c r="HQ88">
        <v>1.85893</v>
      </c>
      <c r="HR88">
        <v>1.85944</v>
      </c>
      <c r="HS88">
        <v>1.8577600000000001</v>
      </c>
      <c r="HT88">
        <v>1.86111</v>
      </c>
      <c r="HU88">
        <v>5</v>
      </c>
      <c r="HV88">
        <v>0</v>
      </c>
      <c r="HW88">
        <v>0</v>
      </c>
      <c r="HX88">
        <v>0</v>
      </c>
      <c r="HY88" t="s">
        <v>423</v>
      </c>
      <c r="HZ88" t="s">
        <v>424</v>
      </c>
      <c r="IA88" t="s">
        <v>425</v>
      </c>
      <c r="IB88" t="s">
        <v>425</v>
      </c>
      <c r="IC88" t="s">
        <v>425</v>
      </c>
      <c r="ID88" t="s">
        <v>425</v>
      </c>
      <c r="IE88">
        <v>0</v>
      </c>
      <c r="IF88">
        <v>100</v>
      </c>
      <c r="IG88">
        <v>100</v>
      </c>
      <c r="IH88">
        <v>-1.839</v>
      </c>
      <c r="II88">
        <v>-0.318</v>
      </c>
      <c r="IJ88">
        <v>-1.8384499999999091</v>
      </c>
      <c r="IK88">
        <v>0</v>
      </c>
      <c r="IL88">
        <v>0</v>
      </c>
      <c r="IM88">
        <v>0</v>
      </c>
      <c r="IN88">
        <v>-0.31802857142857732</v>
      </c>
      <c r="IO88">
        <v>0</v>
      </c>
      <c r="IP88">
        <v>0</v>
      </c>
      <c r="IQ88">
        <v>0</v>
      </c>
      <c r="IR88">
        <v>-1</v>
      </c>
      <c r="IS88">
        <v>-1</v>
      </c>
      <c r="IT88">
        <v>-1</v>
      </c>
      <c r="IU88">
        <v>-1</v>
      </c>
      <c r="IV88">
        <v>0.7</v>
      </c>
      <c r="IW88">
        <v>0.5</v>
      </c>
      <c r="IX88">
        <v>0.787354</v>
      </c>
      <c r="IY88">
        <v>2.4572799999999999</v>
      </c>
      <c r="IZ88">
        <v>1.49414</v>
      </c>
      <c r="JA88">
        <v>2.2900399999999999</v>
      </c>
      <c r="JB88">
        <v>1.54419</v>
      </c>
      <c r="JC88">
        <v>2.4206500000000002</v>
      </c>
      <c r="JD88">
        <v>46.152700000000003</v>
      </c>
      <c r="JE88">
        <v>23.737300000000001</v>
      </c>
      <c r="JF88">
        <v>18</v>
      </c>
      <c r="JG88">
        <v>493.93900000000002</v>
      </c>
      <c r="JH88">
        <v>441.04899999999998</v>
      </c>
      <c r="JI88">
        <v>25.333400000000001</v>
      </c>
      <c r="JJ88">
        <v>33.596200000000003</v>
      </c>
      <c r="JK88">
        <v>30</v>
      </c>
      <c r="JL88">
        <v>33.537300000000002</v>
      </c>
      <c r="JM88">
        <v>33.491700000000002</v>
      </c>
      <c r="JN88">
        <v>15.837899999999999</v>
      </c>
      <c r="JO88">
        <v>34.428699999999999</v>
      </c>
      <c r="JP88">
        <v>61.355400000000003</v>
      </c>
      <c r="JQ88">
        <v>25.337499999999999</v>
      </c>
      <c r="JR88">
        <v>300</v>
      </c>
      <c r="JS88">
        <v>23.7194</v>
      </c>
      <c r="JT88">
        <v>98.539000000000001</v>
      </c>
      <c r="JU88">
        <v>96.7577</v>
      </c>
    </row>
    <row r="89" spans="1:281" x14ac:dyDescent="0.25">
      <c r="A89">
        <v>73</v>
      </c>
      <c r="B89">
        <v>1693512411.5999999</v>
      </c>
      <c r="C89">
        <v>18275.599999904629</v>
      </c>
      <c r="D89" t="s">
        <v>789</v>
      </c>
      <c r="E89" t="s">
        <v>790</v>
      </c>
      <c r="F89" t="s">
        <v>414</v>
      </c>
      <c r="G89" t="s">
        <v>779</v>
      </c>
      <c r="H89" t="s">
        <v>780</v>
      </c>
      <c r="I89" t="s">
        <v>31</v>
      </c>
      <c r="J89">
        <v>1693512411.5999999</v>
      </c>
      <c r="K89">
        <f t="shared" si="92"/>
        <v>4.6902455631603725E-3</v>
      </c>
      <c r="L89">
        <f t="shared" si="93"/>
        <v>4.6902455631603726</v>
      </c>
      <c r="M89">
        <f t="shared" si="94"/>
        <v>24.773313135629362</v>
      </c>
      <c r="N89">
        <f t="shared" si="95"/>
        <v>169.27500000000001</v>
      </c>
      <c r="O89">
        <f t="shared" si="96"/>
        <v>44.031311792238867</v>
      </c>
      <c r="P89">
        <f t="shared" si="97"/>
        <v>4.3846652660406216</v>
      </c>
      <c r="Q89">
        <f t="shared" si="98"/>
        <v>16.856509213515</v>
      </c>
      <c r="R89">
        <f t="shared" si="99"/>
        <v>0.34068621880669492</v>
      </c>
      <c r="S89">
        <f t="shared" si="100"/>
        <v>2.9248019468850868</v>
      </c>
      <c r="T89">
        <f t="shared" si="101"/>
        <v>0.32007541301203191</v>
      </c>
      <c r="U89">
        <f t="shared" si="102"/>
        <v>0.2017949406355955</v>
      </c>
      <c r="V89">
        <f t="shared" si="103"/>
        <v>344.33899967088746</v>
      </c>
      <c r="W89">
        <f t="shared" si="104"/>
        <v>31.252144206673258</v>
      </c>
      <c r="X89">
        <f t="shared" si="105"/>
        <v>29.9954</v>
      </c>
      <c r="Y89">
        <f t="shared" si="106"/>
        <v>4.2593242050011195</v>
      </c>
      <c r="Z89">
        <f t="shared" si="107"/>
        <v>65.270854129408946</v>
      </c>
      <c r="AA89">
        <f t="shared" si="108"/>
        <v>2.8522179521267801</v>
      </c>
      <c r="AB89">
        <f t="shared" si="109"/>
        <v>4.3698186428996983</v>
      </c>
      <c r="AC89">
        <f t="shared" si="110"/>
        <v>1.4071062528743394</v>
      </c>
      <c r="AD89">
        <f t="shared" si="111"/>
        <v>-206.83982933537243</v>
      </c>
      <c r="AE89">
        <f t="shared" si="112"/>
        <v>70.420746615505379</v>
      </c>
      <c r="AF89">
        <f t="shared" si="113"/>
        <v>5.3651707692580874</v>
      </c>
      <c r="AG89">
        <f t="shared" si="114"/>
        <v>213.28508772027851</v>
      </c>
      <c r="AH89">
        <v>8</v>
      </c>
      <c r="AI89">
        <v>2</v>
      </c>
      <c r="AJ89">
        <f t="shared" si="115"/>
        <v>1</v>
      </c>
      <c r="AK89">
        <f t="shared" si="116"/>
        <v>0</v>
      </c>
      <c r="AL89">
        <f t="shared" si="117"/>
        <v>52130.659250014309</v>
      </c>
      <c r="AM89" t="s">
        <v>417</v>
      </c>
      <c r="AN89">
        <v>10366.9</v>
      </c>
      <c r="AO89">
        <v>993.59653846153856</v>
      </c>
      <c r="AP89">
        <v>3431.87</v>
      </c>
      <c r="AQ89">
        <f t="shared" si="118"/>
        <v>0.71047955241266758</v>
      </c>
      <c r="AR89">
        <v>-3.9894345373445681</v>
      </c>
      <c r="AS89" t="s">
        <v>791</v>
      </c>
      <c r="AT89">
        <v>10273.700000000001</v>
      </c>
      <c r="AU89">
        <v>659.55873076923069</v>
      </c>
      <c r="AV89">
        <v>836.07134262660293</v>
      </c>
      <c r="AW89">
        <f t="shared" si="119"/>
        <v>0.21112147116876412</v>
      </c>
      <c r="AX89">
        <v>0.5</v>
      </c>
      <c r="AY89">
        <f t="shared" si="120"/>
        <v>1513.0502998354436</v>
      </c>
      <c r="AZ89">
        <f t="shared" si="121"/>
        <v>24.773313135629362</v>
      </c>
      <c r="BA89">
        <f t="shared" si="122"/>
        <v>159.71870262679926</v>
      </c>
      <c r="BB89">
        <f t="shared" si="123"/>
        <v>1.9009776261967041E-2</v>
      </c>
      <c r="BC89">
        <f t="shared" si="124"/>
        <v>3.1047573634307715</v>
      </c>
      <c r="BD89">
        <f t="shared" si="125"/>
        <v>523.25103111048145</v>
      </c>
      <c r="BE89" t="s">
        <v>792</v>
      </c>
      <c r="BF89">
        <v>514.53</v>
      </c>
      <c r="BG89">
        <f t="shared" si="126"/>
        <v>514.53</v>
      </c>
      <c r="BH89">
        <f t="shared" si="127"/>
        <v>0.38458601106509427</v>
      </c>
      <c r="BI89">
        <f t="shared" si="128"/>
        <v>0.54895774961775734</v>
      </c>
      <c r="BJ89">
        <f t="shared" si="129"/>
        <v>0.88978269840793212</v>
      </c>
      <c r="BK89">
        <f t="shared" si="130"/>
        <v>-1.1205357398338534</v>
      </c>
      <c r="BL89">
        <f t="shared" si="131"/>
        <v>1.0646052209974606</v>
      </c>
      <c r="BM89">
        <f t="shared" si="132"/>
        <v>0.42824879382826542</v>
      </c>
      <c r="BN89">
        <f t="shared" si="133"/>
        <v>0.57175120617173458</v>
      </c>
      <c r="BO89">
        <v>16850</v>
      </c>
      <c r="BP89">
        <v>290.00000000000011</v>
      </c>
      <c r="BQ89">
        <v>787.54</v>
      </c>
      <c r="BR89">
        <v>235</v>
      </c>
      <c r="BS89">
        <v>10273.700000000001</v>
      </c>
      <c r="BT89">
        <v>787.28</v>
      </c>
      <c r="BU89">
        <v>0.26</v>
      </c>
      <c r="BV89">
        <v>300.00000000000011</v>
      </c>
      <c r="BW89">
        <v>38.5</v>
      </c>
      <c r="BX89">
        <v>836.07134262660293</v>
      </c>
      <c r="BY89">
        <v>1.2532050621897379</v>
      </c>
      <c r="BZ89">
        <v>-50.131363323201988</v>
      </c>
      <c r="CA89">
        <v>1.0538717024813711</v>
      </c>
      <c r="CB89">
        <v>0.98777712273420426</v>
      </c>
      <c r="CC89">
        <v>-1.119455706340379E-2</v>
      </c>
      <c r="CD89">
        <v>289.99999999999989</v>
      </c>
      <c r="CE89">
        <v>786.33</v>
      </c>
      <c r="CF89">
        <v>695</v>
      </c>
      <c r="CG89">
        <v>10251.299999999999</v>
      </c>
      <c r="CH89">
        <v>787.17</v>
      </c>
      <c r="CI89">
        <v>-0.84</v>
      </c>
      <c r="CW89">
        <f t="shared" si="134"/>
        <v>1799.84</v>
      </c>
      <c r="CX89">
        <f t="shared" si="135"/>
        <v>1513.0502998354436</v>
      </c>
      <c r="CY89">
        <f t="shared" si="136"/>
        <v>0.8406582250841429</v>
      </c>
      <c r="CZ89">
        <f t="shared" si="137"/>
        <v>0.19131645016828577</v>
      </c>
      <c r="DA89">
        <v>6</v>
      </c>
      <c r="DB89">
        <v>0.5</v>
      </c>
      <c r="DC89" t="s">
        <v>420</v>
      </c>
      <c r="DD89">
        <v>2</v>
      </c>
      <c r="DE89">
        <v>1693512411.5999999</v>
      </c>
      <c r="DF89">
        <v>169.27500000000001</v>
      </c>
      <c r="DG89">
        <v>199.96700000000001</v>
      </c>
      <c r="DH89">
        <v>28.642299999999999</v>
      </c>
      <c r="DI89">
        <v>23.173200000000001</v>
      </c>
      <c r="DJ89">
        <v>170.97499999999999</v>
      </c>
      <c r="DK89">
        <v>28.9619</v>
      </c>
      <c r="DL89">
        <v>499.81599999999997</v>
      </c>
      <c r="DM89">
        <v>99.480900000000005</v>
      </c>
      <c r="DN89">
        <v>9.9718600000000004E-2</v>
      </c>
      <c r="DO89">
        <v>30.442</v>
      </c>
      <c r="DP89">
        <v>29.9954</v>
      </c>
      <c r="DQ89">
        <v>999.9</v>
      </c>
      <c r="DR89">
        <v>0</v>
      </c>
      <c r="DS89">
        <v>0</v>
      </c>
      <c r="DT89">
        <v>10025</v>
      </c>
      <c r="DU89">
        <v>0</v>
      </c>
      <c r="DV89">
        <v>1362.83</v>
      </c>
      <c r="DW89">
        <v>-30.691299999999998</v>
      </c>
      <c r="DX89">
        <v>174.267</v>
      </c>
      <c r="DY89">
        <v>204.71</v>
      </c>
      <c r="DZ89">
        <v>5.46915</v>
      </c>
      <c r="EA89">
        <v>199.96700000000001</v>
      </c>
      <c r="EB89">
        <v>23.173200000000001</v>
      </c>
      <c r="EC89">
        <v>2.8493599999999999</v>
      </c>
      <c r="ED89">
        <v>2.3052899999999998</v>
      </c>
      <c r="EE89">
        <v>23.172899999999998</v>
      </c>
      <c r="EF89">
        <v>19.7134</v>
      </c>
      <c r="EG89">
        <v>1799.84</v>
      </c>
      <c r="EH89">
        <v>0.97799700000000001</v>
      </c>
      <c r="EI89">
        <v>2.2002899999999999E-2</v>
      </c>
      <c r="EJ89">
        <v>0</v>
      </c>
      <c r="EK89">
        <v>659.14200000000005</v>
      </c>
      <c r="EL89">
        <v>5.0002500000000003</v>
      </c>
      <c r="EM89">
        <v>20980.400000000001</v>
      </c>
      <c r="EN89">
        <v>14820.7</v>
      </c>
      <c r="EO89">
        <v>50</v>
      </c>
      <c r="EP89">
        <v>51.125</v>
      </c>
      <c r="EQ89">
        <v>50.686999999999998</v>
      </c>
      <c r="ER89">
        <v>50.625</v>
      </c>
      <c r="ES89">
        <v>51</v>
      </c>
      <c r="ET89">
        <v>1755.35</v>
      </c>
      <c r="EU89">
        <v>39.49</v>
      </c>
      <c r="EV89">
        <v>0</v>
      </c>
      <c r="EW89">
        <v>155.5999999046326</v>
      </c>
      <c r="EX89">
        <v>0</v>
      </c>
      <c r="EY89">
        <v>659.55873076923069</v>
      </c>
      <c r="EZ89">
        <v>-1.59866666177204</v>
      </c>
      <c r="FA89">
        <v>34.068375712231628</v>
      </c>
      <c r="FB89">
        <v>20974.257692307699</v>
      </c>
      <c r="FC89">
        <v>15</v>
      </c>
      <c r="FD89">
        <v>1693512342.5999999</v>
      </c>
      <c r="FE89" t="s">
        <v>793</v>
      </c>
      <c r="FF89">
        <v>1693512335.5999999</v>
      </c>
      <c r="FG89">
        <v>1693512342.5999999</v>
      </c>
      <c r="FH89">
        <v>82</v>
      </c>
      <c r="FI89">
        <v>0.13900000000000001</v>
      </c>
      <c r="FJ89">
        <v>-2E-3</v>
      </c>
      <c r="FK89">
        <v>-1.6990000000000001</v>
      </c>
      <c r="FL89">
        <v>-0.32</v>
      </c>
      <c r="FM89">
        <v>200</v>
      </c>
      <c r="FN89">
        <v>24</v>
      </c>
      <c r="FO89">
        <v>0.17</v>
      </c>
      <c r="FP89">
        <v>0.06</v>
      </c>
      <c r="FQ89">
        <v>24.854206527090628</v>
      </c>
      <c r="FR89">
        <v>0.27967456999258528</v>
      </c>
      <c r="FS89">
        <v>6.1980942300021838E-2</v>
      </c>
      <c r="FT89">
        <v>1</v>
      </c>
      <c r="FU89">
        <v>0.33681726965394948</v>
      </c>
      <c r="FV89">
        <v>2.9876272666195559E-2</v>
      </c>
      <c r="FW89">
        <v>2.2951796571250428E-3</v>
      </c>
      <c r="FX89">
        <v>1</v>
      </c>
      <c r="FY89">
        <v>2</v>
      </c>
      <c r="FZ89">
        <v>2</v>
      </c>
      <c r="GA89" t="s">
        <v>422</v>
      </c>
      <c r="GB89">
        <v>2.91709</v>
      </c>
      <c r="GC89">
        <v>2.8298199999999998</v>
      </c>
      <c r="GD89">
        <v>4.4372000000000002E-2</v>
      </c>
      <c r="GE89">
        <v>4.99888E-2</v>
      </c>
      <c r="GF89">
        <v>0.135494</v>
      </c>
      <c r="GG89">
        <v>0.111608</v>
      </c>
      <c r="GH89">
        <v>24935.200000000001</v>
      </c>
      <c r="GI89">
        <v>30196.9</v>
      </c>
      <c r="GJ89">
        <v>23495.599999999999</v>
      </c>
      <c r="GK89">
        <v>29107.4</v>
      </c>
      <c r="GL89">
        <v>27715.200000000001</v>
      </c>
      <c r="GM89">
        <v>36596.199999999997</v>
      </c>
      <c r="GN89">
        <v>33234</v>
      </c>
      <c r="GO89">
        <v>42960.9</v>
      </c>
      <c r="GP89">
        <v>1.9297</v>
      </c>
      <c r="GQ89">
        <v>1.7922</v>
      </c>
      <c r="GR89">
        <v>4.1306000000000002E-2</v>
      </c>
      <c r="GS89">
        <v>0</v>
      </c>
      <c r="GT89">
        <v>29.322800000000001</v>
      </c>
      <c r="GU89">
        <v>999.9</v>
      </c>
      <c r="GV89">
        <v>49.5</v>
      </c>
      <c r="GW89">
        <v>38.700000000000003</v>
      </c>
      <c r="GX89">
        <v>34.400700000000001</v>
      </c>
      <c r="GY89">
        <v>61.3264</v>
      </c>
      <c r="GZ89">
        <v>36.514400000000002</v>
      </c>
      <c r="HA89">
        <v>1</v>
      </c>
      <c r="HB89">
        <v>0.50115900000000002</v>
      </c>
      <c r="HC89">
        <v>2.3618999999999999</v>
      </c>
      <c r="HD89">
        <v>20.252800000000001</v>
      </c>
      <c r="HE89">
        <v>5.2065099999999997</v>
      </c>
      <c r="HF89">
        <v>11.872199999999999</v>
      </c>
      <c r="HG89">
        <v>4.9836</v>
      </c>
      <c r="HH89">
        <v>3.2839999999999998</v>
      </c>
      <c r="HI89">
        <v>9999</v>
      </c>
      <c r="HJ89">
        <v>9999</v>
      </c>
      <c r="HK89">
        <v>9999</v>
      </c>
      <c r="HL89">
        <v>999.9</v>
      </c>
      <c r="HM89">
        <v>1.85501</v>
      </c>
      <c r="HN89">
        <v>1.8610800000000001</v>
      </c>
      <c r="HO89">
        <v>1.8584000000000001</v>
      </c>
      <c r="HP89">
        <v>1.8595600000000001</v>
      </c>
      <c r="HQ89">
        <v>1.85884</v>
      </c>
      <c r="HR89">
        <v>1.85944</v>
      </c>
      <c r="HS89">
        <v>1.8577600000000001</v>
      </c>
      <c r="HT89">
        <v>1.8610800000000001</v>
      </c>
      <c r="HU89">
        <v>5</v>
      </c>
      <c r="HV89">
        <v>0</v>
      </c>
      <c r="HW89">
        <v>0</v>
      </c>
      <c r="HX89">
        <v>0</v>
      </c>
      <c r="HY89" t="s">
        <v>423</v>
      </c>
      <c r="HZ89" t="s">
        <v>424</v>
      </c>
      <c r="IA89" t="s">
        <v>425</v>
      </c>
      <c r="IB89" t="s">
        <v>425</v>
      </c>
      <c r="IC89" t="s">
        <v>425</v>
      </c>
      <c r="ID89" t="s">
        <v>425</v>
      </c>
      <c r="IE89">
        <v>0</v>
      </c>
      <c r="IF89">
        <v>100</v>
      </c>
      <c r="IG89">
        <v>100</v>
      </c>
      <c r="IH89">
        <v>-1.7</v>
      </c>
      <c r="II89">
        <v>-0.3196</v>
      </c>
      <c r="IJ89">
        <v>-1.6991999999999901</v>
      </c>
      <c r="IK89">
        <v>0</v>
      </c>
      <c r="IL89">
        <v>0</v>
      </c>
      <c r="IM89">
        <v>0</v>
      </c>
      <c r="IN89">
        <v>-0.31958500000000362</v>
      </c>
      <c r="IO89">
        <v>0</v>
      </c>
      <c r="IP89">
        <v>0</v>
      </c>
      <c r="IQ89">
        <v>0</v>
      </c>
      <c r="IR89">
        <v>-1</v>
      </c>
      <c r="IS89">
        <v>-1</v>
      </c>
      <c r="IT89">
        <v>-1</v>
      </c>
      <c r="IU89">
        <v>-1</v>
      </c>
      <c r="IV89">
        <v>1.3</v>
      </c>
      <c r="IW89">
        <v>1.1000000000000001</v>
      </c>
      <c r="IX89">
        <v>0.57983399999999996</v>
      </c>
      <c r="IY89">
        <v>2.47681</v>
      </c>
      <c r="IZ89">
        <v>1.49414</v>
      </c>
      <c r="JA89">
        <v>2.2888199999999999</v>
      </c>
      <c r="JB89">
        <v>1.54419</v>
      </c>
      <c r="JC89">
        <v>2.3779300000000001</v>
      </c>
      <c r="JD89">
        <v>46.620199999999997</v>
      </c>
      <c r="JE89">
        <v>23.745999999999999</v>
      </c>
      <c r="JF89">
        <v>18</v>
      </c>
      <c r="JG89">
        <v>497.71800000000002</v>
      </c>
      <c r="JH89">
        <v>437.149</v>
      </c>
      <c r="JI89">
        <v>25.835699999999999</v>
      </c>
      <c r="JJ89">
        <v>33.578099999999999</v>
      </c>
      <c r="JK89">
        <v>29.9999</v>
      </c>
      <c r="JL89">
        <v>33.540199999999999</v>
      </c>
      <c r="JM89">
        <v>33.500999999999998</v>
      </c>
      <c r="JN89">
        <v>11.671799999999999</v>
      </c>
      <c r="JO89">
        <v>34.802900000000001</v>
      </c>
      <c r="JP89">
        <v>54.7087</v>
      </c>
      <c r="JQ89">
        <v>25.8369</v>
      </c>
      <c r="JR89">
        <v>200</v>
      </c>
      <c r="JS89">
        <v>23.097000000000001</v>
      </c>
      <c r="JT89">
        <v>98.552800000000005</v>
      </c>
      <c r="JU89">
        <v>96.771299999999997</v>
      </c>
    </row>
    <row r="90" spans="1:281" x14ac:dyDescent="0.25">
      <c r="A90">
        <v>74</v>
      </c>
      <c r="B90">
        <v>1693512516.5999999</v>
      </c>
      <c r="C90">
        <v>18380.599999904629</v>
      </c>
      <c r="D90" t="s">
        <v>794</v>
      </c>
      <c r="E90" t="s">
        <v>795</v>
      </c>
      <c r="F90" t="s">
        <v>414</v>
      </c>
      <c r="G90" t="s">
        <v>779</v>
      </c>
      <c r="H90" t="s">
        <v>780</v>
      </c>
      <c r="I90" t="s">
        <v>31</v>
      </c>
      <c r="J90">
        <v>1693512516.5999999</v>
      </c>
      <c r="K90">
        <f t="shared" si="92"/>
        <v>5.0374901106531892E-3</v>
      </c>
      <c r="L90">
        <f t="shared" si="93"/>
        <v>5.0374901106531889</v>
      </c>
      <c r="M90">
        <f t="shared" si="94"/>
        <v>15.822059948187089</v>
      </c>
      <c r="N90">
        <f t="shared" si="95"/>
        <v>100.43</v>
      </c>
      <c r="O90">
        <f t="shared" si="96"/>
        <v>26.663056923556603</v>
      </c>
      <c r="P90">
        <f t="shared" si="97"/>
        <v>2.6551546473586454</v>
      </c>
      <c r="Q90">
        <f t="shared" si="98"/>
        <v>10.000998085056002</v>
      </c>
      <c r="R90">
        <f t="shared" si="99"/>
        <v>0.37118735822812082</v>
      </c>
      <c r="S90">
        <f t="shared" si="100"/>
        <v>2.9213187513887404</v>
      </c>
      <c r="T90">
        <f t="shared" si="101"/>
        <v>0.34683521228805464</v>
      </c>
      <c r="U90">
        <f t="shared" si="102"/>
        <v>0.21882667606480294</v>
      </c>
      <c r="V90">
        <f t="shared" si="103"/>
        <v>344.34279967089111</v>
      </c>
      <c r="W90">
        <f t="shared" si="104"/>
        <v>31.225605258757888</v>
      </c>
      <c r="X90">
        <f t="shared" si="105"/>
        <v>30.009799999999998</v>
      </c>
      <c r="Y90">
        <f t="shared" si="106"/>
        <v>4.2628485848357309</v>
      </c>
      <c r="Z90">
        <f t="shared" si="107"/>
        <v>65.40284184841974</v>
      </c>
      <c r="AA90">
        <f t="shared" si="108"/>
        <v>2.8682938190092804</v>
      </c>
      <c r="AB90">
        <f t="shared" si="109"/>
        <v>4.3855797973686732</v>
      </c>
      <c r="AC90">
        <f t="shared" si="110"/>
        <v>1.3945547658264505</v>
      </c>
      <c r="AD90">
        <f t="shared" si="111"/>
        <v>-222.15331387980564</v>
      </c>
      <c r="AE90">
        <f t="shared" si="112"/>
        <v>77.975346993463148</v>
      </c>
      <c r="AF90">
        <f t="shared" si="113"/>
        <v>5.9500946422453636</v>
      </c>
      <c r="AG90">
        <f t="shared" si="114"/>
        <v>206.11492742679397</v>
      </c>
      <c r="AH90">
        <v>11</v>
      </c>
      <c r="AI90">
        <v>2</v>
      </c>
      <c r="AJ90">
        <f t="shared" si="115"/>
        <v>1</v>
      </c>
      <c r="AK90">
        <f t="shared" si="116"/>
        <v>0</v>
      </c>
      <c r="AL90">
        <f t="shared" si="117"/>
        <v>52020.629611613389</v>
      </c>
      <c r="AM90" t="s">
        <v>417</v>
      </c>
      <c r="AN90">
        <v>10366.9</v>
      </c>
      <c r="AO90">
        <v>993.59653846153856</v>
      </c>
      <c r="AP90">
        <v>3431.87</v>
      </c>
      <c r="AQ90">
        <f t="shared" si="118"/>
        <v>0.71047955241266758</v>
      </c>
      <c r="AR90">
        <v>-3.9894345373445681</v>
      </c>
      <c r="AS90" t="s">
        <v>796</v>
      </c>
      <c r="AT90">
        <v>10273.4</v>
      </c>
      <c r="AU90">
        <v>666.6701153846152</v>
      </c>
      <c r="AV90">
        <v>791.13383026967199</v>
      </c>
      <c r="AW90">
        <f t="shared" si="119"/>
        <v>0.1573232114756502</v>
      </c>
      <c r="AX90">
        <v>0.5</v>
      </c>
      <c r="AY90">
        <f t="shared" si="120"/>
        <v>1513.0670998354453</v>
      </c>
      <c r="AZ90">
        <f t="shared" si="121"/>
        <v>15.822059948187089</v>
      </c>
      <c r="BA90">
        <f t="shared" si="122"/>
        <v>119.02028766213026</v>
      </c>
      <c r="BB90">
        <f t="shared" si="123"/>
        <v>1.3093599409891517E-2</v>
      </c>
      <c r="BC90">
        <f t="shared" si="124"/>
        <v>3.3379133449901719</v>
      </c>
      <c r="BD90">
        <f t="shared" si="125"/>
        <v>505.28859158482214</v>
      </c>
      <c r="BE90" t="s">
        <v>797</v>
      </c>
      <c r="BF90">
        <v>514.12</v>
      </c>
      <c r="BG90">
        <f t="shared" si="126"/>
        <v>514.12</v>
      </c>
      <c r="BH90">
        <f t="shared" si="127"/>
        <v>0.35014787596081809</v>
      </c>
      <c r="BI90">
        <f t="shared" si="128"/>
        <v>0.44930505731028592</v>
      </c>
      <c r="BJ90">
        <f t="shared" si="129"/>
        <v>0.90505909338713997</v>
      </c>
      <c r="BK90">
        <f t="shared" si="130"/>
        <v>-0.61474883941148828</v>
      </c>
      <c r="BL90">
        <f t="shared" si="131"/>
        <v>1.083035275323105</v>
      </c>
      <c r="BM90">
        <f t="shared" si="132"/>
        <v>0.34649328166014703</v>
      </c>
      <c r="BN90">
        <f t="shared" si="133"/>
        <v>0.65350671833985297</v>
      </c>
      <c r="BO90">
        <v>16852</v>
      </c>
      <c r="BP90">
        <v>290.00000000000011</v>
      </c>
      <c r="BQ90">
        <v>759.6</v>
      </c>
      <c r="BR90">
        <v>235</v>
      </c>
      <c r="BS90">
        <v>10273.4</v>
      </c>
      <c r="BT90">
        <v>759.3</v>
      </c>
      <c r="BU90">
        <v>0.3</v>
      </c>
      <c r="BV90">
        <v>300.00000000000011</v>
      </c>
      <c r="BW90">
        <v>38.5</v>
      </c>
      <c r="BX90">
        <v>791.13383026967199</v>
      </c>
      <c r="BY90">
        <v>1.256457356102614</v>
      </c>
      <c r="BZ90">
        <v>-32.701023842819367</v>
      </c>
      <c r="CA90">
        <v>1.056570883456843</v>
      </c>
      <c r="CB90">
        <v>0.97159988730724811</v>
      </c>
      <c r="CC90">
        <v>-1.119377308120134E-2</v>
      </c>
      <c r="CD90">
        <v>289.99999999999989</v>
      </c>
      <c r="CE90">
        <v>757.5</v>
      </c>
      <c r="CF90">
        <v>685</v>
      </c>
      <c r="CG90">
        <v>10251.9</v>
      </c>
      <c r="CH90">
        <v>759.24</v>
      </c>
      <c r="CI90">
        <v>-1.74</v>
      </c>
      <c r="CW90">
        <f t="shared" si="134"/>
        <v>1799.86</v>
      </c>
      <c r="CX90">
        <f t="shared" si="135"/>
        <v>1513.0670998354453</v>
      </c>
      <c r="CY90">
        <f t="shared" si="136"/>
        <v>0.84065821776996286</v>
      </c>
      <c r="CZ90">
        <f t="shared" si="137"/>
        <v>0.19131643553992594</v>
      </c>
      <c r="DA90">
        <v>6</v>
      </c>
      <c r="DB90">
        <v>0.5</v>
      </c>
      <c r="DC90" t="s">
        <v>420</v>
      </c>
      <c r="DD90">
        <v>2</v>
      </c>
      <c r="DE90">
        <v>1693512516.5999999</v>
      </c>
      <c r="DF90">
        <v>100.43</v>
      </c>
      <c r="DG90">
        <v>120.026</v>
      </c>
      <c r="DH90">
        <v>28.8034</v>
      </c>
      <c r="DI90">
        <v>22.931799999999999</v>
      </c>
      <c r="DJ90">
        <v>101.992</v>
      </c>
      <c r="DK90">
        <v>29.136199999999999</v>
      </c>
      <c r="DL90">
        <v>499.93799999999999</v>
      </c>
      <c r="DM90">
        <v>99.481800000000007</v>
      </c>
      <c r="DN90">
        <v>9.9979200000000004E-2</v>
      </c>
      <c r="DO90">
        <v>30.504899999999999</v>
      </c>
      <c r="DP90">
        <v>30.009799999999998</v>
      </c>
      <c r="DQ90">
        <v>999.9</v>
      </c>
      <c r="DR90">
        <v>0</v>
      </c>
      <c r="DS90">
        <v>0</v>
      </c>
      <c r="DT90">
        <v>10005</v>
      </c>
      <c r="DU90">
        <v>0</v>
      </c>
      <c r="DV90">
        <v>1354.05</v>
      </c>
      <c r="DW90">
        <v>-19.595400000000001</v>
      </c>
      <c r="DX90">
        <v>103.40900000000001</v>
      </c>
      <c r="DY90">
        <v>122.843</v>
      </c>
      <c r="DZ90">
        <v>5.8715999999999999</v>
      </c>
      <c r="EA90">
        <v>120.026</v>
      </c>
      <c r="EB90">
        <v>22.931799999999999</v>
      </c>
      <c r="EC90">
        <v>2.8654099999999998</v>
      </c>
      <c r="ED90">
        <v>2.2812899999999998</v>
      </c>
      <c r="EE90">
        <v>23.265799999999999</v>
      </c>
      <c r="EF90">
        <v>19.544899999999998</v>
      </c>
      <c r="EG90">
        <v>1799.86</v>
      </c>
      <c r="EH90">
        <v>0.97799700000000001</v>
      </c>
      <c r="EI90">
        <v>2.2002899999999999E-2</v>
      </c>
      <c r="EJ90">
        <v>0</v>
      </c>
      <c r="EK90">
        <v>666.54499999999996</v>
      </c>
      <c r="EL90">
        <v>5.0002500000000003</v>
      </c>
      <c r="EM90">
        <v>21081.599999999999</v>
      </c>
      <c r="EN90">
        <v>14820.9</v>
      </c>
      <c r="EO90">
        <v>50.061999999999998</v>
      </c>
      <c r="EP90">
        <v>51.186999999999998</v>
      </c>
      <c r="EQ90">
        <v>50.75</v>
      </c>
      <c r="ER90">
        <v>50.625</v>
      </c>
      <c r="ES90">
        <v>51.125</v>
      </c>
      <c r="ET90">
        <v>1755.37</v>
      </c>
      <c r="EU90">
        <v>39.49</v>
      </c>
      <c r="EV90">
        <v>0</v>
      </c>
      <c r="EW90">
        <v>102.7999999523163</v>
      </c>
      <c r="EX90">
        <v>0</v>
      </c>
      <c r="EY90">
        <v>666.6701153846152</v>
      </c>
      <c r="EZ90">
        <v>-3.572205131863428</v>
      </c>
      <c r="FA90">
        <v>-82.519658279134234</v>
      </c>
      <c r="FB90">
        <v>21092.103846153841</v>
      </c>
      <c r="FC90">
        <v>15</v>
      </c>
      <c r="FD90">
        <v>1693512486.5999999</v>
      </c>
      <c r="FE90" t="s">
        <v>798</v>
      </c>
      <c r="FF90">
        <v>1693512469.0999999</v>
      </c>
      <c r="FG90">
        <v>1693512486.5999999</v>
      </c>
      <c r="FH90">
        <v>83</v>
      </c>
      <c r="FI90">
        <v>0.13800000000000001</v>
      </c>
      <c r="FJ90">
        <v>-1.2999999999999999E-2</v>
      </c>
      <c r="FK90">
        <v>-1.5620000000000001</v>
      </c>
      <c r="FL90">
        <v>-0.33300000000000002</v>
      </c>
      <c r="FM90">
        <v>120</v>
      </c>
      <c r="FN90">
        <v>23</v>
      </c>
      <c r="FO90">
        <v>0.3</v>
      </c>
      <c r="FP90">
        <v>0.12</v>
      </c>
      <c r="FQ90">
        <v>15.67243029734076</v>
      </c>
      <c r="FR90">
        <v>6.070295454151009E-2</v>
      </c>
      <c r="FS90">
        <v>6.7015266144420355E-2</v>
      </c>
      <c r="FT90">
        <v>1</v>
      </c>
      <c r="FU90">
        <v>0.36996256220794382</v>
      </c>
      <c r="FV90">
        <v>3.087309895575352E-2</v>
      </c>
      <c r="FW90">
        <v>2.866439909569678E-3</v>
      </c>
      <c r="FX90">
        <v>1</v>
      </c>
      <c r="FY90">
        <v>2</v>
      </c>
      <c r="FZ90">
        <v>2</v>
      </c>
      <c r="GA90" t="s">
        <v>422</v>
      </c>
      <c r="GB90">
        <v>2.9174099999999998</v>
      </c>
      <c r="GC90">
        <v>2.8298999999999999</v>
      </c>
      <c r="GD90">
        <v>2.7515299999999999E-2</v>
      </c>
      <c r="GE90">
        <v>3.1423300000000001E-2</v>
      </c>
      <c r="GF90">
        <v>0.13605800000000001</v>
      </c>
      <c r="GG90">
        <v>0.11079</v>
      </c>
      <c r="GH90">
        <v>25373</v>
      </c>
      <c r="GI90">
        <v>30786.9</v>
      </c>
      <c r="GJ90">
        <v>23494.3</v>
      </c>
      <c r="GK90">
        <v>29107.9</v>
      </c>
      <c r="GL90">
        <v>27695.7</v>
      </c>
      <c r="GM90">
        <v>36627.199999999997</v>
      </c>
      <c r="GN90">
        <v>33234.300000000003</v>
      </c>
      <c r="GO90">
        <v>42959.9</v>
      </c>
      <c r="GP90">
        <v>1.925</v>
      </c>
      <c r="GQ90">
        <v>1.7885</v>
      </c>
      <c r="GR90">
        <v>4.0024499999999998E-2</v>
      </c>
      <c r="GS90">
        <v>0</v>
      </c>
      <c r="GT90">
        <v>29.3582</v>
      </c>
      <c r="GU90">
        <v>999.9</v>
      </c>
      <c r="GV90">
        <v>48.5</v>
      </c>
      <c r="GW90">
        <v>39.1</v>
      </c>
      <c r="GX90">
        <v>34.438800000000001</v>
      </c>
      <c r="GY90">
        <v>61.356400000000001</v>
      </c>
      <c r="GZ90">
        <v>36.346200000000003</v>
      </c>
      <c r="HA90">
        <v>1</v>
      </c>
      <c r="HB90">
        <v>0.50221499999999997</v>
      </c>
      <c r="HC90">
        <v>2.6136599999999999</v>
      </c>
      <c r="HD90">
        <v>20.248999999999999</v>
      </c>
      <c r="HE90">
        <v>5.2088999999999999</v>
      </c>
      <c r="HF90">
        <v>11.872199999999999</v>
      </c>
      <c r="HG90">
        <v>4.9842000000000004</v>
      </c>
      <c r="HH90">
        <v>3.2839999999999998</v>
      </c>
      <c r="HI90">
        <v>9999</v>
      </c>
      <c r="HJ90">
        <v>9999</v>
      </c>
      <c r="HK90">
        <v>9999</v>
      </c>
      <c r="HL90">
        <v>999.9</v>
      </c>
      <c r="HM90">
        <v>1.85501</v>
      </c>
      <c r="HN90">
        <v>1.8609599999999999</v>
      </c>
      <c r="HO90">
        <v>1.8583700000000001</v>
      </c>
      <c r="HP90">
        <v>1.85944</v>
      </c>
      <c r="HQ90">
        <v>1.85883</v>
      </c>
      <c r="HR90">
        <v>1.8593900000000001</v>
      </c>
      <c r="HS90">
        <v>1.8577399999999999</v>
      </c>
      <c r="HT90">
        <v>1.86103</v>
      </c>
      <c r="HU90">
        <v>5</v>
      </c>
      <c r="HV90">
        <v>0</v>
      </c>
      <c r="HW90">
        <v>0</v>
      </c>
      <c r="HX90">
        <v>0</v>
      </c>
      <c r="HY90" t="s">
        <v>423</v>
      </c>
      <c r="HZ90" t="s">
        <v>424</v>
      </c>
      <c r="IA90" t="s">
        <v>425</v>
      </c>
      <c r="IB90" t="s">
        <v>425</v>
      </c>
      <c r="IC90" t="s">
        <v>425</v>
      </c>
      <c r="ID90" t="s">
        <v>425</v>
      </c>
      <c r="IE90">
        <v>0</v>
      </c>
      <c r="IF90">
        <v>100</v>
      </c>
      <c r="IG90">
        <v>100</v>
      </c>
      <c r="IH90">
        <v>-1.5620000000000001</v>
      </c>
      <c r="II90">
        <v>-0.33279999999999998</v>
      </c>
      <c r="IJ90">
        <v>-1.5615500000000111</v>
      </c>
      <c r="IK90">
        <v>0</v>
      </c>
      <c r="IL90">
        <v>0</v>
      </c>
      <c r="IM90">
        <v>0</v>
      </c>
      <c r="IN90">
        <v>-0.3328619047619128</v>
      </c>
      <c r="IO90">
        <v>0</v>
      </c>
      <c r="IP90">
        <v>0</v>
      </c>
      <c r="IQ90">
        <v>0</v>
      </c>
      <c r="IR90">
        <v>-1</v>
      </c>
      <c r="IS90">
        <v>-1</v>
      </c>
      <c r="IT90">
        <v>-1</v>
      </c>
      <c r="IU90">
        <v>-1</v>
      </c>
      <c r="IV90">
        <v>0.8</v>
      </c>
      <c r="IW90">
        <v>0.5</v>
      </c>
      <c r="IX90">
        <v>0.40649400000000002</v>
      </c>
      <c r="IY90">
        <v>2.4902299999999999</v>
      </c>
      <c r="IZ90">
        <v>1.49414</v>
      </c>
      <c r="JA90">
        <v>2.2888199999999999</v>
      </c>
      <c r="JB90">
        <v>1.54419</v>
      </c>
      <c r="JC90">
        <v>2.32422</v>
      </c>
      <c r="JD90">
        <v>46.915100000000002</v>
      </c>
      <c r="JE90">
        <v>23.737300000000001</v>
      </c>
      <c r="JF90">
        <v>18</v>
      </c>
      <c r="JG90">
        <v>494.71899999999999</v>
      </c>
      <c r="JH90">
        <v>434.69299999999998</v>
      </c>
      <c r="JI90">
        <v>25.711099999999998</v>
      </c>
      <c r="JJ90">
        <v>33.572099999999999</v>
      </c>
      <c r="JK90">
        <v>30.000399999999999</v>
      </c>
      <c r="JL90">
        <v>33.546199999999999</v>
      </c>
      <c r="JM90">
        <v>33.503900000000002</v>
      </c>
      <c r="JN90">
        <v>8.2024899999999992</v>
      </c>
      <c r="JO90">
        <v>35.208500000000001</v>
      </c>
      <c r="JP90">
        <v>50.896700000000003</v>
      </c>
      <c r="JQ90">
        <v>25.707599999999999</v>
      </c>
      <c r="JR90">
        <v>120</v>
      </c>
      <c r="JS90">
        <v>22.875</v>
      </c>
      <c r="JT90">
        <v>98.551100000000005</v>
      </c>
      <c r="JU90">
        <v>96.770700000000005</v>
      </c>
    </row>
    <row r="91" spans="1:281" x14ac:dyDescent="0.25">
      <c r="A91">
        <v>75</v>
      </c>
      <c r="B91">
        <v>1693512639.5999999</v>
      </c>
      <c r="C91">
        <v>18503.599999904629</v>
      </c>
      <c r="D91" t="s">
        <v>799</v>
      </c>
      <c r="E91" t="s">
        <v>800</v>
      </c>
      <c r="F91" t="s">
        <v>414</v>
      </c>
      <c r="G91" t="s">
        <v>779</v>
      </c>
      <c r="H91" t="s">
        <v>780</v>
      </c>
      <c r="I91" t="s">
        <v>31</v>
      </c>
      <c r="J91">
        <v>1693512639.5999999</v>
      </c>
      <c r="K91">
        <f t="shared" si="92"/>
        <v>5.6400539553064441E-3</v>
      </c>
      <c r="L91">
        <f t="shared" si="93"/>
        <v>5.6400539553064437</v>
      </c>
      <c r="M91">
        <f t="shared" si="94"/>
        <v>9.9111404781423147</v>
      </c>
      <c r="N91">
        <f t="shared" si="95"/>
        <v>57.823</v>
      </c>
      <c r="O91">
        <f t="shared" si="96"/>
        <v>17.061544631368328</v>
      </c>
      <c r="P91">
        <f t="shared" si="97"/>
        <v>1.6990752187922069</v>
      </c>
      <c r="Q91">
        <f t="shared" si="98"/>
        <v>5.7583078495480002</v>
      </c>
      <c r="R91">
        <f t="shared" si="99"/>
        <v>0.42471204408380991</v>
      </c>
      <c r="S91">
        <f t="shared" si="100"/>
        <v>2.9161105571180923</v>
      </c>
      <c r="T91">
        <f t="shared" si="101"/>
        <v>0.39309863931325223</v>
      </c>
      <c r="U91">
        <f t="shared" si="102"/>
        <v>0.24833060602644147</v>
      </c>
      <c r="V91">
        <f t="shared" si="103"/>
        <v>344.38649967093318</v>
      </c>
      <c r="W91">
        <f t="shared" si="104"/>
        <v>31.074362464302521</v>
      </c>
      <c r="X91">
        <f t="shared" si="105"/>
        <v>30.010100000000001</v>
      </c>
      <c r="Y91">
        <f t="shared" si="106"/>
        <v>4.262922036432899</v>
      </c>
      <c r="Z91">
        <f t="shared" si="107"/>
        <v>65.776434889549478</v>
      </c>
      <c r="AA91">
        <f t="shared" si="108"/>
        <v>2.8853879505315998</v>
      </c>
      <c r="AB91">
        <f t="shared" si="109"/>
        <v>4.3866590753613925</v>
      </c>
      <c r="AC91">
        <f t="shared" si="110"/>
        <v>1.3775340859012992</v>
      </c>
      <c r="AD91">
        <f t="shared" si="111"/>
        <v>-248.72637942901417</v>
      </c>
      <c r="AE91">
        <f t="shared" si="112"/>
        <v>78.465184160555268</v>
      </c>
      <c r="AF91">
        <f t="shared" si="113"/>
        <v>5.9983030454394379</v>
      </c>
      <c r="AG91">
        <f t="shared" si="114"/>
        <v>180.12360744791374</v>
      </c>
      <c r="AH91">
        <v>11</v>
      </c>
      <c r="AI91">
        <v>2</v>
      </c>
      <c r="AJ91">
        <f t="shared" si="115"/>
        <v>1</v>
      </c>
      <c r="AK91">
        <f t="shared" si="116"/>
        <v>0</v>
      </c>
      <c r="AL91">
        <f t="shared" si="117"/>
        <v>51871.699493610475</v>
      </c>
      <c r="AM91" t="s">
        <v>417</v>
      </c>
      <c r="AN91">
        <v>10366.9</v>
      </c>
      <c r="AO91">
        <v>993.59653846153856</v>
      </c>
      <c r="AP91">
        <v>3431.87</v>
      </c>
      <c r="AQ91">
        <f t="shared" si="118"/>
        <v>0.71047955241266758</v>
      </c>
      <c r="AR91">
        <v>-3.9894345373445681</v>
      </c>
      <c r="AS91" t="s">
        <v>801</v>
      </c>
      <c r="AT91">
        <v>10278.4</v>
      </c>
      <c r="AU91">
        <v>671.62495999999999</v>
      </c>
      <c r="AV91">
        <v>754.8069258945776</v>
      </c>
      <c r="AW91">
        <f t="shared" si="119"/>
        <v>0.11020297117172384</v>
      </c>
      <c r="AX91">
        <v>0.5</v>
      </c>
      <c r="AY91">
        <f t="shared" si="120"/>
        <v>1513.2602998354664</v>
      </c>
      <c r="AZ91">
        <f t="shared" si="121"/>
        <v>9.9111404781423147</v>
      </c>
      <c r="BA91">
        <f t="shared" si="122"/>
        <v>83.382890599041033</v>
      </c>
      <c r="BB91">
        <f t="shared" si="123"/>
        <v>9.185845301696121E-3</v>
      </c>
      <c r="BC91">
        <f t="shared" si="124"/>
        <v>3.5466858904780669</v>
      </c>
      <c r="BD91">
        <f t="shared" si="125"/>
        <v>490.21998604511236</v>
      </c>
      <c r="BE91" t="s">
        <v>802</v>
      </c>
      <c r="BF91">
        <v>525.03</v>
      </c>
      <c r="BG91">
        <f t="shared" si="126"/>
        <v>525.03</v>
      </c>
      <c r="BH91">
        <f t="shared" si="127"/>
        <v>0.30441814722652683</v>
      </c>
      <c r="BI91">
        <f t="shared" si="128"/>
        <v>0.36201183200066728</v>
      </c>
      <c r="BJ91">
        <f t="shared" si="129"/>
        <v>0.92095301912228478</v>
      </c>
      <c r="BK91">
        <f t="shared" si="130"/>
        <v>-0.34834834313093027</v>
      </c>
      <c r="BL91">
        <f t="shared" si="131"/>
        <v>1.0979338931147999</v>
      </c>
      <c r="BM91">
        <f t="shared" si="132"/>
        <v>0.28299584362574964</v>
      </c>
      <c r="BN91">
        <f t="shared" si="133"/>
        <v>0.71700415637425041</v>
      </c>
      <c r="BO91">
        <v>16854</v>
      </c>
      <c r="BP91">
        <v>290.00000000000011</v>
      </c>
      <c r="BQ91">
        <v>733.6</v>
      </c>
      <c r="BR91">
        <v>195</v>
      </c>
      <c r="BS91">
        <v>10278.4</v>
      </c>
      <c r="BT91">
        <v>733.28</v>
      </c>
      <c r="BU91">
        <v>0.32</v>
      </c>
      <c r="BV91">
        <v>300.00000000000011</v>
      </c>
      <c r="BW91">
        <v>38.5</v>
      </c>
      <c r="BX91">
        <v>754.8069258945776</v>
      </c>
      <c r="BY91">
        <v>0.96578335255262859</v>
      </c>
      <c r="BZ91">
        <v>-22.129076670053031</v>
      </c>
      <c r="CA91">
        <v>0.81208142736409272</v>
      </c>
      <c r="CB91">
        <v>0.96366245847684817</v>
      </c>
      <c r="CC91">
        <v>-1.1193228031145719E-2</v>
      </c>
      <c r="CD91">
        <v>289.99999999999989</v>
      </c>
      <c r="CE91">
        <v>730.93</v>
      </c>
      <c r="CF91">
        <v>665</v>
      </c>
      <c r="CG91">
        <v>10252.6</v>
      </c>
      <c r="CH91">
        <v>733.22</v>
      </c>
      <c r="CI91">
        <v>-2.29</v>
      </c>
      <c r="CW91">
        <f t="shared" si="134"/>
        <v>1800.09</v>
      </c>
      <c r="CX91">
        <f t="shared" si="135"/>
        <v>1513.2602998354664</v>
      </c>
      <c r="CY91">
        <f t="shared" si="136"/>
        <v>0.84065813366857567</v>
      </c>
      <c r="CZ91">
        <f t="shared" si="137"/>
        <v>0.19131626733715157</v>
      </c>
      <c r="DA91">
        <v>6</v>
      </c>
      <c r="DB91">
        <v>0.5</v>
      </c>
      <c r="DC91" t="s">
        <v>420</v>
      </c>
      <c r="DD91">
        <v>2</v>
      </c>
      <c r="DE91">
        <v>1693512639.5999999</v>
      </c>
      <c r="DF91">
        <v>57.823</v>
      </c>
      <c r="DG91">
        <v>70.101799999999997</v>
      </c>
      <c r="DH91">
        <v>28.9741</v>
      </c>
      <c r="DI91">
        <v>22.4053</v>
      </c>
      <c r="DJ91">
        <v>59.2361</v>
      </c>
      <c r="DK91">
        <v>29.3065</v>
      </c>
      <c r="DL91">
        <v>500.24099999999999</v>
      </c>
      <c r="DM91">
        <v>99.4846</v>
      </c>
      <c r="DN91">
        <v>0.100476</v>
      </c>
      <c r="DO91">
        <v>30.5092</v>
      </c>
      <c r="DP91">
        <v>30.010100000000001</v>
      </c>
      <c r="DQ91">
        <v>999.9</v>
      </c>
      <c r="DR91">
        <v>0</v>
      </c>
      <c r="DS91">
        <v>0</v>
      </c>
      <c r="DT91">
        <v>9975</v>
      </c>
      <c r="DU91">
        <v>0</v>
      </c>
      <c r="DV91">
        <v>1347.95</v>
      </c>
      <c r="DW91">
        <v>-12.2788</v>
      </c>
      <c r="DX91">
        <v>59.548400000000001</v>
      </c>
      <c r="DY91">
        <v>71.708399999999997</v>
      </c>
      <c r="DZ91">
        <v>6.5687899999999999</v>
      </c>
      <c r="EA91">
        <v>70.101799999999997</v>
      </c>
      <c r="EB91">
        <v>22.4053</v>
      </c>
      <c r="EC91">
        <v>2.8824700000000001</v>
      </c>
      <c r="ED91">
        <v>2.22898</v>
      </c>
      <c r="EE91">
        <v>23.3642</v>
      </c>
      <c r="EF91">
        <v>19.1721</v>
      </c>
      <c r="EG91">
        <v>1800.09</v>
      </c>
      <c r="EH91">
        <v>0.97800100000000001</v>
      </c>
      <c r="EI91">
        <v>2.19992E-2</v>
      </c>
      <c r="EJ91">
        <v>0</v>
      </c>
      <c r="EK91">
        <v>671.21600000000001</v>
      </c>
      <c r="EL91">
        <v>5.0002500000000003</v>
      </c>
      <c r="EM91">
        <v>21154.3</v>
      </c>
      <c r="EN91">
        <v>14822.9</v>
      </c>
      <c r="EO91">
        <v>50.186999999999998</v>
      </c>
      <c r="EP91">
        <v>51.375</v>
      </c>
      <c r="EQ91">
        <v>50.875</v>
      </c>
      <c r="ER91">
        <v>50.75</v>
      </c>
      <c r="ES91">
        <v>51.25</v>
      </c>
      <c r="ET91">
        <v>1755.6</v>
      </c>
      <c r="EU91">
        <v>39.49</v>
      </c>
      <c r="EV91">
        <v>0</v>
      </c>
      <c r="EW91">
        <v>121.19999980926509</v>
      </c>
      <c r="EX91">
        <v>0</v>
      </c>
      <c r="EY91">
        <v>671.62495999999999</v>
      </c>
      <c r="EZ91">
        <v>-1.716153848750595</v>
      </c>
      <c r="FA91">
        <v>-79.446154085952884</v>
      </c>
      <c r="FB91">
        <v>21163.367999999999</v>
      </c>
      <c r="FC91">
        <v>15</v>
      </c>
      <c r="FD91">
        <v>1693512604.5999999</v>
      </c>
      <c r="FE91" t="s">
        <v>803</v>
      </c>
      <c r="FF91">
        <v>1693512596.5999999</v>
      </c>
      <c r="FG91">
        <v>1693512604.5999999</v>
      </c>
      <c r="FH91">
        <v>84</v>
      </c>
      <c r="FI91">
        <v>0.14799999999999999</v>
      </c>
      <c r="FJ91">
        <v>1E-3</v>
      </c>
      <c r="FK91">
        <v>-1.413</v>
      </c>
      <c r="FL91">
        <v>-0.33200000000000002</v>
      </c>
      <c r="FM91">
        <v>70</v>
      </c>
      <c r="FN91">
        <v>23</v>
      </c>
      <c r="FO91">
        <v>0.35</v>
      </c>
      <c r="FP91">
        <v>0.05</v>
      </c>
      <c r="FQ91">
        <v>9.771910477588138</v>
      </c>
      <c r="FR91">
        <v>-0.40811315815497839</v>
      </c>
      <c r="FS91">
        <v>6.7488459704284895E-2</v>
      </c>
      <c r="FT91">
        <v>1</v>
      </c>
      <c r="FU91">
        <v>0.41695779125027688</v>
      </c>
      <c r="FV91">
        <v>4.560862906463433E-2</v>
      </c>
      <c r="FW91">
        <v>3.80806171830871E-3</v>
      </c>
      <c r="FX91">
        <v>1</v>
      </c>
      <c r="FY91">
        <v>2</v>
      </c>
      <c r="FZ91">
        <v>2</v>
      </c>
      <c r="GA91" t="s">
        <v>422</v>
      </c>
      <c r="GB91">
        <v>2.9181400000000002</v>
      </c>
      <c r="GC91">
        <v>2.8301500000000002</v>
      </c>
      <c r="GD91">
        <v>1.6289999999999999E-2</v>
      </c>
      <c r="GE91">
        <v>1.8786600000000001E-2</v>
      </c>
      <c r="GF91">
        <v>0.13660600000000001</v>
      </c>
      <c r="GG91">
        <v>0.10899200000000001</v>
      </c>
      <c r="GH91">
        <v>25664.7</v>
      </c>
      <c r="GI91">
        <v>31190.7</v>
      </c>
      <c r="GJ91">
        <v>23493.8</v>
      </c>
      <c r="GK91">
        <v>29110.7</v>
      </c>
      <c r="GL91">
        <v>27676</v>
      </c>
      <c r="GM91">
        <v>36703.1</v>
      </c>
      <c r="GN91">
        <v>33232.800000000003</v>
      </c>
      <c r="GO91">
        <v>42963.1</v>
      </c>
      <c r="GP91">
        <v>1.9258</v>
      </c>
      <c r="GQ91">
        <v>1.7829999999999999</v>
      </c>
      <c r="GR91">
        <v>3.2573900000000003E-2</v>
      </c>
      <c r="GS91">
        <v>0</v>
      </c>
      <c r="GT91">
        <v>29.479800000000001</v>
      </c>
      <c r="GU91">
        <v>999.9</v>
      </c>
      <c r="GV91">
        <v>47.2</v>
      </c>
      <c r="GW91">
        <v>39.5</v>
      </c>
      <c r="GX91">
        <v>34.241300000000003</v>
      </c>
      <c r="GY91">
        <v>61.3264</v>
      </c>
      <c r="GZ91">
        <v>36.253999999999998</v>
      </c>
      <c r="HA91">
        <v>1</v>
      </c>
      <c r="HB91">
        <v>0.50239800000000001</v>
      </c>
      <c r="HC91">
        <v>2.4729999999999999</v>
      </c>
      <c r="HD91">
        <v>20.251000000000001</v>
      </c>
      <c r="HE91">
        <v>5.2088999999999999</v>
      </c>
      <c r="HF91">
        <v>11.872199999999999</v>
      </c>
      <c r="HG91">
        <v>4.9832000000000001</v>
      </c>
      <c r="HH91">
        <v>3.2839999999999998</v>
      </c>
      <c r="HI91">
        <v>9999</v>
      </c>
      <c r="HJ91">
        <v>9999</v>
      </c>
      <c r="HK91">
        <v>9999</v>
      </c>
      <c r="HL91">
        <v>999.9</v>
      </c>
      <c r="HM91">
        <v>1.85501</v>
      </c>
      <c r="HN91">
        <v>1.86103</v>
      </c>
      <c r="HO91">
        <v>1.8583700000000001</v>
      </c>
      <c r="HP91">
        <v>1.85947</v>
      </c>
      <c r="HQ91">
        <v>1.85884</v>
      </c>
      <c r="HR91">
        <v>1.8594200000000001</v>
      </c>
      <c r="HS91">
        <v>1.8577600000000001</v>
      </c>
      <c r="HT91">
        <v>1.8610500000000001</v>
      </c>
      <c r="HU91">
        <v>5</v>
      </c>
      <c r="HV91">
        <v>0</v>
      </c>
      <c r="HW91">
        <v>0</v>
      </c>
      <c r="HX91">
        <v>0</v>
      </c>
      <c r="HY91" t="s">
        <v>423</v>
      </c>
      <c r="HZ91" t="s">
        <v>424</v>
      </c>
      <c r="IA91" t="s">
        <v>425</v>
      </c>
      <c r="IB91" t="s">
        <v>425</v>
      </c>
      <c r="IC91" t="s">
        <v>425</v>
      </c>
      <c r="ID91" t="s">
        <v>425</v>
      </c>
      <c r="IE91">
        <v>0</v>
      </c>
      <c r="IF91">
        <v>100</v>
      </c>
      <c r="IG91">
        <v>100</v>
      </c>
      <c r="IH91">
        <v>-1.413</v>
      </c>
      <c r="II91">
        <v>-0.33239999999999997</v>
      </c>
      <c r="IJ91">
        <v>-1.4130649999999889</v>
      </c>
      <c r="IK91">
        <v>0</v>
      </c>
      <c r="IL91">
        <v>0</v>
      </c>
      <c r="IM91">
        <v>0</v>
      </c>
      <c r="IN91">
        <v>-0.33237000000000089</v>
      </c>
      <c r="IO91">
        <v>0</v>
      </c>
      <c r="IP91">
        <v>0</v>
      </c>
      <c r="IQ91">
        <v>0</v>
      </c>
      <c r="IR91">
        <v>-1</v>
      </c>
      <c r="IS91">
        <v>-1</v>
      </c>
      <c r="IT91">
        <v>-1</v>
      </c>
      <c r="IU91">
        <v>-1</v>
      </c>
      <c r="IV91">
        <v>0.7</v>
      </c>
      <c r="IW91">
        <v>0.6</v>
      </c>
      <c r="IX91">
        <v>0.29663099999999998</v>
      </c>
      <c r="IY91">
        <v>2.50732</v>
      </c>
      <c r="IZ91">
        <v>1.49414</v>
      </c>
      <c r="JA91">
        <v>2.2875999999999999</v>
      </c>
      <c r="JB91">
        <v>1.54419</v>
      </c>
      <c r="JC91">
        <v>2.34741</v>
      </c>
      <c r="JD91">
        <v>47.212299999999999</v>
      </c>
      <c r="JE91">
        <v>23.737300000000001</v>
      </c>
      <c r="JF91">
        <v>18</v>
      </c>
      <c r="JG91">
        <v>495.399</v>
      </c>
      <c r="JH91">
        <v>431.20400000000001</v>
      </c>
      <c r="JI91">
        <v>25.611599999999999</v>
      </c>
      <c r="JJ91">
        <v>33.602200000000003</v>
      </c>
      <c r="JK91">
        <v>30.000599999999999</v>
      </c>
      <c r="JL91">
        <v>33.567100000000003</v>
      </c>
      <c r="JM91">
        <v>33.527700000000003</v>
      </c>
      <c r="JN91">
        <v>6.0073400000000001</v>
      </c>
      <c r="JO91">
        <v>35.758299999999998</v>
      </c>
      <c r="JP91">
        <v>45.839599999999997</v>
      </c>
      <c r="JQ91">
        <v>25.581600000000002</v>
      </c>
      <c r="JR91">
        <v>70</v>
      </c>
      <c r="JS91">
        <v>22.337399999999999</v>
      </c>
      <c r="JT91">
        <v>98.547499999999999</v>
      </c>
      <c r="JU91">
        <v>96.778700000000001</v>
      </c>
    </row>
    <row r="92" spans="1:281" x14ac:dyDescent="0.25">
      <c r="A92">
        <v>76</v>
      </c>
      <c r="B92">
        <v>1693512753.5999999</v>
      </c>
      <c r="C92">
        <v>18617.599999904629</v>
      </c>
      <c r="D92" t="s">
        <v>804</v>
      </c>
      <c r="E92" t="s">
        <v>805</v>
      </c>
      <c r="F92" t="s">
        <v>414</v>
      </c>
      <c r="G92" t="s">
        <v>779</v>
      </c>
      <c r="H92" t="s">
        <v>780</v>
      </c>
      <c r="I92" t="s">
        <v>31</v>
      </c>
      <c r="J92">
        <v>1693512753.5999999</v>
      </c>
      <c r="K92">
        <f t="shared" si="92"/>
        <v>5.8264502892033318E-3</v>
      </c>
      <c r="L92">
        <f t="shared" si="93"/>
        <v>5.8264502892033319</v>
      </c>
      <c r="M92">
        <f t="shared" si="94"/>
        <v>4.2705542241607262</v>
      </c>
      <c r="N92">
        <f t="shared" si="95"/>
        <v>24.686</v>
      </c>
      <c r="O92">
        <f t="shared" si="96"/>
        <v>7.5626638074544372</v>
      </c>
      <c r="P92">
        <f t="shared" si="97"/>
        <v>0.75321440726463507</v>
      </c>
      <c r="Q92">
        <f t="shared" si="98"/>
        <v>2.4586377672119997</v>
      </c>
      <c r="R92">
        <f t="shared" si="99"/>
        <v>0.43665641810733408</v>
      </c>
      <c r="S92">
        <f t="shared" si="100"/>
        <v>2.921579323031863</v>
      </c>
      <c r="T92">
        <f t="shared" si="101"/>
        <v>0.40337194202274507</v>
      </c>
      <c r="U92">
        <f t="shared" si="102"/>
        <v>0.25488618534187524</v>
      </c>
      <c r="V92">
        <f t="shared" si="103"/>
        <v>344.35039967089847</v>
      </c>
      <c r="W92">
        <f t="shared" si="104"/>
        <v>31.015690093593534</v>
      </c>
      <c r="X92">
        <f t="shared" si="105"/>
        <v>29.978899999999999</v>
      </c>
      <c r="Y92">
        <f t="shared" si="106"/>
        <v>4.2552889752672334</v>
      </c>
      <c r="Z92">
        <f t="shared" si="107"/>
        <v>65.416665585739892</v>
      </c>
      <c r="AA92">
        <f t="shared" si="108"/>
        <v>2.8681285384949997</v>
      </c>
      <c r="AB92">
        <f t="shared" si="109"/>
        <v>4.3844003860695402</v>
      </c>
      <c r="AC92">
        <f t="shared" si="110"/>
        <v>1.3871604367722337</v>
      </c>
      <c r="AD92">
        <f t="shared" si="111"/>
        <v>-256.94645775386692</v>
      </c>
      <c r="AE92">
        <f t="shared" si="112"/>
        <v>82.109016560715077</v>
      </c>
      <c r="AF92">
        <f t="shared" si="113"/>
        <v>6.2638626673971061</v>
      </c>
      <c r="AG92">
        <f t="shared" si="114"/>
        <v>175.77682114514374</v>
      </c>
      <c r="AH92">
        <v>11</v>
      </c>
      <c r="AI92">
        <v>2</v>
      </c>
      <c r="AJ92">
        <f t="shared" si="115"/>
        <v>1</v>
      </c>
      <c r="AK92">
        <f t="shared" si="116"/>
        <v>0</v>
      </c>
      <c r="AL92">
        <f t="shared" si="117"/>
        <v>52029.174479726433</v>
      </c>
      <c r="AM92" t="s">
        <v>417</v>
      </c>
      <c r="AN92">
        <v>10366.9</v>
      </c>
      <c r="AO92">
        <v>993.59653846153856</v>
      </c>
      <c r="AP92">
        <v>3431.87</v>
      </c>
      <c r="AQ92">
        <f t="shared" si="118"/>
        <v>0.71047955241266758</v>
      </c>
      <c r="AR92">
        <v>-3.9894345373445681</v>
      </c>
      <c r="AS92" t="s">
        <v>806</v>
      </c>
      <c r="AT92">
        <v>10282.1</v>
      </c>
      <c r="AU92">
        <v>677.87679999999989</v>
      </c>
      <c r="AV92">
        <v>732.4241296883398</v>
      </c>
      <c r="AW92">
        <f t="shared" si="119"/>
        <v>7.447505820370881E-2</v>
      </c>
      <c r="AX92">
        <v>0.5</v>
      </c>
      <c r="AY92">
        <f t="shared" si="120"/>
        <v>1513.1006998354492</v>
      </c>
      <c r="AZ92">
        <f t="shared" si="121"/>
        <v>4.2705542241607262</v>
      </c>
      <c r="BA92">
        <f t="shared" si="122"/>
        <v>56.344131344158804</v>
      </c>
      <c r="BB92">
        <f t="shared" si="123"/>
        <v>5.4589815221178437E-3</v>
      </c>
      <c r="BC92">
        <f t="shared" si="124"/>
        <v>3.6856320824114914</v>
      </c>
      <c r="BD92">
        <f t="shared" si="125"/>
        <v>480.67967374782893</v>
      </c>
      <c r="BE92" t="s">
        <v>807</v>
      </c>
      <c r="BF92">
        <v>542.27</v>
      </c>
      <c r="BG92">
        <f t="shared" si="126"/>
        <v>542.27</v>
      </c>
      <c r="BH92">
        <f t="shared" si="127"/>
        <v>0.25962297251082367</v>
      </c>
      <c r="BI92">
        <f t="shared" si="128"/>
        <v>0.28685850671632684</v>
      </c>
      <c r="BJ92">
        <f t="shared" si="129"/>
        <v>0.93419361514107846</v>
      </c>
      <c r="BK92">
        <f t="shared" si="130"/>
        <v>-0.20885563656805967</v>
      </c>
      <c r="BL92">
        <f t="shared" si="131"/>
        <v>1.1071136658348437</v>
      </c>
      <c r="BM92">
        <f t="shared" si="132"/>
        <v>0.22947350084419849</v>
      </c>
      <c r="BN92">
        <f t="shared" si="133"/>
        <v>0.77052649915580151</v>
      </c>
      <c r="BO92">
        <v>16856</v>
      </c>
      <c r="BP92">
        <v>290.00000000000011</v>
      </c>
      <c r="BQ92">
        <v>717.69</v>
      </c>
      <c r="BR92">
        <v>165</v>
      </c>
      <c r="BS92">
        <v>10282.1</v>
      </c>
      <c r="BT92">
        <v>716.49</v>
      </c>
      <c r="BU92">
        <v>1.2</v>
      </c>
      <c r="BV92">
        <v>300.00000000000011</v>
      </c>
      <c r="BW92">
        <v>38.5</v>
      </c>
      <c r="BX92">
        <v>732.4241296883398</v>
      </c>
      <c r="BY92">
        <v>0.93088922305419819</v>
      </c>
      <c r="BZ92">
        <v>-16.379306181287681</v>
      </c>
      <c r="CA92">
        <v>0.78263847952562182</v>
      </c>
      <c r="CB92">
        <v>0.93991344768050122</v>
      </c>
      <c r="CC92">
        <v>-1.1191343715239161E-2</v>
      </c>
      <c r="CD92">
        <v>289.99999999999989</v>
      </c>
      <c r="CE92">
        <v>714.39</v>
      </c>
      <c r="CF92">
        <v>655</v>
      </c>
      <c r="CG92">
        <v>10252.1</v>
      </c>
      <c r="CH92">
        <v>716.45</v>
      </c>
      <c r="CI92">
        <v>-2.06</v>
      </c>
      <c r="CW92">
        <f t="shared" si="134"/>
        <v>1799.9</v>
      </c>
      <c r="CX92">
        <f t="shared" si="135"/>
        <v>1513.1006998354492</v>
      </c>
      <c r="CY92">
        <f t="shared" si="136"/>
        <v>0.84065820314209072</v>
      </c>
      <c r="CZ92">
        <f t="shared" si="137"/>
        <v>0.19131640628418159</v>
      </c>
      <c r="DA92">
        <v>6</v>
      </c>
      <c r="DB92">
        <v>0.5</v>
      </c>
      <c r="DC92" t="s">
        <v>420</v>
      </c>
      <c r="DD92">
        <v>2</v>
      </c>
      <c r="DE92">
        <v>1693512753.5999999</v>
      </c>
      <c r="DF92">
        <v>24.686</v>
      </c>
      <c r="DG92">
        <v>29.979600000000001</v>
      </c>
      <c r="DH92">
        <v>28.797499999999999</v>
      </c>
      <c r="DI92">
        <v>22.011800000000001</v>
      </c>
      <c r="DJ92">
        <v>26.005700000000001</v>
      </c>
      <c r="DK92">
        <v>29.142199999999999</v>
      </c>
      <c r="DL92">
        <v>500.346</v>
      </c>
      <c r="DM92">
        <v>99.496600000000001</v>
      </c>
      <c r="DN92">
        <v>9.9842E-2</v>
      </c>
      <c r="DO92">
        <v>30.5002</v>
      </c>
      <c r="DP92">
        <v>29.978899999999999</v>
      </c>
      <c r="DQ92">
        <v>999.9</v>
      </c>
      <c r="DR92">
        <v>0</v>
      </c>
      <c r="DS92">
        <v>0</v>
      </c>
      <c r="DT92">
        <v>10005</v>
      </c>
      <c r="DU92">
        <v>0</v>
      </c>
      <c r="DV92">
        <v>1337.58</v>
      </c>
      <c r="DW92">
        <v>-5.2936399999999999</v>
      </c>
      <c r="DX92">
        <v>25.417899999999999</v>
      </c>
      <c r="DY92">
        <v>30.654399999999999</v>
      </c>
      <c r="DZ92">
        <v>6.7856399999999999</v>
      </c>
      <c r="EA92">
        <v>29.979600000000001</v>
      </c>
      <c r="EB92">
        <v>22.011800000000001</v>
      </c>
      <c r="EC92">
        <v>2.8652500000000001</v>
      </c>
      <c r="ED92">
        <v>2.1901000000000002</v>
      </c>
      <c r="EE92">
        <v>23.264900000000001</v>
      </c>
      <c r="EF92">
        <v>18.8901</v>
      </c>
      <c r="EG92">
        <v>1799.9</v>
      </c>
      <c r="EH92">
        <v>0.97800100000000001</v>
      </c>
      <c r="EI92">
        <v>2.19992E-2</v>
      </c>
      <c r="EJ92">
        <v>0</v>
      </c>
      <c r="EK92">
        <v>677.47799999999995</v>
      </c>
      <c r="EL92">
        <v>5.0002500000000003</v>
      </c>
      <c r="EM92">
        <v>21222.5</v>
      </c>
      <c r="EN92">
        <v>14821.3</v>
      </c>
      <c r="EO92">
        <v>50.311999999999998</v>
      </c>
      <c r="EP92">
        <v>51.5</v>
      </c>
      <c r="EQ92">
        <v>51</v>
      </c>
      <c r="ER92">
        <v>50.936999999999998</v>
      </c>
      <c r="ES92">
        <v>51.311999999999998</v>
      </c>
      <c r="ET92">
        <v>1755.41</v>
      </c>
      <c r="EU92">
        <v>39.49</v>
      </c>
      <c r="EV92">
        <v>0</v>
      </c>
      <c r="EW92">
        <v>112.2000000476837</v>
      </c>
      <c r="EX92">
        <v>0</v>
      </c>
      <c r="EY92">
        <v>677.87679999999989</v>
      </c>
      <c r="EZ92">
        <v>-1.540153858817662</v>
      </c>
      <c r="FA92">
        <v>-50.961538110229462</v>
      </c>
      <c r="FB92">
        <v>21229.72</v>
      </c>
      <c r="FC92">
        <v>15</v>
      </c>
      <c r="FD92">
        <v>1693512723.0999999</v>
      </c>
      <c r="FE92" t="s">
        <v>808</v>
      </c>
      <c r="FF92">
        <v>1693512714.5999999</v>
      </c>
      <c r="FG92">
        <v>1693512723.0999999</v>
      </c>
      <c r="FH92">
        <v>85</v>
      </c>
      <c r="FI92">
        <v>9.2999999999999999E-2</v>
      </c>
      <c r="FJ92">
        <v>-1.2E-2</v>
      </c>
      <c r="FK92">
        <v>-1.32</v>
      </c>
      <c r="FL92">
        <v>-0.34499999999999997</v>
      </c>
      <c r="FM92">
        <v>30</v>
      </c>
      <c r="FN92">
        <v>22</v>
      </c>
      <c r="FO92">
        <v>0.88</v>
      </c>
      <c r="FP92">
        <v>0.04</v>
      </c>
      <c r="FQ92">
        <v>4.3829226868384374</v>
      </c>
      <c r="FR92">
        <v>0.37114547256711089</v>
      </c>
      <c r="FS92">
        <v>8.5608016834802347E-2</v>
      </c>
      <c r="FT92">
        <v>1</v>
      </c>
      <c r="FU92">
        <v>0.43614246475463048</v>
      </c>
      <c r="FV92">
        <v>4.7927712515413237E-2</v>
      </c>
      <c r="FW92">
        <v>4.3226423380837873E-3</v>
      </c>
      <c r="FX92">
        <v>1</v>
      </c>
      <c r="FY92">
        <v>2</v>
      </c>
      <c r="FZ92">
        <v>2</v>
      </c>
      <c r="GA92" t="s">
        <v>422</v>
      </c>
      <c r="GB92">
        <v>2.9183599999999998</v>
      </c>
      <c r="GC92">
        <v>2.82978</v>
      </c>
      <c r="GD92">
        <v>7.22932E-3</v>
      </c>
      <c r="GE92">
        <v>8.1418600000000008E-3</v>
      </c>
      <c r="GF92">
        <v>0.13608300000000001</v>
      </c>
      <c r="GG92">
        <v>0.107645</v>
      </c>
      <c r="GH92">
        <v>25901</v>
      </c>
      <c r="GI92">
        <v>31529.7</v>
      </c>
      <c r="GJ92">
        <v>23494.2</v>
      </c>
      <c r="GK92">
        <v>29111.8</v>
      </c>
      <c r="GL92">
        <v>27692.5</v>
      </c>
      <c r="GM92">
        <v>36759.800000000003</v>
      </c>
      <c r="GN92">
        <v>33233.199999999997</v>
      </c>
      <c r="GO92">
        <v>42965.599999999999</v>
      </c>
      <c r="GP92">
        <v>1.9258</v>
      </c>
      <c r="GQ92">
        <v>1.7788999999999999</v>
      </c>
      <c r="GR92">
        <v>3.23057E-2</v>
      </c>
      <c r="GS92">
        <v>0</v>
      </c>
      <c r="GT92">
        <v>29.4529</v>
      </c>
      <c r="GU92">
        <v>999.9</v>
      </c>
      <c r="GV92">
        <v>45.5</v>
      </c>
      <c r="GW92">
        <v>40</v>
      </c>
      <c r="GX92">
        <v>33.902099999999997</v>
      </c>
      <c r="GY92">
        <v>61.446399999999997</v>
      </c>
      <c r="GZ92">
        <v>36.153799999999997</v>
      </c>
      <c r="HA92">
        <v>1</v>
      </c>
      <c r="HB92">
        <v>0.50634100000000004</v>
      </c>
      <c r="HC92">
        <v>2.5851199999999999</v>
      </c>
      <c r="HD92">
        <v>20.248100000000001</v>
      </c>
      <c r="HE92">
        <v>5.2095000000000002</v>
      </c>
      <c r="HF92">
        <v>11.872199999999999</v>
      </c>
      <c r="HG92">
        <v>4.9842000000000004</v>
      </c>
      <c r="HH92">
        <v>3.2839999999999998</v>
      </c>
      <c r="HI92">
        <v>9999</v>
      </c>
      <c r="HJ92">
        <v>9999</v>
      </c>
      <c r="HK92">
        <v>9999</v>
      </c>
      <c r="HL92">
        <v>999.9</v>
      </c>
      <c r="HM92">
        <v>1.85501</v>
      </c>
      <c r="HN92">
        <v>1.8609800000000001</v>
      </c>
      <c r="HO92">
        <v>1.8583700000000001</v>
      </c>
      <c r="HP92">
        <v>1.85944</v>
      </c>
      <c r="HQ92">
        <v>1.85883</v>
      </c>
      <c r="HR92">
        <v>1.85938</v>
      </c>
      <c r="HS92">
        <v>1.8577300000000001</v>
      </c>
      <c r="HT92">
        <v>1.8609599999999999</v>
      </c>
      <c r="HU92">
        <v>5</v>
      </c>
      <c r="HV92">
        <v>0</v>
      </c>
      <c r="HW92">
        <v>0</v>
      </c>
      <c r="HX92">
        <v>0</v>
      </c>
      <c r="HY92" t="s">
        <v>423</v>
      </c>
      <c r="HZ92" t="s">
        <v>424</v>
      </c>
      <c r="IA92" t="s">
        <v>425</v>
      </c>
      <c r="IB92" t="s">
        <v>425</v>
      </c>
      <c r="IC92" t="s">
        <v>425</v>
      </c>
      <c r="ID92" t="s">
        <v>425</v>
      </c>
      <c r="IE92">
        <v>0</v>
      </c>
      <c r="IF92">
        <v>100</v>
      </c>
      <c r="IG92">
        <v>100</v>
      </c>
      <c r="IH92">
        <v>-1.32</v>
      </c>
      <c r="II92">
        <v>-0.34470000000000001</v>
      </c>
      <c r="IJ92">
        <v>-1.319709523809522</v>
      </c>
      <c r="IK92">
        <v>0</v>
      </c>
      <c r="IL92">
        <v>0</v>
      </c>
      <c r="IM92">
        <v>0</v>
      </c>
      <c r="IN92">
        <v>-0.34478999999999971</v>
      </c>
      <c r="IO92">
        <v>0</v>
      </c>
      <c r="IP92">
        <v>0</v>
      </c>
      <c r="IQ92">
        <v>0</v>
      </c>
      <c r="IR92">
        <v>-1</v>
      </c>
      <c r="IS92">
        <v>-1</v>
      </c>
      <c r="IT92">
        <v>-1</v>
      </c>
      <c r="IU92">
        <v>-1</v>
      </c>
      <c r="IV92">
        <v>0.7</v>
      </c>
      <c r="IW92">
        <v>0.5</v>
      </c>
      <c r="IX92">
        <v>0.20874000000000001</v>
      </c>
      <c r="IY92">
        <v>2.5305200000000001</v>
      </c>
      <c r="IZ92">
        <v>1.49414</v>
      </c>
      <c r="JA92">
        <v>2.2875999999999999</v>
      </c>
      <c r="JB92">
        <v>1.54419</v>
      </c>
      <c r="JC92">
        <v>2.5366200000000001</v>
      </c>
      <c r="JD92">
        <v>47.541699999999999</v>
      </c>
      <c r="JE92">
        <v>23.7898</v>
      </c>
      <c r="JF92">
        <v>18</v>
      </c>
      <c r="JG92">
        <v>495.60899999999998</v>
      </c>
      <c r="JH92">
        <v>428.66699999999997</v>
      </c>
      <c r="JI92">
        <v>25.692699999999999</v>
      </c>
      <c r="JJ92">
        <v>33.632399999999997</v>
      </c>
      <c r="JK92">
        <v>30.0002</v>
      </c>
      <c r="JL92">
        <v>33.594000000000001</v>
      </c>
      <c r="JM92">
        <v>33.552799999999998</v>
      </c>
      <c r="JN92">
        <v>4.2503599999999997</v>
      </c>
      <c r="JO92">
        <v>35.424999999999997</v>
      </c>
      <c r="JP92">
        <v>41.3108</v>
      </c>
      <c r="JQ92">
        <v>25.6965</v>
      </c>
      <c r="JR92">
        <v>30</v>
      </c>
      <c r="JS92">
        <v>22.1248</v>
      </c>
      <c r="JT92">
        <v>98.549000000000007</v>
      </c>
      <c r="JU92">
        <v>96.783600000000007</v>
      </c>
    </row>
    <row r="93" spans="1:281" x14ac:dyDescent="0.25">
      <c r="A93">
        <v>77</v>
      </c>
      <c r="B93">
        <v>1693512868.0999999</v>
      </c>
      <c r="C93">
        <v>18732.099999904629</v>
      </c>
      <c r="D93" t="s">
        <v>809</v>
      </c>
      <c r="E93" t="s">
        <v>810</v>
      </c>
      <c r="F93" t="s">
        <v>414</v>
      </c>
      <c r="G93" t="s">
        <v>779</v>
      </c>
      <c r="H93" t="s">
        <v>780</v>
      </c>
      <c r="I93" t="s">
        <v>31</v>
      </c>
      <c r="J93">
        <v>1693512868.0999999</v>
      </c>
      <c r="K93">
        <f t="shared" si="92"/>
        <v>5.9443170967930928E-3</v>
      </c>
      <c r="L93">
        <f t="shared" si="93"/>
        <v>5.9443170967930925</v>
      </c>
      <c r="M93">
        <f t="shared" si="94"/>
        <v>1.4925617882086859</v>
      </c>
      <c r="N93">
        <f t="shared" si="95"/>
        <v>8.1952200000000008</v>
      </c>
      <c r="O93">
        <f t="shared" si="96"/>
        <v>2.3261723332740942</v>
      </c>
      <c r="P93">
        <f t="shared" si="97"/>
        <v>0.23167178617044584</v>
      </c>
      <c r="Q93">
        <f t="shared" si="98"/>
        <v>0.81619114297842021</v>
      </c>
      <c r="R93">
        <f t="shared" si="99"/>
        <v>0.44531141230154309</v>
      </c>
      <c r="S93">
        <f t="shared" si="100"/>
        <v>2.9280941766173423</v>
      </c>
      <c r="T93">
        <f t="shared" si="101"/>
        <v>0.41082084237539274</v>
      </c>
      <c r="U93">
        <f t="shared" si="102"/>
        <v>0.25963889218557706</v>
      </c>
      <c r="V93">
        <f t="shared" si="103"/>
        <v>344.34659967089476</v>
      </c>
      <c r="W93">
        <f t="shared" si="104"/>
        <v>31.053985466968189</v>
      </c>
      <c r="X93">
        <f t="shared" si="105"/>
        <v>29.998899999999999</v>
      </c>
      <c r="Y93">
        <f t="shared" si="106"/>
        <v>4.2601805914156641</v>
      </c>
      <c r="Z93">
        <f t="shared" si="107"/>
        <v>65.213951180463226</v>
      </c>
      <c r="AA93">
        <f t="shared" si="108"/>
        <v>2.8707146803323003</v>
      </c>
      <c r="AB93">
        <f t="shared" si="109"/>
        <v>4.4019947087523015</v>
      </c>
      <c r="AC93">
        <f t="shared" si="110"/>
        <v>1.3894659110833638</v>
      </c>
      <c r="AD93">
        <f t="shared" si="111"/>
        <v>-262.14438396857537</v>
      </c>
      <c r="AE93">
        <f t="shared" si="112"/>
        <v>90.185082789607549</v>
      </c>
      <c r="AF93">
        <f t="shared" si="113"/>
        <v>6.8677127387401917</v>
      </c>
      <c r="AG93">
        <f t="shared" si="114"/>
        <v>179.25501123066712</v>
      </c>
      <c r="AH93">
        <v>10</v>
      </c>
      <c r="AI93">
        <v>2</v>
      </c>
      <c r="AJ93">
        <f t="shared" si="115"/>
        <v>1</v>
      </c>
      <c r="AK93">
        <f t="shared" si="116"/>
        <v>0</v>
      </c>
      <c r="AL93">
        <f t="shared" si="117"/>
        <v>52202.79024248162</v>
      </c>
      <c r="AM93" t="s">
        <v>417</v>
      </c>
      <c r="AN93">
        <v>10366.9</v>
      </c>
      <c r="AO93">
        <v>993.59653846153856</v>
      </c>
      <c r="AP93">
        <v>3431.87</v>
      </c>
      <c r="AQ93">
        <f t="shared" si="118"/>
        <v>0.71047955241266758</v>
      </c>
      <c r="AR93">
        <v>-3.9894345373445681</v>
      </c>
      <c r="AS93" t="s">
        <v>811</v>
      </c>
      <c r="AT93">
        <v>10296.1</v>
      </c>
      <c r="AU93">
        <v>681.15459999999996</v>
      </c>
      <c r="AV93">
        <v>724.73587116646377</v>
      </c>
      <c r="AW93">
        <f t="shared" si="119"/>
        <v>6.0134005919038724E-2</v>
      </c>
      <c r="AX93">
        <v>0.5</v>
      </c>
      <c r="AY93">
        <f t="shared" si="120"/>
        <v>1513.0838998354475</v>
      </c>
      <c r="AZ93">
        <f t="shared" si="121"/>
        <v>1.4925617882086859</v>
      </c>
      <c r="BA93">
        <f t="shared" si="122"/>
        <v>45.493898094353497</v>
      </c>
      <c r="BB93">
        <f t="shared" si="123"/>
        <v>3.6230616994533072E-3</v>
      </c>
      <c r="BC93">
        <f t="shared" si="124"/>
        <v>3.7353389511083517</v>
      </c>
      <c r="BD93">
        <f t="shared" si="125"/>
        <v>477.3562634575012</v>
      </c>
      <c r="BE93" t="s">
        <v>812</v>
      </c>
      <c r="BF93">
        <v>557.53</v>
      </c>
      <c r="BG93">
        <f t="shared" si="126"/>
        <v>557.53</v>
      </c>
      <c r="BH93">
        <f t="shared" si="127"/>
        <v>0.23071284011007431</v>
      </c>
      <c r="BI93">
        <f t="shared" si="128"/>
        <v>0.26064438325300165</v>
      </c>
      <c r="BJ93">
        <f t="shared" si="129"/>
        <v>0.94182808186698019</v>
      </c>
      <c r="BK93">
        <f t="shared" si="130"/>
        <v>-0.16209612065952855</v>
      </c>
      <c r="BL93">
        <f t="shared" si="131"/>
        <v>1.1102668226251511</v>
      </c>
      <c r="BM93">
        <f t="shared" si="132"/>
        <v>0.21333932560250787</v>
      </c>
      <c r="BN93">
        <f t="shared" si="133"/>
        <v>0.7866606743974921</v>
      </c>
      <c r="BO93">
        <v>16858</v>
      </c>
      <c r="BP93">
        <v>290.00000000000011</v>
      </c>
      <c r="BQ93">
        <v>712.11</v>
      </c>
      <c r="BR93">
        <v>85</v>
      </c>
      <c r="BS93">
        <v>10296.1</v>
      </c>
      <c r="BT93">
        <v>710.87</v>
      </c>
      <c r="BU93">
        <v>1.24</v>
      </c>
      <c r="BV93">
        <v>300.00000000000011</v>
      </c>
      <c r="BW93">
        <v>38.5</v>
      </c>
      <c r="BX93">
        <v>724.73587116646377</v>
      </c>
      <c r="BY93">
        <v>0.93246558568530469</v>
      </c>
      <c r="BZ93">
        <v>-14.27559422288836</v>
      </c>
      <c r="CA93">
        <v>0.78394697123740298</v>
      </c>
      <c r="CB93">
        <v>0.92213578812502028</v>
      </c>
      <c r="CC93">
        <v>-1.119106963292547E-2</v>
      </c>
      <c r="CD93">
        <v>289.99999999999989</v>
      </c>
      <c r="CE93">
        <v>708.6</v>
      </c>
      <c r="CF93">
        <v>645</v>
      </c>
      <c r="CG93">
        <v>10252.6</v>
      </c>
      <c r="CH93">
        <v>710.81</v>
      </c>
      <c r="CI93">
        <v>-2.21</v>
      </c>
      <c r="CW93">
        <f t="shared" si="134"/>
        <v>1799.88</v>
      </c>
      <c r="CX93">
        <f t="shared" si="135"/>
        <v>1513.0838998354475</v>
      </c>
      <c r="CY93">
        <f t="shared" si="136"/>
        <v>0.84065821045594558</v>
      </c>
      <c r="CZ93">
        <f t="shared" si="137"/>
        <v>0.19131642091189122</v>
      </c>
      <c r="DA93">
        <v>6</v>
      </c>
      <c r="DB93">
        <v>0.5</v>
      </c>
      <c r="DC93" t="s">
        <v>420</v>
      </c>
      <c r="DD93">
        <v>2</v>
      </c>
      <c r="DE93">
        <v>1693512868.0999999</v>
      </c>
      <c r="DF93">
        <v>8.1952200000000008</v>
      </c>
      <c r="DG93">
        <v>10.045</v>
      </c>
      <c r="DH93">
        <v>28.824300000000001</v>
      </c>
      <c r="DI93">
        <v>21.895800000000001</v>
      </c>
      <c r="DJ93">
        <v>9.5273000000000003</v>
      </c>
      <c r="DK93">
        <v>29.175699999999999</v>
      </c>
      <c r="DL93">
        <v>499.93299999999999</v>
      </c>
      <c r="DM93">
        <v>99.494200000000006</v>
      </c>
      <c r="DN93">
        <v>9.9361000000000005E-2</v>
      </c>
      <c r="DO93">
        <v>30.5702</v>
      </c>
      <c r="DP93">
        <v>29.998899999999999</v>
      </c>
      <c r="DQ93">
        <v>999.9</v>
      </c>
      <c r="DR93">
        <v>0</v>
      </c>
      <c r="DS93">
        <v>0</v>
      </c>
      <c r="DT93">
        <v>10042.5</v>
      </c>
      <c r="DU93">
        <v>0</v>
      </c>
      <c r="DV93">
        <v>1332.45</v>
      </c>
      <c r="DW93">
        <v>-1.8497300000000001</v>
      </c>
      <c r="DX93">
        <v>8.4384599999999992</v>
      </c>
      <c r="DY93">
        <v>10.2698</v>
      </c>
      <c r="DZ93">
        <v>6.9284600000000003</v>
      </c>
      <c r="EA93">
        <v>10.045</v>
      </c>
      <c r="EB93">
        <v>21.895800000000001</v>
      </c>
      <c r="EC93">
        <v>2.8678400000000002</v>
      </c>
      <c r="ED93">
        <v>2.1785000000000001</v>
      </c>
      <c r="EE93">
        <v>23.279900000000001</v>
      </c>
      <c r="EF93">
        <v>18.805099999999999</v>
      </c>
      <c r="EG93">
        <v>1799.88</v>
      </c>
      <c r="EH93">
        <v>0.97800100000000001</v>
      </c>
      <c r="EI93">
        <v>2.19992E-2</v>
      </c>
      <c r="EJ93">
        <v>0</v>
      </c>
      <c r="EK93">
        <v>680.87300000000005</v>
      </c>
      <c r="EL93">
        <v>5.0002500000000003</v>
      </c>
      <c r="EM93">
        <v>21303.200000000001</v>
      </c>
      <c r="EN93">
        <v>14821.1</v>
      </c>
      <c r="EO93">
        <v>50.375</v>
      </c>
      <c r="EP93">
        <v>51.436999999999998</v>
      </c>
      <c r="EQ93">
        <v>51.061999999999998</v>
      </c>
      <c r="ER93">
        <v>50.936999999999998</v>
      </c>
      <c r="ES93">
        <v>51.375</v>
      </c>
      <c r="ET93">
        <v>1755.39</v>
      </c>
      <c r="EU93">
        <v>39.49</v>
      </c>
      <c r="EV93">
        <v>0</v>
      </c>
      <c r="EW93">
        <v>112.3999998569489</v>
      </c>
      <c r="EX93">
        <v>0</v>
      </c>
      <c r="EY93">
        <v>681.15459999999996</v>
      </c>
      <c r="EZ93">
        <v>-0.15930769100955131</v>
      </c>
      <c r="FA93">
        <v>234.1384624155944</v>
      </c>
      <c r="FB93">
        <v>21262.419999999991</v>
      </c>
      <c r="FC93">
        <v>15</v>
      </c>
      <c r="FD93">
        <v>1693512837.5999999</v>
      </c>
      <c r="FE93" t="s">
        <v>813</v>
      </c>
      <c r="FF93">
        <v>1693512830.0999999</v>
      </c>
      <c r="FG93">
        <v>1693512837.5999999</v>
      </c>
      <c r="FH93">
        <v>86</v>
      </c>
      <c r="FI93">
        <v>-1.2E-2</v>
      </c>
      <c r="FJ93">
        <v>-7.0000000000000001E-3</v>
      </c>
      <c r="FK93">
        <v>-1.3320000000000001</v>
      </c>
      <c r="FL93">
        <v>-0.35099999999999998</v>
      </c>
      <c r="FM93">
        <v>10</v>
      </c>
      <c r="FN93">
        <v>22</v>
      </c>
      <c r="FO93">
        <v>1.0900000000000001</v>
      </c>
      <c r="FP93">
        <v>0.05</v>
      </c>
      <c r="FQ93">
        <v>1.5288148925993481</v>
      </c>
      <c r="FR93">
        <v>-0.38680459759022429</v>
      </c>
      <c r="FS93">
        <v>5.667390809123362E-2</v>
      </c>
      <c r="FT93">
        <v>1</v>
      </c>
      <c r="FU93">
        <v>0.43963121064070138</v>
      </c>
      <c r="FV93">
        <v>4.4913721963224483E-2</v>
      </c>
      <c r="FW93">
        <v>4.5168393489970361E-3</v>
      </c>
      <c r="FX93">
        <v>1</v>
      </c>
      <c r="FY93">
        <v>2</v>
      </c>
      <c r="FZ93">
        <v>2</v>
      </c>
      <c r="GA93" t="s">
        <v>422</v>
      </c>
      <c r="GB93">
        <v>2.9173499999999999</v>
      </c>
      <c r="GC93">
        <v>2.8296100000000002</v>
      </c>
      <c r="GD93">
        <v>2.6579899999999998E-3</v>
      </c>
      <c r="GE93">
        <v>2.73916E-3</v>
      </c>
      <c r="GF93">
        <v>0.136184</v>
      </c>
      <c r="GG93">
        <v>0.107239</v>
      </c>
      <c r="GH93">
        <v>26019.8</v>
      </c>
      <c r="GI93">
        <v>31702.3</v>
      </c>
      <c r="GJ93">
        <v>23494</v>
      </c>
      <c r="GK93">
        <v>29113</v>
      </c>
      <c r="GL93">
        <v>27688</v>
      </c>
      <c r="GM93">
        <v>36776</v>
      </c>
      <c r="GN93">
        <v>33232.1</v>
      </c>
      <c r="GO93">
        <v>42965.5</v>
      </c>
      <c r="GP93">
        <v>1.9257</v>
      </c>
      <c r="GQ93">
        <v>1.7755000000000001</v>
      </c>
      <c r="GR93">
        <v>3.82662E-2</v>
      </c>
      <c r="GS93">
        <v>0</v>
      </c>
      <c r="GT93">
        <v>29.375900000000001</v>
      </c>
      <c r="GU93">
        <v>999.9</v>
      </c>
      <c r="GV93">
        <v>44.1</v>
      </c>
      <c r="GW93">
        <v>40.299999999999997</v>
      </c>
      <c r="GX93">
        <v>33.390999999999998</v>
      </c>
      <c r="GY93">
        <v>61.436399999999999</v>
      </c>
      <c r="GZ93">
        <v>36.630600000000001</v>
      </c>
      <c r="HA93">
        <v>1</v>
      </c>
      <c r="HB93">
        <v>0.50640200000000002</v>
      </c>
      <c r="HC93">
        <v>2.5383100000000001</v>
      </c>
      <c r="HD93">
        <v>20.248899999999999</v>
      </c>
      <c r="HE93">
        <v>5.2088999999999999</v>
      </c>
      <c r="HF93">
        <v>11.872199999999999</v>
      </c>
      <c r="HG93">
        <v>4.9850000000000003</v>
      </c>
      <c r="HH93">
        <v>3.2839999999999998</v>
      </c>
      <c r="HI93">
        <v>9999</v>
      </c>
      <c r="HJ93">
        <v>9999</v>
      </c>
      <c r="HK93">
        <v>9999</v>
      </c>
      <c r="HL93">
        <v>999.9</v>
      </c>
      <c r="HM93">
        <v>1.85501</v>
      </c>
      <c r="HN93">
        <v>1.8610199999999999</v>
      </c>
      <c r="HO93">
        <v>1.8583700000000001</v>
      </c>
      <c r="HP93">
        <v>1.85945</v>
      </c>
      <c r="HQ93">
        <v>1.85883</v>
      </c>
      <c r="HR93">
        <v>1.8593299999999999</v>
      </c>
      <c r="HS93">
        <v>1.85771</v>
      </c>
      <c r="HT93">
        <v>1.8609899999999999</v>
      </c>
      <c r="HU93">
        <v>5</v>
      </c>
      <c r="HV93">
        <v>0</v>
      </c>
      <c r="HW93">
        <v>0</v>
      </c>
      <c r="HX93">
        <v>0</v>
      </c>
      <c r="HY93" t="s">
        <v>423</v>
      </c>
      <c r="HZ93" t="s">
        <v>424</v>
      </c>
      <c r="IA93" t="s">
        <v>425</v>
      </c>
      <c r="IB93" t="s">
        <v>425</v>
      </c>
      <c r="IC93" t="s">
        <v>425</v>
      </c>
      <c r="ID93" t="s">
        <v>425</v>
      </c>
      <c r="IE93">
        <v>0</v>
      </c>
      <c r="IF93">
        <v>100</v>
      </c>
      <c r="IG93">
        <v>100</v>
      </c>
      <c r="IH93">
        <v>-1.3320000000000001</v>
      </c>
      <c r="II93">
        <v>-0.35139999999999999</v>
      </c>
      <c r="IJ93">
        <v>-1.332079999999999</v>
      </c>
      <c r="IK93">
        <v>0</v>
      </c>
      <c r="IL93">
        <v>0</v>
      </c>
      <c r="IM93">
        <v>0</v>
      </c>
      <c r="IN93">
        <v>-0.35147000000000261</v>
      </c>
      <c r="IO93">
        <v>0</v>
      </c>
      <c r="IP93">
        <v>0</v>
      </c>
      <c r="IQ93">
        <v>0</v>
      </c>
      <c r="IR93">
        <v>-1</v>
      </c>
      <c r="IS93">
        <v>-1</v>
      </c>
      <c r="IT93">
        <v>-1</v>
      </c>
      <c r="IU93">
        <v>-1</v>
      </c>
      <c r="IV93">
        <v>0.6</v>
      </c>
      <c r="IW93">
        <v>0.5</v>
      </c>
      <c r="IX93">
        <v>0.164795</v>
      </c>
      <c r="IY93">
        <v>2.5524900000000001</v>
      </c>
      <c r="IZ93">
        <v>1.49414</v>
      </c>
      <c r="JA93">
        <v>2.2863799999999999</v>
      </c>
      <c r="JB93">
        <v>1.54419</v>
      </c>
      <c r="JC93">
        <v>2.34985</v>
      </c>
      <c r="JD93">
        <v>47.601900000000001</v>
      </c>
      <c r="JE93">
        <v>23.816099999999999</v>
      </c>
      <c r="JF93">
        <v>18</v>
      </c>
      <c r="JG93">
        <v>495.63600000000002</v>
      </c>
      <c r="JH93">
        <v>426.50299999999999</v>
      </c>
      <c r="JI93">
        <v>25.977599999999999</v>
      </c>
      <c r="JJ93">
        <v>33.635399999999997</v>
      </c>
      <c r="JK93">
        <v>30.0001</v>
      </c>
      <c r="JL93">
        <v>33.605899999999998</v>
      </c>
      <c r="JM93">
        <v>33.563499999999998</v>
      </c>
      <c r="JN93">
        <v>3.3664399999999999</v>
      </c>
      <c r="JO93">
        <v>34.2911</v>
      </c>
      <c r="JP93">
        <v>36.6111</v>
      </c>
      <c r="JQ93">
        <v>25.970700000000001</v>
      </c>
      <c r="JR93">
        <v>10</v>
      </c>
      <c r="JS93">
        <v>22.038599999999999</v>
      </c>
      <c r="JT93">
        <v>98.546800000000005</v>
      </c>
      <c r="JU93">
        <v>96.7851</v>
      </c>
    </row>
    <row r="94" spans="1:281" x14ac:dyDescent="0.25">
      <c r="A94">
        <v>78</v>
      </c>
      <c r="B94">
        <v>1693513051.5</v>
      </c>
      <c r="C94">
        <v>18915.5</v>
      </c>
      <c r="D94" t="s">
        <v>814</v>
      </c>
      <c r="E94" t="s">
        <v>815</v>
      </c>
      <c r="F94" t="s">
        <v>414</v>
      </c>
      <c r="G94" t="s">
        <v>779</v>
      </c>
      <c r="H94" t="s">
        <v>780</v>
      </c>
      <c r="I94" t="s">
        <v>31</v>
      </c>
      <c r="J94">
        <v>1693513051.5</v>
      </c>
      <c r="K94">
        <f t="shared" si="92"/>
        <v>5.4824786155905142E-3</v>
      </c>
      <c r="L94">
        <f t="shared" si="93"/>
        <v>5.4824786155905141</v>
      </c>
      <c r="M94">
        <f t="shared" si="94"/>
        <v>40.578320985082208</v>
      </c>
      <c r="N94">
        <f t="shared" si="95"/>
        <v>349.012</v>
      </c>
      <c r="O94">
        <f t="shared" si="96"/>
        <v>171.41536095146526</v>
      </c>
      <c r="P94">
        <f t="shared" si="97"/>
        <v>17.071432183562848</v>
      </c>
      <c r="Q94">
        <f t="shared" si="98"/>
        <v>34.758464213347999</v>
      </c>
      <c r="R94">
        <f t="shared" si="99"/>
        <v>0.40316309665951788</v>
      </c>
      <c r="S94">
        <f t="shared" si="100"/>
        <v>2.9197293793207937</v>
      </c>
      <c r="T94">
        <f t="shared" si="101"/>
        <v>0.37459329497983385</v>
      </c>
      <c r="U94">
        <f t="shared" si="102"/>
        <v>0.23651876042707737</v>
      </c>
      <c r="V94">
        <f t="shared" si="103"/>
        <v>344.40359967094963</v>
      </c>
      <c r="W94">
        <f t="shared" si="104"/>
        <v>31.252861929788303</v>
      </c>
      <c r="X94">
        <f t="shared" si="105"/>
        <v>30.054200000000002</v>
      </c>
      <c r="Y94">
        <f t="shared" si="106"/>
        <v>4.2737314267980295</v>
      </c>
      <c r="Z94">
        <f t="shared" si="107"/>
        <v>64.87474245707655</v>
      </c>
      <c r="AA94">
        <f t="shared" si="108"/>
        <v>2.8684008990522001</v>
      </c>
      <c r="AB94">
        <f t="shared" si="109"/>
        <v>4.4214447571025604</v>
      </c>
      <c r="AC94">
        <f t="shared" si="110"/>
        <v>1.4053305277458294</v>
      </c>
      <c r="AD94">
        <f t="shared" si="111"/>
        <v>-241.77730694754166</v>
      </c>
      <c r="AE94">
        <f t="shared" si="112"/>
        <v>93.358951871709735</v>
      </c>
      <c r="AF94">
        <f t="shared" si="113"/>
        <v>7.1344452468383972</v>
      </c>
      <c r="AG94">
        <f t="shared" si="114"/>
        <v>203.11968984195613</v>
      </c>
      <c r="AH94">
        <v>8</v>
      </c>
      <c r="AI94">
        <v>2</v>
      </c>
      <c r="AJ94">
        <f t="shared" si="115"/>
        <v>1</v>
      </c>
      <c r="AK94">
        <f t="shared" si="116"/>
        <v>0</v>
      </c>
      <c r="AL94">
        <f t="shared" si="117"/>
        <v>51951.190607746248</v>
      </c>
      <c r="AM94" t="s">
        <v>417</v>
      </c>
      <c r="AN94">
        <v>10366.9</v>
      </c>
      <c r="AO94">
        <v>993.59653846153856</v>
      </c>
      <c r="AP94">
        <v>3431.87</v>
      </c>
      <c r="AQ94">
        <f t="shared" si="118"/>
        <v>0.71047955241266758</v>
      </c>
      <c r="AR94">
        <v>-3.9894345373445681</v>
      </c>
      <c r="AS94" t="s">
        <v>816</v>
      </c>
      <c r="AT94">
        <v>10283.1</v>
      </c>
      <c r="AU94">
        <v>660.88788</v>
      </c>
      <c r="AV94">
        <v>953.54703277325143</v>
      </c>
      <c r="AW94">
        <f t="shared" si="119"/>
        <v>0.30691632684556236</v>
      </c>
      <c r="AX94">
        <v>0.5</v>
      </c>
      <c r="AY94">
        <f t="shared" si="120"/>
        <v>1513.3358998354747</v>
      </c>
      <c r="AZ94">
        <f t="shared" si="121"/>
        <v>40.578320985082208</v>
      </c>
      <c r="BA94">
        <f t="shared" si="122"/>
        <v>232.23374783051389</v>
      </c>
      <c r="BB94">
        <f t="shared" si="123"/>
        <v>2.9450008770208948E-2</v>
      </c>
      <c r="BC94">
        <f t="shared" si="124"/>
        <v>2.599056870869715</v>
      </c>
      <c r="BD94">
        <f t="shared" si="125"/>
        <v>566.96594364113025</v>
      </c>
      <c r="BE94" t="s">
        <v>817</v>
      </c>
      <c r="BF94">
        <v>527.34</v>
      </c>
      <c r="BG94">
        <f t="shared" si="126"/>
        <v>527.34</v>
      </c>
      <c r="BH94">
        <f t="shared" si="127"/>
        <v>0.44697012116297075</v>
      </c>
      <c r="BI94">
        <f t="shared" si="128"/>
        <v>0.68665960500222567</v>
      </c>
      <c r="BJ94">
        <f t="shared" si="129"/>
        <v>0.85326127367482818</v>
      </c>
      <c r="BK94">
        <f t="shared" si="130"/>
        <v>-7.3074348295600187</v>
      </c>
      <c r="BL94">
        <f t="shared" si="131"/>
        <v>1.01642535438294</v>
      </c>
      <c r="BM94">
        <f t="shared" si="132"/>
        <v>0.54790394416352994</v>
      </c>
      <c r="BN94">
        <f t="shared" si="133"/>
        <v>0.45209605583647006</v>
      </c>
      <c r="BO94">
        <v>16860</v>
      </c>
      <c r="BP94">
        <v>290.00000000000011</v>
      </c>
      <c r="BQ94">
        <v>858.41</v>
      </c>
      <c r="BR94">
        <v>165</v>
      </c>
      <c r="BS94">
        <v>10283.1</v>
      </c>
      <c r="BT94">
        <v>857.68</v>
      </c>
      <c r="BU94">
        <v>0.73</v>
      </c>
      <c r="BV94">
        <v>300.00000000000011</v>
      </c>
      <c r="BW94">
        <v>38.5</v>
      </c>
      <c r="BX94">
        <v>953.54703277325143</v>
      </c>
      <c r="BY94">
        <v>1.014074669022925</v>
      </c>
      <c r="BZ94">
        <v>-98.583551992682573</v>
      </c>
      <c r="CA94">
        <v>0.85265820968820627</v>
      </c>
      <c r="CB94">
        <v>0.99790978795555441</v>
      </c>
      <c r="CC94">
        <v>-1.119360289210233E-2</v>
      </c>
      <c r="CD94">
        <v>289.99999999999989</v>
      </c>
      <c r="CE94">
        <v>837.87</v>
      </c>
      <c r="CF94">
        <v>625</v>
      </c>
      <c r="CG94">
        <v>10255.5</v>
      </c>
      <c r="CH94">
        <v>857.42</v>
      </c>
      <c r="CI94">
        <v>-19.55</v>
      </c>
      <c r="CW94">
        <f t="shared" si="134"/>
        <v>1800.18</v>
      </c>
      <c r="CX94">
        <f t="shared" si="135"/>
        <v>1513.3358998354747</v>
      </c>
      <c r="CY94">
        <f t="shared" si="136"/>
        <v>0.84065810076518721</v>
      </c>
      <c r="CZ94">
        <f t="shared" si="137"/>
        <v>0.19131620153037454</v>
      </c>
      <c r="DA94">
        <v>6</v>
      </c>
      <c r="DB94">
        <v>0.5</v>
      </c>
      <c r="DC94" t="s">
        <v>420</v>
      </c>
      <c r="DD94">
        <v>2</v>
      </c>
      <c r="DE94">
        <v>1693513051.5</v>
      </c>
      <c r="DF94">
        <v>349.012</v>
      </c>
      <c r="DG94">
        <v>400.01100000000002</v>
      </c>
      <c r="DH94">
        <v>28.8018</v>
      </c>
      <c r="DI94">
        <v>22.411200000000001</v>
      </c>
      <c r="DJ94">
        <v>350.99900000000002</v>
      </c>
      <c r="DK94">
        <v>29.152799999999999</v>
      </c>
      <c r="DL94">
        <v>499.91300000000001</v>
      </c>
      <c r="DM94">
        <v>99.491</v>
      </c>
      <c r="DN94">
        <v>0.10002900000000001</v>
      </c>
      <c r="DO94">
        <v>30.647300000000001</v>
      </c>
      <c r="DP94">
        <v>30.054200000000002</v>
      </c>
      <c r="DQ94">
        <v>999.9</v>
      </c>
      <c r="DR94">
        <v>0</v>
      </c>
      <c r="DS94">
        <v>0</v>
      </c>
      <c r="DT94">
        <v>9995</v>
      </c>
      <c r="DU94">
        <v>0</v>
      </c>
      <c r="DV94">
        <v>1322.39</v>
      </c>
      <c r="DW94">
        <v>-50.999099999999999</v>
      </c>
      <c r="DX94">
        <v>359.36200000000002</v>
      </c>
      <c r="DY94">
        <v>409.18099999999998</v>
      </c>
      <c r="DZ94">
        <v>6.3906299999999998</v>
      </c>
      <c r="EA94">
        <v>400.01100000000002</v>
      </c>
      <c r="EB94">
        <v>22.411200000000001</v>
      </c>
      <c r="EC94">
        <v>2.8655200000000001</v>
      </c>
      <c r="ED94">
        <v>2.2297099999999999</v>
      </c>
      <c r="EE94">
        <v>23.266500000000001</v>
      </c>
      <c r="EF94">
        <v>19.177399999999999</v>
      </c>
      <c r="EG94">
        <v>1800.18</v>
      </c>
      <c r="EH94">
        <v>0.97800399999999998</v>
      </c>
      <c r="EI94">
        <v>2.1995600000000001E-2</v>
      </c>
      <c r="EJ94">
        <v>0</v>
      </c>
      <c r="EK94">
        <v>659.74300000000005</v>
      </c>
      <c r="EL94">
        <v>5.0002500000000003</v>
      </c>
      <c r="EM94">
        <v>20905.599999999999</v>
      </c>
      <c r="EN94">
        <v>14823.6</v>
      </c>
      <c r="EO94">
        <v>50.375</v>
      </c>
      <c r="EP94">
        <v>51.561999999999998</v>
      </c>
      <c r="EQ94">
        <v>51.125</v>
      </c>
      <c r="ER94">
        <v>50.936999999999998</v>
      </c>
      <c r="ES94">
        <v>51.436999999999998</v>
      </c>
      <c r="ET94">
        <v>1755.69</v>
      </c>
      <c r="EU94">
        <v>39.49</v>
      </c>
      <c r="EV94">
        <v>0</v>
      </c>
      <c r="EW94">
        <v>181.39999985694891</v>
      </c>
      <c r="EX94">
        <v>0</v>
      </c>
      <c r="EY94">
        <v>660.88788</v>
      </c>
      <c r="EZ94">
        <v>-12.168153858480281</v>
      </c>
      <c r="FA94">
        <v>-275.70000057184723</v>
      </c>
      <c r="FB94">
        <v>20935.288</v>
      </c>
      <c r="FC94">
        <v>15</v>
      </c>
      <c r="FD94">
        <v>1693512974.5999999</v>
      </c>
      <c r="FE94" t="s">
        <v>818</v>
      </c>
      <c r="FF94">
        <v>1693512970.5999999</v>
      </c>
      <c r="FG94">
        <v>1693512974.5999999</v>
      </c>
      <c r="FH94">
        <v>87</v>
      </c>
      <c r="FI94">
        <v>-0.65500000000000003</v>
      </c>
      <c r="FJ94">
        <v>1E-3</v>
      </c>
      <c r="FK94">
        <v>-1.9870000000000001</v>
      </c>
      <c r="FL94">
        <v>-0.35099999999999998</v>
      </c>
      <c r="FM94">
        <v>400</v>
      </c>
      <c r="FN94">
        <v>22</v>
      </c>
      <c r="FO94">
        <v>0.28000000000000003</v>
      </c>
      <c r="FP94">
        <v>0.04</v>
      </c>
      <c r="FQ94">
        <v>40.332776679807843</v>
      </c>
      <c r="FR94">
        <v>0.50362971361952824</v>
      </c>
      <c r="FS94">
        <v>6.5425189872131584E-2</v>
      </c>
      <c r="FT94">
        <v>1</v>
      </c>
      <c r="FU94">
        <v>0.40833731047666078</v>
      </c>
      <c r="FV94">
        <v>-4.8802492430234011E-2</v>
      </c>
      <c r="FW94">
        <v>4.3025819804919253E-3</v>
      </c>
      <c r="FX94">
        <v>1</v>
      </c>
      <c r="FY94">
        <v>2</v>
      </c>
      <c r="FZ94">
        <v>2</v>
      </c>
      <c r="GA94" t="s">
        <v>422</v>
      </c>
      <c r="GB94">
        <v>2.9173100000000001</v>
      </c>
      <c r="GC94">
        <v>2.8298700000000001</v>
      </c>
      <c r="GD94">
        <v>8.1424800000000006E-2</v>
      </c>
      <c r="GE94">
        <v>8.8449200000000006E-2</v>
      </c>
      <c r="GF94">
        <v>0.13610900000000001</v>
      </c>
      <c r="GG94">
        <v>0.10901</v>
      </c>
      <c r="GH94">
        <v>23966.5</v>
      </c>
      <c r="GI94">
        <v>28982.3</v>
      </c>
      <c r="GJ94">
        <v>23493</v>
      </c>
      <c r="GK94">
        <v>29114.9</v>
      </c>
      <c r="GL94">
        <v>27698.6</v>
      </c>
      <c r="GM94">
        <v>36713.4</v>
      </c>
      <c r="GN94">
        <v>33233.5</v>
      </c>
      <c r="GO94">
        <v>42966.6</v>
      </c>
      <c r="GP94">
        <v>1.9295</v>
      </c>
      <c r="GQ94">
        <v>1.7744</v>
      </c>
      <c r="GR94">
        <v>3.2693100000000003E-2</v>
      </c>
      <c r="GS94">
        <v>0</v>
      </c>
      <c r="GT94">
        <v>29.521999999999998</v>
      </c>
      <c r="GU94">
        <v>999.9</v>
      </c>
      <c r="GV94">
        <v>42</v>
      </c>
      <c r="GW94">
        <v>40.700000000000003</v>
      </c>
      <c r="GX94">
        <v>32.485300000000002</v>
      </c>
      <c r="GY94">
        <v>61.466500000000003</v>
      </c>
      <c r="GZ94">
        <v>37.135399999999997</v>
      </c>
      <c r="HA94">
        <v>1</v>
      </c>
      <c r="HB94">
        <v>0.50839400000000001</v>
      </c>
      <c r="HC94">
        <v>3.2584300000000002</v>
      </c>
      <c r="HD94">
        <v>20.236000000000001</v>
      </c>
      <c r="HE94">
        <v>5.2112999999999996</v>
      </c>
      <c r="HF94">
        <v>11.872199999999999</v>
      </c>
      <c r="HG94">
        <v>4.9855999999999998</v>
      </c>
      <c r="HH94">
        <v>3.2839999999999998</v>
      </c>
      <c r="HI94">
        <v>9999</v>
      </c>
      <c r="HJ94">
        <v>9999</v>
      </c>
      <c r="HK94">
        <v>9999</v>
      </c>
      <c r="HL94">
        <v>999.9</v>
      </c>
      <c r="HM94">
        <v>1.85501</v>
      </c>
      <c r="HN94">
        <v>1.8609599999999999</v>
      </c>
      <c r="HO94">
        <v>1.8583499999999999</v>
      </c>
      <c r="HP94">
        <v>1.85944</v>
      </c>
      <c r="HQ94">
        <v>1.85883</v>
      </c>
      <c r="HR94">
        <v>1.85928</v>
      </c>
      <c r="HS94">
        <v>1.8575999999999999</v>
      </c>
      <c r="HT94">
        <v>1.8609599999999999</v>
      </c>
      <c r="HU94">
        <v>5</v>
      </c>
      <c r="HV94">
        <v>0</v>
      </c>
      <c r="HW94">
        <v>0</v>
      </c>
      <c r="HX94">
        <v>0</v>
      </c>
      <c r="HY94" t="s">
        <v>423</v>
      </c>
      <c r="HZ94" t="s">
        <v>424</v>
      </c>
      <c r="IA94" t="s">
        <v>425</v>
      </c>
      <c r="IB94" t="s">
        <v>425</v>
      </c>
      <c r="IC94" t="s">
        <v>425</v>
      </c>
      <c r="ID94" t="s">
        <v>425</v>
      </c>
      <c r="IE94">
        <v>0</v>
      </c>
      <c r="IF94">
        <v>100</v>
      </c>
      <c r="IG94">
        <v>100</v>
      </c>
      <c r="IH94">
        <v>-1.9870000000000001</v>
      </c>
      <c r="II94">
        <v>-0.35099999999999998</v>
      </c>
      <c r="IJ94">
        <v>-1.987349999999992</v>
      </c>
      <c r="IK94">
        <v>0</v>
      </c>
      <c r="IL94">
        <v>0</v>
      </c>
      <c r="IM94">
        <v>0</v>
      </c>
      <c r="IN94">
        <v>-0.35095499999999902</v>
      </c>
      <c r="IO94">
        <v>0</v>
      </c>
      <c r="IP94">
        <v>0</v>
      </c>
      <c r="IQ94">
        <v>0</v>
      </c>
      <c r="IR94">
        <v>-1</v>
      </c>
      <c r="IS94">
        <v>-1</v>
      </c>
      <c r="IT94">
        <v>-1</v>
      </c>
      <c r="IU94">
        <v>-1</v>
      </c>
      <c r="IV94">
        <v>1.3</v>
      </c>
      <c r="IW94">
        <v>1.3</v>
      </c>
      <c r="IX94">
        <v>0.98754900000000001</v>
      </c>
      <c r="IY94">
        <v>2.49268</v>
      </c>
      <c r="IZ94">
        <v>1.49414</v>
      </c>
      <c r="JA94">
        <v>2.2851599999999999</v>
      </c>
      <c r="JB94">
        <v>1.54419</v>
      </c>
      <c r="JC94">
        <v>2.3889200000000002</v>
      </c>
      <c r="JD94">
        <v>47.511699999999998</v>
      </c>
      <c r="JE94">
        <v>23.851099999999999</v>
      </c>
      <c r="JF94">
        <v>18</v>
      </c>
      <c r="JG94">
        <v>498.03199999999998</v>
      </c>
      <c r="JH94">
        <v>425.78</v>
      </c>
      <c r="JI94">
        <v>25.3309</v>
      </c>
      <c r="JJ94">
        <v>33.626300000000001</v>
      </c>
      <c r="JK94">
        <v>30</v>
      </c>
      <c r="JL94">
        <v>33.596899999999998</v>
      </c>
      <c r="JM94">
        <v>33.563499999999998</v>
      </c>
      <c r="JN94">
        <v>19.8354</v>
      </c>
      <c r="JO94">
        <v>29.506799999999998</v>
      </c>
      <c r="JP94">
        <v>29.1173</v>
      </c>
      <c r="JQ94">
        <v>25.319099999999999</v>
      </c>
      <c r="JR94">
        <v>400</v>
      </c>
      <c r="JS94">
        <v>22.448899999999998</v>
      </c>
      <c r="JT94">
        <v>98.547499999999999</v>
      </c>
      <c r="JU94">
        <v>96.789000000000001</v>
      </c>
    </row>
    <row r="95" spans="1:281" x14ac:dyDescent="0.25">
      <c r="A95">
        <v>79</v>
      </c>
      <c r="B95">
        <v>1693513237</v>
      </c>
      <c r="C95">
        <v>19101</v>
      </c>
      <c r="D95" t="s">
        <v>819</v>
      </c>
      <c r="E95" t="s">
        <v>820</v>
      </c>
      <c r="F95" t="s">
        <v>414</v>
      </c>
      <c r="G95" t="s">
        <v>779</v>
      </c>
      <c r="H95" t="s">
        <v>780</v>
      </c>
      <c r="I95" t="s">
        <v>31</v>
      </c>
      <c r="J95">
        <v>1693513237</v>
      </c>
      <c r="K95">
        <f t="shared" si="92"/>
        <v>5.583976928468141E-3</v>
      </c>
      <c r="L95">
        <f t="shared" si="93"/>
        <v>5.5839769284681413</v>
      </c>
      <c r="M95">
        <f t="shared" si="94"/>
        <v>46.35849929219426</v>
      </c>
      <c r="N95">
        <f t="shared" si="95"/>
        <v>342.07499999999999</v>
      </c>
      <c r="O95">
        <f t="shared" si="96"/>
        <v>142.98193586830297</v>
      </c>
      <c r="P95">
        <f t="shared" si="97"/>
        <v>14.238870681900604</v>
      </c>
      <c r="Q95">
        <f t="shared" si="98"/>
        <v>34.0655738008575</v>
      </c>
      <c r="R95">
        <f t="shared" si="99"/>
        <v>0.40885446343875093</v>
      </c>
      <c r="S95">
        <f t="shared" si="100"/>
        <v>2.9196308159974445</v>
      </c>
      <c r="T95">
        <f t="shared" si="101"/>
        <v>0.37950289569137302</v>
      </c>
      <c r="U95">
        <f t="shared" si="102"/>
        <v>0.23965060194198431</v>
      </c>
      <c r="V95">
        <f t="shared" si="103"/>
        <v>344.33649967096898</v>
      </c>
      <c r="W95">
        <f t="shared" si="104"/>
        <v>31.188787566175119</v>
      </c>
      <c r="X95">
        <f t="shared" si="105"/>
        <v>30.029699999999998</v>
      </c>
      <c r="Y95">
        <f t="shared" si="106"/>
        <v>4.2677232647939567</v>
      </c>
      <c r="Z95">
        <f t="shared" si="107"/>
        <v>64.705787413423764</v>
      </c>
      <c r="AA95">
        <f t="shared" si="108"/>
        <v>2.8548359974313304</v>
      </c>
      <c r="AB95">
        <f t="shared" si="109"/>
        <v>4.4120257422894298</v>
      </c>
      <c r="AC95">
        <f t="shared" si="110"/>
        <v>1.4128872673626263</v>
      </c>
      <c r="AD95">
        <f t="shared" si="111"/>
        <v>-246.25338254544502</v>
      </c>
      <c r="AE95">
        <f t="shared" si="112"/>
        <v>91.341040141157251</v>
      </c>
      <c r="AF95">
        <f t="shared" si="113"/>
        <v>6.9783398612458676</v>
      </c>
      <c r="AG95">
        <f t="shared" si="114"/>
        <v>196.40249712792706</v>
      </c>
      <c r="AH95">
        <v>11</v>
      </c>
      <c r="AI95">
        <v>2</v>
      </c>
      <c r="AJ95">
        <f t="shared" si="115"/>
        <v>1</v>
      </c>
      <c r="AK95">
        <f t="shared" si="116"/>
        <v>0</v>
      </c>
      <c r="AL95">
        <f t="shared" si="117"/>
        <v>51954.648560300528</v>
      </c>
      <c r="AM95" t="s">
        <v>417</v>
      </c>
      <c r="AN95">
        <v>10366.9</v>
      </c>
      <c r="AO95">
        <v>993.59653846153856</v>
      </c>
      <c r="AP95">
        <v>3431.87</v>
      </c>
      <c r="AQ95">
        <f t="shared" si="118"/>
        <v>0.71047955241266758</v>
      </c>
      <c r="AR95">
        <v>-3.9894345373445681</v>
      </c>
      <c r="AS95" t="s">
        <v>821</v>
      </c>
      <c r="AT95">
        <v>10281.4</v>
      </c>
      <c r="AU95">
        <v>683.82946153846137</v>
      </c>
      <c r="AV95">
        <v>1017.780285640841</v>
      </c>
      <c r="AW95">
        <f t="shared" si="119"/>
        <v>0.32811681343592636</v>
      </c>
      <c r="AX95">
        <v>0.5</v>
      </c>
      <c r="AY95">
        <f t="shared" si="120"/>
        <v>1513.0415998354845</v>
      </c>
      <c r="AZ95">
        <f t="shared" si="121"/>
        <v>46.35849929219426</v>
      </c>
      <c r="BA95">
        <f t="shared" si="122"/>
        <v>248.22719416700761</v>
      </c>
      <c r="BB95">
        <f t="shared" si="123"/>
        <v>3.3275974589868015E-2</v>
      </c>
      <c r="BC95">
        <f t="shared" si="124"/>
        <v>2.3719163638929568</v>
      </c>
      <c r="BD95">
        <f t="shared" si="125"/>
        <v>589.07082820793892</v>
      </c>
      <c r="BE95" t="s">
        <v>822</v>
      </c>
      <c r="BF95">
        <v>540.29999999999995</v>
      </c>
      <c r="BG95">
        <f t="shared" si="126"/>
        <v>540.29999999999995</v>
      </c>
      <c r="BH95">
        <f t="shared" si="127"/>
        <v>0.46913886265757021</v>
      </c>
      <c r="BI95">
        <f t="shared" si="128"/>
        <v>0.69940232957298731</v>
      </c>
      <c r="BJ95">
        <f t="shared" si="129"/>
        <v>0.8348716145067071</v>
      </c>
      <c r="BK95">
        <f t="shared" si="130"/>
        <v>13.808894941979441</v>
      </c>
      <c r="BL95">
        <f t="shared" si="131"/>
        <v>0.99008160997493544</v>
      </c>
      <c r="BM95">
        <f t="shared" si="132"/>
        <v>0.55260426747061275</v>
      </c>
      <c r="BN95">
        <f t="shared" si="133"/>
        <v>0.44739573252938725</v>
      </c>
      <c r="BO95">
        <v>16862</v>
      </c>
      <c r="BP95">
        <v>290.00000000000011</v>
      </c>
      <c r="BQ95">
        <v>923.81</v>
      </c>
      <c r="BR95">
        <v>175</v>
      </c>
      <c r="BS95">
        <v>10281.4</v>
      </c>
      <c r="BT95">
        <v>917.91</v>
      </c>
      <c r="BU95">
        <v>5.9</v>
      </c>
      <c r="BV95">
        <v>300.00000000000011</v>
      </c>
      <c r="BW95">
        <v>38.5</v>
      </c>
      <c r="BX95">
        <v>1017.780285640841</v>
      </c>
      <c r="BY95">
        <v>1.42736359739402</v>
      </c>
      <c r="BZ95">
        <v>-102.68188185835</v>
      </c>
      <c r="CA95">
        <v>1.2001366707808561</v>
      </c>
      <c r="CB95">
        <v>0.99618957168508726</v>
      </c>
      <c r="CC95">
        <v>-1.119293058954395E-2</v>
      </c>
      <c r="CD95">
        <v>289.99999999999989</v>
      </c>
      <c r="CE95">
        <v>907.27</v>
      </c>
      <c r="CF95">
        <v>655</v>
      </c>
      <c r="CG95">
        <v>10253</v>
      </c>
      <c r="CH95">
        <v>917.63</v>
      </c>
      <c r="CI95">
        <v>-10.36</v>
      </c>
      <c r="CW95">
        <f t="shared" si="134"/>
        <v>1799.83</v>
      </c>
      <c r="CX95">
        <f t="shared" si="135"/>
        <v>1513.0415998354845</v>
      </c>
      <c r="CY95">
        <f t="shared" si="136"/>
        <v>0.84065806205890803</v>
      </c>
      <c r="CZ95">
        <f t="shared" si="137"/>
        <v>0.19131612411781612</v>
      </c>
      <c r="DA95">
        <v>6</v>
      </c>
      <c r="DB95">
        <v>0.5</v>
      </c>
      <c r="DC95" t="s">
        <v>420</v>
      </c>
      <c r="DD95">
        <v>2</v>
      </c>
      <c r="DE95">
        <v>1693513237</v>
      </c>
      <c r="DF95">
        <v>342.07499999999999</v>
      </c>
      <c r="DG95">
        <v>400.00200000000001</v>
      </c>
      <c r="DH95">
        <v>28.667300000000001</v>
      </c>
      <c r="DI95">
        <v>22.158100000000001</v>
      </c>
      <c r="DJ95">
        <v>344.08199999999999</v>
      </c>
      <c r="DK95">
        <v>29.0137</v>
      </c>
      <c r="DL95">
        <v>499.96</v>
      </c>
      <c r="DM95">
        <v>99.485399999999998</v>
      </c>
      <c r="DN95">
        <v>9.9702100000000002E-2</v>
      </c>
      <c r="DO95">
        <v>30.61</v>
      </c>
      <c r="DP95">
        <v>30.029699999999998</v>
      </c>
      <c r="DQ95">
        <v>999.9</v>
      </c>
      <c r="DR95">
        <v>0</v>
      </c>
      <c r="DS95">
        <v>0</v>
      </c>
      <c r="DT95">
        <v>9995</v>
      </c>
      <c r="DU95">
        <v>0</v>
      </c>
      <c r="DV95">
        <v>1308.51</v>
      </c>
      <c r="DW95">
        <v>-57.926499999999997</v>
      </c>
      <c r="DX95">
        <v>352.17099999999999</v>
      </c>
      <c r="DY95">
        <v>409.06599999999997</v>
      </c>
      <c r="DZ95">
        <v>6.50915</v>
      </c>
      <c r="EA95">
        <v>400.00200000000001</v>
      </c>
      <c r="EB95">
        <v>22.158100000000001</v>
      </c>
      <c r="EC95">
        <v>2.8519700000000001</v>
      </c>
      <c r="ED95">
        <v>2.2044100000000002</v>
      </c>
      <c r="EE95">
        <v>23.187999999999999</v>
      </c>
      <c r="EF95">
        <v>18.994399999999999</v>
      </c>
      <c r="EG95">
        <v>1799.83</v>
      </c>
      <c r="EH95">
        <v>0.97800100000000001</v>
      </c>
      <c r="EI95">
        <v>2.1999100000000001E-2</v>
      </c>
      <c r="EJ95">
        <v>0</v>
      </c>
      <c r="EK95">
        <v>684.99400000000003</v>
      </c>
      <c r="EL95">
        <v>5.0002500000000003</v>
      </c>
      <c r="EM95">
        <v>21362.9</v>
      </c>
      <c r="EN95">
        <v>14820.7</v>
      </c>
      <c r="EO95">
        <v>50.5</v>
      </c>
      <c r="EP95">
        <v>51.625</v>
      </c>
      <c r="EQ95">
        <v>51.186999999999998</v>
      </c>
      <c r="ER95">
        <v>51.061999999999998</v>
      </c>
      <c r="ES95">
        <v>51.5</v>
      </c>
      <c r="ET95">
        <v>1755.35</v>
      </c>
      <c r="EU95">
        <v>39.479999999999997</v>
      </c>
      <c r="EV95">
        <v>0</v>
      </c>
      <c r="EW95">
        <v>183.79999995231631</v>
      </c>
      <c r="EX95">
        <v>0</v>
      </c>
      <c r="EY95">
        <v>683.82946153846137</v>
      </c>
      <c r="EZ95">
        <v>9.379897435296245</v>
      </c>
      <c r="FA95">
        <v>142.84444457683131</v>
      </c>
      <c r="FB95">
        <v>21354.63846153846</v>
      </c>
      <c r="FC95">
        <v>15</v>
      </c>
      <c r="FD95">
        <v>1693513135.5</v>
      </c>
      <c r="FE95" t="s">
        <v>823</v>
      </c>
      <c r="FF95">
        <v>1693513122</v>
      </c>
      <c r="FG95">
        <v>1693513135.5</v>
      </c>
      <c r="FH95">
        <v>88</v>
      </c>
      <c r="FI95">
        <v>-1.9E-2</v>
      </c>
      <c r="FJ95">
        <v>5.0000000000000001E-3</v>
      </c>
      <c r="FK95">
        <v>-2.0070000000000001</v>
      </c>
      <c r="FL95">
        <v>-0.34599999999999997</v>
      </c>
      <c r="FM95">
        <v>400</v>
      </c>
      <c r="FN95">
        <v>22</v>
      </c>
      <c r="FO95">
        <v>0.15</v>
      </c>
      <c r="FP95">
        <v>0.09</v>
      </c>
      <c r="FQ95">
        <v>46.320068163907749</v>
      </c>
      <c r="FR95">
        <v>0.5810963007384996</v>
      </c>
      <c r="FS95">
        <v>7.695491269414606E-2</v>
      </c>
      <c r="FT95">
        <v>1</v>
      </c>
      <c r="FU95">
        <v>0.41149667469992751</v>
      </c>
      <c r="FV95">
        <v>-1.476036683181454E-2</v>
      </c>
      <c r="FW95">
        <v>2.3869138954558662E-3</v>
      </c>
      <c r="FX95">
        <v>1</v>
      </c>
      <c r="FY95">
        <v>2</v>
      </c>
      <c r="FZ95">
        <v>2</v>
      </c>
      <c r="GA95" t="s">
        <v>422</v>
      </c>
      <c r="GB95">
        <v>2.9174000000000002</v>
      </c>
      <c r="GC95">
        <v>2.8295400000000002</v>
      </c>
      <c r="GD95">
        <v>8.0144000000000007E-2</v>
      </c>
      <c r="GE95">
        <v>8.8432700000000003E-2</v>
      </c>
      <c r="GF95">
        <v>0.13563900000000001</v>
      </c>
      <c r="GG95">
        <v>0.108126</v>
      </c>
      <c r="GH95">
        <v>24000.3</v>
      </c>
      <c r="GI95">
        <v>28981.9</v>
      </c>
      <c r="GJ95">
        <v>23493.5</v>
      </c>
      <c r="GK95">
        <v>29114.2</v>
      </c>
      <c r="GL95">
        <v>27714.1</v>
      </c>
      <c r="GM95">
        <v>36749.4</v>
      </c>
      <c r="GN95">
        <v>33233.699999999997</v>
      </c>
      <c r="GO95">
        <v>42965.7</v>
      </c>
      <c r="GP95">
        <v>1.9242999999999999</v>
      </c>
      <c r="GQ95">
        <v>1.7713000000000001</v>
      </c>
      <c r="GR95">
        <v>3.9845699999999998E-2</v>
      </c>
      <c r="GS95">
        <v>0</v>
      </c>
      <c r="GT95">
        <v>29.3809</v>
      </c>
      <c r="GU95">
        <v>999.9</v>
      </c>
      <c r="GV95">
        <v>40.1</v>
      </c>
      <c r="GW95">
        <v>41.1</v>
      </c>
      <c r="GX95">
        <v>31.683700000000002</v>
      </c>
      <c r="GY95">
        <v>61.406500000000001</v>
      </c>
      <c r="GZ95">
        <v>37.239600000000003</v>
      </c>
      <c r="HA95">
        <v>1</v>
      </c>
      <c r="HB95">
        <v>0.51545700000000005</v>
      </c>
      <c r="HC95">
        <v>4.0033899999999996</v>
      </c>
      <c r="HD95">
        <v>20.216899999999999</v>
      </c>
      <c r="HE95">
        <v>5.2035099999999996</v>
      </c>
      <c r="HF95">
        <v>11.8728</v>
      </c>
      <c r="HG95">
        <v>4.9817999999999998</v>
      </c>
      <c r="HH95">
        <v>3.2822</v>
      </c>
      <c r="HI95">
        <v>9999</v>
      </c>
      <c r="HJ95">
        <v>9999</v>
      </c>
      <c r="HK95">
        <v>9999</v>
      </c>
      <c r="HL95">
        <v>999.9</v>
      </c>
      <c r="HM95">
        <v>1.8549800000000001</v>
      </c>
      <c r="HN95">
        <v>1.8609599999999999</v>
      </c>
      <c r="HO95">
        <v>1.85833</v>
      </c>
      <c r="HP95">
        <v>1.85944</v>
      </c>
      <c r="HQ95">
        <v>1.8588</v>
      </c>
      <c r="HR95">
        <v>1.85928</v>
      </c>
      <c r="HS95">
        <v>1.85762</v>
      </c>
      <c r="HT95">
        <v>1.86094</v>
      </c>
      <c r="HU95">
        <v>5</v>
      </c>
      <c r="HV95">
        <v>0</v>
      </c>
      <c r="HW95">
        <v>0</v>
      </c>
      <c r="HX95">
        <v>0</v>
      </c>
      <c r="HY95" t="s">
        <v>423</v>
      </c>
      <c r="HZ95" t="s">
        <v>424</v>
      </c>
      <c r="IA95" t="s">
        <v>425</v>
      </c>
      <c r="IB95" t="s">
        <v>425</v>
      </c>
      <c r="IC95" t="s">
        <v>425</v>
      </c>
      <c r="ID95" t="s">
        <v>425</v>
      </c>
      <c r="IE95">
        <v>0</v>
      </c>
      <c r="IF95">
        <v>100</v>
      </c>
      <c r="IG95">
        <v>100</v>
      </c>
      <c r="IH95">
        <v>-2.0070000000000001</v>
      </c>
      <c r="II95">
        <v>-0.34639999999999999</v>
      </c>
      <c r="IJ95">
        <v>-2.0067999999999979</v>
      </c>
      <c r="IK95">
        <v>0</v>
      </c>
      <c r="IL95">
        <v>0</v>
      </c>
      <c r="IM95">
        <v>0</v>
      </c>
      <c r="IN95">
        <v>-0.34645714285714391</v>
      </c>
      <c r="IO95">
        <v>0</v>
      </c>
      <c r="IP95">
        <v>0</v>
      </c>
      <c r="IQ95">
        <v>0</v>
      </c>
      <c r="IR95">
        <v>-1</v>
      </c>
      <c r="IS95">
        <v>-1</v>
      </c>
      <c r="IT95">
        <v>-1</v>
      </c>
      <c r="IU95">
        <v>-1</v>
      </c>
      <c r="IV95">
        <v>1.9</v>
      </c>
      <c r="IW95">
        <v>1.7</v>
      </c>
      <c r="IX95">
        <v>0.98754900000000001</v>
      </c>
      <c r="IY95">
        <v>2.49268</v>
      </c>
      <c r="IZ95">
        <v>1.49414</v>
      </c>
      <c r="JA95">
        <v>2.2851599999999999</v>
      </c>
      <c r="JB95">
        <v>1.54419</v>
      </c>
      <c r="JC95">
        <v>2.4072300000000002</v>
      </c>
      <c r="JD95">
        <v>47.421599999999998</v>
      </c>
      <c r="JE95">
        <v>23.8598</v>
      </c>
      <c r="JF95">
        <v>18</v>
      </c>
      <c r="JG95">
        <v>494.964</v>
      </c>
      <c r="JH95">
        <v>424.00099999999998</v>
      </c>
      <c r="JI95">
        <v>26.0459</v>
      </c>
      <c r="JJ95">
        <v>33.677799999999998</v>
      </c>
      <c r="JK95">
        <v>30.005299999999998</v>
      </c>
      <c r="JL95">
        <v>33.635899999999999</v>
      </c>
      <c r="JM95">
        <v>33.599400000000003</v>
      </c>
      <c r="JN95">
        <v>19.8523</v>
      </c>
      <c r="JO95">
        <v>26.9649</v>
      </c>
      <c r="JP95">
        <v>23.321200000000001</v>
      </c>
      <c r="JQ95">
        <v>25.8277</v>
      </c>
      <c r="JR95">
        <v>400</v>
      </c>
      <c r="JS95">
        <v>22.330200000000001</v>
      </c>
      <c r="JT95">
        <v>98.548699999999997</v>
      </c>
      <c r="JU95">
        <v>96.786900000000003</v>
      </c>
    </row>
    <row r="96" spans="1:281" x14ac:dyDescent="0.25">
      <c r="A96">
        <v>80</v>
      </c>
      <c r="B96">
        <v>1693513336.5</v>
      </c>
      <c r="C96">
        <v>19200.5</v>
      </c>
      <c r="D96" t="s">
        <v>824</v>
      </c>
      <c r="E96" t="s">
        <v>825</v>
      </c>
      <c r="F96" t="s">
        <v>414</v>
      </c>
      <c r="G96" t="s">
        <v>779</v>
      </c>
      <c r="H96" t="s">
        <v>780</v>
      </c>
      <c r="I96" t="s">
        <v>31</v>
      </c>
      <c r="J96">
        <v>1693513336.5</v>
      </c>
      <c r="K96">
        <f t="shared" si="92"/>
        <v>5.5187381684954524E-3</v>
      </c>
      <c r="L96">
        <f t="shared" si="93"/>
        <v>5.5187381684954522</v>
      </c>
      <c r="M96">
        <f t="shared" si="94"/>
        <v>48.488565053962034</v>
      </c>
      <c r="N96">
        <f t="shared" si="95"/>
        <v>438.959</v>
      </c>
      <c r="O96">
        <f t="shared" si="96"/>
        <v>232.81662525165422</v>
      </c>
      <c r="P96">
        <f t="shared" si="97"/>
        <v>23.184852366828341</v>
      </c>
      <c r="Q96">
        <f t="shared" si="98"/>
        <v>43.713371410181509</v>
      </c>
      <c r="R96">
        <f t="shared" si="99"/>
        <v>0.41712443561445223</v>
      </c>
      <c r="S96">
        <f t="shared" si="100"/>
        <v>2.9231410799675559</v>
      </c>
      <c r="T96">
        <f t="shared" si="101"/>
        <v>0.38665469162495769</v>
      </c>
      <c r="U96">
        <f t="shared" si="102"/>
        <v>0.24421103136746813</v>
      </c>
      <c r="V96">
        <f t="shared" si="103"/>
        <v>344.36879967100003</v>
      </c>
      <c r="W96">
        <f t="shared" si="104"/>
        <v>31.122525323896323</v>
      </c>
      <c r="X96">
        <f t="shared" si="105"/>
        <v>29.936599999999999</v>
      </c>
      <c r="Y96">
        <f t="shared" si="106"/>
        <v>4.2449593290044607</v>
      </c>
      <c r="Z96">
        <f t="shared" si="107"/>
        <v>65.45844302566249</v>
      </c>
      <c r="AA96">
        <f t="shared" si="108"/>
        <v>2.8743977282240003</v>
      </c>
      <c r="AB96">
        <f t="shared" si="109"/>
        <v>4.3911794955115484</v>
      </c>
      <c r="AC96">
        <f t="shared" si="110"/>
        <v>1.3705616007804604</v>
      </c>
      <c r="AD96">
        <f t="shared" si="111"/>
        <v>-243.37635323064944</v>
      </c>
      <c r="AE96">
        <f t="shared" si="112"/>
        <v>93.074060752036658</v>
      </c>
      <c r="AF96">
        <f t="shared" si="113"/>
        <v>7.0960254939524843</v>
      </c>
      <c r="AG96">
        <f t="shared" si="114"/>
        <v>201.16253268633972</v>
      </c>
      <c r="AH96">
        <v>11</v>
      </c>
      <c r="AI96">
        <v>2</v>
      </c>
      <c r="AJ96">
        <f t="shared" si="115"/>
        <v>1</v>
      </c>
      <c r="AK96">
        <f t="shared" si="116"/>
        <v>0</v>
      </c>
      <c r="AL96">
        <f t="shared" si="117"/>
        <v>52068.805806881028</v>
      </c>
      <c r="AM96" t="s">
        <v>417</v>
      </c>
      <c r="AN96">
        <v>10366.9</v>
      </c>
      <c r="AO96">
        <v>993.59653846153856</v>
      </c>
      <c r="AP96">
        <v>3431.87</v>
      </c>
      <c r="AQ96">
        <f t="shared" si="118"/>
        <v>0.71047955241266758</v>
      </c>
      <c r="AR96">
        <v>-3.9894345373445681</v>
      </c>
      <c r="AS96" t="s">
        <v>826</v>
      </c>
      <c r="AT96">
        <v>10282.9</v>
      </c>
      <c r="AU96">
        <v>699.43911538461543</v>
      </c>
      <c r="AV96">
        <v>1060.0806862132811</v>
      </c>
      <c r="AW96">
        <f t="shared" si="119"/>
        <v>0.3402020011485305</v>
      </c>
      <c r="AX96">
        <v>0.5</v>
      </c>
      <c r="AY96">
        <f t="shared" si="120"/>
        <v>1513.1843998355</v>
      </c>
      <c r="AZ96">
        <f t="shared" si="121"/>
        <v>48.488565053962034</v>
      </c>
      <c r="BA96">
        <f t="shared" si="122"/>
        <v>257.39418046538759</v>
      </c>
      <c r="BB96">
        <f t="shared" si="123"/>
        <v>3.4680505295330524E-2</v>
      </c>
      <c r="BC96">
        <f t="shared" si="124"/>
        <v>2.2373667822012662</v>
      </c>
      <c r="BD96">
        <f t="shared" si="125"/>
        <v>602.99708019068066</v>
      </c>
      <c r="BE96" t="s">
        <v>827</v>
      </c>
      <c r="BF96">
        <v>546.5</v>
      </c>
      <c r="BG96">
        <f t="shared" si="126"/>
        <v>546.5</v>
      </c>
      <c r="BH96">
        <f t="shared" si="127"/>
        <v>0.48447320368399971</v>
      </c>
      <c r="BI96">
        <f t="shared" si="128"/>
        <v>0.70221015024481959</v>
      </c>
      <c r="BJ96">
        <f t="shared" si="129"/>
        <v>0.82200525887034204</v>
      </c>
      <c r="BK96">
        <f t="shared" si="130"/>
        <v>5.4244746007022915</v>
      </c>
      <c r="BL96">
        <f t="shared" si="131"/>
        <v>0.97273310446901473</v>
      </c>
      <c r="BM96">
        <f t="shared" si="132"/>
        <v>0.54866512133478385</v>
      </c>
      <c r="BN96">
        <f t="shared" si="133"/>
        <v>0.45133487866521615</v>
      </c>
      <c r="BO96">
        <v>16864</v>
      </c>
      <c r="BP96">
        <v>290.00000000000011</v>
      </c>
      <c r="BQ96">
        <v>960.53</v>
      </c>
      <c r="BR96">
        <v>165</v>
      </c>
      <c r="BS96">
        <v>10282.9</v>
      </c>
      <c r="BT96">
        <v>954.81</v>
      </c>
      <c r="BU96">
        <v>5.72</v>
      </c>
      <c r="BV96">
        <v>300.00000000000011</v>
      </c>
      <c r="BW96">
        <v>38.5</v>
      </c>
      <c r="BX96">
        <v>1060.0806862132811</v>
      </c>
      <c r="BY96">
        <v>1.12505649313227</v>
      </c>
      <c r="BZ96">
        <v>-108.2457304255029</v>
      </c>
      <c r="CA96">
        <v>0.94593232875377453</v>
      </c>
      <c r="CB96">
        <v>0.99786632149176446</v>
      </c>
      <c r="CC96">
        <v>-1.1193640934371529E-2</v>
      </c>
      <c r="CD96">
        <v>289.99999999999989</v>
      </c>
      <c r="CE96">
        <v>943.64</v>
      </c>
      <c r="CF96">
        <v>695</v>
      </c>
      <c r="CG96">
        <v>10249.6</v>
      </c>
      <c r="CH96">
        <v>954.47</v>
      </c>
      <c r="CI96">
        <v>-10.83</v>
      </c>
      <c r="CW96">
        <f t="shared" si="134"/>
        <v>1800</v>
      </c>
      <c r="CX96">
        <f t="shared" si="135"/>
        <v>1513.1843998355</v>
      </c>
      <c r="CY96">
        <f t="shared" si="136"/>
        <v>0.84065799990861112</v>
      </c>
      <c r="CZ96">
        <f t="shared" si="137"/>
        <v>0.19131599981722225</v>
      </c>
      <c r="DA96">
        <v>6</v>
      </c>
      <c r="DB96">
        <v>0.5</v>
      </c>
      <c r="DC96" t="s">
        <v>420</v>
      </c>
      <c r="DD96">
        <v>2</v>
      </c>
      <c r="DE96">
        <v>1693513336.5</v>
      </c>
      <c r="DF96">
        <v>438.959</v>
      </c>
      <c r="DG96">
        <v>500.07</v>
      </c>
      <c r="DH96">
        <v>28.864000000000001</v>
      </c>
      <c r="DI96">
        <v>22.430800000000001</v>
      </c>
      <c r="DJ96">
        <v>440.82900000000001</v>
      </c>
      <c r="DK96">
        <v>29.212800000000001</v>
      </c>
      <c r="DL96">
        <v>499.85500000000002</v>
      </c>
      <c r="DM96">
        <v>99.485900000000001</v>
      </c>
      <c r="DN96">
        <v>9.8278500000000005E-2</v>
      </c>
      <c r="DO96">
        <v>30.527200000000001</v>
      </c>
      <c r="DP96">
        <v>29.936599999999999</v>
      </c>
      <c r="DQ96">
        <v>999.9</v>
      </c>
      <c r="DR96">
        <v>0</v>
      </c>
      <c r="DS96">
        <v>0</v>
      </c>
      <c r="DT96">
        <v>10015</v>
      </c>
      <c r="DU96">
        <v>0</v>
      </c>
      <c r="DV96">
        <v>1301.8699999999999</v>
      </c>
      <c r="DW96">
        <v>-61.110700000000001</v>
      </c>
      <c r="DX96">
        <v>452.00599999999997</v>
      </c>
      <c r="DY96">
        <v>511.54399999999998</v>
      </c>
      <c r="DZ96">
        <v>6.4332399999999996</v>
      </c>
      <c r="EA96">
        <v>500.07</v>
      </c>
      <c r="EB96">
        <v>22.430800000000001</v>
      </c>
      <c r="EC96">
        <v>2.8715700000000002</v>
      </c>
      <c r="ED96">
        <v>2.2315499999999999</v>
      </c>
      <c r="EE96">
        <v>23.301400000000001</v>
      </c>
      <c r="EF96">
        <v>19.1906</v>
      </c>
      <c r="EG96">
        <v>1800</v>
      </c>
      <c r="EH96">
        <v>0.97800500000000001</v>
      </c>
      <c r="EI96">
        <v>2.1995399999999998E-2</v>
      </c>
      <c r="EJ96">
        <v>0</v>
      </c>
      <c r="EK96">
        <v>699.37699999999995</v>
      </c>
      <c r="EL96">
        <v>5.0002500000000003</v>
      </c>
      <c r="EM96">
        <v>21637.200000000001</v>
      </c>
      <c r="EN96">
        <v>14822.1</v>
      </c>
      <c r="EO96">
        <v>50.561999999999998</v>
      </c>
      <c r="EP96">
        <v>51.625</v>
      </c>
      <c r="EQ96">
        <v>51.25</v>
      </c>
      <c r="ER96">
        <v>51.125</v>
      </c>
      <c r="ES96">
        <v>51.561999999999998</v>
      </c>
      <c r="ET96">
        <v>1755.52</v>
      </c>
      <c r="EU96">
        <v>39.479999999999997</v>
      </c>
      <c r="EV96">
        <v>0</v>
      </c>
      <c r="EW96">
        <v>97.799999952316284</v>
      </c>
      <c r="EX96">
        <v>0</v>
      </c>
      <c r="EY96">
        <v>699.43911538461543</v>
      </c>
      <c r="EZ96">
        <v>2.6946666536944361</v>
      </c>
      <c r="FA96">
        <v>43.818802558714452</v>
      </c>
      <c r="FB96">
        <v>21631.51923076923</v>
      </c>
      <c r="FC96">
        <v>15</v>
      </c>
      <c r="FD96">
        <v>1693513304.5</v>
      </c>
      <c r="FE96" t="s">
        <v>828</v>
      </c>
      <c r="FF96">
        <v>1693513304.5</v>
      </c>
      <c r="FG96">
        <v>1693513302.5</v>
      </c>
      <c r="FH96">
        <v>89</v>
      </c>
      <c r="FI96">
        <v>0.13700000000000001</v>
      </c>
      <c r="FJ96">
        <v>-2E-3</v>
      </c>
      <c r="FK96">
        <v>-1.87</v>
      </c>
      <c r="FL96">
        <v>-0.34899999999999998</v>
      </c>
      <c r="FM96">
        <v>500</v>
      </c>
      <c r="FN96">
        <v>22</v>
      </c>
      <c r="FO96">
        <v>0.2</v>
      </c>
      <c r="FP96">
        <v>0.08</v>
      </c>
      <c r="FQ96">
        <v>48.427407628435567</v>
      </c>
      <c r="FR96">
        <v>-0.30121530809358049</v>
      </c>
      <c r="FS96">
        <v>7.7867447667505987E-2</v>
      </c>
      <c r="FT96">
        <v>1</v>
      </c>
      <c r="FU96">
        <v>0.41854794323993882</v>
      </c>
      <c r="FV96">
        <v>6.5438277233661043E-3</v>
      </c>
      <c r="FW96">
        <v>2.8025933080723731E-3</v>
      </c>
      <c r="FX96">
        <v>1</v>
      </c>
      <c r="FY96">
        <v>2</v>
      </c>
      <c r="FZ96">
        <v>2</v>
      </c>
      <c r="GA96" t="s">
        <v>422</v>
      </c>
      <c r="GB96">
        <v>2.9171299999999998</v>
      </c>
      <c r="GC96">
        <v>2.8283</v>
      </c>
      <c r="GD96">
        <v>9.6977400000000005E-2</v>
      </c>
      <c r="GE96">
        <v>0.104516</v>
      </c>
      <c r="GF96">
        <v>0.13628299999999999</v>
      </c>
      <c r="GG96">
        <v>0.10906299999999999</v>
      </c>
      <c r="GH96">
        <v>23561.1</v>
      </c>
      <c r="GI96">
        <v>28470.3</v>
      </c>
      <c r="GJ96">
        <v>23493.4</v>
      </c>
      <c r="GK96">
        <v>29113.8</v>
      </c>
      <c r="GL96">
        <v>27693.8</v>
      </c>
      <c r="GM96">
        <v>36710.699999999997</v>
      </c>
      <c r="GN96">
        <v>33232.5</v>
      </c>
      <c r="GO96">
        <v>42963.7</v>
      </c>
      <c r="GP96">
        <v>1.9233</v>
      </c>
      <c r="GQ96">
        <v>1.7703</v>
      </c>
      <c r="GR96">
        <v>3.7074099999999999E-2</v>
      </c>
      <c r="GS96">
        <v>0</v>
      </c>
      <c r="GT96">
        <v>29.332899999999999</v>
      </c>
      <c r="GU96">
        <v>999.9</v>
      </c>
      <c r="GV96">
        <v>39.200000000000003</v>
      </c>
      <c r="GW96">
        <v>41.3</v>
      </c>
      <c r="GX96">
        <v>31.303899999999999</v>
      </c>
      <c r="GY96">
        <v>61.5565</v>
      </c>
      <c r="GZ96">
        <v>36.939100000000003</v>
      </c>
      <c r="HA96">
        <v>1</v>
      </c>
      <c r="HB96">
        <v>0.50793699999999997</v>
      </c>
      <c r="HC96">
        <v>2.20696</v>
      </c>
      <c r="HD96">
        <v>20.252199999999998</v>
      </c>
      <c r="HE96">
        <v>5.1951299999999998</v>
      </c>
      <c r="HF96">
        <v>11.872199999999999</v>
      </c>
      <c r="HG96">
        <v>4.9798</v>
      </c>
      <c r="HH96">
        <v>3.2812999999999999</v>
      </c>
      <c r="HI96">
        <v>9999</v>
      </c>
      <c r="HJ96">
        <v>9999</v>
      </c>
      <c r="HK96">
        <v>9999</v>
      </c>
      <c r="HL96">
        <v>999.9</v>
      </c>
      <c r="HM96">
        <v>1.8549199999999999</v>
      </c>
      <c r="HN96">
        <v>1.8609599999999999</v>
      </c>
      <c r="HO96">
        <v>1.8583499999999999</v>
      </c>
      <c r="HP96">
        <v>1.85944</v>
      </c>
      <c r="HQ96">
        <v>1.85883</v>
      </c>
      <c r="HR96">
        <v>1.85928</v>
      </c>
      <c r="HS96">
        <v>1.8575999999999999</v>
      </c>
      <c r="HT96">
        <v>1.8609599999999999</v>
      </c>
      <c r="HU96">
        <v>5</v>
      </c>
      <c r="HV96">
        <v>0</v>
      </c>
      <c r="HW96">
        <v>0</v>
      </c>
      <c r="HX96">
        <v>0</v>
      </c>
      <c r="HY96" t="s">
        <v>423</v>
      </c>
      <c r="HZ96" t="s">
        <v>424</v>
      </c>
      <c r="IA96" t="s">
        <v>425</v>
      </c>
      <c r="IB96" t="s">
        <v>425</v>
      </c>
      <c r="IC96" t="s">
        <v>425</v>
      </c>
      <c r="ID96" t="s">
        <v>425</v>
      </c>
      <c r="IE96">
        <v>0</v>
      </c>
      <c r="IF96">
        <v>100</v>
      </c>
      <c r="IG96">
        <v>100</v>
      </c>
      <c r="IH96">
        <v>-1.87</v>
      </c>
      <c r="II96">
        <v>-0.3488</v>
      </c>
      <c r="IJ96">
        <v>-1.870250000000055</v>
      </c>
      <c r="IK96">
        <v>0</v>
      </c>
      <c r="IL96">
        <v>0</v>
      </c>
      <c r="IM96">
        <v>0</v>
      </c>
      <c r="IN96">
        <v>-0.34876000000000568</v>
      </c>
      <c r="IO96">
        <v>0</v>
      </c>
      <c r="IP96">
        <v>0</v>
      </c>
      <c r="IQ96">
        <v>0</v>
      </c>
      <c r="IR96">
        <v>-1</v>
      </c>
      <c r="IS96">
        <v>-1</v>
      </c>
      <c r="IT96">
        <v>-1</v>
      </c>
      <c r="IU96">
        <v>-1</v>
      </c>
      <c r="IV96">
        <v>0.5</v>
      </c>
      <c r="IW96">
        <v>0.6</v>
      </c>
      <c r="IX96">
        <v>1.1792</v>
      </c>
      <c r="IY96">
        <v>2.4890099999999999</v>
      </c>
      <c r="IZ96">
        <v>1.49414</v>
      </c>
      <c r="JA96">
        <v>2.2851599999999999</v>
      </c>
      <c r="JB96">
        <v>1.54419</v>
      </c>
      <c r="JC96">
        <v>2.5097700000000001</v>
      </c>
      <c r="JD96">
        <v>47.3917</v>
      </c>
      <c r="JE96">
        <v>23.903600000000001</v>
      </c>
      <c r="JF96">
        <v>18</v>
      </c>
      <c r="JG96">
        <v>494.339</v>
      </c>
      <c r="JH96">
        <v>423.34500000000003</v>
      </c>
      <c r="JI96">
        <v>26.038</v>
      </c>
      <c r="JJ96">
        <v>33.671700000000001</v>
      </c>
      <c r="JK96">
        <v>29.9999</v>
      </c>
      <c r="JL96">
        <v>33.638800000000003</v>
      </c>
      <c r="JM96">
        <v>33.599400000000003</v>
      </c>
      <c r="JN96">
        <v>23.674199999999999</v>
      </c>
      <c r="JO96">
        <v>25.109400000000001</v>
      </c>
      <c r="JP96">
        <v>20.767399999999999</v>
      </c>
      <c r="JQ96">
        <v>26.0487</v>
      </c>
      <c r="JR96">
        <v>500</v>
      </c>
      <c r="JS96">
        <v>22.469100000000001</v>
      </c>
      <c r="JT96">
        <v>98.546400000000006</v>
      </c>
      <c r="JU96">
        <v>96.783699999999996</v>
      </c>
    </row>
    <row r="97" spans="1:281" x14ac:dyDescent="0.25">
      <c r="A97">
        <v>81</v>
      </c>
      <c r="B97">
        <v>1693513436</v>
      </c>
      <c r="C97">
        <v>19300</v>
      </c>
      <c r="D97" t="s">
        <v>829</v>
      </c>
      <c r="E97" t="s">
        <v>830</v>
      </c>
      <c r="F97" t="s">
        <v>414</v>
      </c>
      <c r="G97" t="s">
        <v>779</v>
      </c>
      <c r="H97" t="s">
        <v>780</v>
      </c>
      <c r="I97" t="s">
        <v>31</v>
      </c>
      <c r="J97">
        <v>1693513436</v>
      </c>
      <c r="K97">
        <f t="shared" si="92"/>
        <v>5.3066742204288487E-3</v>
      </c>
      <c r="L97">
        <f t="shared" si="93"/>
        <v>5.3066742204288486</v>
      </c>
      <c r="M97">
        <f t="shared" si="94"/>
        <v>49.999767804148128</v>
      </c>
      <c r="N97">
        <f t="shared" si="95"/>
        <v>635.99900000000002</v>
      </c>
      <c r="O97">
        <f t="shared" si="96"/>
        <v>407.61086732012495</v>
      </c>
      <c r="P97">
        <f t="shared" si="97"/>
        <v>40.591544782531756</v>
      </c>
      <c r="Q97">
        <f t="shared" si="98"/>
        <v>63.335362130740698</v>
      </c>
      <c r="R97">
        <f t="shared" si="99"/>
        <v>0.39324136393907333</v>
      </c>
      <c r="S97">
        <f t="shared" si="100"/>
        <v>2.9204837388129099</v>
      </c>
      <c r="T97">
        <f t="shared" si="101"/>
        <v>0.36601605388514119</v>
      </c>
      <c r="U97">
        <f t="shared" si="102"/>
        <v>0.23104885518574236</v>
      </c>
      <c r="V97">
        <f t="shared" si="103"/>
        <v>344.37639967100739</v>
      </c>
      <c r="W97">
        <f t="shared" si="104"/>
        <v>31.239819577474059</v>
      </c>
      <c r="X97">
        <f t="shared" si="105"/>
        <v>30.0367</v>
      </c>
      <c r="Y97">
        <f t="shared" si="106"/>
        <v>4.2694391309189603</v>
      </c>
      <c r="Z97">
        <f t="shared" si="107"/>
        <v>65.297038456928789</v>
      </c>
      <c r="AA97">
        <f t="shared" si="108"/>
        <v>2.8774316014438499</v>
      </c>
      <c r="AB97">
        <f t="shared" si="109"/>
        <v>4.4066801028684637</v>
      </c>
      <c r="AC97">
        <f t="shared" si="110"/>
        <v>1.3920075294751104</v>
      </c>
      <c r="AD97">
        <f t="shared" si="111"/>
        <v>-234.02433312091222</v>
      </c>
      <c r="AE97">
        <f t="shared" si="112"/>
        <v>86.927658780371232</v>
      </c>
      <c r="AF97">
        <f t="shared" si="113"/>
        <v>6.6387567790807172</v>
      </c>
      <c r="AG97">
        <f t="shared" si="114"/>
        <v>203.91848210954714</v>
      </c>
      <c r="AH97">
        <v>10</v>
      </c>
      <c r="AI97">
        <v>2</v>
      </c>
      <c r="AJ97">
        <f t="shared" si="115"/>
        <v>1</v>
      </c>
      <c r="AK97">
        <f t="shared" si="116"/>
        <v>0</v>
      </c>
      <c r="AL97">
        <f t="shared" si="117"/>
        <v>51982.528419352348</v>
      </c>
      <c r="AM97" t="s">
        <v>417</v>
      </c>
      <c r="AN97">
        <v>10366.9</v>
      </c>
      <c r="AO97">
        <v>993.59653846153856</v>
      </c>
      <c r="AP97">
        <v>3431.87</v>
      </c>
      <c r="AQ97">
        <f t="shared" si="118"/>
        <v>0.71047955241266758</v>
      </c>
      <c r="AR97">
        <v>-3.9894345373445681</v>
      </c>
      <c r="AS97" t="s">
        <v>831</v>
      </c>
      <c r="AT97">
        <v>10288.299999999999</v>
      </c>
      <c r="AU97">
        <v>704.57403999999997</v>
      </c>
      <c r="AV97">
        <v>1081.882033733966</v>
      </c>
      <c r="AW97">
        <f t="shared" si="119"/>
        <v>0.34875151076475475</v>
      </c>
      <c r="AX97">
        <v>0.5</v>
      </c>
      <c r="AY97">
        <f t="shared" si="120"/>
        <v>1513.2179998355036</v>
      </c>
      <c r="AZ97">
        <f t="shared" si="121"/>
        <v>49.999767804148128</v>
      </c>
      <c r="BA97">
        <f t="shared" si="122"/>
        <v>263.86853177952617</v>
      </c>
      <c r="BB97">
        <f t="shared" si="123"/>
        <v>3.56784034734993E-2</v>
      </c>
      <c r="BC97">
        <f t="shared" si="124"/>
        <v>2.1721295788186596</v>
      </c>
      <c r="BD97">
        <f t="shared" si="125"/>
        <v>609.98908600508673</v>
      </c>
      <c r="BE97" t="s">
        <v>832</v>
      </c>
      <c r="BF97">
        <v>547.04999999999995</v>
      </c>
      <c r="BG97">
        <f t="shared" si="126"/>
        <v>547.04999999999995</v>
      </c>
      <c r="BH97">
        <f t="shared" si="127"/>
        <v>0.49435337408096824</v>
      </c>
      <c r="BI97">
        <f t="shared" si="128"/>
        <v>0.70547007272500994</v>
      </c>
      <c r="BJ97">
        <f t="shared" si="129"/>
        <v>0.81460471234462961</v>
      </c>
      <c r="BK97">
        <f t="shared" si="130"/>
        <v>4.2737257413540695</v>
      </c>
      <c r="BL97">
        <f t="shared" si="131"/>
        <v>0.96379179912956836</v>
      </c>
      <c r="BM97">
        <f t="shared" si="132"/>
        <v>0.54774570360868913</v>
      </c>
      <c r="BN97">
        <f t="shared" si="133"/>
        <v>0.45225429639131087</v>
      </c>
      <c r="BO97">
        <v>16866</v>
      </c>
      <c r="BP97">
        <v>290.00000000000011</v>
      </c>
      <c r="BQ97">
        <v>976.25</v>
      </c>
      <c r="BR97">
        <v>135</v>
      </c>
      <c r="BS97">
        <v>10288.299999999999</v>
      </c>
      <c r="BT97">
        <v>971.18</v>
      </c>
      <c r="BU97">
        <v>5.07</v>
      </c>
      <c r="BV97">
        <v>300.00000000000011</v>
      </c>
      <c r="BW97">
        <v>38.5</v>
      </c>
      <c r="BX97">
        <v>1081.882033733966</v>
      </c>
      <c r="BY97">
        <v>1.341955344342235</v>
      </c>
      <c r="BZ97">
        <v>-113.8939791460904</v>
      </c>
      <c r="CA97">
        <v>1.128327829594705</v>
      </c>
      <c r="CB97">
        <v>0.99725946555017564</v>
      </c>
      <c r="CC97">
        <v>-1.1193670077864291E-2</v>
      </c>
      <c r="CD97">
        <v>289.99999999999989</v>
      </c>
      <c r="CE97">
        <v>959.25</v>
      </c>
      <c r="CF97">
        <v>655</v>
      </c>
      <c r="CG97">
        <v>10253</v>
      </c>
      <c r="CH97">
        <v>970.8</v>
      </c>
      <c r="CI97">
        <v>-11.55</v>
      </c>
      <c r="CW97">
        <f t="shared" si="134"/>
        <v>1800.04</v>
      </c>
      <c r="CX97">
        <f t="shared" si="135"/>
        <v>1513.2179998355036</v>
      </c>
      <c r="CY97">
        <f t="shared" si="136"/>
        <v>0.84065798528671787</v>
      </c>
      <c r="CZ97">
        <f t="shared" si="137"/>
        <v>0.1913159705734358</v>
      </c>
      <c r="DA97">
        <v>6</v>
      </c>
      <c r="DB97">
        <v>0.5</v>
      </c>
      <c r="DC97" t="s">
        <v>420</v>
      </c>
      <c r="DD97">
        <v>2</v>
      </c>
      <c r="DE97">
        <v>1693513436</v>
      </c>
      <c r="DF97">
        <v>635.99900000000002</v>
      </c>
      <c r="DG97">
        <v>700</v>
      </c>
      <c r="DH97">
        <v>28.894500000000001</v>
      </c>
      <c r="DI97">
        <v>22.715199999999999</v>
      </c>
      <c r="DJ97">
        <v>638.01800000000003</v>
      </c>
      <c r="DK97">
        <v>29.2376</v>
      </c>
      <c r="DL97">
        <v>500.38099999999997</v>
      </c>
      <c r="DM97">
        <v>99.484099999999998</v>
      </c>
      <c r="DN97">
        <v>9.9959300000000001E-2</v>
      </c>
      <c r="DO97">
        <v>30.588799999999999</v>
      </c>
      <c r="DP97">
        <v>30.0367</v>
      </c>
      <c r="DQ97">
        <v>999.9</v>
      </c>
      <c r="DR97">
        <v>0</v>
      </c>
      <c r="DS97">
        <v>0</v>
      </c>
      <c r="DT97">
        <v>10000</v>
      </c>
      <c r="DU97">
        <v>0</v>
      </c>
      <c r="DV97">
        <v>1295.47</v>
      </c>
      <c r="DW97">
        <v>-64.001599999999996</v>
      </c>
      <c r="DX97">
        <v>654.92200000000003</v>
      </c>
      <c r="DY97">
        <v>716.27099999999996</v>
      </c>
      <c r="DZ97">
        <v>6.1792899999999999</v>
      </c>
      <c r="EA97">
        <v>700</v>
      </c>
      <c r="EB97">
        <v>22.715199999999999</v>
      </c>
      <c r="EC97">
        <v>2.8745400000000001</v>
      </c>
      <c r="ED97">
        <v>2.2597999999999998</v>
      </c>
      <c r="EE97">
        <v>23.3185</v>
      </c>
      <c r="EF97">
        <v>19.392700000000001</v>
      </c>
      <c r="EG97">
        <v>1800.04</v>
      </c>
      <c r="EH97">
        <v>0.97800500000000001</v>
      </c>
      <c r="EI97">
        <v>2.1995399999999998E-2</v>
      </c>
      <c r="EJ97">
        <v>0</v>
      </c>
      <c r="EK97">
        <v>704.39599999999996</v>
      </c>
      <c r="EL97">
        <v>5.0002500000000003</v>
      </c>
      <c r="EM97">
        <v>21707.1</v>
      </c>
      <c r="EN97">
        <v>14822.4</v>
      </c>
      <c r="EO97">
        <v>50.561999999999998</v>
      </c>
      <c r="EP97">
        <v>51.5</v>
      </c>
      <c r="EQ97">
        <v>51.25</v>
      </c>
      <c r="ER97">
        <v>51</v>
      </c>
      <c r="ES97">
        <v>51.561999999999998</v>
      </c>
      <c r="ET97">
        <v>1755.56</v>
      </c>
      <c r="EU97">
        <v>39.479999999999997</v>
      </c>
      <c r="EV97">
        <v>0</v>
      </c>
      <c r="EW97">
        <v>97.799999952316284</v>
      </c>
      <c r="EX97">
        <v>0</v>
      </c>
      <c r="EY97">
        <v>704.57403999999997</v>
      </c>
      <c r="EZ97">
        <v>0.76276922411358794</v>
      </c>
      <c r="FA97">
        <v>87.123077815976345</v>
      </c>
      <c r="FB97">
        <v>21705.324000000001</v>
      </c>
      <c r="FC97">
        <v>15</v>
      </c>
      <c r="FD97">
        <v>1693513401.5</v>
      </c>
      <c r="FE97" t="s">
        <v>833</v>
      </c>
      <c r="FF97">
        <v>1693513400.5</v>
      </c>
      <c r="FG97">
        <v>1693513401.5</v>
      </c>
      <c r="FH97">
        <v>90</v>
      </c>
      <c r="FI97">
        <v>-0.15</v>
      </c>
      <c r="FJ97">
        <v>6.0000000000000001E-3</v>
      </c>
      <c r="FK97">
        <v>-2.02</v>
      </c>
      <c r="FL97">
        <v>-0.34300000000000003</v>
      </c>
      <c r="FM97">
        <v>700</v>
      </c>
      <c r="FN97">
        <v>22</v>
      </c>
      <c r="FO97">
        <v>0.28000000000000003</v>
      </c>
      <c r="FP97">
        <v>0.1</v>
      </c>
      <c r="FQ97">
        <v>49.48648102473534</v>
      </c>
      <c r="FR97">
        <v>0.39989600972350042</v>
      </c>
      <c r="FS97">
        <v>0.14448302161989071</v>
      </c>
      <c r="FT97">
        <v>1</v>
      </c>
      <c r="FU97">
        <v>0.39567967540393673</v>
      </c>
      <c r="FV97">
        <v>-5.0231423419114492E-3</v>
      </c>
      <c r="FW97">
        <v>2.5357646254982988E-3</v>
      </c>
      <c r="FX97">
        <v>1</v>
      </c>
      <c r="FY97">
        <v>2</v>
      </c>
      <c r="FZ97">
        <v>2</v>
      </c>
      <c r="GA97" t="s">
        <v>422</v>
      </c>
      <c r="GB97">
        <v>2.9184899999999998</v>
      </c>
      <c r="GC97">
        <v>2.82985</v>
      </c>
      <c r="GD97">
        <v>0.126584</v>
      </c>
      <c r="GE97">
        <v>0.132523</v>
      </c>
      <c r="GF97">
        <v>0.13636799999999999</v>
      </c>
      <c r="GG97">
        <v>0.110038</v>
      </c>
      <c r="GH97">
        <v>22789.599999999999</v>
      </c>
      <c r="GI97">
        <v>27582.799999999999</v>
      </c>
      <c r="GJ97">
        <v>23494.2</v>
      </c>
      <c r="GK97">
        <v>29116.9</v>
      </c>
      <c r="GL97">
        <v>27697.1</v>
      </c>
      <c r="GM97">
        <v>36676.6</v>
      </c>
      <c r="GN97">
        <v>33236.800000000003</v>
      </c>
      <c r="GO97">
        <v>42967.5</v>
      </c>
      <c r="GP97">
        <v>1.9268000000000001</v>
      </c>
      <c r="GQ97">
        <v>1.7702</v>
      </c>
      <c r="GR97">
        <v>4.7698600000000001E-2</v>
      </c>
      <c r="GS97">
        <v>0</v>
      </c>
      <c r="GT97">
        <v>29.260100000000001</v>
      </c>
      <c r="GU97">
        <v>999.9</v>
      </c>
      <c r="GV97">
        <v>38.299999999999997</v>
      </c>
      <c r="GW97">
        <v>41.5</v>
      </c>
      <c r="GX97">
        <v>30.912199999999999</v>
      </c>
      <c r="GY97">
        <v>61.366500000000002</v>
      </c>
      <c r="GZ97">
        <v>36.5946</v>
      </c>
      <c r="HA97">
        <v>1</v>
      </c>
      <c r="HB97">
        <v>0.50609800000000005</v>
      </c>
      <c r="HC97">
        <v>2.6473100000000001</v>
      </c>
      <c r="HD97">
        <v>20.246400000000001</v>
      </c>
      <c r="HE97">
        <v>5.2112999999999996</v>
      </c>
      <c r="HF97">
        <v>11.872199999999999</v>
      </c>
      <c r="HG97">
        <v>4.9833999999999996</v>
      </c>
      <c r="HH97">
        <v>3.2839999999999998</v>
      </c>
      <c r="HI97">
        <v>9999</v>
      </c>
      <c r="HJ97">
        <v>9999</v>
      </c>
      <c r="HK97">
        <v>9999</v>
      </c>
      <c r="HL97">
        <v>999.9</v>
      </c>
      <c r="HM97">
        <v>1.85486</v>
      </c>
      <c r="HN97">
        <v>1.8609599999999999</v>
      </c>
      <c r="HO97">
        <v>1.85822</v>
      </c>
      <c r="HP97">
        <v>1.85938</v>
      </c>
      <c r="HQ97">
        <v>1.85873</v>
      </c>
      <c r="HR97">
        <v>1.85928</v>
      </c>
      <c r="HS97">
        <v>1.8575999999999999</v>
      </c>
      <c r="HT97">
        <v>1.8609599999999999</v>
      </c>
      <c r="HU97">
        <v>5</v>
      </c>
      <c r="HV97">
        <v>0</v>
      </c>
      <c r="HW97">
        <v>0</v>
      </c>
      <c r="HX97">
        <v>0</v>
      </c>
      <c r="HY97" t="s">
        <v>423</v>
      </c>
      <c r="HZ97" t="s">
        <v>424</v>
      </c>
      <c r="IA97" t="s">
        <v>425</v>
      </c>
      <c r="IB97" t="s">
        <v>425</v>
      </c>
      <c r="IC97" t="s">
        <v>425</v>
      </c>
      <c r="ID97" t="s">
        <v>425</v>
      </c>
      <c r="IE97">
        <v>0</v>
      </c>
      <c r="IF97">
        <v>100</v>
      </c>
      <c r="IG97">
        <v>100</v>
      </c>
      <c r="IH97">
        <v>-2.0190000000000001</v>
      </c>
      <c r="II97">
        <v>-0.34310000000000002</v>
      </c>
      <c r="IJ97">
        <v>-2.0196499999998418</v>
      </c>
      <c r="IK97">
        <v>0</v>
      </c>
      <c r="IL97">
        <v>0</v>
      </c>
      <c r="IM97">
        <v>0</v>
      </c>
      <c r="IN97">
        <v>-0.34309000000000012</v>
      </c>
      <c r="IO97">
        <v>0</v>
      </c>
      <c r="IP97">
        <v>0</v>
      </c>
      <c r="IQ97">
        <v>0</v>
      </c>
      <c r="IR97">
        <v>-1</v>
      </c>
      <c r="IS97">
        <v>-1</v>
      </c>
      <c r="IT97">
        <v>-1</v>
      </c>
      <c r="IU97">
        <v>-1</v>
      </c>
      <c r="IV97">
        <v>0.6</v>
      </c>
      <c r="IW97">
        <v>0.6</v>
      </c>
      <c r="IX97">
        <v>1.54053</v>
      </c>
      <c r="IY97">
        <v>2.4731399999999999</v>
      </c>
      <c r="IZ97">
        <v>1.49414</v>
      </c>
      <c r="JA97">
        <v>2.2839399999999999</v>
      </c>
      <c r="JB97">
        <v>1.54419</v>
      </c>
      <c r="JC97">
        <v>2.52319</v>
      </c>
      <c r="JD97">
        <v>47.361699999999999</v>
      </c>
      <c r="JE97">
        <v>23.8949</v>
      </c>
      <c r="JF97">
        <v>18</v>
      </c>
      <c r="JG97">
        <v>496.41899999999998</v>
      </c>
      <c r="JH97">
        <v>423.10899999999998</v>
      </c>
      <c r="JI97">
        <v>25.986499999999999</v>
      </c>
      <c r="JJ97">
        <v>33.629399999999997</v>
      </c>
      <c r="JK97">
        <v>29.9999</v>
      </c>
      <c r="JL97">
        <v>33.614899999999999</v>
      </c>
      <c r="JM97">
        <v>33.575499999999998</v>
      </c>
      <c r="JN97">
        <v>30.902100000000001</v>
      </c>
      <c r="JO97">
        <v>22.679099999999998</v>
      </c>
      <c r="JP97">
        <v>18.623999999999999</v>
      </c>
      <c r="JQ97">
        <v>25.9695</v>
      </c>
      <c r="JR97">
        <v>700</v>
      </c>
      <c r="JS97">
        <v>22.696000000000002</v>
      </c>
      <c r="JT97">
        <v>98.555300000000003</v>
      </c>
      <c r="JU97">
        <v>96.792900000000003</v>
      </c>
    </row>
    <row r="98" spans="1:281" x14ac:dyDescent="0.25">
      <c r="A98">
        <v>82</v>
      </c>
      <c r="B98">
        <v>1693513539</v>
      </c>
      <c r="C98">
        <v>19403</v>
      </c>
      <c r="D98" t="s">
        <v>834</v>
      </c>
      <c r="E98" t="s">
        <v>835</v>
      </c>
      <c r="F98" t="s">
        <v>414</v>
      </c>
      <c r="G98" t="s">
        <v>779</v>
      </c>
      <c r="H98" t="s">
        <v>780</v>
      </c>
      <c r="I98" t="s">
        <v>31</v>
      </c>
      <c r="J98">
        <v>1693513539</v>
      </c>
      <c r="K98">
        <f t="shared" si="92"/>
        <v>5.0234792962918166E-3</v>
      </c>
      <c r="L98">
        <f t="shared" si="93"/>
        <v>5.0234792962918169</v>
      </c>
      <c r="M98">
        <f t="shared" si="94"/>
        <v>49.295451986301025</v>
      </c>
      <c r="N98">
        <f t="shared" si="95"/>
        <v>835.83100000000002</v>
      </c>
      <c r="O98">
        <f t="shared" si="96"/>
        <v>593.3781107085814</v>
      </c>
      <c r="P98">
        <f t="shared" si="97"/>
        <v>59.092404718721831</v>
      </c>
      <c r="Q98">
        <f t="shared" si="98"/>
        <v>83.237421194174999</v>
      </c>
      <c r="R98">
        <f t="shared" si="99"/>
        <v>0.36994699494853056</v>
      </c>
      <c r="S98">
        <f t="shared" si="100"/>
        <v>2.9187687909699691</v>
      </c>
      <c r="T98">
        <f t="shared" si="101"/>
        <v>0.34573198489716894</v>
      </c>
      <c r="U98">
        <f t="shared" si="102"/>
        <v>0.2181258937755664</v>
      </c>
      <c r="V98">
        <f t="shared" si="103"/>
        <v>344.36879967100003</v>
      </c>
      <c r="W98">
        <f t="shared" si="104"/>
        <v>31.255777803446378</v>
      </c>
      <c r="X98">
        <f t="shared" si="105"/>
        <v>30.050999999999998</v>
      </c>
      <c r="Y98">
        <f t="shared" si="106"/>
        <v>4.2729462689959412</v>
      </c>
      <c r="Z98">
        <f t="shared" si="107"/>
        <v>65.525265089315113</v>
      </c>
      <c r="AA98">
        <f t="shared" si="108"/>
        <v>2.8779082615049996</v>
      </c>
      <c r="AB98">
        <f t="shared" si="109"/>
        <v>4.3920589372392884</v>
      </c>
      <c r="AC98">
        <f t="shared" si="110"/>
        <v>1.3950380074909416</v>
      </c>
      <c r="AD98">
        <f t="shared" si="111"/>
        <v>-221.53543696646912</v>
      </c>
      <c r="AE98">
        <f t="shared" si="112"/>
        <v>75.483991269293583</v>
      </c>
      <c r="AF98">
        <f t="shared" si="113"/>
        <v>5.7669284875885136</v>
      </c>
      <c r="AG98">
        <f t="shared" si="114"/>
        <v>204.08428246141301</v>
      </c>
      <c r="AH98">
        <v>10</v>
      </c>
      <c r="AI98">
        <v>2</v>
      </c>
      <c r="AJ98">
        <f t="shared" si="115"/>
        <v>1</v>
      </c>
      <c r="AK98">
        <f t="shared" si="116"/>
        <v>0</v>
      </c>
      <c r="AL98">
        <f t="shared" si="117"/>
        <v>51943.700365802681</v>
      </c>
      <c r="AM98" t="s">
        <v>417</v>
      </c>
      <c r="AN98">
        <v>10366.9</v>
      </c>
      <c r="AO98">
        <v>993.59653846153856</v>
      </c>
      <c r="AP98">
        <v>3431.87</v>
      </c>
      <c r="AQ98">
        <f t="shared" si="118"/>
        <v>0.71047955241266758</v>
      </c>
      <c r="AR98">
        <v>-3.9894345373445681</v>
      </c>
      <c r="AS98" t="s">
        <v>836</v>
      </c>
      <c r="AT98">
        <v>10284.4</v>
      </c>
      <c r="AU98">
        <v>703.96276923076925</v>
      </c>
      <c r="AV98">
        <v>1084.386336068945</v>
      </c>
      <c r="AW98">
        <f t="shared" si="119"/>
        <v>0.35081921837678753</v>
      </c>
      <c r="AX98">
        <v>0.5</v>
      </c>
      <c r="AY98">
        <f t="shared" si="120"/>
        <v>1513.1843998355</v>
      </c>
      <c r="AZ98">
        <f t="shared" si="121"/>
        <v>49.295451986301025</v>
      </c>
      <c r="BA98">
        <f t="shared" si="122"/>
        <v>265.42708420511923</v>
      </c>
      <c r="BB98">
        <f t="shared" si="123"/>
        <v>3.5213742971073624E-2</v>
      </c>
      <c r="BC98">
        <f t="shared" si="124"/>
        <v>2.1648038027120649</v>
      </c>
      <c r="BD98">
        <f t="shared" si="125"/>
        <v>610.7843893452382</v>
      </c>
      <c r="BE98" t="s">
        <v>837</v>
      </c>
      <c r="BF98">
        <v>550.19000000000005</v>
      </c>
      <c r="BG98">
        <f t="shared" si="126"/>
        <v>550.19000000000005</v>
      </c>
      <c r="BH98">
        <f t="shared" si="127"/>
        <v>0.49262547700986603</v>
      </c>
      <c r="BI98">
        <f t="shared" si="128"/>
        <v>0.71214184963836435</v>
      </c>
      <c r="BJ98">
        <f t="shared" si="129"/>
        <v>0.81462329749696538</v>
      </c>
      <c r="BK98">
        <f t="shared" si="130"/>
        <v>4.1901576703938126</v>
      </c>
      <c r="BL98">
        <f t="shared" si="131"/>
        <v>0.9627647189539924</v>
      </c>
      <c r="BM98">
        <f t="shared" si="132"/>
        <v>0.556582452053071</v>
      </c>
      <c r="BN98">
        <f t="shared" si="133"/>
        <v>0.443417547946929</v>
      </c>
      <c r="BO98">
        <v>16868</v>
      </c>
      <c r="BP98">
        <v>290.00000000000011</v>
      </c>
      <c r="BQ98">
        <v>978.77</v>
      </c>
      <c r="BR98">
        <v>155</v>
      </c>
      <c r="BS98">
        <v>10284.4</v>
      </c>
      <c r="BT98">
        <v>973.56</v>
      </c>
      <c r="BU98">
        <v>5.21</v>
      </c>
      <c r="BV98">
        <v>300.00000000000011</v>
      </c>
      <c r="BW98">
        <v>38.5</v>
      </c>
      <c r="BX98">
        <v>1084.386336068945</v>
      </c>
      <c r="BY98">
        <v>1.378084882695507</v>
      </c>
      <c r="BZ98">
        <v>-113.9783590718754</v>
      </c>
      <c r="CA98">
        <v>1.1586458739338761</v>
      </c>
      <c r="CB98">
        <v>0.99711490659113999</v>
      </c>
      <c r="CC98">
        <v>-1.119302068965518E-2</v>
      </c>
      <c r="CD98">
        <v>289.99999999999989</v>
      </c>
      <c r="CE98">
        <v>962.98</v>
      </c>
      <c r="CF98">
        <v>645</v>
      </c>
      <c r="CG98">
        <v>10253.299999999999</v>
      </c>
      <c r="CH98">
        <v>973.22</v>
      </c>
      <c r="CI98">
        <v>-10.24</v>
      </c>
      <c r="CW98">
        <f t="shared" si="134"/>
        <v>1800</v>
      </c>
      <c r="CX98">
        <f t="shared" si="135"/>
        <v>1513.1843998355</v>
      </c>
      <c r="CY98">
        <f t="shared" si="136"/>
        <v>0.84065799990861112</v>
      </c>
      <c r="CZ98">
        <f t="shared" si="137"/>
        <v>0.19131599981722225</v>
      </c>
      <c r="DA98">
        <v>6</v>
      </c>
      <c r="DB98">
        <v>0.5</v>
      </c>
      <c r="DC98" t="s">
        <v>420</v>
      </c>
      <c r="DD98">
        <v>2</v>
      </c>
      <c r="DE98">
        <v>1693513539</v>
      </c>
      <c r="DF98">
        <v>835.83100000000002</v>
      </c>
      <c r="DG98">
        <v>899.99699999999996</v>
      </c>
      <c r="DH98">
        <v>28.898599999999998</v>
      </c>
      <c r="DI98">
        <v>23.0471</v>
      </c>
      <c r="DJ98">
        <v>837.803</v>
      </c>
      <c r="DK98">
        <v>29.234400000000001</v>
      </c>
      <c r="DL98">
        <v>500.21100000000001</v>
      </c>
      <c r="DM98">
        <v>99.486199999999997</v>
      </c>
      <c r="DN98">
        <v>0.10022499999999999</v>
      </c>
      <c r="DO98">
        <v>30.5307</v>
      </c>
      <c r="DP98">
        <v>30.050999999999998</v>
      </c>
      <c r="DQ98">
        <v>999.9</v>
      </c>
      <c r="DR98">
        <v>0</v>
      </c>
      <c r="DS98">
        <v>0</v>
      </c>
      <c r="DT98">
        <v>9990</v>
      </c>
      <c r="DU98">
        <v>0</v>
      </c>
      <c r="DV98">
        <v>1289.68</v>
      </c>
      <c r="DW98">
        <v>-64.1661</v>
      </c>
      <c r="DX98">
        <v>860.70500000000004</v>
      </c>
      <c r="DY98">
        <v>921.22900000000004</v>
      </c>
      <c r="DZ98">
        <v>5.8515600000000001</v>
      </c>
      <c r="EA98">
        <v>899.99699999999996</v>
      </c>
      <c r="EB98">
        <v>23.0471</v>
      </c>
      <c r="EC98">
        <v>2.8750200000000001</v>
      </c>
      <c r="ED98">
        <v>2.2928700000000002</v>
      </c>
      <c r="EE98">
        <v>23.321200000000001</v>
      </c>
      <c r="EF98">
        <v>19.6264</v>
      </c>
      <c r="EG98">
        <v>1800</v>
      </c>
      <c r="EH98">
        <v>0.97800500000000001</v>
      </c>
      <c r="EI98">
        <v>2.1995399999999998E-2</v>
      </c>
      <c r="EJ98">
        <v>0</v>
      </c>
      <c r="EK98">
        <v>703.69299999999998</v>
      </c>
      <c r="EL98">
        <v>5.0002500000000003</v>
      </c>
      <c r="EM98">
        <v>21647.1</v>
      </c>
      <c r="EN98">
        <v>14822.1</v>
      </c>
      <c r="EO98">
        <v>50.5</v>
      </c>
      <c r="EP98">
        <v>51.5</v>
      </c>
      <c r="EQ98">
        <v>51.186999999999998</v>
      </c>
      <c r="ER98">
        <v>50.936999999999998</v>
      </c>
      <c r="ES98">
        <v>51.5</v>
      </c>
      <c r="ET98">
        <v>1755.52</v>
      </c>
      <c r="EU98">
        <v>39.479999999999997</v>
      </c>
      <c r="EV98">
        <v>0</v>
      </c>
      <c r="EW98">
        <v>100.7999999523163</v>
      </c>
      <c r="EX98">
        <v>0</v>
      </c>
      <c r="EY98">
        <v>703.96276923076925</v>
      </c>
      <c r="EZ98">
        <v>-1.249367529733477</v>
      </c>
      <c r="FA98">
        <v>-43.979486442721033</v>
      </c>
      <c r="FB98">
        <v>21647.74615384615</v>
      </c>
      <c r="FC98">
        <v>15</v>
      </c>
      <c r="FD98">
        <v>1693513509</v>
      </c>
      <c r="FE98" t="s">
        <v>838</v>
      </c>
      <c r="FF98">
        <v>1693513504</v>
      </c>
      <c r="FG98">
        <v>1693513509</v>
      </c>
      <c r="FH98">
        <v>91</v>
      </c>
      <c r="FI98">
        <v>4.8000000000000001E-2</v>
      </c>
      <c r="FJ98">
        <v>7.0000000000000001E-3</v>
      </c>
      <c r="FK98">
        <v>-1.972</v>
      </c>
      <c r="FL98">
        <v>-0.33600000000000002</v>
      </c>
      <c r="FM98">
        <v>900</v>
      </c>
      <c r="FN98">
        <v>23</v>
      </c>
      <c r="FO98">
        <v>0.17</v>
      </c>
      <c r="FP98">
        <v>7.0000000000000007E-2</v>
      </c>
      <c r="FQ98">
        <v>49.577631659671233</v>
      </c>
      <c r="FR98">
        <v>0.14871282117361839</v>
      </c>
      <c r="FS98">
        <v>0.10166171649477621</v>
      </c>
      <c r="FT98">
        <v>1</v>
      </c>
      <c r="FU98">
        <v>0.36453033649732608</v>
      </c>
      <c r="FV98">
        <v>4.9582681001090707E-2</v>
      </c>
      <c r="FW98">
        <v>3.7617495780888381E-3</v>
      </c>
      <c r="FX98">
        <v>1</v>
      </c>
      <c r="FY98">
        <v>2</v>
      </c>
      <c r="FZ98">
        <v>2</v>
      </c>
      <c r="GA98" t="s">
        <v>422</v>
      </c>
      <c r="GB98">
        <v>2.9181300000000001</v>
      </c>
      <c r="GC98">
        <v>2.8300299999999998</v>
      </c>
      <c r="GD98">
        <v>0.15214800000000001</v>
      </c>
      <c r="GE98">
        <v>0.15668699999999999</v>
      </c>
      <c r="GF98">
        <v>0.13636899999999999</v>
      </c>
      <c r="GG98">
        <v>0.111174</v>
      </c>
      <c r="GH98">
        <v>22125.3</v>
      </c>
      <c r="GI98">
        <v>26814.1</v>
      </c>
      <c r="GJ98">
        <v>23497.4</v>
      </c>
      <c r="GK98">
        <v>29117.1</v>
      </c>
      <c r="GL98">
        <v>27700.1</v>
      </c>
      <c r="GM98">
        <v>36632.400000000001</v>
      </c>
      <c r="GN98">
        <v>33237.9</v>
      </c>
      <c r="GO98">
        <v>42967.8</v>
      </c>
      <c r="GP98">
        <v>1.9276</v>
      </c>
      <c r="GQ98">
        <v>1.7706</v>
      </c>
      <c r="GR98">
        <v>4.2244799999999999E-2</v>
      </c>
      <c r="GS98">
        <v>0</v>
      </c>
      <c r="GT98">
        <v>29.363199999999999</v>
      </c>
      <c r="GU98">
        <v>999.9</v>
      </c>
      <c r="GV98">
        <v>37.700000000000003</v>
      </c>
      <c r="GW98">
        <v>41.7</v>
      </c>
      <c r="GX98">
        <v>30.748200000000001</v>
      </c>
      <c r="GY98">
        <v>61.476500000000001</v>
      </c>
      <c r="GZ98">
        <v>37.115400000000001</v>
      </c>
      <c r="HA98">
        <v>1</v>
      </c>
      <c r="HB98">
        <v>0.50612800000000002</v>
      </c>
      <c r="HC98">
        <v>3.64195</v>
      </c>
      <c r="HD98">
        <v>20.273</v>
      </c>
      <c r="HE98">
        <v>5.2107000000000001</v>
      </c>
      <c r="HF98">
        <v>11.874599999999999</v>
      </c>
      <c r="HG98">
        <v>4.9854000000000003</v>
      </c>
      <c r="HH98">
        <v>3.2839999999999998</v>
      </c>
      <c r="HI98">
        <v>9999</v>
      </c>
      <c r="HJ98">
        <v>9999</v>
      </c>
      <c r="HK98">
        <v>9999</v>
      </c>
      <c r="HL98">
        <v>999.9</v>
      </c>
      <c r="HM98">
        <v>1.8547400000000001</v>
      </c>
      <c r="HN98">
        <v>1.8607800000000001</v>
      </c>
      <c r="HO98">
        <v>1.85816</v>
      </c>
      <c r="HP98">
        <v>1.8592500000000001</v>
      </c>
      <c r="HQ98">
        <v>1.85863</v>
      </c>
      <c r="HR98">
        <v>1.8591299999999999</v>
      </c>
      <c r="HS98">
        <v>1.85745</v>
      </c>
      <c r="HT98">
        <v>1.8608</v>
      </c>
      <c r="HU98">
        <v>5</v>
      </c>
      <c r="HV98">
        <v>0</v>
      </c>
      <c r="HW98">
        <v>0</v>
      </c>
      <c r="HX98">
        <v>0</v>
      </c>
      <c r="HY98" t="s">
        <v>423</v>
      </c>
      <c r="HZ98" t="s">
        <v>424</v>
      </c>
      <c r="IA98" t="s">
        <v>425</v>
      </c>
      <c r="IB98" t="s">
        <v>425</v>
      </c>
      <c r="IC98" t="s">
        <v>425</v>
      </c>
      <c r="ID98" t="s">
        <v>425</v>
      </c>
      <c r="IE98">
        <v>0</v>
      </c>
      <c r="IF98">
        <v>100</v>
      </c>
      <c r="IG98">
        <v>100</v>
      </c>
      <c r="IH98">
        <v>-1.972</v>
      </c>
      <c r="II98">
        <v>-0.33579999999999999</v>
      </c>
      <c r="IJ98">
        <v>-1.971950000000106</v>
      </c>
      <c r="IK98">
        <v>0</v>
      </c>
      <c r="IL98">
        <v>0</v>
      </c>
      <c r="IM98">
        <v>0</v>
      </c>
      <c r="IN98">
        <v>-0.3357249999999965</v>
      </c>
      <c r="IO98">
        <v>0</v>
      </c>
      <c r="IP98">
        <v>0</v>
      </c>
      <c r="IQ98">
        <v>0</v>
      </c>
      <c r="IR98">
        <v>-1</v>
      </c>
      <c r="IS98">
        <v>-1</v>
      </c>
      <c r="IT98">
        <v>-1</v>
      </c>
      <c r="IU98">
        <v>-1</v>
      </c>
      <c r="IV98">
        <v>0.6</v>
      </c>
      <c r="IW98">
        <v>0.5</v>
      </c>
      <c r="IX98">
        <v>1.87988</v>
      </c>
      <c r="IY98">
        <v>2.4633799999999999</v>
      </c>
      <c r="IZ98">
        <v>1.49414</v>
      </c>
      <c r="JA98">
        <v>2.2839399999999999</v>
      </c>
      <c r="JB98">
        <v>1.54419</v>
      </c>
      <c r="JC98">
        <v>2.3925800000000002</v>
      </c>
      <c r="JD98">
        <v>47.361699999999999</v>
      </c>
      <c r="JE98">
        <v>16.321000000000002</v>
      </c>
      <c r="JF98">
        <v>18</v>
      </c>
      <c r="JG98">
        <v>496.70499999999998</v>
      </c>
      <c r="JH98">
        <v>423.17899999999997</v>
      </c>
      <c r="JI98">
        <v>25.017700000000001</v>
      </c>
      <c r="JJ98">
        <v>33.593200000000003</v>
      </c>
      <c r="JK98">
        <v>29.9999</v>
      </c>
      <c r="JL98">
        <v>33.585000000000001</v>
      </c>
      <c r="JM98">
        <v>33.5486</v>
      </c>
      <c r="JN98">
        <v>37.681399999999996</v>
      </c>
      <c r="JO98">
        <v>20.493400000000001</v>
      </c>
      <c r="JP98">
        <v>16.968499999999999</v>
      </c>
      <c r="JQ98">
        <v>24.9849</v>
      </c>
      <c r="JR98">
        <v>900</v>
      </c>
      <c r="JS98">
        <v>23.001999999999999</v>
      </c>
      <c r="JT98">
        <v>98.562700000000007</v>
      </c>
      <c r="JU98">
        <v>96.793499999999995</v>
      </c>
    </row>
    <row r="99" spans="1:281" x14ac:dyDescent="0.25">
      <c r="A99">
        <v>83</v>
      </c>
      <c r="B99">
        <v>1693513655.5</v>
      </c>
      <c r="C99">
        <v>19519.5</v>
      </c>
      <c r="D99" t="s">
        <v>839</v>
      </c>
      <c r="E99" t="s">
        <v>840</v>
      </c>
      <c r="F99" t="s">
        <v>414</v>
      </c>
      <c r="G99" t="s">
        <v>779</v>
      </c>
      <c r="H99" t="s">
        <v>780</v>
      </c>
      <c r="I99" t="s">
        <v>31</v>
      </c>
      <c r="J99">
        <v>1693513655.5</v>
      </c>
      <c r="K99">
        <f t="shared" si="92"/>
        <v>4.9995782828501228E-3</v>
      </c>
      <c r="L99">
        <f t="shared" si="93"/>
        <v>4.9995782828501225</v>
      </c>
      <c r="M99">
        <f t="shared" si="94"/>
        <v>49.33739406219734</v>
      </c>
      <c r="N99">
        <f t="shared" si="95"/>
        <v>1134.32</v>
      </c>
      <c r="O99">
        <f t="shared" si="96"/>
        <v>883.70924251531437</v>
      </c>
      <c r="P99">
        <f t="shared" si="97"/>
        <v>87.997197426907022</v>
      </c>
      <c r="Q99">
        <f t="shared" si="98"/>
        <v>112.95228813176</v>
      </c>
      <c r="R99">
        <f t="shared" si="99"/>
        <v>0.36797444548825659</v>
      </c>
      <c r="S99">
        <f t="shared" si="100"/>
        <v>2.9115805800237609</v>
      </c>
      <c r="T99">
        <f t="shared" si="101"/>
        <v>0.34395297751335663</v>
      </c>
      <c r="U99">
        <f t="shared" si="102"/>
        <v>0.2169980339053825</v>
      </c>
      <c r="V99">
        <f t="shared" si="103"/>
        <v>344.36689967099824</v>
      </c>
      <c r="W99">
        <f t="shared" si="104"/>
        <v>31.115441767065736</v>
      </c>
      <c r="X99">
        <f t="shared" si="105"/>
        <v>29.974699999999999</v>
      </c>
      <c r="Y99">
        <f t="shared" si="106"/>
        <v>4.2542623580110366</v>
      </c>
      <c r="Z99">
        <f t="shared" si="107"/>
        <v>65.639165938867734</v>
      </c>
      <c r="AA99">
        <f t="shared" si="108"/>
        <v>2.8585396933324003</v>
      </c>
      <c r="AB99">
        <f t="shared" si="109"/>
        <v>4.354929945323601</v>
      </c>
      <c r="AC99">
        <f t="shared" si="110"/>
        <v>1.3957226646786363</v>
      </c>
      <c r="AD99">
        <f t="shared" si="111"/>
        <v>-220.48140227369041</v>
      </c>
      <c r="AE99">
        <f t="shared" si="112"/>
        <v>63.996315210269564</v>
      </c>
      <c r="AF99">
        <f t="shared" si="113"/>
        <v>4.8959049032294262</v>
      </c>
      <c r="AG99">
        <f t="shared" si="114"/>
        <v>192.77771751080684</v>
      </c>
      <c r="AH99">
        <v>11</v>
      </c>
      <c r="AI99">
        <v>2</v>
      </c>
      <c r="AJ99">
        <f t="shared" si="115"/>
        <v>1</v>
      </c>
      <c r="AK99">
        <f t="shared" si="116"/>
        <v>0</v>
      </c>
      <c r="AL99">
        <f t="shared" si="117"/>
        <v>51764.349826379279</v>
      </c>
      <c r="AM99" t="s">
        <v>417</v>
      </c>
      <c r="AN99">
        <v>10366.9</v>
      </c>
      <c r="AO99">
        <v>993.59653846153856</v>
      </c>
      <c r="AP99">
        <v>3431.87</v>
      </c>
      <c r="AQ99">
        <f t="shared" si="118"/>
        <v>0.71047955241266758</v>
      </c>
      <c r="AR99">
        <v>-3.9894345373445681</v>
      </c>
      <c r="AS99" t="s">
        <v>841</v>
      </c>
      <c r="AT99">
        <v>10291.6</v>
      </c>
      <c r="AU99">
        <v>700.96526923076931</v>
      </c>
      <c r="AV99">
        <v>1078.3088597649671</v>
      </c>
      <c r="AW99">
        <f t="shared" si="119"/>
        <v>0.34994017448437287</v>
      </c>
      <c r="AX99">
        <v>0.5</v>
      </c>
      <c r="AY99">
        <f t="shared" si="120"/>
        <v>1513.1759998354989</v>
      </c>
      <c r="AZ99">
        <f t="shared" si="121"/>
        <v>49.33739406219734</v>
      </c>
      <c r="BA99">
        <f t="shared" si="122"/>
        <v>264.76053670399995</v>
      </c>
      <c r="BB99">
        <f t="shared" si="123"/>
        <v>3.5241656360753278E-2</v>
      </c>
      <c r="BC99">
        <f t="shared" si="124"/>
        <v>2.1826410113592365</v>
      </c>
      <c r="BD99">
        <f t="shared" si="125"/>
        <v>608.85155154766073</v>
      </c>
      <c r="BE99" t="s">
        <v>842</v>
      </c>
      <c r="BF99">
        <v>545.32000000000005</v>
      </c>
      <c r="BG99">
        <f t="shared" si="126"/>
        <v>545.32000000000005</v>
      </c>
      <c r="BH99">
        <f t="shared" si="127"/>
        <v>0.49428218542240265</v>
      </c>
      <c r="BI99">
        <f t="shared" si="128"/>
        <v>0.7079765057389672</v>
      </c>
      <c r="BJ99">
        <f t="shared" si="129"/>
        <v>0.81535436428782904</v>
      </c>
      <c r="BK99">
        <f t="shared" si="130"/>
        <v>4.4544121177201834</v>
      </c>
      <c r="BL99">
        <f t="shared" si="131"/>
        <v>0.96525725164150444</v>
      </c>
      <c r="BM99">
        <f t="shared" si="132"/>
        <v>0.5507744321387652</v>
      </c>
      <c r="BN99">
        <f t="shared" si="133"/>
        <v>0.4492255678612348</v>
      </c>
      <c r="BO99">
        <v>16870</v>
      </c>
      <c r="BP99">
        <v>290.00000000000011</v>
      </c>
      <c r="BQ99">
        <v>973.74</v>
      </c>
      <c r="BR99">
        <v>115</v>
      </c>
      <c r="BS99">
        <v>10291.6</v>
      </c>
      <c r="BT99">
        <v>969.44</v>
      </c>
      <c r="BU99">
        <v>4.3</v>
      </c>
      <c r="BV99">
        <v>300.00000000000011</v>
      </c>
      <c r="BW99">
        <v>38.5</v>
      </c>
      <c r="BX99">
        <v>1078.3088597649671</v>
      </c>
      <c r="BY99">
        <v>1.584800945944024</v>
      </c>
      <c r="BZ99">
        <v>-112.04604541219349</v>
      </c>
      <c r="CA99">
        <v>1.332475001211274</v>
      </c>
      <c r="CB99">
        <v>0.99605572903273532</v>
      </c>
      <c r="CC99">
        <v>-1.11936402669633E-2</v>
      </c>
      <c r="CD99">
        <v>289.99999999999989</v>
      </c>
      <c r="CE99">
        <v>959.9</v>
      </c>
      <c r="CF99">
        <v>655</v>
      </c>
      <c r="CG99">
        <v>10252.6</v>
      </c>
      <c r="CH99">
        <v>969.02</v>
      </c>
      <c r="CI99">
        <v>-9.1199999999999992</v>
      </c>
      <c r="CW99">
        <f t="shared" si="134"/>
        <v>1799.99</v>
      </c>
      <c r="CX99">
        <f t="shared" si="135"/>
        <v>1513.1759998354989</v>
      </c>
      <c r="CY99">
        <f t="shared" si="136"/>
        <v>0.84065800356418585</v>
      </c>
      <c r="CZ99">
        <f t="shared" si="137"/>
        <v>0.19131600712837196</v>
      </c>
      <c r="DA99">
        <v>6</v>
      </c>
      <c r="DB99">
        <v>0.5</v>
      </c>
      <c r="DC99" t="s">
        <v>420</v>
      </c>
      <c r="DD99">
        <v>2</v>
      </c>
      <c r="DE99">
        <v>1693513655.5</v>
      </c>
      <c r="DF99">
        <v>1134.32</v>
      </c>
      <c r="DG99">
        <v>1200.3</v>
      </c>
      <c r="DH99">
        <v>28.706800000000001</v>
      </c>
      <c r="DI99">
        <v>22.882200000000001</v>
      </c>
      <c r="DJ99">
        <v>1136.4100000000001</v>
      </c>
      <c r="DK99">
        <v>29.045999999999999</v>
      </c>
      <c r="DL99">
        <v>500.22899999999998</v>
      </c>
      <c r="DM99">
        <v>99.476600000000005</v>
      </c>
      <c r="DN99">
        <v>0.100493</v>
      </c>
      <c r="DO99">
        <v>30.382400000000001</v>
      </c>
      <c r="DP99">
        <v>29.974699999999999</v>
      </c>
      <c r="DQ99">
        <v>999.9</v>
      </c>
      <c r="DR99">
        <v>0</v>
      </c>
      <c r="DS99">
        <v>0</v>
      </c>
      <c r="DT99">
        <v>9950</v>
      </c>
      <c r="DU99">
        <v>0</v>
      </c>
      <c r="DV99">
        <v>1281.49</v>
      </c>
      <c r="DW99">
        <v>-65.978399999999993</v>
      </c>
      <c r="DX99">
        <v>1167.8399999999999</v>
      </c>
      <c r="DY99">
        <v>1228.4100000000001</v>
      </c>
      <c r="DZ99">
        <v>5.8246599999999997</v>
      </c>
      <c r="EA99">
        <v>1200.3</v>
      </c>
      <c r="EB99">
        <v>22.882200000000001</v>
      </c>
      <c r="EC99">
        <v>2.8556599999999999</v>
      </c>
      <c r="ED99">
        <v>2.27624</v>
      </c>
      <c r="EE99">
        <v>23.209399999999999</v>
      </c>
      <c r="EF99">
        <v>19.5092</v>
      </c>
      <c r="EG99">
        <v>1799.99</v>
      </c>
      <c r="EH99">
        <v>0.97800500000000001</v>
      </c>
      <c r="EI99">
        <v>2.1995399999999998E-2</v>
      </c>
      <c r="EJ99">
        <v>0</v>
      </c>
      <c r="EK99">
        <v>700.90200000000004</v>
      </c>
      <c r="EL99">
        <v>5.0002500000000003</v>
      </c>
      <c r="EM99">
        <v>21616.1</v>
      </c>
      <c r="EN99">
        <v>14822</v>
      </c>
      <c r="EO99">
        <v>50.5</v>
      </c>
      <c r="EP99">
        <v>51.625</v>
      </c>
      <c r="EQ99">
        <v>51.25</v>
      </c>
      <c r="ER99">
        <v>51</v>
      </c>
      <c r="ES99">
        <v>51.561999999999998</v>
      </c>
      <c r="ET99">
        <v>1755.51</v>
      </c>
      <c r="EU99">
        <v>39.479999999999997</v>
      </c>
      <c r="EV99">
        <v>0</v>
      </c>
      <c r="EW99">
        <v>114.5999999046326</v>
      </c>
      <c r="EX99">
        <v>0</v>
      </c>
      <c r="EY99">
        <v>700.96526923076931</v>
      </c>
      <c r="EZ99">
        <v>-1.7078632353422389</v>
      </c>
      <c r="FA99">
        <v>-77.644444806172558</v>
      </c>
      <c r="FB99">
        <v>21631.50384615385</v>
      </c>
      <c r="FC99">
        <v>15</v>
      </c>
      <c r="FD99">
        <v>1693513624.5</v>
      </c>
      <c r="FE99" t="s">
        <v>843</v>
      </c>
      <c r="FF99">
        <v>1693513624</v>
      </c>
      <c r="FG99">
        <v>1693513624.5</v>
      </c>
      <c r="FH99">
        <v>92</v>
      </c>
      <c r="FI99">
        <v>-0.11600000000000001</v>
      </c>
      <c r="FJ99">
        <v>-3.0000000000000001E-3</v>
      </c>
      <c r="FK99">
        <v>-2.089</v>
      </c>
      <c r="FL99">
        <v>-0.33900000000000002</v>
      </c>
      <c r="FM99">
        <v>1200</v>
      </c>
      <c r="FN99">
        <v>22</v>
      </c>
      <c r="FO99">
        <v>0.19</v>
      </c>
      <c r="FP99">
        <v>0.06</v>
      </c>
      <c r="FQ99">
        <v>49.05100299739054</v>
      </c>
      <c r="FR99">
        <v>-0.4729037216043035</v>
      </c>
      <c r="FS99">
        <v>0.1212206086937035</v>
      </c>
      <c r="FT99">
        <v>1</v>
      </c>
      <c r="FU99">
        <v>0.357499649707537</v>
      </c>
      <c r="FV99">
        <v>4.2723147569495433E-2</v>
      </c>
      <c r="FW99">
        <v>3.3545089474619088E-3</v>
      </c>
      <c r="FX99">
        <v>1</v>
      </c>
      <c r="FY99">
        <v>2</v>
      </c>
      <c r="FZ99">
        <v>2</v>
      </c>
      <c r="GA99" t="s">
        <v>422</v>
      </c>
      <c r="GB99">
        <v>2.9181499999999998</v>
      </c>
      <c r="GC99">
        <v>2.8299500000000002</v>
      </c>
      <c r="GD99">
        <v>0.184859</v>
      </c>
      <c r="GE99">
        <v>0.18804499999999999</v>
      </c>
      <c r="GF99">
        <v>0.135745</v>
      </c>
      <c r="GG99">
        <v>0.11060300000000001</v>
      </c>
      <c r="GH99">
        <v>21269.5</v>
      </c>
      <c r="GI99">
        <v>25815.3</v>
      </c>
      <c r="GJ99">
        <v>23496.2</v>
      </c>
      <c r="GK99">
        <v>29116.7</v>
      </c>
      <c r="GL99">
        <v>27722.9</v>
      </c>
      <c r="GM99">
        <v>36657.9</v>
      </c>
      <c r="GN99">
        <v>33237.5</v>
      </c>
      <c r="GO99">
        <v>42965.7</v>
      </c>
      <c r="GP99">
        <v>1.9258999999999999</v>
      </c>
      <c r="GQ99">
        <v>1.7701</v>
      </c>
      <c r="GR99">
        <v>3.7491299999999998E-2</v>
      </c>
      <c r="GS99">
        <v>0</v>
      </c>
      <c r="GT99">
        <v>29.3642</v>
      </c>
      <c r="GU99">
        <v>999.9</v>
      </c>
      <c r="GV99">
        <v>36.9</v>
      </c>
      <c r="GW99">
        <v>41.9</v>
      </c>
      <c r="GX99">
        <v>30.4177</v>
      </c>
      <c r="GY99">
        <v>61.366599999999998</v>
      </c>
      <c r="GZ99">
        <v>36.8429</v>
      </c>
      <c r="HA99">
        <v>1</v>
      </c>
      <c r="HB99">
        <v>0.50356699999999999</v>
      </c>
      <c r="HC99">
        <v>2.6355599999999999</v>
      </c>
      <c r="HD99">
        <v>20.292999999999999</v>
      </c>
      <c r="HE99">
        <v>5.2112999999999996</v>
      </c>
      <c r="HF99">
        <v>11.8728</v>
      </c>
      <c r="HG99">
        <v>4.9842000000000004</v>
      </c>
      <c r="HH99">
        <v>3.2839999999999998</v>
      </c>
      <c r="HI99">
        <v>9999</v>
      </c>
      <c r="HJ99">
        <v>9999</v>
      </c>
      <c r="HK99">
        <v>9999</v>
      </c>
      <c r="HL99">
        <v>999.9</v>
      </c>
      <c r="HM99">
        <v>1.8548100000000001</v>
      </c>
      <c r="HN99">
        <v>1.8608100000000001</v>
      </c>
      <c r="HO99">
        <v>1.8582000000000001</v>
      </c>
      <c r="HP99">
        <v>1.85928</v>
      </c>
      <c r="HQ99">
        <v>1.85867</v>
      </c>
      <c r="HR99">
        <v>1.85914</v>
      </c>
      <c r="HS99">
        <v>1.85745</v>
      </c>
      <c r="HT99">
        <v>1.8608100000000001</v>
      </c>
      <c r="HU99">
        <v>5</v>
      </c>
      <c r="HV99">
        <v>0</v>
      </c>
      <c r="HW99">
        <v>0</v>
      </c>
      <c r="HX99">
        <v>0</v>
      </c>
      <c r="HY99" t="s">
        <v>423</v>
      </c>
      <c r="HZ99" t="s">
        <v>424</v>
      </c>
      <c r="IA99" t="s">
        <v>425</v>
      </c>
      <c r="IB99" t="s">
        <v>425</v>
      </c>
      <c r="IC99" t="s">
        <v>425</v>
      </c>
      <c r="ID99" t="s">
        <v>425</v>
      </c>
      <c r="IE99">
        <v>0</v>
      </c>
      <c r="IF99">
        <v>100</v>
      </c>
      <c r="IG99">
        <v>100</v>
      </c>
      <c r="IH99">
        <v>-2.09</v>
      </c>
      <c r="II99">
        <v>-0.3392</v>
      </c>
      <c r="IJ99">
        <v>-2.089047619047506</v>
      </c>
      <c r="IK99">
        <v>0</v>
      </c>
      <c r="IL99">
        <v>0</v>
      </c>
      <c r="IM99">
        <v>0</v>
      </c>
      <c r="IN99">
        <v>-0.33914999999999651</v>
      </c>
      <c r="IO99">
        <v>0</v>
      </c>
      <c r="IP99">
        <v>0</v>
      </c>
      <c r="IQ99">
        <v>0</v>
      </c>
      <c r="IR99">
        <v>-1</v>
      </c>
      <c r="IS99">
        <v>-1</v>
      </c>
      <c r="IT99">
        <v>-1</v>
      </c>
      <c r="IU99">
        <v>-1</v>
      </c>
      <c r="IV99">
        <v>0.5</v>
      </c>
      <c r="IW99">
        <v>0.5</v>
      </c>
      <c r="IX99">
        <v>2.3535200000000001</v>
      </c>
      <c r="IY99">
        <v>2.4511699999999998</v>
      </c>
      <c r="IZ99">
        <v>1.49414</v>
      </c>
      <c r="JA99">
        <v>2.2839399999999999</v>
      </c>
      <c r="JB99">
        <v>1.54419</v>
      </c>
      <c r="JC99">
        <v>2.5061</v>
      </c>
      <c r="JD99">
        <v>47.093200000000003</v>
      </c>
      <c r="JE99">
        <v>16.251000000000001</v>
      </c>
      <c r="JF99">
        <v>18</v>
      </c>
      <c r="JG99">
        <v>495.62599999999998</v>
      </c>
      <c r="JH99">
        <v>422.87299999999999</v>
      </c>
      <c r="JI99">
        <v>25.054300000000001</v>
      </c>
      <c r="JJ99">
        <v>33.6113</v>
      </c>
      <c r="JK99">
        <v>29.998899999999999</v>
      </c>
      <c r="JL99">
        <v>33.588000000000001</v>
      </c>
      <c r="JM99">
        <v>33.551600000000001</v>
      </c>
      <c r="JN99">
        <v>47.155700000000003</v>
      </c>
      <c r="JO99">
        <v>19.705200000000001</v>
      </c>
      <c r="JP99">
        <v>15.09</v>
      </c>
      <c r="JQ99">
        <v>25.083300000000001</v>
      </c>
      <c r="JR99">
        <v>1200</v>
      </c>
      <c r="JS99">
        <v>22.8081</v>
      </c>
      <c r="JT99">
        <v>98.56</v>
      </c>
      <c r="JU99">
        <v>96.790199999999999</v>
      </c>
    </row>
    <row r="100" spans="1:281" x14ac:dyDescent="0.25">
      <c r="A100">
        <v>84</v>
      </c>
      <c r="B100">
        <v>1693513772</v>
      </c>
      <c r="C100">
        <v>19636</v>
      </c>
      <c r="D100" t="s">
        <v>844</v>
      </c>
      <c r="E100" t="s">
        <v>845</v>
      </c>
      <c r="F100" t="s">
        <v>414</v>
      </c>
      <c r="G100" t="s">
        <v>779</v>
      </c>
      <c r="H100" t="s">
        <v>780</v>
      </c>
      <c r="I100" t="s">
        <v>31</v>
      </c>
      <c r="J100">
        <v>1693513772</v>
      </c>
      <c r="K100">
        <f t="shared" si="92"/>
        <v>4.8467748551335758E-3</v>
      </c>
      <c r="L100">
        <f t="shared" si="93"/>
        <v>4.8467748551335754</v>
      </c>
      <c r="M100">
        <f t="shared" si="94"/>
        <v>48.245804334785696</v>
      </c>
      <c r="N100">
        <f t="shared" si="95"/>
        <v>1433.75</v>
      </c>
      <c r="O100">
        <f t="shared" si="96"/>
        <v>1169.4221704836496</v>
      </c>
      <c r="P100">
        <f t="shared" si="97"/>
        <v>116.44608197435095</v>
      </c>
      <c r="Q100">
        <f t="shared" si="98"/>
        <v>142.76672209975001</v>
      </c>
      <c r="R100">
        <f t="shared" si="99"/>
        <v>0.34889636057404405</v>
      </c>
      <c r="S100">
        <f t="shared" si="100"/>
        <v>2.9220953403093164</v>
      </c>
      <c r="T100">
        <f t="shared" si="101"/>
        <v>0.32729529039351113</v>
      </c>
      <c r="U100">
        <f t="shared" si="102"/>
        <v>0.20638878299098268</v>
      </c>
      <c r="V100">
        <f t="shared" si="103"/>
        <v>344.4124996710421</v>
      </c>
      <c r="W100">
        <f t="shared" si="104"/>
        <v>31.10862391550447</v>
      </c>
      <c r="X100">
        <f t="shared" si="105"/>
        <v>29.9939</v>
      </c>
      <c r="Y100">
        <f t="shared" si="106"/>
        <v>4.2589572281822958</v>
      </c>
      <c r="Z100">
        <f t="shared" si="107"/>
        <v>65.308694148154501</v>
      </c>
      <c r="AA100">
        <f t="shared" si="108"/>
        <v>2.8369228870403402</v>
      </c>
      <c r="AB100">
        <f t="shared" si="109"/>
        <v>4.3438671130136299</v>
      </c>
      <c r="AC100">
        <f t="shared" si="110"/>
        <v>1.4220343411419556</v>
      </c>
      <c r="AD100">
        <f t="shared" si="111"/>
        <v>-213.74277111139068</v>
      </c>
      <c r="AE100">
        <f t="shared" si="112"/>
        <v>54.20813897184285</v>
      </c>
      <c r="AF100">
        <f t="shared" si="113"/>
        <v>4.1316424394860949</v>
      </c>
      <c r="AG100">
        <f t="shared" si="114"/>
        <v>189.00950997098036</v>
      </c>
      <c r="AH100">
        <v>11</v>
      </c>
      <c r="AI100">
        <v>2</v>
      </c>
      <c r="AJ100">
        <f t="shared" si="115"/>
        <v>1</v>
      </c>
      <c r="AK100">
        <f t="shared" si="116"/>
        <v>0</v>
      </c>
      <c r="AL100">
        <f t="shared" si="117"/>
        <v>52071.264109253105</v>
      </c>
      <c r="AM100" t="s">
        <v>417</v>
      </c>
      <c r="AN100">
        <v>10366.9</v>
      </c>
      <c r="AO100">
        <v>993.59653846153856</v>
      </c>
      <c r="AP100">
        <v>3431.87</v>
      </c>
      <c r="AQ100">
        <f t="shared" si="118"/>
        <v>0.71047955241266758</v>
      </c>
      <c r="AR100">
        <v>-3.9894345373445681</v>
      </c>
      <c r="AS100" t="s">
        <v>846</v>
      </c>
      <c r="AT100">
        <v>10291.200000000001</v>
      </c>
      <c r="AU100">
        <v>698.14796153846157</v>
      </c>
      <c r="AV100">
        <v>1071.709524855522</v>
      </c>
      <c r="AW100">
        <f t="shared" si="119"/>
        <v>0.34856605698957521</v>
      </c>
      <c r="AX100">
        <v>0.5</v>
      </c>
      <c r="AY100">
        <f t="shared" si="120"/>
        <v>1513.3775998355209</v>
      </c>
      <c r="AZ100">
        <f t="shared" si="121"/>
        <v>48.245804334785696</v>
      </c>
      <c r="BA100">
        <f t="shared" si="122"/>
        <v>263.75603135550733</v>
      </c>
      <c r="BB100">
        <f t="shared" si="123"/>
        <v>3.4515668051256589E-2</v>
      </c>
      <c r="BC100">
        <f t="shared" si="124"/>
        <v>2.2022389653228593</v>
      </c>
      <c r="BD100">
        <f t="shared" si="125"/>
        <v>606.74197464125723</v>
      </c>
      <c r="BE100" t="s">
        <v>847</v>
      </c>
      <c r="BF100">
        <v>543.16999999999996</v>
      </c>
      <c r="BG100">
        <f t="shared" si="126"/>
        <v>543.16999999999996</v>
      </c>
      <c r="BH100">
        <f t="shared" si="127"/>
        <v>0.49317423480655809</v>
      </c>
      <c r="BI100">
        <f t="shared" si="128"/>
        <v>0.70678075290428788</v>
      </c>
      <c r="BJ100">
        <f t="shared" si="129"/>
        <v>0.81703204733772217</v>
      </c>
      <c r="BK100">
        <f t="shared" si="130"/>
        <v>4.78232340820903</v>
      </c>
      <c r="BL100">
        <f t="shared" si="131"/>
        <v>0.96796381225233974</v>
      </c>
      <c r="BM100">
        <f t="shared" si="132"/>
        <v>0.54988644629004269</v>
      </c>
      <c r="BN100">
        <f t="shared" si="133"/>
        <v>0.45011355370995731</v>
      </c>
      <c r="BO100">
        <v>16872</v>
      </c>
      <c r="BP100">
        <v>290.00000000000011</v>
      </c>
      <c r="BQ100">
        <v>968.95</v>
      </c>
      <c r="BR100">
        <v>115</v>
      </c>
      <c r="BS100">
        <v>10291.200000000001</v>
      </c>
      <c r="BT100">
        <v>964.99</v>
      </c>
      <c r="BU100">
        <v>3.96</v>
      </c>
      <c r="BV100">
        <v>300.00000000000011</v>
      </c>
      <c r="BW100">
        <v>38.5</v>
      </c>
      <c r="BX100">
        <v>1071.709524855522</v>
      </c>
      <c r="BY100">
        <v>1.4832271177106791</v>
      </c>
      <c r="BZ100">
        <v>-109.82917973801629</v>
      </c>
      <c r="CA100">
        <v>1.247007874684984</v>
      </c>
      <c r="CB100">
        <v>0.9964033669597121</v>
      </c>
      <c r="CC100">
        <v>-1.1193090322580651E-2</v>
      </c>
      <c r="CD100">
        <v>289.99999999999989</v>
      </c>
      <c r="CE100">
        <v>955.6</v>
      </c>
      <c r="CF100">
        <v>655</v>
      </c>
      <c r="CG100">
        <v>10251.9</v>
      </c>
      <c r="CH100">
        <v>964.58</v>
      </c>
      <c r="CI100">
        <v>-8.98</v>
      </c>
      <c r="CW100">
        <f t="shared" si="134"/>
        <v>1800.23</v>
      </c>
      <c r="CX100">
        <f t="shared" si="135"/>
        <v>1513.3775998355209</v>
      </c>
      <c r="CY100">
        <f t="shared" si="136"/>
        <v>0.84065791584159855</v>
      </c>
      <c r="CZ100">
        <f t="shared" si="137"/>
        <v>0.19131583168319719</v>
      </c>
      <c r="DA100">
        <v>6</v>
      </c>
      <c r="DB100">
        <v>0.5</v>
      </c>
      <c r="DC100" t="s">
        <v>420</v>
      </c>
      <c r="DD100">
        <v>2</v>
      </c>
      <c r="DE100">
        <v>1693513772</v>
      </c>
      <c r="DF100">
        <v>1433.75</v>
      </c>
      <c r="DG100">
        <v>1499.98</v>
      </c>
      <c r="DH100">
        <v>28.490100000000002</v>
      </c>
      <c r="DI100">
        <v>22.84</v>
      </c>
      <c r="DJ100">
        <v>1435.86</v>
      </c>
      <c r="DK100">
        <v>28.840499999999999</v>
      </c>
      <c r="DL100">
        <v>500.029</v>
      </c>
      <c r="DM100">
        <v>99.476200000000006</v>
      </c>
      <c r="DN100">
        <v>9.9543400000000004E-2</v>
      </c>
      <c r="DO100">
        <v>30.338000000000001</v>
      </c>
      <c r="DP100">
        <v>29.9939</v>
      </c>
      <c r="DQ100">
        <v>999.9</v>
      </c>
      <c r="DR100">
        <v>0</v>
      </c>
      <c r="DS100">
        <v>0</v>
      </c>
      <c r="DT100">
        <v>10010</v>
      </c>
      <c r="DU100">
        <v>0</v>
      </c>
      <c r="DV100">
        <v>1271.83</v>
      </c>
      <c r="DW100">
        <v>-66.224500000000006</v>
      </c>
      <c r="DX100">
        <v>1475.8</v>
      </c>
      <c r="DY100">
        <v>1535.04</v>
      </c>
      <c r="DZ100">
        <v>5.6500899999999996</v>
      </c>
      <c r="EA100">
        <v>1499.98</v>
      </c>
      <c r="EB100">
        <v>22.84</v>
      </c>
      <c r="EC100">
        <v>2.8340900000000002</v>
      </c>
      <c r="ED100">
        <v>2.2720400000000001</v>
      </c>
      <c r="EE100">
        <v>23.084</v>
      </c>
      <c r="EF100">
        <v>19.479500000000002</v>
      </c>
      <c r="EG100">
        <v>1800.23</v>
      </c>
      <c r="EH100">
        <v>0.97800799999999999</v>
      </c>
      <c r="EI100">
        <v>2.1991699999999999E-2</v>
      </c>
      <c r="EJ100">
        <v>0</v>
      </c>
      <c r="EK100">
        <v>697.61</v>
      </c>
      <c r="EL100">
        <v>5.0002500000000003</v>
      </c>
      <c r="EM100">
        <v>21552.1</v>
      </c>
      <c r="EN100">
        <v>14824</v>
      </c>
      <c r="EO100">
        <v>50.625</v>
      </c>
      <c r="EP100">
        <v>51.686999999999998</v>
      </c>
      <c r="EQ100">
        <v>51.311999999999998</v>
      </c>
      <c r="ER100">
        <v>51.125</v>
      </c>
      <c r="ES100">
        <v>51.561999999999998</v>
      </c>
      <c r="ET100">
        <v>1755.75</v>
      </c>
      <c r="EU100">
        <v>39.479999999999997</v>
      </c>
      <c r="EV100">
        <v>0</v>
      </c>
      <c r="EW100">
        <v>114.19999980926509</v>
      </c>
      <c r="EX100">
        <v>0</v>
      </c>
      <c r="EY100">
        <v>698.14796153846157</v>
      </c>
      <c r="EZ100">
        <v>-0.84482050652956009</v>
      </c>
      <c r="FA100">
        <v>-114.77606953753001</v>
      </c>
      <c r="FB100">
        <v>21541.33846153846</v>
      </c>
      <c r="FC100">
        <v>15</v>
      </c>
      <c r="FD100">
        <v>1693513739.5</v>
      </c>
      <c r="FE100" t="s">
        <v>848</v>
      </c>
      <c r="FF100">
        <v>1693513739.5</v>
      </c>
      <c r="FG100">
        <v>1693513734</v>
      </c>
      <c r="FH100">
        <v>93</v>
      </c>
      <c r="FI100">
        <v>-1.2999999999999999E-2</v>
      </c>
      <c r="FJ100">
        <v>-1.0999999999999999E-2</v>
      </c>
      <c r="FK100">
        <v>-2.101</v>
      </c>
      <c r="FL100">
        <v>-0.35</v>
      </c>
      <c r="FM100">
        <v>1500</v>
      </c>
      <c r="FN100">
        <v>22</v>
      </c>
      <c r="FO100">
        <v>0.3</v>
      </c>
      <c r="FP100">
        <v>0.06</v>
      </c>
      <c r="FQ100">
        <v>48.431929205028972</v>
      </c>
      <c r="FR100">
        <v>-0.12437564325678491</v>
      </c>
      <c r="FS100">
        <v>0.1762607011276428</v>
      </c>
      <c r="FT100">
        <v>1</v>
      </c>
      <c r="FU100">
        <v>0.34825447383115921</v>
      </c>
      <c r="FV100">
        <v>-1.9363826849945549E-2</v>
      </c>
      <c r="FW100">
        <v>1.7695608665575561E-3</v>
      </c>
      <c r="FX100">
        <v>1</v>
      </c>
      <c r="FY100">
        <v>2</v>
      </c>
      <c r="FZ100">
        <v>2</v>
      </c>
      <c r="GA100" t="s">
        <v>422</v>
      </c>
      <c r="GB100">
        <v>2.9176099999999998</v>
      </c>
      <c r="GC100">
        <v>2.82952</v>
      </c>
      <c r="GD100">
        <v>0.21309800000000001</v>
      </c>
      <c r="GE100">
        <v>0.21518200000000001</v>
      </c>
      <c r="GF100">
        <v>0.135074</v>
      </c>
      <c r="GG100">
        <v>0.110457</v>
      </c>
      <c r="GH100">
        <v>20530.5</v>
      </c>
      <c r="GI100">
        <v>24949.7</v>
      </c>
      <c r="GJ100">
        <v>23495.4</v>
      </c>
      <c r="GK100">
        <v>29115.599999999999</v>
      </c>
      <c r="GL100">
        <v>27746.400000000001</v>
      </c>
      <c r="GM100">
        <v>36665.599999999999</v>
      </c>
      <c r="GN100">
        <v>33236.699999999997</v>
      </c>
      <c r="GO100">
        <v>42963.8</v>
      </c>
      <c r="GP100">
        <v>1.925</v>
      </c>
      <c r="GQ100">
        <v>1.7695000000000001</v>
      </c>
      <c r="GR100">
        <v>4.4479999999999999E-2</v>
      </c>
      <c r="GS100">
        <v>0</v>
      </c>
      <c r="GT100">
        <v>29.269600000000001</v>
      </c>
      <c r="GU100">
        <v>999.9</v>
      </c>
      <c r="GV100">
        <v>36</v>
      </c>
      <c r="GW100">
        <v>42.1</v>
      </c>
      <c r="GX100">
        <v>29.989599999999999</v>
      </c>
      <c r="GY100">
        <v>61.336599999999997</v>
      </c>
      <c r="GZ100">
        <v>36.426299999999998</v>
      </c>
      <c r="HA100">
        <v>1</v>
      </c>
      <c r="HB100">
        <v>0.50601600000000002</v>
      </c>
      <c r="HC100">
        <v>2.69712</v>
      </c>
      <c r="HD100">
        <v>20.290400000000002</v>
      </c>
      <c r="HE100">
        <v>5.1975199999999999</v>
      </c>
      <c r="HF100">
        <v>11.872199999999999</v>
      </c>
      <c r="HG100">
        <v>4.9802</v>
      </c>
      <c r="HH100">
        <v>3.2818999999999998</v>
      </c>
      <c r="HI100">
        <v>9999</v>
      </c>
      <c r="HJ100">
        <v>9999</v>
      </c>
      <c r="HK100">
        <v>9999</v>
      </c>
      <c r="HL100">
        <v>999.9</v>
      </c>
      <c r="HM100">
        <v>1.85486</v>
      </c>
      <c r="HN100">
        <v>1.8608100000000001</v>
      </c>
      <c r="HO100">
        <v>1.8582000000000001</v>
      </c>
      <c r="HP100">
        <v>1.85928</v>
      </c>
      <c r="HQ100">
        <v>1.85867</v>
      </c>
      <c r="HR100">
        <v>1.85914</v>
      </c>
      <c r="HS100">
        <v>1.85745</v>
      </c>
      <c r="HT100">
        <v>1.8608100000000001</v>
      </c>
      <c r="HU100">
        <v>5</v>
      </c>
      <c r="HV100">
        <v>0</v>
      </c>
      <c r="HW100">
        <v>0</v>
      </c>
      <c r="HX100">
        <v>0</v>
      </c>
      <c r="HY100" t="s">
        <v>423</v>
      </c>
      <c r="HZ100" t="s">
        <v>424</v>
      </c>
      <c r="IA100" t="s">
        <v>425</v>
      </c>
      <c r="IB100" t="s">
        <v>425</v>
      </c>
      <c r="IC100" t="s">
        <v>425</v>
      </c>
      <c r="ID100" t="s">
        <v>425</v>
      </c>
      <c r="IE100">
        <v>0</v>
      </c>
      <c r="IF100">
        <v>100</v>
      </c>
      <c r="IG100">
        <v>100</v>
      </c>
      <c r="IH100">
        <v>-2.11</v>
      </c>
      <c r="II100">
        <v>-0.35039999999999999</v>
      </c>
      <c r="IJ100">
        <v>-2.1014285714284142</v>
      </c>
      <c r="IK100">
        <v>0</v>
      </c>
      <c r="IL100">
        <v>0</v>
      </c>
      <c r="IM100">
        <v>0</v>
      </c>
      <c r="IN100">
        <v>-0.35040000000000049</v>
      </c>
      <c r="IO100">
        <v>0</v>
      </c>
      <c r="IP100">
        <v>0</v>
      </c>
      <c r="IQ100">
        <v>0</v>
      </c>
      <c r="IR100">
        <v>-1</v>
      </c>
      <c r="IS100">
        <v>-1</v>
      </c>
      <c r="IT100">
        <v>-1</v>
      </c>
      <c r="IU100">
        <v>-1</v>
      </c>
      <c r="IV100">
        <v>0.5</v>
      </c>
      <c r="IW100">
        <v>0.6</v>
      </c>
      <c r="IX100">
        <v>2.79175</v>
      </c>
      <c r="IY100">
        <v>2.4414099999999999</v>
      </c>
      <c r="IZ100">
        <v>1.49414</v>
      </c>
      <c r="JA100">
        <v>2.2827099999999998</v>
      </c>
      <c r="JB100">
        <v>1.54419</v>
      </c>
      <c r="JC100">
        <v>2.4902299999999999</v>
      </c>
      <c r="JD100">
        <v>46.8855</v>
      </c>
      <c r="JE100">
        <v>16.189699999999998</v>
      </c>
      <c r="JF100">
        <v>18</v>
      </c>
      <c r="JG100">
        <v>495.16</v>
      </c>
      <c r="JH100">
        <v>422.58699999999999</v>
      </c>
      <c r="JI100">
        <v>25.3065</v>
      </c>
      <c r="JJ100">
        <v>33.635399999999997</v>
      </c>
      <c r="JK100">
        <v>30</v>
      </c>
      <c r="JL100">
        <v>33.602899999999998</v>
      </c>
      <c r="JM100">
        <v>33.566499999999998</v>
      </c>
      <c r="JN100">
        <v>55.924599999999998</v>
      </c>
      <c r="JO100">
        <v>17.8353</v>
      </c>
      <c r="JP100">
        <v>13.24</v>
      </c>
      <c r="JQ100">
        <v>25.309200000000001</v>
      </c>
      <c r="JR100">
        <v>1500</v>
      </c>
      <c r="JS100">
        <v>22.8</v>
      </c>
      <c r="JT100">
        <v>98.557100000000005</v>
      </c>
      <c r="JU100">
        <v>96.786299999999997</v>
      </c>
    </row>
    <row r="101" spans="1:281" x14ac:dyDescent="0.25">
      <c r="A101">
        <v>85</v>
      </c>
      <c r="B101">
        <v>1693515875.5999999</v>
      </c>
      <c r="C101">
        <v>21739.599999904629</v>
      </c>
      <c r="D101" t="s">
        <v>849</v>
      </c>
      <c r="E101" t="s">
        <v>850</v>
      </c>
      <c r="F101" t="s">
        <v>414</v>
      </c>
      <c r="G101" t="s">
        <v>494</v>
      </c>
      <c r="H101" t="s">
        <v>416</v>
      </c>
      <c r="I101" t="s">
        <v>416</v>
      </c>
      <c r="J101">
        <v>1693515875.5999999</v>
      </c>
      <c r="K101">
        <f t="shared" si="92"/>
        <v>2.934842681933135E-3</v>
      </c>
      <c r="L101">
        <f t="shared" si="93"/>
        <v>2.934842681933135</v>
      </c>
      <c r="M101">
        <f t="shared" si="94"/>
        <v>33.605276400469599</v>
      </c>
      <c r="N101">
        <f t="shared" si="95"/>
        <v>358.41699999999997</v>
      </c>
      <c r="O101">
        <f t="shared" si="96"/>
        <v>85.294261523206274</v>
      </c>
      <c r="P101">
        <f t="shared" si="97"/>
        <v>8.4909002014518933</v>
      </c>
      <c r="Q101">
        <f t="shared" si="98"/>
        <v>35.679809205872402</v>
      </c>
      <c r="R101">
        <f t="shared" si="99"/>
        <v>0.20742331900704866</v>
      </c>
      <c r="S101">
        <f t="shared" si="100"/>
        <v>2.9286153749529666</v>
      </c>
      <c r="T101">
        <f t="shared" si="101"/>
        <v>0.19959367328906313</v>
      </c>
      <c r="U101">
        <f t="shared" si="102"/>
        <v>0.12542488394010665</v>
      </c>
      <c r="V101">
        <f t="shared" si="103"/>
        <v>344.4143996710439</v>
      </c>
      <c r="W101">
        <f t="shared" si="104"/>
        <v>31.671106367201737</v>
      </c>
      <c r="X101">
        <f t="shared" si="105"/>
        <v>30.0059</v>
      </c>
      <c r="Y101">
        <f t="shared" si="106"/>
        <v>4.2618938144372551</v>
      </c>
      <c r="Z101">
        <f t="shared" si="107"/>
        <v>65.364609167608236</v>
      </c>
      <c r="AA101">
        <f t="shared" si="108"/>
        <v>2.8504167405462004</v>
      </c>
      <c r="AB101">
        <f t="shared" si="109"/>
        <v>4.360795202243386</v>
      </c>
      <c r="AC101">
        <f t="shared" si="110"/>
        <v>1.4114770738910547</v>
      </c>
      <c r="AD101">
        <f t="shared" si="111"/>
        <v>-129.42656227325125</v>
      </c>
      <c r="AE101">
        <f t="shared" si="112"/>
        <v>63.155004837785512</v>
      </c>
      <c r="AF101">
        <f t="shared" si="113"/>
        <v>4.8047387108391986</v>
      </c>
      <c r="AG101">
        <f t="shared" si="114"/>
        <v>282.94758094641736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52244.945538869375</v>
      </c>
      <c r="AM101" t="s">
        <v>417</v>
      </c>
      <c r="AN101">
        <v>10366.9</v>
      </c>
      <c r="AO101">
        <v>993.59653846153856</v>
      </c>
      <c r="AP101">
        <v>3431.87</v>
      </c>
      <c r="AQ101">
        <f t="shared" si="118"/>
        <v>0.71047955241266758</v>
      </c>
      <c r="AR101">
        <v>-3.9894345373445681</v>
      </c>
      <c r="AS101" t="s">
        <v>851</v>
      </c>
      <c r="AT101">
        <v>10298.5</v>
      </c>
      <c r="AU101">
        <v>681.76467999999988</v>
      </c>
      <c r="AV101">
        <v>927.27276643886796</v>
      </c>
      <c r="AW101">
        <f t="shared" si="119"/>
        <v>0.26476361144706784</v>
      </c>
      <c r="AX101">
        <v>0.5</v>
      </c>
      <c r="AY101">
        <f t="shared" si="120"/>
        <v>1513.3859998355217</v>
      </c>
      <c r="AZ101">
        <f t="shared" si="121"/>
        <v>33.605276400469599</v>
      </c>
      <c r="BA101">
        <f t="shared" si="122"/>
        <v>200.34477141494216</v>
      </c>
      <c r="BB101">
        <f t="shared" si="123"/>
        <v>2.4841455479236659E-2</v>
      </c>
      <c r="BC101">
        <f t="shared" si="124"/>
        <v>2.701036118185459</v>
      </c>
      <c r="BD101">
        <f t="shared" si="125"/>
        <v>557.57219245531667</v>
      </c>
      <c r="BE101" t="s">
        <v>852</v>
      </c>
      <c r="BF101">
        <v>509.15</v>
      </c>
      <c r="BG101">
        <f t="shared" si="126"/>
        <v>509.15</v>
      </c>
      <c r="BH101">
        <f t="shared" si="127"/>
        <v>0.4509166898588447</v>
      </c>
      <c r="BI101">
        <f t="shared" si="128"/>
        <v>0.58716746885095239</v>
      </c>
      <c r="BJ101">
        <f t="shared" si="129"/>
        <v>0.85694053264121506</v>
      </c>
      <c r="BK101">
        <f t="shared" si="130"/>
        <v>-3.7016604899213092</v>
      </c>
      <c r="BL101">
        <f t="shared" si="131"/>
        <v>1.0272011212314234</v>
      </c>
      <c r="BM101">
        <f t="shared" si="132"/>
        <v>0.43850367368028287</v>
      </c>
      <c r="BN101">
        <f t="shared" si="133"/>
        <v>0.56149632631971713</v>
      </c>
      <c r="BO101">
        <v>16876</v>
      </c>
      <c r="BP101">
        <v>290.00000000000011</v>
      </c>
      <c r="BQ101">
        <v>860.59</v>
      </c>
      <c r="BR101">
        <v>165</v>
      </c>
      <c r="BS101">
        <v>10298.5</v>
      </c>
      <c r="BT101">
        <v>858.79</v>
      </c>
      <c r="BU101">
        <v>1.8</v>
      </c>
      <c r="BV101">
        <v>300.00000000000011</v>
      </c>
      <c r="BW101">
        <v>38.4</v>
      </c>
      <c r="BX101">
        <v>927.27276643886796</v>
      </c>
      <c r="BY101">
        <v>1.1643797711494941</v>
      </c>
      <c r="BZ101">
        <v>-70.52616939136162</v>
      </c>
      <c r="CA101">
        <v>0.98061460941543832</v>
      </c>
      <c r="CB101">
        <v>0.9946159439218879</v>
      </c>
      <c r="CC101">
        <v>-1.1210350611790871E-2</v>
      </c>
      <c r="CD101">
        <v>289.99999999999989</v>
      </c>
      <c r="CE101">
        <v>854.13</v>
      </c>
      <c r="CF101">
        <v>755</v>
      </c>
      <c r="CG101">
        <v>10263</v>
      </c>
      <c r="CH101">
        <v>858.55</v>
      </c>
      <c r="CI101">
        <v>-4.42</v>
      </c>
      <c r="CW101">
        <f t="shared" si="134"/>
        <v>1800.24</v>
      </c>
      <c r="CX101">
        <f t="shared" si="135"/>
        <v>1513.3859998355217</v>
      </c>
      <c r="CY101">
        <f t="shared" si="136"/>
        <v>0.84065791218699826</v>
      </c>
      <c r="CZ101">
        <f t="shared" si="137"/>
        <v>0.19131582437399675</v>
      </c>
      <c r="DA101">
        <v>6</v>
      </c>
      <c r="DB101">
        <v>0.5</v>
      </c>
      <c r="DC101" t="s">
        <v>420</v>
      </c>
      <c r="DD101">
        <v>2</v>
      </c>
      <c r="DE101">
        <v>1693515875.5999999</v>
      </c>
      <c r="DF101">
        <v>358.41699999999997</v>
      </c>
      <c r="DG101">
        <v>400.02300000000002</v>
      </c>
      <c r="DH101">
        <v>28.633500000000002</v>
      </c>
      <c r="DI101">
        <v>25.211099999999998</v>
      </c>
      <c r="DJ101">
        <v>360.55900000000003</v>
      </c>
      <c r="DK101">
        <v>28.942900000000002</v>
      </c>
      <c r="DL101">
        <v>499.791</v>
      </c>
      <c r="DM101">
        <v>99.4495</v>
      </c>
      <c r="DN101">
        <v>9.8817199999999994E-2</v>
      </c>
      <c r="DO101">
        <v>30.405899999999999</v>
      </c>
      <c r="DP101">
        <v>30.0059</v>
      </c>
      <c r="DQ101">
        <v>999.9</v>
      </c>
      <c r="DR101">
        <v>0</v>
      </c>
      <c r="DS101">
        <v>0</v>
      </c>
      <c r="DT101">
        <v>10050</v>
      </c>
      <c r="DU101">
        <v>0</v>
      </c>
      <c r="DV101">
        <v>686.07600000000002</v>
      </c>
      <c r="DW101">
        <v>-41.605400000000003</v>
      </c>
      <c r="DX101">
        <v>368.983</v>
      </c>
      <c r="DY101">
        <v>410.36900000000003</v>
      </c>
      <c r="DZ101">
        <v>3.4223400000000002</v>
      </c>
      <c r="EA101">
        <v>400.02300000000002</v>
      </c>
      <c r="EB101">
        <v>25.211099999999998</v>
      </c>
      <c r="EC101">
        <v>2.8475799999999998</v>
      </c>
      <c r="ED101">
        <v>2.5072299999999998</v>
      </c>
      <c r="EE101">
        <v>23.162600000000001</v>
      </c>
      <c r="EF101">
        <v>21.073499999999999</v>
      </c>
      <c r="EG101">
        <v>1800.24</v>
      </c>
      <c r="EH101">
        <v>0.97800600000000004</v>
      </c>
      <c r="EI101">
        <v>2.1993499999999999E-2</v>
      </c>
      <c r="EJ101">
        <v>0</v>
      </c>
      <c r="EK101">
        <v>681.45</v>
      </c>
      <c r="EL101">
        <v>5.0002500000000003</v>
      </c>
      <c r="EM101">
        <v>19566.7</v>
      </c>
      <c r="EN101">
        <v>14824.1</v>
      </c>
      <c r="EO101">
        <v>48.811999999999998</v>
      </c>
      <c r="EP101">
        <v>49.811999999999998</v>
      </c>
      <c r="EQ101">
        <v>49.5</v>
      </c>
      <c r="ER101">
        <v>49.311999999999998</v>
      </c>
      <c r="ES101">
        <v>49.936999999999998</v>
      </c>
      <c r="ET101">
        <v>1755.76</v>
      </c>
      <c r="EU101">
        <v>39.479999999999997</v>
      </c>
      <c r="EV101">
        <v>0</v>
      </c>
      <c r="EW101">
        <v>875</v>
      </c>
      <c r="EX101">
        <v>0</v>
      </c>
      <c r="EY101">
        <v>681.76467999999988</v>
      </c>
      <c r="EZ101">
        <v>-1.5974615422208409</v>
      </c>
      <c r="FA101">
        <v>35.061538808520218</v>
      </c>
      <c r="FB101">
        <v>19561.144</v>
      </c>
      <c r="FC101">
        <v>15</v>
      </c>
      <c r="FD101">
        <v>1693515844.0999999</v>
      </c>
      <c r="FE101" t="s">
        <v>853</v>
      </c>
      <c r="FF101">
        <v>1693515844.0999999</v>
      </c>
      <c r="FG101">
        <v>1693515839.5999999</v>
      </c>
      <c r="FH101">
        <v>97</v>
      </c>
      <c r="FI101">
        <v>-0.11600000000000001</v>
      </c>
      <c r="FJ101">
        <v>-4.1000000000000002E-2</v>
      </c>
      <c r="FK101">
        <v>-2.1419999999999999</v>
      </c>
      <c r="FL101">
        <v>-0.309</v>
      </c>
      <c r="FM101">
        <v>400</v>
      </c>
      <c r="FN101">
        <v>25</v>
      </c>
      <c r="FO101">
        <v>0.19</v>
      </c>
      <c r="FP101">
        <v>0.09</v>
      </c>
      <c r="FQ101">
        <v>33.589565485426967</v>
      </c>
      <c r="FR101">
        <v>-0.138590574217347</v>
      </c>
      <c r="FS101">
        <v>6.7097657300250843E-2</v>
      </c>
      <c r="FT101">
        <v>1</v>
      </c>
      <c r="FU101">
        <v>0.20282074808422401</v>
      </c>
      <c r="FV101">
        <v>2.859757284138302E-2</v>
      </c>
      <c r="FW101">
        <v>2.5525437248040809E-3</v>
      </c>
      <c r="FX101">
        <v>1</v>
      </c>
      <c r="FY101">
        <v>2</v>
      </c>
      <c r="FZ101">
        <v>2</v>
      </c>
      <c r="GA101" t="s">
        <v>422</v>
      </c>
      <c r="GB101">
        <v>2.9182299999999999</v>
      </c>
      <c r="GC101">
        <v>2.8291400000000002</v>
      </c>
      <c r="GD101">
        <v>8.3398200000000006E-2</v>
      </c>
      <c r="GE101">
        <v>8.8727600000000004E-2</v>
      </c>
      <c r="GF101">
        <v>0.135769</v>
      </c>
      <c r="GG101">
        <v>0.118675</v>
      </c>
      <c r="GH101">
        <v>23967.1</v>
      </c>
      <c r="GI101">
        <v>28990</v>
      </c>
      <c r="GJ101">
        <v>23540.799999999999</v>
      </c>
      <c r="GK101">
        <v>29126.1</v>
      </c>
      <c r="GL101">
        <v>27757.3</v>
      </c>
      <c r="GM101">
        <v>36303</v>
      </c>
      <c r="GN101">
        <v>33298.699999999997</v>
      </c>
      <c r="GO101">
        <v>42963.199999999997</v>
      </c>
      <c r="GP101">
        <v>1.9972000000000001</v>
      </c>
      <c r="GQ101">
        <v>1.7769999999999999</v>
      </c>
      <c r="GR101">
        <v>5.02914E-2</v>
      </c>
      <c r="GS101">
        <v>0</v>
      </c>
      <c r="GT101">
        <v>29.186900000000001</v>
      </c>
      <c r="GU101">
        <v>999.9</v>
      </c>
      <c r="GV101">
        <v>32.1</v>
      </c>
      <c r="GW101">
        <v>44.8</v>
      </c>
      <c r="GX101">
        <v>30.791699999999999</v>
      </c>
      <c r="GY101">
        <v>61.255000000000003</v>
      </c>
      <c r="GZ101">
        <v>36.778799999999997</v>
      </c>
      <c r="HA101">
        <v>1</v>
      </c>
      <c r="HB101">
        <v>0.41247</v>
      </c>
      <c r="HC101">
        <v>2.4759799999999998</v>
      </c>
      <c r="HD101">
        <v>20.250699999999998</v>
      </c>
      <c r="HE101">
        <v>5.2047100000000004</v>
      </c>
      <c r="HF101">
        <v>11.872199999999999</v>
      </c>
      <c r="HG101">
        <v>4.984</v>
      </c>
      <c r="HH101">
        <v>3.2831000000000001</v>
      </c>
      <c r="HI101">
        <v>9999</v>
      </c>
      <c r="HJ101">
        <v>9999</v>
      </c>
      <c r="HK101">
        <v>9999</v>
      </c>
      <c r="HL101">
        <v>999.9</v>
      </c>
      <c r="HM101">
        <v>1.8547100000000001</v>
      </c>
      <c r="HN101">
        <v>1.8608100000000001</v>
      </c>
      <c r="HO101">
        <v>1.8581399999999999</v>
      </c>
      <c r="HP101">
        <v>1.85924</v>
      </c>
      <c r="HQ101">
        <v>1.8585499999999999</v>
      </c>
      <c r="HR101">
        <v>1.8591299999999999</v>
      </c>
      <c r="HS101">
        <v>1.85745</v>
      </c>
      <c r="HT101">
        <v>1.8608100000000001</v>
      </c>
      <c r="HU101">
        <v>5</v>
      </c>
      <c r="HV101">
        <v>0</v>
      </c>
      <c r="HW101">
        <v>0</v>
      </c>
      <c r="HX101">
        <v>0</v>
      </c>
      <c r="HY101" t="s">
        <v>423</v>
      </c>
      <c r="HZ101" t="s">
        <v>424</v>
      </c>
      <c r="IA101" t="s">
        <v>425</v>
      </c>
      <c r="IB101" t="s">
        <v>425</v>
      </c>
      <c r="IC101" t="s">
        <v>425</v>
      </c>
      <c r="ID101" t="s">
        <v>425</v>
      </c>
      <c r="IE101">
        <v>0</v>
      </c>
      <c r="IF101">
        <v>100</v>
      </c>
      <c r="IG101">
        <v>100</v>
      </c>
      <c r="IH101">
        <v>-2.1419999999999999</v>
      </c>
      <c r="II101">
        <v>-0.30940000000000001</v>
      </c>
      <c r="IJ101">
        <v>-2.141699999999958</v>
      </c>
      <c r="IK101">
        <v>0</v>
      </c>
      <c r="IL101">
        <v>0</v>
      </c>
      <c r="IM101">
        <v>0</v>
      </c>
      <c r="IN101">
        <v>-0.30940476190476568</v>
      </c>
      <c r="IO101">
        <v>0</v>
      </c>
      <c r="IP101">
        <v>0</v>
      </c>
      <c r="IQ101">
        <v>0</v>
      </c>
      <c r="IR101">
        <v>-1</v>
      </c>
      <c r="IS101">
        <v>-1</v>
      </c>
      <c r="IT101">
        <v>-1</v>
      </c>
      <c r="IU101">
        <v>-1</v>
      </c>
      <c r="IV101">
        <v>0.5</v>
      </c>
      <c r="IW101">
        <v>0.6</v>
      </c>
      <c r="IX101">
        <v>0.99853499999999995</v>
      </c>
      <c r="IY101">
        <v>2.4902299999999999</v>
      </c>
      <c r="IZ101">
        <v>1.49414</v>
      </c>
      <c r="JA101">
        <v>2.2802699999999998</v>
      </c>
      <c r="JB101">
        <v>1.54419</v>
      </c>
      <c r="JC101">
        <v>2.5293000000000001</v>
      </c>
      <c r="JD101">
        <v>47.271999999999998</v>
      </c>
      <c r="JE101">
        <v>23.9999</v>
      </c>
      <c r="JF101">
        <v>18</v>
      </c>
      <c r="JG101">
        <v>532.41300000000001</v>
      </c>
      <c r="JH101">
        <v>418.09199999999998</v>
      </c>
      <c r="JI101">
        <v>25.6434</v>
      </c>
      <c r="JJ101">
        <v>32.4512</v>
      </c>
      <c r="JK101">
        <v>30.000599999999999</v>
      </c>
      <c r="JL101">
        <v>32.307499999999997</v>
      </c>
      <c r="JM101">
        <v>32.261400000000002</v>
      </c>
      <c r="JN101">
        <v>20.064599999999999</v>
      </c>
      <c r="JO101">
        <v>10.656599999999999</v>
      </c>
      <c r="JP101">
        <v>24.8062</v>
      </c>
      <c r="JQ101">
        <v>25.647400000000001</v>
      </c>
      <c r="JR101">
        <v>400</v>
      </c>
      <c r="JS101">
        <v>25.1142</v>
      </c>
      <c r="JT101">
        <v>98.743799999999993</v>
      </c>
      <c r="JU101">
        <v>96.799599999999998</v>
      </c>
    </row>
    <row r="102" spans="1:281" x14ac:dyDescent="0.25">
      <c r="A102">
        <v>86</v>
      </c>
      <c r="B102">
        <v>1693515975.0999999</v>
      </c>
      <c r="C102">
        <v>21839.099999904629</v>
      </c>
      <c r="D102" t="s">
        <v>854</v>
      </c>
      <c r="E102" t="s">
        <v>855</v>
      </c>
      <c r="F102" t="s">
        <v>414</v>
      </c>
      <c r="G102" t="s">
        <v>494</v>
      </c>
      <c r="H102" t="s">
        <v>416</v>
      </c>
      <c r="I102" t="s">
        <v>416</v>
      </c>
      <c r="J102">
        <v>1693515975.0999999</v>
      </c>
      <c r="K102">
        <f t="shared" si="92"/>
        <v>3.0406018623474729E-3</v>
      </c>
      <c r="L102">
        <f t="shared" si="93"/>
        <v>3.0406018623474731</v>
      </c>
      <c r="M102">
        <f t="shared" si="94"/>
        <v>26.766639899975942</v>
      </c>
      <c r="N102">
        <f t="shared" si="95"/>
        <v>266.952</v>
      </c>
      <c r="O102">
        <f t="shared" si="96"/>
        <v>58.063006970916376</v>
      </c>
      <c r="P102">
        <f t="shared" si="97"/>
        <v>5.7801220439717866</v>
      </c>
      <c r="Q102">
        <f t="shared" si="98"/>
        <v>26.5748403394824</v>
      </c>
      <c r="R102">
        <f t="shared" si="99"/>
        <v>0.21612115503158438</v>
      </c>
      <c r="S102">
        <f t="shared" si="100"/>
        <v>2.9264347060391871</v>
      </c>
      <c r="T102">
        <f t="shared" si="101"/>
        <v>0.20762949478148149</v>
      </c>
      <c r="U102">
        <f t="shared" si="102"/>
        <v>0.13050357571460811</v>
      </c>
      <c r="V102">
        <f t="shared" si="103"/>
        <v>344.37259967100374</v>
      </c>
      <c r="W102">
        <f t="shared" si="104"/>
        <v>31.642471137614475</v>
      </c>
      <c r="X102">
        <f t="shared" si="105"/>
        <v>30.0076</v>
      </c>
      <c r="Y102">
        <f t="shared" si="106"/>
        <v>4.2623099734906358</v>
      </c>
      <c r="Z102">
        <f t="shared" si="107"/>
        <v>65.513204784183159</v>
      </c>
      <c r="AA102">
        <f t="shared" si="108"/>
        <v>2.8566022111749798</v>
      </c>
      <c r="AB102">
        <f t="shared" si="109"/>
        <v>4.3603457052442183</v>
      </c>
      <c r="AC102">
        <f t="shared" si="110"/>
        <v>1.405707762315656</v>
      </c>
      <c r="AD102">
        <f t="shared" si="111"/>
        <v>-134.09054212952356</v>
      </c>
      <c r="AE102">
        <f t="shared" si="112"/>
        <v>62.55578433124186</v>
      </c>
      <c r="AF102">
        <f t="shared" si="113"/>
        <v>4.762694854845078</v>
      </c>
      <c r="AG102">
        <f t="shared" si="114"/>
        <v>277.60053672756709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52183.048923048234</v>
      </c>
      <c r="AM102" t="s">
        <v>417</v>
      </c>
      <c r="AN102">
        <v>10366.9</v>
      </c>
      <c r="AO102">
        <v>993.59653846153856</v>
      </c>
      <c r="AP102">
        <v>3431.87</v>
      </c>
      <c r="AQ102">
        <f t="shared" si="118"/>
        <v>0.71047955241266758</v>
      </c>
      <c r="AR102">
        <v>-3.9894345373445681</v>
      </c>
      <c r="AS102" t="s">
        <v>856</v>
      </c>
      <c r="AT102">
        <v>10298.5</v>
      </c>
      <c r="AU102">
        <v>677.85973076923074</v>
      </c>
      <c r="AV102">
        <v>874.30719540723214</v>
      </c>
      <c r="AW102">
        <f t="shared" si="119"/>
        <v>0.22468929189871378</v>
      </c>
      <c r="AX102">
        <v>0.5</v>
      </c>
      <c r="AY102">
        <f t="shared" si="120"/>
        <v>1513.2011998355017</v>
      </c>
      <c r="AZ102">
        <f t="shared" si="121"/>
        <v>26.766639899975942</v>
      </c>
      <c r="BA102">
        <f t="shared" si="122"/>
        <v>170.00005304566147</v>
      </c>
      <c r="BB102">
        <f t="shared" si="123"/>
        <v>2.0325171854650898E-2</v>
      </c>
      <c r="BC102">
        <f t="shared" si="124"/>
        <v>2.9252450603491993</v>
      </c>
      <c r="BD102">
        <f t="shared" si="125"/>
        <v>537.97537250262712</v>
      </c>
      <c r="BE102" t="s">
        <v>857</v>
      </c>
      <c r="BF102">
        <v>506.53</v>
      </c>
      <c r="BG102">
        <f t="shared" si="126"/>
        <v>506.53</v>
      </c>
      <c r="BH102">
        <f t="shared" si="127"/>
        <v>0.42064985549607659</v>
      </c>
      <c r="BI102">
        <f t="shared" si="128"/>
        <v>0.5341480306316414</v>
      </c>
      <c r="BJ102">
        <f t="shared" si="129"/>
        <v>0.87427882044233074</v>
      </c>
      <c r="BK102">
        <f t="shared" si="130"/>
        <v>-1.6468148755632663</v>
      </c>
      <c r="BL102">
        <f t="shared" si="131"/>
        <v>1.0489236933165975</v>
      </c>
      <c r="BM102">
        <f t="shared" si="132"/>
        <v>0.39914157704694053</v>
      </c>
      <c r="BN102">
        <f t="shared" si="133"/>
        <v>0.60085842295305947</v>
      </c>
      <c r="BO102">
        <v>16878</v>
      </c>
      <c r="BP102">
        <v>290.00000000000011</v>
      </c>
      <c r="BQ102">
        <v>822.18</v>
      </c>
      <c r="BR102">
        <v>155</v>
      </c>
      <c r="BS102">
        <v>10298.5</v>
      </c>
      <c r="BT102">
        <v>820.12</v>
      </c>
      <c r="BU102">
        <v>2.06</v>
      </c>
      <c r="BV102">
        <v>300.00000000000011</v>
      </c>
      <c r="BW102">
        <v>38.5</v>
      </c>
      <c r="BX102">
        <v>874.30719540723214</v>
      </c>
      <c r="BY102">
        <v>1.2625894982077699</v>
      </c>
      <c r="BZ102">
        <v>-55.799608826905533</v>
      </c>
      <c r="CA102">
        <v>1.0631513454023009</v>
      </c>
      <c r="CB102">
        <v>0.9899377800168766</v>
      </c>
      <c r="CC102">
        <v>-1.1208479644048931E-2</v>
      </c>
      <c r="CD102">
        <v>289.99999999999989</v>
      </c>
      <c r="CE102">
        <v>817.25</v>
      </c>
      <c r="CF102">
        <v>795</v>
      </c>
      <c r="CG102">
        <v>10258.9</v>
      </c>
      <c r="CH102">
        <v>819.92</v>
      </c>
      <c r="CI102">
        <v>-2.67</v>
      </c>
      <c r="CW102">
        <f t="shared" si="134"/>
        <v>1800.02</v>
      </c>
      <c r="CX102">
        <f t="shared" si="135"/>
        <v>1513.2011998355017</v>
      </c>
      <c r="CY102">
        <f t="shared" si="136"/>
        <v>0.84065799259758323</v>
      </c>
      <c r="CZ102">
        <f t="shared" si="137"/>
        <v>0.19131598519516657</v>
      </c>
      <c r="DA102">
        <v>6</v>
      </c>
      <c r="DB102">
        <v>0.5</v>
      </c>
      <c r="DC102" t="s">
        <v>420</v>
      </c>
      <c r="DD102">
        <v>2</v>
      </c>
      <c r="DE102">
        <v>1693515975.0999999</v>
      </c>
      <c r="DF102">
        <v>266.952</v>
      </c>
      <c r="DG102">
        <v>300.029</v>
      </c>
      <c r="DH102">
        <v>28.695399999999999</v>
      </c>
      <c r="DI102">
        <v>25.153199999999998</v>
      </c>
      <c r="DJ102">
        <v>269.07900000000001</v>
      </c>
      <c r="DK102">
        <v>29.005600000000001</v>
      </c>
      <c r="DL102">
        <v>500.25700000000001</v>
      </c>
      <c r="DM102">
        <v>99.449600000000004</v>
      </c>
      <c r="DN102">
        <v>9.9533700000000003E-2</v>
      </c>
      <c r="DO102">
        <v>30.4041</v>
      </c>
      <c r="DP102">
        <v>30.0076</v>
      </c>
      <c r="DQ102">
        <v>999.9</v>
      </c>
      <c r="DR102">
        <v>0</v>
      </c>
      <c r="DS102">
        <v>0</v>
      </c>
      <c r="DT102">
        <v>10037.5</v>
      </c>
      <c r="DU102">
        <v>0</v>
      </c>
      <c r="DV102">
        <v>644.08100000000002</v>
      </c>
      <c r="DW102">
        <v>-33.077599999999997</v>
      </c>
      <c r="DX102">
        <v>274.83800000000002</v>
      </c>
      <c r="DY102">
        <v>307.77100000000002</v>
      </c>
      <c r="DZ102">
        <v>3.54223</v>
      </c>
      <c r="EA102">
        <v>300.029</v>
      </c>
      <c r="EB102">
        <v>25.153199999999998</v>
      </c>
      <c r="EC102">
        <v>2.8537499999999998</v>
      </c>
      <c r="ED102">
        <v>2.5014699999999999</v>
      </c>
      <c r="EE102">
        <v>23.1983</v>
      </c>
      <c r="EF102">
        <v>21.036100000000001</v>
      </c>
      <c r="EG102">
        <v>1800.02</v>
      </c>
      <c r="EH102">
        <v>0.97800600000000004</v>
      </c>
      <c r="EI102">
        <v>2.1993499999999999E-2</v>
      </c>
      <c r="EJ102">
        <v>0</v>
      </c>
      <c r="EK102">
        <v>677.23699999999997</v>
      </c>
      <c r="EL102">
        <v>5.0002500000000003</v>
      </c>
      <c r="EM102">
        <v>19460.2</v>
      </c>
      <c r="EN102">
        <v>14822.3</v>
      </c>
      <c r="EO102">
        <v>49</v>
      </c>
      <c r="EP102">
        <v>49.936999999999998</v>
      </c>
      <c r="EQ102">
        <v>49.686999999999998</v>
      </c>
      <c r="ER102">
        <v>49.436999999999998</v>
      </c>
      <c r="ES102">
        <v>50.061999999999998</v>
      </c>
      <c r="ET102">
        <v>1755.54</v>
      </c>
      <c r="EU102">
        <v>39.479999999999997</v>
      </c>
      <c r="EV102">
        <v>0</v>
      </c>
      <c r="EW102">
        <v>97.400000095367432</v>
      </c>
      <c r="EX102">
        <v>0</v>
      </c>
      <c r="EY102">
        <v>677.85973076923074</v>
      </c>
      <c r="EZ102">
        <v>-3.8177435973754399</v>
      </c>
      <c r="FA102">
        <v>-96.63589737658539</v>
      </c>
      <c r="FB102">
        <v>19469.346153846149</v>
      </c>
      <c r="FC102">
        <v>15</v>
      </c>
      <c r="FD102">
        <v>1693515948.0999999</v>
      </c>
      <c r="FE102" t="s">
        <v>858</v>
      </c>
      <c r="FF102">
        <v>1693515948.0999999</v>
      </c>
      <c r="FG102">
        <v>1693515947.0999999</v>
      </c>
      <c r="FH102">
        <v>98</v>
      </c>
      <c r="FI102">
        <v>1.4E-2</v>
      </c>
      <c r="FJ102">
        <v>-1E-3</v>
      </c>
      <c r="FK102">
        <v>-2.1280000000000001</v>
      </c>
      <c r="FL102">
        <v>-0.31</v>
      </c>
      <c r="FM102">
        <v>300</v>
      </c>
      <c r="FN102">
        <v>25</v>
      </c>
      <c r="FO102">
        <v>0.3</v>
      </c>
      <c r="FP102">
        <v>0.11</v>
      </c>
      <c r="FQ102">
        <v>26.66365221915451</v>
      </c>
      <c r="FR102">
        <v>9.7691812881074439E-2</v>
      </c>
      <c r="FS102">
        <v>7.5921480136458525E-2</v>
      </c>
      <c r="FT102">
        <v>1</v>
      </c>
      <c r="FU102">
        <v>0.20996334267346531</v>
      </c>
      <c r="FV102">
        <v>3.5873643526144E-2</v>
      </c>
      <c r="FW102">
        <v>2.753889629552577E-3</v>
      </c>
      <c r="FX102">
        <v>1</v>
      </c>
      <c r="FY102">
        <v>2</v>
      </c>
      <c r="FZ102">
        <v>2</v>
      </c>
      <c r="GA102" t="s">
        <v>422</v>
      </c>
      <c r="GB102">
        <v>2.9192399999999998</v>
      </c>
      <c r="GC102">
        <v>2.8297500000000002</v>
      </c>
      <c r="GD102">
        <v>6.5856399999999995E-2</v>
      </c>
      <c r="GE102">
        <v>7.0672899999999997E-2</v>
      </c>
      <c r="GF102">
        <v>0.13592899999999999</v>
      </c>
      <c r="GG102">
        <v>0.118448</v>
      </c>
      <c r="GH102">
        <v>24421.200000000001</v>
      </c>
      <c r="GI102">
        <v>29556.7</v>
      </c>
      <c r="GJ102">
        <v>23537</v>
      </c>
      <c r="GK102">
        <v>29119.4</v>
      </c>
      <c r="GL102">
        <v>27747.9</v>
      </c>
      <c r="GM102">
        <v>36304</v>
      </c>
      <c r="GN102">
        <v>33294.6</v>
      </c>
      <c r="GO102">
        <v>42954.7</v>
      </c>
      <c r="GP102">
        <v>1.9955000000000001</v>
      </c>
      <c r="GQ102">
        <v>1.774</v>
      </c>
      <c r="GR102">
        <v>5.2243499999999998E-2</v>
      </c>
      <c r="GS102">
        <v>0</v>
      </c>
      <c r="GT102">
        <v>29.1569</v>
      </c>
      <c r="GU102">
        <v>999.9</v>
      </c>
      <c r="GV102">
        <v>31.9</v>
      </c>
      <c r="GW102">
        <v>44.8</v>
      </c>
      <c r="GX102">
        <v>30.595300000000002</v>
      </c>
      <c r="GY102">
        <v>61.274999999999999</v>
      </c>
      <c r="GZ102">
        <v>36.971200000000003</v>
      </c>
      <c r="HA102">
        <v>1</v>
      </c>
      <c r="HB102">
        <v>0.42217500000000002</v>
      </c>
      <c r="HC102">
        <v>2.3494299999999999</v>
      </c>
      <c r="HD102">
        <v>20.253</v>
      </c>
      <c r="HE102">
        <v>5.2088999999999999</v>
      </c>
      <c r="HF102">
        <v>11.872199999999999</v>
      </c>
      <c r="HG102">
        <v>4.9832000000000001</v>
      </c>
      <c r="HH102">
        <v>3.2839999999999998</v>
      </c>
      <c r="HI102">
        <v>9999</v>
      </c>
      <c r="HJ102">
        <v>9999</v>
      </c>
      <c r="HK102">
        <v>9999</v>
      </c>
      <c r="HL102">
        <v>999.9</v>
      </c>
      <c r="HM102">
        <v>1.8548500000000001</v>
      </c>
      <c r="HN102">
        <v>1.8608100000000001</v>
      </c>
      <c r="HO102">
        <v>1.85819</v>
      </c>
      <c r="HP102">
        <v>1.85928</v>
      </c>
      <c r="HQ102">
        <v>1.8586499999999999</v>
      </c>
      <c r="HR102">
        <v>1.8591299999999999</v>
      </c>
      <c r="HS102">
        <v>1.85747</v>
      </c>
      <c r="HT102">
        <v>1.8608100000000001</v>
      </c>
      <c r="HU102">
        <v>5</v>
      </c>
      <c r="HV102">
        <v>0</v>
      </c>
      <c r="HW102">
        <v>0</v>
      </c>
      <c r="HX102">
        <v>0</v>
      </c>
      <c r="HY102" t="s">
        <v>423</v>
      </c>
      <c r="HZ102" t="s">
        <v>424</v>
      </c>
      <c r="IA102" t="s">
        <v>425</v>
      </c>
      <c r="IB102" t="s">
        <v>425</v>
      </c>
      <c r="IC102" t="s">
        <v>425</v>
      </c>
      <c r="ID102" t="s">
        <v>425</v>
      </c>
      <c r="IE102">
        <v>0</v>
      </c>
      <c r="IF102">
        <v>100</v>
      </c>
      <c r="IG102">
        <v>100</v>
      </c>
      <c r="IH102">
        <v>-2.1269999999999998</v>
      </c>
      <c r="II102">
        <v>-0.31019999999999998</v>
      </c>
      <c r="IJ102">
        <v>-2.127523809523836</v>
      </c>
      <c r="IK102">
        <v>0</v>
      </c>
      <c r="IL102">
        <v>0</v>
      </c>
      <c r="IM102">
        <v>0</v>
      </c>
      <c r="IN102">
        <v>-0.31018571428570851</v>
      </c>
      <c r="IO102">
        <v>0</v>
      </c>
      <c r="IP102">
        <v>0</v>
      </c>
      <c r="IQ102">
        <v>0</v>
      </c>
      <c r="IR102">
        <v>-1</v>
      </c>
      <c r="IS102">
        <v>-1</v>
      </c>
      <c r="IT102">
        <v>-1</v>
      </c>
      <c r="IU102">
        <v>-1</v>
      </c>
      <c r="IV102">
        <v>0.5</v>
      </c>
      <c r="IW102">
        <v>0.5</v>
      </c>
      <c r="IX102">
        <v>0.79834000000000005</v>
      </c>
      <c r="IY102">
        <v>2.47681</v>
      </c>
      <c r="IZ102">
        <v>1.49414</v>
      </c>
      <c r="JA102">
        <v>2.2802699999999998</v>
      </c>
      <c r="JB102">
        <v>1.54419</v>
      </c>
      <c r="JC102">
        <v>2.4243199999999998</v>
      </c>
      <c r="JD102">
        <v>47.212299999999999</v>
      </c>
      <c r="JE102">
        <v>24.008700000000001</v>
      </c>
      <c r="JF102">
        <v>18</v>
      </c>
      <c r="JG102">
        <v>532.49300000000005</v>
      </c>
      <c r="JH102">
        <v>417.173</v>
      </c>
      <c r="JI102">
        <v>25.8706</v>
      </c>
      <c r="JJ102">
        <v>32.586599999999997</v>
      </c>
      <c r="JK102">
        <v>30.000900000000001</v>
      </c>
      <c r="JL102">
        <v>32.450299999999999</v>
      </c>
      <c r="JM102">
        <v>32.401699999999998</v>
      </c>
      <c r="JN102">
        <v>16.0489</v>
      </c>
      <c r="JO102">
        <v>10.1065</v>
      </c>
      <c r="JP102">
        <v>24.5807</v>
      </c>
      <c r="JQ102">
        <v>25.841000000000001</v>
      </c>
      <c r="JR102">
        <v>300</v>
      </c>
      <c r="JS102">
        <v>24.933399999999999</v>
      </c>
      <c r="JT102">
        <v>98.730099999999993</v>
      </c>
      <c r="JU102">
        <v>96.7791</v>
      </c>
    </row>
    <row r="103" spans="1:281" x14ac:dyDescent="0.25">
      <c r="A103">
        <v>87</v>
      </c>
      <c r="B103">
        <v>1693516128.5999999</v>
      </c>
      <c r="C103">
        <v>21992.599999904629</v>
      </c>
      <c r="D103" t="s">
        <v>859</v>
      </c>
      <c r="E103" t="s">
        <v>860</v>
      </c>
      <c r="F103" t="s">
        <v>414</v>
      </c>
      <c r="G103" t="s">
        <v>494</v>
      </c>
      <c r="H103" t="s">
        <v>416</v>
      </c>
      <c r="I103" t="s">
        <v>416</v>
      </c>
      <c r="J103">
        <v>1693516128.5999999</v>
      </c>
      <c r="K103">
        <f t="shared" si="92"/>
        <v>3.7394551989767782E-3</v>
      </c>
      <c r="L103">
        <f t="shared" si="93"/>
        <v>3.7394551989767781</v>
      </c>
      <c r="M103">
        <f t="shared" si="94"/>
        <v>20.751730888782408</v>
      </c>
      <c r="N103">
        <f t="shared" si="95"/>
        <v>174.35499999999999</v>
      </c>
      <c r="O103">
        <f t="shared" si="96"/>
        <v>41.626859058312348</v>
      </c>
      <c r="P103">
        <f t="shared" si="97"/>
        <v>4.1437569700011938</v>
      </c>
      <c r="Q103">
        <f t="shared" si="98"/>
        <v>17.356215742640501</v>
      </c>
      <c r="R103">
        <f t="shared" si="99"/>
        <v>0.26604768522243183</v>
      </c>
      <c r="S103">
        <f t="shared" si="100"/>
        <v>2.9180506948106122</v>
      </c>
      <c r="T103">
        <f t="shared" si="101"/>
        <v>0.25326912825983539</v>
      </c>
      <c r="U103">
        <f t="shared" si="102"/>
        <v>0.1593901487774696</v>
      </c>
      <c r="V103">
        <f t="shared" si="103"/>
        <v>344.40229967086447</v>
      </c>
      <c r="W103">
        <f t="shared" si="104"/>
        <v>31.51932742248529</v>
      </c>
      <c r="X103">
        <f t="shared" si="105"/>
        <v>30.02</v>
      </c>
      <c r="Y103">
        <f t="shared" si="106"/>
        <v>4.265346557993702</v>
      </c>
      <c r="Z103">
        <f t="shared" si="107"/>
        <v>65.111346699257851</v>
      </c>
      <c r="AA103">
        <f t="shared" si="108"/>
        <v>2.8480997059692106</v>
      </c>
      <c r="AB103">
        <f t="shared" si="109"/>
        <v>4.3741987385459398</v>
      </c>
      <c r="AC103">
        <f t="shared" si="110"/>
        <v>1.4172468520244914</v>
      </c>
      <c r="AD103">
        <f t="shared" si="111"/>
        <v>-164.90997427487591</v>
      </c>
      <c r="AE103">
        <f t="shared" si="112"/>
        <v>69.141238611267582</v>
      </c>
      <c r="AF103">
        <f t="shared" si="113"/>
        <v>5.2809754482928772</v>
      </c>
      <c r="AG103">
        <f t="shared" si="114"/>
        <v>253.914539455549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51934.580315920641</v>
      </c>
      <c r="AM103" t="s">
        <v>417</v>
      </c>
      <c r="AN103">
        <v>10366.9</v>
      </c>
      <c r="AO103">
        <v>993.59653846153856</v>
      </c>
      <c r="AP103">
        <v>3431.87</v>
      </c>
      <c r="AQ103">
        <f t="shared" si="118"/>
        <v>0.71047955241266758</v>
      </c>
      <c r="AR103">
        <v>-3.9894345373445681</v>
      </c>
      <c r="AS103" t="s">
        <v>861</v>
      </c>
      <c r="AT103">
        <v>10304</v>
      </c>
      <c r="AU103">
        <v>680.73859999999991</v>
      </c>
      <c r="AV103">
        <v>837.03305740429244</v>
      </c>
      <c r="AW103">
        <f t="shared" si="119"/>
        <v>0.18672435457803105</v>
      </c>
      <c r="AX103">
        <v>0.5</v>
      </c>
      <c r="AY103">
        <f t="shared" si="120"/>
        <v>1513.3277998354322</v>
      </c>
      <c r="AZ103">
        <f t="shared" si="121"/>
        <v>20.751730888782408</v>
      </c>
      <c r="BA103">
        <f t="shared" si="122"/>
        <v>141.28757834463141</v>
      </c>
      <c r="BB103">
        <f t="shared" si="123"/>
        <v>1.6348847506017845E-2</v>
      </c>
      <c r="BC103">
        <f t="shared" si="124"/>
        <v>3.1000411747685424</v>
      </c>
      <c r="BD103">
        <f t="shared" si="125"/>
        <v>523.62755533885058</v>
      </c>
      <c r="BE103" t="s">
        <v>862</v>
      </c>
      <c r="BF103">
        <v>503.86</v>
      </c>
      <c r="BG103">
        <f t="shared" si="126"/>
        <v>503.86</v>
      </c>
      <c r="BH103">
        <f t="shared" si="127"/>
        <v>0.39804050085845977</v>
      </c>
      <c r="BI103">
        <f t="shared" si="128"/>
        <v>0.46910893282296634</v>
      </c>
      <c r="BJ103">
        <f t="shared" si="129"/>
        <v>0.88621177611951729</v>
      </c>
      <c r="BK103">
        <f t="shared" si="130"/>
        <v>-0.99828169601789052</v>
      </c>
      <c r="BL103">
        <f t="shared" si="131"/>
        <v>1.0642107965028911</v>
      </c>
      <c r="BM103">
        <f t="shared" si="132"/>
        <v>0.34721878103016324</v>
      </c>
      <c r="BN103">
        <f t="shared" si="133"/>
        <v>0.65278121896983676</v>
      </c>
      <c r="BO103">
        <v>16880</v>
      </c>
      <c r="BP103">
        <v>290.00000000000011</v>
      </c>
      <c r="BQ103">
        <v>793.57</v>
      </c>
      <c r="BR103">
        <v>115</v>
      </c>
      <c r="BS103">
        <v>10304</v>
      </c>
      <c r="BT103">
        <v>792.2</v>
      </c>
      <c r="BU103">
        <v>1.37</v>
      </c>
      <c r="BV103">
        <v>300.00000000000011</v>
      </c>
      <c r="BW103">
        <v>38.5</v>
      </c>
      <c r="BX103">
        <v>837.03305740429244</v>
      </c>
      <c r="BY103">
        <v>1.016359165074437</v>
      </c>
      <c r="BZ103">
        <v>-46.199911681404522</v>
      </c>
      <c r="CA103">
        <v>0.85568934053531365</v>
      </c>
      <c r="CB103">
        <v>0.99048614800615375</v>
      </c>
      <c r="CC103">
        <v>-1.1206703670745281E-2</v>
      </c>
      <c r="CD103">
        <v>289.99999999999989</v>
      </c>
      <c r="CE103">
        <v>788.81</v>
      </c>
      <c r="CF103">
        <v>765</v>
      </c>
      <c r="CG103">
        <v>10259.1</v>
      </c>
      <c r="CH103">
        <v>792</v>
      </c>
      <c r="CI103">
        <v>-3.19</v>
      </c>
      <c r="CW103">
        <f t="shared" si="134"/>
        <v>1800.17</v>
      </c>
      <c r="CX103">
        <f t="shared" si="135"/>
        <v>1513.3277998354322</v>
      </c>
      <c r="CY103">
        <f t="shared" si="136"/>
        <v>0.84065827107186109</v>
      </c>
      <c r="CZ103">
        <f t="shared" si="137"/>
        <v>0.19131654214372223</v>
      </c>
      <c r="DA103">
        <v>6</v>
      </c>
      <c r="DB103">
        <v>0.5</v>
      </c>
      <c r="DC103" t="s">
        <v>420</v>
      </c>
      <c r="DD103">
        <v>2</v>
      </c>
      <c r="DE103">
        <v>1693516128.5999999</v>
      </c>
      <c r="DF103">
        <v>174.35499999999999</v>
      </c>
      <c r="DG103">
        <v>200.035</v>
      </c>
      <c r="DH103">
        <v>28.6111</v>
      </c>
      <c r="DI103">
        <v>24.2529</v>
      </c>
      <c r="DJ103">
        <v>176.35499999999999</v>
      </c>
      <c r="DK103">
        <v>28.927099999999999</v>
      </c>
      <c r="DL103">
        <v>500.08699999999999</v>
      </c>
      <c r="DM103">
        <v>99.445400000000006</v>
      </c>
      <c r="DN103">
        <v>9.9871100000000004E-2</v>
      </c>
      <c r="DO103">
        <v>30.459499999999998</v>
      </c>
      <c r="DP103">
        <v>30.02</v>
      </c>
      <c r="DQ103">
        <v>999.9</v>
      </c>
      <c r="DR103">
        <v>0</v>
      </c>
      <c r="DS103">
        <v>0</v>
      </c>
      <c r="DT103">
        <v>9990</v>
      </c>
      <c r="DU103">
        <v>0</v>
      </c>
      <c r="DV103">
        <v>573.12300000000005</v>
      </c>
      <c r="DW103">
        <v>-25.680299999999999</v>
      </c>
      <c r="DX103">
        <v>179.49</v>
      </c>
      <c r="DY103">
        <v>205.00700000000001</v>
      </c>
      <c r="DZ103">
        <v>4.3582599999999996</v>
      </c>
      <c r="EA103">
        <v>200.035</v>
      </c>
      <c r="EB103">
        <v>24.2529</v>
      </c>
      <c r="EC103">
        <v>2.8452500000000001</v>
      </c>
      <c r="ED103">
        <v>2.4118400000000002</v>
      </c>
      <c r="EE103">
        <v>23.149000000000001</v>
      </c>
      <c r="EF103">
        <v>20.4435</v>
      </c>
      <c r="EG103">
        <v>1800.17</v>
      </c>
      <c r="EH103">
        <v>0.97799400000000003</v>
      </c>
      <c r="EI103">
        <v>2.20057E-2</v>
      </c>
      <c r="EJ103">
        <v>0</v>
      </c>
      <c r="EK103">
        <v>681.06299999999999</v>
      </c>
      <c r="EL103">
        <v>5.0002500000000003</v>
      </c>
      <c r="EM103">
        <v>19482.900000000001</v>
      </c>
      <c r="EN103">
        <v>14823.4</v>
      </c>
      <c r="EO103">
        <v>49.186999999999998</v>
      </c>
      <c r="EP103">
        <v>50.125</v>
      </c>
      <c r="EQ103">
        <v>49.875</v>
      </c>
      <c r="ER103">
        <v>49.625</v>
      </c>
      <c r="ES103">
        <v>50.25</v>
      </c>
      <c r="ET103">
        <v>1755.67</v>
      </c>
      <c r="EU103">
        <v>39.5</v>
      </c>
      <c r="EV103">
        <v>0</v>
      </c>
      <c r="EW103">
        <v>151.4000000953674</v>
      </c>
      <c r="EX103">
        <v>0</v>
      </c>
      <c r="EY103">
        <v>680.73859999999991</v>
      </c>
      <c r="EZ103">
        <v>5.4846160032065862E-2</v>
      </c>
      <c r="FA103">
        <v>-43.992308050519632</v>
      </c>
      <c r="FB103">
        <v>19491.124</v>
      </c>
      <c r="FC103">
        <v>15</v>
      </c>
      <c r="FD103">
        <v>1693516044.5999999</v>
      </c>
      <c r="FE103" t="s">
        <v>863</v>
      </c>
      <c r="FF103">
        <v>1693516036.5999999</v>
      </c>
      <c r="FG103">
        <v>1693516044.5999999</v>
      </c>
      <c r="FH103">
        <v>99</v>
      </c>
      <c r="FI103">
        <v>0.127</v>
      </c>
      <c r="FJ103">
        <v>-6.0000000000000001E-3</v>
      </c>
      <c r="FK103">
        <v>-2</v>
      </c>
      <c r="FL103">
        <v>-0.316</v>
      </c>
      <c r="FM103">
        <v>200</v>
      </c>
      <c r="FN103">
        <v>25</v>
      </c>
      <c r="FO103">
        <v>0.37</v>
      </c>
      <c r="FP103">
        <v>0.08</v>
      </c>
      <c r="FQ103">
        <v>20.60209246762016</v>
      </c>
      <c r="FR103">
        <v>0.5900702631213588</v>
      </c>
      <c r="FS103">
        <v>6.7978081487987937E-2</v>
      </c>
      <c r="FT103">
        <v>1</v>
      </c>
      <c r="FU103">
        <v>0.26376791395066712</v>
      </c>
      <c r="FV103">
        <v>1.9848914501727759E-2</v>
      </c>
      <c r="FW103">
        <v>1.692660789118978E-3</v>
      </c>
      <c r="FX103">
        <v>1</v>
      </c>
      <c r="FY103">
        <v>2</v>
      </c>
      <c r="FZ103">
        <v>2</v>
      </c>
      <c r="GA103" t="s">
        <v>422</v>
      </c>
      <c r="GB103">
        <v>2.91865</v>
      </c>
      <c r="GC103">
        <v>2.8296700000000001</v>
      </c>
      <c r="GD103">
        <v>4.57247E-2</v>
      </c>
      <c r="GE103">
        <v>5.0120100000000001E-2</v>
      </c>
      <c r="GF103">
        <v>0.13561300000000001</v>
      </c>
      <c r="GG103">
        <v>0.115423</v>
      </c>
      <c r="GH103">
        <v>24942.1</v>
      </c>
      <c r="GI103">
        <v>30206.2</v>
      </c>
      <c r="GJ103">
        <v>23532.799999999999</v>
      </c>
      <c r="GK103">
        <v>29116.6</v>
      </c>
      <c r="GL103">
        <v>27751.599999999999</v>
      </c>
      <c r="GM103">
        <v>36426.199999999997</v>
      </c>
      <c r="GN103">
        <v>33287.800000000003</v>
      </c>
      <c r="GO103">
        <v>42951.7</v>
      </c>
      <c r="GP103">
        <v>1.9956</v>
      </c>
      <c r="GQ103">
        <v>1.77</v>
      </c>
      <c r="GR103">
        <v>5.0544699999999998E-2</v>
      </c>
      <c r="GS103">
        <v>0</v>
      </c>
      <c r="GT103">
        <v>29.196899999999999</v>
      </c>
      <c r="GU103">
        <v>999.9</v>
      </c>
      <c r="GV103">
        <v>31.6</v>
      </c>
      <c r="GW103">
        <v>44.8</v>
      </c>
      <c r="GX103">
        <v>30.312799999999999</v>
      </c>
      <c r="GY103">
        <v>61.454999999999998</v>
      </c>
      <c r="GZ103">
        <v>36.486400000000003</v>
      </c>
      <c r="HA103">
        <v>1</v>
      </c>
      <c r="HB103">
        <v>0.43579299999999999</v>
      </c>
      <c r="HC103">
        <v>2.32802</v>
      </c>
      <c r="HD103">
        <v>20.2532</v>
      </c>
      <c r="HE103">
        <v>5.2095000000000002</v>
      </c>
      <c r="HF103">
        <v>11.872199999999999</v>
      </c>
      <c r="HG103">
        <v>4.9846000000000004</v>
      </c>
      <c r="HH103">
        <v>3.2839999999999998</v>
      </c>
      <c r="HI103">
        <v>9999</v>
      </c>
      <c r="HJ103">
        <v>9999</v>
      </c>
      <c r="HK103">
        <v>9999</v>
      </c>
      <c r="HL103">
        <v>999.9</v>
      </c>
      <c r="HM103">
        <v>1.85486</v>
      </c>
      <c r="HN103">
        <v>1.8608100000000001</v>
      </c>
      <c r="HO103">
        <v>1.8582000000000001</v>
      </c>
      <c r="HP103">
        <v>1.85928</v>
      </c>
      <c r="HQ103">
        <v>1.85867</v>
      </c>
      <c r="HR103">
        <v>1.8591299999999999</v>
      </c>
      <c r="HS103">
        <v>1.85747</v>
      </c>
      <c r="HT103">
        <v>1.8608100000000001</v>
      </c>
      <c r="HU103">
        <v>5</v>
      </c>
      <c r="HV103">
        <v>0</v>
      </c>
      <c r="HW103">
        <v>0</v>
      </c>
      <c r="HX103">
        <v>0</v>
      </c>
      <c r="HY103" t="s">
        <v>423</v>
      </c>
      <c r="HZ103" t="s">
        <v>424</v>
      </c>
      <c r="IA103" t="s">
        <v>425</v>
      </c>
      <c r="IB103" t="s">
        <v>425</v>
      </c>
      <c r="IC103" t="s">
        <v>425</v>
      </c>
      <c r="ID103" t="s">
        <v>425</v>
      </c>
      <c r="IE103">
        <v>0</v>
      </c>
      <c r="IF103">
        <v>100</v>
      </c>
      <c r="IG103">
        <v>100</v>
      </c>
      <c r="IH103">
        <v>-2</v>
      </c>
      <c r="II103">
        <v>-0.316</v>
      </c>
      <c r="IJ103">
        <v>-2.0002499999999941</v>
      </c>
      <c r="IK103">
        <v>0</v>
      </c>
      <c r="IL103">
        <v>0</v>
      </c>
      <c r="IM103">
        <v>0</v>
      </c>
      <c r="IN103">
        <v>-0.31592999999999799</v>
      </c>
      <c r="IO103">
        <v>0</v>
      </c>
      <c r="IP103">
        <v>0</v>
      </c>
      <c r="IQ103">
        <v>0</v>
      </c>
      <c r="IR103">
        <v>-1</v>
      </c>
      <c r="IS103">
        <v>-1</v>
      </c>
      <c r="IT103">
        <v>-1</v>
      </c>
      <c r="IU103">
        <v>-1</v>
      </c>
      <c r="IV103">
        <v>1.5</v>
      </c>
      <c r="IW103">
        <v>1.4</v>
      </c>
      <c r="IX103">
        <v>0.58593799999999996</v>
      </c>
      <c r="IY103">
        <v>2.4865699999999999</v>
      </c>
      <c r="IZ103">
        <v>1.49414</v>
      </c>
      <c r="JA103">
        <v>2.2802699999999998</v>
      </c>
      <c r="JB103">
        <v>1.54419</v>
      </c>
      <c r="JC103">
        <v>2.4597199999999999</v>
      </c>
      <c r="JD103">
        <v>47.271999999999998</v>
      </c>
      <c r="JE103">
        <v>23.9999</v>
      </c>
      <c r="JF103">
        <v>18</v>
      </c>
      <c r="JG103">
        <v>534.11199999999997</v>
      </c>
      <c r="JH103">
        <v>415.935</v>
      </c>
      <c r="JI103">
        <v>25.801100000000002</v>
      </c>
      <c r="JJ103">
        <v>32.752000000000002</v>
      </c>
      <c r="JK103">
        <v>30.000499999999999</v>
      </c>
      <c r="JL103">
        <v>32.630499999999998</v>
      </c>
      <c r="JM103">
        <v>32.588500000000003</v>
      </c>
      <c r="JN103">
        <v>11.812200000000001</v>
      </c>
      <c r="JO103">
        <v>13.415900000000001</v>
      </c>
      <c r="JP103">
        <v>23.867999999999999</v>
      </c>
      <c r="JQ103">
        <v>25.795400000000001</v>
      </c>
      <c r="JR103">
        <v>200</v>
      </c>
      <c r="JS103">
        <v>24.159099999999999</v>
      </c>
      <c r="JT103">
        <v>98.710999999999999</v>
      </c>
      <c r="JU103">
        <v>96.771299999999997</v>
      </c>
    </row>
    <row r="104" spans="1:281" x14ac:dyDescent="0.25">
      <c r="A104">
        <v>88</v>
      </c>
      <c r="B104">
        <v>1693516241.5999999</v>
      </c>
      <c r="C104">
        <v>22105.599999904629</v>
      </c>
      <c r="D104" t="s">
        <v>864</v>
      </c>
      <c r="E104" t="s">
        <v>865</v>
      </c>
      <c r="F104" t="s">
        <v>414</v>
      </c>
      <c r="G104" t="s">
        <v>494</v>
      </c>
      <c r="H104" t="s">
        <v>416</v>
      </c>
      <c r="I104" t="s">
        <v>416</v>
      </c>
      <c r="J104">
        <v>1693516241.5999999</v>
      </c>
      <c r="K104">
        <f t="shared" si="92"/>
        <v>4.1977642215607147E-3</v>
      </c>
      <c r="L104">
        <f t="shared" si="93"/>
        <v>4.1977642215607149</v>
      </c>
      <c r="M104">
        <f t="shared" si="94"/>
        <v>13.50230857908393</v>
      </c>
      <c r="N104">
        <f t="shared" si="95"/>
        <v>103.37</v>
      </c>
      <c r="O104">
        <f t="shared" si="96"/>
        <v>27.576026231934055</v>
      </c>
      <c r="P104">
        <f t="shared" si="97"/>
        <v>2.7449706880979674</v>
      </c>
      <c r="Q104">
        <f t="shared" si="98"/>
        <v>10.289648611520999</v>
      </c>
      <c r="R104">
        <f t="shared" si="99"/>
        <v>0.30525533952357053</v>
      </c>
      <c r="S104">
        <f t="shared" si="100"/>
        <v>2.9171145703326982</v>
      </c>
      <c r="T104">
        <f t="shared" si="101"/>
        <v>0.28855477362184784</v>
      </c>
      <c r="U104">
        <f t="shared" si="102"/>
        <v>0.18177103226146718</v>
      </c>
      <c r="V104">
        <f t="shared" si="103"/>
        <v>344.37759967084065</v>
      </c>
      <c r="W104">
        <f t="shared" si="104"/>
        <v>31.42200733071061</v>
      </c>
      <c r="X104">
        <f t="shared" si="105"/>
        <v>30.0046</v>
      </c>
      <c r="Y104">
        <f t="shared" si="106"/>
        <v>4.2615755990549129</v>
      </c>
      <c r="Z104">
        <f t="shared" si="107"/>
        <v>65.423058661225824</v>
      </c>
      <c r="AA104">
        <f t="shared" si="108"/>
        <v>2.8653242163828301</v>
      </c>
      <c r="AB104">
        <f t="shared" si="109"/>
        <v>4.3796855038833842</v>
      </c>
      <c r="AC104">
        <f t="shared" si="110"/>
        <v>1.3962513826720828</v>
      </c>
      <c r="AD104">
        <f t="shared" si="111"/>
        <v>-185.12140217082751</v>
      </c>
      <c r="AE104">
        <f t="shared" si="112"/>
        <v>74.985134805282328</v>
      </c>
      <c r="AF104">
        <f t="shared" si="113"/>
        <v>5.7293521917144385</v>
      </c>
      <c r="AG104">
        <f t="shared" si="114"/>
        <v>239.97068449700993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51904.120789809567</v>
      </c>
      <c r="AM104" t="s">
        <v>417</v>
      </c>
      <c r="AN104">
        <v>10366.9</v>
      </c>
      <c r="AO104">
        <v>993.59653846153856</v>
      </c>
      <c r="AP104">
        <v>3431.87</v>
      </c>
      <c r="AQ104">
        <f t="shared" si="118"/>
        <v>0.71047955241266758</v>
      </c>
      <c r="AR104">
        <v>-3.9894345373445681</v>
      </c>
      <c r="AS104" t="s">
        <v>866</v>
      </c>
      <c r="AT104">
        <v>10290</v>
      </c>
      <c r="AU104">
        <v>687.54692307692312</v>
      </c>
      <c r="AV104">
        <v>801.1666171322255</v>
      </c>
      <c r="AW104">
        <f t="shared" si="119"/>
        <v>0.1418178087125046</v>
      </c>
      <c r="AX104">
        <v>0.5</v>
      </c>
      <c r="AY104">
        <f t="shared" si="120"/>
        <v>1513.2185998354203</v>
      </c>
      <c r="AZ104">
        <f t="shared" si="121"/>
        <v>13.50230857908393</v>
      </c>
      <c r="BA104">
        <f t="shared" si="122"/>
        <v>107.30067296583184</v>
      </c>
      <c r="BB104">
        <f t="shared" si="123"/>
        <v>1.1559296930615923E-2</v>
      </c>
      <c r="BC104">
        <f t="shared" si="124"/>
        <v>3.2835908618913412</v>
      </c>
      <c r="BD104">
        <f t="shared" si="125"/>
        <v>509.36253768237003</v>
      </c>
      <c r="BE104" t="s">
        <v>867</v>
      </c>
      <c r="BF104">
        <v>510.67</v>
      </c>
      <c r="BG104">
        <f t="shared" si="126"/>
        <v>510.67</v>
      </c>
      <c r="BH104">
        <f t="shared" si="127"/>
        <v>0.36259201384608064</v>
      </c>
      <c r="BI104">
        <f t="shared" si="128"/>
        <v>0.39112226220378343</v>
      </c>
      <c r="BJ104">
        <f t="shared" si="129"/>
        <v>0.90055572465691314</v>
      </c>
      <c r="BK104">
        <f t="shared" si="130"/>
        <v>-0.59044712625985241</v>
      </c>
      <c r="BL104">
        <f t="shared" si="131"/>
        <v>1.0789205658695464</v>
      </c>
      <c r="BM104">
        <f t="shared" si="132"/>
        <v>0.29050294450559222</v>
      </c>
      <c r="BN104">
        <f t="shared" si="133"/>
        <v>0.70949705549440778</v>
      </c>
      <c r="BO104">
        <v>16882</v>
      </c>
      <c r="BP104">
        <v>290.00000000000011</v>
      </c>
      <c r="BQ104">
        <v>770.59</v>
      </c>
      <c r="BR104">
        <v>195</v>
      </c>
      <c r="BS104">
        <v>10290</v>
      </c>
      <c r="BT104">
        <v>769.61</v>
      </c>
      <c r="BU104">
        <v>0.98</v>
      </c>
      <c r="BV104">
        <v>300.00000000000011</v>
      </c>
      <c r="BW104">
        <v>38.5</v>
      </c>
      <c r="BX104">
        <v>801.1666171322255</v>
      </c>
      <c r="BY104">
        <v>1.288826849164922</v>
      </c>
      <c r="BZ104">
        <v>-32.467326147207267</v>
      </c>
      <c r="CA104">
        <v>1.0849831422625049</v>
      </c>
      <c r="CB104">
        <v>0.96967930906116862</v>
      </c>
      <c r="CC104">
        <v>-1.1205541490545061E-2</v>
      </c>
      <c r="CD104">
        <v>289.99999999999989</v>
      </c>
      <c r="CE104">
        <v>768.3</v>
      </c>
      <c r="CF104">
        <v>695</v>
      </c>
      <c r="CG104">
        <v>10262.700000000001</v>
      </c>
      <c r="CH104">
        <v>769.53</v>
      </c>
      <c r="CI104">
        <v>-1.23</v>
      </c>
      <c r="CW104">
        <f t="shared" si="134"/>
        <v>1800.04</v>
      </c>
      <c r="CX104">
        <f t="shared" si="135"/>
        <v>1513.2185998354203</v>
      </c>
      <c r="CY104">
        <f t="shared" si="136"/>
        <v>0.84065831861259765</v>
      </c>
      <c r="CZ104">
        <f t="shared" si="137"/>
        <v>0.19131663722519537</v>
      </c>
      <c r="DA104">
        <v>6</v>
      </c>
      <c r="DB104">
        <v>0.5</v>
      </c>
      <c r="DC104" t="s">
        <v>420</v>
      </c>
      <c r="DD104">
        <v>2</v>
      </c>
      <c r="DE104">
        <v>1693516241.5999999</v>
      </c>
      <c r="DF104">
        <v>103.37</v>
      </c>
      <c r="DG104">
        <v>120.09</v>
      </c>
      <c r="DH104">
        <v>28.7851</v>
      </c>
      <c r="DI104">
        <v>23.893799999999999</v>
      </c>
      <c r="DJ104">
        <v>105.06</v>
      </c>
      <c r="DK104">
        <v>29.113499999999998</v>
      </c>
      <c r="DL104">
        <v>500.10399999999998</v>
      </c>
      <c r="DM104">
        <v>99.441999999999993</v>
      </c>
      <c r="DN104">
        <v>9.9923300000000007E-2</v>
      </c>
      <c r="DO104">
        <v>30.481400000000001</v>
      </c>
      <c r="DP104">
        <v>30.0046</v>
      </c>
      <c r="DQ104">
        <v>999.9</v>
      </c>
      <c r="DR104">
        <v>0</v>
      </c>
      <c r="DS104">
        <v>0</v>
      </c>
      <c r="DT104">
        <v>9985</v>
      </c>
      <c r="DU104">
        <v>0</v>
      </c>
      <c r="DV104">
        <v>516.00400000000002</v>
      </c>
      <c r="DW104">
        <v>-16.720199999999998</v>
      </c>
      <c r="DX104">
        <v>106.434</v>
      </c>
      <c r="DY104">
        <v>123.03</v>
      </c>
      <c r="DZ104">
        <v>4.8912899999999997</v>
      </c>
      <c r="EA104">
        <v>120.09</v>
      </c>
      <c r="EB104">
        <v>23.893799999999999</v>
      </c>
      <c r="EC104">
        <v>2.8624499999999999</v>
      </c>
      <c r="ED104">
        <v>2.3760500000000002</v>
      </c>
      <c r="EE104">
        <v>23.248699999999999</v>
      </c>
      <c r="EF104">
        <v>20.2014</v>
      </c>
      <c r="EG104">
        <v>1800.04</v>
      </c>
      <c r="EH104">
        <v>0.97799400000000003</v>
      </c>
      <c r="EI104">
        <v>2.20057E-2</v>
      </c>
      <c r="EJ104">
        <v>0</v>
      </c>
      <c r="EK104">
        <v>687.10699999999997</v>
      </c>
      <c r="EL104">
        <v>5.0002500000000003</v>
      </c>
      <c r="EM104">
        <v>19582.5</v>
      </c>
      <c r="EN104">
        <v>14822.4</v>
      </c>
      <c r="EO104">
        <v>49.311999999999998</v>
      </c>
      <c r="EP104">
        <v>50.186999999999998</v>
      </c>
      <c r="EQ104">
        <v>50</v>
      </c>
      <c r="ER104">
        <v>49.625</v>
      </c>
      <c r="ES104">
        <v>50.375</v>
      </c>
      <c r="ET104">
        <v>1755.54</v>
      </c>
      <c r="EU104">
        <v>39.5</v>
      </c>
      <c r="EV104">
        <v>0</v>
      </c>
      <c r="EW104">
        <v>111.2000000476837</v>
      </c>
      <c r="EX104">
        <v>0</v>
      </c>
      <c r="EY104">
        <v>687.54692307692312</v>
      </c>
      <c r="EZ104">
        <v>-2.62885470254108</v>
      </c>
      <c r="FA104">
        <v>-49.935042222174573</v>
      </c>
      <c r="FB104">
        <v>19578.530769230769</v>
      </c>
      <c r="FC104">
        <v>15</v>
      </c>
      <c r="FD104">
        <v>1693516200.0999999</v>
      </c>
      <c r="FE104" t="s">
        <v>868</v>
      </c>
      <c r="FF104">
        <v>1693516187.5999999</v>
      </c>
      <c r="FG104">
        <v>1693516200.0999999</v>
      </c>
      <c r="FH104">
        <v>100</v>
      </c>
      <c r="FI104">
        <v>0.311</v>
      </c>
      <c r="FJ104">
        <v>-1.2E-2</v>
      </c>
      <c r="FK104">
        <v>-1.69</v>
      </c>
      <c r="FL104">
        <v>-0.32800000000000001</v>
      </c>
      <c r="FM104">
        <v>120</v>
      </c>
      <c r="FN104">
        <v>24</v>
      </c>
      <c r="FO104">
        <v>0.37</v>
      </c>
      <c r="FP104">
        <v>0.08</v>
      </c>
      <c r="FQ104">
        <v>13.324729617141211</v>
      </c>
      <c r="FR104">
        <v>0.6511778009082605</v>
      </c>
      <c r="FS104">
        <v>5.9596270902183918E-2</v>
      </c>
      <c r="FT104">
        <v>1</v>
      </c>
      <c r="FU104">
        <v>0.30404094451740721</v>
      </c>
      <c r="FV104">
        <v>3.1559375049305331E-2</v>
      </c>
      <c r="FW104">
        <v>3.974382605605206E-3</v>
      </c>
      <c r="FX104">
        <v>1</v>
      </c>
      <c r="FY104">
        <v>2</v>
      </c>
      <c r="FZ104">
        <v>2</v>
      </c>
      <c r="GA104" t="s">
        <v>422</v>
      </c>
      <c r="GB104">
        <v>2.91859</v>
      </c>
      <c r="GC104">
        <v>2.8296800000000002</v>
      </c>
      <c r="GD104">
        <v>2.83582E-2</v>
      </c>
      <c r="GE104">
        <v>3.1505199999999997E-2</v>
      </c>
      <c r="GF104">
        <v>0.13617899999999999</v>
      </c>
      <c r="GG104">
        <v>0.114194</v>
      </c>
      <c r="GH104">
        <v>25391.4</v>
      </c>
      <c r="GI104">
        <v>30793.9</v>
      </c>
      <c r="GJ104">
        <v>23529.4</v>
      </c>
      <c r="GK104">
        <v>29113.5</v>
      </c>
      <c r="GL104">
        <v>27728.799999999999</v>
      </c>
      <c r="GM104">
        <v>36472.1</v>
      </c>
      <c r="GN104">
        <v>33283.599999999999</v>
      </c>
      <c r="GO104">
        <v>42947.5</v>
      </c>
      <c r="GP104">
        <v>1.9942</v>
      </c>
      <c r="GQ104">
        <v>1.7677</v>
      </c>
      <c r="GR104">
        <v>4.8980099999999999E-2</v>
      </c>
      <c r="GS104">
        <v>0</v>
      </c>
      <c r="GT104">
        <v>29.207000000000001</v>
      </c>
      <c r="GU104">
        <v>999.9</v>
      </c>
      <c r="GV104">
        <v>31.3</v>
      </c>
      <c r="GW104">
        <v>44.9</v>
      </c>
      <c r="GX104">
        <v>30.183499999999999</v>
      </c>
      <c r="GY104">
        <v>61.2851</v>
      </c>
      <c r="GZ104">
        <v>36.850999999999999</v>
      </c>
      <c r="HA104">
        <v>1</v>
      </c>
      <c r="HB104">
        <v>0.44326199999999999</v>
      </c>
      <c r="HC104">
        <v>2.2390599999999998</v>
      </c>
      <c r="HD104">
        <v>20.2547</v>
      </c>
      <c r="HE104">
        <v>5.2100999999999997</v>
      </c>
      <c r="HF104">
        <v>11.872199999999999</v>
      </c>
      <c r="HG104">
        <v>4.9846000000000004</v>
      </c>
      <c r="HH104">
        <v>3.2839999999999998</v>
      </c>
      <c r="HI104">
        <v>9999</v>
      </c>
      <c r="HJ104">
        <v>9999</v>
      </c>
      <c r="HK104">
        <v>9999</v>
      </c>
      <c r="HL104">
        <v>999.9</v>
      </c>
      <c r="HM104">
        <v>1.85483</v>
      </c>
      <c r="HN104">
        <v>1.8608100000000001</v>
      </c>
      <c r="HO104">
        <v>1.8581700000000001</v>
      </c>
      <c r="HP104">
        <v>1.85928</v>
      </c>
      <c r="HQ104">
        <v>1.85863</v>
      </c>
      <c r="HR104">
        <v>1.85914</v>
      </c>
      <c r="HS104">
        <v>1.85745</v>
      </c>
      <c r="HT104">
        <v>1.8608100000000001</v>
      </c>
      <c r="HU104">
        <v>5</v>
      </c>
      <c r="HV104">
        <v>0</v>
      </c>
      <c r="HW104">
        <v>0</v>
      </c>
      <c r="HX104">
        <v>0</v>
      </c>
      <c r="HY104" t="s">
        <v>423</v>
      </c>
      <c r="HZ104" t="s">
        <v>424</v>
      </c>
      <c r="IA104" t="s">
        <v>425</v>
      </c>
      <c r="IB104" t="s">
        <v>425</v>
      </c>
      <c r="IC104" t="s">
        <v>425</v>
      </c>
      <c r="ID104" t="s">
        <v>425</v>
      </c>
      <c r="IE104">
        <v>0</v>
      </c>
      <c r="IF104">
        <v>100</v>
      </c>
      <c r="IG104">
        <v>100</v>
      </c>
      <c r="IH104">
        <v>-1.69</v>
      </c>
      <c r="II104">
        <v>-0.32840000000000003</v>
      </c>
      <c r="IJ104">
        <v>-1.6896666666666531</v>
      </c>
      <c r="IK104">
        <v>0</v>
      </c>
      <c r="IL104">
        <v>0</v>
      </c>
      <c r="IM104">
        <v>0</v>
      </c>
      <c r="IN104">
        <v>-0.32841999999999771</v>
      </c>
      <c r="IO104">
        <v>0</v>
      </c>
      <c r="IP104">
        <v>0</v>
      </c>
      <c r="IQ104">
        <v>0</v>
      </c>
      <c r="IR104">
        <v>-1</v>
      </c>
      <c r="IS104">
        <v>-1</v>
      </c>
      <c r="IT104">
        <v>-1</v>
      </c>
      <c r="IU104">
        <v>-1</v>
      </c>
      <c r="IV104">
        <v>0.9</v>
      </c>
      <c r="IW104">
        <v>0.7</v>
      </c>
      <c r="IX104">
        <v>0.41015600000000002</v>
      </c>
      <c r="IY104">
        <v>2.50244</v>
      </c>
      <c r="IZ104">
        <v>1.49414</v>
      </c>
      <c r="JA104">
        <v>2.2802699999999998</v>
      </c>
      <c r="JB104">
        <v>1.54419</v>
      </c>
      <c r="JC104">
        <v>2.51709</v>
      </c>
      <c r="JD104">
        <v>47.331800000000001</v>
      </c>
      <c r="JE104">
        <v>24.008700000000001</v>
      </c>
      <c r="JF104">
        <v>18</v>
      </c>
      <c r="JG104">
        <v>534.12</v>
      </c>
      <c r="JH104">
        <v>415.24700000000001</v>
      </c>
      <c r="JI104">
        <v>25.934999999999999</v>
      </c>
      <c r="JJ104">
        <v>32.848199999999999</v>
      </c>
      <c r="JK104">
        <v>30.000399999999999</v>
      </c>
      <c r="JL104">
        <v>32.742600000000003</v>
      </c>
      <c r="JM104">
        <v>32.699100000000001</v>
      </c>
      <c r="JN104">
        <v>8.2859400000000001</v>
      </c>
      <c r="JO104">
        <v>13.6845</v>
      </c>
      <c r="JP104">
        <v>23.448899999999998</v>
      </c>
      <c r="JQ104">
        <v>25.918900000000001</v>
      </c>
      <c r="JR104">
        <v>120</v>
      </c>
      <c r="JS104">
        <v>23.8247</v>
      </c>
      <c r="JT104">
        <v>98.697699999999998</v>
      </c>
      <c r="JU104">
        <v>96.761600000000001</v>
      </c>
    </row>
    <row r="105" spans="1:281" x14ac:dyDescent="0.25">
      <c r="A105">
        <v>89</v>
      </c>
      <c r="B105">
        <v>1693516345.0999999</v>
      </c>
      <c r="C105">
        <v>22209.099999904629</v>
      </c>
      <c r="D105" t="s">
        <v>869</v>
      </c>
      <c r="E105" t="s">
        <v>870</v>
      </c>
      <c r="F105" t="s">
        <v>414</v>
      </c>
      <c r="G105" t="s">
        <v>494</v>
      </c>
      <c r="H105" t="s">
        <v>416</v>
      </c>
      <c r="I105" t="s">
        <v>416</v>
      </c>
      <c r="J105">
        <v>1693516345.0999999</v>
      </c>
      <c r="K105">
        <f t="shared" si="92"/>
        <v>4.4966392957064283E-3</v>
      </c>
      <c r="L105">
        <f t="shared" si="93"/>
        <v>4.4966392957064283</v>
      </c>
      <c r="M105">
        <f t="shared" si="94"/>
        <v>8.5914281779749988</v>
      </c>
      <c r="N105">
        <f t="shared" si="95"/>
        <v>59.356400000000001</v>
      </c>
      <c r="O105">
        <f t="shared" si="96"/>
        <v>14.780982572980655</v>
      </c>
      <c r="P105">
        <f t="shared" si="97"/>
        <v>1.4713108404472406</v>
      </c>
      <c r="Q105">
        <f t="shared" si="98"/>
        <v>5.9083835826694795</v>
      </c>
      <c r="R105">
        <f t="shared" si="99"/>
        <v>0.33117746727908676</v>
      </c>
      <c r="S105">
        <f t="shared" si="100"/>
        <v>2.9337079810381281</v>
      </c>
      <c r="T105">
        <f t="shared" si="101"/>
        <v>0.31172126774003561</v>
      </c>
      <c r="U105">
        <f t="shared" si="102"/>
        <v>0.1964785349726309</v>
      </c>
      <c r="V105">
        <f t="shared" si="103"/>
        <v>344.3452996708096</v>
      </c>
      <c r="W105">
        <f t="shared" si="104"/>
        <v>31.362522421704909</v>
      </c>
      <c r="X105">
        <f t="shared" si="105"/>
        <v>29.999500000000001</v>
      </c>
      <c r="Y105">
        <f t="shared" si="106"/>
        <v>4.2603274155816138</v>
      </c>
      <c r="Z105">
        <f t="shared" si="107"/>
        <v>65.577846386725341</v>
      </c>
      <c r="AA105">
        <f t="shared" si="108"/>
        <v>2.8759029515841901</v>
      </c>
      <c r="AB105">
        <f t="shared" si="109"/>
        <v>4.3854794111786317</v>
      </c>
      <c r="AC105">
        <f t="shared" si="110"/>
        <v>1.3844244639974237</v>
      </c>
      <c r="AD105">
        <f t="shared" si="111"/>
        <v>-198.30179294065348</v>
      </c>
      <c r="AE105">
        <f t="shared" si="112"/>
        <v>79.871842660232275</v>
      </c>
      <c r="AF105">
        <f t="shared" si="113"/>
        <v>6.0687514605569817</v>
      </c>
      <c r="AG105">
        <f t="shared" si="114"/>
        <v>231.98410085094537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52373.144316237893</v>
      </c>
      <c r="AM105" t="s">
        <v>417</v>
      </c>
      <c r="AN105">
        <v>10366.9</v>
      </c>
      <c r="AO105">
        <v>993.59653846153856</v>
      </c>
      <c r="AP105">
        <v>3431.87</v>
      </c>
      <c r="AQ105">
        <f t="shared" si="118"/>
        <v>0.71047955241266758</v>
      </c>
      <c r="AR105">
        <v>-3.9894345373445681</v>
      </c>
      <c r="AS105" t="s">
        <v>871</v>
      </c>
      <c r="AT105">
        <v>10277.299999999999</v>
      </c>
      <c r="AU105">
        <v>692.74550000000011</v>
      </c>
      <c r="AV105">
        <v>778.57389472483419</v>
      </c>
      <c r="AW105">
        <f t="shared" si="119"/>
        <v>0.11023795596841557</v>
      </c>
      <c r="AX105">
        <v>0.5</v>
      </c>
      <c r="AY105">
        <f t="shared" si="120"/>
        <v>1513.0757998354045</v>
      </c>
      <c r="AZ105">
        <f t="shared" si="121"/>
        <v>8.5914281779749988</v>
      </c>
      <c r="BA105">
        <f t="shared" si="122"/>
        <v>83.39919169956525</v>
      </c>
      <c r="BB105">
        <f t="shared" si="123"/>
        <v>8.3147603819241165E-3</v>
      </c>
      <c r="BC105">
        <f t="shared" si="124"/>
        <v>3.407892459858163</v>
      </c>
      <c r="BD105">
        <f t="shared" si="125"/>
        <v>500.13553604862079</v>
      </c>
      <c r="BE105" t="s">
        <v>872</v>
      </c>
      <c r="BF105">
        <v>516.04999999999995</v>
      </c>
      <c r="BG105">
        <f t="shared" si="126"/>
        <v>516.04999999999995</v>
      </c>
      <c r="BH105">
        <f t="shared" si="127"/>
        <v>0.33718558572737167</v>
      </c>
      <c r="BI105">
        <f t="shared" si="128"/>
        <v>0.32693555310382527</v>
      </c>
      <c r="BJ105">
        <f t="shared" si="129"/>
        <v>0.90996567184365496</v>
      </c>
      <c r="BK105">
        <f t="shared" si="130"/>
        <v>-0.39915979653720152</v>
      </c>
      <c r="BL105">
        <f t="shared" si="131"/>
        <v>1.0881864348394428</v>
      </c>
      <c r="BM105">
        <f t="shared" si="132"/>
        <v>0.24354556208481901</v>
      </c>
      <c r="BN105">
        <f t="shared" si="133"/>
        <v>0.75645443791518097</v>
      </c>
      <c r="BO105">
        <v>16884</v>
      </c>
      <c r="BP105">
        <v>290.00000000000011</v>
      </c>
      <c r="BQ105">
        <v>756.05</v>
      </c>
      <c r="BR105">
        <v>285</v>
      </c>
      <c r="BS105">
        <v>10277.299999999999</v>
      </c>
      <c r="BT105">
        <v>755.38</v>
      </c>
      <c r="BU105">
        <v>0.67</v>
      </c>
      <c r="BV105">
        <v>300.00000000000011</v>
      </c>
      <c r="BW105">
        <v>38.5</v>
      </c>
      <c r="BX105">
        <v>778.57389472483419</v>
      </c>
      <c r="BY105">
        <v>1.0420534383428519</v>
      </c>
      <c r="BZ105">
        <v>-23.832250738582541</v>
      </c>
      <c r="CA105">
        <v>0.877154105701346</v>
      </c>
      <c r="CB105">
        <v>0.96345636343911645</v>
      </c>
      <c r="CC105">
        <v>-1.120512057842047E-2</v>
      </c>
      <c r="CD105">
        <v>289.99999999999989</v>
      </c>
      <c r="CE105">
        <v>754.51</v>
      </c>
      <c r="CF105">
        <v>735</v>
      </c>
      <c r="CG105">
        <v>10258.9</v>
      </c>
      <c r="CH105">
        <v>755.34</v>
      </c>
      <c r="CI105">
        <v>-0.83</v>
      </c>
      <c r="CW105">
        <f t="shared" si="134"/>
        <v>1799.87</v>
      </c>
      <c r="CX105">
        <f t="shared" si="135"/>
        <v>1513.0757998354045</v>
      </c>
      <c r="CY105">
        <f t="shared" si="136"/>
        <v>0.84065838079161526</v>
      </c>
      <c r="CZ105">
        <f t="shared" si="137"/>
        <v>0.1913167615832308</v>
      </c>
      <c r="DA105">
        <v>6</v>
      </c>
      <c r="DB105">
        <v>0.5</v>
      </c>
      <c r="DC105" t="s">
        <v>420</v>
      </c>
      <c r="DD105">
        <v>2</v>
      </c>
      <c r="DE105">
        <v>1693516345.0999999</v>
      </c>
      <c r="DF105">
        <v>59.356400000000001</v>
      </c>
      <c r="DG105">
        <v>69.981999999999999</v>
      </c>
      <c r="DH105">
        <v>28.8917</v>
      </c>
      <c r="DI105">
        <v>23.6538</v>
      </c>
      <c r="DJ105">
        <v>61.004800000000003</v>
      </c>
      <c r="DK105">
        <v>29.229900000000001</v>
      </c>
      <c r="DL105">
        <v>500.20699999999999</v>
      </c>
      <c r="DM105">
        <v>99.441699999999997</v>
      </c>
      <c r="DN105">
        <v>9.91007E-2</v>
      </c>
      <c r="DO105">
        <v>30.5045</v>
      </c>
      <c r="DP105">
        <v>29.999500000000001</v>
      </c>
      <c r="DQ105">
        <v>999.9</v>
      </c>
      <c r="DR105">
        <v>0</v>
      </c>
      <c r="DS105">
        <v>0</v>
      </c>
      <c r="DT105">
        <v>10080</v>
      </c>
      <c r="DU105">
        <v>0</v>
      </c>
      <c r="DV105">
        <v>461.42700000000002</v>
      </c>
      <c r="DW105">
        <v>-10.625500000000001</v>
      </c>
      <c r="DX105">
        <v>61.122300000000003</v>
      </c>
      <c r="DY105">
        <v>71.677400000000006</v>
      </c>
      <c r="DZ105">
        <v>5.23794</v>
      </c>
      <c r="EA105">
        <v>69.981999999999999</v>
      </c>
      <c r="EB105">
        <v>23.6538</v>
      </c>
      <c r="EC105">
        <v>2.87304</v>
      </c>
      <c r="ED105">
        <v>2.3521700000000001</v>
      </c>
      <c r="EE105">
        <v>23.309899999999999</v>
      </c>
      <c r="EF105">
        <v>20.0382</v>
      </c>
      <c r="EG105">
        <v>1799.87</v>
      </c>
      <c r="EH105">
        <v>0.97799400000000003</v>
      </c>
      <c r="EI105">
        <v>2.20057E-2</v>
      </c>
      <c r="EJ105">
        <v>0</v>
      </c>
      <c r="EK105">
        <v>692.13400000000001</v>
      </c>
      <c r="EL105">
        <v>5.0002500000000003</v>
      </c>
      <c r="EM105">
        <v>19631.7</v>
      </c>
      <c r="EN105">
        <v>14821</v>
      </c>
      <c r="EO105">
        <v>49.436999999999998</v>
      </c>
      <c r="EP105">
        <v>50.311999999999998</v>
      </c>
      <c r="EQ105">
        <v>50.125</v>
      </c>
      <c r="ER105">
        <v>49.811999999999998</v>
      </c>
      <c r="ES105">
        <v>50.5</v>
      </c>
      <c r="ET105">
        <v>1755.37</v>
      </c>
      <c r="EU105">
        <v>39.5</v>
      </c>
      <c r="EV105">
        <v>0</v>
      </c>
      <c r="EW105">
        <v>101.4000000953674</v>
      </c>
      <c r="EX105">
        <v>0</v>
      </c>
      <c r="EY105">
        <v>692.74550000000011</v>
      </c>
      <c r="EZ105">
        <v>-3.2686837690568251</v>
      </c>
      <c r="FA105">
        <v>-74.656410023293205</v>
      </c>
      <c r="FB105">
        <v>19635.303846153849</v>
      </c>
      <c r="FC105">
        <v>15</v>
      </c>
      <c r="FD105">
        <v>1693516305.0999999</v>
      </c>
      <c r="FE105" t="s">
        <v>873</v>
      </c>
      <c r="FF105">
        <v>1693516299.0999999</v>
      </c>
      <c r="FG105">
        <v>1693516305.0999999</v>
      </c>
      <c r="FH105">
        <v>101</v>
      </c>
      <c r="FI105">
        <v>4.1000000000000002E-2</v>
      </c>
      <c r="FJ105">
        <v>-0.01</v>
      </c>
      <c r="FK105">
        <v>-1.6479999999999999</v>
      </c>
      <c r="FL105">
        <v>-0.33800000000000002</v>
      </c>
      <c r="FM105">
        <v>70</v>
      </c>
      <c r="FN105">
        <v>24</v>
      </c>
      <c r="FO105">
        <v>0.52</v>
      </c>
      <c r="FP105">
        <v>0.05</v>
      </c>
      <c r="FQ105">
        <v>8.5873969128119043</v>
      </c>
      <c r="FR105">
        <v>0.50048288219308812</v>
      </c>
      <c r="FS105">
        <v>6.5098384583256966E-2</v>
      </c>
      <c r="FT105">
        <v>1</v>
      </c>
      <c r="FU105">
        <v>0.32909634976885799</v>
      </c>
      <c r="FV105">
        <v>4.3916915719823382E-2</v>
      </c>
      <c r="FW105">
        <v>3.7467687427550308E-3</v>
      </c>
      <c r="FX105">
        <v>1</v>
      </c>
      <c r="FY105">
        <v>2</v>
      </c>
      <c r="FZ105">
        <v>2</v>
      </c>
      <c r="GA105" t="s">
        <v>422</v>
      </c>
      <c r="GB105">
        <v>2.9187599999999998</v>
      </c>
      <c r="GC105">
        <v>2.8296800000000002</v>
      </c>
      <c r="GD105">
        <v>1.6797099999999999E-2</v>
      </c>
      <c r="GE105">
        <v>1.8791700000000001E-2</v>
      </c>
      <c r="GF105">
        <v>0.13652800000000001</v>
      </c>
      <c r="GG105">
        <v>0.11336499999999999</v>
      </c>
      <c r="GH105">
        <v>25689.9</v>
      </c>
      <c r="GI105">
        <v>31195.8</v>
      </c>
      <c r="GJ105">
        <v>23526.7</v>
      </c>
      <c r="GK105">
        <v>29112.3</v>
      </c>
      <c r="GL105">
        <v>27713.9</v>
      </c>
      <c r="GM105">
        <v>36504.6</v>
      </c>
      <c r="GN105">
        <v>33279.9</v>
      </c>
      <c r="GO105">
        <v>42946.400000000001</v>
      </c>
      <c r="GP105">
        <v>1.9936</v>
      </c>
      <c r="GQ105">
        <v>1.7654000000000001</v>
      </c>
      <c r="GR105">
        <v>4.3570999999999999E-2</v>
      </c>
      <c r="GS105">
        <v>0</v>
      </c>
      <c r="GT105">
        <v>29.29</v>
      </c>
      <c r="GU105">
        <v>999.9</v>
      </c>
      <c r="GV105">
        <v>31</v>
      </c>
      <c r="GW105">
        <v>44.9</v>
      </c>
      <c r="GX105">
        <v>29.8888</v>
      </c>
      <c r="GY105">
        <v>61.055100000000003</v>
      </c>
      <c r="GZ105">
        <v>37.063299999999998</v>
      </c>
      <c r="HA105">
        <v>1</v>
      </c>
      <c r="HB105">
        <v>0.45112799999999997</v>
      </c>
      <c r="HC105">
        <v>2.6743199999999998</v>
      </c>
      <c r="HD105">
        <v>20.248699999999999</v>
      </c>
      <c r="HE105">
        <v>5.2095000000000002</v>
      </c>
      <c r="HF105">
        <v>11.872199999999999</v>
      </c>
      <c r="HG105">
        <v>4.9847999999999999</v>
      </c>
      <c r="HH105">
        <v>3.2839999999999998</v>
      </c>
      <c r="HI105">
        <v>9999</v>
      </c>
      <c r="HJ105">
        <v>9999</v>
      </c>
      <c r="HK105">
        <v>9999</v>
      </c>
      <c r="HL105">
        <v>999.9</v>
      </c>
      <c r="HM105">
        <v>1.85483</v>
      </c>
      <c r="HN105">
        <v>1.8608100000000001</v>
      </c>
      <c r="HO105">
        <v>1.8582000000000001</v>
      </c>
      <c r="HP105">
        <v>1.85928</v>
      </c>
      <c r="HQ105">
        <v>1.85867</v>
      </c>
      <c r="HR105">
        <v>1.8591299999999999</v>
      </c>
      <c r="HS105">
        <v>1.85745</v>
      </c>
      <c r="HT105">
        <v>1.8608100000000001</v>
      </c>
      <c r="HU105">
        <v>5</v>
      </c>
      <c r="HV105">
        <v>0</v>
      </c>
      <c r="HW105">
        <v>0</v>
      </c>
      <c r="HX105">
        <v>0</v>
      </c>
      <c r="HY105" t="s">
        <v>423</v>
      </c>
      <c r="HZ105" t="s">
        <v>424</v>
      </c>
      <c r="IA105" t="s">
        <v>425</v>
      </c>
      <c r="IB105" t="s">
        <v>425</v>
      </c>
      <c r="IC105" t="s">
        <v>425</v>
      </c>
      <c r="ID105" t="s">
        <v>425</v>
      </c>
      <c r="IE105">
        <v>0</v>
      </c>
      <c r="IF105">
        <v>100</v>
      </c>
      <c r="IG105">
        <v>100</v>
      </c>
      <c r="IH105">
        <v>-1.6479999999999999</v>
      </c>
      <c r="II105">
        <v>-0.3382</v>
      </c>
      <c r="IJ105">
        <v>-1.648340000000005</v>
      </c>
      <c r="IK105">
        <v>0</v>
      </c>
      <c r="IL105">
        <v>0</v>
      </c>
      <c r="IM105">
        <v>0</v>
      </c>
      <c r="IN105">
        <v>-0.3382350000000045</v>
      </c>
      <c r="IO105">
        <v>0</v>
      </c>
      <c r="IP105">
        <v>0</v>
      </c>
      <c r="IQ105">
        <v>0</v>
      </c>
      <c r="IR105">
        <v>-1</v>
      </c>
      <c r="IS105">
        <v>-1</v>
      </c>
      <c r="IT105">
        <v>-1</v>
      </c>
      <c r="IU105">
        <v>-1</v>
      </c>
      <c r="IV105">
        <v>0.8</v>
      </c>
      <c r="IW105">
        <v>0.7</v>
      </c>
      <c r="IX105">
        <v>0.299072</v>
      </c>
      <c r="IY105">
        <v>2.52075</v>
      </c>
      <c r="IZ105">
        <v>1.49414</v>
      </c>
      <c r="JA105">
        <v>2.2802699999999998</v>
      </c>
      <c r="JB105">
        <v>1.54419</v>
      </c>
      <c r="JC105">
        <v>2.3730500000000001</v>
      </c>
      <c r="JD105">
        <v>47.451599999999999</v>
      </c>
      <c r="JE105">
        <v>23.9999</v>
      </c>
      <c r="JF105">
        <v>18</v>
      </c>
      <c r="JG105">
        <v>534.48099999999999</v>
      </c>
      <c r="JH105">
        <v>414.42399999999998</v>
      </c>
      <c r="JI105">
        <v>25.5611</v>
      </c>
      <c r="JJ105">
        <v>32.930199999999999</v>
      </c>
      <c r="JK105">
        <v>30.000299999999999</v>
      </c>
      <c r="JL105">
        <v>32.8322</v>
      </c>
      <c r="JM105">
        <v>32.7913</v>
      </c>
      <c r="JN105">
        <v>6.05206</v>
      </c>
      <c r="JO105">
        <v>13.609299999999999</v>
      </c>
      <c r="JP105">
        <v>22.6386</v>
      </c>
      <c r="JQ105">
        <v>25.559100000000001</v>
      </c>
      <c r="JR105">
        <v>70</v>
      </c>
      <c r="JS105">
        <v>23.5242</v>
      </c>
      <c r="JT105">
        <v>98.686700000000002</v>
      </c>
      <c r="JU105">
        <v>96.758399999999995</v>
      </c>
    </row>
    <row r="106" spans="1:281" x14ac:dyDescent="0.25">
      <c r="A106">
        <v>90</v>
      </c>
      <c r="B106">
        <v>1693516452.0999999</v>
      </c>
      <c r="C106">
        <v>22316.099999904629</v>
      </c>
      <c r="D106" t="s">
        <v>874</v>
      </c>
      <c r="E106" t="s">
        <v>875</v>
      </c>
      <c r="F106" t="s">
        <v>414</v>
      </c>
      <c r="G106" t="s">
        <v>494</v>
      </c>
      <c r="H106" t="s">
        <v>416</v>
      </c>
      <c r="I106" t="s">
        <v>416</v>
      </c>
      <c r="J106">
        <v>1693516452.0999999</v>
      </c>
      <c r="K106">
        <f t="shared" si="92"/>
        <v>4.9948627947714284E-3</v>
      </c>
      <c r="L106">
        <f t="shared" si="93"/>
        <v>4.9948627947714286</v>
      </c>
      <c r="M106">
        <f t="shared" si="94"/>
        <v>4.0386559834785229</v>
      </c>
      <c r="N106">
        <f t="shared" si="95"/>
        <v>25.0244</v>
      </c>
      <c r="O106">
        <f t="shared" si="96"/>
        <v>6.3046728942316772</v>
      </c>
      <c r="P106">
        <f t="shared" si="97"/>
        <v>0.62762875167721266</v>
      </c>
      <c r="Q106">
        <f t="shared" si="98"/>
        <v>2.4911733244465601</v>
      </c>
      <c r="R106">
        <f t="shared" si="99"/>
        <v>0.37319024323950145</v>
      </c>
      <c r="S106">
        <f t="shared" si="100"/>
        <v>2.9172518494717208</v>
      </c>
      <c r="T106">
        <f t="shared" si="101"/>
        <v>0.34855205240654125</v>
      </c>
      <c r="U106">
        <f t="shared" si="102"/>
        <v>0.21992298127609861</v>
      </c>
      <c r="V106">
        <f t="shared" si="103"/>
        <v>344.36939967091672</v>
      </c>
      <c r="W106">
        <f t="shared" si="104"/>
        <v>31.242095664355169</v>
      </c>
      <c r="X106">
        <f t="shared" si="105"/>
        <v>29.9879</v>
      </c>
      <c r="Y106">
        <f t="shared" si="106"/>
        <v>4.2574895964460433</v>
      </c>
      <c r="Z106">
        <f t="shared" si="107"/>
        <v>65.700694110014965</v>
      </c>
      <c r="AA106">
        <f t="shared" si="108"/>
        <v>2.8820654607523997</v>
      </c>
      <c r="AB106">
        <f t="shared" si="109"/>
        <v>4.3866590753613925</v>
      </c>
      <c r="AC106">
        <f t="shared" si="110"/>
        <v>1.3754241356936436</v>
      </c>
      <c r="AD106">
        <f t="shared" si="111"/>
        <v>-220.27344924942</v>
      </c>
      <c r="AE106">
        <f t="shared" si="112"/>
        <v>81.987395834755446</v>
      </c>
      <c r="AF106">
        <f t="shared" si="113"/>
        <v>6.2644204087217092</v>
      </c>
      <c r="AG106">
        <f t="shared" si="114"/>
        <v>212.3477666649739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51903.437485098322</v>
      </c>
      <c r="AM106" t="s">
        <v>417</v>
      </c>
      <c r="AN106">
        <v>10366.9</v>
      </c>
      <c r="AO106">
        <v>993.59653846153856</v>
      </c>
      <c r="AP106">
        <v>3431.87</v>
      </c>
      <c r="AQ106">
        <f t="shared" si="118"/>
        <v>0.71047955241266758</v>
      </c>
      <c r="AR106">
        <v>-3.9894345373445681</v>
      </c>
      <c r="AS106" t="s">
        <v>876</v>
      </c>
      <c r="AT106">
        <v>10276.200000000001</v>
      </c>
      <c r="AU106">
        <v>697.1095600000001</v>
      </c>
      <c r="AV106">
        <v>759.41045083274946</v>
      </c>
      <c r="AW106">
        <f t="shared" si="119"/>
        <v>8.2038495472944617E-2</v>
      </c>
      <c r="AX106">
        <v>0.5</v>
      </c>
      <c r="AY106">
        <f t="shared" si="120"/>
        <v>1513.1846998354581</v>
      </c>
      <c r="AZ106">
        <f t="shared" si="121"/>
        <v>4.0386559834785229</v>
      </c>
      <c r="BA106">
        <f t="shared" si="122"/>
        <v>62.069698073590146</v>
      </c>
      <c r="BB106">
        <f t="shared" si="123"/>
        <v>5.3054267081183524E-3</v>
      </c>
      <c r="BC106">
        <f t="shared" si="124"/>
        <v>3.5191240076255226</v>
      </c>
      <c r="BD106">
        <f t="shared" si="125"/>
        <v>492.1576269187974</v>
      </c>
      <c r="BE106" t="s">
        <v>877</v>
      </c>
      <c r="BF106">
        <v>525.11</v>
      </c>
      <c r="BG106">
        <f t="shared" si="126"/>
        <v>525.11</v>
      </c>
      <c r="BH106">
        <f t="shared" si="127"/>
        <v>0.30852940011007457</v>
      </c>
      <c r="BI106">
        <f t="shared" si="128"/>
        <v>0.26590171129129225</v>
      </c>
      <c r="BJ106">
        <f t="shared" si="129"/>
        <v>0.91939463497751805</v>
      </c>
      <c r="BK106">
        <f t="shared" si="130"/>
        <v>-0.26603156260718264</v>
      </c>
      <c r="BL106">
        <f t="shared" si="131"/>
        <v>1.0960458666030946</v>
      </c>
      <c r="BM106">
        <f t="shared" si="132"/>
        <v>0.20029512666010557</v>
      </c>
      <c r="BN106">
        <f t="shared" si="133"/>
        <v>0.79970487333989437</v>
      </c>
      <c r="BO106">
        <v>16886</v>
      </c>
      <c r="BP106">
        <v>290.00000000000011</v>
      </c>
      <c r="BQ106">
        <v>743.18</v>
      </c>
      <c r="BR106">
        <v>285</v>
      </c>
      <c r="BS106">
        <v>10276.200000000001</v>
      </c>
      <c r="BT106">
        <v>742.91</v>
      </c>
      <c r="BU106">
        <v>0.27</v>
      </c>
      <c r="BV106">
        <v>300.00000000000011</v>
      </c>
      <c r="BW106">
        <v>38.5</v>
      </c>
      <c r="BX106">
        <v>759.41045083274946</v>
      </c>
      <c r="BY106">
        <v>0.86018720130415005</v>
      </c>
      <c r="BZ106">
        <v>-16.957283298238611</v>
      </c>
      <c r="CA106">
        <v>0.72398628531041853</v>
      </c>
      <c r="CB106">
        <v>0.9514390546519842</v>
      </c>
      <c r="CC106">
        <v>-1.1204157285873199E-2</v>
      </c>
      <c r="CD106">
        <v>289.99999999999989</v>
      </c>
      <c r="CE106">
        <v>741.62</v>
      </c>
      <c r="CF106">
        <v>725</v>
      </c>
      <c r="CG106">
        <v>10258.4</v>
      </c>
      <c r="CH106">
        <v>742.88</v>
      </c>
      <c r="CI106">
        <v>-1.26</v>
      </c>
      <c r="CW106">
        <f t="shared" si="134"/>
        <v>1800</v>
      </c>
      <c r="CX106">
        <f t="shared" si="135"/>
        <v>1513.1846998354581</v>
      </c>
      <c r="CY106">
        <f t="shared" si="136"/>
        <v>0.8406581665752545</v>
      </c>
      <c r="CZ106">
        <f t="shared" si="137"/>
        <v>0.19131633315050928</v>
      </c>
      <c r="DA106">
        <v>6</v>
      </c>
      <c r="DB106">
        <v>0.5</v>
      </c>
      <c r="DC106" t="s">
        <v>420</v>
      </c>
      <c r="DD106">
        <v>2</v>
      </c>
      <c r="DE106">
        <v>1693516452.0999999</v>
      </c>
      <c r="DF106">
        <v>25.0244</v>
      </c>
      <c r="DG106">
        <v>30.02</v>
      </c>
      <c r="DH106">
        <v>28.951000000000001</v>
      </c>
      <c r="DI106">
        <v>23.131599999999999</v>
      </c>
      <c r="DJ106">
        <v>26.588699999999999</v>
      </c>
      <c r="DK106">
        <v>29.290400000000002</v>
      </c>
      <c r="DL106">
        <v>500.07799999999997</v>
      </c>
      <c r="DM106">
        <v>99.449799999999996</v>
      </c>
      <c r="DN106">
        <v>9.9972400000000003E-2</v>
      </c>
      <c r="DO106">
        <v>30.5092</v>
      </c>
      <c r="DP106">
        <v>29.9879</v>
      </c>
      <c r="DQ106">
        <v>999.9</v>
      </c>
      <c r="DR106">
        <v>0</v>
      </c>
      <c r="DS106">
        <v>0</v>
      </c>
      <c r="DT106">
        <v>9985</v>
      </c>
      <c r="DU106">
        <v>0</v>
      </c>
      <c r="DV106">
        <v>407.483</v>
      </c>
      <c r="DW106">
        <v>-4.9955499999999997</v>
      </c>
      <c r="DX106">
        <v>25.770499999999998</v>
      </c>
      <c r="DY106">
        <v>30.730799999999999</v>
      </c>
      <c r="DZ106">
        <v>5.8193700000000002</v>
      </c>
      <c r="EA106">
        <v>30.02</v>
      </c>
      <c r="EB106">
        <v>23.131599999999999</v>
      </c>
      <c r="EC106">
        <v>2.8791699999999998</v>
      </c>
      <c r="ED106">
        <v>2.30044</v>
      </c>
      <c r="EE106">
        <v>23.345199999999998</v>
      </c>
      <c r="EF106">
        <v>19.679500000000001</v>
      </c>
      <c r="EG106">
        <v>1800</v>
      </c>
      <c r="EH106">
        <v>0.97799800000000003</v>
      </c>
      <c r="EI106">
        <v>2.2002000000000001E-2</v>
      </c>
      <c r="EJ106">
        <v>0</v>
      </c>
      <c r="EK106">
        <v>696.41099999999994</v>
      </c>
      <c r="EL106">
        <v>5.0002500000000003</v>
      </c>
      <c r="EM106">
        <v>19679.8</v>
      </c>
      <c r="EN106">
        <v>14822.1</v>
      </c>
      <c r="EO106">
        <v>49.561999999999998</v>
      </c>
      <c r="EP106">
        <v>50.561999999999998</v>
      </c>
      <c r="EQ106">
        <v>50.311999999999998</v>
      </c>
      <c r="ER106">
        <v>50.061999999999998</v>
      </c>
      <c r="ES106">
        <v>50.686999999999998</v>
      </c>
      <c r="ET106">
        <v>1755.51</v>
      </c>
      <c r="EU106">
        <v>39.49</v>
      </c>
      <c r="EV106">
        <v>0</v>
      </c>
      <c r="EW106">
        <v>105.19999980926509</v>
      </c>
      <c r="EX106">
        <v>0</v>
      </c>
      <c r="EY106">
        <v>697.1095600000001</v>
      </c>
      <c r="EZ106">
        <v>-3.515307694275335</v>
      </c>
      <c r="FA106">
        <v>-85.469231210824475</v>
      </c>
      <c r="FB106">
        <v>19670.896000000001</v>
      </c>
      <c r="FC106">
        <v>15</v>
      </c>
      <c r="FD106">
        <v>1693516422.0999999</v>
      </c>
      <c r="FE106" t="s">
        <v>878</v>
      </c>
      <c r="FF106">
        <v>1693516403.5999999</v>
      </c>
      <c r="FG106">
        <v>1693516422.0999999</v>
      </c>
      <c r="FH106">
        <v>102</v>
      </c>
      <c r="FI106">
        <v>8.4000000000000005E-2</v>
      </c>
      <c r="FJ106">
        <v>-1E-3</v>
      </c>
      <c r="FK106">
        <v>-1.5640000000000001</v>
      </c>
      <c r="FL106">
        <v>-0.33900000000000002</v>
      </c>
      <c r="FM106">
        <v>30</v>
      </c>
      <c r="FN106">
        <v>23</v>
      </c>
      <c r="FO106">
        <v>1.38</v>
      </c>
      <c r="FP106">
        <v>0.06</v>
      </c>
      <c r="FQ106">
        <v>4.0080515472557483</v>
      </c>
      <c r="FR106">
        <v>-0.19720403887549751</v>
      </c>
      <c r="FS106">
        <v>4.3524663926660261E-2</v>
      </c>
      <c r="FT106">
        <v>1</v>
      </c>
      <c r="FU106">
        <v>0.36909935599265198</v>
      </c>
      <c r="FV106">
        <v>4.6739010989785279E-2</v>
      </c>
      <c r="FW106">
        <v>4.2694115577984982E-3</v>
      </c>
      <c r="FX106">
        <v>1</v>
      </c>
      <c r="FY106">
        <v>2</v>
      </c>
      <c r="FZ106">
        <v>2</v>
      </c>
      <c r="GA106" t="s">
        <v>422</v>
      </c>
      <c r="GB106">
        <v>2.91831</v>
      </c>
      <c r="GC106">
        <v>2.82972</v>
      </c>
      <c r="GD106">
        <v>7.4023200000000004E-3</v>
      </c>
      <c r="GE106">
        <v>8.1660599999999993E-3</v>
      </c>
      <c r="GF106">
        <v>0.13669799999999999</v>
      </c>
      <c r="GG106">
        <v>0.111584</v>
      </c>
      <c r="GH106">
        <v>25930.6</v>
      </c>
      <c r="GI106">
        <v>31529.9</v>
      </c>
      <c r="GJ106">
        <v>23523.200000000001</v>
      </c>
      <c r="GK106">
        <v>29109.9</v>
      </c>
      <c r="GL106">
        <v>27704.2</v>
      </c>
      <c r="GM106">
        <v>36575</v>
      </c>
      <c r="GN106">
        <v>33275</v>
      </c>
      <c r="GO106">
        <v>42942.9</v>
      </c>
      <c r="GP106">
        <v>1.9911000000000001</v>
      </c>
      <c r="GQ106">
        <v>1.7616000000000001</v>
      </c>
      <c r="GR106">
        <v>3.9607299999999998E-2</v>
      </c>
      <c r="GS106">
        <v>0</v>
      </c>
      <c r="GT106">
        <v>29.343</v>
      </c>
      <c r="GU106">
        <v>999.9</v>
      </c>
      <c r="GV106">
        <v>30.7</v>
      </c>
      <c r="GW106">
        <v>45</v>
      </c>
      <c r="GX106">
        <v>29.753699999999998</v>
      </c>
      <c r="GY106">
        <v>61.545099999999998</v>
      </c>
      <c r="GZ106">
        <v>36.398200000000003</v>
      </c>
      <c r="HA106">
        <v>1</v>
      </c>
      <c r="HB106">
        <v>0.46099600000000002</v>
      </c>
      <c r="HC106">
        <v>2.5207199999999998</v>
      </c>
      <c r="HD106">
        <v>20.250699999999998</v>
      </c>
      <c r="HE106">
        <v>5.2100999999999997</v>
      </c>
      <c r="HF106">
        <v>11.872199999999999</v>
      </c>
      <c r="HG106">
        <v>4.9850000000000003</v>
      </c>
      <c r="HH106">
        <v>3.2839999999999998</v>
      </c>
      <c r="HI106">
        <v>9999</v>
      </c>
      <c r="HJ106">
        <v>9999</v>
      </c>
      <c r="HK106">
        <v>9999</v>
      </c>
      <c r="HL106">
        <v>999.9</v>
      </c>
      <c r="HM106">
        <v>1.8548</v>
      </c>
      <c r="HN106">
        <v>1.8608100000000001</v>
      </c>
      <c r="HO106">
        <v>1.85819</v>
      </c>
      <c r="HP106">
        <v>1.8592599999999999</v>
      </c>
      <c r="HQ106">
        <v>1.8586400000000001</v>
      </c>
      <c r="HR106">
        <v>1.8591299999999999</v>
      </c>
      <c r="HS106">
        <v>1.85747</v>
      </c>
      <c r="HT106">
        <v>1.8608</v>
      </c>
      <c r="HU106">
        <v>5</v>
      </c>
      <c r="HV106">
        <v>0</v>
      </c>
      <c r="HW106">
        <v>0</v>
      </c>
      <c r="HX106">
        <v>0</v>
      </c>
      <c r="HY106" t="s">
        <v>423</v>
      </c>
      <c r="HZ106" t="s">
        <v>424</v>
      </c>
      <c r="IA106" t="s">
        <v>425</v>
      </c>
      <c r="IB106" t="s">
        <v>425</v>
      </c>
      <c r="IC106" t="s">
        <v>425</v>
      </c>
      <c r="ID106" t="s">
        <v>425</v>
      </c>
      <c r="IE106">
        <v>0</v>
      </c>
      <c r="IF106">
        <v>100</v>
      </c>
      <c r="IG106">
        <v>100</v>
      </c>
      <c r="IH106">
        <v>-1.5640000000000001</v>
      </c>
      <c r="II106">
        <v>-0.33939999999999998</v>
      </c>
      <c r="IJ106">
        <v>-1.564265000000002</v>
      </c>
      <c r="IK106">
        <v>0</v>
      </c>
      <c r="IL106">
        <v>0</v>
      </c>
      <c r="IM106">
        <v>0</v>
      </c>
      <c r="IN106">
        <v>-0.33940000000000842</v>
      </c>
      <c r="IO106">
        <v>0</v>
      </c>
      <c r="IP106">
        <v>0</v>
      </c>
      <c r="IQ106">
        <v>0</v>
      </c>
      <c r="IR106">
        <v>-1</v>
      </c>
      <c r="IS106">
        <v>-1</v>
      </c>
      <c r="IT106">
        <v>-1</v>
      </c>
      <c r="IU106">
        <v>-1</v>
      </c>
      <c r="IV106">
        <v>0.8</v>
      </c>
      <c r="IW106">
        <v>0.5</v>
      </c>
      <c r="IX106">
        <v>0.20996100000000001</v>
      </c>
      <c r="IY106">
        <v>2.5415000000000001</v>
      </c>
      <c r="IZ106">
        <v>1.49414</v>
      </c>
      <c r="JA106">
        <v>2.2802699999999998</v>
      </c>
      <c r="JB106">
        <v>1.54419</v>
      </c>
      <c r="JC106">
        <v>2.4304199999999998</v>
      </c>
      <c r="JD106">
        <v>47.571800000000003</v>
      </c>
      <c r="JE106">
        <v>23.9999</v>
      </c>
      <c r="JF106">
        <v>18</v>
      </c>
      <c r="JG106">
        <v>533.79200000000003</v>
      </c>
      <c r="JH106">
        <v>412.827</v>
      </c>
      <c r="JI106">
        <v>25.683</v>
      </c>
      <c r="JJ106">
        <v>33.054499999999997</v>
      </c>
      <c r="JK106">
        <v>30.000599999999999</v>
      </c>
      <c r="JL106">
        <v>32.951500000000003</v>
      </c>
      <c r="JM106">
        <v>32.9101</v>
      </c>
      <c r="JN106">
        <v>4.2668900000000001</v>
      </c>
      <c r="JO106">
        <v>15.152900000000001</v>
      </c>
      <c r="JP106">
        <v>21.693999999999999</v>
      </c>
      <c r="JQ106">
        <v>25.699100000000001</v>
      </c>
      <c r="JR106">
        <v>30</v>
      </c>
      <c r="JS106">
        <v>22.9556</v>
      </c>
      <c r="JT106">
        <v>98.671899999999994</v>
      </c>
      <c r="JU106">
        <v>96.750500000000002</v>
      </c>
    </row>
    <row r="107" spans="1:281" x14ac:dyDescent="0.25">
      <c r="A107">
        <v>91</v>
      </c>
      <c r="B107">
        <v>1693516564.5999999</v>
      </c>
      <c r="C107">
        <v>22428.599999904629</v>
      </c>
      <c r="D107" t="s">
        <v>879</v>
      </c>
      <c r="E107" t="s">
        <v>880</v>
      </c>
      <c r="F107" t="s">
        <v>414</v>
      </c>
      <c r="G107" t="s">
        <v>494</v>
      </c>
      <c r="H107" t="s">
        <v>416</v>
      </c>
      <c r="I107" t="s">
        <v>416</v>
      </c>
      <c r="J107">
        <v>1693516564.5999999</v>
      </c>
      <c r="K107">
        <f t="shared" si="92"/>
        <v>5.2370978607909711E-3</v>
      </c>
      <c r="L107">
        <f t="shared" si="93"/>
        <v>5.2370978607909713</v>
      </c>
      <c r="M107">
        <f t="shared" si="94"/>
        <v>1.4609412351647255</v>
      </c>
      <c r="N107">
        <f t="shared" si="95"/>
        <v>8.2004099999999998</v>
      </c>
      <c r="O107">
        <f t="shared" si="96"/>
        <v>1.7649044504650271</v>
      </c>
      <c r="P107">
        <f t="shared" si="97"/>
        <v>0.17569171812349579</v>
      </c>
      <c r="Q107">
        <f t="shared" si="98"/>
        <v>0.81632981424998996</v>
      </c>
      <c r="R107">
        <f t="shared" si="99"/>
        <v>0.39323562516539817</v>
      </c>
      <c r="S107">
        <f t="shared" si="100"/>
        <v>2.9251049726352281</v>
      </c>
      <c r="T107">
        <f t="shared" si="101"/>
        <v>0.36605090343748886</v>
      </c>
      <c r="U107">
        <f t="shared" si="102"/>
        <v>0.23106745650580598</v>
      </c>
      <c r="V107">
        <f t="shared" si="103"/>
        <v>344.36369967091122</v>
      </c>
      <c r="W107">
        <f t="shared" si="104"/>
        <v>31.208786758696345</v>
      </c>
      <c r="X107">
        <f t="shared" si="105"/>
        <v>29.970300000000002</v>
      </c>
      <c r="Y107">
        <f t="shared" si="106"/>
        <v>4.2531870857431482</v>
      </c>
      <c r="Z107">
        <f t="shared" si="107"/>
        <v>65.535090514187203</v>
      </c>
      <c r="AA107">
        <f t="shared" si="108"/>
        <v>2.8799870482211998</v>
      </c>
      <c r="AB107">
        <f t="shared" si="109"/>
        <v>4.3945724735021656</v>
      </c>
      <c r="AC107">
        <f t="shared" si="110"/>
        <v>1.3732000375219484</v>
      </c>
      <c r="AD107">
        <f t="shared" si="111"/>
        <v>-230.95601566088183</v>
      </c>
      <c r="AE107">
        <f t="shared" si="112"/>
        <v>89.951087095998716</v>
      </c>
      <c r="AF107">
        <f t="shared" si="113"/>
        <v>6.8549234724503991</v>
      </c>
      <c r="AG107">
        <f t="shared" si="114"/>
        <v>210.21369457847851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52121.639338448913</v>
      </c>
      <c r="AM107" t="s">
        <v>417</v>
      </c>
      <c r="AN107">
        <v>10366.9</v>
      </c>
      <c r="AO107">
        <v>993.59653846153856</v>
      </c>
      <c r="AP107">
        <v>3431.87</v>
      </c>
      <c r="AQ107">
        <f t="shared" si="118"/>
        <v>0.71047955241266758</v>
      </c>
      <c r="AR107">
        <v>-3.9894345373445681</v>
      </c>
      <c r="AS107" t="s">
        <v>881</v>
      </c>
      <c r="AT107">
        <v>10289.1</v>
      </c>
      <c r="AU107">
        <v>698.04230769230765</v>
      </c>
      <c r="AV107">
        <v>747.60019619202376</v>
      </c>
      <c r="AW107">
        <f t="shared" si="119"/>
        <v>6.6289293063517274E-2</v>
      </c>
      <c r="AX107">
        <v>0.5</v>
      </c>
      <c r="AY107">
        <f t="shared" si="120"/>
        <v>1513.1594998354556</v>
      </c>
      <c r="AZ107">
        <f t="shared" si="121"/>
        <v>1.4609412351647255</v>
      </c>
      <c r="BA107">
        <f t="shared" si="122"/>
        <v>50.153136768218864</v>
      </c>
      <c r="BB107">
        <f t="shared" si="123"/>
        <v>3.6019836462064837E-3</v>
      </c>
      <c r="BC107">
        <f t="shared" si="124"/>
        <v>3.5905151142021796</v>
      </c>
      <c r="BD107">
        <f t="shared" si="125"/>
        <v>487.16995360245016</v>
      </c>
      <c r="BE107" t="s">
        <v>882</v>
      </c>
      <c r="BF107">
        <v>531.41999999999996</v>
      </c>
      <c r="BG107">
        <f t="shared" si="126"/>
        <v>531.41999999999996</v>
      </c>
      <c r="BH107">
        <f t="shared" si="127"/>
        <v>0.28916551559665071</v>
      </c>
      <c r="BI107">
        <f t="shared" si="128"/>
        <v>0.22924342457204508</v>
      </c>
      <c r="BJ107">
        <f t="shared" si="129"/>
        <v>0.92546667027805218</v>
      </c>
      <c r="BK107">
        <f t="shared" si="130"/>
        <v>-0.20145782674044904</v>
      </c>
      <c r="BL107">
        <f t="shared" si="131"/>
        <v>1.1008895622865451</v>
      </c>
      <c r="BM107">
        <f t="shared" si="132"/>
        <v>0.17452314758516849</v>
      </c>
      <c r="BN107">
        <f t="shared" si="133"/>
        <v>0.82547685241483149</v>
      </c>
      <c r="BO107">
        <v>16888</v>
      </c>
      <c r="BP107">
        <v>290.00000000000011</v>
      </c>
      <c r="BQ107">
        <v>733.63</v>
      </c>
      <c r="BR107">
        <v>185</v>
      </c>
      <c r="BS107">
        <v>10289.1</v>
      </c>
      <c r="BT107">
        <v>733.23</v>
      </c>
      <c r="BU107">
        <v>0.4</v>
      </c>
      <c r="BV107">
        <v>300.00000000000011</v>
      </c>
      <c r="BW107">
        <v>38.5</v>
      </c>
      <c r="BX107">
        <v>747.60019619202376</v>
      </c>
      <c r="BY107">
        <v>1.062251880884141</v>
      </c>
      <c r="BZ107">
        <v>-14.78355757456165</v>
      </c>
      <c r="CA107">
        <v>0.89400921822507728</v>
      </c>
      <c r="CB107">
        <v>0.90711483040613639</v>
      </c>
      <c r="CC107">
        <v>-1.120302091212458E-2</v>
      </c>
      <c r="CD107">
        <v>289.99999999999989</v>
      </c>
      <c r="CE107">
        <v>731.83</v>
      </c>
      <c r="CF107">
        <v>665</v>
      </c>
      <c r="CG107">
        <v>10262</v>
      </c>
      <c r="CH107">
        <v>733.19</v>
      </c>
      <c r="CI107">
        <v>-1.36</v>
      </c>
      <c r="CW107">
        <f t="shared" si="134"/>
        <v>1799.97</v>
      </c>
      <c r="CX107">
        <f t="shared" si="135"/>
        <v>1513.1594998354556</v>
      </c>
      <c r="CY107">
        <f t="shared" si="136"/>
        <v>0.84065817754487882</v>
      </c>
      <c r="CZ107">
        <f t="shared" si="137"/>
        <v>0.19131635508975772</v>
      </c>
      <c r="DA107">
        <v>6</v>
      </c>
      <c r="DB107">
        <v>0.5</v>
      </c>
      <c r="DC107" t="s">
        <v>420</v>
      </c>
      <c r="DD107">
        <v>2</v>
      </c>
      <c r="DE107">
        <v>1693516564.5999999</v>
      </c>
      <c r="DF107">
        <v>8.2004099999999998</v>
      </c>
      <c r="DG107">
        <v>10.0054</v>
      </c>
      <c r="DH107">
        <v>28.930800000000001</v>
      </c>
      <c r="DI107">
        <v>22.827000000000002</v>
      </c>
      <c r="DJ107">
        <v>9.7368299999999994</v>
      </c>
      <c r="DK107">
        <v>29.2866</v>
      </c>
      <c r="DL107">
        <v>499.91</v>
      </c>
      <c r="DM107">
        <v>99.448499999999996</v>
      </c>
      <c r="DN107">
        <v>9.8938999999999999E-2</v>
      </c>
      <c r="DO107">
        <v>30.540700000000001</v>
      </c>
      <c r="DP107">
        <v>29.970300000000002</v>
      </c>
      <c r="DQ107">
        <v>999.9</v>
      </c>
      <c r="DR107">
        <v>0</v>
      </c>
      <c r="DS107">
        <v>0</v>
      </c>
      <c r="DT107">
        <v>10030</v>
      </c>
      <c r="DU107">
        <v>0</v>
      </c>
      <c r="DV107">
        <v>349.50900000000001</v>
      </c>
      <c r="DW107">
        <v>-1.80501</v>
      </c>
      <c r="DX107">
        <v>8.4447200000000002</v>
      </c>
      <c r="DY107">
        <v>10.239100000000001</v>
      </c>
      <c r="DZ107">
        <v>6.1038300000000003</v>
      </c>
      <c r="EA107">
        <v>10.0054</v>
      </c>
      <c r="EB107">
        <v>22.827000000000002</v>
      </c>
      <c r="EC107">
        <v>2.8771300000000002</v>
      </c>
      <c r="ED107">
        <v>2.2701099999999999</v>
      </c>
      <c r="EE107">
        <v>23.333400000000001</v>
      </c>
      <c r="EF107">
        <v>19.465800000000002</v>
      </c>
      <c r="EG107">
        <v>1799.97</v>
      </c>
      <c r="EH107">
        <v>0.97799800000000003</v>
      </c>
      <c r="EI107">
        <v>2.2002000000000001E-2</v>
      </c>
      <c r="EJ107">
        <v>0</v>
      </c>
      <c r="EK107">
        <v>697.81200000000001</v>
      </c>
      <c r="EL107">
        <v>5.0002500000000003</v>
      </c>
      <c r="EM107">
        <v>19649.8</v>
      </c>
      <c r="EN107">
        <v>14821.8</v>
      </c>
      <c r="EO107">
        <v>49.686999999999998</v>
      </c>
      <c r="EP107">
        <v>50.625</v>
      </c>
      <c r="EQ107">
        <v>50.375</v>
      </c>
      <c r="ER107">
        <v>50.061999999999998</v>
      </c>
      <c r="ES107">
        <v>50.75</v>
      </c>
      <c r="ET107">
        <v>1755.48</v>
      </c>
      <c r="EU107">
        <v>39.49</v>
      </c>
      <c r="EV107">
        <v>0</v>
      </c>
      <c r="EW107">
        <v>110.3999998569489</v>
      </c>
      <c r="EX107">
        <v>0</v>
      </c>
      <c r="EY107">
        <v>698.04230769230765</v>
      </c>
      <c r="EZ107">
        <v>-0.95815386341537612</v>
      </c>
      <c r="FA107">
        <v>22.239316901985649</v>
      </c>
      <c r="FB107">
        <v>19646.70384615384</v>
      </c>
      <c r="FC107">
        <v>15</v>
      </c>
      <c r="FD107">
        <v>1693516533.0999999</v>
      </c>
      <c r="FE107" t="s">
        <v>883</v>
      </c>
      <c r="FF107">
        <v>1693516524.5999999</v>
      </c>
      <c r="FG107">
        <v>1693516533.0999999</v>
      </c>
      <c r="FH107">
        <v>103</v>
      </c>
      <c r="FI107">
        <v>2.8000000000000001E-2</v>
      </c>
      <c r="FJ107">
        <v>-1.6E-2</v>
      </c>
      <c r="FK107">
        <v>-1.536</v>
      </c>
      <c r="FL107">
        <v>-0.35599999999999998</v>
      </c>
      <c r="FM107">
        <v>10</v>
      </c>
      <c r="FN107">
        <v>23</v>
      </c>
      <c r="FO107">
        <v>0.66</v>
      </c>
      <c r="FP107">
        <v>0.04</v>
      </c>
      <c r="FQ107">
        <v>1.452322206738428</v>
      </c>
      <c r="FR107">
        <v>-0.38303233489004901</v>
      </c>
      <c r="FS107">
        <v>8.8182282912661614E-2</v>
      </c>
      <c r="FT107">
        <v>1</v>
      </c>
      <c r="FU107">
        <v>0.39035047742398199</v>
      </c>
      <c r="FV107">
        <v>4.4509377646772978E-2</v>
      </c>
      <c r="FW107">
        <v>3.8201318254576159E-3</v>
      </c>
      <c r="FX107">
        <v>1</v>
      </c>
      <c r="FY107">
        <v>2</v>
      </c>
      <c r="FZ107">
        <v>2</v>
      </c>
      <c r="GA107" t="s">
        <v>422</v>
      </c>
      <c r="GB107">
        <v>2.9178000000000002</v>
      </c>
      <c r="GC107">
        <v>2.8290899999999999</v>
      </c>
      <c r="GD107">
        <v>2.72003E-3</v>
      </c>
      <c r="GE107">
        <v>2.7321200000000002E-3</v>
      </c>
      <c r="GF107">
        <v>0.136652</v>
      </c>
      <c r="GG107">
        <v>0.110523</v>
      </c>
      <c r="GH107">
        <v>26049.9</v>
      </c>
      <c r="GI107">
        <v>31701.8</v>
      </c>
      <c r="GJ107">
        <v>23520.9</v>
      </c>
      <c r="GK107">
        <v>29109.8</v>
      </c>
      <c r="GL107">
        <v>27703.599999999999</v>
      </c>
      <c r="GM107">
        <v>36619.199999999997</v>
      </c>
      <c r="GN107">
        <v>33272.400000000001</v>
      </c>
      <c r="GO107">
        <v>42943.4</v>
      </c>
      <c r="GP107">
        <v>1.9914000000000001</v>
      </c>
      <c r="GQ107">
        <v>1.7599</v>
      </c>
      <c r="GR107">
        <v>4.4971700000000003E-2</v>
      </c>
      <c r="GS107">
        <v>0</v>
      </c>
      <c r="GT107">
        <v>29.2379</v>
      </c>
      <c r="GU107">
        <v>999.9</v>
      </c>
      <c r="GV107">
        <v>30.3</v>
      </c>
      <c r="GW107">
        <v>45</v>
      </c>
      <c r="GX107">
        <v>29.367000000000001</v>
      </c>
      <c r="GY107">
        <v>61.115099999999998</v>
      </c>
      <c r="GZ107">
        <v>37.063299999999998</v>
      </c>
      <c r="HA107">
        <v>1</v>
      </c>
      <c r="HB107">
        <v>0.46761200000000003</v>
      </c>
      <c r="HC107">
        <v>2.1697000000000002</v>
      </c>
      <c r="HD107">
        <v>20.2545</v>
      </c>
      <c r="HE107">
        <v>5.2071100000000001</v>
      </c>
      <c r="HF107">
        <v>11.872199999999999</v>
      </c>
      <c r="HG107">
        <v>4.9832000000000001</v>
      </c>
      <c r="HH107">
        <v>3.2831000000000001</v>
      </c>
      <c r="HI107">
        <v>9999</v>
      </c>
      <c r="HJ107">
        <v>9999</v>
      </c>
      <c r="HK107">
        <v>9999</v>
      </c>
      <c r="HL107">
        <v>999.9</v>
      </c>
      <c r="HM107">
        <v>1.85476</v>
      </c>
      <c r="HN107">
        <v>1.8607800000000001</v>
      </c>
      <c r="HO107">
        <v>1.85809</v>
      </c>
      <c r="HP107">
        <v>1.8591899999999999</v>
      </c>
      <c r="HQ107">
        <v>1.8585499999999999</v>
      </c>
      <c r="HR107">
        <v>1.8591299999999999</v>
      </c>
      <c r="HS107">
        <v>1.85745</v>
      </c>
      <c r="HT107">
        <v>1.8607100000000001</v>
      </c>
      <c r="HU107">
        <v>5</v>
      </c>
      <c r="HV107">
        <v>0</v>
      </c>
      <c r="HW107">
        <v>0</v>
      </c>
      <c r="HX107">
        <v>0</v>
      </c>
      <c r="HY107" t="s">
        <v>423</v>
      </c>
      <c r="HZ107" t="s">
        <v>424</v>
      </c>
      <c r="IA107" t="s">
        <v>425</v>
      </c>
      <c r="IB107" t="s">
        <v>425</v>
      </c>
      <c r="IC107" t="s">
        <v>425</v>
      </c>
      <c r="ID107" t="s">
        <v>425</v>
      </c>
      <c r="IE107">
        <v>0</v>
      </c>
      <c r="IF107">
        <v>100</v>
      </c>
      <c r="IG107">
        <v>100</v>
      </c>
      <c r="IH107">
        <v>-1.536</v>
      </c>
      <c r="II107">
        <v>-0.35580000000000001</v>
      </c>
      <c r="IJ107">
        <v>-1.536420499999998</v>
      </c>
      <c r="IK107">
        <v>0</v>
      </c>
      <c r="IL107">
        <v>0</v>
      </c>
      <c r="IM107">
        <v>0</v>
      </c>
      <c r="IN107">
        <v>-0.35576190476189851</v>
      </c>
      <c r="IO107">
        <v>0</v>
      </c>
      <c r="IP107">
        <v>0</v>
      </c>
      <c r="IQ107">
        <v>0</v>
      </c>
      <c r="IR107">
        <v>-1</v>
      </c>
      <c r="IS107">
        <v>-1</v>
      </c>
      <c r="IT107">
        <v>-1</v>
      </c>
      <c r="IU107">
        <v>-1</v>
      </c>
      <c r="IV107">
        <v>0.7</v>
      </c>
      <c r="IW107">
        <v>0.5</v>
      </c>
      <c r="IX107">
        <v>0.164795</v>
      </c>
      <c r="IY107">
        <v>2.5585900000000001</v>
      </c>
      <c r="IZ107">
        <v>1.49414</v>
      </c>
      <c r="JA107">
        <v>2.2802699999999998</v>
      </c>
      <c r="JB107">
        <v>1.54419</v>
      </c>
      <c r="JC107">
        <v>2.4548299999999998</v>
      </c>
      <c r="JD107">
        <v>47.601900000000001</v>
      </c>
      <c r="JE107">
        <v>24.008700000000001</v>
      </c>
      <c r="JF107">
        <v>18</v>
      </c>
      <c r="JG107">
        <v>534.87</v>
      </c>
      <c r="JH107">
        <v>412.43400000000003</v>
      </c>
      <c r="JI107">
        <v>25.977</v>
      </c>
      <c r="JJ107">
        <v>33.148099999999999</v>
      </c>
      <c r="JK107">
        <v>29.999300000000002</v>
      </c>
      <c r="JL107">
        <v>33.053199999999997</v>
      </c>
      <c r="JM107">
        <v>33.009</v>
      </c>
      <c r="JN107">
        <v>3.36652</v>
      </c>
      <c r="JO107">
        <v>13.8908</v>
      </c>
      <c r="JP107">
        <v>20.497299999999999</v>
      </c>
      <c r="JQ107">
        <v>26.040700000000001</v>
      </c>
      <c r="JR107">
        <v>10</v>
      </c>
      <c r="JS107">
        <v>22.716200000000001</v>
      </c>
      <c r="JT107">
        <v>98.663600000000002</v>
      </c>
      <c r="JU107">
        <v>96.751000000000005</v>
      </c>
    </row>
    <row r="108" spans="1:281" x14ac:dyDescent="0.25">
      <c r="A108">
        <v>92</v>
      </c>
      <c r="B108">
        <v>1693516749.5</v>
      </c>
      <c r="C108">
        <v>22613.5</v>
      </c>
      <c r="D108" t="s">
        <v>884</v>
      </c>
      <c r="E108" t="s">
        <v>885</v>
      </c>
      <c r="F108" t="s">
        <v>414</v>
      </c>
      <c r="G108" t="s">
        <v>494</v>
      </c>
      <c r="H108" t="s">
        <v>416</v>
      </c>
      <c r="I108" t="s">
        <v>416</v>
      </c>
      <c r="J108">
        <v>1693516749.5</v>
      </c>
      <c r="K108">
        <f t="shared" si="92"/>
        <v>5.2095363334952556E-3</v>
      </c>
      <c r="L108">
        <f t="shared" si="93"/>
        <v>5.2095363334952554</v>
      </c>
      <c r="M108">
        <f t="shared" si="94"/>
        <v>37.762711290688586</v>
      </c>
      <c r="N108">
        <f t="shared" si="95"/>
        <v>352.50700000000001</v>
      </c>
      <c r="O108">
        <f t="shared" si="96"/>
        <v>178.39629730346292</v>
      </c>
      <c r="P108">
        <f t="shared" si="97"/>
        <v>17.759489403935326</v>
      </c>
      <c r="Q108">
        <f t="shared" si="98"/>
        <v>35.092344549415202</v>
      </c>
      <c r="R108">
        <f t="shared" si="99"/>
        <v>0.3819421438140515</v>
      </c>
      <c r="S108">
        <f t="shared" si="100"/>
        <v>2.9286383021959113</v>
      </c>
      <c r="T108">
        <f t="shared" si="101"/>
        <v>0.35627052181227492</v>
      </c>
      <c r="U108">
        <f t="shared" si="102"/>
        <v>0.22483161972732979</v>
      </c>
      <c r="V108">
        <f t="shared" si="103"/>
        <v>344.35609967090397</v>
      </c>
      <c r="W108">
        <f t="shared" si="104"/>
        <v>31.335788384344294</v>
      </c>
      <c r="X108">
        <f t="shared" si="105"/>
        <v>30.0213</v>
      </c>
      <c r="Y108">
        <f t="shared" si="106"/>
        <v>4.2656650187569234</v>
      </c>
      <c r="Z108">
        <f t="shared" si="107"/>
        <v>64.680187031757157</v>
      </c>
      <c r="AA108">
        <f t="shared" si="108"/>
        <v>2.8621046511547203</v>
      </c>
      <c r="AB108">
        <f t="shared" si="109"/>
        <v>4.4250098561858877</v>
      </c>
      <c r="AC108">
        <f t="shared" si="110"/>
        <v>1.403560367602203</v>
      </c>
      <c r="AD108">
        <f t="shared" si="111"/>
        <v>-229.74055230714077</v>
      </c>
      <c r="AE108">
        <f t="shared" si="112"/>
        <v>101.06458768952588</v>
      </c>
      <c r="AF108">
        <f t="shared" si="113"/>
        <v>7.6990972878108437</v>
      </c>
      <c r="AG108">
        <f t="shared" si="114"/>
        <v>223.37923234109991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52201.669131735929</v>
      </c>
      <c r="AM108" t="s">
        <v>417</v>
      </c>
      <c r="AN108">
        <v>10366.9</v>
      </c>
      <c r="AO108">
        <v>993.59653846153856</v>
      </c>
      <c r="AP108">
        <v>3431.87</v>
      </c>
      <c r="AQ108">
        <f t="shared" si="118"/>
        <v>0.71047955241266758</v>
      </c>
      <c r="AR108">
        <v>-3.9894345373445681</v>
      </c>
      <c r="AS108" t="s">
        <v>886</v>
      </c>
      <c r="AT108">
        <v>10284.299999999999</v>
      </c>
      <c r="AU108">
        <v>684.05439999999999</v>
      </c>
      <c r="AV108">
        <v>956.46162594748887</v>
      </c>
      <c r="AW108">
        <f t="shared" si="119"/>
        <v>0.28480727146542562</v>
      </c>
      <c r="AX108">
        <v>0.5</v>
      </c>
      <c r="AY108">
        <f t="shared" si="120"/>
        <v>1513.1258998354519</v>
      </c>
      <c r="AZ108">
        <f t="shared" si="121"/>
        <v>37.762711290688586</v>
      </c>
      <c r="BA108">
        <f t="shared" si="122"/>
        <v>215.47462945790099</v>
      </c>
      <c r="BB108">
        <f t="shared" si="123"/>
        <v>2.7593305905723758E-2</v>
      </c>
      <c r="BC108">
        <f t="shared" si="124"/>
        <v>2.5880895865532767</v>
      </c>
      <c r="BD108">
        <f t="shared" si="125"/>
        <v>567.99507263722217</v>
      </c>
      <c r="BE108" t="s">
        <v>887</v>
      </c>
      <c r="BF108">
        <v>517.78</v>
      </c>
      <c r="BG108">
        <f t="shared" si="126"/>
        <v>517.78</v>
      </c>
      <c r="BH108">
        <f t="shared" si="127"/>
        <v>0.45865052402172712</v>
      </c>
      <c r="BI108">
        <f t="shared" si="128"/>
        <v>0.62096794083665718</v>
      </c>
      <c r="BJ108">
        <f t="shared" si="129"/>
        <v>0.84946188142868306</v>
      </c>
      <c r="BK108">
        <f t="shared" si="130"/>
        <v>-7.3356097404141147</v>
      </c>
      <c r="BL108">
        <f t="shared" si="131"/>
        <v>1.0152300031558474</v>
      </c>
      <c r="BM108">
        <f t="shared" si="132"/>
        <v>0.47002808607970992</v>
      </c>
      <c r="BN108">
        <f t="shared" si="133"/>
        <v>0.52997191392029008</v>
      </c>
      <c r="BO108">
        <v>16890</v>
      </c>
      <c r="BP108">
        <v>290.00000000000011</v>
      </c>
      <c r="BQ108">
        <v>873.41</v>
      </c>
      <c r="BR108">
        <v>225</v>
      </c>
      <c r="BS108">
        <v>10284.299999999999</v>
      </c>
      <c r="BT108">
        <v>873.3</v>
      </c>
      <c r="BU108">
        <v>0.11</v>
      </c>
      <c r="BV108">
        <v>300.00000000000011</v>
      </c>
      <c r="BW108">
        <v>38.5</v>
      </c>
      <c r="BX108">
        <v>956.46162594748887</v>
      </c>
      <c r="BY108">
        <v>1.1526246275519709</v>
      </c>
      <c r="BZ108">
        <v>-85.521064096156749</v>
      </c>
      <c r="CA108">
        <v>0.97015214371446201</v>
      </c>
      <c r="CB108">
        <v>0.99640971035906922</v>
      </c>
      <c r="CC108">
        <v>-1.120486763070077E-2</v>
      </c>
      <c r="CD108">
        <v>289.99999999999989</v>
      </c>
      <c r="CE108">
        <v>858.55</v>
      </c>
      <c r="CF108">
        <v>615</v>
      </c>
      <c r="CG108">
        <v>10267</v>
      </c>
      <c r="CH108">
        <v>873.16</v>
      </c>
      <c r="CI108">
        <v>-14.61</v>
      </c>
      <c r="CW108">
        <f t="shared" si="134"/>
        <v>1799.93</v>
      </c>
      <c r="CX108">
        <f t="shared" si="135"/>
        <v>1513.1258998354519</v>
      </c>
      <c r="CY108">
        <f t="shared" si="136"/>
        <v>0.84065819217161331</v>
      </c>
      <c r="CZ108">
        <f t="shared" si="137"/>
        <v>0.19131638434322665</v>
      </c>
      <c r="DA108">
        <v>6</v>
      </c>
      <c r="DB108">
        <v>0.5</v>
      </c>
      <c r="DC108" t="s">
        <v>420</v>
      </c>
      <c r="DD108">
        <v>2</v>
      </c>
      <c r="DE108">
        <v>1693516749.5</v>
      </c>
      <c r="DF108">
        <v>352.50700000000001</v>
      </c>
      <c r="DG108">
        <v>400</v>
      </c>
      <c r="DH108">
        <v>28.7502</v>
      </c>
      <c r="DI108">
        <v>22.681799999999999</v>
      </c>
      <c r="DJ108">
        <v>354.68599999999998</v>
      </c>
      <c r="DK108">
        <v>29.106999999999999</v>
      </c>
      <c r="DL108">
        <v>500.27300000000002</v>
      </c>
      <c r="DM108">
        <v>99.450800000000001</v>
      </c>
      <c r="DN108">
        <v>9.9973599999999996E-2</v>
      </c>
      <c r="DO108">
        <v>30.6614</v>
      </c>
      <c r="DP108">
        <v>30.0213</v>
      </c>
      <c r="DQ108">
        <v>999.9</v>
      </c>
      <c r="DR108">
        <v>0</v>
      </c>
      <c r="DS108">
        <v>0</v>
      </c>
      <c r="DT108">
        <v>10050</v>
      </c>
      <c r="DU108">
        <v>0</v>
      </c>
      <c r="DV108">
        <v>265.65100000000001</v>
      </c>
      <c r="DW108">
        <v>-47.492899999999999</v>
      </c>
      <c r="DX108">
        <v>362.94200000000001</v>
      </c>
      <c r="DY108">
        <v>409.28300000000002</v>
      </c>
      <c r="DZ108">
        <v>6.0684300000000002</v>
      </c>
      <c r="EA108">
        <v>400</v>
      </c>
      <c r="EB108">
        <v>22.681799999999999</v>
      </c>
      <c r="EC108">
        <v>2.8592300000000002</v>
      </c>
      <c r="ED108">
        <v>2.2557200000000002</v>
      </c>
      <c r="EE108">
        <v>23.2301</v>
      </c>
      <c r="EF108">
        <v>19.363600000000002</v>
      </c>
      <c r="EG108">
        <v>1799.93</v>
      </c>
      <c r="EH108">
        <v>0.97799800000000003</v>
      </c>
      <c r="EI108">
        <v>2.2002000000000001E-2</v>
      </c>
      <c r="EJ108">
        <v>0</v>
      </c>
      <c r="EK108">
        <v>682.36</v>
      </c>
      <c r="EL108">
        <v>5.0002500000000003</v>
      </c>
      <c r="EM108">
        <v>19370.3</v>
      </c>
      <c r="EN108">
        <v>14821.5</v>
      </c>
      <c r="EO108">
        <v>49.75</v>
      </c>
      <c r="EP108">
        <v>50.686999999999998</v>
      </c>
      <c r="EQ108">
        <v>50.436999999999998</v>
      </c>
      <c r="ER108">
        <v>50.186999999999998</v>
      </c>
      <c r="ES108">
        <v>50.811999999999998</v>
      </c>
      <c r="ET108">
        <v>1755.44</v>
      </c>
      <c r="EU108">
        <v>39.49</v>
      </c>
      <c r="EV108">
        <v>0</v>
      </c>
      <c r="EW108">
        <v>183.19999980926511</v>
      </c>
      <c r="EX108">
        <v>0</v>
      </c>
      <c r="EY108">
        <v>684.05439999999999</v>
      </c>
      <c r="EZ108">
        <v>-16.817923107628829</v>
      </c>
      <c r="FA108">
        <v>-275.72307734279082</v>
      </c>
      <c r="FB108">
        <v>19407.187999999998</v>
      </c>
      <c r="FC108">
        <v>15</v>
      </c>
      <c r="FD108">
        <v>1693516652</v>
      </c>
      <c r="FE108" t="s">
        <v>888</v>
      </c>
      <c r="FF108">
        <v>1693516650.5</v>
      </c>
      <c r="FG108">
        <v>1693516652</v>
      </c>
      <c r="FH108">
        <v>104</v>
      </c>
      <c r="FI108">
        <v>-0.64200000000000002</v>
      </c>
      <c r="FJ108">
        <v>-1E-3</v>
      </c>
      <c r="FK108">
        <v>-2.1789999999999998</v>
      </c>
      <c r="FL108">
        <v>-0.35699999999999998</v>
      </c>
      <c r="FM108">
        <v>400</v>
      </c>
      <c r="FN108">
        <v>22</v>
      </c>
      <c r="FO108">
        <v>0.3</v>
      </c>
      <c r="FP108">
        <v>0.04</v>
      </c>
      <c r="FQ108">
        <v>37.67533816061097</v>
      </c>
      <c r="FR108">
        <v>0.32438261348344449</v>
      </c>
      <c r="FS108">
        <v>8.3968777562593966E-2</v>
      </c>
      <c r="FT108">
        <v>1</v>
      </c>
      <c r="FU108">
        <v>0.3854290884222788</v>
      </c>
      <c r="FV108">
        <v>-4.2555540215418762E-2</v>
      </c>
      <c r="FW108">
        <v>3.392254666581356E-3</v>
      </c>
      <c r="FX108">
        <v>1</v>
      </c>
      <c r="FY108">
        <v>2</v>
      </c>
      <c r="FZ108">
        <v>2</v>
      </c>
      <c r="GA108" t="s">
        <v>422</v>
      </c>
      <c r="GB108">
        <v>2.91865</v>
      </c>
      <c r="GC108">
        <v>2.8302900000000002</v>
      </c>
      <c r="GD108">
        <v>8.2162499999999999E-2</v>
      </c>
      <c r="GE108">
        <v>8.8520199999999993E-2</v>
      </c>
      <c r="GF108">
        <v>0.13605100000000001</v>
      </c>
      <c r="GG108">
        <v>0.110011</v>
      </c>
      <c r="GH108">
        <v>23975.7</v>
      </c>
      <c r="GI108">
        <v>28979.200000000001</v>
      </c>
      <c r="GJ108">
        <v>23519.7</v>
      </c>
      <c r="GK108">
        <v>29112.1</v>
      </c>
      <c r="GL108">
        <v>27729.599999999999</v>
      </c>
      <c r="GM108">
        <v>36653</v>
      </c>
      <c r="GN108">
        <v>33271.4</v>
      </c>
      <c r="GO108">
        <v>42946.400000000001</v>
      </c>
      <c r="GP108">
        <v>1.9906999999999999</v>
      </c>
      <c r="GQ108">
        <v>1.7604</v>
      </c>
      <c r="GR108">
        <v>4.4912100000000003E-2</v>
      </c>
      <c r="GS108">
        <v>0</v>
      </c>
      <c r="GT108">
        <v>29.29</v>
      </c>
      <c r="GU108">
        <v>999.9</v>
      </c>
      <c r="GV108">
        <v>29.5</v>
      </c>
      <c r="GW108">
        <v>45.1</v>
      </c>
      <c r="GX108">
        <v>28.7392</v>
      </c>
      <c r="GY108">
        <v>61.2151</v>
      </c>
      <c r="GZ108">
        <v>36.875</v>
      </c>
      <c r="HA108">
        <v>1</v>
      </c>
      <c r="HB108">
        <v>0.46972599999999998</v>
      </c>
      <c r="HC108">
        <v>2.2914699999999999</v>
      </c>
      <c r="HD108">
        <v>20.2544</v>
      </c>
      <c r="HE108">
        <v>5.2112999999999996</v>
      </c>
      <c r="HF108">
        <v>11.872199999999999</v>
      </c>
      <c r="HG108">
        <v>4.9837999999999996</v>
      </c>
      <c r="HH108">
        <v>3.2839999999999998</v>
      </c>
      <c r="HI108">
        <v>9999</v>
      </c>
      <c r="HJ108">
        <v>9999</v>
      </c>
      <c r="HK108">
        <v>9999</v>
      </c>
      <c r="HL108">
        <v>999.9</v>
      </c>
      <c r="HM108">
        <v>1.85486</v>
      </c>
      <c r="HN108">
        <v>1.8608100000000001</v>
      </c>
      <c r="HO108">
        <v>1.85822</v>
      </c>
      <c r="HP108">
        <v>1.85928</v>
      </c>
      <c r="HQ108">
        <v>1.85867</v>
      </c>
      <c r="HR108">
        <v>1.85914</v>
      </c>
      <c r="HS108">
        <v>1.85751</v>
      </c>
      <c r="HT108">
        <v>1.8608100000000001</v>
      </c>
      <c r="HU108">
        <v>5</v>
      </c>
      <c r="HV108">
        <v>0</v>
      </c>
      <c r="HW108">
        <v>0</v>
      </c>
      <c r="HX108">
        <v>0</v>
      </c>
      <c r="HY108" t="s">
        <v>423</v>
      </c>
      <c r="HZ108" t="s">
        <v>424</v>
      </c>
      <c r="IA108" t="s">
        <v>425</v>
      </c>
      <c r="IB108" t="s">
        <v>425</v>
      </c>
      <c r="IC108" t="s">
        <v>425</v>
      </c>
      <c r="ID108" t="s">
        <v>425</v>
      </c>
      <c r="IE108">
        <v>0</v>
      </c>
      <c r="IF108">
        <v>100</v>
      </c>
      <c r="IG108">
        <v>100</v>
      </c>
      <c r="IH108">
        <v>-2.1789999999999998</v>
      </c>
      <c r="II108">
        <v>-0.35680000000000001</v>
      </c>
      <c r="IJ108">
        <v>-2.178619047619065</v>
      </c>
      <c r="IK108">
        <v>0</v>
      </c>
      <c r="IL108">
        <v>0</v>
      </c>
      <c r="IM108">
        <v>0</v>
      </c>
      <c r="IN108">
        <v>-0.3567949999999982</v>
      </c>
      <c r="IO108">
        <v>0</v>
      </c>
      <c r="IP108">
        <v>0</v>
      </c>
      <c r="IQ108">
        <v>0</v>
      </c>
      <c r="IR108">
        <v>-1</v>
      </c>
      <c r="IS108">
        <v>-1</v>
      </c>
      <c r="IT108">
        <v>-1</v>
      </c>
      <c r="IU108">
        <v>-1</v>
      </c>
      <c r="IV108">
        <v>1.6</v>
      </c>
      <c r="IW108">
        <v>1.6</v>
      </c>
      <c r="IX108">
        <v>0.99853499999999995</v>
      </c>
      <c r="IY108">
        <v>2.49512</v>
      </c>
      <c r="IZ108">
        <v>1.49414</v>
      </c>
      <c r="JA108">
        <v>2.2802699999999998</v>
      </c>
      <c r="JB108">
        <v>1.54419</v>
      </c>
      <c r="JC108">
        <v>2.3901400000000002</v>
      </c>
      <c r="JD108">
        <v>47.3917</v>
      </c>
      <c r="JE108">
        <v>24.008700000000001</v>
      </c>
      <c r="JF108">
        <v>18</v>
      </c>
      <c r="JG108">
        <v>535.01800000000003</v>
      </c>
      <c r="JH108">
        <v>413.30799999999999</v>
      </c>
      <c r="JI108">
        <v>26.183499999999999</v>
      </c>
      <c r="JJ108">
        <v>33.2014</v>
      </c>
      <c r="JK108">
        <v>30.0001</v>
      </c>
      <c r="JL108">
        <v>33.126399999999997</v>
      </c>
      <c r="JM108">
        <v>33.087800000000001</v>
      </c>
      <c r="JN108">
        <v>20.067599999999999</v>
      </c>
      <c r="JO108">
        <v>10.6905</v>
      </c>
      <c r="JP108">
        <v>18.9756</v>
      </c>
      <c r="JQ108">
        <v>26.180099999999999</v>
      </c>
      <c r="JR108">
        <v>400</v>
      </c>
      <c r="JS108">
        <v>22.817900000000002</v>
      </c>
      <c r="JT108">
        <v>98.659599999999998</v>
      </c>
      <c r="JU108">
        <v>96.758200000000002</v>
      </c>
    </row>
    <row r="109" spans="1:281" x14ac:dyDescent="0.25">
      <c r="A109">
        <v>93</v>
      </c>
      <c r="B109">
        <v>1693516939</v>
      </c>
      <c r="C109">
        <v>22803</v>
      </c>
      <c r="D109" t="s">
        <v>889</v>
      </c>
      <c r="E109" t="s">
        <v>890</v>
      </c>
      <c r="F109" t="s">
        <v>414</v>
      </c>
      <c r="G109" t="s">
        <v>494</v>
      </c>
      <c r="H109" t="s">
        <v>416</v>
      </c>
      <c r="I109" t="s">
        <v>416</v>
      </c>
      <c r="J109">
        <v>1693516939</v>
      </c>
      <c r="K109">
        <f t="shared" si="92"/>
        <v>5.0837048462109404E-3</v>
      </c>
      <c r="L109">
        <f t="shared" si="93"/>
        <v>5.0837048462109404</v>
      </c>
      <c r="M109">
        <f t="shared" si="94"/>
        <v>43.100530994439985</v>
      </c>
      <c r="N109">
        <f t="shared" si="95"/>
        <v>346.221</v>
      </c>
      <c r="O109">
        <f t="shared" si="96"/>
        <v>144.75966130437058</v>
      </c>
      <c r="P109">
        <f t="shared" si="97"/>
        <v>14.410377974338324</v>
      </c>
      <c r="Q109">
        <f t="shared" si="98"/>
        <v>34.465233116034895</v>
      </c>
      <c r="R109">
        <f t="shared" si="99"/>
        <v>0.37344976902312327</v>
      </c>
      <c r="S109">
        <f t="shared" si="100"/>
        <v>2.9329376342456346</v>
      </c>
      <c r="T109">
        <f t="shared" si="101"/>
        <v>0.34890115701890306</v>
      </c>
      <c r="U109">
        <f t="shared" si="102"/>
        <v>0.22013420373959097</v>
      </c>
      <c r="V109">
        <f t="shared" si="103"/>
        <v>344.40871282957272</v>
      </c>
      <c r="W109">
        <f t="shared" si="104"/>
        <v>31.336400965355772</v>
      </c>
      <c r="X109">
        <f t="shared" si="105"/>
        <v>29.998100000000001</v>
      </c>
      <c r="Y109">
        <f t="shared" si="106"/>
        <v>4.2599848327207841</v>
      </c>
      <c r="Z109">
        <f t="shared" si="107"/>
        <v>64.780586849425987</v>
      </c>
      <c r="AA109">
        <f t="shared" si="108"/>
        <v>2.8614064434486699</v>
      </c>
      <c r="AB109">
        <f t="shared" si="109"/>
        <v>4.4170739763436151</v>
      </c>
      <c r="AC109">
        <f t="shared" si="110"/>
        <v>1.3985783892721142</v>
      </c>
      <c r="AD109">
        <f t="shared" si="111"/>
        <v>-224.19138371790248</v>
      </c>
      <c r="AE109">
        <f t="shared" si="112"/>
        <v>99.91636526869479</v>
      </c>
      <c r="AF109">
        <f t="shared" si="113"/>
        <v>7.5984159133357245</v>
      </c>
      <c r="AG109">
        <f t="shared" si="114"/>
        <v>227.73211029370074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52329.637528034225</v>
      </c>
      <c r="AM109" t="s">
        <v>417</v>
      </c>
      <c r="AN109">
        <v>10366.9</v>
      </c>
      <c r="AO109">
        <v>993.59653846153856</v>
      </c>
      <c r="AP109">
        <v>3431.87</v>
      </c>
      <c r="AQ109">
        <f t="shared" si="118"/>
        <v>0.71047955241266758</v>
      </c>
      <c r="AR109">
        <v>-3.9894345373445681</v>
      </c>
      <c r="AS109" t="s">
        <v>891</v>
      </c>
      <c r="AT109">
        <v>10291.9</v>
      </c>
      <c r="AU109">
        <v>682.36860000000001</v>
      </c>
      <c r="AV109">
        <v>994.44177057942397</v>
      </c>
      <c r="AW109">
        <f t="shared" si="119"/>
        <v>0.31381743990660271</v>
      </c>
      <c r="AX109">
        <v>0.5</v>
      </c>
      <c r="AY109">
        <f t="shared" si="120"/>
        <v>1513.3608064147861</v>
      </c>
      <c r="AZ109">
        <f t="shared" si="121"/>
        <v>43.100530994439985</v>
      </c>
      <c r="BA109">
        <f t="shared" si="122"/>
        <v>237.45950696203997</v>
      </c>
      <c r="BB109">
        <f t="shared" si="123"/>
        <v>3.111615242854255E-2</v>
      </c>
      <c r="BC109">
        <f t="shared" si="124"/>
        <v>2.4510517372981808</v>
      </c>
      <c r="BD109">
        <f t="shared" si="125"/>
        <v>581.176496219809</v>
      </c>
      <c r="BE109" t="s">
        <v>892</v>
      </c>
      <c r="BF109">
        <v>524.05999999999995</v>
      </c>
      <c r="BG109">
        <f t="shared" si="126"/>
        <v>524.05999999999995</v>
      </c>
      <c r="BH109">
        <f t="shared" si="127"/>
        <v>0.47301087353294724</v>
      </c>
      <c r="BI109">
        <f t="shared" si="128"/>
        <v>0.66344656638161614</v>
      </c>
      <c r="BJ109">
        <f t="shared" si="129"/>
        <v>0.83823503922903353</v>
      </c>
      <c r="BK109">
        <f t="shared" si="130"/>
        <v>369.21593959321137</v>
      </c>
      <c r="BL109">
        <f t="shared" si="131"/>
        <v>0.99965334810421458</v>
      </c>
      <c r="BM109">
        <f t="shared" si="132"/>
        <v>0.50952785280264912</v>
      </c>
      <c r="BN109">
        <f t="shared" si="133"/>
        <v>0.49047214719735088</v>
      </c>
      <c r="BO109">
        <v>16892</v>
      </c>
      <c r="BP109">
        <v>290.00000000000011</v>
      </c>
      <c r="BQ109">
        <v>907.1</v>
      </c>
      <c r="BR109">
        <v>165</v>
      </c>
      <c r="BS109">
        <v>10291.9</v>
      </c>
      <c r="BT109">
        <v>904.32</v>
      </c>
      <c r="BU109">
        <v>2.78</v>
      </c>
      <c r="BV109">
        <v>300.00000000000011</v>
      </c>
      <c r="BW109">
        <v>38.5</v>
      </c>
      <c r="BX109">
        <v>994.44177057942397</v>
      </c>
      <c r="BY109">
        <v>1.310155815520776</v>
      </c>
      <c r="BZ109">
        <v>-92.755693480838346</v>
      </c>
      <c r="CA109">
        <v>1.1025668019355119</v>
      </c>
      <c r="CB109">
        <v>0.99605931335494968</v>
      </c>
      <c r="CC109">
        <v>-1.120344827586206E-2</v>
      </c>
      <c r="CD109">
        <v>289.99999999999989</v>
      </c>
      <c r="CE109">
        <v>895.78</v>
      </c>
      <c r="CF109">
        <v>665</v>
      </c>
      <c r="CG109">
        <v>10261.299999999999</v>
      </c>
      <c r="CH109">
        <v>904.05</v>
      </c>
      <c r="CI109">
        <v>-8.27</v>
      </c>
      <c r="CW109">
        <f t="shared" si="134"/>
        <v>1800.21</v>
      </c>
      <c r="CX109">
        <f t="shared" si="135"/>
        <v>1513.3608064147861</v>
      </c>
      <c r="CY109">
        <f t="shared" si="136"/>
        <v>0.84065792680564277</v>
      </c>
      <c r="CZ109">
        <f t="shared" si="137"/>
        <v>0.19131585361128575</v>
      </c>
      <c r="DA109">
        <v>6</v>
      </c>
      <c r="DB109">
        <v>0.5</v>
      </c>
      <c r="DC109" t="s">
        <v>420</v>
      </c>
      <c r="DD109">
        <v>2</v>
      </c>
      <c r="DE109">
        <v>1693516939</v>
      </c>
      <c r="DF109">
        <v>346.221</v>
      </c>
      <c r="DG109">
        <v>400.03199999999998</v>
      </c>
      <c r="DH109">
        <v>28.744299999999999</v>
      </c>
      <c r="DI109">
        <v>22.8216</v>
      </c>
      <c r="DJ109">
        <v>348.47199999999998</v>
      </c>
      <c r="DK109">
        <v>29.092300000000002</v>
      </c>
      <c r="DL109">
        <v>500.202</v>
      </c>
      <c r="DM109">
        <v>99.447400000000002</v>
      </c>
      <c r="DN109">
        <v>9.9516900000000005E-2</v>
      </c>
      <c r="DO109">
        <v>30.63</v>
      </c>
      <c r="DP109">
        <v>29.998100000000001</v>
      </c>
      <c r="DQ109">
        <v>999.9</v>
      </c>
      <c r="DR109">
        <v>0</v>
      </c>
      <c r="DS109">
        <v>0</v>
      </c>
      <c r="DT109">
        <v>10075</v>
      </c>
      <c r="DU109">
        <v>0</v>
      </c>
      <c r="DV109">
        <v>202.24600000000001</v>
      </c>
      <c r="DW109">
        <v>-53.810699999999997</v>
      </c>
      <c r="DX109">
        <v>356.46699999999998</v>
      </c>
      <c r="DY109">
        <v>409.37400000000002</v>
      </c>
      <c r="DZ109">
        <v>5.9226999999999999</v>
      </c>
      <c r="EA109">
        <v>400.03199999999998</v>
      </c>
      <c r="EB109">
        <v>22.8216</v>
      </c>
      <c r="EC109">
        <v>2.8585400000000001</v>
      </c>
      <c r="ED109">
        <v>2.2695500000000002</v>
      </c>
      <c r="EE109">
        <v>23.226099999999999</v>
      </c>
      <c r="EF109">
        <v>19.4619</v>
      </c>
      <c r="EG109">
        <v>1800.21</v>
      </c>
      <c r="EH109">
        <v>0.97800500000000001</v>
      </c>
      <c r="EI109">
        <v>2.19946E-2</v>
      </c>
      <c r="EJ109">
        <v>0</v>
      </c>
      <c r="EK109">
        <v>682.80899999999997</v>
      </c>
      <c r="EL109">
        <v>5.0002500000000003</v>
      </c>
      <c r="EM109">
        <v>19327.5</v>
      </c>
      <c r="EN109">
        <v>14823.8</v>
      </c>
      <c r="EO109">
        <v>49.936999999999998</v>
      </c>
      <c r="EP109">
        <v>50.936999999999998</v>
      </c>
      <c r="EQ109">
        <v>50.686999999999998</v>
      </c>
      <c r="ER109">
        <v>50.436999999999998</v>
      </c>
      <c r="ES109">
        <v>51</v>
      </c>
      <c r="ET109">
        <v>1755.72</v>
      </c>
      <c r="EU109">
        <v>39.479999999999997</v>
      </c>
      <c r="EV109">
        <v>0</v>
      </c>
      <c r="EW109">
        <v>187.79999995231631</v>
      </c>
      <c r="EX109">
        <v>0</v>
      </c>
      <c r="EY109">
        <v>682.36860000000001</v>
      </c>
      <c r="EZ109">
        <v>4.1683845964751489</v>
      </c>
      <c r="FA109">
        <v>18.569230788826811</v>
      </c>
      <c r="FB109">
        <v>19311.531999999999</v>
      </c>
      <c r="FC109">
        <v>15</v>
      </c>
      <c r="FD109">
        <v>1693516815</v>
      </c>
      <c r="FE109" t="s">
        <v>893</v>
      </c>
      <c r="FF109">
        <v>1693516810</v>
      </c>
      <c r="FG109">
        <v>1693516815</v>
      </c>
      <c r="FH109">
        <v>105</v>
      </c>
      <c r="FI109">
        <v>-7.2999999999999995E-2</v>
      </c>
      <c r="FJ109">
        <v>8.9999999999999993E-3</v>
      </c>
      <c r="FK109">
        <v>-2.2509999999999999</v>
      </c>
      <c r="FL109">
        <v>-0.34799999999999998</v>
      </c>
      <c r="FM109">
        <v>400</v>
      </c>
      <c r="FN109">
        <v>23</v>
      </c>
      <c r="FO109">
        <v>0.13</v>
      </c>
      <c r="FP109">
        <v>0.05</v>
      </c>
      <c r="FQ109">
        <v>43.034423441043302</v>
      </c>
      <c r="FR109">
        <v>1.4863744145576989</v>
      </c>
      <c r="FS109">
        <v>0.11984106890676741</v>
      </c>
      <c r="FT109">
        <v>0</v>
      </c>
      <c r="FU109">
        <v>0.37498976267789591</v>
      </c>
      <c r="FV109">
        <v>7.4015729768762981E-3</v>
      </c>
      <c r="FW109">
        <v>9.8855877643426481E-4</v>
      </c>
      <c r="FX109">
        <v>1</v>
      </c>
      <c r="FY109">
        <v>1</v>
      </c>
      <c r="FZ109">
        <v>2</v>
      </c>
      <c r="GA109" t="s">
        <v>461</v>
      </c>
      <c r="GB109">
        <v>2.9184000000000001</v>
      </c>
      <c r="GC109">
        <v>2.83006</v>
      </c>
      <c r="GD109">
        <v>8.1010299999999993E-2</v>
      </c>
      <c r="GE109">
        <v>8.8506299999999996E-2</v>
      </c>
      <c r="GF109">
        <v>0.13597500000000001</v>
      </c>
      <c r="GG109">
        <v>0.11046400000000001</v>
      </c>
      <c r="GH109">
        <v>24003.599999999999</v>
      </c>
      <c r="GI109">
        <v>28977.9</v>
      </c>
      <c r="GJ109">
        <v>23517.8</v>
      </c>
      <c r="GK109">
        <v>29110.7</v>
      </c>
      <c r="GL109">
        <v>27729.9</v>
      </c>
      <c r="GM109">
        <v>36633</v>
      </c>
      <c r="GN109">
        <v>33268.300000000003</v>
      </c>
      <c r="GO109">
        <v>42944.6</v>
      </c>
      <c r="GP109">
        <v>1.9904999999999999</v>
      </c>
      <c r="GQ109">
        <v>1.7596000000000001</v>
      </c>
      <c r="GR109">
        <v>3.65078E-2</v>
      </c>
      <c r="GS109">
        <v>0</v>
      </c>
      <c r="GT109">
        <v>29.403700000000001</v>
      </c>
      <c r="GU109">
        <v>999.9</v>
      </c>
      <c r="GV109">
        <v>29.1</v>
      </c>
      <c r="GW109">
        <v>45.1</v>
      </c>
      <c r="GX109">
        <v>28.347000000000001</v>
      </c>
      <c r="GY109">
        <v>61.205100000000002</v>
      </c>
      <c r="GZ109">
        <v>36.290100000000002</v>
      </c>
      <c r="HA109">
        <v>1</v>
      </c>
      <c r="HB109">
        <v>0.47658499999999998</v>
      </c>
      <c r="HC109">
        <v>2.4546899999999998</v>
      </c>
      <c r="HD109">
        <v>20.252300000000002</v>
      </c>
      <c r="HE109">
        <v>5.2107000000000001</v>
      </c>
      <c r="HF109">
        <v>11.872199999999999</v>
      </c>
      <c r="HG109">
        <v>4.9858000000000002</v>
      </c>
      <c r="HH109">
        <v>3.2839999999999998</v>
      </c>
      <c r="HI109">
        <v>9999</v>
      </c>
      <c r="HJ109">
        <v>9999</v>
      </c>
      <c r="HK109">
        <v>9999</v>
      </c>
      <c r="HL109">
        <v>999.9</v>
      </c>
      <c r="HM109">
        <v>1.8548500000000001</v>
      </c>
      <c r="HN109">
        <v>1.8608100000000001</v>
      </c>
      <c r="HO109">
        <v>1.85819</v>
      </c>
      <c r="HP109">
        <v>1.85928</v>
      </c>
      <c r="HQ109">
        <v>1.8586499999999999</v>
      </c>
      <c r="HR109">
        <v>1.8591299999999999</v>
      </c>
      <c r="HS109">
        <v>1.85748</v>
      </c>
      <c r="HT109">
        <v>1.8608100000000001</v>
      </c>
      <c r="HU109">
        <v>5</v>
      </c>
      <c r="HV109">
        <v>0</v>
      </c>
      <c r="HW109">
        <v>0</v>
      </c>
      <c r="HX109">
        <v>0</v>
      </c>
      <c r="HY109" t="s">
        <v>423</v>
      </c>
      <c r="HZ109" t="s">
        <v>424</v>
      </c>
      <c r="IA109" t="s">
        <v>425</v>
      </c>
      <c r="IB109" t="s">
        <v>425</v>
      </c>
      <c r="IC109" t="s">
        <v>425</v>
      </c>
      <c r="ID109" t="s">
        <v>425</v>
      </c>
      <c r="IE109">
        <v>0</v>
      </c>
      <c r="IF109">
        <v>100</v>
      </c>
      <c r="IG109">
        <v>100</v>
      </c>
      <c r="IH109">
        <v>-2.2509999999999999</v>
      </c>
      <c r="II109">
        <v>-0.34799999999999998</v>
      </c>
      <c r="IJ109">
        <v>-2.2512000000000971</v>
      </c>
      <c r="IK109">
        <v>0</v>
      </c>
      <c r="IL109">
        <v>0</v>
      </c>
      <c r="IM109">
        <v>0</v>
      </c>
      <c r="IN109">
        <v>-0.34797000000000372</v>
      </c>
      <c r="IO109">
        <v>0</v>
      </c>
      <c r="IP109">
        <v>0</v>
      </c>
      <c r="IQ109">
        <v>0</v>
      </c>
      <c r="IR109">
        <v>-1</v>
      </c>
      <c r="IS109">
        <v>-1</v>
      </c>
      <c r="IT109">
        <v>-1</v>
      </c>
      <c r="IU109">
        <v>-1</v>
      </c>
      <c r="IV109">
        <v>2.1</v>
      </c>
      <c r="IW109">
        <v>2.1</v>
      </c>
      <c r="IX109">
        <v>0.99975599999999998</v>
      </c>
      <c r="IY109">
        <v>2.49512</v>
      </c>
      <c r="IZ109">
        <v>1.49414</v>
      </c>
      <c r="JA109">
        <v>2.2802699999999998</v>
      </c>
      <c r="JB109">
        <v>1.54419</v>
      </c>
      <c r="JC109">
        <v>2.4841299999999999</v>
      </c>
      <c r="JD109">
        <v>47.271999999999998</v>
      </c>
      <c r="JE109">
        <v>24.008700000000001</v>
      </c>
      <c r="JF109">
        <v>18</v>
      </c>
      <c r="JG109">
        <v>535.53399999999999</v>
      </c>
      <c r="JH109">
        <v>413.34899999999999</v>
      </c>
      <c r="JI109">
        <v>25.842500000000001</v>
      </c>
      <c r="JJ109">
        <v>33.284599999999998</v>
      </c>
      <c r="JK109">
        <v>30.0002</v>
      </c>
      <c r="JL109">
        <v>33.2027</v>
      </c>
      <c r="JM109">
        <v>33.167000000000002</v>
      </c>
      <c r="JN109">
        <v>20.083200000000001</v>
      </c>
      <c r="JO109">
        <v>7.3243900000000002</v>
      </c>
      <c r="JP109">
        <v>18.248000000000001</v>
      </c>
      <c r="JQ109">
        <v>25.8398</v>
      </c>
      <c r="JR109">
        <v>400</v>
      </c>
      <c r="JS109">
        <v>22.944199999999999</v>
      </c>
      <c r="JT109">
        <v>98.650899999999993</v>
      </c>
      <c r="JU109">
        <v>96.753900000000002</v>
      </c>
    </row>
    <row r="110" spans="1:281" x14ac:dyDescent="0.25">
      <c r="A110">
        <v>94</v>
      </c>
      <c r="B110">
        <v>1693517042</v>
      </c>
      <c r="C110">
        <v>22906</v>
      </c>
      <c r="D110" t="s">
        <v>894</v>
      </c>
      <c r="E110" t="s">
        <v>895</v>
      </c>
      <c r="F110" t="s">
        <v>414</v>
      </c>
      <c r="G110" t="s">
        <v>494</v>
      </c>
      <c r="H110" t="s">
        <v>416</v>
      </c>
      <c r="I110" t="s">
        <v>416</v>
      </c>
      <c r="J110">
        <v>1693517042</v>
      </c>
      <c r="K110">
        <f t="shared" si="92"/>
        <v>4.8248913365445401E-3</v>
      </c>
      <c r="L110">
        <f t="shared" si="93"/>
        <v>4.8248913365445398</v>
      </c>
      <c r="M110">
        <f t="shared" si="94"/>
        <v>45.84734960792855</v>
      </c>
      <c r="N110">
        <f t="shared" si="95"/>
        <v>442.44799999999998</v>
      </c>
      <c r="O110">
        <f t="shared" si="96"/>
        <v>220.71054514098026</v>
      </c>
      <c r="P110">
        <f t="shared" si="97"/>
        <v>21.971622206406561</v>
      </c>
      <c r="Q110">
        <f t="shared" si="98"/>
        <v>44.045472751520002</v>
      </c>
      <c r="R110">
        <f t="shared" si="99"/>
        <v>0.36252618008765963</v>
      </c>
      <c r="S110">
        <f t="shared" si="100"/>
        <v>2.9154807763586668</v>
      </c>
      <c r="T110">
        <f t="shared" si="101"/>
        <v>0.33921564861618597</v>
      </c>
      <c r="U110">
        <f t="shared" si="102"/>
        <v>0.21397911145727938</v>
      </c>
      <c r="V110">
        <f t="shared" si="103"/>
        <v>344.36689967099824</v>
      </c>
      <c r="W110">
        <f t="shared" si="104"/>
        <v>31.368743447730072</v>
      </c>
      <c r="X110">
        <f t="shared" si="105"/>
        <v>29.992599999999999</v>
      </c>
      <c r="Y110">
        <f t="shared" si="106"/>
        <v>4.2586392038954992</v>
      </c>
      <c r="Z110">
        <f t="shared" si="107"/>
        <v>65.653691676070508</v>
      </c>
      <c r="AA110">
        <f t="shared" si="108"/>
        <v>2.8935452961360002</v>
      </c>
      <c r="AB110">
        <f t="shared" si="109"/>
        <v>4.4072849862160011</v>
      </c>
      <c r="AC110">
        <f t="shared" si="110"/>
        <v>1.365093907759499</v>
      </c>
      <c r="AD110">
        <f t="shared" si="111"/>
        <v>-212.77770794161421</v>
      </c>
      <c r="AE110">
        <f t="shared" si="112"/>
        <v>94.087588609568186</v>
      </c>
      <c r="AF110">
        <f t="shared" si="113"/>
        <v>7.1964153622008817</v>
      </c>
      <c r="AG110">
        <f t="shared" si="114"/>
        <v>232.87319570115307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51839.027712057919</v>
      </c>
      <c r="AM110" t="s">
        <v>417</v>
      </c>
      <c r="AN110">
        <v>10366.9</v>
      </c>
      <c r="AO110">
        <v>993.59653846153856</v>
      </c>
      <c r="AP110">
        <v>3431.87</v>
      </c>
      <c r="AQ110">
        <f t="shared" si="118"/>
        <v>0.71047955241266758</v>
      </c>
      <c r="AR110">
        <v>-3.9894345373445681</v>
      </c>
      <c r="AS110" t="s">
        <v>896</v>
      </c>
      <c r="AT110">
        <v>10294.200000000001</v>
      </c>
      <c r="AU110">
        <v>693.38755999999989</v>
      </c>
      <c r="AV110">
        <v>1034.5721935943261</v>
      </c>
      <c r="AW110">
        <f t="shared" si="119"/>
        <v>0.32978330145233992</v>
      </c>
      <c r="AX110">
        <v>0.5</v>
      </c>
      <c r="AY110">
        <f t="shared" si="120"/>
        <v>1513.1759998354989</v>
      </c>
      <c r="AZ110">
        <f t="shared" si="121"/>
        <v>45.84734960792855</v>
      </c>
      <c r="BA110">
        <f t="shared" si="122"/>
        <v>249.5100884520981</v>
      </c>
      <c r="BB110">
        <f t="shared" si="123"/>
        <v>3.293521979643544E-2</v>
      </c>
      <c r="BC110">
        <f t="shared" si="124"/>
        <v>2.3171875498383017</v>
      </c>
      <c r="BD110">
        <f t="shared" si="125"/>
        <v>594.65706457712167</v>
      </c>
      <c r="BE110" t="s">
        <v>897</v>
      </c>
      <c r="BF110">
        <v>527.82000000000005</v>
      </c>
      <c r="BG110">
        <f t="shared" si="126"/>
        <v>527.82000000000005</v>
      </c>
      <c r="BH110">
        <f t="shared" si="127"/>
        <v>0.48981810716733076</v>
      </c>
      <c r="BI110">
        <f t="shared" si="128"/>
        <v>0.67327707291082228</v>
      </c>
      <c r="BJ110">
        <f t="shared" si="129"/>
        <v>0.82550156037453692</v>
      </c>
      <c r="BK110">
        <f t="shared" si="130"/>
        <v>8.3265205275832184</v>
      </c>
      <c r="BL110">
        <f t="shared" si="131"/>
        <v>0.98319480739993226</v>
      </c>
      <c r="BM110">
        <f t="shared" si="132"/>
        <v>0.51251150889380004</v>
      </c>
      <c r="BN110">
        <f t="shared" si="133"/>
        <v>0.48748849110619996</v>
      </c>
      <c r="BO110">
        <v>16894</v>
      </c>
      <c r="BP110">
        <v>290.00000000000011</v>
      </c>
      <c r="BQ110">
        <v>941.31</v>
      </c>
      <c r="BR110">
        <v>145</v>
      </c>
      <c r="BS110">
        <v>10294.200000000001</v>
      </c>
      <c r="BT110">
        <v>938.89</v>
      </c>
      <c r="BU110">
        <v>2.42</v>
      </c>
      <c r="BV110">
        <v>300.00000000000011</v>
      </c>
      <c r="BW110">
        <v>38.5</v>
      </c>
      <c r="BX110">
        <v>1034.5721935943261</v>
      </c>
      <c r="BY110">
        <v>1.2112529136393411</v>
      </c>
      <c r="BZ110">
        <v>-98.497278538413084</v>
      </c>
      <c r="CA110">
        <v>1.01922669776108</v>
      </c>
      <c r="CB110">
        <v>0.99701082717203215</v>
      </c>
      <c r="CC110">
        <v>-1.12024638487208E-2</v>
      </c>
      <c r="CD110">
        <v>289.99999999999989</v>
      </c>
      <c r="CE110">
        <v>928.57</v>
      </c>
      <c r="CF110">
        <v>685</v>
      </c>
      <c r="CG110">
        <v>10258.700000000001</v>
      </c>
      <c r="CH110">
        <v>938.56</v>
      </c>
      <c r="CI110">
        <v>-9.99</v>
      </c>
      <c r="CW110">
        <f t="shared" si="134"/>
        <v>1799.99</v>
      </c>
      <c r="CX110">
        <f t="shared" si="135"/>
        <v>1513.1759998354989</v>
      </c>
      <c r="CY110">
        <f t="shared" si="136"/>
        <v>0.84065800356418585</v>
      </c>
      <c r="CZ110">
        <f t="shared" si="137"/>
        <v>0.19131600712837196</v>
      </c>
      <c r="DA110">
        <v>6</v>
      </c>
      <c r="DB110">
        <v>0.5</v>
      </c>
      <c r="DC110" t="s">
        <v>420</v>
      </c>
      <c r="DD110">
        <v>2</v>
      </c>
      <c r="DE110">
        <v>1693517042</v>
      </c>
      <c r="DF110">
        <v>442.44799999999998</v>
      </c>
      <c r="DG110">
        <v>499.995</v>
      </c>
      <c r="DH110">
        <v>29.066400000000002</v>
      </c>
      <c r="DI110">
        <v>23.447900000000001</v>
      </c>
      <c r="DJ110">
        <v>444.63799999999998</v>
      </c>
      <c r="DK110">
        <v>29.416799999999999</v>
      </c>
      <c r="DL110">
        <v>500.274</v>
      </c>
      <c r="DM110">
        <v>99.448800000000006</v>
      </c>
      <c r="DN110">
        <v>0.10069</v>
      </c>
      <c r="DO110">
        <v>30.591200000000001</v>
      </c>
      <c r="DP110">
        <v>29.992599999999999</v>
      </c>
      <c r="DQ110">
        <v>999.9</v>
      </c>
      <c r="DR110">
        <v>0</v>
      </c>
      <c r="DS110">
        <v>0</v>
      </c>
      <c r="DT110">
        <v>9975</v>
      </c>
      <c r="DU110">
        <v>0</v>
      </c>
      <c r="DV110">
        <v>180.90799999999999</v>
      </c>
      <c r="DW110">
        <v>-57.546599999999998</v>
      </c>
      <c r="DX110">
        <v>455.69400000000002</v>
      </c>
      <c r="DY110">
        <v>512</v>
      </c>
      <c r="DZ110">
        <v>5.6184900000000004</v>
      </c>
      <c r="EA110">
        <v>499.995</v>
      </c>
      <c r="EB110">
        <v>23.447900000000001</v>
      </c>
      <c r="EC110">
        <v>2.8906200000000002</v>
      </c>
      <c r="ED110">
        <v>2.3318699999999999</v>
      </c>
      <c r="EE110">
        <v>23.410900000000002</v>
      </c>
      <c r="EF110">
        <v>19.898199999999999</v>
      </c>
      <c r="EG110">
        <v>1799.99</v>
      </c>
      <c r="EH110">
        <v>0.97800600000000004</v>
      </c>
      <c r="EI110">
        <v>2.19945E-2</v>
      </c>
      <c r="EJ110">
        <v>0</v>
      </c>
      <c r="EK110">
        <v>693.56700000000001</v>
      </c>
      <c r="EL110">
        <v>5.0002500000000003</v>
      </c>
      <c r="EM110">
        <v>19475</v>
      </c>
      <c r="EN110">
        <v>14822</v>
      </c>
      <c r="EO110">
        <v>50.125</v>
      </c>
      <c r="EP110">
        <v>51.125</v>
      </c>
      <c r="EQ110">
        <v>50.811999999999998</v>
      </c>
      <c r="ER110">
        <v>50.625</v>
      </c>
      <c r="ES110">
        <v>51.186999999999998</v>
      </c>
      <c r="ET110">
        <v>1755.51</v>
      </c>
      <c r="EU110">
        <v>39.479999999999997</v>
      </c>
      <c r="EV110">
        <v>0</v>
      </c>
      <c r="EW110">
        <v>100.7999999523163</v>
      </c>
      <c r="EX110">
        <v>0</v>
      </c>
      <c r="EY110">
        <v>693.38755999999989</v>
      </c>
      <c r="EZ110">
        <v>0.49015384660071448</v>
      </c>
      <c r="FA110">
        <v>18.384615048285681</v>
      </c>
      <c r="FB110">
        <v>19484.423999999999</v>
      </c>
      <c r="FC110">
        <v>15</v>
      </c>
      <c r="FD110">
        <v>1693517007.5</v>
      </c>
      <c r="FE110" t="s">
        <v>898</v>
      </c>
      <c r="FF110">
        <v>1693516999</v>
      </c>
      <c r="FG110">
        <v>1693517007.5</v>
      </c>
      <c r="FH110">
        <v>106</v>
      </c>
      <c r="FI110">
        <v>6.0999999999999999E-2</v>
      </c>
      <c r="FJ110">
        <v>-2E-3</v>
      </c>
      <c r="FK110">
        <v>-2.19</v>
      </c>
      <c r="FL110">
        <v>-0.35</v>
      </c>
      <c r="FM110">
        <v>500</v>
      </c>
      <c r="FN110">
        <v>23</v>
      </c>
      <c r="FO110">
        <v>0.1</v>
      </c>
      <c r="FP110">
        <v>0.05</v>
      </c>
      <c r="FQ110">
        <v>45.845183998830088</v>
      </c>
      <c r="FR110">
        <v>-0.26404765356480969</v>
      </c>
      <c r="FS110">
        <v>9.9087227784426898E-2</v>
      </c>
      <c r="FT110">
        <v>1</v>
      </c>
      <c r="FU110">
        <v>0.35758266350267759</v>
      </c>
      <c r="FV110">
        <v>4.7261184702640437E-2</v>
      </c>
      <c r="FW110">
        <v>3.6566193490342449E-3</v>
      </c>
      <c r="FX110">
        <v>1</v>
      </c>
      <c r="FY110">
        <v>2</v>
      </c>
      <c r="FZ110">
        <v>2</v>
      </c>
      <c r="GA110" t="s">
        <v>422</v>
      </c>
      <c r="GB110">
        <v>2.9185599999999998</v>
      </c>
      <c r="GC110">
        <v>2.8303600000000002</v>
      </c>
      <c r="GD110">
        <v>9.7661800000000007E-2</v>
      </c>
      <c r="GE110">
        <v>0.104573</v>
      </c>
      <c r="GF110">
        <v>0.13701099999999999</v>
      </c>
      <c r="GG110">
        <v>0.112571</v>
      </c>
      <c r="GH110">
        <v>23567.4</v>
      </c>
      <c r="GI110">
        <v>28465.5</v>
      </c>
      <c r="GJ110">
        <v>23516.400000000001</v>
      </c>
      <c r="GK110">
        <v>29109.200000000001</v>
      </c>
      <c r="GL110">
        <v>27697.7</v>
      </c>
      <c r="GM110">
        <v>36545.800000000003</v>
      </c>
      <c r="GN110">
        <v>33267.5</v>
      </c>
      <c r="GO110">
        <v>42942.400000000001</v>
      </c>
      <c r="GP110">
        <v>1.9885999999999999</v>
      </c>
      <c r="GQ110">
        <v>1.7602</v>
      </c>
      <c r="GR110">
        <v>3.4347200000000001E-2</v>
      </c>
      <c r="GS110">
        <v>0</v>
      </c>
      <c r="GT110">
        <v>29.433399999999999</v>
      </c>
      <c r="GU110">
        <v>999.9</v>
      </c>
      <c r="GV110">
        <v>28.9</v>
      </c>
      <c r="GW110">
        <v>45.1</v>
      </c>
      <c r="GX110">
        <v>28.155100000000001</v>
      </c>
      <c r="GY110">
        <v>61.495199999999997</v>
      </c>
      <c r="GZ110">
        <v>36.330100000000002</v>
      </c>
      <c r="HA110">
        <v>1</v>
      </c>
      <c r="HB110">
        <v>0.48296699999999998</v>
      </c>
      <c r="HC110">
        <v>1.29776</v>
      </c>
      <c r="HD110">
        <v>20.2639</v>
      </c>
      <c r="HE110">
        <v>5.2112999999999996</v>
      </c>
      <c r="HF110">
        <v>11.872199999999999</v>
      </c>
      <c r="HG110">
        <v>4.9833999999999996</v>
      </c>
      <c r="HH110">
        <v>3.2839999999999998</v>
      </c>
      <c r="HI110">
        <v>9999</v>
      </c>
      <c r="HJ110">
        <v>9999</v>
      </c>
      <c r="HK110">
        <v>9999</v>
      </c>
      <c r="HL110">
        <v>999.9</v>
      </c>
      <c r="HM110">
        <v>1.85486</v>
      </c>
      <c r="HN110">
        <v>1.8608100000000001</v>
      </c>
      <c r="HO110">
        <v>1.85822</v>
      </c>
      <c r="HP110">
        <v>1.85928</v>
      </c>
      <c r="HQ110">
        <v>1.85867</v>
      </c>
      <c r="HR110">
        <v>1.8591899999999999</v>
      </c>
      <c r="HS110">
        <v>1.8574900000000001</v>
      </c>
      <c r="HT110">
        <v>1.8608100000000001</v>
      </c>
      <c r="HU110">
        <v>5</v>
      </c>
      <c r="HV110">
        <v>0</v>
      </c>
      <c r="HW110">
        <v>0</v>
      </c>
      <c r="HX110">
        <v>0</v>
      </c>
      <c r="HY110" t="s">
        <v>423</v>
      </c>
      <c r="HZ110" t="s">
        <v>424</v>
      </c>
      <c r="IA110" t="s">
        <v>425</v>
      </c>
      <c r="IB110" t="s">
        <v>425</v>
      </c>
      <c r="IC110" t="s">
        <v>425</v>
      </c>
      <c r="ID110" t="s">
        <v>425</v>
      </c>
      <c r="IE110">
        <v>0</v>
      </c>
      <c r="IF110">
        <v>100</v>
      </c>
      <c r="IG110">
        <v>100</v>
      </c>
      <c r="IH110">
        <v>-2.19</v>
      </c>
      <c r="II110">
        <v>-0.35039999999999999</v>
      </c>
      <c r="IJ110">
        <v>-2.1899523809524339</v>
      </c>
      <c r="IK110">
        <v>0</v>
      </c>
      <c r="IL110">
        <v>0</v>
      </c>
      <c r="IM110">
        <v>0</v>
      </c>
      <c r="IN110">
        <v>-0.35041999999999968</v>
      </c>
      <c r="IO110">
        <v>0</v>
      </c>
      <c r="IP110">
        <v>0</v>
      </c>
      <c r="IQ110">
        <v>0</v>
      </c>
      <c r="IR110">
        <v>-1</v>
      </c>
      <c r="IS110">
        <v>-1</v>
      </c>
      <c r="IT110">
        <v>-1</v>
      </c>
      <c r="IU110">
        <v>-1</v>
      </c>
      <c r="IV110">
        <v>0.7</v>
      </c>
      <c r="IW110">
        <v>0.6</v>
      </c>
      <c r="IX110">
        <v>1.1926300000000001</v>
      </c>
      <c r="IY110">
        <v>2.4853499999999999</v>
      </c>
      <c r="IZ110">
        <v>1.49414</v>
      </c>
      <c r="JA110">
        <v>2.2802699999999998</v>
      </c>
      <c r="JB110">
        <v>1.54419</v>
      </c>
      <c r="JC110">
        <v>2.49634</v>
      </c>
      <c r="JD110">
        <v>47.271999999999998</v>
      </c>
      <c r="JE110">
        <v>24.017499999999998</v>
      </c>
      <c r="JF110">
        <v>18</v>
      </c>
      <c r="JG110">
        <v>534.68299999999999</v>
      </c>
      <c r="JH110">
        <v>414.101</v>
      </c>
      <c r="JI110">
        <v>25.4251</v>
      </c>
      <c r="JJ110">
        <v>33.335299999999997</v>
      </c>
      <c r="JK110">
        <v>30</v>
      </c>
      <c r="JL110">
        <v>33.255699999999997</v>
      </c>
      <c r="JM110">
        <v>33.2196</v>
      </c>
      <c r="JN110">
        <v>23.950399999999998</v>
      </c>
      <c r="JO110">
        <v>2.0289199999999998</v>
      </c>
      <c r="JP110">
        <v>18.347300000000001</v>
      </c>
      <c r="JQ110">
        <v>25.737500000000001</v>
      </c>
      <c r="JR110">
        <v>500</v>
      </c>
      <c r="JS110">
        <v>23.235700000000001</v>
      </c>
      <c r="JT110">
        <v>98.647300000000001</v>
      </c>
      <c r="JU110">
        <v>96.748900000000006</v>
      </c>
    </row>
    <row r="111" spans="1:281" x14ac:dyDescent="0.25">
      <c r="A111">
        <v>95</v>
      </c>
      <c r="B111">
        <v>1693517155</v>
      </c>
      <c r="C111">
        <v>23019</v>
      </c>
      <c r="D111" t="s">
        <v>899</v>
      </c>
      <c r="E111" t="s">
        <v>900</v>
      </c>
      <c r="F111" t="s">
        <v>414</v>
      </c>
      <c r="G111" t="s">
        <v>494</v>
      </c>
      <c r="H111" t="s">
        <v>416</v>
      </c>
      <c r="I111" t="s">
        <v>416</v>
      </c>
      <c r="J111">
        <v>1693517155</v>
      </c>
      <c r="K111">
        <f t="shared" si="92"/>
        <v>4.792833116477554E-3</v>
      </c>
      <c r="L111">
        <f t="shared" si="93"/>
        <v>4.7928331164775537</v>
      </c>
      <c r="M111">
        <f t="shared" si="94"/>
        <v>47.188014247732994</v>
      </c>
      <c r="N111">
        <f t="shared" si="95"/>
        <v>639.74800000000005</v>
      </c>
      <c r="O111">
        <f t="shared" si="96"/>
        <v>402.675799915391</v>
      </c>
      <c r="P111">
        <f t="shared" si="97"/>
        <v>40.084592833135154</v>
      </c>
      <c r="Q111">
        <f t="shared" si="98"/>
        <v>63.68408059585601</v>
      </c>
      <c r="R111">
        <f t="shared" si="99"/>
        <v>0.35465611590048857</v>
      </c>
      <c r="S111">
        <f t="shared" si="100"/>
        <v>2.9145420276994898</v>
      </c>
      <c r="T111">
        <f t="shared" si="101"/>
        <v>0.33230652844497283</v>
      </c>
      <c r="U111">
        <f t="shared" si="102"/>
        <v>0.2095821268154591</v>
      </c>
      <c r="V111">
        <f t="shared" si="103"/>
        <v>344.41049967078845</v>
      </c>
      <c r="W111">
        <f t="shared" si="104"/>
        <v>31.381887629080229</v>
      </c>
      <c r="X111">
        <f t="shared" si="105"/>
        <v>30.012599999999999</v>
      </c>
      <c r="Y111">
        <f t="shared" si="106"/>
        <v>4.263534175970884</v>
      </c>
      <c r="Z111">
        <f t="shared" si="107"/>
        <v>65.31454040897998</v>
      </c>
      <c r="AA111">
        <f t="shared" si="108"/>
        <v>2.879305897314</v>
      </c>
      <c r="AB111">
        <f t="shared" si="109"/>
        <v>4.4083689164536004</v>
      </c>
      <c r="AC111">
        <f t="shared" si="110"/>
        <v>1.384228278656884</v>
      </c>
      <c r="AD111">
        <f t="shared" si="111"/>
        <v>-211.36394043666013</v>
      </c>
      <c r="AE111">
        <f t="shared" si="112"/>
        <v>91.590371572866857</v>
      </c>
      <c r="AF111">
        <f t="shared" si="113"/>
        <v>7.0085106217559527</v>
      </c>
      <c r="AG111">
        <f t="shared" si="114"/>
        <v>231.6454414287511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51811.530415542693</v>
      </c>
      <c r="AM111" t="s">
        <v>417</v>
      </c>
      <c r="AN111">
        <v>10366.9</v>
      </c>
      <c r="AO111">
        <v>993.59653846153856</v>
      </c>
      <c r="AP111">
        <v>3431.87</v>
      </c>
      <c r="AQ111">
        <f t="shared" si="118"/>
        <v>0.71047955241266758</v>
      </c>
      <c r="AR111">
        <v>-3.9894345373445681</v>
      </c>
      <c r="AS111" t="s">
        <v>901</v>
      </c>
      <c r="AT111">
        <v>10285.4</v>
      </c>
      <c r="AU111">
        <v>696.07576923076931</v>
      </c>
      <c r="AV111">
        <v>1052.863934320457</v>
      </c>
      <c r="AW111">
        <f t="shared" si="119"/>
        <v>0.33887395461025749</v>
      </c>
      <c r="AX111">
        <v>0.5</v>
      </c>
      <c r="AY111">
        <f t="shared" si="120"/>
        <v>1513.3616998353943</v>
      </c>
      <c r="AZ111">
        <f t="shared" si="121"/>
        <v>47.188014247732994</v>
      </c>
      <c r="BA111">
        <f t="shared" si="122"/>
        <v>256.41943198946075</v>
      </c>
      <c r="BB111">
        <f t="shared" si="123"/>
        <v>3.381706355502722E-2</v>
      </c>
      <c r="BC111">
        <f t="shared" si="124"/>
        <v>2.2595569931978048</v>
      </c>
      <c r="BD111">
        <f t="shared" si="125"/>
        <v>600.65516572550655</v>
      </c>
      <c r="BE111" t="s">
        <v>902</v>
      </c>
      <c r="BF111">
        <v>528.16</v>
      </c>
      <c r="BG111">
        <f t="shared" si="126"/>
        <v>528.16</v>
      </c>
      <c r="BH111">
        <f t="shared" si="127"/>
        <v>0.49835873109198414</v>
      </c>
      <c r="BI111">
        <f t="shared" si="128"/>
        <v>0.67997996918350401</v>
      </c>
      <c r="BJ111">
        <f t="shared" si="129"/>
        <v>0.81929878179279025</v>
      </c>
      <c r="BK111">
        <f t="shared" si="130"/>
        <v>6.0199737126799846</v>
      </c>
      <c r="BL111">
        <f t="shared" si="131"/>
        <v>0.9756928840042729</v>
      </c>
      <c r="BM111">
        <f t="shared" si="132"/>
        <v>0.51594702243527557</v>
      </c>
      <c r="BN111">
        <f t="shared" si="133"/>
        <v>0.48405297756472443</v>
      </c>
      <c r="BO111">
        <v>16896</v>
      </c>
      <c r="BP111">
        <v>290.00000000000011</v>
      </c>
      <c r="BQ111">
        <v>954.8</v>
      </c>
      <c r="BR111">
        <v>195</v>
      </c>
      <c r="BS111">
        <v>10285.4</v>
      </c>
      <c r="BT111">
        <v>952.08</v>
      </c>
      <c r="BU111">
        <v>2.72</v>
      </c>
      <c r="BV111">
        <v>300.00000000000011</v>
      </c>
      <c r="BW111">
        <v>38.5</v>
      </c>
      <c r="BX111">
        <v>1052.863934320457</v>
      </c>
      <c r="BY111">
        <v>1.4635067476345529</v>
      </c>
      <c r="BZ111">
        <v>-103.65917194130731</v>
      </c>
      <c r="CA111">
        <v>1.2313922848300809</v>
      </c>
      <c r="CB111">
        <v>0.99606429273060093</v>
      </c>
      <c r="CC111">
        <v>-1.1201741935483881E-2</v>
      </c>
      <c r="CD111">
        <v>289.99999999999989</v>
      </c>
      <c r="CE111">
        <v>941.01</v>
      </c>
      <c r="CF111">
        <v>665</v>
      </c>
      <c r="CG111">
        <v>10259.4</v>
      </c>
      <c r="CH111">
        <v>951.83</v>
      </c>
      <c r="CI111">
        <v>-10.82</v>
      </c>
      <c r="CW111">
        <f t="shared" si="134"/>
        <v>1800.21</v>
      </c>
      <c r="CX111">
        <f t="shared" si="135"/>
        <v>1513.3616998353943</v>
      </c>
      <c r="CY111">
        <f t="shared" si="136"/>
        <v>0.84065842309252492</v>
      </c>
      <c r="CZ111">
        <f t="shared" si="137"/>
        <v>0.19131684618504977</v>
      </c>
      <c r="DA111">
        <v>6</v>
      </c>
      <c r="DB111">
        <v>0.5</v>
      </c>
      <c r="DC111" t="s">
        <v>420</v>
      </c>
      <c r="DD111">
        <v>2</v>
      </c>
      <c r="DE111">
        <v>1693517155</v>
      </c>
      <c r="DF111">
        <v>639.74800000000005</v>
      </c>
      <c r="DG111">
        <v>700.03099999999995</v>
      </c>
      <c r="DH111">
        <v>28.924499999999998</v>
      </c>
      <c r="DI111">
        <v>23.3415</v>
      </c>
      <c r="DJ111">
        <v>642.36300000000006</v>
      </c>
      <c r="DK111">
        <v>29.2697</v>
      </c>
      <c r="DL111">
        <v>500.18299999999999</v>
      </c>
      <c r="DM111">
        <v>99.445300000000003</v>
      </c>
      <c r="DN111">
        <v>0.100272</v>
      </c>
      <c r="DO111">
        <v>30.595500000000001</v>
      </c>
      <c r="DP111">
        <v>30.012599999999999</v>
      </c>
      <c r="DQ111">
        <v>999.9</v>
      </c>
      <c r="DR111">
        <v>0</v>
      </c>
      <c r="DS111">
        <v>0</v>
      </c>
      <c r="DT111">
        <v>9970</v>
      </c>
      <c r="DU111">
        <v>0</v>
      </c>
      <c r="DV111">
        <v>171.82400000000001</v>
      </c>
      <c r="DW111">
        <v>-60.282499999999999</v>
      </c>
      <c r="DX111">
        <v>658.80399999999997</v>
      </c>
      <c r="DY111">
        <v>716.76099999999997</v>
      </c>
      <c r="DZ111">
        <v>5.5830599999999997</v>
      </c>
      <c r="EA111">
        <v>700.03099999999995</v>
      </c>
      <c r="EB111">
        <v>23.3415</v>
      </c>
      <c r="EC111">
        <v>2.8764099999999999</v>
      </c>
      <c r="ED111">
        <v>2.3212000000000002</v>
      </c>
      <c r="EE111">
        <v>23.3293</v>
      </c>
      <c r="EF111">
        <v>19.824300000000001</v>
      </c>
      <c r="EG111">
        <v>1800.21</v>
      </c>
      <c r="EH111">
        <v>0.977993</v>
      </c>
      <c r="EI111">
        <v>2.2006700000000001E-2</v>
      </c>
      <c r="EJ111">
        <v>0</v>
      </c>
      <c r="EK111">
        <v>695.65800000000002</v>
      </c>
      <c r="EL111">
        <v>5.0002500000000003</v>
      </c>
      <c r="EM111">
        <v>19560.5</v>
      </c>
      <c r="EN111">
        <v>14823.8</v>
      </c>
      <c r="EO111">
        <v>50.186999999999998</v>
      </c>
      <c r="EP111">
        <v>51.125</v>
      </c>
      <c r="EQ111">
        <v>50.936999999999998</v>
      </c>
      <c r="ER111">
        <v>50.686999999999998</v>
      </c>
      <c r="ES111">
        <v>51.25</v>
      </c>
      <c r="ET111">
        <v>1755.7</v>
      </c>
      <c r="EU111">
        <v>39.51</v>
      </c>
      <c r="EV111">
        <v>0</v>
      </c>
      <c r="EW111">
        <v>111</v>
      </c>
      <c r="EX111">
        <v>0</v>
      </c>
      <c r="EY111">
        <v>696.07576923076931</v>
      </c>
      <c r="EZ111">
        <v>-2.3809230835085322</v>
      </c>
      <c r="FA111">
        <v>-38.923076651561828</v>
      </c>
      <c r="FB111">
        <v>19539.134615384621</v>
      </c>
      <c r="FC111">
        <v>15</v>
      </c>
      <c r="FD111">
        <v>1693517126</v>
      </c>
      <c r="FE111" t="s">
        <v>903</v>
      </c>
      <c r="FF111">
        <v>1693517123.5</v>
      </c>
      <c r="FG111">
        <v>1693517126</v>
      </c>
      <c r="FH111">
        <v>107</v>
      </c>
      <c r="FI111">
        <v>-0.42499999999999999</v>
      </c>
      <c r="FJ111">
        <v>5.0000000000000001E-3</v>
      </c>
      <c r="FK111">
        <v>-2.6150000000000002</v>
      </c>
      <c r="FL111">
        <v>-0.34499999999999997</v>
      </c>
      <c r="FM111">
        <v>700</v>
      </c>
      <c r="FN111">
        <v>23</v>
      </c>
      <c r="FO111">
        <v>0.18</v>
      </c>
      <c r="FP111">
        <v>0.04</v>
      </c>
      <c r="FQ111">
        <v>47.306678861395312</v>
      </c>
      <c r="FR111">
        <v>-0.66151837347374398</v>
      </c>
      <c r="FS111">
        <v>0.108759452510448</v>
      </c>
      <c r="FT111">
        <v>1</v>
      </c>
      <c r="FU111">
        <v>0.34936823019310342</v>
      </c>
      <c r="FV111">
        <v>4.6303363602302472E-2</v>
      </c>
      <c r="FW111">
        <v>3.6218783858858799E-3</v>
      </c>
      <c r="FX111">
        <v>1</v>
      </c>
      <c r="FY111">
        <v>2</v>
      </c>
      <c r="FZ111">
        <v>2</v>
      </c>
      <c r="GA111" t="s">
        <v>422</v>
      </c>
      <c r="GB111">
        <v>2.9182800000000002</v>
      </c>
      <c r="GC111">
        <v>2.8298999999999999</v>
      </c>
      <c r="GD111">
        <v>0.12722700000000001</v>
      </c>
      <c r="GE111">
        <v>0.13258300000000001</v>
      </c>
      <c r="GF111">
        <v>0.13652</v>
      </c>
      <c r="GG111">
        <v>0.112201</v>
      </c>
      <c r="GH111">
        <v>22796.400000000001</v>
      </c>
      <c r="GI111">
        <v>27575.9</v>
      </c>
      <c r="GJ111">
        <v>23517.8</v>
      </c>
      <c r="GK111">
        <v>29110.5</v>
      </c>
      <c r="GL111">
        <v>27716.9</v>
      </c>
      <c r="GM111">
        <v>36565.699999999997</v>
      </c>
      <c r="GN111">
        <v>33268.199999999997</v>
      </c>
      <c r="GO111">
        <v>42943.8</v>
      </c>
      <c r="GP111">
        <v>1.9871000000000001</v>
      </c>
      <c r="GQ111">
        <v>1.7607999999999999</v>
      </c>
      <c r="GR111">
        <v>4.3138900000000001E-2</v>
      </c>
      <c r="GS111">
        <v>0</v>
      </c>
      <c r="GT111">
        <v>29.310199999999998</v>
      </c>
      <c r="GU111">
        <v>999.9</v>
      </c>
      <c r="GV111">
        <v>28.8</v>
      </c>
      <c r="GW111">
        <v>45.1</v>
      </c>
      <c r="GX111">
        <v>28.059000000000001</v>
      </c>
      <c r="GY111">
        <v>61.355200000000004</v>
      </c>
      <c r="GZ111">
        <v>36.101799999999997</v>
      </c>
      <c r="HA111">
        <v>1</v>
      </c>
      <c r="HB111">
        <v>0.48350599999999999</v>
      </c>
      <c r="HC111">
        <v>2.5616099999999999</v>
      </c>
      <c r="HD111">
        <v>20.250599999999999</v>
      </c>
      <c r="HE111">
        <v>5.2107000000000001</v>
      </c>
      <c r="HF111">
        <v>11.8734</v>
      </c>
      <c r="HG111">
        <v>4.9836</v>
      </c>
      <c r="HH111">
        <v>3.2839999999999998</v>
      </c>
      <c r="HI111">
        <v>9999</v>
      </c>
      <c r="HJ111">
        <v>9999</v>
      </c>
      <c r="HK111">
        <v>9999</v>
      </c>
      <c r="HL111">
        <v>999.9</v>
      </c>
      <c r="HM111">
        <v>1.85486</v>
      </c>
      <c r="HN111">
        <v>1.8608100000000001</v>
      </c>
      <c r="HO111">
        <v>1.8582000000000001</v>
      </c>
      <c r="HP111">
        <v>1.85928</v>
      </c>
      <c r="HQ111">
        <v>1.8586499999999999</v>
      </c>
      <c r="HR111">
        <v>1.85914</v>
      </c>
      <c r="HS111">
        <v>1.8574900000000001</v>
      </c>
      <c r="HT111">
        <v>1.8608100000000001</v>
      </c>
      <c r="HU111">
        <v>5</v>
      </c>
      <c r="HV111">
        <v>0</v>
      </c>
      <c r="HW111">
        <v>0</v>
      </c>
      <c r="HX111">
        <v>0</v>
      </c>
      <c r="HY111" t="s">
        <v>423</v>
      </c>
      <c r="HZ111" t="s">
        <v>424</v>
      </c>
      <c r="IA111" t="s">
        <v>425</v>
      </c>
      <c r="IB111" t="s">
        <v>425</v>
      </c>
      <c r="IC111" t="s">
        <v>425</v>
      </c>
      <c r="ID111" t="s">
        <v>425</v>
      </c>
      <c r="IE111">
        <v>0</v>
      </c>
      <c r="IF111">
        <v>100</v>
      </c>
      <c r="IG111">
        <v>100</v>
      </c>
      <c r="IH111">
        <v>-2.6150000000000002</v>
      </c>
      <c r="II111">
        <v>-0.34520000000000001</v>
      </c>
      <c r="IJ111">
        <v>-2.6147142857142849</v>
      </c>
      <c r="IK111">
        <v>0</v>
      </c>
      <c r="IL111">
        <v>0</v>
      </c>
      <c r="IM111">
        <v>0</v>
      </c>
      <c r="IN111">
        <v>-0.34513499999999547</v>
      </c>
      <c r="IO111">
        <v>0</v>
      </c>
      <c r="IP111">
        <v>0</v>
      </c>
      <c r="IQ111">
        <v>0</v>
      </c>
      <c r="IR111">
        <v>-1</v>
      </c>
      <c r="IS111">
        <v>-1</v>
      </c>
      <c r="IT111">
        <v>-1</v>
      </c>
      <c r="IU111">
        <v>-1</v>
      </c>
      <c r="IV111">
        <v>0.5</v>
      </c>
      <c r="IW111">
        <v>0.5</v>
      </c>
      <c r="IX111">
        <v>1.55884</v>
      </c>
      <c r="IY111">
        <v>2.47925</v>
      </c>
      <c r="IZ111">
        <v>1.49414</v>
      </c>
      <c r="JA111">
        <v>2.2802699999999998</v>
      </c>
      <c r="JB111">
        <v>1.54419</v>
      </c>
      <c r="JC111">
        <v>2.5476100000000002</v>
      </c>
      <c r="JD111">
        <v>47.122900000000001</v>
      </c>
      <c r="JE111">
        <v>24.017499999999998</v>
      </c>
      <c r="JF111">
        <v>18</v>
      </c>
      <c r="JG111">
        <v>533.95600000000002</v>
      </c>
      <c r="JH111">
        <v>414.71899999999999</v>
      </c>
      <c r="JI111">
        <v>25.767700000000001</v>
      </c>
      <c r="JJ111">
        <v>33.368099999999998</v>
      </c>
      <c r="JK111">
        <v>29.9999</v>
      </c>
      <c r="JL111">
        <v>33.290999999999997</v>
      </c>
      <c r="JM111">
        <v>33.252200000000002</v>
      </c>
      <c r="JN111">
        <v>31.264800000000001</v>
      </c>
      <c r="JO111">
        <v>0</v>
      </c>
      <c r="JP111">
        <v>18.665800000000001</v>
      </c>
      <c r="JQ111">
        <v>25.753799999999998</v>
      </c>
      <c r="JR111">
        <v>700</v>
      </c>
      <c r="JS111">
        <v>23.462900000000001</v>
      </c>
      <c r="JT111">
        <v>98.650899999999993</v>
      </c>
      <c r="JU111">
        <v>96.752499999999998</v>
      </c>
    </row>
    <row r="112" spans="1:281" x14ac:dyDescent="0.25">
      <c r="A112">
        <v>96</v>
      </c>
      <c r="B112">
        <v>1693517275.5</v>
      </c>
      <c r="C112">
        <v>23139.5</v>
      </c>
      <c r="D112" t="s">
        <v>904</v>
      </c>
      <c r="E112" t="s">
        <v>905</v>
      </c>
      <c r="F112" t="s">
        <v>414</v>
      </c>
      <c r="G112" t="s">
        <v>494</v>
      </c>
      <c r="H112" t="s">
        <v>416</v>
      </c>
      <c r="I112" t="s">
        <v>416</v>
      </c>
      <c r="J112">
        <v>1693517275.5</v>
      </c>
      <c r="K112">
        <f t="shared" ref="K112:K128" si="138">(L112)/1000</f>
        <v>4.6559113320916922E-3</v>
      </c>
      <c r="L112">
        <f t="shared" ref="L112:L128" si="139">1000*DL112*AJ112*(DH112-DI112)/(100*DA112*(1000-AJ112*DH112))</f>
        <v>4.6559113320916925</v>
      </c>
      <c r="M112">
        <f t="shared" ref="M112:M128" si="140">DL112*AJ112*(DG112-DF112*(1000-AJ112*DI112)/(1000-AJ112*DH112))/(100*DA112)</f>
        <v>47.232308305955328</v>
      </c>
      <c r="N112">
        <f t="shared" ref="N112:N128" si="141">DF112 - IF(AJ112&gt;1, M112*DA112*100/(AL112*DT112), 0)</f>
        <v>838.68700000000001</v>
      </c>
      <c r="O112">
        <f t="shared" ref="O112:O128" si="142">((U112-K112/2)*N112-M112)/(U112+K112/2)</f>
        <v>588.05032785692276</v>
      </c>
      <c r="P112">
        <f t="shared" ref="P112:P128" si="143">O112*(DM112+DN112)/1000</f>
        <v>58.536727767003626</v>
      </c>
      <c r="Q112">
        <f t="shared" ref="Q112:Q128" si="144">(DF112 - IF(AJ112&gt;1, M112*DA112*100/(AL112*DT112), 0))*(DM112+DN112)/1000</f>
        <v>83.486038992006016</v>
      </c>
      <c r="R112">
        <f t="shared" ref="R112:R128" si="145">2/((1/T112-1/S112)+SIGN(T112)*SQRT((1/T112-1/S112)*(1/T112-1/S112) + 4*DB112/((DB112+1)*(DB112+1))*(2*1/T112*1/S112-1/S112*1/S112)))</f>
        <v>0.34053441883230517</v>
      </c>
      <c r="S112">
        <f t="shared" ref="S112:S128" si="146">IF(LEFT(DC112,1)&lt;&gt;"0",IF(LEFT(DC112,1)="1",3,DD112),$D$5+$E$5*(DT112*DM112/($K$5*1000))+$F$5*(DT112*DM112/($K$5*1000))*MAX(MIN(DA112,$J$5),$I$5)*MAX(MIN(DA112,$J$5),$I$5)+$G$5*MAX(MIN(DA112,$J$5),$I$5)*(DT112*DM112/($K$5*1000))+$H$5*(DT112*DM112/($K$5*1000))*(DT112*DM112/($K$5*1000)))</f>
        <v>2.9224030201821138</v>
      </c>
      <c r="T112">
        <f t="shared" ref="T112:T128" si="147">K112*(1000-(1000*0.61365*EXP(17.502*X112/(240.97+X112))/(DM112+DN112)+DH112)/2)/(1000*0.61365*EXP(17.502*X112/(240.97+X112))/(DM112+DN112)-DH112)</f>
        <v>0.31992557390499199</v>
      </c>
      <c r="U112">
        <f t="shared" ref="U112:U128" si="148">1/((DB112+1)/(R112/1.6)+1/(S112/1.37)) + DB112/((DB112+1)/(R112/1.6) + DB112/(S112/1.37))</f>
        <v>0.20170108835246628</v>
      </c>
      <c r="V112">
        <f t="shared" ref="V112:V128" si="149">(CW112*CZ112)</f>
        <v>344.37949967084251</v>
      </c>
      <c r="W112">
        <f t="shared" ref="W112:W128" si="150">(DO112+(V112+2*0.95*0.0000000567*(((DO112+$B$7)+273)^4-(DO112+273)^4)-44100*K112)/(1.84*29.3*S112+8*0.95*0.0000000567*(DO112+273)^3))</f>
        <v>31.394852365957803</v>
      </c>
      <c r="X112">
        <f t="shared" ref="X112:X128" si="151">($C$7*DP112+$D$7*DQ112+$E$7*W112)</f>
        <v>30.0185</v>
      </c>
      <c r="Y112">
        <f t="shared" ref="Y112:Y128" si="152">0.61365*EXP(17.502*X112/(240.97+X112))</f>
        <v>4.2649791290137351</v>
      </c>
      <c r="Z112">
        <f t="shared" ref="Z112:Z128" si="153">(AA112/AB112*100)</f>
        <v>65.139244569928209</v>
      </c>
      <c r="AA112">
        <f t="shared" ref="AA112:AA128" si="154">DH112*(DM112+DN112)/1000</f>
        <v>2.8682134492368005</v>
      </c>
      <c r="AB112">
        <f t="shared" ref="AB112:AB128" si="155">0.61365*EXP(17.502*DO112/(240.97+DO112))</f>
        <v>4.4032034270181306</v>
      </c>
      <c r="AC112">
        <f t="shared" ref="AC112:AC128" si="156">(Y112-DH112*(DM112+DN112)/1000)</f>
        <v>1.3967656797769346</v>
      </c>
      <c r="AD112">
        <f t="shared" ref="AD112:AD128" si="157">(-K112*44100)</f>
        <v>-205.32568974524364</v>
      </c>
      <c r="AE112">
        <f t="shared" ref="AE112:AE128" si="158">2*29.3*S112*0.92*(DO112-X112)</f>
        <v>87.678017238788314</v>
      </c>
      <c r="AF112">
        <f t="shared" ref="AF112:AF128" si="159">2*0.95*0.0000000567*(((DO112+$B$7)+273)^4-(X112+273)^4)</f>
        <v>6.6906059932647768</v>
      </c>
      <c r="AG112">
        <f t="shared" ref="AG112:AG128" si="160">V112+AF112+AD112+AE112</f>
        <v>233.42243315765199</v>
      </c>
      <c r="AH112">
        <v>0</v>
      </c>
      <c r="AI112">
        <v>0</v>
      </c>
      <c r="AJ112">
        <f t="shared" ref="AJ112:AJ128" si="161">IF(AH112*$H$13&gt;=AL112,1,(AL112/(AL112-AH112*$H$13)))</f>
        <v>1</v>
      </c>
      <c r="AK112">
        <f t="shared" ref="AK112:AK128" si="162">(AJ112-1)*100</f>
        <v>0</v>
      </c>
      <c r="AL112">
        <f t="shared" ref="AL112:AL128" si="163">MAX(0,($B$13+$C$13*DT112)/(1+$D$13*DT112)*DM112/(DO112+273)*$E$13)</f>
        <v>52038.681093843625</v>
      </c>
      <c r="AM112" t="s">
        <v>417</v>
      </c>
      <c r="AN112">
        <v>10366.9</v>
      </c>
      <c r="AO112">
        <v>993.59653846153856</v>
      </c>
      <c r="AP112">
        <v>3431.87</v>
      </c>
      <c r="AQ112">
        <f t="shared" ref="AQ112:AQ128" si="164">1-AO112/AP112</f>
        <v>0.71047955241266758</v>
      </c>
      <c r="AR112">
        <v>-3.9894345373445681</v>
      </c>
      <c r="AS112" t="s">
        <v>906</v>
      </c>
      <c r="AT112">
        <v>10298.1</v>
      </c>
      <c r="AU112">
        <v>693.92807999999991</v>
      </c>
      <c r="AV112">
        <v>1051.4410925741499</v>
      </c>
      <c r="AW112">
        <f t="shared" ref="AW112:AW128" si="165">1-AU112/AV112</f>
        <v>0.34002191382769964</v>
      </c>
      <c r="AX112">
        <v>0.5</v>
      </c>
      <c r="AY112">
        <f t="shared" ref="AY112:AY128" si="166">CX112</f>
        <v>1513.2269998354211</v>
      </c>
      <c r="AZ112">
        <f t="shared" ref="AZ112:AZ128" si="167">M112</f>
        <v>47.232308305955328</v>
      </c>
      <c r="BA112">
        <f t="shared" ref="BA112:BA128" si="168">AW112*AX112*AY112</f>
        <v>257.26517026989399</v>
      </c>
      <c r="BB112">
        <f t="shared" ref="BB112:BB128" si="169">(AZ112-AR112)/AY112</f>
        <v>3.3849345041339324E-2</v>
      </c>
      <c r="BC112">
        <f t="shared" ref="BC112:BC128" si="170">(AP112-AV112)/AV112</f>
        <v>2.2639679238691888</v>
      </c>
      <c r="BD112">
        <f t="shared" ref="BD112:BD128" si="171">AO112/(AQ112+AO112/AV112)</f>
        <v>600.19180983897684</v>
      </c>
      <c r="BE112" t="s">
        <v>907</v>
      </c>
      <c r="BF112">
        <v>528.25</v>
      </c>
      <c r="BG112">
        <f t="shared" ref="BG112:BG128" si="172">IF(BF112&lt;&gt;0, BF112, BD112)</f>
        <v>528.25</v>
      </c>
      <c r="BH112">
        <f t="shared" ref="BH112:BH128" si="173">1-BG112/AV112</f>
        <v>0.49759429821528811</v>
      </c>
      <c r="BI112">
        <f t="shared" ref="BI112:BI128" si="174">(AV112-AU112)/(AV112-BG112)</f>
        <v>0.68333161181156965</v>
      </c>
      <c r="BJ112">
        <f t="shared" ref="BJ112:BJ128" si="175">(AP112-AV112)/(AP112-BG112)</f>
        <v>0.81981420000752514</v>
      </c>
      <c r="BK112">
        <f t="shared" ref="BK112:BK128" si="176">(AV112-AU112)/(AV112-AO112)</f>
        <v>6.1805820454272355</v>
      </c>
      <c r="BL112">
        <f t="shared" ref="BL112:BL128" si="177">(AP112-AV112)/(AP112-AO112)</f>
        <v>0.97627642878247389</v>
      </c>
      <c r="BM112">
        <f t="shared" ref="BM112:BM128" si="178">(BI112*BG112/AU112)</f>
        <v>0.52018348059853947</v>
      </c>
      <c r="BN112">
        <f t="shared" ref="BN112:BN128" si="179">(1-BM112)</f>
        <v>0.47981651940146053</v>
      </c>
      <c r="BO112">
        <v>16898</v>
      </c>
      <c r="BP112">
        <v>290.00000000000011</v>
      </c>
      <c r="BQ112">
        <v>954.97</v>
      </c>
      <c r="BR112">
        <v>115</v>
      </c>
      <c r="BS112">
        <v>10298.1</v>
      </c>
      <c r="BT112">
        <v>952.42</v>
      </c>
      <c r="BU112">
        <v>2.5499999999999998</v>
      </c>
      <c r="BV112">
        <v>300.00000000000011</v>
      </c>
      <c r="BW112">
        <v>38.5</v>
      </c>
      <c r="BX112">
        <v>1051.4410925741499</v>
      </c>
      <c r="BY112">
        <v>1.2806689391813419</v>
      </c>
      <c r="BZ112">
        <v>-101.9723322333583</v>
      </c>
      <c r="CA112">
        <v>1.0774738289485191</v>
      </c>
      <c r="CB112">
        <v>0.99688361399903902</v>
      </c>
      <c r="CC112">
        <v>-1.12009147942158E-2</v>
      </c>
      <c r="CD112">
        <v>289.99999999999989</v>
      </c>
      <c r="CE112">
        <v>943.57</v>
      </c>
      <c r="CF112">
        <v>665</v>
      </c>
      <c r="CG112">
        <v>10258.6</v>
      </c>
      <c r="CH112">
        <v>952.04</v>
      </c>
      <c r="CI112">
        <v>-8.4700000000000006</v>
      </c>
      <c r="CW112">
        <f t="shared" ref="CW112:CW128" si="180">$B$11*DU112+$C$11*DV112+$F$11*EG112*(1-EJ112)</f>
        <v>1800.05</v>
      </c>
      <c r="CX112">
        <f t="shared" ref="CX112:CX128" si="181">CW112*CY112</f>
        <v>1513.2269998354211</v>
      </c>
      <c r="CY112">
        <f t="shared" ref="CY112:CY128" si="182">($B$11*$D$9+$C$11*$D$9+$F$11*((ET112+EL112)/MAX(ET112+EL112+EU112, 0.1)*$I$9+EU112/MAX(ET112+EL112+EU112, 0.1)*$J$9))/($B$11+$C$11+$F$11)</f>
        <v>0.84065831495537413</v>
      </c>
      <c r="CZ112">
        <f t="shared" ref="CZ112:CZ128" si="183">($B$11*$K$9+$C$11*$K$9+$F$11*((ET112+EL112)/MAX(ET112+EL112+EU112, 0.1)*$P$9+EU112/MAX(ET112+EL112+EU112, 0.1)*$Q$9))/($B$11+$C$11+$F$11)</f>
        <v>0.19131662991074833</v>
      </c>
      <c r="DA112">
        <v>6</v>
      </c>
      <c r="DB112">
        <v>0.5</v>
      </c>
      <c r="DC112" t="s">
        <v>420</v>
      </c>
      <c r="DD112">
        <v>2</v>
      </c>
      <c r="DE112">
        <v>1693517275.5</v>
      </c>
      <c r="DF112">
        <v>838.68700000000001</v>
      </c>
      <c r="DG112">
        <v>900.03</v>
      </c>
      <c r="DH112">
        <v>28.813600000000001</v>
      </c>
      <c r="DI112">
        <v>23.389399999999998</v>
      </c>
      <c r="DJ112">
        <v>841.197</v>
      </c>
      <c r="DK112">
        <v>29.150600000000001</v>
      </c>
      <c r="DL112">
        <v>500.17599999999999</v>
      </c>
      <c r="DM112">
        <v>99.444000000000003</v>
      </c>
      <c r="DN112">
        <v>9.9737999999999993E-2</v>
      </c>
      <c r="DO112">
        <v>30.574999999999999</v>
      </c>
      <c r="DP112">
        <v>30.0185</v>
      </c>
      <c r="DQ112">
        <v>999.9</v>
      </c>
      <c r="DR112">
        <v>0</v>
      </c>
      <c r="DS112">
        <v>0</v>
      </c>
      <c r="DT112">
        <v>10015</v>
      </c>
      <c r="DU112">
        <v>0</v>
      </c>
      <c r="DV112">
        <v>170.251</v>
      </c>
      <c r="DW112">
        <v>-61.343699999999998</v>
      </c>
      <c r="DX112">
        <v>863.56899999999996</v>
      </c>
      <c r="DY112">
        <v>921.58600000000001</v>
      </c>
      <c r="DZ112">
        <v>5.4241999999999999</v>
      </c>
      <c r="EA112">
        <v>900.03</v>
      </c>
      <c r="EB112">
        <v>23.389399999999998</v>
      </c>
      <c r="EC112">
        <v>2.8653400000000002</v>
      </c>
      <c r="ED112">
        <v>2.3259300000000001</v>
      </c>
      <c r="EE112">
        <v>23.2654</v>
      </c>
      <c r="EF112">
        <v>19.857099999999999</v>
      </c>
      <c r="EG112">
        <v>1800.05</v>
      </c>
      <c r="EH112">
        <v>0.977993</v>
      </c>
      <c r="EI112">
        <v>2.2006700000000001E-2</v>
      </c>
      <c r="EJ112">
        <v>0</v>
      </c>
      <c r="EK112">
        <v>693.98299999999995</v>
      </c>
      <c r="EL112">
        <v>5.0002500000000003</v>
      </c>
      <c r="EM112">
        <v>19465.099999999999</v>
      </c>
      <c r="EN112">
        <v>14822.5</v>
      </c>
      <c r="EO112">
        <v>50.25</v>
      </c>
      <c r="EP112">
        <v>51.186999999999998</v>
      </c>
      <c r="EQ112">
        <v>50.936999999999998</v>
      </c>
      <c r="ER112">
        <v>50.75</v>
      </c>
      <c r="ES112">
        <v>51.311999999999998</v>
      </c>
      <c r="ET112">
        <v>1755.55</v>
      </c>
      <c r="EU112">
        <v>39.5</v>
      </c>
      <c r="EV112">
        <v>0</v>
      </c>
      <c r="EW112">
        <v>118.4000000953674</v>
      </c>
      <c r="EX112">
        <v>0</v>
      </c>
      <c r="EY112">
        <v>693.92807999999991</v>
      </c>
      <c r="EZ112">
        <v>0.1023846122939802</v>
      </c>
      <c r="FA112">
        <v>-47.323076838915881</v>
      </c>
      <c r="FB112">
        <v>19468.988000000001</v>
      </c>
      <c r="FC112">
        <v>15</v>
      </c>
      <c r="FD112">
        <v>1693517247</v>
      </c>
      <c r="FE112" t="s">
        <v>908</v>
      </c>
      <c r="FF112">
        <v>1693517247</v>
      </c>
      <c r="FG112">
        <v>1693517243.5</v>
      </c>
      <c r="FH112">
        <v>108</v>
      </c>
      <c r="FI112">
        <v>0.104</v>
      </c>
      <c r="FJ112">
        <v>8.0000000000000002E-3</v>
      </c>
      <c r="FK112">
        <v>-2.5099999999999998</v>
      </c>
      <c r="FL112">
        <v>-0.33700000000000002</v>
      </c>
      <c r="FM112">
        <v>900</v>
      </c>
      <c r="FN112">
        <v>23</v>
      </c>
      <c r="FO112">
        <v>0.23</v>
      </c>
      <c r="FP112">
        <v>0.04</v>
      </c>
      <c r="FQ112">
        <v>47.297690544209068</v>
      </c>
      <c r="FR112">
        <v>-0.68846550682549101</v>
      </c>
      <c r="FS112">
        <v>0.11339692511092631</v>
      </c>
      <c r="FT112">
        <v>1</v>
      </c>
      <c r="FU112">
        <v>0.34061799322486819</v>
      </c>
      <c r="FV112">
        <v>6.6579276838921826E-3</v>
      </c>
      <c r="FW112">
        <v>9.3208457141419972E-4</v>
      </c>
      <c r="FX112">
        <v>1</v>
      </c>
      <c r="FY112">
        <v>2</v>
      </c>
      <c r="FZ112">
        <v>2</v>
      </c>
      <c r="GA112" t="s">
        <v>422</v>
      </c>
      <c r="GB112">
        <v>2.9182600000000001</v>
      </c>
      <c r="GC112">
        <v>2.8297599999999998</v>
      </c>
      <c r="GD112">
        <v>0.15257999999999999</v>
      </c>
      <c r="GE112">
        <v>0.15672700000000001</v>
      </c>
      <c r="GF112">
        <v>0.136127</v>
      </c>
      <c r="GG112">
        <v>0.112356</v>
      </c>
      <c r="GH112">
        <v>22134</v>
      </c>
      <c r="GI112">
        <v>26806.7</v>
      </c>
      <c r="GJ112">
        <v>23518</v>
      </c>
      <c r="GK112">
        <v>29109.4</v>
      </c>
      <c r="GL112">
        <v>27732.6</v>
      </c>
      <c r="GM112">
        <v>36560.199999999997</v>
      </c>
      <c r="GN112">
        <v>33269</v>
      </c>
      <c r="GO112">
        <v>42941.599999999999</v>
      </c>
      <c r="GP112">
        <v>1.9870000000000001</v>
      </c>
      <c r="GQ112">
        <v>1.7624</v>
      </c>
      <c r="GR112">
        <v>4.3809399999999998E-2</v>
      </c>
      <c r="GS112">
        <v>0</v>
      </c>
      <c r="GT112">
        <v>29.305199999999999</v>
      </c>
      <c r="GU112">
        <v>999.9</v>
      </c>
      <c r="GV112">
        <v>28.7</v>
      </c>
      <c r="GW112">
        <v>45</v>
      </c>
      <c r="GX112">
        <v>27.814900000000002</v>
      </c>
      <c r="GY112">
        <v>61.235199999999999</v>
      </c>
      <c r="GZ112">
        <v>36.346200000000003</v>
      </c>
      <c r="HA112">
        <v>1</v>
      </c>
      <c r="HB112">
        <v>0.48548799999999998</v>
      </c>
      <c r="HC112">
        <v>2.87778</v>
      </c>
      <c r="HD112">
        <v>20.2456</v>
      </c>
      <c r="HE112">
        <v>5.2112999999999996</v>
      </c>
      <c r="HF112">
        <v>11.872199999999999</v>
      </c>
      <c r="HG112">
        <v>4.9855999999999998</v>
      </c>
      <c r="HH112">
        <v>3.2839999999999998</v>
      </c>
      <c r="HI112">
        <v>9999</v>
      </c>
      <c r="HJ112">
        <v>9999</v>
      </c>
      <c r="HK112">
        <v>9999</v>
      </c>
      <c r="HL112">
        <v>999.9</v>
      </c>
      <c r="HM112">
        <v>1.8548</v>
      </c>
      <c r="HN112">
        <v>1.8608100000000001</v>
      </c>
      <c r="HO112">
        <v>1.85816</v>
      </c>
      <c r="HP112">
        <v>1.8592599999999999</v>
      </c>
      <c r="HQ112">
        <v>1.8586499999999999</v>
      </c>
      <c r="HR112">
        <v>1.8591800000000001</v>
      </c>
      <c r="HS112">
        <v>1.85748</v>
      </c>
      <c r="HT112">
        <v>1.8608100000000001</v>
      </c>
      <c r="HU112">
        <v>5</v>
      </c>
      <c r="HV112">
        <v>0</v>
      </c>
      <c r="HW112">
        <v>0</v>
      </c>
      <c r="HX112">
        <v>0</v>
      </c>
      <c r="HY112" t="s">
        <v>423</v>
      </c>
      <c r="HZ112" t="s">
        <v>424</v>
      </c>
      <c r="IA112" t="s">
        <v>425</v>
      </c>
      <c r="IB112" t="s">
        <v>425</v>
      </c>
      <c r="IC112" t="s">
        <v>425</v>
      </c>
      <c r="ID112" t="s">
        <v>425</v>
      </c>
      <c r="IE112">
        <v>0</v>
      </c>
      <c r="IF112">
        <v>100</v>
      </c>
      <c r="IG112">
        <v>100</v>
      </c>
      <c r="IH112">
        <v>-2.5099999999999998</v>
      </c>
      <c r="II112">
        <v>-0.33700000000000002</v>
      </c>
      <c r="IJ112">
        <v>-2.5103333333335058</v>
      </c>
      <c r="IK112">
        <v>0</v>
      </c>
      <c r="IL112">
        <v>0</v>
      </c>
      <c r="IM112">
        <v>0</v>
      </c>
      <c r="IN112">
        <v>-0.33702000000000609</v>
      </c>
      <c r="IO112">
        <v>0</v>
      </c>
      <c r="IP112">
        <v>0</v>
      </c>
      <c r="IQ112">
        <v>0</v>
      </c>
      <c r="IR112">
        <v>-1</v>
      </c>
      <c r="IS112">
        <v>-1</v>
      </c>
      <c r="IT112">
        <v>-1</v>
      </c>
      <c r="IU112">
        <v>-1</v>
      </c>
      <c r="IV112">
        <v>0.5</v>
      </c>
      <c r="IW112">
        <v>0.5</v>
      </c>
      <c r="IX112">
        <v>1.90063</v>
      </c>
      <c r="IY112">
        <v>2.4682599999999999</v>
      </c>
      <c r="IZ112">
        <v>1.49414</v>
      </c>
      <c r="JA112">
        <v>2.2802699999999998</v>
      </c>
      <c r="JB112">
        <v>1.54419</v>
      </c>
      <c r="JC112">
        <v>2.4865699999999999</v>
      </c>
      <c r="JD112">
        <v>46.944800000000001</v>
      </c>
      <c r="JE112">
        <v>24.008700000000001</v>
      </c>
      <c r="JF112">
        <v>18</v>
      </c>
      <c r="JG112">
        <v>534.03899999999999</v>
      </c>
      <c r="JH112">
        <v>415.87400000000002</v>
      </c>
      <c r="JI112">
        <v>25.390899999999998</v>
      </c>
      <c r="JJ112">
        <v>33.383099999999999</v>
      </c>
      <c r="JK112">
        <v>30.0001</v>
      </c>
      <c r="JL112">
        <v>33.308799999999998</v>
      </c>
      <c r="JM112">
        <v>33.2699</v>
      </c>
      <c r="JN112">
        <v>38.107500000000002</v>
      </c>
      <c r="JO112">
        <v>0</v>
      </c>
      <c r="JP112">
        <v>19.196999999999999</v>
      </c>
      <c r="JQ112">
        <v>25.3949</v>
      </c>
      <c r="JR112">
        <v>900</v>
      </c>
      <c r="JS112">
        <v>23.596800000000002</v>
      </c>
      <c r="JT112">
        <v>98.652600000000007</v>
      </c>
      <c r="JU112">
        <v>96.748199999999997</v>
      </c>
    </row>
    <row r="113" spans="1:281" x14ac:dyDescent="0.25">
      <c r="A113">
        <v>97</v>
      </c>
      <c r="B113">
        <v>1693517380</v>
      </c>
      <c r="C113">
        <v>23244</v>
      </c>
      <c r="D113" t="s">
        <v>909</v>
      </c>
      <c r="E113" t="s">
        <v>910</v>
      </c>
      <c r="F113" t="s">
        <v>414</v>
      </c>
      <c r="G113" t="s">
        <v>494</v>
      </c>
      <c r="H113" t="s">
        <v>416</v>
      </c>
      <c r="I113" t="s">
        <v>416</v>
      </c>
      <c r="J113">
        <v>1693517380</v>
      </c>
      <c r="K113">
        <f t="shared" si="138"/>
        <v>4.489928919743179E-3</v>
      </c>
      <c r="L113">
        <f t="shared" si="139"/>
        <v>4.4899289197431793</v>
      </c>
      <c r="M113">
        <f t="shared" si="140"/>
        <v>47.155760880335805</v>
      </c>
      <c r="N113">
        <f t="shared" si="141"/>
        <v>1137.17</v>
      </c>
      <c r="O113">
        <f t="shared" si="142"/>
        <v>870.56523523001226</v>
      </c>
      <c r="P113">
        <f t="shared" si="143"/>
        <v>86.661434728183735</v>
      </c>
      <c r="Q113">
        <f t="shared" si="144"/>
        <v>113.20091791146601</v>
      </c>
      <c r="R113">
        <f t="shared" si="145"/>
        <v>0.32644331905154123</v>
      </c>
      <c r="S113">
        <f t="shared" si="146"/>
        <v>2.9250697218459187</v>
      </c>
      <c r="T113">
        <f t="shared" si="147"/>
        <v>0.30746994686457485</v>
      </c>
      <c r="U113">
        <f t="shared" si="148"/>
        <v>0.19378143962592426</v>
      </c>
      <c r="V113">
        <f t="shared" si="149"/>
        <v>344.3509996708151</v>
      </c>
      <c r="W113">
        <f t="shared" si="150"/>
        <v>31.345466257125508</v>
      </c>
      <c r="X113">
        <f t="shared" si="151"/>
        <v>29.997</v>
      </c>
      <c r="Y113">
        <f t="shared" si="152"/>
        <v>4.2597156773156035</v>
      </c>
      <c r="Z113">
        <f t="shared" si="153"/>
        <v>65.249422018506635</v>
      </c>
      <c r="AA113">
        <f t="shared" si="154"/>
        <v>2.8580302626598799</v>
      </c>
      <c r="AB113">
        <f t="shared" si="155"/>
        <v>4.3801618071793174</v>
      </c>
      <c r="AC113">
        <f t="shared" si="156"/>
        <v>1.4016854146557236</v>
      </c>
      <c r="AD113">
        <f t="shared" si="157"/>
        <v>-198.00586536067419</v>
      </c>
      <c r="AE113">
        <f t="shared" si="158"/>
        <v>76.687739305913624</v>
      </c>
      <c r="AF113">
        <f t="shared" si="159"/>
        <v>5.8433420383045167</v>
      </c>
      <c r="AG113">
        <f t="shared" si="160"/>
        <v>228.87621565435904</v>
      </c>
      <c r="AH113">
        <v>0</v>
      </c>
      <c r="AI113">
        <v>0</v>
      </c>
      <c r="AJ113">
        <f t="shared" si="161"/>
        <v>1</v>
      </c>
      <c r="AK113">
        <f t="shared" si="162"/>
        <v>0</v>
      </c>
      <c r="AL113">
        <f t="shared" si="163"/>
        <v>52130.449070589908</v>
      </c>
      <c r="AM113" t="s">
        <v>417</v>
      </c>
      <c r="AN113">
        <v>10366.9</v>
      </c>
      <c r="AO113">
        <v>993.59653846153856</v>
      </c>
      <c r="AP113">
        <v>3431.87</v>
      </c>
      <c r="AQ113">
        <f t="shared" si="164"/>
        <v>0.71047955241266758</v>
      </c>
      <c r="AR113">
        <v>-3.9894345373445681</v>
      </c>
      <c r="AS113" t="s">
        <v>911</v>
      </c>
      <c r="AT113">
        <v>10286.9</v>
      </c>
      <c r="AU113">
        <v>692.24780769230767</v>
      </c>
      <c r="AV113">
        <v>1050.1346284523611</v>
      </c>
      <c r="AW113">
        <f t="shared" si="165"/>
        <v>0.3408008945362464</v>
      </c>
      <c r="AX113">
        <v>0.5</v>
      </c>
      <c r="AY113">
        <f t="shared" si="166"/>
        <v>1513.1009998354077</v>
      </c>
      <c r="AZ113">
        <f t="shared" si="167"/>
        <v>47.155760880335805</v>
      </c>
      <c r="BA113">
        <f t="shared" si="168"/>
        <v>257.8330871337979</v>
      </c>
      <c r="BB113">
        <f t="shared" si="169"/>
        <v>3.3801574001500127E-2</v>
      </c>
      <c r="BC113">
        <f t="shared" si="170"/>
        <v>2.2680286003497745</v>
      </c>
      <c r="BD113">
        <f t="shared" si="171"/>
        <v>599.76587871023617</v>
      </c>
      <c r="BE113" t="s">
        <v>912</v>
      </c>
      <c r="BF113">
        <v>527.07000000000005</v>
      </c>
      <c r="BG113">
        <f t="shared" si="172"/>
        <v>527.07000000000005</v>
      </c>
      <c r="BH113">
        <f t="shared" si="173"/>
        <v>0.49809292473597322</v>
      </c>
      <c r="BI113">
        <f t="shared" si="174"/>
        <v>0.68421147462975229</v>
      </c>
      <c r="BJ113">
        <f t="shared" si="175"/>
        <v>0.81993093209434009</v>
      </c>
      <c r="BK113">
        <f t="shared" si="176"/>
        <v>6.3300125776825311</v>
      </c>
      <c r="BL113">
        <f t="shared" si="177"/>
        <v>0.97681224403962086</v>
      </c>
      <c r="BM113">
        <f t="shared" si="178"/>
        <v>0.52095122285081519</v>
      </c>
      <c r="BN113">
        <f t="shared" si="179"/>
        <v>0.47904877714918481</v>
      </c>
      <c r="BO113">
        <v>16900</v>
      </c>
      <c r="BP113">
        <v>290.00000000000011</v>
      </c>
      <c r="BQ113">
        <v>953.62</v>
      </c>
      <c r="BR113">
        <v>175</v>
      </c>
      <c r="BS113">
        <v>10286.9</v>
      </c>
      <c r="BT113">
        <v>951.04</v>
      </c>
      <c r="BU113">
        <v>2.58</v>
      </c>
      <c r="BV113">
        <v>300.00000000000011</v>
      </c>
      <c r="BW113">
        <v>38.5</v>
      </c>
      <c r="BX113">
        <v>1050.1346284523611</v>
      </c>
      <c r="BY113">
        <v>1.3155234106304159</v>
      </c>
      <c r="BZ113">
        <v>-101.9386327713502</v>
      </c>
      <c r="CA113">
        <v>1.1066902433430439</v>
      </c>
      <c r="CB113">
        <v>0.99671071343389472</v>
      </c>
      <c r="CC113">
        <v>-1.1199917908787551E-2</v>
      </c>
      <c r="CD113">
        <v>289.99999999999989</v>
      </c>
      <c r="CE113">
        <v>942.37</v>
      </c>
      <c r="CF113">
        <v>665</v>
      </c>
      <c r="CG113">
        <v>10257.700000000001</v>
      </c>
      <c r="CH113">
        <v>950.76</v>
      </c>
      <c r="CI113">
        <v>-8.39</v>
      </c>
      <c r="CW113">
        <f t="shared" si="180"/>
        <v>1799.9</v>
      </c>
      <c r="CX113">
        <f t="shared" si="181"/>
        <v>1513.1009998354077</v>
      </c>
      <c r="CY113">
        <f t="shared" si="182"/>
        <v>0.84065836981799413</v>
      </c>
      <c r="CZ113">
        <f t="shared" si="183"/>
        <v>0.19131673963598816</v>
      </c>
      <c r="DA113">
        <v>6</v>
      </c>
      <c r="DB113">
        <v>0.5</v>
      </c>
      <c r="DC113" t="s">
        <v>420</v>
      </c>
      <c r="DD113">
        <v>2</v>
      </c>
      <c r="DE113">
        <v>1693517380</v>
      </c>
      <c r="DF113">
        <v>1137.17</v>
      </c>
      <c r="DG113">
        <v>1199.8800000000001</v>
      </c>
      <c r="DH113">
        <v>28.710599999999999</v>
      </c>
      <c r="DI113">
        <v>23.477699999999999</v>
      </c>
      <c r="DJ113">
        <v>1139.75</v>
      </c>
      <c r="DK113">
        <v>29.049900000000001</v>
      </c>
      <c r="DL113">
        <v>500.03100000000001</v>
      </c>
      <c r="DM113">
        <v>99.4465</v>
      </c>
      <c r="DN113">
        <v>9.9669800000000003E-2</v>
      </c>
      <c r="DO113">
        <v>30.4833</v>
      </c>
      <c r="DP113">
        <v>29.997</v>
      </c>
      <c r="DQ113">
        <v>999.9</v>
      </c>
      <c r="DR113">
        <v>0</v>
      </c>
      <c r="DS113">
        <v>0</v>
      </c>
      <c r="DT113">
        <v>10030</v>
      </c>
      <c r="DU113">
        <v>0</v>
      </c>
      <c r="DV113">
        <v>170.245</v>
      </c>
      <c r="DW113">
        <v>-62.709600000000002</v>
      </c>
      <c r="DX113">
        <v>1170.79</v>
      </c>
      <c r="DY113">
        <v>1228.73</v>
      </c>
      <c r="DZ113">
        <v>5.2328900000000003</v>
      </c>
      <c r="EA113">
        <v>1199.8800000000001</v>
      </c>
      <c r="EB113">
        <v>23.477699999999999</v>
      </c>
      <c r="EC113">
        <v>2.8551700000000002</v>
      </c>
      <c r="ED113">
        <v>2.3347799999999999</v>
      </c>
      <c r="EE113">
        <v>23.206600000000002</v>
      </c>
      <c r="EF113">
        <v>19.918399999999998</v>
      </c>
      <c r="EG113">
        <v>1799.9</v>
      </c>
      <c r="EH113">
        <v>0.977993</v>
      </c>
      <c r="EI113">
        <v>2.2006700000000001E-2</v>
      </c>
      <c r="EJ113">
        <v>0</v>
      </c>
      <c r="EK113">
        <v>692.17</v>
      </c>
      <c r="EL113">
        <v>5.0002500000000003</v>
      </c>
      <c r="EM113">
        <v>19402.2</v>
      </c>
      <c r="EN113">
        <v>14821.2</v>
      </c>
      <c r="EO113">
        <v>50.375</v>
      </c>
      <c r="EP113">
        <v>51.311999999999998</v>
      </c>
      <c r="EQ113">
        <v>51.061999999999998</v>
      </c>
      <c r="ER113">
        <v>50.875</v>
      </c>
      <c r="ES113">
        <v>51.375</v>
      </c>
      <c r="ET113">
        <v>1755.4</v>
      </c>
      <c r="EU113">
        <v>39.5</v>
      </c>
      <c r="EV113">
        <v>0</v>
      </c>
      <c r="EW113">
        <v>102.2000000476837</v>
      </c>
      <c r="EX113">
        <v>0</v>
      </c>
      <c r="EY113">
        <v>692.24780769230767</v>
      </c>
      <c r="EZ113">
        <v>-1.05152136605836</v>
      </c>
      <c r="FA113">
        <v>-21.51452986637273</v>
      </c>
      <c r="FB113">
        <v>19409.557692307691</v>
      </c>
      <c r="FC113">
        <v>15</v>
      </c>
      <c r="FD113">
        <v>1693517357.5</v>
      </c>
      <c r="FE113" t="s">
        <v>913</v>
      </c>
      <c r="FF113">
        <v>1693517357.5</v>
      </c>
      <c r="FG113">
        <v>1693517351</v>
      </c>
      <c r="FH113">
        <v>109</v>
      </c>
      <c r="FI113">
        <v>-6.5000000000000002E-2</v>
      </c>
      <c r="FJ113">
        <v>-2E-3</v>
      </c>
      <c r="FK113">
        <v>-2.58</v>
      </c>
      <c r="FL113">
        <v>-0.33900000000000002</v>
      </c>
      <c r="FM113">
        <v>1200</v>
      </c>
      <c r="FN113">
        <v>23</v>
      </c>
      <c r="FO113">
        <v>0.19</v>
      </c>
      <c r="FP113">
        <v>0.05</v>
      </c>
      <c r="FQ113">
        <v>47.201768427378347</v>
      </c>
      <c r="FR113">
        <v>-2.0456786423550199E-3</v>
      </c>
      <c r="FS113">
        <v>0.15987906288352829</v>
      </c>
      <c r="FT113">
        <v>1</v>
      </c>
      <c r="FU113">
        <v>0.32257288250081229</v>
      </c>
      <c r="FV113">
        <v>4.6160251599894148E-2</v>
      </c>
      <c r="FW113">
        <v>4.9583614386965579E-3</v>
      </c>
      <c r="FX113">
        <v>1</v>
      </c>
      <c r="FY113">
        <v>2</v>
      </c>
      <c r="FZ113">
        <v>2</v>
      </c>
      <c r="GA113" t="s">
        <v>422</v>
      </c>
      <c r="GB113">
        <v>2.9178700000000002</v>
      </c>
      <c r="GC113">
        <v>2.8298199999999998</v>
      </c>
      <c r="GD113">
        <v>0.18523700000000001</v>
      </c>
      <c r="GE113">
        <v>0.18806300000000001</v>
      </c>
      <c r="GF113">
        <v>0.135795</v>
      </c>
      <c r="GG113">
        <v>0.112648</v>
      </c>
      <c r="GH113">
        <v>21278.2</v>
      </c>
      <c r="GI113">
        <v>25808.6</v>
      </c>
      <c r="GJ113">
        <v>23516.1</v>
      </c>
      <c r="GK113">
        <v>29108.799999999999</v>
      </c>
      <c r="GL113">
        <v>27744.7</v>
      </c>
      <c r="GM113">
        <v>36551</v>
      </c>
      <c r="GN113">
        <v>33266.9</v>
      </c>
      <c r="GO113">
        <v>42940.7</v>
      </c>
      <c r="GP113">
        <v>1.986</v>
      </c>
      <c r="GQ113">
        <v>1.7638</v>
      </c>
      <c r="GR113">
        <v>4.1872300000000001E-2</v>
      </c>
      <c r="GS113">
        <v>0</v>
      </c>
      <c r="GT113">
        <v>29.315200000000001</v>
      </c>
      <c r="GU113">
        <v>999.9</v>
      </c>
      <c r="GV113">
        <v>28.8</v>
      </c>
      <c r="GW113">
        <v>44.9</v>
      </c>
      <c r="GX113">
        <v>27.771999999999998</v>
      </c>
      <c r="GY113">
        <v>61.355200000000004</v>
      </c>
      <c r="GZ113">
        <v>36.3782</v>
      </c>
      <c r="HA113">
        <v>1</v>
      </c>
      <c r="HB113">
        <v>0.48875999999999997</v>
      </c>
      <c r="HC113">
        <v>3.0319199999999999</v>
      </c>
      <c r="HD113">
        <v>20.242899999999999</v>
      </c>
      <c r="HE113">
        <v>5.2112999999999996</v>
      </c>
      <c r="HF113">
        <v>11.8752</v>
      </c>
      <c r="HG113">
        <v>4.9850000000000003</v>
      </c>
      <c r="HH113">
        <v>3.2839999999999998</v>
      </c>
      <c r="HI113">
        <v>9999</v>
      </c>
      <c r="HJ113">
        <v>9999</v>
      </c>
      <c r="HK113">
        <v>9999</v>
      </c>
      <c r="HL113">
        <v>999.9</v>
      </c>
      <c r="HM113">
        <v>1.85486</v>
      </c>
      <c r="HN113">
        <v>1.8608100000000001</v>
      </c>
      <c r="HO113">
        <v>1.85822</v>
      </c>
      <c r="HP113">
        <v>1.85928</v>
      </c>
      <c r="HQ113">
        <v>1.85867</v>
      </c>
      <c r="HR113">
        <v>1.8592200000000001</v>
      </c>
      <c r="HS113">
        <v>1.8574900000000001</v>
      </c>
      <c r="HT113">
        <v>1.86084</v>
      </c>
      <c r="HU113">
        <v>5</v>
      </c>
      <c r="HV113">
        <v>0</v>
      </c>
      <c r="HW113">
        <v>0</v>
      </c>
      <c r="HX113">
        <v>0</v>
      </c>
      <c r="HY113" t="s">
        <v>423</v>
      </c>
      <c r="HZ113" t="s">
        <v>424</v>
      </c>
      <c r="IA113" t="s">
        <v>425</v>
      </c>
      <c r="IB113" t="s">
        <v>425</v>
      </c>
      <c r="IC113" t="s">
        <v>425</v>
      </c>
      <c r="ID113" t="s">
        <v>425</v>
      </c>
      <c r="IE113">
        <v>0</v>
      </c>
      <c r="IF113">
        <v>100</v>
      </c>
      <c r="IG113">
        <v>100</v>
      </c>
      <c r="IH113">
        <v>-2.58</v>
      </c>
      <c r="II113">
        <v>-0.33929999999999999</v>
      </c>
      <c r="IJ113">
        <v>-2.579523809524062</v>
      </c>
      <c r="IK113">
        <v>0</v>
      </c>
      <c r="IL113">
        <v>0</v>
      </c>
      <c r="IM113">
        <v>0</v>
      </c>
      <c r="IN113">
        <v>-0.33930000000000149</v>
      </c>
      <c r="IO113">
        <v>0</v>
      </c>
      <c r="IP113">
        <v>0</v>
      </c>
      <c r="IQ113">
        <v>0</v>
      </c>
      <c r="IR113">
        <v>-1</v>
      </c>
      <c r="IS113">
        <v>-1</v>
      </c>
      <c r="IT113">
        <v>-1</v>
      </c>
      <c r="IU113">
        <v>-1</v>
      </c>
      <c r="IV113">
        <v>0.4</v>
      </c>
      <c r="IW113">
        <v>0.5</v>
      </c>
      <c r="IX113">
        <v>2.3803700000000001</v>
      </c>
      <c r="IY113">
        <v>2.4548299999999998</v>
      </c>
      <c r="IZ113">
        <v>1.49414</v>
      </c>
      <c r="JA113">
        <v>2.2802699999999998</v>
      </c>
      <c r="JB113">
        <v>1.54419</v>
      </c>
      <c r="JC113">
        <v>2.51709</v>
      </c>
      <c r="JD113">
        <v>46.856000000000002</v>
      </c>
      <c r="JE113">
        <v>24.017499999999998</v>
      </c>
      <c r="JF113">
        <v>18</v>
      </c>
      <c r="JG113">
        <v>533.58100000000002</v>
      </c>
      <c r="JH113">
        <v>416.96499999999997</v>
      </c>
      <c r="JI113">
        <v>25.083600000000001</v>
      </c>
      <c r="JJ113">
        <v>33.404000000000003</v>
      </c>
      <c r="JK113">
        <v>30.000299999999999</v>
      </c>
      <c r="JL113">
        <v>33.3354</v>
      </c>
      <c r="JM113">
        <v>33.296399999999998</v>
      </c>
      <c r="JN113">
        <v>47.702199999999998</v>
      </c>
      <c r="JO113">
        <v>0</v>
      </c>
      <c r="JP113">
        <v>20.040800000000001</v>
      </c>
      <c r="JQ113">
        <v>25.084800000000001</v>
      </c>
      <c r="JR113">
        <v>1200</v>
      </c>
      <c r="JS113">
        <v>23.767199999999999</v>
      </c>
      <c r="JT113">
        <v>98.645600000000002</v>
      </c>
      <c r="JU113">
        <v>96.745999999999995</v>
      </c>
    </row>
    <row r="114" spans="1:281" x14ac:dyDescent="0.25">
      <c r="A114">
        <v>98</v>
      </c>
      <c r="B114">
        <v>1693517535</v>
      </c>
      <c r="C114">
        <v>23399</v>
      </c>
      <c r="D114" t="s">
        <v>914</v>
      </c>
      <c r="E114" t="s">
        <v>915</v>
      </c>
      <c r="F114" t="s">
        <v>414</v>
      </c>
      <c r="G114" t="s">
        <v>494</v>
      </c>
      <c r="H114" t="s">
        <v>416</v>
      </c>
      <c r="I114" t="s">
        <v>416</v>
      </c>
      <c r="J114">
        <v>1693517535</v>
      </c>
      <c r="K114">
        <f t="shared" si="138"/>
        <v>4.2279969495927954E-3</v>
      </c>
      <c r="L114">
        <f t="shared" si="139"/>
        <v>4.2279969495927956</v>
      </c>
      <c r="M114">
        <f t="shared" si="140"/>
        <v>46.819533128851319</v>
      </c>
      <c r="N114">
        <f t="shared" si="141"/>
        <v>1436.59</v>
      </c>
      <c r="O114">
        <f t="shared" si="142"/>
        <v>1146.2280161221624</v>
      </c>
      <c r="P114">
        <f t="shared" si="143"/>
        <v>114.10615389104498</v>
      </c>
      <c r="Q114">
        <f t="shared" si="144"/>
        <v>143.01147530219299</v>
      </c>
      <c r="R114">
        <f t="shared" si="145"/>
        <v>0.30220499685720148</v>
      </c>
      <c r="S114">
        <f t="shared" si="146"/>
        <v>2.920746458230794</v>
      </c>
      <c r="T114">
        <f t="shared" si="147"/>
        <v>0.28584610061625837</v>
      </c>
      <c r="U114">
        <f t="shared" si="148"/>
        <v>0.180049763324408</v>
      </c>
      <c r="V114">
        <f t="shared" si="149"/>
        <v>344.37759967084065</v>
      </c>
      <c r="W114">
        <f t="shared" si="150"/>
        <v>31.327811129017718</v>
      </c>
      <c r="X114">
        <f t="shared" si="151"/>
        <v>30.0045</v>
      </c>
      <c r="Y114">
        <f t="shared" si="152"/>
        <v>4.2615511218062672</v>
      </c>
      <c r="Z114">
        <f t="shared" si="153"/>
        <v>65.199782668488808</v>
      </c>
      <c r="AA114">
        <f t="shared" si="154"/>
        <v>2.8416337037715</v>
      </c>
      <c r="AB114">
        <f t="shared" si="155"/>
        <v>4.3583484291963259</v>
      </c>
      <c r="AC114">
        <f t="shared" si="156"/>
        <v>1.4199174180347671</v>
      </c>
      <c r="AD114">
        <f t="shared" si="157"/>
        <v>-186.45466547704228</v>
      </c>
      <c r="AE114">
        <f t="shared" si="158"/>
        <v>61.662621644783933</v>
      </c>
      <c r="AF114">
        <f t="shared" si="159"/>
        <v>4.7035784879291391</v>
      </c>
      <c r="AG114">
        <f t="shared" si="160"/>
        <v>224.28913432651143</v>
      </c>
      <c r="AH114">
        <v>0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52022.283713521931</v>
      </c>
      <c r="AM114" t="s">
        <v>417</v>
      </c>
      <c r="AN114">
        <v>10366.9</v>
      </c>
      <c r="AO114">
        <v>993.59653846153856</v>
      </c>
      <c r="AP114">
        <v>3431.87</v>
      </c>
      <c r="AQ114">
        <f t="shared" si="164"/>
        <v>0.71047955241266758</v>
      </c>
      <c r="AR114">
        <v>-3.9894345373445681</v>
      </c>
      <c r="AS114" t="s">
        <v>916</v>
      </c>
      <c r="AT114">
        <v>10292.799999999999</v>
      </c>
      <c r="AU114">
        <v>689.80291999999997</v>
      </c>
      <c r="AV114">
        <v>1047.2968835295339</v>
      </c>
      <c r="AW114">
        <f t="shared" si="165"/>
        <v>0.34134920971475669</v>
      </c>
      <c r="AX114">
        <v>0.5</v>
      </c>
      <c r="AY114">
        <f t="shared" si="166"/>
        <v>1513.2185998354203</v>
      </c>
      <c r="AZ114">
        <f t="shared" si="167"/>
        <v>46.819533128851319</v>
      </c>
      <c r="BA114">
        <f t="shared" si="168"/>
        <v>258.26798658974565</v>
      </c>
      <c r="BB114">
        <f t="shared" si="169"/>
        <v>3.3576753333405984E-2</v>
      </c>
      <c r="BC114">
        <f t="shared" si="170"/>
        <v>2.2768836172166651</v>
      </c>
      <c r="BD114">
        <f t="shared" si="171"/>
        <v>598.83915450272593</v>
      </c>
      <c r="BE114" t="s">
        <v>917</v>
      </c>
      <c r="BF114">
        <v>524.49</v>
      </c>
      <c r="BG114">
        <f t="shared" si="172"/>
        <v>524.49</v>
      </c>
      <c r="BH114">
        <f t="shared" si="173"/>
        <v>0.49919644730308288</v>
      </c>
      <c r="BI114">
        <f t="shared" si="174"/>
        <v>0.68379735384516749</v>
      </c>
      <c r="BJ114">
        <f t="shared" si="175"/>
        <v>0.82017937678269293</v>
      </c>
      <c r="BK114">
        <f t="shared" si="176"/>
        <v>6.6572004905531807</v>
      </c>
      <c r="BL114">
        <f t="shared" si="177"/>
        <v>0.97797607778000717</v>
      </c>
      <c r="BM114">
        <f t="shared" si="178"/>
        <v>0.51992368214134543</v>
      </c>
      <c r="BN114">
        <f t="shared" si="179"/>
        <v>0.48007631785865457</v>
      </c>
      <c r="BO114">
        <v>16902</v>
      </c>
      <c r="BP114">
        <v>290.00000000000011</v>
      </c>
      <c r="BQ114">
        <v>951.08</v>
      </c>
      <c r="BR114">
        <v>135</v>
      </c>
      <c r="BS114">
        <v>10292.799999999999</v>
      </c>
      <c r="BT114">
        <v>948.37</v>
      </c>
      <c r="BU114">
        <v>2.71</v>
      </c>
      <c r="BV114">
        <v>300.00000000000011</v>
      </c>
      <c r="BW114">
        <v>38.5</v>
      </c>
      <c r="BX114">
        <v>1047.2968835295339</v>
      </c>
      <c r="BY114">
        <v>1.011443160338618</v>
      </c>
      <c r="BZ114">
        <v>-101.82340679270931</v>
      </c>
      <c r="CA114">
        <v>0.85079910894287125</v>
      </c>
      <c r="CB114">
        <v>0.99804894874507977</v>
      </c>
      <c r="CC114">
        <v>-1.1198958175750839E-2</v>
      </c>
      <c r="CD114">
        <v>289.99999999999989</v>
      </c>
      <c r="CE114">
        <v>938.93</v>
      </c>
      <c r="CF114">
        <v>645</v>
      </c>
      <c r="CG114">
        <v>10258.200000000001</v>
      </c>
      <c r="CH114">
        <v>948.04</v>
      </c>
      <c r="CI114">
        <v>-9.11</v>
      </c>
      <c r="CW114">
        <f t="shared" si="180"/>
        <v>1800.04</v>
      </c>
      <c r="CX114">
        <f t="shared" si="181"/>
        <v>1513.2185998354203</v>
      </c>
      <c r="CY114">
        <f t="shared" si="182"/>
        <v>0.84065831861259765</v>
      </c>
      <c r="CZ114">
        <f t="shared" si="183"/>
        <v>0.19131663722519537</v>
      </c>
      <c r="DA114">
        <v>6</v>
      </c>
      <c r="DB114">
        <v>0.5</v>
      </c>
      <c r="DC114" t="s">
        <v>420</v>
      </c>
      <c r="DD114">
        <v>2</v>
      </c>
      <c r="DE114">
        <v>1693517535</v>
      </c>
      <c r="DF114">
        <v>1436.59</v>
      </c>
      <c r="DG114">
        <v>1500.02</v>
      </c>
      <c r="DH114">
        <v>28.545000000000002</v>
      </c>
      <c r="DI114">
        <v>23.619499999999999</v>
      </c>
      <c r="DJ114">
        <v>1439.17</v>
      </c>
      <c r="DK114">
        <v>28.894300000000001</v>
      </c>
      <c r="DL114">
        <v>500.33199999999999</v>
      </c>
      <c r="DM114">
        <v>99.449299999999994</v>
      </c>
      <c r="DN114">
        <v>9.9962700000000002E-2</v>
      </c>
      <c r="DO114">
        <v>30.396100000000001</v>
      </c>
      <c r="DP114">
        <v>30.0045</v>
      </c>
      <c r="DQ114">
        <v>999.9</v>
      </c>
      <c r="DR114">
        <v>0</v>
      </c>
      <c r="DS114">
        <v>0</v>
      </c>
      <c r="DT114">
        <v>10005</v>
      </c>
      <c r="DU114">
        <v>0</v>
      </c>
      <c r="DV114">
        <v>170.191</v>
      </c>
      <c r="DW114">
        <v>-63.437399999999997</v>
      </c>
      <c r="DX114">
        <v>1478.8</v>
      </c>
      <c r="DY114">
        <v>1536.31</v>
      </c>
      <c r="DZ114">
        <v>4.9254199999999999</v>
      </c>
      <c r="EA114">
        <v>1500.02</v>
      </c>
      <c r="EB114">
        <v>23.619499999999999</v>
      </c>
      <c r="EC114">
        <v>2.8387799999999999</v>
      </c>
      <c r="ED114">
        <v>2.3489499999999999</v>
      </c>
      <c r="EE114">
        <v>23.1113</v>
      </c>
      <c r="EF114">
        <v>20.015999999999998</v>
      </c>
      <c r="EG114">
        <v>1800.04</v>
      </c>
      <c r="EH114">
        <v>0.97799700000000001</v>
      </c>
      <c r="EI114">
        <v>2.2002899999999999E-2</v>
      </c>
      <c r="EJ114">
        <v>0</v>
      </c>
      <c r="EK114">
        <v>690.03099999999995</v>
      </c>
      <c r="EL114">
        <v>5.0002500000000003</v>
      </c>
      <c r="EM114">
        <v>19337</v>
      </c>
      <c r="EN114">
        <v>14822.4</v>
      </c>
      <c r="EO114">
        <v>50.436999999999998</v>
      </c>
      <c r="EP114">
        <v>51.375</v>
      </c>
      <c r="EQ114">
        <v>51.186999999999998</v>
      </c>
      <c r="ER114">
        <v>50.875</v>
      </c>
      <c r="ES114">
        <v>51.436999999999998</v>
      </c>
      <c r="ET114">
        <v>1755.54</v>
      </c>
      <c r="EU114">
        <v>39.5</v>
      </c>
      <c r="EV114">
        <v>0</v>
      </c>
      <c r="EW114">
        <v>153</v>
      </c>
      <c r="EX114">
        <v>0</v>
      </c>
      <c r="EY114">
        <v>689.80291999999997</v>
      </c>
      <c r="EZ114">
        <v>0.77384615620628461</v>
      </c>
      <c r="FA114">
        <v>-10.44615301695948</v>
      </c>
      <c r="FB114">
        <v>19346.392</v>
      </c>
      <c r="FC114">
        <v>15</v>
      </c>
      <c r="FD114">
        <v>1693517498</v>
      </c>
      <c r="FE114" t="s">
        <v>918</v>
      </c>
      <c r="FF114">
        <v>1693517357.5</v>
      </c>
      <c r="FG114">
        <v>1693517482.5</v>
      </c>
      <c r="FH114">
        <v>110</v>
      </c>
      <c r="FI114">
        <v>-6.5000000000000002E-2</v>
      </c>
      <c r="FJ114">
        <v>-0.01</v>
      </c>
      <c r="FK114">
        <v>-2.58</v>
      </c>
      <c r="FL114">
        <v>-0.34899999999999998</v>
      </c>
      <c r="FM114">
        <v>1200</v>
      </c>
      <c r="FN114">
        <v>23</v>
      </c>
      <c r="FO114">
        <v>0.19</v>
      </c>
      <c r="FP114">
        <v>7.0000000000000007E-2</v>
      </c>
      <c r="FQ114">
        <v>46.752808504716477</v>
      </c>
      <c r="FR114">
        <v>-0.25680673441252461</v>
      </c>
      <c r="FS114">
        <v>0.15722688644509361</v>
      </c>
      <c r="FT114">
        <v>1</v>
      </c>
      <c r="FU114">
        <v>0.3004255989401583</v>
      </c>
      <c r="FV114">
        <v>9.4269853226900159E-3</v>
      </c>
      <c r="FW114">
        <v>8.6458116796496269E-4</v>
      </c>
      <c r="FX114">
        <v>1</v>
      </c>
      <c r="FY114">
        <v>2</v>
      </c>
      <c r="FZ114">
        <v>2</v>
      </c>
      <c r="GA114" t="s">
        <v>422</v>
      </c>
      <c r="GB114">
        <v>2.9186100000000001</v>
      </c>
      <c r="GC114">
        <v>2.8298899999999998</v>
      </c>
      <c r="GD114">
        <v>0.21343200000000001</v>
      </c>
      <c r="GE114">
        <v>0.215255</v>
      </c>
      <c r="GF114">
        <v>0.13528499999999999</v>
      </c>
      <c r="GG114">
        <v>0.11312</v>
      </c>
      <c r="GH114">
        <v>20538.400000000001</v>
      </c>
      <c r="GI114">
        <v>24942</v>
      </c>
      <c r="GJ114">
        <v>23513.7</v>
      </c>
      <c r="GK114">
        <v>29108.1</v>
      </c>
      <c r="GL114">
        <v>27761.599999999999</v>
      </c>
      <c r="GM114">
        <v>36534.1</v>
      </c>
      <c r="GN114">
        <v>33264.400000000001</v>
      </c>
      <c r="GO114">
        <v>42940.1</v>
      </c>
      <c r="GP114">
        <v>1.9869000000000001</v>
      </c>
      <c r="GQ114">
        <v>1.7650999999999999</v>
      </c>
      <c r="GR114">
        <v>5.0514900000000001E-2</v>
      </c>
      <c r="GS114">
        <v>0</v>
      </c>
      <c r="GT114">
        <v>29.181899999999999</v>
      </c>
      <c r="GU114">
        <v>999.9</v>
      </c>
      <c r="GV114">
        <v>28.9</v>
      </c>
      <c r="GW114">
        <v>44.8</v>
      </c>
      <c r="GX114">
        <v>27.722000000000001</v>
      </c>
      <c r="GY114">
        <v>61.485199999999999</v>
      </c>
      <c r="GZ114">
        <v>36.442300000000003</v>
      </c>
      <c r="HA114">
        <v>1</v>
      </c>
      <c r="HB114">
        <v>0.48945100000000002</v>
      </c>
      <c r="HC114">
        <v>2.74003</v>
      </c>
      <c r="HD114">
        <v>20.292400000000001</v>
      </c>
      <c r="HE114">
        <v>5.2100999999999997</v>
      </c>
      <c r="HF114">
        <v>11.872199999999999</v>
      </c>
      <c r="HG114">
        <v>4.9851999999999999</v>
      </c>
      <c r="HH114">
        <v>3.2839999999999998</v>
      </c>
      <c r="HI114">
        <v>9999</v>
      </c>
      <c r="HJ114">
        <v>9999</v>
      </c>
      <c r="HK114">
        <v>9999</v>
      </c>
      <c r="HL114">
        <v>999.9</v>
      </c>
      <c r="HM114">
        <v>1.8547400000000001</v>
      </c>
      <c r="HN114">
        <v>1.8608</v>
      </c>
      <c r="HO114">
        <v>1.8581700000000001</v>
      </c>
      <c r="HP114">
        <v>1.8592500000000001</v>
      </c>
      <c r="HQ114">
        <v>1.8586400000000001</v>
      </c>
      <c r="HR114">
        <v>1.8591299999999999</v>
      </c>
      <c r="HS114">
        <v>1.85745</v>
      </c>
      <c r="HT114">
        <v>1.8608100000000001</v>
      </c>
      <c r="HU114">
        <v>5</v>
      </c>
      <c r="HV114">
        <v>0</v>
      </c>
      <c r="HW114">
        <v>0</v>
      </c>
      <c r="HX114">
        <v>0</v>
      </c>
      <c r="HY114" t="s">
        <v>423</v>
      </c>
      <c r="HZ114" t="s">
        <v>424</v>
      </c>
      <c r="IA114" t="s">
        <v>425</v>
      </c>
      <c r="IB114" t="s">
        <v>425</v>
      </c>
      <c r="IC114" t="s">
        <v>425</v>
      </c>
      <c r="ID114" t="s">
        <v>425</v>
      </c>
      <c r="IE114">
        <v>0</v>
      </c>
      <c r="IF114">
        <v>100</v>
      </c>
      <c r="IG114">
        <v>100</v>
      </c>
      <c r="IH114">
        <v>-2.58</v>
      </c>
      <c r="II114">
        <v>-0.3493</v>
      </c>
      <c r="IJ114">
        <v>-2.579523809524062</v>
      </c>
      <c r="IK114">
        <v>0</v>
      </c>
      <c r="IL114">
        <v>0</v>
      </c>
      <c r="IM114">
        <v>0</v>
      </c>
      <c r="IN114">
        <v>-0.34929500000000152</v>
      </c>
      <c r="IO114">
        <v>0</v>
      </c>
      <c r="IP114">
        <v>0</v>
      </c>
      <c r="IQ114">
        <v>0</v>
      </c>
      <c r="IR114">
        <v>-1</v>
      </c>
      <c r="IS114">
        <v>-1</v>
      </c>
      <c r="IT114">
        <v>-1</v>
      </c>
      <c r="IU114">
        <v>-1</v>
      </c>
      <c r="IV114">
        <v>3</v>
      </c>
      <c r="IW114">
        <v>0.9</v>
      </c>
      <c r="IX114">
        <v>2.8234900000000001</v>
      </c>
      <c r="IY114">
        <v>2.4475099999999999</v>
      </c>
      <c r="IZ114">
        <v>1.49414</v>
      </c>
      <c r="JA114">
        <v>2.2802699999999998</v>
      </c>
      <c r="JB114">
        <v>1.54419</v>
      </c>
      <c r="JC114">
        <v>2.47925</v>
      </c>
      <c r="JD114">
        <v>46.737900000000003</v>
      </c>
      <c r="JE114">
        <v>16.2422</v>
      </c>
      <c r="JF114">
        <v>18</v>
      </c>
      <c r="JG114">
        <v>534.45000000000005</v>
      </c>
      <c r="JH114">
        <v>418.01499999999999</v>
      </c>
      <c r="JI114">
        <v>25.287600000000001</v>
      </c>
      <c r="JJ114">
        <v>33.427900000000001</v>
      </c>
      <c r="JK114">
        <v>29.999700000000001</v>
      </c>
      <c r="JL114">
        <v>33.364899999999999</v>
      </c>
      <c r="JM114">
        <v>33.326000000000001</v>
      </c>
      <c r="JN114">
        <v>56.561300000000003</v>
      </c>
      <c r="JO114">
        <v>0</v>
      </c>
      <c r="JP114">
        <v>21.037199999999999</v>
      </c>
      <c r="JQ114">
        <v>25.299099999999999</v>
      </c>
      <c r="JR114">
        <v>1500</v>
      </c>
      <c r="JS114">
        <v>23.5534</v>
      </c>
      <c r="JT114">
        <v>98.637100000000004</v>
      </c>
      <c r="JU114">
        <v>96.744299999999996</v>
      </c>
    </row>
    <row r="115" spans="1:281" x14ac:dyDescent="0.25">
      <c r="A115">
        <v>99</v>
      </c>
      <c r="B115">
        <v>1693521059.5</v>
      </c>
      <c r="C115">
        <v>26923.5</v>
      </c>
      <c r="D115" t="s">
        <v>919</v>
      </c>
      <c r="E115" t="s">
        <v>920</v>
      </c>
      <c r="F115" t="s">
        <v>414</v>
      </c>
      <c r="G115" t="s">
        <v>779</v>
      </c>
      <c r="H115" t="s">
        <v>495</v>
      </c>
      <c r="I115" t="s">
        <v>416</v>
      </c>
      <c r="J115">
        <v>1693521059.5</v>
      </c>
      <c r="K115">
        <f t="shared" si="138"/>
        <v>3.1402565895275025E-3</v>
      </c>
      <c r="L115">
        <f t="shared" si="139"/>
        <v>3.1402565895275023</v>
      </c>
      <c r="M115">
        <f t="shared" si="140"/>
        <v>35.170627552372977</v>
      </c>
      <c r="N115">
        <f t="shared" si="141"/>
        <v>356.49400000000003</v>
      </c>
      <c r="O115">
        <f t="shared" si="142"/>
        <v>95.083119417063216</v>
      </c>
      <c r="P115">
        <f t="shared" si="143"/>
        <v>9.4646827385875074</v>
      </c>
      <c r="Q115">
        <f t="shared" si="144"/>
        <v>35.485821551669801</v>
      </c>
      <c r="R115">
        <f t="shared" si="145"/>
        <v>0.22778162473654867</v>
      </c>
      <c r="S115">
        <f t="shared" si="146"/>
        <v>2.9021604377023271</v>
      </c>
      <c r="T115">
        <f t="shared" si="147"/>
        <v>0.21829519949485671</v>
      </c>
      <c r="U115">
        <f t="shared" si="148"/>
        <v>0.13725389503614871</v>
      </c>
      <c r="V115">
        <f t="shared" si="149"/>
        <v>344.39919967102929</v>
      </c>
      <c r="W115">
        <f t="shared" si="150"/>
        <v>31.761647810471423</v>
      </c>
      <c r="X115">
        <f t="shared" si="151"/>
        <v>29.988299999999999</v>
      </c>
      <c r="Y115">
        <f t="shared" si="152"/>
        <v>4.2575874248474399</v>
      </c>
      <c r="Z115">
        <f t="shared" si="153"/>
        <v>65.47013845140556</v>
      </c>
      <c r="AA115">
        <f t="shared" si="154"/>
        <v>2.8769680842674101</v>
      </c>
      <c r="AB115">
        <f t="shared" si="155"/>
        <v>4.394321063491879</v>
      </c>
      <c r="AC115">
        <f t="shared" si="156"/>
        <v>1.3806193405800298</v>
      </c>
      <c r="AD115">
        <f t="shared" si="157"/>
        <v>-138.48531559816286</v>
      </c>
      <c r="AE115">
        <f t="shared" si="158"/>
        <v>86.272746217498863</v>
      </c>
      <c r="AF115">
        <f t="shared" si="159"/>
        <v>6.6271431044730935</v>
      </c>
      <c r="AG115">
        <f t="shared" si="160"/>
        <v>298.81377339483839</v>
      </c>
      <c r="AH115">
        <v>0</v>
      </c>
      <c r="AI115">
        <v>0</v>
      </c>
      <c r="AJ115">
        <f t="shared" si="161"/>
        <v>1</v>
      </c>
      <c r="AK115">
        <f t="shared" si="162"/>
        <v>0</v>
      </c>
      <c r="AL115">
        <f t="shared" si="163"/>
        <v>51469.396196731504</v>
      </c>
      <c r="AM115" t="s">
        <v>417</v>
      </c>
      <c r="AN115">
        <v>10366.9</v>
      </c>
      <c r="AO115">
        <v>993.59653846153856</v>
      </c>
      <c r="AP115">
        <v>3431.87</v>
      </c>
      <c r="AQ115">
        <f t="shared" si="164"/>
        <v>0.71047955241266758</v>
      </c>
      <c r="AR115">
        <v>-3.9894345373445681</v>
      </c>
      <c r="AS115" t="s">
        <v>921</v>
      </c>
      <c r="AT115">
        <v>10320</v>
      </c>
      <c r="AU115">
        <v>643.59435999999994</v>
      </c>
      <c r="AV115">
        <v>886.37241576990289</v>
      </c>
      <c r="AW115">
        <f t="shared" si="165"/>
        <v>0.27390073455639519</v>
      </c>
      <c r="AX115">
        <v>0.5</v>
      </c>
      <c r="AY115">
        <f t="shared" si="166"/>
        <v>1513.3187998355147</v>
      </c>
      <c r="AZ115">
        <f t="shared" si="167"/>
        <v>35.170627552372977</v>
      </c>
      <c r="BA115">
        <f t="shared" si="168"/>
        <v>207.24956544647492</v>
      </c>
      <c r="BB115">
        <f t="shared" si="169"/>
        <v>2.5876941523474049E-2</v>
      </c>
      <c r="BC115">
        <f t="shared" si="170"/>
        <v>2.8718149831175399</v>
      </c>
      <c r="BD115">
        <f t="shared" si="171"/>
        <v>542.51931232488846</v>
      </c>
      <c r="BE115" t="s">
        <v>922</v>
      </c>
      <c r="BF115">
        <v>525.95000000000005</v>
      </c>
      <c r="BG115">
        <f t="shared" si="172"/>
        <v>525.95000000000005</v>
      </c>
      <c r="BH115">
        <f t="shared" si="173"/>
        <v>0.4066263901690127</v>
      </c>
      <c r="BI115">
        <f t="shared" si="174"/>
        <v>0.6735931094943185</v>
      </c>
      <c r="BJ115">
        <f t="shared" si="175"/>
        <v>0.87596960144467051</v>
      </c>
      <c r="BK115">
        <f t="shared" si="176"/>
        <v>-2.2642111651321679</v>
      </c>
      <c r="BL115">
        <f t="shared" si="177"/>
        <v>1.04397542949263</v>
      </c>
      <c r="BM115">
        <f t="shared" si="178"/>
        <v>0.55046519664736793</v>
      </c>
      <c r="BN115">
        <f t="shared" si="179"/>
        <v>0.44953480335263207</v>
      </c>
      <c r="BO115">
        <v>16904</v>
      </c>
      <c r="BP115">
        <v>290.00000000000011</v>
      </c>
      <c r="BQ115">
        <v>813.39</v>
      </c>
      <c r="BR115">
        <v>185</v>
      </c>
      <c r="BS115">
        <v>10320</v>
      </c>
      <c r="BT115">
        <v>812.91</v>
      </c>
      <c r="BU115">
        <v>0.48</v>
      </c>
      <c r="BV115">
        <v>300.00000000000011</v>
      </c>
      <c r="BW115">
        <v>38.4</v>
      </c>
      <c r="BX115">
        <v>886.37241576990289</v>
      </c>
      <c r="BY115">
        <v>1.0800943232689</v>
      </c>
      <c r="BZ115">
        <v>-75.808894983763281</v>
      </c>
      <c r="CA115">
        <v>0.91185380729292997</v>
      </c>
      <c r="CB115">
        <v>0.99596528991755695</v>
      </c>
      <c r="CC115">
        <v>-1.123738598442715E-2</v>
      </c>
      <c r="CD115">
        <v>289.99999999999989</v>
      </c>
      <c r="CE115">
        <v>805.14</v>
      </c>
      <c r="CF115">
        <v>665</v>
      </c>
      <c r="CG115">
        <v>10294.299999999999</v>
      </c>
      <c r="CH115">
        <v>812.73</v>
      </c>
      <c r="CI115">
        <v>-7.59</v>
      </c>
      <c r="CW115">
        <f t="shared" si="180"/>
        <v>1800.16</v>
      </c>
      <c r="CX115">
        <f t="shared" si="181"/>
        <v>1513.3187998355147</v>
      </c>
      <c r="CY115">
        <f t="shared" si="182"/>
        <v>0.84065794142493699</v>
      </c>
      <c r="CZ115">
        <f t="shared" si="183"/>
        <v>0.19131588284987405</v>
      </c>
      <c r="DA115">
        <v>6</v>
      </c>
      <c r="DB115">
        <v>0.5</v>
      </c>
      <c r="DC115" t="s">
        <v>420</v>
      </c>
      <c r="DD115">
        <v>2</v>
      </c>
      <c r="DE115">
        <v>1693521059.5</v>
      </c>
      <c r="DF115">
        <v>356.49400000000003</v>
      </c>
      <c r="DG115">
        <v>400.041</v>
      </c>
      <c r="DH115">
        <v>28.9023</v>
      </c>
      <c r="DI115">
        <v>25.242999999999999</v>
      </c>
      <c r="DJ115">
        <v>358.68599999999998</v>
      </c>
      <c r="DK115">
        <v>29.2058</v>
      </c>
      <c r="DL115">
        <v>500.01299999999998</v>
      </c>
      <c r="DM115">
        <v>99.441299999999998</v>
      </c>
      <c r="DN115">
        <v>9.9846699999999997E-2</v>
      </c>
      <c r="DO115">
        <v>30.5397</v>
      </c>
      <c r="DP115">
        <v>29.988299999999999</v>
      </c>
      <c r="DQ115">
        <v>999.9</v>
      </c>
      <c r="DR115">
        <v>0</v>
      </c>
      <c r="DS115">
        <v>0</v>
      </c>
      <c r="DT115">
        <v>9900</v>
      </c>
      <c r="DU115">
        <v>0</v>
      </c>
      <c r="DV115">
        <v>680.51400000000001</v>
      </c>
      <c r="DW115">
        <v>-43.546700000000001</v>
      </c>
      <c r="DX115">
        <v>367.10399999999998</v>
      </c>
      <c r="DY115">
        <v>410.40100000000001</v>
      </c>
      <c r="DZ115">
        <v>3.6592500000000001</v>
      </c>
      <c r="EA115">
        <v>400.041</v>
      </c>
      <c r="EB115">
        <v>25.242999999999999</v>
      </c>
      <c r="EC115">
        <v>2.8740800000000002</v>
      </c>
      <c r="ED115">
        <v>2.5102000000000002</v>
      </c>
      <c r="EE115">
        <v>23.315899999999999</v>
      </c>
      <c r="EF115">
        <v>21.0928</v>
      </c>
      <c r="EG115">
        <v>1800.16</v>
      </c>
      <c r="EH115">
        <v>0.97800600000000004</v>
      </c>
      <c r="EI115">
        <v>2.19945E-2</v>
      </c>
      <c r="EJ115">
        <v>0</v>
      </c>
      <c r="EK115">
        <v>643.86500000000001</v>
      </c>
      <c r="EL115">
        <v>5.0002500000000003</v>
      </c>
      <c r="EM115">
        <v>15723.8</v>
      </c>
      <c r="EN115">
        <v>14823.5</v>
      </c>
      <c r="EO115">
        <v>47.686999999999998</v>
      </c>
      <c r="EP115">
        <v>48.75</v>
      </c>
      <c r="EQ115">
        <v>48.561999999999998</v>
      </c>
      <c r="ER115">
        <v>47.686999999999998</v>
      </c>
      <c r="ES115">
        <v>48.875</v>
      </c>
      <c r="ET115">
        <v>1755.68</v>
      </c>
      <c r="EU115">
        <v>39.479999999999997</v>
      </c>
      <c r="EV115">
        <v>0</v>
      </c>
      <c r="EW115">
        <v>3522.7999999523158</v>
      </c>
      <c r="EX115">
        <v>0</v>
      </c>
      <c r="EY115">
        <v>643.59435999999994</v>
      </c>
      <c r="EZ115">
        <v>0.3212307872707918</v>
      </c>
      <c r="FA115">
        <v>-74.384615719585625</v>
      </c>
      <c r="FB115">
        <v>15730.772000000001</v>
      </c>
      <c r="FC115">
        <v>15</v>
      </c>
      <c r="FD115">
        <v>1693521028</v>
      </c>
      <c r="FE115" t="s">
        <v>923</v>
      </c>
      <c r="FF115">
        <v>1693521017</v>
      </c>
      <c r="FG115">
        <v>1693521028</v>
      </c>
      <c r="FH115">
        <v>113</v>
      </c>
      <c r="FI115">
        <v>4.1000000000000002E-2</v>
      </c>
      <c r="FJ115">
        <v>2E-3</v>
      </c>
      <c r="FK115">
        <v>-2.1920000000000002</v>
      </c>
      <c r="FL115">
        <v>-0.30299999999999999</v>
      </c>
      <c r="FM115">
        <v>400</v>
      </c>
      <c r="FN115">
        <v>25</v>
      </c>
      <c r="FO115">
        <v>0.16</v>
      </c>
      <c r="FP115">
        <v>0.09</v>
      </c>
      <c r="FQ115">
        <v>35.227432214990792</v>
      </c>
      <c r="FR115">
        <v>-4.9929083767821431E-2</v>
      </c>
      <c r="FS115">
        <v>5.2840955910425223E-2</v>
      </c>
      <c r="FT115">
        <v>1</v>
      </c>
      <c r="FU115">
        <v>0.2277748300640958</v>
      </c>
      <c r="FV115">
        <v>3.7683340271577312E-2</v>
      </c>
      <c r="FW115">
        <v>3.573381866425081E-3</v>
      </c>
      <c r="FX115">
        <v>1</v>
      </c>
      <c r="FY115">
        <v>2</v>
      </c>
      <c r="FZ115">
        <v>2</v>
      </c>
      <c r="GA115" t="s">
        <v>422</v>
      </c>
      <c r="GB115">
        <v>2.92178</v>
      </c>
      <c r="GC115">
        <v>2.8288700000000002</v>
      </c>
      <c r="GD115">
        <v>8.3641199999999999E-2</v>
      </c>
      <c r="GE115">
        <v>8.9331900000000006E-2</v>
      </c>
      <c r="GF115">
        <v>0.13746700000000001</v>
      </c>
      <c r="GG115">
        <v>0.119509</v>
      </c>
      <c r="GH115">
        <v>24093.5</v>
      </c>
      <c r="GI115">
        <v>29071</v>
      </c>
      <c r="GJ115">
        <v>23662.7</v>
      </c>
      <c r="GK115">
        <v>29213.8</v>
      </c>
      <c r="GL115">
        <v>27829.9</v>
      </c>
      <c r="GM115">
        <v>36338.400000000001</v>
      </c>
      <c r="GN115">
        <v>33473.300000000003</v>
      </c>
      <c r="GO115">
        <v>43068.4</v>
      </c>
      <c r="GP115">
        <v>2.0341</v>
      </c>
      <c r="GQ115">
        <v>1.9058999999999999</v>
      </c>
      <c r="GR115">
        <v>0.13111500000000001</v>
      </c>
      <c r="GS115">
        <v>0</v>
      </c>
      <c r="GT115">
        <v>27.8508</v>
      </c>
      <c r="GU115">
        <v>999.9</v>
      </c>
      <c r="GV115">
        <v>50.3</v>
      </c>
      <c r="GW115">
        <v>35.5</v>
      </c>
      <c r="GX115">
        <v>29.3718</v>
      </c>
      <c r="GY115">
        <v>61.0291</v>
      </c>
      <c r="GZ115">
        <v>34.619399999999999</v>
      </c>
      <c r="HA115">
        <v>1</v>
      </c>
      <c r="HB115">
        <v>0.15820100000000001</v>
      </c>
      <c r="HC115">
        <v>-0.15526100000000001</v>
      </c>
      <c r="HD115">
        <v>20.323899999999998</v>
      </c>
      <c r="HE115">
        <v>5.2059100000000003</v>
      </c>
      <c r="HF115">
        <v>11.872199999999999</v>
      </c>
      <c r="HG115">
        <v>4.9833999999999996</v>
      </c>
      <c r="HH115">
        <v>3.2827999999999999</v>
      </c>
      <c r="HI115">
        <v>9999</v>
      </c>
      <c r="HJ115">
        <v>9999</v>
      </c>
      <c r="HK115">
        <v>9999</v>
      </c>
      <c r="HL115">
        <v>999.9</v>
      </c>
      <c r="HM115">
        <v>1.8545499999999999</v>
      </c>
      <c r="HN115">
        <v>1.86066</v>
      </c>
      <c r="HO115">
        <v>1.85808</v>
      </c>
      <c r="HP115">
        <v>1.85931</v>
      </c>
      <c r="HQ115">
        <v>1.85867</v>
      </c>
      <c r="HR115">
        <v>1.8591599999999999</v>
      </c>
      <c r="HS115">
        <v>1.85758</v>
      </c>
      <c r="HT115">
        <v>1.8609599999999999</v>
      </c>
      <c r="HU115">
        <v>5</v>
      </c>
      <c r="HV115">
        <v>0</v>
      </c>
      <c r="HW115">
        <v>0</v>
      </c>
      <c r="HX115">
        <v>0</v>
      </c>
      <c r="HY115" t="s">
        <v>423</v>
      </c>
      <c r="HZ115" t="s">
        <v>424</v>
      </c>
      <c r="IA115" t="s">
        <v>425</v>
      </c>
      <c r="IB115" t="s">
        <v>425</v>
      </c>
      <c r="IC115" t="s">
        <v>425</v>
      </c>
      <c r="ID115" t="s">
        <v>425</v>
      </c>
      <c r="IE115">
        <v>0</v>
      </c>
      <c r="IF115">
        <v>100</v>
      </c>
      <c r="IG115">
        <v>100</v>
      </c>
      <c r="IH115">
        <v>-2.1920000000000002</v>
      </c>
      <c r="II115">
        <v>-0.30349999999999999</v>
      </c>
      <c r="IJ115">
        <v>-2.1920999999999249</v>
      </c>
      <c r="IK115">
        <v>0</v>
      </c>
      <c r="IL115">
        <v>0</v>
      </c>
      <c r="IM115">
        <v>0</v>
      </c>
      <c r="IN115">
        <v>-0.303485000000002</v>
      </c>
      <c r="IO115">
        <v>0</v>
      </c>
      <c r="IP115">
        <v>0</v>
      </c>
      <c r="IQ115">
        <v>0</v>
      </c>
      <c r="IR115">
        <v>-1</v>
      </c>
      <c r="IS115">
        <v>-1</v>
      </c>
      <c r="IT115">
        <v>-1</v>
      </c>
      <c r="IU115">
        <v>-1</v>
      </c>
      <c r="IV115">
        <v>0.7</v>
      </c>
      <c r="IW115">
        <v>0.5</v>
      </c>
      <c r="IX115">
        <v>1.00708</v>
      </c>
      <c r="IY115">
        <v>2.4731399999999999</v>
      </c>
      <c r="IZ115">
        <v>1.49414</v>
      </c>
      <c r="JA115">
        <v>2.2875999999999999</v>
      </c>
      <c r="JB115">
        <v>1.54419</v>
      </c>
      <c r="JC115">
        <v>2.4438499999999999</v>
      </c>
      <c r="JD115">
        <v>37.313800000000001</v>
      </c>
      <c r="JE115">
        <v>15.7606</v>
      </c>
      <c r="JF115">
        <v>18</v>
      </c>
      <c r="JG115">
        <v>533.04899999999998</v>
      </c>
      <c r="JH115">
        <v>483.637</v>
      </c>
      <c r="JI115">
        <v>27.871500000000001</v>
      </c>
      <c r="JJ115">
        <v>29.534300000000002</v>
      </c>
      <c r="JK115">
        <v>29.999600000000001</v>
      </c>
      <c r="JL115">
        <v>29.5687</v>
      </c>
      <c r="JM115">
        <v>29.546900000000001</v>
      </c>
      <c r="JN115">
        <v>20.243099999999998</v>
      </c>
      <c r="JO115">
        <v>20.196899999999999</v>
      </c>
      <c r="JP115">
        <v>95.515199999999993</v>
      </c>
      <c r="JQ115">
        <v>27.9587</v>
      </c>
      <c r="JR115">
        <v>400</v>
      </c>
      <c r="JS115">
        <v>25.188800000000001</v>
      </c>
      <c r="JT115">
        <v>99.258899999999997</v>
      </c>
      <c r="JU115">
        <v>97.058499999999995</v>
      </c>
    </row>
    <row r="116" spans="1:281" x14ac:dyDescent="0.25">
      <c r="A116">
        <v>100</v>
      </c>
      <c r="B116">
        <v>1693521168</v>
      </c>
      <c r="C116">
        <v>27032</v>
      </c>
      <c r="D116" t="s">
        <v>924</v>
      </c>
      <c r="E116" t="s">
        <v>925</v>
      </c>
      <c r="F116" t="s">
        <v>414</v>
      </c>
      <c r="G116" t="s">
        <v>779</v>
      </c>
      <c r="H116" t="s">
        <v>495</v>
      </c>
      <c r="I116" t="s">
        <v>416</v>
      </c>
      <c r="J116">
        <v>1693521168</v>
      </c>
      <c r="K116">
        <f t="shared" si="138"/>
        <v>3.2990163095394007E-3</v>
      </c>
      <c r="L116">
        <f t="shared" si="139"/>
        <v>3.2990163095394007</v>
      </c>
      <c r="M116">
        <f t="shared" si="140"/>
        <v>27.686924207100766</v>
      </c>
      <c r="N116">
        <f t="shared" si="141"/>
        <v>265.68700000000001</v>
      </c>
      <c r="O116">
        <f t="shared" si="142"/>
        <v>68.553706397221447</v>
      </c>
      <c r="P116">
        <f t="shared" si="143"/>
        <v>6.8245117372170867</v>
      </c>
      <c r="Q116">
        <f t="shared" si="144"/>
        <v>26.449103122446001</v>
      </c>
      <c r="R116">
        <f t="shared" si="145"/>
        <v>0.2380558247959749</v>
      </c>
      <c r="S116">
        <f t="shared" si="146"/>
        <v>2.9189988657899031</v>
      </c>
      <c r="T116">
        <f t="shared" si="147"/>
        <v>0.22777208397733478</v>
      </c>
      <c r="U116">
        <f t="shared" si="148"/>
        <v>0.14324448428715822</v>
      </c>
      <c r="V116">
        <f t="shared" si="149"/>
        <v>344.38019967101098</v>
      </c>
      <c r="W116">
        <f t="shared" si="150"/>
        <v>31.736144645717204</v>
      </c>
      <c r="X116">
        <f t="shared" si="151"/>
        <v>29.9894</v>
      </c>
      <c r="Y116">
        <f t="shared" si="152"/>
        <v>4.2578564630527342</v>
      </c>
      <c r="Z116">
        <f t="shared" si="153"/>
        <v>65.17286112056216</v>
      </c>
      <c r="AA116">
        <f t="shared" si="154"/>
        <v>2.8675933896047998</v>
      </c>
      <c r="AB116">
        <f t="shared" si="155"/>
        <v>4.3999808206978788</v>
      </c>
      <c r="AC116">
        <f t="shared" si="156"/>
        <v>1.3902630734479344</v>
      </c>
      <c r="AD116">
        <f t="shared" si="157"/>
        <v>-145.48661925068757</v>
      </c>
      <c r="AE116">
        <f t="shared" si="158"/>
        <v>90.141001493092247</v>
      </c>
      <c r="AF116">
        <f t="shared" si="159"/>
        <v>6.8851486139119764</v>
      </c>
      <c r="AG116">
        <f t="shared" si="160"/>
        <v>295.9197305273276</v>
      </c>
      <c r="AH116">
        <v>0</v>
      </c>
      <c r="AI116">
        <v>0</v>
      </c>
      <c r="AJ116">
        <f t="shared" si="161"/>
        <v>1</v>
      </c>
      <c r="AK116">
        <f t="shared" si="162"/>
        <v>0</v>
      </c>
      <c r="AL116">
        <f t="shared" si="163"/>
        <v>51944.078377627113</v>
      </c>
      <c r="AM116" t="s">
        <v>417</v>
      </c>
      <c r="AN116">
        <v>10366.9</v>
      </c>
      <c r="AO116">
        <v>993.59653846153856</v>
      </c>
      <c r="AP116">
        <v>3431.87</v>
      </c>
      <c r="AQ116">
        <f t="shared" si="164"/>
        <v>0.71047955241266758</v>
      </c>
      <c r="AR116">
        <v>-3.9894345373445681</v>
      </c>
      <c r="AS116" t="s">
        <v>926</v>
      </c>
      <c r="AT116">
        <v>10307.5</v>
      </c>
      <c r="AU116">
        <v>631.89676923076922</v>
      </c>
      <c r="AV116">
        <v>824.71808680270044</v>
      </c>
      <c r="AW116">
        <f t="shared" si="165"/>
        <v>0.23380270259315938</v>
      </c>
      <c r="AX116">
        <v>0.5</v>
      </c>
      <c r="AY116">
        <f t="shared" si="166"/>
        <v>1513.2347998355056</v>
      </c>
      <c r="AZ116">
        <f t="shared" si="167"/>
        <v>27.686924207100766</v>
      </c>
      <c r="BA116">
        <f t="shared" si="168"/>
        <v>176.8991929297799</v>
      </c>
      <c r="BB116">
        <f t="shared" si="169"/>
        <v>2.0932877533538535E-2</v>
      </c>
      <c r="BC116">
        <f t="shared" si="170"/>
        <v>3.1612643822385524</v>
      </c>
      <c r="BD116">
        <f t="shared" si="171"/>
        <v>518.78145739054503</v>
      </c>
      <c r="BE116" t="s">
        <v>927</v>
      </c>
      <c r="BF116">
        <v>518.85</v>
      </c>
      <c r="BG116">
        <f t="shared" si="172"/>
        <v>518.85</v>
      </c>
      <c r="BH116">
        <f t="shared" si="173"/>
        <v>0.37087592923844059</v>
      </c>
      <c r="BI116">
        <f t="shared" si="174"/>
        <v>0.630406786100278</v>
      </c>
      <c r="BJ116">
        <f t="shared" si="175"/>
        <v>0.89499966124410391</v>
      </c>
      <c r="BK116">
        <f t="shared" si="176"/>
        <v>-1.1417757308757281</v>
      </c>
      <c r="BL116">
        <f t="shared" si="177"/>
        <v>1.0692614894607768</v>
      </c>
      <c r="BM116">
        <f t="shared" si="178"/>
        <v>0.51762657588248717</v>
      </c>
      <c r="BN116">
        <f t="shared" si="179"/>
        <v>0.48237342411751283</v>
      </c>
      <c r="BO116">
        <v>16906</v>
      </c>
      <c r="BP116">
        <v>290.00000000000011</v>
      </c>
      <c r="BQ116">
        <v>770.62</v>
      </c>
      <c r="BR116">
        <v>275</v>
      </c>
      <c r="BS116">
        <v>10307.5</v>
      </c>
      <c r="BT116">
        <v>769.77</v>
      </c>
      <c r="BU116">
        <v>0.85</v>
      </c>
      <c r="BV116">
        <v>300.00000000000011</v>
      </c>
      <c r="BW116">
        <v>38.4</v>
      </c>
      <c r="BX116">
        <v>824.71808680270044</v>
      </c>
      <c r="BY116">
        <v>1.0341324967475971</v>
      </c>
      <c r="BZ116">
        <v>-56.635915089863857</v>
      </c>
      <c r="CA116">
        <v>0.87298755962942332</v>
      </c>
      <c r="CB116">
        <v>0.99339138145150663</v>
      </c>
      <c r="CC116">
        <v>-1.1236471412680761E-2</v>
      </c>
      <c r="CD116">
        <v>289.99999999999989</v>
      </c>
      <c r="CE116">
        <v>766.01</v>
      </c>
      <c r="CF116">
        <v>715</v>
      </c>
      <c r="CG116">
        <v>10290.1</v>
      </c>
      <c r="CH116">
        <v>769.68</v>
      </c>
      <c r="CI116">
        <v>-3.67</v>
      </c>
      <c r="CW116">
        <f t="shared" si="180"/>
        <v>1800.06</v>
      </c>
      <c r="CX116">
        <f t="shared" si="181"/>
        <v>1513.2347998355056</v>
      </c>
      <c r="CY116">
        <f t="shared" si="182"/>
        <v>0.84065797797601505</v>
      </c>
      <c r="CZ116">
        <f t="shared" si="183"/>
        <v>0.19131595595202994</v>
      </c>
      <c r="DA116">
        <v>6</v>
      </c>
      <c r="DB116">
        <v>0.5</v>
      </c>
      <c r="DC116" t="s">
        <v>420</v>
      </c>
      <c r="DD116">
        <v>2</v>
      </c>
      <c r="DE116">
        <v>1693521168</v>
      </c>
      <c r="DF116">
        <v>265.68700000000001</v>
      </c>
      <c r="DG116">
        <v>299.94900000000001</v>
      </c>
      <c r="DH116">
        <v>28.805599999999998</v>
      </c>
      <c r="DI116">
        <v>24.962399999999999</v>
      </c>
      <c r="DJ116">
        <v>267.87900000000002</v>
      </c>
      <c r="DK116">
        <v>29.114599999999999</v>
      </c>
      <c r="DL116">
        <v>500.20600000000002</v>
      </c>
      <c r="DM116">
        <v>99.4495</v>
      </c>
      <c r="DN116">
        <v>0.100358</v>
      </c>
      <c r="DO116">
        <v>30.562200000000001</v>
      </c>
      <c r="DP116">
        <v>29.9894</v>
      </c>
      <c r="DQ116">
        <v>999.9</v>
      </c>
      <c r="DR116">
        <v>0</v>
      </c>
      <c r="DS116">
        <v>0</v>
      </c>
      <c r="DT116">
        <v>9995</v>
      </c>
      <c r="DU116">
        <v>0</v>
      </c>
      <c r="DV116">
        <v>667.23699999999997</v>
      </c>
      <c r="DW116">
        <v>-34.261800000000001</v>
      </c>
      <c r="DX116">
        <v>273.56700000000001</v>
      </c>
      <c r="DY116">
        <v>307.62799999999999</v>
      </c>
      <c r="DZ116">
        <v>3.8432499999999998</v>
      </c>
      <c r="EA116">
        <v>299.94900000000001</v>
      </c>
      <c r="EB116">
        <v>24.962399999999999</v>
      </c>
      <c r="EC116">
        <v>2.8647100000000001</v>
      </c>
      <c r="ED116">
        <v>2.4824999999999999</v>
      </c>
      <c r="EE116">
        <v>23.261800000000001</v>
      </c>
      <c r="EF116">
        <v>20.912199999999999</v>
      </c>
      <c r="EG116">
        <v>1800.06</v>
      </c>
      <c r="EH116">
        <v>0.97800600000000004</v>
      </c>
      <c r="EI116">
        <v>2.1994400000000001E-2</v>
      </c>
      <c r="EJ116">
        <v>0</v>
      </c>
      <c r="EK116">
        <v>631.60699999999997</v>
      </c>
      <c r="EL116">
        <v>5.0002500000000003</v>
      </c>
      <c r="EM116">
        <v>15343.2</v>
      </c>
      <c r="EN116">
        <v>14822.6</v>
      </c>
      <c r="EO116">
        <v>47.75</v>
      </c>
      <c r="EP116">
        <v>48.811999999999998</v>
      </c>
      <c r="EQ116">
        <v>48.561999999999998</v>
      </c>
      <c r="ER116">
        <v>47.75</v>
      </c>
      <c r="ES116">
        <v>48.875</v>
      </c>
      <c r="ET116">
        <v>1755.58</v>
      </c>
      <c r="EU116">
        <v>39.479999999999997</v>
      </c>
      <c r="EV116">
        <v>0</v>
      </c>
      <c r="EW116">
        <v>106.7999999523163</v>
      </c>
      <c r="EX116">
        <v>0</v>
      </c>
      <c r="EY116">
        <v>631.89676923076922</v>
      </c>
      <c r="EZ116">
        <v>-1.145709402436538</v>
      </c>
      <c r="FA116">
        <v>-118.9025641962496</v>
      </c>
      <c r="FB116">
        <v>15356.99615384615</v>
      </c>
      <c r="FC116">
        <v>15</v>
      </c>
      <c r="FD116">
        <v>1693521137</v>
      </c>
      <c r="FE116" t="s">
        <v>928</v>
      </c>
      <c r="FF116">
        <v>1693521129.5</v>
      </c>
      <c r="FG116">
        <v>1693521137</v>
      </c>
      <c r="FH116">
        <v>114</v>
      </c>
      <c r="FI116">
        <v>0</v>
      </c>
      <c r="FJ116">
        <v>-5.0000000000000001E-3</v>
      </c>
      <c r="FK116">
        <v>-2.1920000000000002</v>
      </c>
      <c r="FL116">
        <v>-0.309</v>
      </c>
      <c r="FM116">
        <v>300</v>
      </c>
      <c r="FN116">
        <v>25</v>
      </c>
      <c r="FO116">
        <v>0.2</v>
      </c>
      <c r="FP116">
        <v>0.08</v>
      </c>
      <c r="FQ116">
        <v>27.74166802641119</v>
      </c>
      <c r="FR116">
        <v>-0.11317785257191609</v>
      </c>
      <c r="FS116">
        <v>6.0929169305611652E-2</v>
      </c>
      <c r="FT116">
        <v>1</v>
      </c>
      <c r="FU116">
        <v>0.2379139627466523</v>
      </c>
      <c r="FV116">
        <v>4.3683480951733751E-2</v>
      </c>
      <c r="FW116">
        <v>5.2415017714840641E-3</v>
      </c>
      <c r="FX116">
        <v>1</v>
      </c>
      <c r="FY116">
        <v>2</v>
      </c>
      <c r="FZ116">
        <v>2</v>
      </c>
      <c r="GA116" t="s">
        <v>422</v>
      </c>
      <c r="GB116">
        <v>2.92231</v>
      </c>
      <c r="GC116">
        <v>2.8302</v>
      </c>
      <c r="GD116">
        <v>6.6140500000000005E-2</v>
      </c>
      <c r="GE116">
        <v>7.1207999999999994E-2</v>
      </c>
      <c r="GF116">
        <v>0.13719700000000001</v>
      </c>
      <c r="GG116">
        <v>0.11860900000000001</v>
      </c>
      <c r="GH116">
        <v>24555.8</v>
      </c>
      <c r="GI116">
        <v>29650.1</v>
      </c>
      <c r="GJ116">
        <v>23664.799999999999</v>
      </c>
      <c r="GK116">
        <v>29214.2</v>
      </c>
      <c r="GL116">
        <v>27839.599999999999</v>
      </c>
      <c r="GM116">
        <v>36374.9</v>
      </c>
      <c r="GN116">
        <v>33476.5</v>
      </c>
      <c r="GO116">
        <v>43068.9</v>
      </c>
      <c r="GP116">
        <v>2.0350000000000001</v>
      </c>
      <c r="GQ116">
        <v>1.9072</v>
      </c>
      <c r="GR116">
        <v>0.13369300000000001</v>
      </c>
      <c r="GS116">
        <v>0</v>
      </c>
      <c r="GT116">
        <v>27.809799999999999</v>
      </c>
      <c r="GU116">
        <v>999.9</v>
      </c>
      <c r="GV116">
        <v>50.9</v>
      </c>
      <c r="GW116">
        <v>35.299999999999997</v>
      </c>
      <c r="GX116">
        <v>29.3933</v>
      </c>
      <c r="GY116">
        <v>61.169199999999996</v>
      </c>
      <c r="GZ116">
        <v>33.990400000000001</v>
      </c>
      <c r="HA116">
        <v>1</v>
      </c>
      <c r="HB116">
        <v>0.153699</v>
      </c>
      <c r="HC116">
        <v>9.5424800000000004E-2</v>
      </c>
      <c r="HD116">
        <v>20.325099999999999</v>
      </c>
      <c r="HE116">
        <v>5.2112999999999996</v>
      </c>
      <c r="HF116">
        <v>11.872199999999999</v>
      </c>
      <c r="HG116">
        <v>4.9855999999999998</v>
      </c>
      <c r="HH116">
        <v>3.2839999999999998</v>
      </c>
      <c r="HI116">
        <v>9999</v>
      </c>
      <c r="HJ116">
        <v>9999</v>
      </c>
      <c r="HK116">
        <v>9999</v>
      </c>
      <c r="HL116">
        <v>999.9</v>
      </c>
      <c r="HM116">
        <v>1.8545499999999999</v>
      </c>
      <c r="HN116">
        <v>1.86066</v>
      </c>
      <c r="HO116">
        <v>1.85808</v>
      </c>
      <c r="HP116">
        <v>1.85928</v>
      </c>
      <c r="HQ116">
        <v>1.85867</v>
      </c>
      <c r="HR116">
        <v>1.85924</v>
      </c>
      <c r="HS116">
        <v>1.8575999999999999</v>
      </c>
      <c r="HT116">
        <v>1.8609599999999999</v>
      </c>
      <c r="HU116">
        <v>5</v>
      </c>
      <c r="HV116">
        <v>0</v>
      </c>
      <c r="HW116">
        <v>0</v>
      </c>
      <c r="HX116">
        <v>0</v>
      </c>
      <c r="HY116" t="s">
        <v>423</v>
      </c>
      <c r="HZ116" t="s">
        <v>424</v>
      </c>
      <c r="IA116" t="s">
        <v>425</v>
      </c>
      <c r="IB116" t="s">
        <v>425</v>
      </c>
      <c r="IC116" t="s">
        <v>425</v>
      </c>
      <c r="ID116" t="s">
        <v>425</v>
      </c>
      <c r="IE116">
        <v>0</v>
      </c>
      <c r="IF116">
        <v>100</v>
      </c>
      <c r="IG116">
        <v>100</v>
      </c>
      <c r="IH116">
        <v>-2.1920000000000002</v>
      </c>
      <c r="II116">
        <v>-0.309</v>
      </c>
      <c r="IJ116">
        <v>-2.1921428571428692</v>
      </c>
      <c r="IK116">
        <v>0</v>
      </c>
      <c r="IL116">
        <v>0</v>
      </c>
      <c r="IM116">
        <v>0</v>
      </c>
      <c r="IN116">
        <v>-0.30891499999999888</v>
      </c>
      <c r="IO116">
        <v>0</v>
      </c>
      <c r="IP116">
        <v>0</v>
      </c>
      <c r="IQ116">
        <v>0</v>
      </c>
      <c r="IR116">
        <v>-1</v>
      </c>
      <c r="IS116">
        <v>-1</v>
      </c>
      <c r="IT116">
        <v>-1</v>
      </c>
      <c r="IU116">
        <v>-1</v>
      </c>
      <c r="IV116">
        <v>0.6</v>
      </c>
      <c r="IW116">
        <v>0.5</v>
      </c>
      <c r="IX116">
        <v>0.80566400000000005</v>
      </c>
      <c r="IY116">
        <v>2.4609399999999999</v>
      </c>
      <c r="IZ116">
        <v>1.49414</v>
      </c>
      <c r="JA116">
        <v>2.2888199999999999</v>
      </c>
      <c r="JB116">
        <v>1.54419</v>
      </c>
      <c r="JC116">
        <v>2.5122100000000001</v>
      </c>
      <c r="JD116">
        <v>37.194099999999999</v>
      </c>
      <c r="JE116">
        <v>15.751899999999999</v>
      </c>
      <c r="JF116">
        <v>18</v>
      </c>
      <c r="JG116">
        <v>533.15800000000002</v>
      </c>
      <c r="JH116">
        <v>484.07400000000001</v>
      </c>
      <c r="JI116">
        <v>28.180900000000001</v>
      </c>
      <c r="JJ116">
        <v>29.4861</v>
      </c>
      <c r="JK116">
        <v>30</v>
      </c>
      <c r="JL116">
        <v>29.514500000000002</v>
      </c>
      <c r="JM116">
        <v>29.4923</v>
      </c>
      <c r="JN116">
        <v>16.1905</v>
      </c>
      <c r="JO116">
        <v>22.023399999999999</v>
      </c>
      <c r="JP116">
        <v>100</v>
      </c>
      <c r="JQ116">
        <v>28.181699999999999</v>
      </c>
      <c r="JR116">
        <v>300</v>
      </c>
      <c r="JS116">
        <v>24.9133</v>
      </c>
      <c r="JT116">
        <v>99.268100000000004</v>
      </c>
      <c r="JU116">
        <v>97.059700000000007</v>
      </c>
    </row>
    <row r="117" spans="1:281" x14ac:dyDescent="0.25">
      <c r="A117">
        <v>101</v>
      </c>
      <c r="B117">
        <v>1693521275.5</v>
      </c>
      <c r="C117">
        <v>27139.5</v>
      </c>
      <c r="D117" t="s">
        <v>929</v>
      </c>
      <c r="E117" t="s">
        <v>930</v>
      </c>
      <c r="F117" t="s">
        <v>414</v>
      </c>
      <c r="G117" t="s">
        <v>779</v>
      </c>
      <c r="H117" t="s">
        <v>495</v>
      </c>
      <c r="I117" t="s">
        <v>416</v>
      </c>
      <c r="J117">
        <v>1693521275.5</v>
      </c>
      <c r="K117">
        <f t="shared" si="138"/>
        <v>3.4814005764648354E-3</v>
      </c>
      <c r="L117">
        <f t="shared" si="139"/>
        <v>3.4814005764648353</v>
      </c>
      <c r="M117">
        <f t="shared" si="140"/>
        <v>19.674379646951426</v>
      </c>
      <c r="N117">
        <f t="shared" si="141"/>
        <v>175.637</v>
      </c>
      <c r="O117">
        <f t="shared" si="142"/>
        <v>44.427379230184492</v>
      </c>
      <c r="P117">
        <f t="shared" si="143"/>
        <v>4.4228364296989637</v>
      </c>
      <c r="Q117">
        <f t="shared" si="144"/>
        <v>17.4850224222828</v>
      </c>
      <c r="R117">
        <f t="shared" si="145"/>
        <v>0.25464512230849218</v>
      </c>
      <c r="S117">
        <f t="shared" si="146"/>
        <v>2.9356397263650766</v>
      </c>
      <c r="T117">
        <f t="shared" si="147"/>
        <v>0.24297932901000319</v>
      </c>
      <c r="U117">
        <f t="shared" si="148"/>
        <v>0.15286566379529748</v>
      </c>
      <c r="V117">
        <f t="shared" si="149"/>
        <v>344.36689967099824</v>
      </c>
      <c r="W117">
        <f t="shared" si="150"/>
        <v>31.703642880581342</v>
      </c>
      <c r="X117">
        <f t="shared" si="151"/>
        <v>29.993600000000001</v>
      </c>
      <c r="Y117">
        <f t="shared" si="152"/>
        <v>4.258883836125265</v>
      </c>
      <c r="Z117">
        <f t="shared" si="153"/>
        <v>65.459664344772676</v>
      </c>
      <c r="AA117">
        <f t="shared" si="154"/>
        <v>2.8836742941126001</v>
      </c>
      <c r="AB117">
        <f t="shared" si="155"/>
        <v>4.40526898965512</v>
      </c>
      <c r="AC117">
        <f t="shared" si="156"/>
        <v>1.3752095420126649</v>
      </c>
      <c r="AD117">
        <f t="shared" si="157"/>
        <v>-153.52976542209925</v>
      </c>
      <c r="AE117">
        <f t="shared" si="158"/>
        <v>93.313756783827486</v>
      </c>
      <c r="AF117">
        <f t="shared" si="159"/>
        <v>7.087971070266522</v>
      </c>
      <c r="AG117">
        <f t="shared" si="160"/>
        <v>291.23886210299298</v>
      </c>
      <c r="AH117">
        <v>0</v>
      </c>
      <c r="AI117">
        <v>0</v>
      </c>
      <c r="AJ117">
        <f t="shared" si="161"/>
        <v>1</v>
      </c>
      <c r="AK117">
        <f t="shared" si="162"/>
        <v>0</v>
      </c>
      <c r="AL117">
        <f t="shared" si="163"/>
        <v>52414.973341353958</v>
      </c>
      <c r="AM117" t="s">
        <v>417</v>
      </c>
      <c r="AN117">
        <v>10366.9</v>
      </c>
      <c r="AO117">
        <v>993.59653846153856</v>
      </c>
      <c r="AP117">
        <v>3431.87</v>
      </c>
      <c r="AQ117">
        <f t="shared" si="164"/>
        <v>0.71047955241266758</v>
      </c>
      <c r="AR117">
        <v>-3.9894345373445681</v>
      </c>
      <c r="AS117" t="s">
        <v>931</v>
      </c>
      <c r="AT117">
        <v>10305.700000000001</v>
      </c>
      <c r="AU117">
        <v>634.58503846153849</v>
      </c>
      <c r="AV117">
        <v>779.30929922678035</v>
      </c>
      <c r="AW117">
        <f t="shared" si="165"/>
        <v>0.18570837138583518</v>
      </c>
      <c r="AX117">
        <v>0.5</v>
      </c>
      <c r="AY117">
        <f t="shared" si="166"/>
        <v>1513.1759998354989</v>
      </c>
      <c r="AZ117">
        <f t="shared" si="167"/>
        <v>19.674379646951426</v>
      </c>
      <c r="BA117">
        <f t="shared" si="168"/>
        <v>140.50472527479167</v>
      </c>
      <c r="BB117">
        <f t="shared" si="169"/>
        <v>1.5638507474919339E-2</v>
      </c>
      <c r="BC117">
        <f t="shared" si="170"/>
        <v>3.4037328996395306</v>
      </c>
      <c r="BD117">
        <f t="shared" si="171"/>
        <v>500.43889398183074</v>
      </c>
      <c r="BE117" t="s">
        <v>932</v>
      </c>
      <c r="BF117">
        <v>518.59</v>
      </c>
      <c r="BG117">
        <f t="shared" si="172"/>
        <v>518.59</v>
      </c>
      <c r="BH117">
        <f t="shared" si="173"/>
        <v>0.33455176203525649</v>
      </c>
      <c r="BI117">
        <f t="shared" si="174"/>
        <v>0.55509607917194115</v>
      </c>
      <c r="BJ117">
        <f t="shared" si="175"/>
        <v>0.91050661137042088</v>
      </c>
      <c r="BK117">
        <f t="shared" si="176"/>
        <v>-0.67537507731242929</v>
      </c>
      <c r="BL117">
        <f t="shared" si="177"/>
        <v>1.0878848261341247</v>
      </c>
      <c r="BM117">
        <f t="shared" si="178"/>
        <v>0.45363073229030165</v>
      </c>
      <c r="BN117">
        <f t="shared" si="179"/>
        <v>0.54636926770969829</v>
      </c>
      <c r="BO117">
        <v>16908</v>
      </c>
      <c r="BP117">
        <v>290.00000000000011</v>
      </c>
      <c r="BQ117">
        <v>741.15</v>
      </c>
      <c r="BR117">
        <v>285</v>
      </c>
      <c r="BS117">
        <v>10305.700000000001</v>
      </c>
      <c r="BT117">
        <v>740.91</v>
      </c>
      <c r="BU117">
        <v>0.24</v>
      </c>
      <c r="BV117">
        <v>300.00000000000011</v>
      </c>
      <c r="BW117">
        <v>38.4</v>
      </c>
      <c r="BX117">
        <v>779.30929922678035</v>
      </c>
      <c r="BY117">
        <v>0.93220339412924336</v>
      </c>
      <c r="BZ117">
        <v>-39.573784801189753</v>
      </c>
      <c r="CA117">
        <v>0.78688887448867284</v>
      </c>
      <c r="CB117">
        <v>0.98905065348666688</v>
      </c>
      <c r="CC117">
        <v>-1.123548921023359E-2</v>
      </c>
      <c r="CD117">
        <v>289.99999999999989</v>
      </c>
      <c r="CE117">
        <v>739.28</v>
      </c>
      <c r="CF117">
        <v>685</v>
      </c>
      <c r="CG117">
        <v>10291.5</v>
      </c>
      <c r="CH117">
        <v>740.86</v>
      </c>
      <c r="CI117">
        <v>-1.58</v>
      </c>
      <c r="CW117">
        <f t="shared" si="180"/>
        <v>1799.99</v>
      </c>
      <c r="CX117">
        <f t="shared" si="181"/>
        <v>1513.1759998354989</v>
      </c>
      <c r="CY117">
        <f t="shared" si="182"/>
        <v>0.84065800356418585</v>
      </c>
      <c r="CZ117">
        <f t="shared" si="183"/>
        <v>0.19131600712837196</v>
      </c>
      <c r="DA117">
        <v>6</v>
      </c>
      <c r="DB117">
        <v>0.5</v>
      </c>
      <c r="DC117" t="s">
        <v>420</v>
      </c>
      <c r="DD117">
        <v>2</v>
      </c>
      <c r="DE117">
        <v>1693521275.5</v>
      </c>
      <c r="DF117">
        <v>175.637</v>
      </c>
      <c r="DG117">
        <v>199.952</v>
      </c>
      <c r="DH117">
        <v>28.9665</v>
      </c>
      <c r="DI117">
        <v>24.9145</v>
      </c>
      <c r="DJ117">
        <v>177.79400000000001</v>
      </c>
      <c r="DK117">
        <v>29.280999999999999</v>
      </c>
      <c r="DL117">
        <v>500.57600000000002</v>
      </c>
      <c r="DM117">
        <v>99.452500000000001</v>
      </c>
      <c r="DN117">
        <v>9.9544400000000005E-2</v>
      </c>
      <c r="DO117">
        <v>30.583200000000001</v>
      </c>
      <c r="DP117">
        <v>29.993600000000001</v>
      </c>
      <c r="DQ117">
        <v>999.9</v>
      </c>
      <c r="DR117">
        <v>0</v>
      </c>
      <c r="DS117">
        <v>0</v>
      </c>
      <c r="DT117">
        <v>10090</v>
      </c>
      <c r="DU117">
        <v>0</v>
      </c>
      <c r="DV117">
        <v>645.24699999999996</v>
      </c>
      <c r="DW117">
        <v>-24.3154</v>
      </c>
      <c r="DX117">
        <v>180.876</v>
      </c>
      <c r="DY117">
        <v>205.06100000000001</v>
      </c>
      <c r="DZ117">
        <v>4.0520199999999997</v>
      </c>
      <c r="EA117">
        <v>199.952</v>
      </c>
      <c r="EB117">
        <v>24.9145</v>
      </c>
      <c r="EC117">
        <v>2.8807900000000002</v>
      </c>
      <c r="ED117">
        <v>2.4778099999999998</v>
      </c>
      <c r="EE117">
        <v>23.354500000000002</v>
      </c>
      <c r="EF117">
        <v>20.881499999999999</v>
      </c>
      <c r="EG117">
        <v>1799.99</v>
      </c>
      <c r="EH117">
        <v>0.97800600000000004</v>
      </c>
      <c r="EI117">
        <v>2.1994400000000001E-2</v>
      </c>
      <c r="EJ117">
        <v>0</v>
      </c>
      <c r="EK117">
        <v>634.68499999999995</v>
      </c>
      <c r="EL117">
        <v>5.0002500000000003</v>
      </c>
      <c r="EM117">
        <v>15247.5</v>
      </c>
      <c r="EN117">
        <v>14822</v>
      </c>
      <c r="EO117">
        <v>47.75</v>
      </c>
      <c r="EP117">
        <v>48.811999999999998</v>
      </c>
      <c r="EQ117">
        <v>48.625</v>
      </c>
      <c r="ER117">
        <v>47.811999999999998</v>
      </c>
      <c r="ES117">
        <v>48.936999999999998</v>
      </c>
      <c r="ET117">
        <v>1755.51</v>
      </c>
      <c r="EU117">
        <v>39.479999999999997</v>
      </c>
      <c r="EV117">
        <v>0</v>
      </c>
      <c r="EW117">
        <v>105.5999999046326</v>
      </c>
      <c r="EX117">
        <v>0</v>
      </c>
      <c r="EY117">
        <v>634.58503846153849</v>
      </c>
      <c r="EZ117">
        <v>-1.279487185151261</v>
      </c>
      <c r="FA117">
        <v>-147.7880341316683</v>
      </c>
      <c r="FB117">
        <v>15265.038461538459</v>
      </c>
      <c r="FC117">
        <v>15</v>
      </c>
      <c r="FD117">
        <v>1693521241</v>
      </c>
      <c r="FE117" t="s">
        <v>933</v>
      </c>
      <c r="FF117">
        <v>1693521241</v>
      </c>
      <c r="FG117">
        <v>1693521241</v>
      </c>
      <c r="FH117">
        <v>115</v>
      </c>
      <c r="FI117">
        <v>3.4000000000000002E-2</v>
      </c>
      <c r="FJ117">
        <v>-6.0000000000000001E-3</v>
      </c>
      <c r="FK117">
        <v>-2.1579999999999999</v>
      </c>
      <c r="FL117">
        <v>-0.314</v>
      </c>
      <c r="FM117">
        <v>200</v>
      </c>
      <c r="FN117">
        <v>25</v>
      </c>
      <c r="FO117">
        <v>0.22</v>
      </c>
      <c r="FP117">
        <v>0.09</v>
      </c>
      <c r="FQ117">
        <v>19.612904256984049</v>
      </c>
      <c r="FR117">
        <v>0.69482234088296146</v>
      </c>
      <c r="FS117">
        <v>7.2578877231167654E-2</v>
      </c>
      <c r="FT117">
        <v>1</v>
      </c>
      <c r="FU117">
        <v>0.25467814596225341</v>
      </c>
      <c r="FV117">
        <v>2.8436238828846289E-2</v>
      </c>
      <c r="FW117">
        <v>3.3496074745749732E-3</v>
      </c>
      <c r="FX117">
        <v>1</v>
      </c>
      <c r="FY117">
        <v>2</v>
      </c>
      <c r="FZ117">
        <v>2</v>
      </c>
      <c r="GA117" t="s">
        <v>422</v>
      </c>
      <c r="GB117">
        <v>2.92327</v>
      </c>
      <c r="GC117">
        <v>2.8302200000000002</v>
      </c>
      <c r="GD117">
        <v>4.6489000000000003E-2</v>
      </c>
      <c r="GE117">
        <v>5.0562299999999998E-2</v>
      </c>
      <c r="GF117">
        <v>0.13775599999999999</v>
      </c>
      <c r="GG117">
        <v>0.118465</v>
      </c>
      <c r="GH117">
        <v>25073.8</v>
      </c>
      <c r="GI117">
        <v>30310.2</v>
      </c>
      <c r="GJ117">
        <v>23665.9</v>
      </c>
      <c r="GK117">
        <v>29215.1</v>
      </c>
      <c r="GL117">
        <v>27820.5</v>
      </c>
      <c r="GM117">
        <v>36378.800000000003</v>
      </c>
      <c r="GN117">
        <v>33478</v>
      </c>
      <c r="GO117">
        <v>43069.4</v>
      </c>
      <c r="GP117">
        <v>2.0367999999999999</v>
      </c>
      <c r="GQ117">
        <v>1.9087000000000001</v>
      </c>
      <c r="GR117">
        <v>0.13133900000000001</v>
      </c>
      <c r="GS117">
        <v>0</v>
      </c>
      <c r="GT117">
        <v>27.852499999999999</v>
      </c>
      <c r="GU117">
        <v>999.9</v>
      </c>
      <c r="GV117">
        <v>51.2</v>
      </c>
      <c r="GW117">
        <v>35.1</v>
      </c>
      <c r="GX117">
        <v>29.2395</v>
      </c>
      <c r="GY117">
        <v>60.249200000000002</v>
      </c>
      <c r="GZ117">
        <v>33.738</v>
      </c>
      <c r="HA117">
        <v>1</v>
      </c>
      <c r="HB117">
        <v>0.151809</v>
      </c>
      <c r="HC117">
        <v>-0.348638</v>
      </c>
      <c r="HD117">
        <v>20.322900000000001</v>
      </c>
      <c r="HE117">
        <v>5.2125000000000004</v>
      </c>
      <c r="HF117">
        <v>11.872199999999999</v>
      </c>
      <c r="HG117">
        <v>4.9854000000000003</v>
      </c>
      <c r="HH117">
        <v>3.2839999999999998</v>
      </c>
      <c r="HI117">
        <v>9999</v>
      </c>
      <c r="HJ117">
        <v>9999</v>
      </c>
      <c r="HK117">
        <v>9999</v>
      </c>
      <c r="HL117">
        <v>999.9</v>
      </c>
      <c r="HM117">
        <v>1.8545499999999999</v>
      </c>
      <c r="HN117">
        <v>1.86066</v>
      </c>
      <c r="HO117">
        <v>1.85806</v>
      </c>
      <c r="HP117">
        <v>1.85928</v>
      </c>
      <c r="HQ117">
        <v>1.8586499999999999</v>
      </c>
      <c r="HR117">
        <v>1.8591299999999999</v>
      </c>
      <c r="HS117">
        <v>1.8575999999999999</v>
      </c>
      <c r="HT117">
        <v>1.8609599999999999</v>
      </c>
      <c r="HU117">
        <v>5</v>
      </c>
      <c r="HV117">
        <v>0</v>
      </c>
      <c r="HW117">
        <v>0</v>
      </c>
      <c r="HX117">
        <v>0</v>
      </c>
      <c r="HY117" t="s">
        <v>423</v>
      </c>
      <c r="HZ117" t="s">
        <v>424</v>
      </c>
      <c r="IA117" t="s">
        <v>425</v>
      </c>
      <c r="IB117" t="s">
        <v>425</v>
      </c>
      <c r="IC117" t="s">
        <v>425</v>
      </c>
      <c r="ID117" t="s">
        <v>425</v>
      </c>
      <c r="IE117">
        <v>0</v>
      </c>
      <c r="IF117">
        <v>100</v>
      </c>
      <c r="IG117">
        <v>100</v>
      </c>
      <c r="IH117">
        <v>-2.157</v>
      </c>
      <c r="II117">
        <v>-0.3145</v>
      </c>
      <c r="IJ117">
        <v>-2.157650000000046</v>
      </c>
      <c r="IK117">
        <v>0</v>
      </c>
      <c r="IL117">
        <v>0</v>
      </c>
      <c r="IM117">
        <v>0</v>
      </c>
      <c r="IN117">
        <v>-0.31447000000000003</v>
      </c>
      <c r="IO117">
        <v>0</v>
      </c>
      <c r="IP117">
        <v>0</v>
      </c>
      <c r="IQ117">
        <v>0</v>
      </c>
      <c r="IR117">
        <v>-1</v>
      </c>
      <c r="IS117">
        <v>-1</v>
      </c>
      <c r="IT117">
        <v>-1</v>
      </c>
      <c r="IU117">
        <v>-1</v>
      </c>
      <c r="IV117">
        <v>0.6</v>
      </c>
      <c r="IW117">
        <v>0.6</v>
      </c>
      <c r="IX117">
        <v>0.59204100000000004</v>
      </c>
      <c r="IY117">
        <v>2.4694799999999999</v>
      </c>
      <c r="IZ117">
        <v>1.49414</v>
      </c>
      <c r="JA117">
        <v>2.2888199999999999</v>
      </c>
      <c r="JB117">
        <v>1.54419</v>
      </c>
      <c r="JC117">
        <v>2.51709</v>
      </c>
      <c r="JD117">
        <v>37.098599999999998</v>
      </c>
      <c r="JE117">
        <v>15.7256</v>
      </c>
      <c r="JF117">
        <v>18</v>
      </c>
      <c r="JG117">
        <v>533.97299999999996</v>
      </c>
      <c r="JH117">
        <v>484.74</v>
      </c>
      <c r="JI117">
        <v>27.8462</v>
      </c>
      <c r="JJ117">
        <v>29.453099999999999</v>
      </c>
      <c r="JK117">
        <v>29.9999</v>
      </c>
      <c r="JL117">
        <v>29.471800000000002</v>
      </c>
      <c r="JM117">
        <v>29.447099999999999</v>
      </c>
      <c r="JN117">
        <v>11.930999999999999</v>
      </c>
      <c r="JO117">
        <v>21.045200000000001</v>
      </c>
      <c r="JP117">
        <v>100</v>
      </c>
      <c r="JQ117">
        <v>28.132999999999999</v>
      </c>
      <c r="JR117">
        <v>200</v>
      </c>
      <c r="JS117">
        <v>24.860299999999999</v>
      </c>
      <c r="JT117">
        <v>99.2727</v>
      </c>
      <c r="JU117">
        <v>97.061599999999999</v>
      </c>
    </row>
    <row r="118" spans="1:281" x14ac:dyDescent="0.25">
      <c r="A118">
        <v>102</v>
      </c>
      <c r="B118">
        <v>1693521384.5</v>
      </c>
      <c r="C118">
        <v>27248.5</v>
      </c>
      <c r="D118" t="s">
        <v>934</v>
      </c>
      <c r="E118" t="s">
        <v>935</v>
      </c>
      <c r="F118" t="s">
        <v>414</v>
      </c>
      <c r="G118" t="s">
        <v>779</v>
      </c>
      <c r="H118" t="s">
        <v>495</v>
      </c>
      <c r="I118" t="s">
        <v>416</v>
      </c>
      <c r="J118">
        <v>1693521384.5</v>
      </c>
      <c r="K118">
        <f t="shared" si="138"/>
        <v>3.8753441018474517E-3</v>
      </c>
      <c r="L118">
        <f t="shared" si="139"/>
        <v>3.8753441018474515</v>
      </c>
      <c r="M118">
        <f t="shared" si="140"/>
        <v>12.739186742059355</v>
      </c>
      <c r="N118">
        <f t="shared" si="141"/>
        <v>104.28</v>
      </c>
      <c r="O118">
        <f t="shared" si="142"/>
        <v>28.323776717232597</v>
      </c>
      <c r="P118">
        <f t="shared" si="143"/>
        <v>2.8197429164339063</v>
      </c>
      <c r="Q118">
        <f t="shared" si="144"/>
        <v>10.381482464759999</v>
      </c>
      <c r="R118">
        <f t="shared" si="145"/>
        <v>0.28649957498615386</v>
      </c>
      <c r="S118">
        <f t="shared" si="146"/>
        <v>2.9181985543616569</v>
      </c>
      <c r="T118">
        <f t="shared" si="147"/>
        <v>0.27174010398290055</v>
      </c>
      <c r="U118">
        <f t="shared" si="148"/>
        <v>0.17110025765327605</v>
      </c>
      <c r="V118">
        <f t="shared" si="149"/>
        <v>344.4200996710494</v>
      </c>
      <c r="W118">
        <f t="shared" si="150"/>
        <v>31.574434716489378</v>
      </c>
      <c r="X118">
        <f t="shared" si="151"/>
        <v>29.935099999999998</v>
      </c>
      <c r="Y118">
        <f t="shared" si="152"/>
        <v>4.2445934310638007</v>
      </c>
      <c r="Z118">
        <f t="shared" si="153"/>
        <v>65.400569057163636</v>
      </c>
      <c r="AA118">
        <f t="shared" si="154"/>
        <v>2.8756049371532999</v>
      </c>
      <c r="AB118">
        <f t="shared" si="155"/>
        <v>4.396911186873413</v>
      </c>
      <c r="AC118">
        <f t="shared" si="156"/>
        <v>1.3689884939105008</v>
      </c>
      <c r="AD118">
        <f t="shared" si="157"/>
        <v>-170.90267489147263</v>
      </c>
      <c r="AE118">
        <f t="shared" si="158"/>
        <v>96.739708492542647</v>
      </c>
      <c r="AF118">
        <f t="shared" si="159"/>
        <v>7.3887676653623124</v>
      </c>
      <c r="AG118">
        <f t="shared" si="160"/>
        <v>277.64590093748171</v>
      </c>
      <c r="AH118">
        <v>0</v>
      </c>
      <c r="AI118">
        <v>0</v>
      </c>
      <c r="AJ118">
        <f t="shared" si="161"/>
        <v>1</v>
      </c>
      <c r="AK118">
        <f t="shared" si="162"/>
        <v>0</v>
      </c>
      <c r="AL118">
        <f t="shared" si="163"/>
        <v>51923.482134311882</v>
      </c>
      <c r="AM118" t="s">
        <v>417</v>
      </c>
      <c r="AN118">
        <v>10366.9</v>
      </c>
      <c r="AO118">
        <v>993.59653846153856</v>
      </c>
      <c r="AP118">
        <v>3431.87</v>
      </c>
      <c r="AQ118">
        <f t="shared" si="164"/>
        <v>0.71047955241266758</v>
      </c>
      <c r="AR118">
        <v>-3.9894345373445681</v>
      </c>
      <c r="AS118" t="s">
        <v>936</v>
      </c>
      <c r="AT118">
        <v>10311.299999999999</v>
      </c>
      <c r="AU118">
        <v>641.42719230769228</v>
      </c>
      <c r="AV118">
        <v>743.53974611748686</v>
      </c>
      <c r="AW118">
        <f t="shared" si="165"/>
        <v>0.13733301325583713</v>
      </c>
      <c r="AX118">
        <v>0.5</v>
      </c>
      <c r="AY118">
        <f t="shared" si="166"/>
        <v>1513.4111998355247</v>
      </c>
      <c r="AZ118">
        <f t="shared" si="167"/>
        <v>12.739186742059355</v>
      </c>
      <c r="BA118">
        <f t="shared" si="168"/>
        <v>103.92066018427225</v>
      </c>
      <c r="BB118">
        <f t="shared" si="169"/>
        <v>1.1053586283240118E-2</v>
      </c>
      <c r="BC118">
        <f t="shared" si="170"/>
        <v>3.6155837908061597</v>
      </c>
      <c r="BD118">
        <f t="shared" si="171"/>
        <v>485.4424505393643</v>
      </c>
      <c r="BE118" t="s">
        <v>937</v>
      </c>
      <c r="BF118">
        <v>524.84</v>
      </c>
      <c r="BG118">
        <f t="shared" si="172"/>
        <v>524.84</v>
      </c>
      <c r="BH118">
        <f t="shared" si="173"/>
        <v>0.29413322859936264</v>
      </c>
      <c r="BI118">
        <f t="shared" si="174"/>
        <v>0.46690750959966409</v>
      </c>
      <c r="BJ118">
        <f t="shared" si="175"/>
        <v>0.92476866557363113</v>
      </c>
      <c r="BK118">
        <f t="shared" si="176"/>
        <v>-0.40835744893223497</v>
      </c>
      <c r="BL118">
        <f t="shared" si="177"/>
        <v>1.1025548595301016</v>
      </c>
      <c r="BM118">
        <f t="shared" si="178"/>
        <v>0.38204139187902802</v>
      </c>
      <c r="BN118">
        <f t="shared" si="179"/>
        <v>0.61795860812097203</v>
      </c>
      <c r="BO118">
        <v>16910</v>
      </c>
      <c r="BP118">
        <v>290.00000000000011</v>
      </c>
      <c r="BQ118">
        <v>716.13</v>
      </c>
      <c r="BR118">
        <v>235</v>
      </c>
      <c r="BS118">
        <v>10311.299999999999</v>
      </c>
      <c r="BT118">
        <v>716.71</v>
      </c>
      <c r="BU118">
        <v>-0.57999999999999996</v>
      </c>
      <c r="BV118">
        <v>300.00000000000011</v>
      </c>
      <c r="BW118">
        <v>38.4</v>
      </c>
      <c r="BX118">
        <v>743.53974611748686</v>
      </c>
      <c r="BY118">
        <v>0.89747081837249443</v>
      </c>
      <c r="BZ118">
        <v>-27.667125851650429</v>
      </c>
      <c r="CA118">
        <v>0.75754926686969515</v>
      </c>
      <c r="CB118">
        <v>0.97943970181687945</v>
      </c>
      <c r="CC118">
        <v>-1.123514349276976E-2</v>
      </c>
      <c r="CD118">
        <v>289.99999999999989</v>
      </c>
      <c r="CE118">
        <v>714.17</v>
      </c>
      <c r="CF118">
        <v>735</v>
      </c>
      <c r="CG118">
        <v>10287.799999999999</v>
      </c>
      <c r="CH118">
        <v>716.65</v>
      </c>
      <c r="CI118">
        <v>-2.48</v>
      </c>
      <c r="CW118">
        <f t="shared" si="180"/>
        <v>1800.27</v>
      </c>
      <c r="CX118">
        <f t="shared" si="181"/>
        <v>1513.4111998355247</v>
      </c>
      <c r="CY118">
        <f t="shared" si="182"/>
        <v>0.84065790122344131</v>
      </c>
      <c r="CZ118">
        <f t="shared" si="183"/>
        <v>0.19131580244688262</v>
      </c>
      <c r="DA118">
        <v>6</v>
      </c>
      <c r="DB118">
        <v>0.5</v>
      </c>
      <c r="DC118" t="s">
        <v>420</v>
      </c>
      <c r="DD118">
        <v>2</v>
      </c>
      <c r="DE118">
        <v>1693521384.5</v>
      </c>
      <c r="DF118">
        <v>104.28</v>
      </c>
      <c r="DG118">
        <v>120.03700000000001</v>
      </c>
      <c r="DH118">
        <v>28.884899999999998</v>
      </c>
      <c r="DI118">
        <v>24.373100000000001</v>
      </c>
      <c r="DJ118">
        <v>106.111</v>
      </c>
      <c r="DK118">
        <v>29.1998</v>
      </c>
      <c r="DL118">
        <v>500.47500000000002</v>
      </c>
      <c r="DM118">
        <v>99.453800000000001</v>
      </c>
      <c r="DN118">
        <v>0.100117</v>
      </c>
      <c r="DO118">
        <v>30.55</v>
      </c>
      <c r="DP118">
        <v>29.935099999999998</v>
      </c>
      <c r="DQ118">
        <v>999.9</v>
      </c>
      <c r="DR118">
        <v>0</v>
      </c>
      <c r="DS118">
        <v>0</v>
      </c>
      <c r="DT118">
        <v>9990</v>
      </c>
      <c r="DU118">
        <v>0</v>
      </c>
      <c r="DV118">
        <v>619.01099999999997</v>
      </c>
      <c r="DW118">
        <v>-15.757</v>
      </c>
      <c r="DX118">
        <v>107.38200000000001</v>
      </c>
      <c r="DY118">
        <v>123.036</v>
      </c>
      <c r="DZ118">
        <v>4.5118400000000003</v>
      </c>
      <c r="EA118">
        <v>120.03700000000001</v>
      </c>
      <c r="EB118">
        <v>24.373100000000001</v>
      </c>
      <c r="EC118">
        <v>2.8727200000000002</v>
      </c>
      <c r="ED118">
        <v>2.4239999999999999</v>
      </c>
      <c r="EE118">
        <v>23.308</v>
      </c>
      <c r="EF118">
        <v>20.524999999999999</v>
      </c>
      <c r="EG118">
        <v>1800.27</v>
      </c>
      <c r="EH118">
        <v>0.97800900000000002</v>
      </c>
      <c r="EI118">
        <v>2.1990599999999999E-2</v>
      </c>
      <c r="EJ118">
        <v>0</v>
      </c>
      <c r="EK118">
        <v>641.07399999999996</v>
      </c>
      <c r="EL118">
        <v>5.0002500000000003</v>
      </c>
      <c r="EM118">
        <v>15237.4</v>
      </c>
      <c r="EN118">
        <v>14824.3</v>
      </c>
      <c r="EO118">
        <v>47.811999999999998</v>
      </c>
      <c r="EP118">
        <v>48.811999999999998</v>
      </c>
      <c r="EQ118">
        <v>48.625</v>
      </c>
      <c r="ER118">
        <v>47.811999999999998</v>
      </c>
      <c r="ES118">
        <v>48.936999999999998</v>
      </c>
      <c r="ET118">
        <v>1755.79</v>
      </c>
      <c r="EU118">
        <v>39.479999999999997</v>
      </c>
      <c r="EV118">
        <v>0</v>
      </c>
      <c r="EW118">
        <v>107</v>
      </c>
      <c r="EX118">
        <v>0</v>
      </c>
      <c r="EY118">
        <v>641.42719230769228</v>
      </c>
      <c r="EZ118">
        <v>-3.003384598806222</v>
      </c>
      <c r="FA118">
        <v>-86.772649374336282</v>
      </c>
      <c r="FB118">
        <v>15258.073076923079</v>
      </c>
      <c r="FC118">
        <v>15</v>
      </c>
      <c r="FD118">
        <v>1693521345.5</v>
      </c>
      <c r="FE118" t="s">
        <v>938</v>
      </c>
      <c r="FF118">
        <v>1693521341</v>
      </c>
      <c r="FG118">
        <v>1693521345.5</v>
      </c>
      <c r="FH118">
        <v>116</v>
      </c>
      <c r="FI118">
        <v>0.32600000000000001</v>
      </c>
      <c r="FJ118">
        <v>0</v>
      </c>
      <c r="FK118">
        <v>-1.831</v>
      </c>
      <c r="FL118">
        <v>-0.315</v>
      </c>
      <c r="FM118">
        <v>120</v>
      </c>
      <c r="FN118">
        <v>25</v>
      </c>
      <c r="FO118">
        <v>0.31</v>
      </c>
      <c r="FP118">
        <v>0.05</v>
      </c>
      <c r="FQ118">
        <v>12.622074161171939</v>
      </c>
      <c r="FR118">
        <v>0.69446624071022878</v>
      </c>
      <c r="FS118">
        <v>6.5117228461546744E-2</v>
      </c>
      <c r="FT118">
        <v>1</v>
      </c>
      <c r="FU118">
        <v>0.28831672125673452</v>
      </c>
      <c r="FV118">
        <v>2.0607969840872389E-3</v>
      </c>
      <c r="FW118">
        <v>2.2271127498132851E-3</v>
      </c>
      <c r="FX118">
        <v>1</v>
      </c>
      <c r="FY118">
        <v>2</v>
      </c>
      <c r="FZ118">
        <v>2</v>
      </c>
      <c r="GA118" t="s">
        <v>422</v>
      </c>
      <c r="GB118">
        <v>2.9230399999999999</v>
      </c>
      <c r="GC118">
        <v>2.82992</v>
      </c>
      <c r="GD118">
        <v>2.8926299999999999E-2</v>
      </c>
      <c r="GE118">
        <v>3.1817600000000001E-2</v>
      </c>
      <c r="GF118">
        <v>0.13750899999999999</v>
      </c>
      <c r="GG118">
        <v>0.11668199999999999</v>
      </c>
      <c r="GH118">
        <v>25537.9</v>
      </c>
      <c r="GI118">
        <v>30911.4</v>
      </c>
      <c r="GJ118">
        <v>23668.1</v>
      </c>
      <c r="GK118">
        <v>29217.7</v>
      </c>
      <c r="GL118">
        <v>27828.400000000001</v>
      </c>
      <c r="GM118">
        <v>36455.1</v>
      </c>
      <c r="GN118">
        <v>33480</v>
      </c>
      <c r="GO118">
        <v>43072.5</v>
      </c>
      <c r="GP118">
        <v>2.0373000000000001</v>
      </c>
      <c r="GQ118">
        <v>1.9095</v>
      </c>
      <c r="GR118">
        <v>0.132382</v>
      </c>
      <c r="GS118">
        <v>0</v>
      </c>
      <c r="GT118">
        <v>27.776700000000002</v>
      </c>
      <c r="GU118">
        <v>999.9</v>
      </c>
      <c r="GV118">
        <v>51.4</v>
      </c>
      <c r="GW118">
        <v>34.9</v>
      </c>
      <c r="GX118">
        <v>29.031199999999998</v>
      </c>
      <c r="GY118">
        <v>61.169199999999996</v>
      </c>
      <c r="GZ118">
        <v>33.725999999999999</v>
      </c>
      <c r="HA118">
        <v>1</v>
      </c>
      <c r="HB118">
        <v>0.14771300000000001</v>
      </c>
      <c r="HC118">
        <v>-0.37741799999999998</v>
      </c>
      <c r="HD118">
        <v>20.3248</v>
      </c>
      <c r="HE118">
        <v>5.2112999999999996</v>
      </c>
      <c r="HF118">
        <v>11.872199999999999</v>
      </c>
      <c r="HG118">
        <v>4.9850000000000003</v>
      </c>
      <c r="HH118">
        <v>3.2839999999999998</v>
      </c>
      <c r="HI118">
        <v>9999</v>
      </c>
      <c r="HJ118">
        <v>9999</v>
      </c>
      <c r="HK118">
        <v>9999</v>
      </c>
      <c r="HL118">
        <v>999.9</v>
      </c>
      <c r="HM118">
        <v>1.8545700000000001</v>
      </c>
      <c r="HN118">
        <v>1.8607100000000001</v>
      </c>
      <c r="HO118">
        <v>1.8581700000000001</v>
      </c>
      <c r="HP118">
        <v>1.85934</v>
      </c>
      <c r="HQ118">
        <v>1.85867</v>
      </c>
      <c r="HR118">
        <v>1.85924</v>
      </c>
      <c r="HS118">
        <v>1.8575999999999999</v>
      </c>
      <c r="HT118">
        <v>1.8609599999999999</v>
      </c>
      <c r="HU118">
        <v>5</v>
      </c>
      <c r="HV118">
        <v>0</v>
      </c>
      <c r="HW118">
        <v>0</v>
      </c>
      <c r="HX118">
        <v>0</v>
      </c>
      <c r="HY118" t="s">
        <v>423</v>
      </c>
      <c r="HZ118" t="s">
        <v>424</v>
      </c>
      <c r="IA118" t="s">
        <v>425</v>
      </c>
      <c r="IB118" t="s">
        <v>425</v>
      </c>
      <c r="IC118" t="s">
        <v>425</v>
      </c>
      <c r="ID118" t="s">
        <v>425</v>
      </c>
      <c r="IE118">
        <v>0</v>
      </c>
      <c r="IF118">
        <v>100</v>
      </c>
      <c r="IG118">
        <v>100</v>
      </c>
      <c r="IH118">
        <v>-1.831</v>
      </c>
      <c r="II118">
        <v>-0.31490000000000001</v>
      </c>
      <c r="IJ118">
        <v>-1.8314000000000019</v>
      </c>
      <c r="IK118">
        <v>0</v>
      </c>
      <c r="IL118">
        <v>0</v>
      </c>
      <c r="IM118">
        <v>0</v>
      </c>
      <c r="IN118">
        <v>-0.31488095238094971</v>
      </c>
      <c r="IO118">
        <v>0</v>
      </c>
      <c r="IP118">
        <v>0</v>
      </c>
      <c r="IQ118">
        <v>0</v>
      </c>
      <c r="IR118">
        <v>-1</v>
      </c>
      <c r="IS118">
        <v>-1</v>
      </c>
      <c r="IT118">
        <v>-1</v>
      </c>
      <c r="IU118">
        <v>-1</v>
      </c>
      <c r="IV118">
        <v>0.7</v>
      </c>
      <c r="IW118">
        <v>0.7</v>
      </c>
      <c r="IX118">
        <v>0.41503899999999999</v>
      </c>
      <c r="IY118">
        <v>2.48291</v>
      </c>
      <c r="IZ118">
        <v>1.49414</v>
      </c>
      <c r="JA118">
        <v>2.2888199999999999</v>
      </c>
      <c r="JB118">
        <v>1.54419</v>
      </c>
      <c r="JC118">
        <v>2.5134300000000001</v>
      </c>
      <c r="JD118">
        <v>36.979399999999998</v>
      </c>
      <c r="JE118">
        <v>15.7081</v>
      </c>
      <c r="JF118">
        <v>18</v>
      </c>
      <c r="JG118">
        <v>533.87199999999996</v>
      </c>
      <c r="JH118">
        <v>484.86200000000002</v>
      </c>
      <c r="JI118">
        <v>28.440799999999999</v>
      </c>
      <c r="JJ118">
        <v>29.412600000000001</v>
      </c>
      <c r="JK118">
        <v>30</v>
      </c>
      <c r="JL118">
        <v>29.423999999999999</v>
      </c>
      <c r="JM118">
        <v>29.396899999999999</v>
      </c>
      <c r="JN118">
        <v>8.3789899999999999</v>
      </c>
      <c r="JO118">
        <v>21.9224</v>
      </c>
      <c r="JP118">
        <v>100</v>
      </c>
      <c r="JQ118">
        <v>28.464200000000002</v>
      </c>
      <c r="JR118">
        <v>120</v>
      </c>
      <c r="JS118">
        <v>24.3858</v>
      </c>
      <c r="JT118">
        <v>99.279799999999994</v>
      </c>
      <c r="JU118">
        <v>97.069199999999995</v>
      </c>
    </row>
    <row r="119" spans="1:281" x14ac:dyDescent="0.25">
      <c r="A119">
        <v>103</v>
      </c>
      <c r="B119">
        <v>1693521509.5</v>
      </c>
      <c r="C119">
        <v>27373.5</v>
      </c>
      <c r="D119" t="s">
        <v>939</v>
      </c>
      <c r="E119" t="s">
        <v>940</v>
      </c>
      <c r="F119" t="s">
        <v>414</v>
      </c>
      <c r="G119" t="s">
        <v>779</v>
      </c>
      <c r="H119" t="s">
        <v>495</v>
      </c>
      <c r="I119" t="s">
        <v>416</v>
      </c>
      <c r="J119">
        <v>1693521509.5</v>
      </c>
      <c r="K119">
        <f t="shared" si="138"/>
        <v>4.3313422557731997E-3</v>
      </c>
      <c r="L119">
        <f t="shared" si="139"/>
        <v>4.3313422557731993</v>
      </c>
      <c r="M119">
        <f t="shared" si="140"/>
        <v>8.032587359312128</v>
      </c>
      <c r="N119">
        <f t="shared" si="141"/>
        <v>60.030799999999999</v>
      </c>
      <c r="O119">
        <f t="shared" si="142"/>
        <v>17.398266425090526</v>
      </c>
      <c r="P119">
        <f t="shared" si="143"/>
        <v>1.7320659961450497</v>
      </c>
      <c r="Q119">
        <f t="shared" si="144"/>
        <v>5.9763027453951203</v>
      </c>
      <c r="R119">
        <f t="shared" si="145"/>
        <v>0.32392143793975287</v>
      </c>
      <c r="S119">
        <f t="shared" si="146"/>
        <v>2.921714923461356</v>
      </c>
      <c r="T119">
        <f t="shared" si="147"/>
        <v>0.30521094659793924</v>
      </c>
      <c r="U119">
        <f t="shared" si="148"/>
        <v>0.19234778150164331</v>
      </c>
      <c r="V119">
        <f t="shared" si="149"/>
        <v>344.37829967100919</v>
      </c>
      <c r="W119">
        <f t="shared" si="150"/>
        <v>31.598059116552776</v>
      </c>
      <c r="X119">
        <f t="shared" si="151"/>
        <v>30.0046</v>
      </c>
      <c r="Y119">
        <f t="shared" si="152"/>
        <v>4.2615755990549129</v>
      </c>
      <c r="Z119">
        <f t="shared" si="153"/>
        <v>65.406416174470536</v>
      </c>
      <c r="AA119">
        <f t="shared" si="154"/>
        <v>2.8995881864281201</v>
      </c>
      <c r="AB119">
        <f t="shared" si="155"/>
        <v>4.4331861551526019</v>
      </c>
      <c r="AC119">
        <f t="shared" si="156"/>
        <v>1.3619874126267928</v>
      </c>
      <c r="AD119">
        <f t="shared" si="157"/>
        <v>-191.0121934795981</v>
      </c>
      <c r="AE119">
        <f t="shared" si="158"/>
        <v>108.54392757255926</v>
      </c>
      <c r="AF119">
        <f t="shared" si="159"/>
        <v>8.2891081966816547</v>
      </c>
      <c r="AG119">
        <f t="shared" si="160"/>
        <v>270.19914196065201</v>
      </c>
      <c r="AH119">
        <v>0</v>
      </c>
      <c r="AI119">
        <v>0</v>
      </c>
      <c r="AJ119">
        <f t="shared" si="161"/>
        <v>1</v>
      </c>
      <c r="AK119">
        <f t="shared" si="162"/>
        <v>0</v>
      </c>
      <c r="AL119">
        <f t="shared" si="163"/>
        <v>51998.98248054638</v>
      </c>
      <c r="AM119" t="s">
        <v>417</v>
      </c>
      <c r="AN119">
        <v>10366.9</v>
      </c>
      <c r="AO119">
        <v>993.59653846153856</v>
      </c>
      <c r="AP119">
        <v>3431.87</v>
      </c>
      <c r="AQ119">
        <f t="shared" si="164"/>
        <v>0.71047955241266758</v>
      </c>
      <c r="AR119">
        <v>-3.9894345373445681</v>
      </c>
      <c r="AS119" t="s">
        <v>941</v>
      </c>
      <c r="AT119">
        <v>10308</v>
      </c>
      <c r="AU119">
        <v>645.36892</v>
      </c>
      <c r="AV119">
        <v>715.40863039246767</v>
      </c>
      <c r="AW119">
        <f t="shared" si="165"/>
        <v>9.7901685018874307E-2</v>
      </c>
      <c r="AX119">
        <v>0.5</v>
      </c>
      <c r="AY119">
        <f t="shared" si="166"/>
        <v>1513.2263998355043</v>
      </c>
      <c r="AZ119">
        <f t="shared" si="167"/>
        <v>8.032587359312128</v>
      </c>
      <c r="BA119">
        <f t="shared" si="168"/>
        <v>74.073707179470347</v>
      </c>
      <c r="BB119">
        <f t="shared" si="169"/>
        <v>7.9446287072202498E-3</v>
      </c>
      <c r="BC119">
        <f t="shared" si="170"/>
        <v>3.7970765995893876</v>
      </c>
      <c r="BD119">
        <f t="shared" si="171"/>
        <v>473.2919147099912</v>
      </c>
      <c r="BE119" t="s">
        <v>942</v>
      </c>
      <c r="BF119">
        <v>532.32000000000005</v>
      </c>
      <c r="BG119">
        <f t="shared" si="172"/>
        <v>532.32000000000005</v>
      </c>
      <c r="BH119">
        <f t="shared" si="173"/>
        <v>0.25592175242843607</v>
      </c>
      <c r="BI119">
        <f t="shared" si="174"/>
        <v>0.38254538385224135</v>
      </c>
      <c r="BJ119">
        <f t="shared" si="175"/>
        <v>0.93685619134263332</v>
      </c>
      <c r="BK119">
        <f t="shared" si="176"/>
        <v>-0.25177122499184112</v>
      </c>
      <c r="BL119">
        <f t="shared" si="177"/>
        <v>1.1140921690931025</v>
      </c>
      <c r="BM119">
        <f t="shared" si="178"/>
        <v>0.31553511862986078</v>
      </c>
      <c r="BN119">
        <f t="shared" si="179"/>
        <v>0.68446488137013928</v>
      </c>
      <c r="BO119">
        <v>16912</v>
      </c>
      <c r="BP119">
        <v>290.00000000000011</v>
      </c>
      <c r="BQ119">
        <v>696.96</v>
      </c>
      <c r="BR119">
        <v>265</v>
      </c>
      <c r="BS119">
        <v>10308</v>
      </c>
      <c r="BT119">
        <v>696.53</v>
      </c>
      <c r="BU119">
        <v>0.43</v>
      </c>
      <c r="BV119">
        <v>300.00000000000011</v>
      </c>
      <c r="BW119">
        <v>38.4</v>
      </c>
      <c r="BX119">
        <v>715.40863039246767</v>
      </c>
      <c r="BY119">
        <v>1.111460170314484</v>
      </c>
      <c r="BZ119">
        <v>-19.45735167970367</v>
      </c>
      <c r="CA119">
        <v>0.93821114889690072</v>
      </c>
      <c r="CB119">
        <v>0.93887755612777424</v>
      </c>
      <c r="CC119">
        <v>-1.123532903225808E-2</v>
      </c>
      <c r="CD119">
        <v>289.99999999999989</v>
      </c>
      <c r="CE119">
        <v>694.01</v>
      </c>
      <c r="CF119">
        <v>675</v>
      </c>
      <c r="CG119">
        <v>10292.200000000001</v>
      </c>
      <c r="CH119">
        <v>696.5</v>
      </c>
      <c r="CI119">
        <v>-2.4900000000000002</v>
      </c>
      <c r="CW119">
        <f t="shared" si="180"/>
        <v>1800.05</v>
      </c>
      <c r="CX119">
        <f t="shared" si="181"/>
        <v>1513.2263998355043</v>
      </c>
      <c r="CY119">
        <f t="shared" si="182"/>
        <v>0.84065798163134597</v>
      </c>
      <c r="CZ119">
        <f t="shared" si="183"/>
        <v>0.19131596326269226</v>
      </c>
      <c r="DA119">
        <v>6</v>
      </c>
      <c r="DB119">
        <v>0.5</v>
      </c>
      <c r="DC119" t="s">
        <v>420</v>
      </c>
      <c r="DD119">
        <v>2</v>
      </c>
      <c r="DE119">
        <v>1693521509.5</v>
      </c>
      <c r="DF119">
        <v>60.030799999999999</v>
      </c>
      <c r="DG119">
        <v>69.986800000000002</v>
      </c>
      <c r="DH119">
        <v>29.125800000000002</v>
      </c>
      <c r="DI119">
        <v>24.077100000000002</v>
      </c>
      <c r="DJ119">
        <v>61.772799999999997</v>
      </c>
      <c r="DK119">
        <v>29.442900000000002</v>
      </c>
      <c r="DL119">
        <v>499.755</v>
      </c>
      <c r="DM119">
        <v>99.454599999999999</v>
      </c>
      <c r="DN119">
        <v>9.9341399999999996E-2</v>
      </c>
      <c r="DO119">
        <v>30.6937</v>
      </c>
      <c r="DP119">
        <v>30.0046</v>
      </c>
      <c r="DQ119">
        <v>999.9</v>
      </c>
      <c r="DR119">
        <v>0</v>
      </c>
      <c r="DS119">
        <v>0</v>
      </c>
      <c r="DT119">
        <v>10010</v>
      </c>
      <c r="DU119">
        <v>0</v>
      </c>
      <c r="DV119">
        <v>536.91200000000003</v>
      </c>
      <c r="DW119">
        <v>-9.9559599999999993</v>
      </c>
      <c r="DX119">
        <v>61.831699999999998</v>
      </c>
      <c r="DY119">
        <v>71.713499999999996</v>
      </c>
      <c r="DZ119">
        <v>5.0486700000000004</v>
      </c>
      <c r="EA119">
        <v>69.986800000000002</v>
      </c>
      <c r="EB119">
        <v>24.077100000000002</v>
      </c>
      <c r="EC119">
        <v>2.8967000000000001</v>
      </c>
      <c r="ED119">
        <v>2.3945799999999999</v>
      </c>
      <c r="EE119">
        <v>23.445699999999999</v>
      </c>
      <c r="EF119">
        <v>20.327200000000001</v>
      </c>
      <c r="EG119">
        <v>1800.05</v>
      </c>
      <c r="EH119">
        <v>0.97800600000000004</v>
      </c>
      <c r="EI119">
        <v>2.1994400000000001E-2</v>
      </c>
      <c r="EJ119">
        <v>0</v>
      </c>
      <c r="EK119">
        <v>645.149</v>
      </c>
      <c r="EL119">
        <v>5.0002500000000003</v>
      </c>
      <c r="EM119">
        <v>15182</v>
      </c>
      <c r="EN119">
        <v>14822.5</v>
      </c>
      <c r="EO119">
        <v>47.75</v>
      </c>
      <c r="EP119">
        <v>48.686999999999998</v>
      </c>
      <c r="EQ119">
        <v>48.561999999999998</v>
      </c>
      <c r="ER119">
        <v>47.686999999999998</v>
      </c>
      <c r="ES119">
        <v>48.875</v>
      </c>
      <c r="ET119">
        <v>1755.57</v>
      </c>
      <c r="EU119">
        <v>39.479999999999997</v>
      </c>
      <c r="EV119">
        <v>0</v>
      </c>
      <c r="EW119">
        <v>123.2000000476837</v>
      </c>
      <c r="EX119">
        <v>0</v>
      </c>
      <c r="EY119">
        <v>645.36892</v>
      </c>
      <c r="EZ119">
        <v>-1.624999995231083</v>
      </c>
      <c r="FA119">
        <v>-60.261538847872551</v>
      </c>
      <c r="FB119">
        <v>15188.044</v>
      </c>
      <c r="FC119">
        <v>15</v>
      </c>
      <c r="FD119">
        <v>1693521478</v>
      </c>
      <c r="FE119" t="s">
        <v>943</v>
      </c>
      <c r="FF119">
        <v>1693521472</v>
      </c>
      <c r="FG119">
        <v>1693521478</v>
      </c>
      <c r="FH119">
        <v>117</v>
      </c>
      <c r="FI119">
        <v>8.8999999999999996E-2</v>
      </c>
      <c r="FJ119">
        <v>-2E-3</v>
      </c>
      <c r="FK119">
        <v>-1.742</v>
      </c>
      <c r="FL119">
        <v>-0.317</v>
      </c>
      <c r="FM119">
        <v>70</v>
      </c>
      <c r="FN119">
        <v>24</v>
      </c>
      <c r="FO119">
        <v>0.41</v>
      </c>
      <c r="FP119">
        <v>7.0000000000000007E-2</v>
      </c>
      <c r="FQ119">
        <v>8.0332260549161756</v>
      </c>
      <c r="FR119">
        <v>0.45941888642062451</v>
      </c>
      <c r="FS119">
        <v>4.9057624205478823E-2</v>
      </c>
      <c r="FT119">
        <v>1</v>
      </c>
      <c r="FU119">
        <v>0.31900520932045318</v>
      </c>
      <c r="FV119">
        <v>4.2760240024270209E-2</v>
      </c>
      <c r="FW119">
        <v>5.2646070734886788E-3</v>
      </c>
      <c r="FX119">
        <v>1</v>
      </c>
      <c r="FY119">
        <v>2</v>
      </c>
      <c r="FZ119">
        <v>2</v>
      </c>
      <c r="GA119" t="s">
        <v>422</v>
      </c>
      <c r="GB119">
        <v>2.9213399999999998</v>
      </c>
      <c r="GC119">
        <v>2.82931</v>
      </c>
      <c r="GD119">
        <v>1.7195599999999998E-2</v>
      </c>
      <c r="GE119">
        <v>1.9004E-2</v>
      </c>
      <c r="GF119">
        <v>0.13832</v>
      </c>
      <c r="GG119">
        <v>0.11570900000000001</v>
      </c>
      <c r="GH119">
        <v>25846.3</v>
      </c>
      <c r="GI119">
        <v>31324.2</v>
      </c>
      <c r="GJ119">
        <v>23667.9</v>
      </c>
      <c r="GK119">
        <v>29221</v>
      </c>
      <c r="GL119">
        <v>27801.1</v>
      </c>
      <c r="GM119">
        <v>36498.699999999997</v>
      </c>
      <c r="GN119">
        <v>33481</v>
      </c>
      <c r="GO119">
        <v>43077.1</v>
      </c>
      <c r="GP119">
        <v>2.0371999999999999</v>
      </c>
      <c r="GQ119">
        <v>1.9121999999999999</v>
      </c>
      <c r="GR119">
        <v>0.13700100000000001</v>
      </c>
      <c r="GS119">
        <v>0</v>
      </c>
      <c r="GT119">
        <v>27.771000000000001</v>
      </c>
      <c r="GU119">
        <v>999.9</v>
      </c>
      <c r="GV119">
        <v>51.6</v>
      </c>
      <c r="GW119">
        <v>34.6</v>
      </c>
      <c r="GX119">
        <v>28.6648</v>
      </c>
      <c r="GY119">
        <v>61.299199999999999</v>
      </c>
      <c r="GZ119">
        <v>34.286900000000003</v>
      </c>
      <c r="HA119">
        <v>1</v>
      </c>
      <c r="HB119">
        <v>0.14332300000000001</v>
      </c>
      <c r="HC119">
        <v>-0.14604600000000001</v>
      </c>
      <c r="HD119">
        <v>20.324300000000001</v>
      </c>
      <c r="HE119">
        <v>5.2077099999999996</v>
      </c>
      <c r="HF119">
        <v>11.872199999999999</v>
      </c>
      <c r="HG119">
        <v>4.984</v>
      </c>
      <c r="HH119">
        <v>3.2831000000000001</v>
      </c>
      <c r="HI119">
        <v>9999</v>
      </c>
      <c r="HJ119">
        <v>9999</v>
      </c>
      <c r="HK119">
        <v>9999</v>
      </c>
      <c r="HL119">
        <v>999.9</v>
      </c>
      <c r="HM119">
        <v>1.8545499999999999</v>
      </c>
      <c r="HN119">
        <v>1.86066</v>
      </c>
      <c r="HO119">
        <v>1.85806</v>
      </c>
      <c r="HP119">
        <v>1.8593</v>
      </c>
      <c r="HQ119">
        <v>1.85867</v>
      </c>
      <c r="HR119">
        <v>1.8591299999999999</v>
      </c>
      <c r="HS119">
        <v>1.8575999999999999</v>
      </c>
      <c r="HT119">
        <v>1.8609599999999999</v>
      </c>
      <c r="HU119">
        <v>5</v>
      </c>
      <c r="HV119">
        <v>0</v>
      </c>
      <c r="HW119">
        <v>0</v>
      </c>
      <c r="HX119">
        <v>0</v>
      </c>
      <c r="HY119" t="s">
        <v>423</v>
      </c>
      <c r="HZ119" t="s">
        <v>424</v>
      </c>
      <c r="IA119" t="s">
        <v>425</v>
      </c>
      <c r="IB119" t="s">
        <v>425</v>
      </c>
      <c r="IC119" t="s">
        <v>425</v>
      </c>
      <c r="ID119" t="s">
        <v>425</v>
      </c>
      <c r="IE119">
        <v>0</v>
      </c>
      <c r="IF119">
        <v>100</v>
      </c>
      <c r="IG119">
        <v>100</v>
      </c>
      <c r="IH119">
        <v>-1.742</v>
      </c>
      <c r="II119">
        <v>-0.31709999999999999</v>
      </c>
      <c r="IJ119">
        <v>-1.7419949999999891</v>
      </c>
      <c r="IK119">
        <v>0</v>
      </c>
      <c r="IL119">
        <v>0</v>
      </c>
      <c r="IM119">
        <v>0</v>
      </c>
      <c r="IN119">
        <v>-0.31708500000000228</v>
      </c>
      <c r="IO119">
        <v>0</v>
      </c>
      <c r="IP119">
        <v>0</v>
      </c>
      <c r="IQ119">
        <v>0</v>
      </c>
      <c r="IR119">
        <v>-1</v>
      </c>
      <c r="IS119">
        <v>-1</v>
      </c>
      <c r="IT119">
        <v>-1</v>
      </c>
      <c r="IU119">
        <v>-1</v>
      </c>
      <c r="IV119">
        <v>0.6</v>
      </c>
      <c r="IW119">
        <v>0.5</v>
      </c>
      <c r="IX119">
        <v>0.302734</v>
      </c>
      <c r="IY119">
        <v>2.50244</v>
      </c>
      <c r="IZ119">
        <v>1.49414</v>
      </c>
      <c r="JA119">
        <v>2.2900399999999999</v>
      </c>
      <c r="JB119">
        <v>1.54419</v>
      </c>
      <c r="JC119">
        <v>2.3303199999999999</v>
      </c>
      <c r="JD119">
        <v>36.860399999999998</v>
      </c>
      <c r="JE119">
        <v>15.664300000000001</v>
      </c>
      <c r="JF119">
        <v>18</v>
      </c>
      <c r="JG119">
        <v>533.279</v>
      </c>
      <c r="JH119">
        <v>486.25</v>
      </c>
      <c r="JI119">
        <v>28.7514</v>
      </c>
      <c r="JJ119">
        <v>29.354500000000002</v>
      </c>
      <c r="JK119">
        <v>29.9999</v>
      </c>
      <c r="JL119">
        <v>29.366499999999998</v>
      </c>
      <c r="JM119">
        <v>29.3369</v>
      </c>
      <c r="JN119">
        <v>6.13089</v>
      </c>
      <c r="JO119">
        <v>22.296299999999999</v>
      </c>
      <c r="JP119">
        <v>100</v>
      </c>
      <c r="JQ119">
        <v>28.742899999999999</v>
      </c>
      <c r="JR119">
        <v>70</v>
      </c>
      <c r="JS119">
        <v>24.082899999999999</v>
      </c>
      <c r="JT119">
        <v>99.281199999999998</v>
      </c>
      <c r="JU119">
        <v>97.079800000000006</v>
      </c>
    </row>
    <row r="120" spans="1:281" x14ac:dyDescent="0.25">
      <c r="A120">
        <v>104</v>
      </c>
      <c r="B120">
        <v>1693521649.0999999</v>
      </c>
      <c r="C120">
        <v>27513.099999904629</v>
      </c>
      <c r="D120" t="s">
        <v>944</v>
      </c>
      <c r="E120" t="s">
        <v>945</v>
      </c>
      <c r="F120" t="s">
        <v>414</v>
      </c>
      <c r="G120" t="s">
        <v>779</v>
      </c>
      <c r="H120" t="s">
        <v>495</v>
      </c>
      <c r="I120" t="s">
        <v>416</v>
      </c>
      <c r="J120">
        <v>1693521649.0999999</v>
      </c>
      <c r="K120">
        <f t="shared" si="138"/>
        <v>4.5264749107034805E-3</v>
      </c>
      <c r="L120">
        <f t="shared" si="139"/>
        <v>4.5264749107034801</v>
      </c>
      <c r="M120">
        <f t="shared" si="140"/>
        <v>3.6616052582724068</v>
      </c>
      <c r="N120">
        <f t="shared" si="141"/>
        <v>25.485199999999999</v>
      </c>
      <c r="O120">
        <f t="shared" si="142"/>
        <v>6.9868695396364133</v>
      </c>
      <c r="P120">
        <f t="shared" si="143"/>
        <v>0.69554536676484791</v>
      </c>
      <c r="Q120">
        <f t="shared" si="144"/>
        <v>2.5370607938956797</v>
      </c>
      <c r="R120">
        <f t="shared" si="145"/>
        <v>0.34096043495334849</v>
      </c>
      <c r="S120">
        <f t="shared" si="146"/>
        <v>2.9155124449503855</v>
      </c>
      <c r="T120">
        <f t="shared" si="147"/>
        <v>0.32025602788702551</v>
      </c>
      <c r="U120">
        <f t="shared" si="148"/>
        <v>0.20191537124447523</v>
      </c>
      <c r="V120">
        <f t="shared" si="149"/>
        <v>344.40109967103115</v>
      </c>
      <c r="W120">
        <f t="shared" si="150"/>
        <v>31.634085616279442</v>
      </c>
      <c r="X120">
        <f t="shared" si="151"/>
        <v>30.0184</v>
      </c>
      <c r="Y120">
        <f t="shared" si="152"/>
        <v>4.2649546347291931</v>
      </c>
      <c r="Z120">
        <f t="shared" si="153"/>
        <v>65.292157275790998</v>
      </c>
      <c r="AA120">
        <f t="shared" si="154"/>
        <v>2.908612596552</v>
      </c>
      <c r="AB120">
        <f t="shared" si="155"/>
        <v>4.4547656531950039</v>
      </c>
      <c r="AC120">
        <f t="shared" si="156"/>
        <v>1.3563420381771931</v>
      </c>
      <c r="AD120">
        <f t="shared" si="157"/>
        <v>-199.61754356202349</v>
      </c>
      <c r="AE120">
        <f t="shared" si="158"/>
        <v>119.50479560052533</v>
      </c>
      <c r="AF120">
        <f t="shared" si="159"/>
        <v>9.1500364919541344</v>
      </c>
      <c r="AG120">
        <f t="shared" si="160"/>
        <v>273.43838820148716</v>
      </c>
      <c r="AH120">
        <v>0</v>
      </c>
      <c r="AI120">
        <v>0</v>
      </c>
      <c r="AJ120">
        <f t="shared" si="161"/>
        <v>1</v>
      </c>
      <c r="AK120">
        <f t="shared" si="162"/>
        <v>0</v>
      </c>
      <c r="AL120">
        <f t="shared" si="163"/>
        <v>51807.969030572036</v>
      </c>
      <c r="AM120" t="s">
        <v>417</v>
      </c>
      <c r="AN120">
        <v>10366.9</v>
      </c>
      <c r="AO120">
        <v>993.59653846153856</v>
      </c>
      <c r="AP120">
        <v>3431.87</v>
      </c>
      <c r="AQ120">
        <f t="shared" si="164"/>
        <v>0.71047955241266758</v>
      </c>
      <c r="AR120">
        <v>-3.9894345373445681</v>
      </c>
      <c r="AS120" t="s">
        <v>946</v>
      </c>
      <c r="AT120">
        <v>10323.700000000001</v>
      </c>
      <c r="AU120">
        <v>650.67315999999994</v>
      </c>
      <c r="AV120">
        <v>701.1936244088289</v>
      </c>
      <c r="AW120">
        <f t="shared" si="165"/>
        <v>7.2049235261404942E-2</v>
      </c>
      <c r="AX120">
        <v>0.5</v>
      </c>
      <c r="AY120">
        <f t="shared" si="166"/>
        <v>1513.3271998355156</v>
      </c>
      <c r="AZ120">
        <f t="shared" si="167"/>
        <v>3.6616052582724068</v>
      </c>
      <c r="BA120">
        <f t="shared" si="168"/>
        <v>54.517033724216112</v>
      </c>
      <c r="BB120">
        <f t="shared" si="169"/>
        <v>5.0557736598196151E-3</v>
      </c>
      <c r="BC120">
        <f t="shared" si="170"/>
        <v>3.8943257333427468</v>
      </c>
      <c r="BD120">
        <f t="shared" si="171"/>
        <v>467.02826924374085</v>
      </c>
      <c r="BE120" t="s">
        <v>947</v>
      </c>
      <c r="BF120">
        <v>543.91999999999996</v>
      </c>
      <c r="BG120">
        <f t="shared" si="172"/>
        <v>543.91999999999996</v>
      </c>
      <c r="BH120">
        <f t="shared" si="173"/>
        <v>0.22429414491813893</v>
      </c>
      <c r="BI120">
        <f t="shared" si="174"/>
        <v>0.32122655403109579</v>
      </c>
      <c r="BJ120">
        <f t="shared" si="175"/>
        <v>0.94554143097739618</v>
      </c>
      <c r="BK120">
        <f t="shared" si="176"/>
        <v>-0.17277688415828149</v>
      </c>
      <c r="BL120">
        <f t="shared" si="177"/>
        <v>1.119922116475079</v>
      </c>
      <c r="BM120">
        <f t="shared" si="178"/>
        <v>0.26852428839787035</v>
      </c>
      <c r="BN120">
        <f t="shared" si="179"/>
        <v>0.73147571160212965</v>
      </c>
      <c r="BO120">
        <v>16914</v>
      </c>
      <c r="BP120">
        <v>290.00000000000011</v>
      </c>
      <c r="BQ120">
        <v>686.77</v>
      </c>
      <c r="BR120">
        <v>155</v>
      </c>
      <c r="BS120">
        <v>10323.700000000001</v>
      </c>
      <c r="BT120">
        <v>686.27</v>
      </c>
      <c r="BU120">
        <v>0.5</v>
      </c>
      <c r="BV120">
        <v>300.00000000000011</v>
      </c>
      <c r="BW120">
        <v>38.4</v>
      </c>
      <c r="BX120">
        <v>701.1936244088289</v>
      </c>
      <c r="BY120">
        <v>1.067537663240588</v>
      </c>
      <c r="BZ120">
        <v>-15.40733702359884</v>
      </c>
      <c r="CA120">
        <v>0.90119719749036475</v>
      </c>
      <c r="CB120">
        <v>0.91257950847941427</v>
      </c>
      <c r="CC120">
        <v>-1.1236080088987769E-2</v>
      </c>
      <c r="CD120">
        <v>289.99999999999989</v>
      </c>
      <c r="CE120">
        <v>684</v>
      </c>
      <c r="CF120">
        <v>745</v>
      </c>
      <c r="CG120">
        <v>10288.299999999999</v>
      </c>
      <c r="CH120">
        <v>686.22</v>
      </c>
      <c r="CI120">
        <v>-2.2200000000000002</v>
      </c>
      <c r="CW120">
        <f t="shared" si="180"/>
        <v>1800.17</v>
      </c>
      <c r="CX120">
        <f t="shared" si="181"/>
        <v>1513.3271998355156</v>
      </c>
      <c r="CY120">
        <f t="shared" si="182"/>
        <v>0.8406579377700526</v>
      </c>
      <c r="CZ120">
        <f t="shared" si="183"/>
        <v>0.19131587554010518</v>
      </c>
      <c r="DA120">
        <v>6</v>
      </c>
      <c r="DB120">
        <v>0.5</v>
      </c>
      <c r="DC120" t="s">
        <v>420</v>
      </c>
      <c r="DD120">
        <v>2</v>
      </c>
      <c r="DE120">
        <v>1693521649.0999999</v>
      </c>
      <c r="DF120">
        <v>25.485199999999999</v>
      </c>
      <c r="DG120">
        <v>30.0181</v>
      </c>
      <c r="DH120">
        <v>29.217500000000001</v>
      </c>
      <c r="DI120">
        <v>23.9438</v>
      </c>
      <c r="DJ120">
        <v>27.087700000000002</v>
      </c>
      <c r="DK120">
        <v>29.5303</v>
      </c>
      <c r="DL120">
        <v>499.94</v>
      </c>
      <c r="DM120">
        <v>99.450599999999994</v>
      </c>
      <c r="DN120">
        <v>9.9758399999999997E-2</v>
      </c>
      <c r="DO120">
        <v>30.778700000000001</v>
      </c>
      <c r="DP120">
        <v>30.0184</v>
      </c>
      <c r="DQ120">
        <v>999.9</v>
      </c>
      <c r="DR120">
        <v>0</v>
      </c>
      <c r="DS120">
        <v>0</v>
      </c>
      <c r="DT120">
        <v>9975</v>
      </c>
      <c r="DU120">
        <v>0</v>
      </c>
      <c r="DV120">
        <v>265.041</v>
      </c>
      <c r="DW120">
        <v>-4.5328600000000003</v>
      </c>
      <c r="DX120">
        <v>26.252199999999998</v>
      </c>
      <c r="DY120">
        <v>30.7545</v>
      </c>
      <c r="DZ120">
        <v>5.2736799999999997</v>
      </c>
      <c r="EA120">
        <v>30.0181</v>
      </c>
      <c r="EB120">
        <v>23.9438</v>
      </c>
      <c r="EC120">
        <v>2.9056999999999999</v>
      </c>
      <c r="ED120">
        <v>2.38123</v>
      </c>
      <c r="EE120">
        <v>23.497199999999999</v>
      </c>
      <c r="EF120">
        <v>20.236699999999999</v>
      </c>
      <c r="EG120">
        <v>1800.17</v>
      </c>
      <c r="EH120">
        <v>0.97800600000000004</v>
      </c>
      <c r="EI120">
        <v>2.1994400000000001E-2</v>
      </c>
      <c r="EJ120">
        <v>0</v>
      </c>
      <c r="EK120">
        <v>650.74699999999996</v>
      </c>
      <c r="EL120">
        <v>5.0002500000000003</v>
      </c>
      <c r="EM120">
        <v>15131.5</v>
      </c>
      <c r="EN120">
        <v>14823.5</v>
      </c>
      <c r="EO120">
        <v>47.625</v>
      </c>
      <c r="EP120">
        <v>48.561999999999998</v>
      </c>
      <c r="EQ120">
        <v>48.436999999999998</v>
      </c>
      <c r="ER120">
        <v>47.625</v>
      </c>
      <c r="ES120">
        <v>48.811999999999998</v>
      </c>
      <c r="ET120">
        <v>1755.69</v>
      </c>
      <c r="EU120">
        <v>39.479999999999997</v>
      </c>
      <c r="EV120">
        <v>0</v>
      </c>
      <c r="EW120">
        <v>137.4000000953674</v>
      </c>
      <c r="EX120">
        <v>0</v>
      </c>
      <c r="EY120">
        <v>650.67315999999994</v>
      </c>
      <c r="EZ120">
        <v>-0.65992307727752841</v>
      </c>
      <c r="FA120">
        <v>-78.407691943849528</v>
      </c>
      <c r="FB120">
        <v>15137.208000000001</v>
      </c>
      <c r="FC120">
        <v>15</v>
      </c>
      <c r="FD120">
        <v>1693521616.5999999</v>
      </c>
      <c r="FE120" t="s">
        <v>948</v>
      </c>
      <c r="FF120">
        <v>1693521610.0999999</v>
      </c>
      <c r="FG120">
        <v>1693521616.5999999</v>
      </c>
      <c r="FH120">
        <v>118</v>
      </c>
      <c r="FI120">
        <v>0.14000000000000001</v>
      </c>
      <c r="FJ120">
        <v>4.0000000000000001E-3</v>
      </c>
      <c r="FK120">
        <v>-1.6020000000000001</v>
      </c>
      <c r="FL120">
        <v>-0.313</v>
      </c>
      <c r="FM120">
        <v>30</v>
      </c>
      <c r="FN120">
        <v>24</v>
      </c>
      <c r="FO120">
        <v>0.99</v>
      </c>
      <c r="FP120">
        <v>0.05</v>
      </c>
      <c r="FQ120">
        <v>3.6793362056393031</v>
      </c>
      <c r="FR120">
        <v>0.18150373385042279</v>
      </c>
      <c r="FS120">
        <v>4.6947112127202491E-2</v>
      </c>
      <c r="FT120">
        <v>1</v>
      </c>
      <c r="FU120">
        <v>0.34036726201445849</v>
      </c>
      <c r="FV120">
        <v>3.7012660894408987E-2</v>
      </c>
      <c r="FW120">
        <v>3.2287800516808038E-3</v>
      </c>
      <c r="FX120">
        <v>1</v>
      </c>
      <c r="FY120">
        <v>2</v>
      </c>
      <c r="FZ120">
        <v>2</v>
      </c>
      <c r="GA120" t="s">
        <v>422</v>
      </c>
      <c r="GB120">
        <v>2.9218700000000002</v>
      </c>
      <c r="GC120">
        <v>2.8294299999999999</v>
      </c>
      <c r="GD120">
        <v>7.63066E-3</v>
      </c>
      <c r="GE120">
        <v>8.2631400000000004E-3</v>
      </c>
      <c r="GF120">
        <v>0.13861899999999999</v>
      </c>
      <c r="GG120">
        <v>0.115275</v>
      </c>
      <c r="GH120">
        <v>26099.599999999999</v>
      </c>
      <c r="GI120">
        <v>31669.4</v>
      </c>
      <c r="GJ120">
        <v>23669.3</v>
      </c>
      <c r="GK120">
        <v>29222.799999999999</v>
      </c>
      <c r="GL120">
        <v>27792.5</v>
      </c>
      <c r="GM120">
        <v>36516.5</v>
      </c>
      <c r="GN120">
        <v>33483.9</v>
      </c>
      <c r="GO120">
        <v>43078</v>
      </c>
      <c r="GP120">
        <v>2.0377000000000001</v>
      </c>
      <c r="GQ120">
        <v>1.9146000000000001</v>
      </c>
      <c r="GR120">
        <v>0.139207</v>
      </c>
      <c r="GS120">
        <v>0</v>
      </c>
      <c r="GT120">
        <v>27.748799999999999</v>
      </c>
      <c r="GU120">
        <v>999.9</v>
      </c>
      <c r="GV120">
        <v>51.8</v>
      </c>
      <c r="GW120">
        <v>34.4</v>
      </c>
      <c r="GX120">
        <v>28.4573</v>
      </c>
      <c r="GY120">
        <v>61.238300000000002</v>
      </c>
      <c r="GZ120">
        <v>33.862200000000001</v>
      </c>
      <c r="HA120">
        <v>1</v>
      </c>
      <c r="HB120">
        <v>0.13914599999999999</v>
      </c>
      <c r="HC120">
        <v>-0.17049</v>
      </c>
      <c r="HD120">
        <v>20.323499999999999</v>
      </c>
      <c r="HE120">
        <v>5.2011200000000004</v>
      </c>
      <c r="HF120">
        <v>11.872199999999999</v>
      </c>
      <c r="HG120">
        <v>4.9817999999999998</v>
      </c>
      <c r="HH120">
        <v>3.2818999999999998</v>
      </c>
      <c r="HI120">
        <v>9999</v>
      </c>
      <c r="HJ120">
        <v>9999</v>
      </c>
      <c r="HK120">
        <v>9999</v>
      </c>
      <c r="HL120">
        <v>999.9</v>
      </c>
      <c r="HM120">
        <v>1.8545499999999999</v>
      </c>
      <c r="HN120">
        <v>1.86066</v>
      </c>
      <c r="HO120">
        <v>1.85806</v>
      </c>
      <c r="HP120">
        <v>1.8593</v>
      </c>
      <c r="HQ120">
        <v>1.85867</v>
      </c>
      <c r="HR120">
        <v>1.8592599999999999</v>
      </c>
      <c r="HS120">
        <v>1.8575999999999999</v>
      </c>
      <c r="HT120">
        <v>1.8609599999999999</v>
      </c>
      <c r="HU120">
        <v>5</v>
      </c>
      <c r="HV120">
        <v>0</v>
      </c>
      <c r="HW120">
        <v>0</v>
      </c>
      <c r="HX120">
        <v>0</v>
      </c>
      <c r="HY120" t="s">
        <v>423</v>
      </c>
      <c r="HZ120" t="s">
        <v>424</v>
      </c>
      <c r="IA120" t="s">
        <v>425</v>
      </c>
      <c r="IB120" t="s">
        <v>425</v>
      </c>
      <c r="IC120" t="s">
        <v>425</v>
      </c>
      <c r="ID120" t="s">
        <v>425</v>
      </c>
      <c r="IE120">
        <v>0</v>
      </c>
      <c r="IF120">
        <v>100</v>
      </c>
      <c r="IG120">
        <v>100</v>
      </c>
      <c r="IH120">
        <v>-1.603</v>
      </c>
      <c r="II120">
        <v>-0.31280000000000002</v>
      </c>
      <c r="IJ120">
        <v>-1.602485714285717</v>
      </c>
      <c r="IK120">
        <v>0</v>
      </c>
      <c r="IL120">
        <v>0</v>
      </c>
      <c r="IM120">
        <v>0</v>
      </c>
      <c r="IN120">
        <v>-0.31280999999999892</v>
      </c>
      <c r="IO120">
        <v>0</v>
      </c>
      <c r="IP120">
        <v>0</v>
      </c>
      <c r="IQ120">
        <v>0</v>
      </c>
      <c r="IR120">
        <v>-1</v>
      </c>
      <c r="IS120">
        <v>-1</v>
      </c>
      <c r="IT120">
        <v>-1</v>
      </c>
      <c r="IU120">
        <v>-1</v>
      </c>
      <c r="IV120">
        <v>0.7</v>
      </c>
      <c r="IW120">
        <v>0.5</v>
      </c>
      <c r="IX120">
        <v>0.21362300000000001</v>
      </c>
      <c r="IY120">
        <v>2.52197</v>
      </c>
      <c r="IZ120">
        <v>1.49414</v>
      </c>
      <c r="JA120">
        <v>2.2900399999999999</v>
      </c>
      <c r="JB120">
        <v>1.54419</v>
      </c>
      <c r="JC120">
        <v>2.4853499999999999</v>
      </c>
      <c r="JD120">
        <v>36.718000000000004</v>
      </c>
      <c r="JE120">
        <v>15.646800000000001</v>
      </c>
      <c r="JF120">
        <v>18</v>
      </c>
      <c r="JG120">
        <v>533.02</v>
      </c>
      <c r="JH120">
        <v>487.36599999999999</v>
      </c>
      <c r="JI120">
        <v>28.9055</v>
      </c>
      <c r="JJ120">
        <v>29.296600000000002</v>
      </c>
      <c r="JK120">
        <v>30</v>
      </c>
      <c r="JL120">
        <v>29.301500000000001</v>
      </c>
      <c r="JM120">
        <v>29.27</v>
      </c>
      <c r="JN120">
        <v>4.3383200000000004</v>
      </c>
      <c r="JO120">
        <v>21.6739</v>
      </c>
      <c r="JP120">
        <v>100</v>
      </c>
      <c r="JQ120">
        <v>28.894100000000002</v>
      </c>
      <c r="JR120">
        <v>30</v>
      </c>
      <c r="JS120">
        <v>23.9421</v>
      </c>
      <c r="JT120">
        <v>99.288799999999995</v>
      </c>
      <c r="JU120">
        <v>97.083500000000001</v>
      </c>
    </row>
    <row r="121" spans="1:281" x14ac:dyDescent="0.25">
      <c r="A121">
        <v>105</v>
      </c>
      <c r="B121">
        <v>1693521751.0999999</v>
      </c>
      <c r="C121">
        <v>27615.099999904629</v>
      </c>
      <c r="D121" t="s">
        <v>949</v>
      </c>
      <c r="E121" t="s">
        <v>950</v>
      </c>
      <c r="F121" t="s">
        <v>414</v>
      </c>
      <c r="G121" t="s">
        <v>779</v>
      </c>
      <c r="H121" t="s">
        <v>495</v>
      </c>
      <c r="I121" t="s">
        <v>416</v>
      </c>
      <c r="J121">
        <v>1693521751.0999999</v>
      </c>
      <c r="K121">
        <f t="shared" si="138"/>
        <v>4.6826721808376675E-3</v>
      </c>
      <c r="L121">
        <f t="shared" si="139"/>
        <v>4.6826721808376677</v>
      </c>
      <c r="M121">
        <f t="shared" si="140"/>
        <v>1.2448942296757215</v>
      </c>
      <c r="N121">
        <f t="shared" si="141"/>
        <v>8.4626099999999997</v>
      </c>
      <c r="O121">
        <f t="shared" si="142"/>
        <v>2.418962789783011</v>
      </c>
      <c r="P121">
        <f t="shared" si="143"/>
        <v>0.24080462526089993</v>
      </c>
      <c r="Q121">
        <f t="shared" si="144"/>
        <v>0.84244190873309988</v>
      </c>
      <c r="R121">
        <f t="shared" si="145"/>
        <v>0.35569318246124143</v>
      </c>
      <c r="S121">
        <f t="shared" si="146"/>
        <v>2.9242257560022034</v>
      </c>
      <c r="T121">
        <f t="shared" si="147"/>
        <v>0.33328654078375375</v>
      </c>
      <c r="U121">
        <f t="shared" si="148"/>
        <v>0.21019950446832075</v>
      </c>
      <c r="V121">
        <f t="shared" si="149"/>
        <v>344.41688650953381</v>
      </c>
      <c r="W121">
        <f t="shared" si="150"/>
        <v>31.569839809084613</v>
      </c>
      <c r="X121">
        <f t="shared" si="151"/>
        <v>29.994700000000002</v>
      </c>
      <c r="Y121">
        <f t="shared" si="152"/>
        <v>4.2591529457230788</v>
      </c>
      <c r="Z121">
        <f t="shared" si="153"/>
        <v>65.422611311617274</v>
      </c>
      <c r="AA121">
        <f t="shared" si="154"/>
        <v>2.9108640096260001</v>
      </c>
      <c r="AB121">
        <f t="shared" si="155"/>
        <v>4.449324096467409</v>
      </c>
      <c r="AC121">
        <f t="shared" si="156"/>
        <v>1.3482889360970787</v>
      </c>
      <c r="AD121">
        <f t="shared" si="157"/>
        <v>-206.50584317494113</v>
      </c>
      <c r="AE121">
        <f t="shared" si="158"/>
        <v>120.22454504105859</v>
      </c>
      <c r="AF121">
        <f t="shared" si="159"/>
        <v>9.1756703145875633</v>
      </c>
      <c r="AG121">
        <f t="shared" si="160"/>
        <v>267.31125869023884</v>
      </c>
      <c r="AH121">
        <v>0</v>
      </c>
      <c r="AI121">
        <v>0</v>
      </c>
      <c r="AJ121">
        <f t="shared" si="161"/>
        <v>1</v>
      </c>
      <c r="AK121">
        <f t="shared" si="162"/>
        <v>0</v>
      </c>
      <c r="AL121">
        <f t="shared" si="163"/>
        <v>52059.42974895097</v>
      </c>
      <c r="AM121" t="s">
        <v>417</v>
      </c>
      <c r="AN121">
        <v>10366.9</v>
      </c>
      <c r="AO121">
        <v>993.59653846153856</v>
      </c>
      <c r="AP121">
        <v>3431.87</v>
      </c>
      <c r="AQ121">
        <f t="shared" si="164"/>
        <v>0.71047955241266758</v>
      </c>
      <c r="AR121">
        <v>-3.9894345373445681</v>
      </c>
      <c r="AS121" t="s">
        <v>951</v>
      </c>
      <c r="AT121">
        <v>10334.299999999999</v>
      </c>
      <c r="AU121">
        <v>653.50661538461532</v>
      </c>
      <c r="AV121">
        <v>695.84967588443828</v>
      </c>
      <c r="AW121">
        <f t="shared" si="165"/>
        <v>6.0850873352788604E-2</v>
      </c>
      <c r="AX121">
        <v>0.5</v>
      </c>
      <c r="AY121">
        <f t="shared" si="166"/>
        <v>1513.3946932547669</v>
      </c>
      <c r="AZ121">
        <f t="shared" si="167"/>
        <v>1.2448942296757215</v>
      </c>
      <c r="BA121">
        <f t="shared" si="168"/>
        <v>46.045694406014093</v>
      </c>
      <c r="BB121">
        <f t="shared" si="169"/>
        <v>3.4586673194704639E-3</v>
      </c>
      <c r="BC121">
        <f t="shared" si="170"/>
        <v>3.9319129101239101</v>
      </c>
      <c r="BD121">
        <f t="shared" si="171"/>
        <v>464.65154153279741</v>
      </c>
      <c r="BE121" t="s">
        <v>952</v>
      </c>
      <c r="BF121">
        <v>550.78</v>
      </c>
      <c r="BG121">
        <f t="shared" si="172"/>
        <v>550.78</v>
      </c>
      <c r="BH121">
        <f t="shared" si="173"/>
        <v>0.20847847015241039</v>
      </c>
      <c r="BI121">
        <f t="shared" si="174"/>
        <v>0.29188085133348757</v>
      </c>
      <c r="BJ121">
        <f t="shared" si="175"/>
        <v>0.94964764173127569</v>
      </c>
      <c r="BK121">
        <f t="shared" si="176"/>
        <v>-0.14221160932924495</v>
      </c>
      <c r="BL121">
        <f t="shared" si="177"/>
        <v>1.1221138101504138</v>
      </c>
      <c r="BM121">
        <f t="shared" si="178"/>
        <v>0.24599924700508688</v>
      </c>
      <c r="BN121">
        <f t="shared" si="179"/>
        <v>0.75400075299491309</v>
      </c>
      <c r="BO121">
        <v>16916</v>
      </c>
      <c r="BP121">
        <v>290.00000000000011</v>
      </c>
      <c r="BQ121">
        <v>684.55</v>
      </c>
      <c r="BR121">
        <v>95</v>
      </c>
      <c r="BS121">
        <v>10334.299999999999</v>
      </c>
      <c r="BT121">
        <v>682.88</v>
      </c>
      <c r="BU121">
        <v>1.67</v>
      </c>
      <c r="BV121">
        <v>300.00000000000011</v>
      </c>
      <c r="BW121">
        <v>38.4</v>
      </c>
      <c r="BX121">
        <v>695.84967588443828</v>
      </c>
      <c r="BY121">
        <v>1.002324238212279</v>
      </c>
      <c r="BZ121">
        <v>-13.40418975618948</v>
      </c>
      <c r="CA121">
        <v>0.84618148272527938</v>
      </c>
      <c r="CB121">
        <v>0.89961670589641407</v>
      </c>
      <c r="CC121">
        <v>-1.123658420467185E-2</v>
      </c>
      <c r="CD121">
        <v>289.99999999999989</v>
      </c>
      <c r="CE121">
        <v>681</v>
      </c>
      <c r="CF121">
        <v>615</v>
      </c>
      <c r="CG121">
        <v>10298</v>
      </c>
      <c r="CH121">
        <v>682.83</v>
      </c>
      <c r="CI121">
        <v>-1.83</v>
      </c>
      <c r="CW121">
        <f t="shared" si="180"/>
        <v>1800.25</v>
      </c>
      <c r="CX121">
        <f t="shared" si="181"/>
        <v>1513.3946932547669</v>
      </c>
      <c r="CY121">
        <f t="shared" si="182"/>
        <v>0.84065807152049266</v>
      </c>
      <c r="CZ121">
        <f t="shared" si="183"/>
        <v>0.19131614304098532</v>
      </c>
      <c r="DA121">
        <v>6</v>
      </c>
      <c r="DB121">
        <v>0.5</v>
      </c>
      <c r="DC121" t="s">
        <v>420</v>
      </c>
      <c r="DD121">
        <v>2</v>
      </c>
      <c r="DE121">
        <v>1693521751.0999999</v>
      </c>
      <c r="DF121">
        <v>8.4626099999999997</v>
      </c>
      <c r="DG121">
        <v>10.003500000000001</v>
      </c>
      <c r="DH121">
        <v>29.240600000000001</v>
      </c>
      <c r="DI121">
        <v>23.787600000000001</v>
      </c>
      <c r="DJ121">
        <v>10.059699999999999</v>
      </c>
      <c r="DK121">
        <v>29.560199999999998</v>
      </c>
      <c r="DL121">
        <v>500.17399999999998</v>
      </c>
      <c r="DM121">
        <v>99.4482</v>
      </c>
      <c r="DN121">
        <v>0.10051</v>
      </c>
      <c r="DO121">
        <v>30.757300000000001</v>
      </c>
      <c r="DP121">
        <v>29.994700000000002</v>
      </c>
      <c r="DQ121">
        <v>999.9</v>
      </c>
      <c r="DR121">
        <v>0</v>
      </c>
      <c r="DS121">
        <v>0</v>
      </c>
      <c r="DT121">
        <v>10025</v>
      </c>
      <c r="DU121">
        <v>0</v>
      </c>
      <c r="DV121">
        <v>136.964</v>
      </c>
      <c r="DW121">
        <v>-1.5408999999999999</v>
      </c>
      <c r="DX121">
        <v>8.7175100000000008</v>
      </c>
      <c r="DY121">
        <v>10.247299999999999</v>
      </c>
      <c r="DZ121">
        <v>5.4530200000000004</v>
      </c>
      <c r="EA121">
        <v>10.003500000000001</v>
      </c>
      <c r="EB121">
        <v>23.787600000000001</v>
      </c>
      <c r="EC121">
        <v>2.9079299999999999</v>
      </c>
      <c r="ED121">
        <v>2.3656299999999999</v>
      </c>
      <c r="EE121">
        <v>23.509899999999998</v>
      </c>
      <c r="EF121">
        <v>20.130400000000002</v>
      </c>
      <c r="EG121">
        <v>1800.25</v>
      </c>
      <c r="EH121">
        <v>0.97800600000000004</v>
      </c>
      <c r="EI121">
        <v>2.1994400000000001E-2</v>
      </c>
      <c r="EJ121">
        <v>0</v>
      </c>
      <c r="EK121">
        <v>653.548</v>
      </c>
      <c r="EL121">
        <v>5.0002500000000003</v>
      </c>
      <c r="EM121">
        <v>15070.9</v>
      </c>
      <c r="EN121">
        <v>14824.2</v>
      </c>
      <c r="EO121">
        <v>47.625</v>
      </c>
      <c r="EP121">
        <v>48.561999999999998</v>
      </c>
      <c r="EQ121">
        <v>48.436999999999998</v>
      </c>
      <c r="ER121">
        <v>47.561999999999998</v>
      </c>
      <c r="ES121">
        <v>48.75</v>
      </c>
      <c r="ET121">
        <v>1755.77</v>
      </c>
      <c r="EU121">
        <v>39.49</v>
      </c>
      <c r="EV121">
        <v>0</v>
      </c>
      <c r="EW121">
        <v>100.2000000476837</v>
      </c>
      <c r="EX121">
        <v>0</v>
      </c>
      <c r="EY121">
        <v>653.50661538461532</v>
      </c>
      <c r="EZ121">
        <v>-0.1017435845148132</v>
      </c>
      <c r="FA121">
        <v>-88.540170748980898</v>
      </c>
      <c r="FB121">
        <v>15083.007692307699</v>
      </c>
      <c r="FC121">
        <v>15</v>
      </c>
      <c r="FD121">
        <v>1693521717.5999999</v>
      </c>
      <c r="FE121" t="s">
        <v>953</v>
      </c>
      <c r="FF121">
        <v>1693521717.5999999</v>
      </c>
      <c r="FG121">
        <v>1693521712.5999999</v>
      </c>
      <c r="FH121">
        <v>119</v>
      </c>
      <c r="FI121">
        <v>5.0000000000000001E-3</v>
      </c>
      <c r="FJ121">
        <v>-7.0000000000000001E-3</v>
      </c>
      <c r="FK121">
        <v>-1.597</v>
      </c>
      <c r="FL121">
        <v>-0.32</v>
      </c>
      <c r="FM121">
        <v>10</v>
      </c>
      <c r="FN121">
        <v>24</v>
      </c>
      <c r="FO121">
        <v>1.3</v>
      </c>
      <c r="FP121">
        <v>0.11</v>
      </c>
      <c r="FQ121">
        <v>1.299405413145835</v>
      </c>
      <c r="FR121">
        <v>7.7063560307174872E-2</v>
      </c>
      <c r="FS121">
        <v>4.002066585062438E-2</v>
      </c>
      <c r="FT121">
        <v>1</v>
      </c>
      <c r="FU121">
        <v>0.3542319032833347</v>
      </c>
      <c r="FV121">
        <v>4.2384276365627978E-2</v>
      </c>
      <c r="FW121">
        <v>3.4943275437003709E-3</v>
      </c>
      <c r="FX121">
        <v>1</v>
      </c>
      <c r="FY121">
        <v>2</v>
      </c>
      <c r="FZ121">
        <v>2</v>
      </c>
      <c r="GA121" t="s">
        <v>422</v>
      </c>
      <c r="GB121">
        <v>2.9224399999999999</v>
      </c>
      <c r="GC121">
        <v>2.8306200000000001</v>
      </c>
      <c r="GD121">
        <v>2.8452199999999999E-3</v>
      </c>
      <c r="GE121">
        <v>2.7656999999999998E-3</v>
      </c>
      <c r="GF121">
        <v>0.13872499999999999</v>
      </c>
      <c r="GG121">
        <v>0.114758</v>
      </c>
      <c r="GH121">
        <v>26227.8</v>
      </c>
      <c r="GI121">
        <v>31847.3</v>
      </c>
      <c r="GJ121">
        <v>23671.4</v>
      </c>
      <c r="GK121">
        <v>29225</v>
      </c>
      <c r="GL121">
        <v>27790.9</v>
      </c>
      <c r="GM121">
        <v>36540.400000000001</v>
      </c>
      <c r="GN121">
        <v>33486.9</v>
      </c>
      <c r="GO121">
        <v>43081.1</v>
      </c>
      <c r="GP121">
        <v>2.0400999999999998</v>
      </c>
      <c r="GQ121">
        <v>1.9142999999999999</v>
      </c>
      <c r="GR121">
        <v>0.134766</v>
      </c>
      <c r="GS121">
        <v>0</v>
      </c>
      <c r="GT121">
        <v>27.797499999999999</v>
      </c>
      <c r="GU121">
        <v>999.9</v>
      </c>
      <c r="GV121">
        <v>51.9</v>
      </c>
      <c r="GW121">
        <v>34.200000000000003</v>
      </c>
      <c r="GX121">
        <v>28.199200000000001</v>
      </c>
      <c r="GY121">
        <v>61.058300000000003</v>
      </c>
      <c r="GZ121">
        <v>34.354999999999997</v>
      </c>
      <c r="HA121">
        <v>1</v>
      </c>
      <c r="HB121">
        <v>0.136128</v>
      </c>
      <c r="HC121">
        <v>-0.34342</v>
      </c>
      <c r="HD121">
        <v>20.324300000000001</v>
      </c>
      <c r="HE121">
        <v>5.2119</v>
      </c>
      <c r="HF121">
        <v>11.872199999999999</v>
      </c>
      <c r="HG121">
        <v>4.9850000000000003</v>
      </c>
      <c r="HH121">
        <v>3.2839999999999998</v>
      </c>
      <c r="HI121">
        <v>9999</v>
      </c>
      <c r="HJ121">
        <v>9999</v>
      </c>
      <c r="HK121">
        <v>9999</v>
      </c>
      <c r="HL121">
        <v>999.9</v>
      </c>
      <c r="HM121">
        <v>1.8545499999999999</v>
      </c>
      <c r="HN121">
        <v>1.86066</v>
      </c>
      <c r="HO121">
        <v>1.8581399999999999</v>
      </c>
      <c r="HP121">
        <v>1.8593</v>
      </c>
      <c r="HQ121">
        <v>1.85867</v>
      </c>
      <c r="HR121">
        <v>1.8592200000000001</v>
      </c>
      <c r="HS121">
        <v>1.8575999999999999</v>
      </c>
      <c r="HT121">
        <v>1.8609599999999999</v>
      </c>
      <c r="HU121">
        <v>5</v>
      </c>
      <c r="HV121">
        <v>0</v>
      </c>
      <c r="HW121">
        <v>0</v>
      </c>
      <c r="HX121">
        <v>0</v>
      </c>
      <c r="HY121" t="s">
        <v>423</v>
      </c>
      <c r="HZ121" t="s">
        <v>424</v>
      </c>
      <c r="IA121" t="s">
        <v>425</v>
      </c>
      <c r="IB121" t="s">
        <v>425</v>
      </c>
      <c r="IC121" t="s">
        <v>425</v>
      </c>
      <c r="ID121" t="s">
        <v>425</v>
      </c>
      <c r="IE121">
        <v>0</v>
      </c>
      <c r="IF121">
        <v>100</v>
      </c>
      <c r="IG121">
        <v>100</v>
      </c>
      <c r="IH121">
        <v>-1.597</v>
      </c>
      <c r="II121">
        <v>-0.3196</v>
      </c>
      <c r="IJ121">
        <v>-1.5971005</v>
      </c>
      <c r="IK121">
        <v>0</v>
      </c>
      <c r="IL121">
        <v>0</v>
      </c>
      <c r="IM121">
        <v>0</v>
      </c>
      <c r="IN121">
        <v>-0.31960999999999729</v>
      </c>
      <c r="IO121">
        <v>0</v>
      </c>
      <c r="IP121">
        <v>0</v>
      </c>
      <c r="IQ121">
        <v>0</v>
      </c>
      <c r="IR121">
        <v>-1</v>
      </c>
      <c r="IS121">
        <v>-1</v>
      </c>
      <c r="IT121">
        <v>-1</v>
      </c>
      <c r="IU121">
        <v>-1</v>
      </c>
      <c r="IV121">
        <v>0.6</v>
      </c>
      <c r="IW121">
        <v>0.6</v>
      </c>
      <c r="IX121">
        <v>0.168457</v>
      </c>
      <c r="IY121">
        <v>2.5378400000000001</v>
      </c>
      <c r="IZ121">
        <v>1.49414</v>
      </c>
      <c r="JA121">
        <v>2.2900399999999999</v>
      </c>
      <c r="JB121">
        <v>1.54419</v>
      </c>
      <c r="JC121">
        <v>2.51709</v>
      </c>
      <c r="JD121">
        <v>36.6233</v>
      </c>
      <c r="JE121">
        <v>15.629300000000001</v>
      </c>
      <c r="JF121">
        <v>18</v>
      </c>
      <c r="JG121">
        <v>534.26199999999994</v>
      </c>
      <c r="JH121">
        <v>486.77100000000002</v>
      </c>
      <c r="JI121">
        <v>28.914400000000001</v>
      </c>
      <c r="JJ121">
        <v>29.268899999999999</v>
      </c>
      <c r="JK121">
        <v>30</v>
      </c>
      <c r="JL121">
        <v>29.261600000000001</v>
      </c>
      <c r="JM121">
        <v>29.227699999999999</v>
      </c>
      <c r="JN121">
        <v>3.4273799999999999</v>
      </c>
      <c r="JO121">
        <v>21.556899999999999</v>
      </c>
      <c r="JP121">
        <v>100</v>
      </c>
      <c r="JQ121">
        <v>28.911899999999999</v>
      </c>
      <c r="JR121">
        <v>10</v>
      </c>
      <c r="JS121">
        <v>23.797999999999998</v>
      </c>
      <c r="JT121">
        <v>99.297600000000003</v>
      </c>
      <c r="JU121">
        <v>97.090599999999995</v>
      </c>
    </row>
    <row r="122" spans="1:281" x14ac:dyDescent="0.25">
      <c r="A122">
        <v>106</v>
      </c>
      <c r="B122">
        <v>1693521940.5999999</v>
      </c>
      <c r="C122">
        <v>27804.599999904629</v>
      </c>
      <c r="D122" t="s">
        <v>954</v>
      </c>
      <c r="E122" t="s">
        <v>955</v>
      </c>
      <c r="F122" t="s">
        <v>414</v>
      </c>
      <c r="G122" t="s">
        <v>779</v>
      </c>
      <c r="H122" t="s">
        <v>495</v>
      </c>
      <c r="I122" t="s">
        <v>416</v>
      </c>
      <c r="J122">
        <v>1693521940.5999999</v>
      </c>
      <c r="K122">
        <f t="shared" si="138"/>
        <v>4.5852028312303407E-3</v>
      </c>
      <c r="L122">
        <f t="shared" si="139"/>
        <v>4.5852028312303403</v>
      </c>
      <c r="M122">
        <f t="shared" si="140"/>
        <v>36.91701982351362</v>
      </c>
      <c r="N122">
        <f t="shared" si="141"/>
        <v>353.79899999999998</v>
      </c>
      <c r="O122">
        <f t="shared" si="142"/>
        <v>167.24643940686366</v>
      </c>
      <c r="P122">
        <f t="shared" si="143"/>
        <v>16.649349760911836</v>
      </c>
      <c r="Q122">
        <f t="shared" si="144"/>
        <v>35.220620043998998</v>
      </c>
      <c r="R122">
        <f t="shared" si="145"/>
        <v>0.34516672611034827</v>
      </c>
      <c r="S122">
        <f t="shared" si="146"/>
        <v>2.9207587858759263</v>
      </c>
      <c r="T122">
        <f t="shared" si="147"/>
        <v>0.32400094246100325</v>
      </c>
      <c r="U122">
        <f t="shared" si="148"/>
        <v>0.20429400279644205</v>
      </c>
      <c r="V122">
        <f t="shared" si="149"/>
        <v>344.39219967093862</v>
      </c>
      <c r="W122">
        <f t="shared" si="150"/>
        <v>31.655907662015551</v>
      </c>
      <c r="X122">
        <f t="shared" si="151"/>
        <v>29.989699999999999</v>
      </c>
      <c r="Y122">
        <f t="shared" si="152"/>
        <v>4.2579298396800676</v>
      </c>
      <c r="Z122">
        <f t="shared" si="153"/>
        <v>64.950257431223008</v>
      </c>
      <c r="AA122">
        <f t="shared" si="154"/>
        <v>2.8997662433687998</v>
      </c>
      <c r="AB122">
        <f t="shared" si="155"/>
        <v>4.464595458208021</v>
      </c>
      <c r="AC122">
        <f t="shared" si="156"/>
        <v>1.3581635963112677</v>
      </c>
      <c r="AD122">
        <f t="shared" si="157"/>
        <v>-202.20744485725803</v>
      </c>
      <c r="AE122">
        <f t="shared" si="158"/>
        <v>130.31716308684477</v>
      </c>
      <c r="AF122">
        <f t="shared" si="159"/>
        <v>9.9604669836330313</v>
      </c>
      <c r="AG122">
        <f t="shared" si="160"/>
        <v>282.46238488415838</v>
      </c>
      <c r="AH122">
        <v>0</v>
      </c>
      <c r="AI122">
        <v>0</v>
      </c>
      <c r="AJ122">
        <f t="shared" si="161"/>
        <v>1</v>
      </c>
      <c r="AK122">
        <f t="shared" si="162"/>
        <v>0</v>
      </c>
      <c r="AL122">
        <f t="shared" si="163"/>
        <v>51950.527791155655</v>
      </c>
      <c r="AM122" t="s">
        <v>417</v>
      </c>
      <c r="AN122">
        <v>10366.9</v>
      </c>
      <c r="AO122">
        <v>993.59653846153856</v>
      </c>
      <c r="AP122">
        <v>3431.87</v>
      </c>
      <c r="AQ122">
        <f t="shared" si="164"/>
        <v>0.71047955241266758</v>
      </c>
      <c r="AR122">
        <v>-3.9894345373445681</v>
      </c>
      <c r="AS122" t="s">
        <v>956</v>
      </c>
      <c r="AT122">
        <v>10312.700000000001</v>
      </c>
      <c r="AU122">
        <v>635.30403846153843</v>
      </c>
      <c r="AV122">
        <v>883.41639890720194</v>
      </c>
      <c r="AW122">
        <f t="shared" si="165"/>
        <v>0.28085550681714977</v>
      </c>
      <c r="AX122">
        <v>0.5</v>
      </c>
      <c r="AY122">
        <f t="shared" si="166"/>
        <v>1513.2854998354692</v>
      </c>
      <c r="AZ122">
        <f t="shared" si="167"/>
        <v>36.91701982351362</v>
      </c>
      <c r="BA122">
        <f t="shared" si="168"/>
        <v>212.50728300766727</v>
      </c>
      <c r="BB122">
        <f t="shared" si="169"/>
        <v>2.7031551128525129E-2</v>
      </c>
      <c r="BC122">
        <f t="shared" si="170"/>
        <v>2.8847705388368037</v>
      </c>
      <c r="BD122">
        <f t="shared" si="171"/>
        <v>541.41047694054373</v>
      </c>
      <c r="BE122" t="s">
        <v>957</v>
      </c>
      <c r="BF122">
        <v>521</v>
      </c>
      <c r="BG122">
        <f t="shared" si="172"/>
        <v>521</v>
      </c>
      <c r="BH122">
        <f t="shared" si="173"/>
        <v>0.41024413782166136</v>
      </c>
      <c r="BI122">
        <f t="shared" si="174"/>
        <v>0.68460577720489302</v>
      </c>
      <c r="BJ122">
        <f t="shared" si="175"/>
        <v>0.87549550515577745</v>
      </c>
      <c r="BK122">
        <f t="shared" si="176"/>
        <v>-2.2518791630619055</v>
      </c>
      <c r="BL122">
        <f t="shared" si="177"/>
        <v>1.0451877696625613</v>
      </c>
      <c r="BM122">
        <f t="shared" si="178"/>
        <v>0.56143135936533606</v>
      </c>
      <c r="BN122">
        <f t="shared" si="179"/>
        <v>0.43856864063466394</v>
      </c>
      <c r="BO122">
        <v>16918</v>
      </c>
      <c r="BP122">
        <v>290.00000000000011</v>
      </c>
      <c r="BQ122">
        <v>802.25</v>
      </c>
      <c r="BR122">
        <v>255</v>
      </c>
      <c r="BS122">
        <v>10312.700000000001</v>
      </c>
      <c r="BT122">
        <v>801.53</v>
      </c>
      <c r="BU122">
        <v>0.72</v>
      </c>
      <c r="BV122">
        <v>300.00000000000011</v>
      </c>
      <c r="BW122">
        <v>38.4</v>
      </c>
      <c r="BX122">
        <v>883.41639890720194</v>
      </c>
      <c r="BY122">
        <v>1.0869221254870991</v>
      </c>
      <c r="BZ122">
        <v>-84.444732534006036</v>
      </c>
      <c r="CA122">
        <v>0.91780209676956026</v>
      </c>
      <c r="CB122">
        <v>0.99670331920578259</v>
      </c>
      <c r="CC122">
        <v>-1.123961156840934E-2</v>
      </c>
      <c r="CD122">
        <v>289.99999999999989</v>
      </c>
      <c r="CE122">
        <v>784.38</v>
      </c>
      <c r="CF122">
        <v>625</v>
      </c>
      <c r="CG122">
        <v>10299.4</v>
      </c>
      <c r="CH122">
        <v>801.43</v>
      </c>
      <c r="CI122">
        <v>-17.05</v>
      </c>
      <c r="CW122">
        <f t="shared" si="180"/>
        <v>1800.12</v>
      </c>
      <c r="CX122">
        <f t="shared" si="181"/>
        <v>1513.2854998354692</v>
      </c>
      <c r="CY122">
        <f t="shared" si="182"/>
        <v>0.84065812270041396</v>
      </c>
      <c r="CZ122">
        <f t="shared" si="183"/>
        <v>0.19131624540082809</v>
      </c>
      <c r="DA122">
        <v>6</v>
      </c>
      <c r="DB122">
        <v>0.5</v>
      </c>
      <c r="DC122" t="s">
        <v>420</v>
      </c>
      <c r="DD122">
        <v>2</v>
      </c>
      <c r="DE122">
        <v>1693521940.5999999</v>
      </c>
      <c r="DF122">
        <v>353.79899999999998</v>
      </c>
      <c r="DG122">
        <v>400.02300000000002</v>
      </c>
      <c r="DH122">
        <v>29.128799999999998</v>
      </c>
      <c r="DI122">
        <v>23.7895</v>
      </c>
      <c r="DJ122">
        <v>355.94200000000001</v>
      </c>
      <c r="DK122">
        <v>29.434100000000001</v>
      </c>
      <c r="DL122">
        <v>500.25</v>
      </c>
      <c r="DM122">
        <v>99.45</v>
      </c>
      <c r="DN122">
        <v>9.9801000000000001E-2</v>
      </c>
      <c r="DO122">
        <v>30.817299999999999</v>
      </c>
      <c r="DP122">
        <v>29.989699999999999</v>
      </c>
      <c r="DQ122">
        <v>999.9</v>
      </c>
      <c r="DR122">
        <v>0</v>
      </c>
      <c r="DS122">
        <v>0</v>
      </c>
      <c r="DT122">
        <v>10005</v>
      </c>
      <c r="DU122">
        <v>0</v>
      </c>
      <c r="DV122">
        <v>88.175600000000003</v>
      </c>
      <c r="DW122">
        <v>-46.223799999999997</v>
      </c>
      <c r="DX122">
        <v>364.41399999999999</v>
      </c>
      <c r="DY122">
        <v>409.77100000000002</v>
      </c>
      <c r="DZ122">
        <v>5.3393100000000002</v>
      </c>
      <c r="EA122">
        <v>400.02300000000002</v>
      </c>
      <c r="EB122">
        <v>23.7895</v>
      </c>
      <c r="EC122">
        <v>2.8968600000000002</v>
      </c>
      <c r="ED122">
        <v>2.3658700000000001</v>
      </c>
      <c r="EE122">
        <v>23.4467</v>
      </c>
      <c r="EF122">
        <v>20.132000000000001</v>
      </c>
      <c r="EG122">
        <v>1800.12</v>
      </c>
      <c r="EH122">
        <v>0.97800200000000004</v>
      </c>
      <c r="EI122">
        <v>2.19981E-2</v>
      </c>
      <c r="EJ122">
        <v>0</v>
      </c>
      <c r="EK122">
        <v>634.14800000000002</v>
      </c>
      <c r="EL122">
        <v>5.0002500000000003</v>
      </c>
      <c r="EM122">
        <v>14561</v>
      </c>
      <c r="EN122">
        <v>14823.1</v>
      </c>
      <c r="EO122">
        <v>47.5</v>
      </c>
      <c r="EP122">
        <v>48.436999999999998</v>
      </c>
      <c r="EQ122">
        <v>48.311999999999998</v>
      </c>
      <c r="ER122">
        <v>47.436999999999998</v>
      </c>
      <c r="ES122">
        <v>48.686999999999998</v>
      </c>
      <c r="ET122">
        <v>1755.63</v>
      </c>
      <c r="EU122">
        <v>39.49</v>
      </c>
      <c r="EV122">
        <v>0</v>
      </c>
      <c r="EW122">
        <v>187.79999995231631</v>
      </c>
      <c r="EX122">
        <v>0</v>
      </c>
      <c r="EY122">
        <v>635.30403846153843</v>
      </c>
      <c r="EZ122">
        <v>-8.1918974248970748</v>
      </c>
      <c r="FA122">
        <v>-172.19828974295089</v>
      </c>
      <c r="FB122">
        <v>14582.323076923079</v>
      </c>
      <c r="FC122">
        <v>15</v>
      </c>
      <c r="FD122">
        <v>1693521846.5999999</v>
      </c>
      <c r="FE122" t="s">
        <v>958</v>
      </c>
      <c r="FF122">
        <v>1693521837.0999999</v>
      </c>
      <c r="FG122">
        <v>1693521846.5999999</v>
      </c>
      <c r="FH122">
        <v>120</v>
      </c>
      <c r="FI122">
        <v>-0.54600000000000004</v>
      </c>
      <c r="FJ122">
        <v>1.4E-2</v>
      </c>
      <c r="FK122">
        <v>-2.1429999999999998</v>
      </c>
      <c r="FL122">
        <v>-0.30499999999999999</v>
      </c>
      <c r="FM122">
        <v>400</v>
      </c>
      <c r="FN122">
        <v>24</v>
      </c>
      <c r="FO122">
        <v>0.38</v>
      </c>
      <c r="FP122">
        <v>0.06</v>
      </c>
      <c r="FQ122">
        <v>36.564313980134934</v>
      </c>
      <c r="FR122">
        <v>1.770384101406633</v>
      </c>
      <c r="FS122">
        <v>0.14753210643768919</v>
      </c>
      <c r="FT122">
        <v>0</v>
      </c>
      <c r="FU122">
        <v>0.34453261807280738</v>
      </c>
      <c r="FV122">
        <v>-1.8063184191223051E-2</v>
      </c>
      <c r="FW122">
        <v>1.5064797748335979E-3</v>
      </c>
      <c r="FX122">
        <v>1</v>
      </c>
      <c r="FY122">
        <v>1</v>
      </c>
      <c r="FZ122">
        <v>2</v>
      </c>
      <c r="GA122" t="s">
        <v>461</v>
      </c>
      <c r="GB122">
        <v>2.9227099999999999</v>
      </c>
      <c r="GC122">
        <v>2.8297300000000001</v>
      </c>
      <c r="GD122">
        <v>8.3231700000000006E-2</v>
      </c>
      <c r="GE122">
        <v>8.9412500000000006E-2</v>
      </c>
      <c r="GF122">
        <v>0.13834199999999999</v>
      </c>
      <c r="GG122">
        <v>0.114785</v>
      </c>
      <c r="GH122">
        <v>24114.400000000001</v>
      </c>
      <c r="GI122">
        <v>29084.5</v>
      </c>
      <c r="GJ122">
        <v>23671.8</v>
      </c>
      <c r="GK122">
        <v>29228.5</v>
      </c>
      <c r="GL122">
        <v>27812.400000000001</v>
      </c>
      <c r="GM122">
        <v>36552.800000000003</v>
      </c>
      <c r="GN122">
        <v>33489.199999999997</v>
      </c>
      <c r="GO122">
        <v>43085.7</v>
      </c>
      <c r="GP122">
        <v>2.0411000000000001</v>
      </c>
      <c r="GQ122">
        <v>1.9194</v>
      </c>
      <c r="GR122">
        <v>0.13428899999999999</v>
      </c>
      <c r="GS122">
        <v>0</v>
      </c>
      <c r="GT122">
        <v>27.8004</v>
      </c>
      <c r="GU122">
        <v>999.9</v>
      </c>
      <c r="GV122">
        <v>52.1</v>
      </c>
      <c r="GW122">
        <v>33.9</v>
      </c>
      <c r="GX122">
        <v>27.835100000000001</v>
      </c>
      <c r="GY122">
        <v>61.208300000000001</v>
      </c>
      <c r="GZ122">
        <v>34.0625</v>
      </c>
      <c r="HA122">
        <v>1</v>
      </c>
      <c r="HB122">
        <v>0.131768</v>
      </c>
      <c r="HC122">
        <v>-0.48180800000000001</v>
      </c>
      <c r="HD122">
        <v>20.324400000000001</v>
      </c>
      <c r="HE122">
        <v>5.2107000000000001</v>
      </c>
      <c r="HF122">
        <v>11.872199999999999</v>
      </c>
      <c r="HG122">
        <v>4.9850000000000003</v>
      </c>
      <c r="HH122">
        <v>3.2839999999999998</v>
      </c>
      <c r="HI122">
        <v>9999</v>
      </c>
      <c r="HJ122">
        <v>9999</v>
      </c>
      <c r="HK122">
        <v>9999</v>
      </c>
      <c r="HL122">
        <v>999.9</v>
      </c>
      <c r="HM122">
        <v>1.8545499999999999</v>
      </c>
      <c r="HN122">
        <v>1.86066</v>
      </c>
      <c r="HO122">
        <v>1.85809</v>
      </c>
      <c r="HP122">
        <v>1.8593</v>
      </c>
      <c r="HQ122">
        <v>1.85867</v>
      </c>
      <c r="HR122">
        <v>1.85914</v>
      </c>
      <c r="HS122">
        <v>1.8575999999999999</v>
      </c>
      <c r="HT122">
        <v>1.8609599999999999</v>
      </c>
      <c r="HU122">
        <v>5</v>
      </c>
      <c r="HV122">
        <v>0</v>
      </c>
      <c r="HW122">
        <v>0</v>
      </c>
      <c r="HX122">
        <v>0</v>
      </c>
      <c r="HY122" t="s">
        <v>423</v>
      </c>
      <c r="HZ122" t="s">
        <v>424</v>
      </c>
      <c r="IA122" t="s">
        <v>425</v>
      </c>
      <c r="IB122" t="s">
        <v>425</v>
      </c>
      <c r="IC122" t="s">
        <v>425</v>
      </c>
      <c r="ID122" t="s">
        <v>425</v>
      </c>
      <c r="IE122">
        <v>0</v>
      </c>
      <c r="IF122">
        <v>100</v>
      </c>
      <c r="IG122">
        <v>100</v>
      </c>
      <c r="IH122">
        <v>-2.1429999999999998</v>
      </c>
      <c r="II122">
        <v>-0.30530000000000002</v>
      </c>
      <c r="IJ122">
        <v>-2.142809523809547</v>
      </c>
      <c r="IK122">
        <v>0</v>
      </c>
      <c r="IL122">
        <v>0</v>
      </c>
      <c r="IM122">
        <v>0</v>
      </c>
      <c r="IN122">
        <v>-0.30531500000000728</v>
      </c>
      <c r="IO122">
        <v>0</v>
      </c>
      <c r="IP122">
        <v>0</v>
      </c>
      <c r="IQ122">
        <v>0</v>
      </c>
      <c r="IR122">
        <v>-1</v>
      </c>
      <c r="IS122">
        <v>-1</v>
      </c>
      <c r="IT122">
        <v>-1</v>
      </c>
      <c r="IU122">
        <v>-1</v>
      </c>
      <c r="IV122">
        <v>1.7</v>
      </c>
      <c r="IW122">
        <v>1.6</v>
      </c>
      <c r="IX122">
        <v>1.00586</v>
      </c>
      <c r="IY122">
        <v>2.4706999999999999</v>
      </c>
      <c r="IZ122">
        <v>1.49414</v>
      </c>
      <c r="JA122">
        <v>2.2912599999999999</v>
      </c>
      <c r="JB122">
        <v>1.54419</v>
      </c>
      <c r="JC122">
        <v>2.4352999999999998</v>
      </c>
      <c r="JD122">
        <v>36.4343</v>
      </c>
      <c r="JE122">
        <v>15.5855</v>
      </c>
      <c r="JF122">
        <v>18</v>
      </c>
      <c r="JG122">
        <v>534.24699999999996</v>
      </c>
      <c r="JH122">
        <v>489.76299999999998</v>
      </c>
      <c r="JI122">
        <v>29.072700000000001</v>
      </c>
      <c r="JJ122">
        <v>29.216100000000001</v>
      </c>
      <c r="JK122">
        <v>30</v>
      </c>
      <c r="JL122">
        <v>29.187000000000001</v>
      </c>
      <c r="JM122">
        <v>29.155200000000001</v>
      </c>
      <c r="JN122">
        <v>20.196899999999999</v>
      </c>
      <c r="JO122">
        <v>20.6191</v>
      </c>
      <c r="JP122">
        <v>100</v>
      </c>
      <c r="JQ122">
        <v>29.0732</v>
      </c>
      <c r="JR122">
        <v>400</v>
      </c>
      <c r="JS122">
        <v>23.820499999999999</v>
      </c>
      <c r="JT122">
        <v>99.302199999999999</v>
      </c>
      <c r="JU122">
        <v>97.101500000000001</v>
      </c>
    </row>
    <row r="123" spans="1:281" x14ac:dyDescent="0.25">
      <c r="A123">
        <v>107</v>
      </c>
      <c r="B123">
        <v>1693522108.0999999</v>
      </c>
      <c r="C123">
        <v>27972.099999904629</v>
      </c>
      <c r="D123" t="s">
        <v>959</v>
      </c>
      <c r="E123" t="s">
        <v>960</v>
      </c>
      <c r="F123" t="s">
        <v>414</v>
      </c>
      <c r="G123" t="s">
        <v>779</v>
      </c>
      <c r="H123" t="s">
        <v>495</v>
      </c>
      <c r="I123" t="s">
        <v>416</v>
      </c>
      <c r="J123">
        <v>1693522108.0999999</v>
      </c>
      <c r="K123">
        <f t="shared" si="138"/>
        <v>4.3609457760959251E-3</v>
      </c>
      <c r="L123">
        <f t="shared" si="139"/>
        <v>4.3609457760959254</v>
      </c>
      <c r="M123">
        <f t="shared" si="140"/>
        <v>41.349749767909074</v>
      </c>
      <c r="N123">
        <f t="shared" si="141"/>
        <v>348.63299999999998</v>
      </c>
      <c r="O123">
        <f t="shared" si="142"/>
        <v>129.90533552629583</v>
      </c>
      <c r="P123">
        <f t="shared" si="143"/>
        <v>12.932110836367336</v>
      </c>
      <c r="Q123">
        <f t="shared" si="144"/>
        <v>34.706508235011</v>
      </c>
      <c r="R123">
        <f t="shared" si="145"/>
        <v>0.32659449089168052</v>
      </c>
      <c r="S123">
        <f t="shared" si="146"/>
        <v>2.9102290850770345</v>
      </c>
      <c r="T123">
        <f t="shared" si="147"/>
        <v>0.3075133220975263</v>
      </c>
      <c r="U123">
        <f t="shared" si="148"/>
        <v>0.19381722808781854</v>
      </c>
      <c r="V123">
        <f t="shared" si="149"/>
        <v>344.35799967090577</v>
      </c>
      <c r="W123">
        <f t="shared" si="150"/>
        <v>31.660784025827322</v>
      </c>
      <c r="X123">
        <f t="shared" si="151"/>
        <v>29.973099999999999</v>
      </c>
      <c r="Y123">
        <f t="shared" si="152"/>
        <v>4.2538713225049429</v>
      </c>
      <c r="Z123">
        <f t="shared" si="153"/>
        <v>65.002684239546937</v>
      </c>
      <c r="AA123">
        <f t="shared" si="154"/>
        <v>2.8927913886462</v>
      </c>
      <c r="AB123">
        <f t="shared" si="155"/>
        <v>4.450264512132649</v>
      </c>
      <c r="AC123">
        <f t="shared" si="156"/>
        <v>1.3610799338587429</v>
      </c>
      <c r="AD123">
        <f t="shared" si="157"/>
        <v>-192.3177087258303</v>
      </c>
      <c r="AE123">
        <f t="shared" si="158"/>
        <v>123.618571475479</v>
      </c>
      <c r="AF123">
        <f t="shared" si="159"/>
        <v>9.4792441514079151</v>
      </c>
      <c r="AG123">
        <f t="shared" si="160"/>
        <v>285.13810657196234</v>
      </c>
      <c r="AH123">
        <v>0</v>
      </c>
      <c r="AI123">
        <v>0</v>
      </c>
      <c r="AJ123">
        <f t="shared" si="161"/>
        <v>1</v>
      </c>
      <c r="AK123">
        <f t="shared" si="162"/>
        <v>0</v>
      </c>
      <c r="AL123">
        <f t="shared" si="163"/>
        <v>51660.907229253004</v>
      </c>
      <c r="AM123" t="s">
        <v>417</v>
      </c>
      <c r="AN123">
        <v>10366.9</v>
      </c>
      <c r="AO123">
        <v>993.59653846153856</v>
      </c>
      <c r="AP123">
        <v>3431.87</v>
      </c>
      <c r="AQ123">
        <f t="shared" si="164"/>
        <v>0.71047955241266758</v>
      </c>
      <c r="AR123">
        <v>-3.9894345373445681</v>
      </c>
      <c r="AS123" t="s">
        <v>961</v>
      </c>
      <c r="AT123">
        <v>10330.700000000001</v>
      </c>
      <c r="AU123">
        <v>649.99752000000001</v>
      </c>
      <c r="AV123">
        <v>928.63193970565703</v>
      </c>
      <c r="AW123">
        <f t="shared" si="165"/>
        <v>0.30004828370858549</v>
      </c>
      <c r="AX123">
        <v>0.5</v>
      </c>
      <c r="AY123">
        <f t="shared" si="166"/>
        <v>1513.134299835453</v>
      </c>
      <c r="AZ123">
        <f t="shared" si="167"/>
        <v>41.349749767909074</v>
      </c>
      <c r="BA123">
        <f t="shared" si="168"/>
        <v>227.00667484310995</v>
      </c>
      <c r="BB123">
        <f t="shared" si="169"/>
        <v>2.9963754248505295E-2</v>
      </c>
      <c r="BC123">
        <f t="shared" si="170"/>
        <v>2.6956191718839433</v>
      </c>
      <c r="BD123">
        <f t="shared" si="171"/>
        <v>558.06333584036713</v>
      </c>
      <c r="BE123" t="s">
        <v>962</v>
      </c>
      <c r="BF123">
        <v>531.70000000000005</v>
      </c>
      <c r="BG123">
        <f t="shared" si="172"/>
        <v>531.70000000000005</v>
      </c>
      <c r="BH123">
        <f t="shared" si="173"/>
        <v>0.42743731152674991</v>
      </c>
      <c r="BI123">
        <f t="shared" si="174"/>
        <v>0.7019702670243092</v>
      </c>
      <c r="BJ123">
        <f t="shared" si="175"/>
        <v>0.86313494046705641</v>
      </c>
      <c r="BK123">
        <f t="shared" si="176"/>
        <v>-4.2890193280910713</v>
      </c>
      <c r="BL123">
        <f t="shared" si="177"/>
        <v>1.0266436885692434</v>
      </c>
      <c r="BM123">
        <f t="shared" si="178"/>
        <v>0.57421386927264773</v>
      </c>
      <c r="BN123">
        <f t="shared" si="179"/>
        <v>0.42578613072735227</v>
      </c>
      <c r="BO123">
        <v>16920</v>
      </c>
      <c r="BP123">
        <v>290.00000000000011</v>
      </c>
      <c r="BQ123">
        <v>843.29</v>
      </c>
      <c r="BR123">
        <v>135</v>
      </c>
      <c r="BS123">
        <v>10330.700000000001</v>
      </c>
      <c r="BT123">
        <v>841</v>
      </c>
      <c r="BU123">
        <v>2.29</v>
      </c>
      <c r="BV123">
        <v>300.00000000000011</v>
      </c>
      <c r="BW123">
        <v>38.4</v>
      </c>
      <c r="BX123">
        <v>928.63193970565703</v>
      </c>
      <c r="BY123">
        <v>1.3658204844112301</v>
      </c>
      <c r="BZ123">
        <v>-90.53382399123393</v>
      </c>
      <c r="CA123">
        <v>1.153413680741239</v>
      </c>
      <c r="CB123">
        <v>0.99547584759750418</v>
      </c>
      <c r="CC123">
        <v>-1.124069321468299E-2</v>
      </c>
      <c r="CD123">
        <v>289.99999999999989</v>
      </c>
      <c r="CE123">
        <v>829.36</v>
      </c>
      <c r="CF123">
        <v>645</v>
      </c>
      <c r="CG123">
        <v>10298.799999999999</v>
      </c>
      <c r="CH123">
        <v>840.72</v>
      </c>
      <c r="CI123">
        <v>-11.36</v>
      </c>
      <c r="CW123">
        <f t="shared" si="180"/>
        <v>1799.94</v>
      </c>
      <c r="CX123">
        <f t="shared" si="181"/>
        <v>1513.134299835453</v>
      </c>
      <c r="CY123">
        <f t="shared" si="182"/>
        <v>0.84065818851486884</v>
      </c>
      <c r="CZ123">
        <f t="shared" si="183"/>
        <v>0.19131637702973753</v>
      </c>
      <c r="DA123">
        <v>6</v>
      </c>
      <c r="DB123">
        <v>0.5</v>
      </c>
      <c r="DC123" t="s">
        <v>420</v>
      </c>
      <c r="DD123">
        <v>2</v>
      </c>
      <c r="DE123">
        <v>1693522108.0999999</v>
      </c>
      <c r="DF123">
        <v>348.63299999999998</v>
      </c>
      <c r="DG123">
        <v>400.03899999999999</v>
      </c>
      <c r="DH123">
        <v>29.058599999999998</v>
      </c>
      <c r="DI123">
        <v>23.981300000000001</v>
      </c>
      <c r="DJ123">
        <v>350.93099999999998</v>
      </c>
      <c r="DK123">
        <v>29.369700000000002</v>
      </c>
      <c r="DL123">
        <v>500.37099999999998</v>
      </c>
      <c r="DM123">
        <v>99.449700000000007</v>
      </c>
      <c r="DN123">
        <v>0.100567</v>
      </c>
      <c r="DO123">
        <v>30.760999999999999</v>
      </c>
      <c r="DP123">
        <v>29.973099999999999</v>
      </c>
      <c r="DQ123">
        <v>999.9</v>
      </c>
      <c r="DR123">
        <v>0</v>
      </c>
      <c r="DS123">
        <v>0</v>
      </c>
      <c r="DT123">
        <v>9945</v>
      </c>
      <c r="DU123">
        <v>0</v>
      </c>
      <c r="DV123">
        <v>81.465500000000006</v>
      </c>
      <c r="DW123">
        <v>-51.406799999999997</v>
      </c>
      <c r="DX123">
        <v>359.06599999999997</v>
      </c>
      <c r="DY123">
        <v>409.86799999999999</v>
      </c>
      <c r="DZ123">
        <v>5.0773099999999998</v>
      </c>
      <c r="EA123">
        <v>400.03899999999999</v>
      </c>
      <c r="EB123">
        <v>23.981300000000001</v>
      </c>
      <c r="EC123">
        <v>2.8898600000000001</v>
      </c>
      <c r="ED123">
        <v>2.3849300000000002</v>
      </c>
      <c r="EE123">
        <v>23.406600000000001</v>
      </c>
      <c r="EF123">
        <v>20.261800000000001</v>
      </c>
      <c r="EG123">
        <v>1799.94</v>
      </c>
      <c r="EH123">
        <v>0.97799800000000003</v>
      </c>
      <c r="EI123">
        <v>2.2001900000000001E-2</v>
      </c>
      <c r="EJ123">
        <v>0</v>
      </c>
      <c r="EK123">
        <v>651.44899999999996</v>
      </c>
      <c r="EL123">
        <v>5.0002500000000003</v>
      </c>
      <c r="EM123">
        <v>14665.2</v>
      </c>
      <c r="EN123">
        <v>14821.5</v>
      </c>
      <c r="EO123">
        <v>47.375</v>
      </c>
      <c r="EP123">
        <v>48.25</v>
      </c>
      <c r="EQ123">
        <v>48.186999999999998</v>
      </c>
      <c r="ER123">
        <v>47.311999999999998</v>
      </c>
      <c r="ES123">
        <v>48.561999999999998</v>
      </c>
      <c r="ET123">
        <v>1755.45</v>
      </c>
      <c r="EU123">
        <v>39.49</v>
      </c>
      <c r="EV123">
        <v>0</v>
      </c>
      <c r="EW123">
        <v>165.5999999046326</v>
      </c>
      <c r="EX123">
        <v>0</v>
      </c>
      <c r="EY123">
        <v>649.99752000000001</v>
      </c>
      <c r="EZ123">
        <v>8.063307700465959</v>
      </c>
      <c r="FA123">
        <v>49.230768838353939</v>
      </c>
      <c r="FB123">
        <v>14662.356</v>
      </c>
      <c r="FC123">
        <v>15</v>
      </c>
      <c r="FD123">
        <v>1693522018.0999999</v>
      </c>
      <c r="FE123" t="s">
        <v>963</v>
      </c>
      <c r="FF123">
        <v>1693522018.0999999</v>
      </c>
      <c r="FG123">
        <v>1693522010.0999999</v>
      </c>
      <c r="FH123">
        <v>121</v>
      </c>
      <c r="FI123">
        <v>-0.155</v>
      </c>
      <c r="FJ123">
        <v>-6.0000000000000001E-3</v>
      </c>
      <c r="FK123">
        <v>-2.298</v>
      </c>
      <c r="FL123">
        <v>-0.311</v>
      </c>
      <c r="FM123">
        <v>400</v>
      </c>
      <c r="FN123">
        <v>24</v>
      </c>
      <c r="FO123">
        <v>0.08</v>
      </c>
      <c r="FP123">
        <v>0.06</v>
      </c>
      <c r="FQ123">
        <v>41.155576726747071</v>
      </c>
      <c r="FR123">
        <v>0.67630669212960826</v>
      </c>
      <c r="FS123">
        <v>8.3042542359079805E-2</v>
      </c>
      <c r="FT123">
        <v>1</v>
      </c>
      <c r="FU123">
        <v>0.33084366916225472</v>
      </c>
      <c r="FV123">
        <v>-8.0143900327910335E-3</v>
      </c>
      <c r="FW123">
        <v>8.1348556149598075E-4</v>
      </c>
      <c r="FX123">
        <v>1</v>
      </c>
      <c r="FY123">
        <v>2</v>
      </c>
      <c r="FZ123">
        <v>2</v>
      </c>
      <c r="GA123" t="s">
        <v>422</v>
      </c>
      <c r="GB123">
        <v>2.9230900000000002</v>
      </c>
      <c r="GC123">
        <v>2.8299799999999999</v>
      </c>
      <c r="GD123">
        <v>8.2325200000000001E-2</v>
      </c>
      <c r="GE123">
        <v>8.9431099999999999E-2</v>
      </c>
      <c r="GF123">
        <v>0.138152</v>
      </c>
      <c r="GG123">
        <v>0.115448</v>
      </c>
      <c r="GH123">
        <v>24141.8</v>
      </c>
      <c r="GI123">
        <v>29084.2</v>
      </c>
      <c r="GJ123">
        <v>23675.1</v>
      </c>
      <c r="GK123">
        <v>29228.6</v>
      </c>
      <c r="GL123">
        <v>27821.5</v>
      </c>
      <c r="GM123">
        <v>36523.599999999999</v>
      </c>
      <c r="GN123">
        <v>33493.1</v>
      </c>
      <c r="GO123">
        <v>43084.9</v>
      </c>
      <c r="GP123">
        <v>2.0421</v>
      </c>
      <c r="GQ123">
        <v>1.9226000000000001</v>
      </c>
      <c r="GR123">
        <v>0.14066699999999999</v>
      </c>
      <c r="GS123">
        <v>0</v>
      </c>
      <c r="GT123">
        <v>27.679500000000001</v>
      </c>
      <c r="GU123">
        <v>999.9</v>
      </c>
      <c r="GV123">
        <v>52.2</v>
      </c>
      <c r="GW123">
        <v>33.700000000000003</v>
      </c>
      <c r="GX123">
        <v>27.578900000000001</v>
      </c>
      <c r="GY123">
        <v>61.418300000000002</v>
      </c>
      <c r="GZ123">
        <v>33.365400000000001</v>
      </c>
      <c r="HA123">
        <v>1</v>
      </c>
      <c r="HB123">
        <v>0.128049</v>
      </c>
      <c r="HC123">
        <v>-0.60932500000000001</v>
      </c>
      <c r="HD123">
        <v>20.323799999999999</v>
      </c>
      <c r="HE123">
        <v>5.2107000000000001</v>
      </c>
      <c r="HF123">
        <v>11.872199999999999</v>
      </c>
      <c r="HG123">
        <v>4.9846000000000004</v>
      </c>
      <c r="HH123">
        <v>3.2839999999999998</v>
      </c>
      <c r="HI123">
        <v>9999</v>
      </c>
      <c r="HJ123">
        <v>9999</v>
      </c>
      <c r="HK123">
        <v>9999</v>
      </c>
      <c r="HL123">
        <v>999.9</v>
      </c>
      <c r="HM123">
        <v>1.8545499999999999</v>
      </c>
      <c r="HN123">
        <v>1.86066</v>
      </c>
      <c r="HO123">
        <v>1.85808</v>
      </c>
      <c r="HP123">
        <v>1.85928</v>
      </c>
      <c r="HQ123">
        <v>1.85867</v>
      </c>
      <c r="HR123">
        <v>1.85914</v>
      </c>
      <c r="HS123">
        <v>1.8575999999999999</v>
      </c>
      <c r="HT123">
        <v>1.8609599999999999</v>
      </c>
      <c r="HU123">
        <v>5</v>
      </c>
      <c r="HV123">
        <v>0</v>
      </c>
      <c r="HW123">
        <v>0</v>
      </c>
      <c r="HX123">
        <v>0</v>
      </c>
      <c r="HY123" t="s">
        <v>423</v>
      </c>
      <c r="HZ123" t="s">
        <v>424</v>
      </c>
      <c r="IA123" t="s">
        <v>425</v>
      </c>
      <c r="IB123" t="s">
        <v>425</v>
      </c>
      <c r="IC123" t="s">
        <v>425</v>
      </c>
      <c r="ID123" t="s">
        <v>425</v>
      </c>
      <c r="IE123">
        <v>0</v>
      </c>
      <c r="IF123">
        <v>100</v>
      </c>
      <c r="IG123">
        <v>100</v>
      </c>
      <c r="IH123">
        <v>-2.298</v>
      </c>
      <c r="II123">
        <v>-0.31109999999999999</v>
      </c>
      <c r="IJ123">
        <v>-2.2983500000000281</v>
      </c>
      <c r="IK123">
        <v>0</v>
      </c>
      <c r="IL123">
        <v>0</v>
      </c>
      <c r="IM123">
        <v>0</v>
      </c>
      <c r="IN123">
        <v>-0.31114499999999978</v>
      </c>
      <c r="IO123">
        <v>0</v>
      </c>
      <c r="IP123">
        <v>0</v>
      </c>
      <c r="IQ123">
        <v>0</v>
      </c>
      <c r="IR123">
        <v>-1</v>
      </c>
      <c r="IS123">
        <v>-1</v>
      </c>
      <c r="IT123">
        <v>-1</v>
      </c>
      <c r="IU123">
        <v>-1</v>
      </c>
      <c r="IV123">
        <v>1.5</v>
      </c>
      <c r="IW123">
        <v>1.6</v>
      </c>
      <c r="IX123">
        <v>1.00464</v>
      </c>
      <c r="IY123">
        <v>2.47559</v>
      </c>
      <c r="IZ123">
        <v>1.49414</v>
      </c>
      <c r="JA123">
        <v>2.2912599999999999</v>
      </c>
      <c r="JB123">
        <v>1.54419</v>
      </c>
      <c r="JC123">
        <v>2.31934</v>
      </c>
      <c r="JD123">
        <v>36.292900000000003</v>
      </c>
      <c r="JE123">
        <v>15.541700000000001</v>
      </c>
      <c r="JF123">
        <v>18</v>
      </c>
      <c r="JG123">
        <v>534.34699999999998</v>
      </c>
      <c r="JH123">
        <v>491.476</v>
      </c>
      <c r="JI123">
        <v>29.2394</v>
      </c>
      <c r="JJ123">
        <v>29.163499999999999</v>
      </c>
      <c r="JK123">
        <v>29.9999</v>
      </c>
      <c r="JL123">
        <v>29.125</v>
      </c>
      <c r="JM123">
        <v>29.090800000000002</v>
      </c>
      <c r="JN123">
        <v>20.1875</v>
      </c>
      <c r="JO123">
        <v>18.507200000000001</v>
      </c>
      <c r="JP123">
        <v>100</v>
      </c>
      <c r="JQ123">
        <v>29.256499999999999</v>
      </c>
      <c r="JR123">
        <v>400</v>
      </c>
      <c r="JS123">
        <v>24.094999999999999</v>
      </c>
      <c r="JT123">
        <v>99.314800000000005</v>
      </c>
      <c r="JU123">
        <v>97.100499999999997</v>
      </c>
    </row>
    <row r="124" spans="1:281" x14ac:dyDescent="0.25">
      <c r="A124">
        <v>108</v>
      </c>
      <c r="B124">
        <v>1693522213.0999999</v>
      </c>
      <c r="C124">
        <v>28077.099999904629</v>
      </c>
      <c r="D124" t="s">
        <v>964</v>
      </c>
      <c r="E124" t="s">
        <v>965</v>
      </c>
      <c r="F124" t="s">
        <v>414</v>
      </c>
      <c r="G124" t="s">
        <v>779</v>
      </c>
      <c r="H124" t="s">
        <v>495</v>
      </c>
      <c r="I124" t="s">
        <v>416</v>
      </c>
      <c r="J124">
        <v>1693522213.0999999</v>
      </c>
      <c r="K124">
        <f t="shared" si="138"/>
        <v>4.2985481071548884E-3</v>
      </c>
      <c r="L124">
        <f t="shared" si="139"/>
        <v>4.2985481071548888</v>
      </c>
      <c r="M124">
        <f t="shared" si="140"/>
        <v>44.533487186257396</v>
      </c>
      <c r="N124">
        <f t="shared" si="141"/>
        <v>444.291</v>
      </c>
      <c r="O124">
        <f t="shared" si="142"/>
        <v>203.36387026996547</v>
      </c>
      <c r="P124">
        <f t="shared" si="143"/>
        <v>20.245101540983054</v>
      </c>
      <c r="Q124">
        <f t="shared" si="144"/>
        <v>44.229667722218402</v>
      </c>
      <c r="R124">
        <f t="shared" si="145"/>
        <v>0.32079657491615615</v>
      </c>
      <c r="S124">
        <f t="shared" si="146"/>
        <v>2.9330135307958631</v>
      </c>
      <c r="T124">
        <f t="shared" si="147"/>
        <v>0.30250076369301515</v>
      </c>
      <c r="U124">
        <f t="shared" si="148"/>
        <v>0.19061977389620866</v>
      </c>
      <c r="V124">
        <f t="shared" si="149"/>
        <v>344.37129967091852</v>
      </c>
      <c r="W124">
        <f t="shared" si="150"/>
        <v>31.724101664156066</v>
      </c>
      <c r="X124">
        <f t="shared" si="151"/>
        <v>30.0624</v>
      </c>
      <c r="Y124">
        <f t="shared" si="152"/>
        <v>4.2757439675846269</v>
      </c>
      <c r="Z124">
        <f t="shared" si="153"/>
        <v>65.238561635328224</v>
      </c>
      <c r="AA124">
        <f t="shared" si="154"/>
        <v>2.9121888937916798</v>
      </c>
      <c r="AB124">
        <f t="shared" si="155"/>
        <v>4.4639072671011499</v>
      </c>
      <c r="AC124">
        <f t="shared" si="156"/>
        <v>1.3635550737929472</v>
      </c>
      <c r="AD124">
        <f t="shared" si="157"/>
        <v>-189.56597152553059</v>
      </c>
      <c r="AE124">
        <f t="shared" si="158"/>
        <v>118.94134328023868</v>
      </c>
      <c r="AF124">
        <f t="shared" si="159"/>
        <v>9.056130996793625</v>
      </c>
      <c r="AG124">
        <f t="shared" si="160"/>
        <v>282.80280242242026</v>
      </c>
      <c r="AH124">
        <v>0</v>
      </c>
      <c r="AI124">
        <v>0</v>
      </c>
      <c r="AJ124">
        <f t="shared" si="161"/>
        <v>1</v>
      </c>
      <c r="AK124">
        <f t="shared" si="162"/>
        <v>0</v>
      </c>
      <c r="AL124">
        <f t="shared" si="163"/>
        <v>52300.102956045317</v>
      </c>
      <c r="AM124" t="s">
        <v>417</v>
      </c>
      <c r="AN124">
        <v>10366.9</v>
      </c>
      <c r="AO124">
        <v>993.59653846153856</v>
      </c>
      <c r="AP124">
        <v>3431.87</v>
      </c>
      <c r="AQ124">
        <f t="shared" si="164"/>
        <v>0.71047955241266758</v>
      </c>
      <c r="AR124">
        <v>-3.9894345373445681</v>
      </c>
      <c r="AS124" t="s">
        <v>966</v>
      </c>
      <c r="AT124">
        <v>10328.1</v>
      </c>
      <c r="AU124">
        <v>669.3167692307693</v>
      </c>
      <c r="AV124">
        <v>980.31649354824162</v>
      </c>
      <c r="AW124">
        <f t="shared" si="165"/>
        <v>0.31724420262665709</v>
      </c>
      <c r="AX124">
        <v>0.5</v>
      </c>
      <c r="AY124">
        <f t="shared" si="166"/>
        <v>1513.1930998354592</v>
      </c>
      <c r="AZ124">
        <f t="shared" si="167"/>
        <v>44.533487186257396</v>
      </c>
      <c r="BA124">
        <f t="shared" si="168"/>
        <v>240.02586918872987</v>
      </c>
      <c r="BB124">
        <f t="shared" si="169"/>
        <v>3.2066576122292807E-2</v>
      </c>
      <c r="BC124">
        <f t="shared" si="170"/>
        <v>2.5007775780435919</v>
      </c>
      <c r="BD124">
        <f t="shared" si="171"/>
        <v>576.32332575314399</v>
      </c>
      <c r="BE124" t="s">
        <v>967</v>
      </c>
      <c r="BF124">
        <v>538.41</v>
      </c>
      <c r="BG124">
        <f t="shared" si="172"/>
        <v>538.41</v>
      </c>
      <c r="BH124">
        <f t="shared" si="173"/>
        <v>0.45077941303299651</v>
      </c>
      <c r="BI124">
        <f t="shared" si="174"/>
        <v>0.70376817009483794</v>
      </c>
      <c r="BJ124">
        <f t="shared" si="175"/>
        <v>0.84727402709965161</v>
      </c>
      <c r="BK124">
        <f t="shared" si="176"/>
        <v>-23.418574737354774</v>
      </c>
      <c r="BL124">
        <f t="shared" si="177"/>
        <v>1.0054464952856097</v>
      </c>
      <c r="BM124">
        <f t="shared" si="178"/>
        <v>0.56612330346398032</v>
      </c>
      <c r="BN124">
        <f t="shared" si="179"/>
        <v>0.43387669653601968</v>
      </c>
      <c r="BO124">
        <v>16922</v>
      </c>
      <c r="BP124">
        <v>290.00000000000011</v>
      </c>
      <c r="BQ124">
        <v>888.78</v>
      </c>
      <c r="BR124">
        <v>155</v>
      </c>
      <c r="BS124">
        <v>10328.1</v>
      </c>
      <c r="BT124">
        <v>885.83</v>
      </c>
      <c r="BU124">
        <v>2.95</v>
      </c>
      <c r="BV124">
        <v>300.00000000000011</v>
      </c>
      <c r="BW124">
        <v>38.4</v>
      </c>
      <c r="BX124">
        <v>980.31649354824162</v>
      </c>
      <c r="BY124">
        <v>1.4948413814633861</v>
      </c>
      <c r="BZ124">
        <v>-97.587913074776779</v>
      </c>
      <c r="CA124">
        <v>1.2624571409969101</v>
      </c>
      <c r="CB124">
        <v>0.99533588854365684</v>
      </c>
      <c r="CC124">
        <v>-1.1241653392658519E-2</v>
      </c>
      <c r="CD124">
        <v>289.99999999999989</v>
      </c>
      <c r="CE124">
        <v>874.34</v>
      </c>
      <c r="CF124">
        <v>645</v>
      </c>
      <c r="CG124">
        <v>10299.6</v>
      </c>
      <c r="CH124">
        <v>885.57</v>
      </c>
      <c r="CI124">
        <v>-11.23</v>
      </c>
      <c r="CW124">
        <f t="shared" si="180"/>
        <v>1800.01</v>
      </c>
      <c r="CX124">
        <f t="shared" si="181"/>
        <v>1513.1930998354592</v>
      </c>
      <c r="CY124">
        <f t="shared" si="182"/>
        <v>0.84065816291879447</v>
      </c>
      <c r="CZ124">
        <f t="shared" si="183"/>
        <v>0.19131632583758898</v>
      </c>
      <c r="DA124">
        <v>6</v>
      </c>
      <c r="DB124">
        <v>0.5</v>
      </c>
      <c r="DC124" t="s">
        <v>420</v>
      </c>
      <c r="DD124">
        <v>2</v>
      </c>
      <c r="DE124">
        <v>1693522213.0999999</v>
      </c>
      <c r="DF124">
        <v>444.291</v>
      </c>
      <c r="DG124">
        <v>500</v>
      </c>
      <c r="DH124">
        <v>29.2532</v>
      </c>
      <c r="DI124">
        <v>24.247900000000001</v>
      </c>
      <c r="DJ124">
        <v>446.584</v>
      </c>
      <c r="DK124">
        <v>29.5671</v>
      </c>
      <c r="DL124">
        <v>500.20600000000002</v>
      </c>
      <c r="DM124">
        <v>99.451700000000002</v>
      </c>
      <c r="DN124">
        <v>9.9422399999999994E-2</v>
      </c>
      <c r="DO124">
        <v>30.814599999999999</v>
      </c>
      <c r="DP124">
        <v>30.0624</v>
      </c>
      <c r="DQ124">
        <v>999.9</v>
      </c>
      <c r="DR124">
        <v>0</v>
      </c>
      <c r="DS124">
        <v>0</v>
      </c>
      <c r="DT124">
        <v>10075</v>
      </c>
      <c r="DU124">
        <v>0</v>
      </c>
      <c r="DV124">
        <v>78.331800000000001</v>
      </c>
      <c r="DW124">
        <v>-55.708399999999997</v>
      </c>
      <c r="DX124">
        <v>457.68</v>
      </c>
      <c r="DY124">
        <v>512.42499999999995</v>
      </c>
      <c r="DZ124">
        <v>5.00528</v>
      </c>
      <c r="EA124">
        <v>500</v>
      </c>
      <c r="EB124">
        <v>24.247900000000001</v>
      </c>
      <c r="EC124">
        <v>2.9092799999999999</v>
      </c>
      <c r="ED124">
        <v>2.4114900000000001</v>
      </c>
      <c r="EE124">
        <v>23.517600000000002</v>
      </c>
      <c r="EF124">
        <v>20.441199999999998</v>
      </c>
      <c r="EG124">
        <v>1800.01</v>
      </c>
      <c r="EH124">
        <v>0.97799800000000003</v>
      </c>
      <c r="EI124">
        <v>2.2001900000000001E-2</v>
      </c>
      <c r="EJ124">
        <v>0</v>
      </c>
      <c r="EK124">
        <v>669.50599999999997</v>
      </c>
      <c r="EL124">
        <v>5.0002500000000003</v>
      </c>
      <c r="EM124">
        <v>14913.9</v>
      </c>
      <c r="EN124">
        <v>14822.1</v>
      </c>
      <c r="EO124">
        <v>47.311999999999998</v>
      </c>
      <c r="EP124">
        <v>48.125</v>
      </c>
      <c r="EQ124">
        <v>48.061999999999998</v>
      </c>
      <c r="ER124">
        <v>47.25</v>
      </c>
      <c r="ES124">
        <v>48.5</v>
      </c>
      <c r="ET124">
        <v>1755.52</v>
      </c>
      <c r="EU124">
        <v>39.49</v>
      </c>
      <c r="EV124">
        <v>0</v>
      </c>
      <c r="EW124">
        <v>102.7999999523163</v>
      </c>
      <c r="EX124">
        <v>0</v>
      </c>
      <c r="EY124">
        <v>669.3167692307693</v>
      </c>
      <c r="EZ124">
        <v>2.2484102615738388</v>
      </c>
      <c r="FA124">
        <v>-46.988034109780337</v>
      </c>
      <c r="FB124">
        <v>14919.376923076919</v>
      </c>
      <c r="FC124">
        <v>15</v>
      </c>
      <c r="FD124">
        <v>1693522183.0999999</v>
      </c>
      <c r="FE124" t="s">
        <v>968</v>
      </c>
      <c r="FF124">
        <v>1693522183.0999999</v>
      </c>
      <c r="FG124">
        <v>1693522178.5999999</v>
      </c>
      <c r="FH124">
        <v>122</v>
      </c>
      <c r="FI124">
        <v>6.0000000000000001E-3</v>
      </c>
      <c r="FJ124">
        <v>-3.0000000000000001E-3</v>
      </c>
      <c r="FK124">
        <v>-2.2930000000000001</v>
      </c>
      <c r="FL124">
        <v>-0.314</v>
      </c>
      <c r="FM124">
        <v>500</v>
      </c>
      <c r="FN124">
        <v>24</v>
      </c>
      <c r="FO124">
        <v>0.18</v>
      </c>
      <c r="FP124">
        <v>0.05</v>
      </c>
      <c r="FQ124">
        <v>44.502751613705719</v>
      </c>
      <c r="FR124">
        <v>0.16313167028521131</v>
      </c>
      <c r="FS124">
        <v>8.6401963396357639E-2</v>
      </c>
      <c r="FT124">
        <v>1</v>
      </c>
      <c r="FU124">
        <v>0.32064490456558919</v>
      </c>
      <c r="FV124">
        <v>3.6257069694624292E-2</v>
      </c>
      <c r="FW124">
        <v>4.1030008021788189E-3</v>
      </c>
      <c r="FX124">
        <v>1</v>
      </c>
      <c r="FY124">
        <v>2</v>
      </c>
      <c r="FZ124">
        <v>2</v>
      </c>
      <c r="GA124" t="s">
        <v>422</v>
      </c>
      <c r="GB124">
        <v>2.9227099999999999</v>
      </c>
      <c r="GC124">
        <v>2.8299599999999998</v>
      </c>
      <c r="GD124">
        <v>9.8989900000000006E-2</v>
      </c>
      <c r="GE124">
        <v>0.10563500000000001</v>
      </c>
      <c r="GF124">
        <v>0.13880600000000001</v>
      </c>
      <c r="GG124">
        <v>0.116354</v>
      </c>
      <c r="GH124">
        <v>23703.200000000001</v>
      </c>
      <c r="GI124">
        <v>28567.1</v>
      </c>
      <c r="GJ124">
        <v>23674.7</v>
      </c>
      <c r="GK124">
        <v>29228.799999999999</v>
      </c>
      <c r="GL124">
        <v>27801.8</v>
      </c>
      <c r="GM124">
        <v>36486.6</v>
      </c>
      <c r="GN124">
        <v>33493.800000000003</v>
      </c>
      <c r="GO124">
        <v>43084.9</v>
      </c>
      <c r="GP124">
        <v>2.0402</v>
      </c>
      <c r="GQ124">
        <v>1.9247000000000001</v>
      </c>
      <c r="GR124">
        <v>0.14627000000000001</v>
      </c>
      <c r="GS124">
        <v>0</v>
      </c>
      <c r="GT124">
        <v>27.677600000000002</v>
      </c>
      <c r="GU124">
        <v>999.9</v>
      </c>
      <c r="GV124">
        <v>52.3</v>
      </c>
      <c r="GW124">
        <v>33.6</v>
      </c>
      <c r="GX124">
        <v>27.476600000000001</v>
      </c>
      <c r="GY124">
        <v>60.818300000000001</v>
      </c>
      <c r="GZ124">
        <v>33.802100000000003</v>
      </c>
      <c r="HA124">
        <v>1</v>
      </c>
      <c r="HB124">
        <v>0.12570100000000001</v>
      </c>
      <c r="HC124">
        <v>-9.1078400000000004E-2</v>
      </c>
      <c r="HD124">
        <v>20.325700000000001</v>
      </c>
      <c r="HE124">
        <v>5.2112999999999996</v>
      </c>
      <c r="HF124">
        <v>11.871600000000001</v>
      </c>
      <c r="HG124">
        <v>4.9851999999999999</v>
      </c>
      <c r="HH124">
        <v>3.2839999999999998</v>
      </c>
      <c r="HI124">
        <v>9999</v>
      </c>
      <c r="HJ124">
        <v>9999</v>
      </c>
      <c r="HK124">
        <v>9999</v>
      </c>
      <c r="HL124">
        <v>999.9</v>
      </c>
      <c r="HM124">
        <v>1.85453</v>
      </c>
      <c r="HN124">
        <v>1.86066</v>
      </c>
      <c r="HO124">
        <v>1.85808</v>
      </c>
      <c r="HP124">
        <v>1.85928</v>
      </c>
      <c r="HQ124">
        <v>1.8586400000000001</v>
      </c>
      <c r="HR124">
        <v>1.8591800000000001</v>
      </c>
      <c r="HS124">
        <v>1.8575999999999999</v>
      </c>
      <c r="HT124">
        <v>1.8609599999999999</v>
      </c>
      <c r="HU124">
        <v>5</v>
      </c>
      <c r="HV124">
        <v>0</v>
      </c>
      <c r="HW124">
        <v>0</v>
      </c>
      <c r="HX124">
        <v>0</v>
      </c>
      <c r="HY124" t="s">
        <v>423</v>
      </c>
      <c r="HZ124" t="s">
        <v>424</v>
      </c>
      <c r="IA124" t="s">
        <v>425</v>
      </c>
      <c r="IB124" t="s">
        <v>425</v>
      </c>
      <c r="IC124" t="s">
        <v>425</v>
      </c>
      <c r="ID124" t="s">
        <v>425</v>
      </c>
      <c r="IE124">
        <v>0</v>
      </c>
      <c r="IF124">
        <v>100</v>
      </c>
      <c r="IG124">
        <v>100</v>
      </c>
      <c r="IH124">
        <v>-2.2930000000000001</v>
      </c>
      <c r="II124">
        <v>-0.31390000000000001</v>
      </c>
      <c r="IJ124">
        <v>-2.2925714285714212</v>
      </c>
      <c r="IK124">
        <v>0</v>
      </c>
      <c r="IL124">
        <v>0</v>
      </c>
      <c r="IM124">
        <v>0</v>
      </c>
      <c r="IN124">
        <v>-0.31387000000000143</v>
      </c>
      <c r="IO124">
        <v>0</v>
      </c>
      <c r="IP124">
        <v>0</v>
      </c>
      <c r="IQ124">
        <v>0</v>
      </c>
      <c r="IR124">
        <v>-1</v>
      </c>
      <c r="IS124">
        <v>-1</v>
      </c>
      <c r="IT124">
        <v>-1</v>
      </c>
      <c r="IU124">
        <v>-1</v>
      </c>
      <c r="IV124">
        <v>0.5</v>
      </c>
      <c r="IW124">
        <v>0.6</v>
      </c>
      <c r="IX124">
        <v>1.1975100000000001</v>
      </c>
      <c r="IY124">
        <v>2.4633799999999999</v>
      </c>
      <c r="IZ124">
        <v>1.49414</v>
      </c>
      <c r="JA124">
        <v>2.2912599999999999</v>
      </c>
      <c r="JB124">
        <v>1.54419</v>
      </c>
      <c r="JC124">
        <v>2.4291999999999998</v>
      </c>
      <c r="JD124">
        <v>36.198900000000002</v>
      </c>
      <c r="JE124">
        <v>15.5242</v>
      </c>
      <c r="JF124">
        <v>18</v>
      </c>
      <c r="JG124">
        <v>532.78099999999995</v>
      </c>
      <c r="JH124">
        <v>492.649</v>
      </c>
      <c r="JI124">
        <v>28.9679</v>
      </c>
      <c r="JJ124">
        <v>29.131</v>
      </c>
      <c r="JK124">
        <v>30</v>
      </c>
      <c r="JL124">
        <v>29.0928</v>
      </c>
      <c r="JM124">
        <v>29.053799999999999</v>
      </c>
      <c r="JN124">
        <v>24.0395</v>
      </c>
      <c r="JO124">
        <v>17.324200000000001</v>
      </c>
      <c r="JP124">
        <v>100</v>
      </c>
      <c r="JQ124">
        <v>28.9649</v>
      </c>
      <c r="JR124">
        <v>500</v>
      </c>
      <c r="JS124">
        <v>24.181799999999999</v>
      </c>
      <c r="JT124">
        <v>99.315399999999997</v>
      </c>
      <c r="JU124">
        <v>97.100899999999996</v>
      </c>
    </row>
    <row r="125" spans="1:281" x14ac:dyDescent="0.25">
      <c r="A125">
        <v>109</v>
      </c>
      <c r="B125">
        <v>1693522312.5999999</v>
      </c>
      <c r="C125">
        <v>28176.599999904629</v>
      </c>
      <c r="D125" t="s">
        <v>969</v>
      </c>
      <c r="E125" t="s">
        <v>970</v>
      </c>
      <c r="F125" t="s">
        <v>414</v>
      </c>
      <c r="G125" t="s">
        <v>779</v>
      </c>
      <c r="H125" t="s">
        <v>495</v>
      </c>
      <c r="I125" t="s">
        <v>416</v>
      </c>
      <c r="J125">
        <v>1693522312.5999999</v>
      </c>
      <c r="K125">
        <f t="shared" si="138"/>
        <v>4.1510222007511534E-3</v>
      </c>
      <c r="L125">
        <f t="shared" si="139"/>
        <v>4.1510222007511537</v>
      </c>
      <c r="M125">
        <f t="shared" si="140"/>
        <v>45.831340268272498</v>
      </c>
      <c r="N125">
        <f t="shared" si="141"/>
        <v>641.96299999999997</v>
      </c>
      <c r="O125">
        <f t="shared" si="142"/>
        <v>382.74943744569998</v>
      </c>
      <c r="P125">
        <f t="shared" si="143"/>
        <v>38.103353267718838</v>
      </c>
      <c r="Q125">
        <f t="shared" si="144"/>
        <v>63.908501439077398</v>
      </c>
      <c r="R125">
        <f t="shared" si="145"/>
        <v>0.31105986498243637</v>
      </c>
      <c r="S125">
        <f t="shared" si="146"/>
        <v>2.9014630928252303</v>
      </c>
      <c r="T125">
        <f t="shared" si="147"/>
        <v>0.29364964767544033</v>
      </c>
      <c r="U125">
        <f t="shared" si="148"/>
        <v>0.18501401637438511</v>
      </c>
      <c r="V125">
        <f t="shared" si="149"/>
        <v>344.35799967090577</v>
      </c>
      <c r="W125">
        <f t="shared" si="150"/>
        <v>31.636304078606408</v>
      </c>
      <c r="X125">
        <f t="shared" si="151"/>
        <v>30.0062</v>
      </c>
      <c r="Y125">
        <f t="shared" si="152"/>
        <v>4.2619672516969711</v>
      </c>
      <c r="Z125">
        <f t="shared" si="153"/>
        <v>65.591833902201472</v>
      </c>
      <c r="AA125">
        <f t="shared" si="154"/>
        <v>2.9053662909681002</v>
      </c>
      <c r="AB125">
        <f t="shared" si="155"/>
        <v>4.4294634226877241</v>
      </c>
      <c r="AC125">
        <f t="shared" si="156"/>
        <v>1.3566009607288709</v>
      </c>
      <c r="AD125">
        <f t="shared" si="157"/>
        <v>-183.06007905312586</v>
      </c>
      <c r="AE125">
        <f t="shared" si="158"/>
        <v>105.24185073359278</v>
      </c>
      <c r="AF125">
        <f t="shared" si="159"/>
        <v>8.0925125696655353</v>
      </c>
      <c r="AG125">
        <f t="shared" si="160"/>
        <v>274.63228392103821</v>
      </c>
      <c r="AH125">
        <v>0</v>
      </c>
      <c r="AI125">
        <v>0</v>
      </c>
      <c r="AJ125">
        <f t="shared" si="161"/>
        <v>1</v>
      </c>
      <c r="AK125">
        <f t="shared" si="162"/>
        <v>0</v>
      </c>
      <c r="AL125">
        <f t="shared" si="163"/>
        <v>51426.230781934493</v>
      </c>
      <c r="AM125" t="s">
        <v>417</v>
      </c>
      <c r="AN125">
        <v>10366.9</v>
      </c>
      <c r="AO125">
        <v>993.59653846153856</v>
      </c>
      <c r="AP125">
        <v>3431.87</v>
      </c>
      <c r="AQ125">
        <f t="shared" si="164"/>
        <v>0.71047955241266758</v>
      </c>
      <c r="AR125">
        <v>-3.9894345373445681</v>
      </c>
      <c r="AS125" t="s">
        <v>971</v>
      </c>
      <c r="AT125">
        <v>10320.6</v>
      </c>
      <c r="AU125">
        <v>674.93119999999999</v>
      </c>
      <c r="AV125">
        <v>1002.9993057201719</v>
      </c>
      <c r="AW125">
        <f t="shared" si="165"/>
        <v>0.32708707159534178</v>
      </c>
      <c r="AX125">
        <v>0.5</v>
      </c>
      <c r="AY125">
        <f t="shared" si="166"/>
        <v>1513.134299835453</v>
      </c>
      <c r="AZ125">
        <f t="shared" si="167"/>
        <v>45.831340268272498</v>
      </c>
      <c r="BA125">
        <f t="shared" si="168"/>
        <v>247.46333353182308</v>
      </c>
      <c r="BB125">
        <f t="shared" si="169"/>
        <v>3.2925547197651166E-2</v>
      </c>
      <c r="BC125">
        <f t="shared" si="170"/>
        <v>2.4216075528944203</v>
      </c>
      <c r="BD125">
        <f t="shared" si="171"/>
        <v>584.08892769982094</v>
      </c>
      <c r="BE125" t="s">
        <v>972</v>
      </c>
      <c r="BF125">
        <v>543.21</v>
      </c>
      <c r="BG125">
        <f t="shared" si="172"/>
        <v>543.21</v>
      </c>
      <c r="BH125">
        <f t="shared" si="173"/>
        <v>0.45841438084549291</v>
      </c>
      <c r="BI125">
        <f t="shared" si="174"/>
        <v>0.71351834772737066</v>
      </c>
      <c r="BJ125">
        <f t="shared" si="175"/>
        <v>0.84082955220753852</v>
      </c>
      <c r="BK125">
        <f t="shared" si="176"/>
        <v>34.890590896945568</v>
      </c>
      <c r="BL125">
        <f t="shared" si="177"/>
        <v>0.99614367813661853</v>
      </c>
      <c r="BM125">
        <f t="shared" si="178"/>
        <v>0.5742663869576411</v>
      </c>
      <c r="BN125">
        <f t="shared" si="179"/>
        <v>0.4257336130423589</v>
      </c>
      <c r="BO125">
        <v>16924</v>
      </c>
      <c r="BP125">
        <v>290.00000000000011</v>
      </c>
      <c r="BQ125">
        <v>904.68</v>
      </c>
      <c r="BR125">
        <v>205</v>
      </c>
      <c r="BS125">
        <v>10320.6</v>
      </c>
      <c r="BT125">
        <v>902.94</v>
      </c>
      <c r="BU125">
        <v>1.74</v>
      </c>
      <c r="BV125">
        <v>300.00000000000011</v>
      </c>
      <c r="BW125">
        <v>38.4</v>
      </c>
      <c r="BX125">
        <v>1002.9993057201719</v>
      </c>
      <c r="BY125">
        <v>1.1932251952277679</v>
      </c>
      <c r="BZ125">
        <v>-103.2645427826824</v>
      </c>
      <c r="CA125">
        <v>1.0077200350579141</v>
      </c>
      <c r="CB125">
        <v>0.99734062932093936</v>
      </c>
      <c r="CC125">
        <v>-1.124151412680756E-2</v>
      </c>
      <c r="CD125">
        <v>289.99999999999989</v>
      </c>
      <c r="CE125">
        <v>890.25</v>
      </c>
      <c r="CF125">
        <v>645</v>
      </c>
      <c r="CG125">
        <v>10299.4</v>
      </c>
      <c r="CH125">
        <v>902.74</v>
      </c>
      <c r="CI125">
        <v>-12.49</v>
      </c>
      <c r="CW125">
        <f t="shared" si="180"/>
        <v>1799.94</v>
      </c>
      <c r="CX125">
        <f t="shared" si="181"/>
        <v>1513.134299835453</v>
      </c>
      <c r="CY125">
        <f t="shared" si="182"/>
        <v>0.84065818851486884</v>
      </c>
      <c r="CZ125">
        <f t="shared" si="183"/>
        <v>0.19131637702973753</v>
      </c>
      <c r="DA125">
        <v>6</v>
      </c>
      <c r="DB125">
        <v>0.5</v>
      </c>
      <c r="DC125" t="s">
        <v>420</v>
      </c>
      <c r="DD125">
        <v>2</v>
      </c>
      <c r="DE125">
        <v>1693522312.5999999</v>
      </c>
      <c r="DF125">
        <v>641.96299999999997</v>
      </c>
      <c r="DG125">
        <v>700.17700000000002</v>
      </c>
      <c r="DH125">
        <v>29.1845</v>
      </c>
      <c r="DI125">
        <v>24.347100000000001</v>
      </c>
      <c r="DJ125">
        <v>644.47299999999996</v>
      </c>
      <c r="DK125">
        <v>29.495100000000001</v>
      </c>
      <c r="DL125">
        <v>499.84</v>
      </c>
      <c r="DM125">
        <v>99.451800000000006</v>
      </c>
      <c r="DN125">
        <v>9.9889800000000001E-2</v>
      </c>
      <c r="DO125">
        <v>30.678999999999998</v>
      </c>
      <c r="DP125">
        <v>30.0062</v>
      </c>
      <c r="DQ125">
        <v>999.9</v>
      </c>
      <c r="DR125">
        <v>0</v>
      </c>
      <c r="DS125">
        <v>0</v>
      </c>
      <c r="DT125">
        <v>9895</v>
      </c>
      <c r="DU125">
        <v>0</v>
      </c>
      <c r="DV125">
        <v>76.812700000000007</v>
      </c>
      <c r="DW125">
        <v>-58.214399999999998</v>
      </c>
      <c r="DX125">
        <v>661.26199999999994</v>
      </c>
      <c r="DY125">
        <v>717.65</v>
      </c>
      <c r="DZ125">
        <v>4.8373600000000003</v>
      </c>
      <c r="EA125">
        <v>700.17700000000002</v>
      </c>
      <c r="EB125">
        <v>24.347100000000001</v>
      </c>
      <c r="EC125">
        <v>2.90245</v>
      </c>
      <c r="ED125">
        <v>2.42136</v>
      </c>
      <c r="EE125">
        <v>23.4786</v>
      </c>
      <c r="EF125">
        <v>20.507400000000001</v>
      </c>
      <c r="EG125">
        <v>1799.94</v>
      </c>
      <c r="EH125">
        <v>0.97799800000000003</v>
      </c>
      <c r="EI125">
        <v>2.2001900000000001E-2</v>
      </c>
      <c r="EJ125">
        <v>0</v>
      </c>
      <c r="EK125">
        <v>674.40599999999995</v>
      </c>
      <c r="EL125">
        <v>5.0002500000000003</v>
      </c>
      <c r="EM125">
        <v>14931.6</v>
      </c>
      <c r="EN125">
        <v>14821.6</v>
      </c>
      <c r="EO125">
        <v>47.311999999999998</v>
      </c>
      <c r="EP125">
        <v>48.125</v>
      </c>
      <c r="EQ125">
        <v>48.061999999999998</v>
      </c>
      <c r="ER125">
        <v>47.25</v>
      </c>
      <c r="ES125">
        <v>48.5</v>
      </c>
      <c r="ET125">
        <v>1755.45</v>
      </c>
      <c r="EU125">
        <v>39.49</v>
      </c>
      <c r="EV125">
        <v>0</v>
      </c>
      <c r="EW125">
        <v>97.800000190734863</v>
      </c>
      <c r="EX125">
        <v>0</v>
      </c>
      <c r="EY125">
        <v>674.93119999999999</v>
      </c>
      <c r="EZ125">
        <v>-3.3158461707180358</v>
      </c>
      <c r="FA125">
        <v>-90.192307596918539</v>
      </c>
      <c r="FB125">
        <v>14943.92</v>
      </c>
      <c r="FC125">
        <v>15</v>
      </c>
      <c r="FD125">
        <v>1693522281.5999999</v>
      </c>
      <c r="FE125" t="s">
        <v>973</v>
      </c>
      <c r="FF125">
        <v>1693522278.5999999</v>
      </c>
      <c r="FG125">
        <v>1693522281.5999999</v>
      </c>
      <c r="FH125">
        <v>123</v>
      </c>
      <c r="FI125">
        <v>-0.217</v>
      </c>
      <c r="FJ125">
        <v>3.0000000000000001E-3</v>
      </c>
      <c r="FK125">
        <v>-2.5099999999999998</v>
      </c>
      <c r="FL125">
        <v>-0.311</v>
      </c>
      <c r="FM125">
        <v>700</v>
      </c>
      <c r="FN125">
        <v>24</v>
      </c>
      <c r="FO125">
        <v>0.13</v>
      </c>
      <c r="FP125">
        <v>0.06</v>
      </c>
      <c r="FQ125">
        <v>45.806883691718298</v>
      </c>
      <c r="FR125">
        <v>-0.25836208849726222</v>
      </c>
      <c r="FS125">
        <v>8.660472976887211E-2</v>
      </c>
      <c r="FT125">
        <v>1</v>
      </c>
      <c r="FU125">
        <v>0.31110269649553141</v>
      </c>
      <c r="FV125">
        <v>2.668487476911393E-2</v>
      </c>
      <c r="FW125">
        <v>3.5183629762794502E-3</v>
      </c>
      <c r="FX125">
        <v>1</v>
      </c>
      <c r="FY125">
        <v>2</v>
      </c>
      <c r="FZ125">
        <v>2</v>
      </c>
      <c r="GA125" t="s">
        <v>422</v>
      </c>
      <c r="GB125">
        <v>2.9218000000000002</v>
      </c>
      <c r="GC125">
        <v>2.8288700000000002</v>
      </c>
      <c r="GD125">
        <v>0.12875400000000001</v>
      </c>
      <c r="GE125">
        <v>0.13388600000000001</v>
      </c>
      <c r="GF125">
        <v>0.13857900000000001</v>
      </c>
      <c r="GG125">
        <v>0.116692</v>
      </c>
      <c r="GH125">
        <v>22922.6</v>
      </c>
      <c r="GI125">
        <v>27663.1</v>
      </c>
      <c r="GJ125">
        <v>23677.200000000001</v>
      </c>
      <c r="GK125">
        <v>29227.1</v>
      </c>
      <c r="GL125">
        <v>27814.3</v>
      </c>
      <c r="GM125">
        <v>36472.6</v>
      </c>
      <c r="GN125">
        <v>33496.6</v>
      </c>
      <c r="GO125">
        <v>43081.7</v>
      </c>
      <c r="GP125">
        <v>2.0402999999999998</v>
      </c>
      <c r="GQ125">
        <v>1.9263999999999999</v>
      </c>
      <c r="GR125">
        <v>0.138298</v>
      </c>
      <c r="GS125">
        <v>0</v>
      </c>
      <c r="GT125">
        <v>27.7514</v>
      </c>
      <c r="GU125">
        <v>999.9</v>
      </c>
      <c r="GV125">
        <v>52.4</v>
      </c>
      <c r="GW125">
        <v>33.5</v>
      </c>
      <c r="GX125">
        <v>27.3736</v>
      </c>
      <c r="GY125">
        <v>61.148299999999999</v>
      </c>
      <c r="GZ125">
        <v>34.218800000000002</v>
      </c>
      <c r="HA125">
        <v>1</v>
      </c>
      <c r="HB125">
        <v>0.125691</v>
      </c>
      <c r="HC125">
        <v>-2.1045600000000002</v>
      </c>
      <c r="HD125">
        <v>20.308700000000002</v>
      </c>
      <c r="HE125">
        <v>5.2065099999999997</v>
      </c>
      <c r="HF125">
        <v>11.872199999999999</v>
      </c>
      <c r="HG125">
        <v>4.9836</v>
      </c>
      <c r="HH125">
        <v>3.2825000000000002</v>
      </c>
      <c r="HI125">
        <v>9999</v>
      </c>
      <c r="HJ125">
        <v>9999</v>
      </c>
      <c r="HK125">
        <v>9999</v>
      </c>
      <c r="HL125">
        <v>999.9</v>
      </c>
      <c r="HM125">
        <v>1.8545499999999999</v>
      </c>
      <c r="HN125">
        <v>1.86066</v>
      </c>
      <c r="HO125">
        <v>1.85806</v>
      </c>
      <c r="HP125">
        <v>1.85928</v>
      </c>
      <c r="HQ125">
        <v>1.85867</v>
      </c>
      <c r="HR125">
        <v>1.85914</v>
      </c>
      <c r="HS125">
        <v>1.8575999999999999</v>
      </c>
      <c r="HT125">
        <v>1.8609599999999999</v>
      </c>
      <c r="HU125">
        <v>5</v>
      </c>
      <c r="HV125">
        <v>0</v>
      </c>
      <c r="HW125">
        <v>0</v>
      </c>
      <c r="HX125">
        <v>0</v>
      </c>
      <c r="HY125" t="s">
        <v>423</v>
      </c>
      <c r="HZ125" t="s">
        <v>424</v>
      </c>
      <c r="IA125" t="s">
        <v>425</v>
      </c>
      <c r="IB125" t="s">
        <v>425</v>
      </c>
      <c r="IC125" t="s">
        <v>425</v>
      </c>
      <c r="ID125" t="s">
        <v>425</v>
      </c>
      <c r="IE125">
        <v>0</v>
      </c>
      <c r="IF125">
        <v>100</v>
      </c>
      <c r="IG125">
        <v>100</v>
      </c>
      <c r="IH125">
        <v>-2.5099999999999998</v>
      </c>
      <c r="II125">
        <v>-0.31059999999999999</v>
      </c>
      <c r="IJ125">
        <v>-2.509500000000116</v>
      </c>
      <c r="IK125">
        <v>0</v>
      </c>
      <c r="IL125">
        <v>0</v>
      </c>
      <c r="IM125">
        <v>0</v>
      </c>
      <c r="IN125">
        <v>-0.31060000000000088</v>
      </c>
      <c r="IO125">
        <v>0</v>
      </c>
      <c r="IP125">
        <v>0</v>
      </c>
      <c r="IQ125">
        <v>0</v>
      </c>
      <c r="IR125">
        <v>-1</v>
      </c>
      <c r="IS125">
        <v>-1</v>
      </c>
      <c r="IT125">
        <v>-1</v>
      </c>
      <c r="IU125">
        <v>-1</v>
      </c>
      <c r="IV125">
        <v>0.6</v>
      </c>
      <c r="IW125">
        <v>0.5</v>
      </c>
      <c r="IX125">
        <v>1.5625</v>
      </c>
      <c r="IY125">
        <v>2.4536099999999998</v>
      </c>
      <c r="IZ125">
        <v>1.49414</v>
      </c>
      <c r="JA125">
        <v>2.2912599999999999</v>
      </c>
      <c r="JB125">
        <v>1.54419</v>
      </c>
      <c r="JC125">
        <v>2.5097700000000001</v>
      </c>
      <c r="JD125">
        <v>36.128500000000003</v>
      </c>
      <c r="JE125">
        <v>15.5067</v>
      </c>
      <c r="JF125">
        <v>18</v>
      </c>
      <c r="JG125">
        <v>532.64400000000001</v>
      </c>
      <c r="JH125">
        <v>493.66500000000002</v>
      </c>
      <c r="JI125">
        <v>28.176400000000001</v>
      </c>
      <c r="JJ125">
        <v>29.1235</v>
      </c>
      <c r="JK125">
        <v>30</v>
      </c>
      <c r="JL125">
        <v>29.070599999999999</v>
      </c>
      <c r="JM125">
        <v>29.030799999999999</v>
      </c>
      <c r="JN125">
        <v>31.343499999999999</v>
      </c>
      <c r="JO125">
        <v>16.513100000000001</v>
      </c>
      <c r="JP125">
        <v>100</v>
      </c>
      <c r="JQ125">
        <v>28.5136</v>
      </c>
      <c r="JR125">
        <v>700</v>
      </c>
      <c r="JS125">
        <v>24.233799999999999</v>
      </c>
      <c r="JT125">
        <v>99.324600000000004</v>
      </c>
      <c r="JU125">
        <v>97.094200000000001</v>
      </c>
    </row>
    <row r="126" spans="1:281" x14ac:dyDescent="0.25">
      <c r="A126">
        <v>110</v>
      </c>
      <c r="B126">
        <v>1693522422.5999999</v>
      </c>
      <c r="C126">
        <v>28286.599999904629</v>
      </c>
      <c r="D126" t="s">
        <v>974</v>
      </c>
      <c r="E126" t="s">
        <v>975</v>
      </c>
      <c r="F126" t="s">
        <v>414</v>
      </c>
      <c r="G126" t="s">
        <v>779</v>
      </c>
      <c r="H126" t="s">
        <v>495</v>
      </c>
      <c r="I126" t="s">
        <v>416</v>
      </c>
      <c r="J126">
        <v>1693522422.5999999</v>
      </c>
      <c r="K126">
        <f t="shared" si="138"/>
        <v>4.0236882410631314E-3</v>
      </c>
      <c r="L126">
        <f t="shared" si="139"/>
        <v>4.0236882410631312</v>
      </c>
      <c r="M126">
        <f t="shared" si="140"/>
        <v>45.307636415903872</v>
      </c>
      <c r="N126">
        <f t="shared" si="141"/>
        <v>841.57299999999998</v>
      </c>
      <c r="O126">
        <f t="shared" si="142"/>
        <v>568.36351861464209</v>
      </c>
      <c r="P126">
        <f t="shared" si="143"/>
        <v>56.580550709259043</v>
      </c>
      <c r="Q126">
        <f t="shared" si="144"/>
        <v>83.778536522024709</v>
      </c>
      <c r="R126">
        <f t="shared" si="145"/>
        <v>0.29547761897502328</v>
      </c>
      <c r="S126">
        <f t="shared" si="146"/>
        <v>2.9181351870127408</v>
      </c>
      <c r="T126">
        <f t="shared" si="147"/>
        <v>0.27980546926546551</v>
      </c>
      <c r="U126">
        <f t="shared" si="148"/>
        <v>0.17621719666198116</v>
      </c>
      <c r="V126">
        <f t="shared" si="149"/>
        <v>344.40929967095514</v>
      </c>
      <c r="W126">
        <f t="shared" si="150"/>
        <v>31.630901449648519</v>
      </c>
      <c r="X126">
        <f t="shared" si="151"/>
        <v>30.009799999999998</v>
      </c>
      <c r="Y126">
        <f t="shared" si="152"/>
        <v>4.2628485848357309</v>
      </c>
      <c r="Z126">
        <f t="shared" si="153"/>
        <v>65.205236667339349</v>
      </c>
      <c r="AA126">
        <f t="shared" si="154"/>
        <v>2.8826674359423001</v>
      </c>
      <c r="AB126">
        <f t="shared" si="155"/>
        <v>4.4209139990533908</v>
      </c>
      <c r="AC126">
        <f t="shared" si="156"/>
        <v>1.3801811488934308</v>
      </c>
      <c r="AD126">
        <f t="shared" si="157"/>
        <v>-177.44465143088408</v>
      </c>
      <c r="AE126">
        <f t="shared" si="158"/>
        <v>99.9627191700976</v>
      </c>
      <c r="AF126">
        <f t="shared" si="159"/>
        <v>7.6415189633465515</v>
      </c>
      <c r="AG126">
        <f t="shared" si="160"/>
        <v>274.56888637351517</v>
      </c>
      <c r="AH126">
        <v>0</v>
      </c>
      <c r="AI126">
        <v>0</v>
      </c>
      <c r="AJ126">
        <f t="shared" si="161"/>
        <v>1</v>
      </c>
      <c r="AK126">
        <f t="shared" si="162"/>
        <v>0</v>
      </c>
      <c r="AL126">
        <f t="shared" si="163"/>
        <v>51905.323964387593</v>
      </c>
      <c r="AM126" t="s">
        <v>417</v>
      </c>
      <c r="AN126">
        <v>10366.9</v>
      </c>
      <c r="AO126">
        <v>993.59653846153856</v>
      </c>
      <c r="AP126">
        <v>3431.87</v>
      </c>
      <c r="AQ126">
        <f t="shared" si="164"/>
        <v>0.71047955241266758</v>
      </c>
      <c r="AR126">
        <v>-3.9894345373445681</v>
      </c>
      <c r="AS126" t="s">
        <v>976</v>
      </c>
      <c r="AT126">
        <v>10323.200000000001</v>
      </c>
      <c r="AU126">
        <v>671.25779999999997</v>
      </c>
      <c r="AV126">
        <v>1000.032949264247</v>
      </c>
      <c r="AW126">
        <f t="shared" si="165"/>
        <v>0.32876431672190043</v>
      </c>
      <c r="AX126">
        <v>0.5</v>
      </c>
      <c r="AY126">
        <f t="shared" si="166"/>
        <v>1513.3610998354775</v>
      </c>
      <c r="AZ126">
        <f t="shared" si="167"/>
        <v>45.307636415903872</v>
      </c>
      <c r="BA126">
        <f t="shared" si="168"/>
        <v>248.76956397045726</v>
      </c>
      <c r="BB126">
        <f t="shared" si="169"/>
        <v>3.257455934251758E-2</v>
      </c>
      <c r="BC126">
        <f t="shared" si="170"/>
        <v>2.4317569261342094</v>
      </c>
      <c r="BD126">
        <f t="shared" si="171"/>
        <v>583.08172519025425</v>
      </c>
      <c r="BE126" t="s">
        <v>977</v>
      </c>
      <c r="BF126">
        <v>538.1</v>
      </c>
      <c r="BG126">
        <f t="shared" si="172"/>
        <v>538.1</v>
      </c>
      <c r="BH126">
        <f t="shared" si="173"/>
        <v>0.46191772941492015</v>
      </c>
      <c r="BI126">
        <f t="shared" si="174"/>
        <v>0.71173781776751421</v>
      </c>
      <c r="BJ126">
        <f t="shared" si="175"/>
        <v>0.84036984651017643</v>
      </c>
      <c r="BK126">
        <f t="shared" si="176"/>
        <v>51.080510449379325</v>
      </c>
      <c r="BL126">
        <f t="shared" si="177"/>
        <v>0.99736025884535229</v>
      </c>
      <c r="BM126">
        <f t="shared" si="178"/>
        <v>0.57054997311122402</v>
      </c>
      <c r="BN126">
        <f t="shared" si="179"/>
        <v>0.42945002688877598</v>
      </c>
      <c r="BO126">
        <v>16926</v>
      </c>
      <c r="BP126">
        <v>290.00000000000011</v>
      </c>
      <c r="BQ126">
        <v>904.11</v>
      </c>
      <c r="BR126">
        <v>185</v>
      </c>
      <c r="BS126">
        <v>10323.200000000001</v>
      </c>
      <c r="BT126">
        <v>901.05</v>
      </c>
      <c r="BU126">
        <v>3.06</v>
      </c>
      <c r="BV126">
        <v>300.00000000000011</v>
      </c>
      <c r="BW126">
        <v>38.4</v>
      </c>
      <c r="BX126">
        <v>1000.032949264247</v>
      </c>
      <c r="BY126">
        <v>1.091332002185692</v>
      </c>
      <c r="BZ126">
        <v>-102.1782003590789</v>
      </c>
      <c r="CA126">
        <v>0.92164796786609826</v>
      </c>
      <c r="CB126">
        <v>0.99772708374804753</v>
      </c>
      <c r="CC126">
        <v>-1.124137842046718E-2</v>
      </c>
      <c r="CD126">
        <v>289.99999999999989</v>
      </c>
      <c r="CE126">
        <v>889.2</v>
      </c>
      <c r="CF126">
        <v>665</v>
      </c>
      <c r="CG126">
        <v>10297.799999999999</v>
      </c>
      <c r="CH126">
        <v>900.81</v>
      </c>
      <c r="CI126">
        <v>-11.61</v>
      </c>
      <c r="CW126">
        <f t="shared" si="180"/>
        <v>1800.21</v>
      </c>
      <c r="CX126">
        <f t="shared" si="181"/>
        <v>1513.3610998354775</v>
      </c>
      <c r="CY126">
        <f t="shared" si="182"/>
        <v>0.84065808979812218</v>
      </c>
      <c r="CZ126">
        <f t="shared" si="183"/>
        <v>0.19131617959624439</v>
      </c>
      <c r="DA126">
        <v>6</v>
      </c>
      <c r="DB126">
        <v>0.5</v>
      </c>
      <c r="DC126" t="s">
        <v>420</v>
      </c>
      <c r="DD126">
        <v>2</v>
      </c>
      <c r="DE126">
        <v>1693522422.5999999</v>
      </c>
      <c r="DF126">
        <v>841.57299999999998</v>
      </c>
      <c r="DG126">
        <v>900.01300000000003</v>
      </c>
      <c r="DH126">
        <v>28.957000000000001</v>
      </c>
      <c r="DI126">
        <v>24.267800000000001</v>
      </c>
      <c r="DJ126">
        <v>844.05399999999997</v>
      </c>
      <c r="DK126">
        <v>29.268799999999999</v>
      </c>
      <c r="DL126">
        <v>499.93700000000001</v>
      </c>
      <c r="DM126">
        <v>99.450199999999995</v>
      </c>
      <c r="DN126">
        <v>9.97339E-2</v>
      </c>
      <c r="DO126">
        <v>30.645199999999999</v>
      </c>
      <c r="DP126">
        <v>30.009799999999998</v>
      </c>
      <c r="DQ126">
        <v>999.9</v>
      </c>
      <c r="DR126">
        <v>0</v>
      </c>
      <c r="DS126">
        <v>0</v>
      </c>
      <c r="DT126">
        <v>9990</v>
      </c>
      <c r="DU126">
        <v>0</v>
      </c>
      <c r="DV126">
        <v>74.504300000000001</v>
      </c>
      <c r="DW126">
        <v>-58.440199999999997</v>
      </c>
      <c r="DX126">
        <v>866.66899999999998</v>
      </c>
      <c r="DY126">
        <v>922.39800000000002</v>
      </c>
      <c r="DZ126">
        <v>4.6891800000000003</v>
      </c>
      <c r="EA126">
        <v>900.01300000000003</v>
      </c>
      <c r="EB126">
        <v>24.267800000000001</v>
      </c>
      <c r="EC126">
        <v>2.8797799999999998</v>
      </c>
      <c r="ED126">
        <v>2.41344</v>
      </c>
      <c r="EE126">
        <v>23.348700000000001</v>
      </c>
      <c r="EF126">
        <v>20.4542</v>
      </c>
      <c r="EG126">
        <v>1800.21</v>
      </c>
      <c r="EH126">
        <v>0.97800200000000004</v>
      </c>
      <c r="EI126">
        <v>2.19981E-2</v>
      </c>
      <c r="EJ126">
        <v>0</v>
      </c>
      <c r="EK126">
        <v>671.01900000000001</v>
      </c>
      <c r="EL126">
        <v>5.0002500000000003</v>
      </c>
      <c r="EM126">
        <v>14780.4</v>
      </c>
      <c r="EN126">
        <v>14823.8</v>
      </c>
      <c r="EO126">
        <v>47.311999999999998</v>
      </c>
      <c r="EP126">
        <v>48.125</v>
      </c>
      <c r="EQ126">
        <v>48.061999999999998</v>
      </c>
      <c r="ER126">
        <v>47.25</v>
      </c>
      <c r="ES126">
        <v>48.5</v>
      </c>
      <c r="ET126">
        <v>1755.72</v>
      </c>
      <c r="EU126">
        <v>39.49</v>
      </c>
      <c r="EV126">
        <v>0</v>
      </c>
      <c r="EW126">
        <v>108</v>
      </c>
      <c r="EX126">
        <v>0</v>
      </c>
      <c r="EY126">
        <v>671.25779999999997</v>
      </c>
      <c r="EZ126">
        <v>-2.400538448736226</v>
      </c>
      <c r="FA126">
        <v>-116.8230770246056</v>
      </c>
      <c r="FB126">
        <v>14787.084000000001</v>
      </c>
      <c r="FC126">
        <v>15</v>
      </c>
      <c r="FD126">
        <v>1693522391.5999999</v>
      </c>
      <c r="FE126" t="s">
        <v>978</v>
      </c>
      <c r="FF126">
        <v>1693522391.5999999</v>
      </c>
      <c r="FG126">
        <v>1693522381.5999999</v>
      </c>
      <c r="FH126">
        <v>124</v>
      </c>
      <c r="FI126">
        <v>2.8000000000000001E-2</v>
      </c>
      <c r="FJ126">
        <v>-1E-3</v>
      </c>
      <c r="FK126">
        <v>-2.4809999999999999</v>
      </c>
      <c r="FL126">
        <v>-0.312</v>
      </c>
      <c r="FM126">
        <v>900</v>
      </c>
      <c r="FN126">
        <v>24</v>
      </c>
      <c r="FO126">
        <v>0.17</v>
      </c>
      <c r="FP126">
        <v>0.05</v>
      </c>
      <c r="FQ126">
        <v>45.427475376155343</v>
      </c>
      <c r="FR126">
        <v>0.1214912738981037</v>
      </c>
      <c r="FS126">
        <v>0.10793954856811019</v>
      </c>
      <c r="FT126">
        <v>1</v>
      </c>
      <c r="FU126">
        <v>0.29820736175416163</v>
      </c>
      <c r="FV126">
        <v>9.7448446755632051E-3</v>
      </c>
      <c r="FW126">
        <v>2.94042132111789E-3</v>
      </c>
      <c r="FX126">
        <v>1</v>
      </c>
      <c r="FY126">
        <v>2</v>
      </c>
      <c r="FZ126">
        <v>2</v>
      </c>
      <c r="GA126" t="s">
        <v>422</v>
      </c>
      <c r="GB126">
        <v>2.9220199999999998</v>
      </c>
      <c r="GC126">
        <v>2.8295300000000001</v>
      </c>
      <c r="GD126">
        <v>0.154338</v>
      </c>
      <c r="GE126">
        <v>0.15818399999999999</v>
      </c>
      <c r="GF126">
        <v>0.137845</v>
      </c>
      <c r="GG126">
        <v>0.116429</v>
      </c>
      <c r="GH126">
        <v>22249.9</v>
      </c>
      <c r="GI126">
        <v>26886.5</v>
      </c>
      <c r="GJ126">
        <v>23677.599999999999</v>
      </c>
      <c r="GK126">
        <v>29226.5</v>
      </c>
      <c r="GL126">
        <v>27839.9</v>
      </c>
      <c r="GM126">
        <v>36486.400000000001</v>
      </c>
      <c r="GN126">
        <v>33495.5</v>
      </c>
      <c r="GO126">
        <v>43081.5</v>
      </c>
      <c r="GP126">
        <v>2.0402</v>
      </c>
      <c r="GQ126">
        <v>1.9276</v>
      </c>
      <c r="GR126">
        <v>0.140399</v>
      </c>
      <c r="GS126">
        <v>0</v>
      </c>
      <c r="GT126">
        <v>27.720700000000001</v>
      </c>
      <c r="GU126">
        <v>999.9</v>
      </c>
      <c r="GV126">
        <v>52.5</v>
      </c>
      <c r="GW126">
        <v>33.299999999999997</v>
      </c>
      <c r="GX126">
        <v>27.1248</v>
      </c>
      <c r="GY126">
        <v>61.398400000000002</v>
      </c>
      <c r="GZ126">
        <v>34.194699999999997</v>
      </c>
      <c r="HA126">
        <v>1</v>
      </c>
      <c r="HB126">
        <v>0.125081</v>
      </c>
      <c r="HC126">
        <v>-7.1492399999999998E-2</v>
      </c>
      <c r="HD126">
        <v>20.325199999999999</v>
      </c>
      <c r="HE126">
        <v>5.2112999999999996</v>
      </c>
      <c r="HF126">
        <v>11.872199999999999</v>
      </c>
      <c r="HG126">
        <v>4.9851999999999999</v>
      </c>
      <c r="HH126">
        <v>3.2839999999999998</v>
      </c>
      <c r="HI126">
        <v>9999</v>
      </c>
      <c r="HJ126">
        <v>9999</v>
      </c>
      <c r="HK126">
        <v>9999</v>
      </c>
      <c r="HL126">
        <v>999.9</v>
      </c>
      <c r="HM126">
        <v>1.85453</v>
      </c>
      <c r="HN126">
        <v>1.86066</v>
      </c>
      <c r="HO126">
        <v>1.85806</v>
      </c>
      <c r="HP126">
        <v>1.85928</v>
      </c>
      <c r="HQ126">
        <v>1.85867</v>
      </c>
      <c r="HR126">
        <v>1.8591299999999999</v>
      </c>
      <c r="HS126">
        <v>1.8575999999999999</v>
      </c>
      <c r="HT126">
        <v>1.8609599999999999</v>
      </c>
      <c r="HU126">
        <v>5</v>
      </c>
      <c r="HV126">
        <v>0</v>
      </c>
      <c r="HW126">
        <v>0</v>
      </c>
      <c r="HX126">
        <v>0</v>
      </c>
      <c r="HY126" t="s">
        <v>423</v>
      </c>
      <c r="HZ126" t="s">
        <v>424</v>
      </c>
      <c r="IA126" t="s">
        <v>425</v>
      </c>
      <c r="IB126" t="s">
        <v>425</v>
      </c>
      <c r="IC126" t="s">
        <v>425</v>
      </c>
      <c r="ID126" t="s">
        <v>425</v>
      </c>
      <c r="IE126">
        <v>0</v>
      </c>
      <c r="IF126">
        <v>100</v>
      </c>
      <c r="IG126">
        <v>100</v>
      </c>
      <c r="IH126">
        <v>-2.4809999999999999</v>
      </c>
      <c r="II126">
        <v>-0.31180000000000002</v>
      </c>
      <c r="IJ126">
        <v>-2.4812380952379272</v>
      </c>
      <c r="IK126">
        <v>0</v>
      </c>
      <c r="IL126">
        <v>0</v>
      </c>
      <c r="IM126">
        <v>0</v>
      </c>
      <c r="IN126">
        <v>-0.31179999999999808</v>
      </c>
      <c r="IO126">
        <v>0</v>
      </c>
      <c r="IP126">
        <v>0</v>
      </c>
      <c r="IQ126">
        <v>0</v>
      </c>
      <c r="IR126">
        <v>-1</v>
      </c>
      <c r="IS126">
        <v>-1</v>
      </c>
      <c r="IT126">
        <v>-1</v>
      </c>
      <c r="IU126">
        <v>-1</v>
      </c>
      <c r="IV126">
        <v>0.5</v>
      </c>
      <c r="IW126">
        <v>0.7</v>
      </c>
      <c r="IX126">
        <v>1.9043000000000001</v>
      </c>
      <c r="IY126">
        <v>2.4475099999999999</v>
      </c>
      <c r="IZ126">
        <v>1.49414</v>
      </c>
      <c r="JA126">
        <v>2.2912599999999999</v>
      </c>
      <c r="JB126">
        <v>1.54419</v>
      </c>
      <c r="JC126">
        <v>2.49878</v>
      </c>
      <c r="JD126">
        <v>36.058199999999999</v>
      </c>
      <c r="JE126">
        <v>15.497999999999999</v>
      </c>
      <c r="JF126">
        <v>18</v>
      </c>
      <c r="JG126">
        <v>532.47799999999995</v>
      </c>
      <c r="JH126">
        <v>494.4</v>
      </c>
      <c r="JI126">
        <v>28.421800000000001</v>
      </c>
      <c r="JJ126">
        <v>29.126100000000001</v>
      </c>
      <c r="JK126">
        <v>30</v>
      </c>
      <c r="JL126">
        <v>29.0594</v>
      </c>
      <c r="JM126">
        <v>29.0168</v>
      </c>
      <c r="JN126">
        <v>38.164499999999997</v>
      </c>
      <c r="JO126">
        <v>15.9984</v>
      </c>
      <c r="JP126">
        <v>100</v>
      </c>
      <c r="JQ126">
        <v>28.410399999999999</v>
      </c>
      <c r="JR126">
        <v>900</v>
      </c>
      <c r="JS126">
        <v>24.265000000000001</v>
      </c>
      <c r="JT126">
        <v>99.323300000000003</v>
      </c>
      <c r="JU126">
        <v>97.093199999999996</v>
      </c>
    </row>
    <row r="127" spans="1:281" x14ac:dyDescent="0.25">
      <c r="A127">
        <v>111</v>
      </c>
      <c r="B127">
        <v>1693522574.0999999</v>
      </c>
      <c r="C127">
        <v>28438.099999904629</v>
      </c>
      <c r="D127" t="s">
        <v>979</v>
      </c>
      <c r="E127" t="s">
        <v>980</v>
      </c>
      <c r="F127" t="s">
        <v>414</v>
      </c>
      <c r="G127" t="s">
        <v>779</v>
      </c>
      <c r="H127" t="s">
        <v>495</v>
      </c>
      <c r="I127" t="s">
        <v>416</v>
      </c>
      <c r="J127">
        <v>1693522574.0999999</v>
      </c>
      <c r="K127">
        <f t="shared" si="138"/>
        <v>3.7759720821010753E-3</v>
      </c>
      <c r="L127">
        <f t="shared" si="139"/>
        <v>3.7759720821010752</v>
      </c>
      <c r="M127">
        <f t="shared" si="140"/>
        <v>45.040547670972394</v>
      </c>
      <c r="N127">
        <f t="shared" si="141"/>
        <v>1140.8800000000001</v>
      </c>
      <c r="O127">
        <f t="shared" si="142"/>
        <v>842.3576521528945</v>
      </c>
      <c r="P127">
        <f t="shared" si="143"/>
        <v>83.856082611873347</v>
      </c>
      <c r="Q127">
        <f t="shared" si="144"/>
        <v>113.57376203056002</v>
      </c>
      <c r="R127">
        <f t="shared" si="145"/>
        <v>0.27310243761065039</v>
      </c>
      <c r="S127">
        <f t="shared" si="146"/>
        <v>2.9110954390540473</v>
      </c>
      <c r="T127">
        <f t="shared" si="147"/>
        <v>0.25962517710438571</v>
      </c>
      <c r="U127">
        <f t="shared" si="148"/>
        <v>0.16342117441508625</v>
      </c>
      <c r="V127">
        <f t="shared" si="149"/>
        <v>344.35039967089847</v>
      </c>
      <c r="W127">
        <f t="shared" si="150"/>
        <v>31.64204557428636</v>
      </c>
      <c r="X127">
        <f t="shared" si="151"/>
        <v>30.017099999999999</v>
      </c>
      <c r="Y127">
        <f t="shared" si="152"/>
        <v>4.2646362201862269</v>
      </c>
      <c r="Z127">
        <f t="shared" si="153"/>
        <v>65.094518805903249</v>
      </c>
      <c r="AA127">
        <f t="shared" si="154"/>
        <v>2.8686712633492002</v>
      </c>
      <c r="AB127">
        <f t="shared" si="155"/>
        <v>4.4069321288062859</v>
      </c>
      <c r="AC127">
        <f t="shared" si="156"/>
        <v>1.3959649568370267</v>
      </c>
      <c r="AD127">
        <f t="shared" si="157"/>
        <v>-166.52036882065741</v>
      </c>
      <c r="AE127">
        <f t="shared" si="158"/>
        <v>89.881243105598571</v>
      </c>
      <c r="AF127">
        <f t="shared" si="159"/>
        <v>6.8858296178950322</v>
      </c>
      <c r="AG127">
        <f t="shared" si="160"/>
        <v>274.59710357373467</v>
      </c>
      <c r="AH127">
        <v>0</v>
      </c>
      <c r="AI127">
        <v>0</v>
      </c>
      <c r="AJ127">
        <f t="shared" si="161"/>
        <v>1</v>
      </c>
      <c r="AK127">
        <f t="shared" si="162"/>
        <v>0</v>
      </c>
      <c r="AL127">
        <f t="shared" si="163"/>
        <v>51714.634242343469</v>
      </c>
      <c r="AM127" t="s">
        <v>417</v>
      </c>
      <c r="AN127">
        <v>10366.9</v>
      </c>
      <c r="AO127">
        <v>993.59653846153856</v>
      </c>
      <c r="AP127">
        <v>3431.87</v>
      </c>
      <c r="AQ127">
        <f t="shared" si="164"/>
        <v>0.71047955241266758</v>
      </c>
      <c r="AR127">
        <v>-3.9894345373445681</v>
      </c>
      <c r="AS127" t="s">
        <v>981</v>
      </c>
      <c r="AT127">
        <v>10326.299999999999</v>
      </c>
      <c r="AU127">
        <v>665.9336538461539</v>
      </c>
      <c r="AV127">
        <v>993.8391542354542</v>
      </c>
      <c r="AW127">
        <f t="shared" si="165"/>
        <v>0.32993819874359165</v>
      </c>
      <c r="AX127">
        <v>0.5</v>
      </c>
      <c r="AY127">
        <f t="shared" si="166"/>
        <v>1513.1006998354492</v>
      </c>
      <c r="AZ127">
        <f t="shared" si="167"/>
        <v>45.040547670972394</v>
      </c>
      <c r="BA127">
        <f t="shared" si="168"/>
        <v>249.61485971068802</v>
      </c>
      <c r="BB127">
        <f t="shared" si="169"/>
        <v>3.2403647829684447E-2</v>
      </c>
      <c r="BC127">
        <f t="shared" si="170"/>
        <v>2.4531442893695274</v>
      </c>
      <c r="BD127">
        <f t="shared" si="171"/>
        <v>580.9706193019922</v>
      </c>
      <c r="BE127" t="s">
        <v>982</v>
      </c>
      <c r="BF127">
        <v>537.74</v>
      </c>
      <c r="BG127">
        <f t="shared" si="172"/>
        <v>537.74</v>
      </c>
      <c r="BH127">
        <f t="shared" si="173"/>
        <v>0.45892652980282767</v>
      </c>
      <c r="BI127">
        <f t="shared" si="174"/>
        <v>0.71893468195300381</v>
      </c>
      <c r="BJ127">
        <f t="shared" si="175"/>
        <v>0.84240543644015486</v>
      </c>
      <c r="BK127">
        <f t="shared" si="176"/>
        <v>1351.542379529327</v>
      </c>
      <c r="BL127">
        <f t="shared" si="177"/>
        <v>0.99990049689760274</v>
      </c>
      <c r="BM127">
        <f t="shared" si="178"/>
        <v>0.5805382167436185</v>
      </c>
      <c r="BN127">
        <f t="shared" si="179"/>
        <v>0.4194617832563815</v>
      </c>
      <c r="BO127">
        <v>16928</v>
      </c>
      <c r="BP127">
        <v>290.00000000000011</v>
      </c>
      <c r="BQ127">
        <v>897.96</v>
      </c>
      <c r="BR127">
        <v>165</v>
      </c>
      <c r="BS127">
        <v>10326.299999999999</v>
      </c>
      <c r="BT127">
        <v>895.87</v>
      </c>
      <c r="BU127">
        <v>2.09</v>
      </c>
      <c r="BV127">
        <v>300.00000000000011</v>
      </c>
      <c r="BW127">
        <v>38.4</v>
      </c>
      <c r="BX127">
        <v>993.8391542354542</v>
      </c>
      <c r="BY127">
        <v>1.1741670645418549</v>
      </c>
      <c r="BZ127">
        <v>-101.1609222770641</v>
      </c>
      <c r="CA127">
        <v>0.99161409160450398</v>
      </c>
      <c r="CB127">
        <v>0.99731681269117423</v>
      </c>
      <c r="CC127">
        <v>-1.124150077864294E-2</v>
      </c>
      <c r="CD127">
        <v>289.99999999999989</v>
      </c>
      <c r="CE127">
        <v>885.01</v>
      </c>
      <c r="CF127">
        <v>665</v>
      </c>
      <c r="CG127">
        <v>10297.9</v>
      </c>
      <c r="CH127">
        <v>895.6</v>
      </c>
      <c r="CI127">
        <v>-10.59</v>
      </c>
      <c r="CW127">
        <f t="shared" si="180"/>
        <v>1799.9</v>
      </c>
      <c r="CX127">
        <f t="shared" si="181"/>
        <v>1513.1006998354492</v>
      </c>
      <c r="CY127">
        <f t="shared" si="182"/>
        <v>0.84065820314209072</v>
      </c>
      <c r="CZ127">
        <f t="shared" si="183"/>
        <v>0.19131640628418159</v>
      </c>
      <c r="DA127">
        <v>6</v>
      </c>
      <c r="DB127">
        <v>0.5</v>
      </c>
      <c r="DC127" t="s">
        <v>420</v>
      </c>
      <c r="DD127">
        <v>2</v>
      </c>
      <c r="DE127">
        <v>1693522574.0999999</v>
      </c>
      <c r="DF127">
        <v>1140.8800000000001</v>
      </c>
      <c r="DG127">
        <v>1200.07</v>
      </c>
      <c r="DH127">
        <v>28.816600000000001</v>
      </c>
      <c r="DI127">
        <v>24.418099999999999</v>
      </c>
      <c r="DJ127">
        <v>1143.4100000000001</v>
      </c>
      <c r="DK127">
        <v>29.123000000000001</v>
      </c>
      <c r="DL127">
        <v>500.238</v>
      </c>
      <c r="DM127">
        <v>99.448999999999998</v>
      </c>
      <c r="DN127">
        <v>0.100262</v>
      </c>
      <c r="DO127">
        <v>30.5898</v>
      </c>
      <c r="DP127">
        <v>30.017099999999999</v>
      </c>
      <c r="DQ127">
        <v>999.9</v>
      </c>
      <c r="DR127">
        <v>0</v>
      </c>
      <c r="DS127">
        <v>0</v>
      </c>
      <c r="DT127">
        <v>9950</v>
      </c>
      <c r="DU127">
        <v>0</v>
      </c>
      <c r="DV127">
        <v>73.439800000000005</v>
      </c>
      <c r="DW127">
        <v>-59.1967</v>
      </c>
      <c r="DX127">
        <v>1174.73</v>
      </c>
      <c r="DY127">
        <v>1230.1099999999999</v>
      </c>
      <c r="DZ127">
        <v>4.3984399999999999</v>
      </c>
      <c r="EA127">
        <v>1200.07</v>
      </c>
      <c r="EB127">
        <v>24.418099999999999</v>
      </c>
      <c r="EC127">
        <v>2.86578</v>
      </c>
      <c r="ED127">
        <v>2.4283600000000001</v>
      </c>
      <c r="EE127">
        <v>23.268000000000001</v>
      </c>
      <c r="EF127">
        <v>20.554099999999998</v>
      </c>
      <c r="EG127">
        <v>1799.9</v>
      </c>
      <c r="EH127">
        <v>0.97799800000000003</v>
      </c>
      <c r="EI127">
        <v>2.2001900000000001E-2</v>
      </c>
      <c r="EJ127">
        <v>0</v>
      </c>
      <c r="EK127">
        <v>665.91700000000003</v>
      </c>
      <c r="EL127">
        <v>5.0002500000000003</v>
      </c>
      <c r="EM127">
        <v>14569.9</v>
      </c>
      <c r="EN127">
        <v>14821.2</v>
      </c>
      <c r="EO127">
        <v>47.25</v>
      </c>
      <c r="EP127">
        <v>48.061999999999998</v>
      </c>
      <c r="EQ127">
        <v>48</v>
      </c>
      <c r="ER127">
        <v>47.186999999999998</v>
      </c>
      <c r="ES127">
        <v>48.436999999999998</v>
      </c>
      <c r="ET127">
        <v>1755.41</v>
      </c>
      <c r="EU127">
        <v>39.49</v>
      </c>
      <c r="EV127">
        <v>0</v>
      </c>
      <c r="EW127">
        <v>149.5999999046326</v>
      </c>
      <c r="EX127">
        <v>0</v>
      </c>
      <c r="EY127">
        <v>665.9336538461539</v>
      </c>
      <c r="EZ127">
        <v>-0.60823931467775827</v>
      </c>
      <c r="FA127">
        <v>-63.880341897266852</v>
      </c>
      <c r="FB127">
        <v>14579.465384615391</v>
      </c>
      <c r="FC127">
        <v>15</v>
      </c>
      <c r="FD127">
        <v>1693522543.5999999</v>
      </c>
      <c r="FE127" t="s">
        <v>983</v>
      </c>
      <c r="FF127">
        <v>1693522543.5999999</v>
      </c>
      <c r="FG127">
        <v>1693522540.5999999</v>
      </c>
      <c r="FH127">
        <v>125</v>
      </c>
      <c r="FI127">
        <v>-4.7E-2</v>
      </c>
      <c r="FJ127">
        <v>5.0000000000000001E-3</v>
      </c>
      <c r="FK127">
        <v>-2.5289999999999999</v>
      </c>
      <c r="FL127">
        <v>-0.30599999999999999</v>
      </c>
      <c r="FM127">
        <v>1200</v>
      </c>
      <c r="FN127">
        <v>24</v>
      </c>
      <c r="FO127">
        <v>0.19</v>
      </c>
      <c r="FP127">
        <v>7.0000000000000007E-2</v>
      </c>
      <c r="FQ127">
        <v>44.976733058401052</v>
      </c>
      <c r="FR127">
        <v>-0.48450586317776312</v>
      </c>
      <c r="FS127">
        <v>0.1936098560496517</v>
      </c>
      <c r="FT127">
        <v>1</v>
      </c>
      <c r="FU127">
        <v>0.27782305499038318</v>
      </c>
      <c r="FV127">
        <v>1.6784423482031841E-2</v>
      </c>
      <c r="FW127">
        <v>5.4346909392904864E-3</v>
      </c>
      <c r="FX127">
        <v>1</v>
      </c>
      <c r="FY127">
        <v>2</v>
      </c>
      <c r="FZ127">
        <v>2</v>
      </c>
      <c r="GA127" t="s">
        <v>422</v>
      </c>
      <c r="GB127">
        <v>2.9228200000000002</v>
      </c>
      <c r="GC127">
        <v>2.8297099999999999</v>
      </c>
      <c r="GD127">
        <v>0.187246</v>
      </c>
      <c r="GE127">
        <v>0.18976299999999999</v>
      </c>
      <c r="GF127">
        <v>0.137374</v>
      </c>
      <c r="GG127">
        <v>0.116936</v>
      </c>
      <c r="GH127">
        <v>21385.3</v>
      </c>
      <c r="GI127">
        <v>25876.2</v>
      </c>
      <c r="GJ127">
        <v>23679</v>
      </c>
      <c r="GK127">
        <v>29224.6</v>
      </c>
      <c r="GL127">
        <v>27860</v>
      </c>
      <c r="GM127">
        <v>36466</v>
      </c>
      <c r="GN127">
        <v>33497.599999999999</v>
      </c>
      <c r="GO127">
        <v>43078.8</v>
      </c>
      <c r="GP127">
        <v>2.0402</v>
      </c>
      <c r="GQ127">
        <v>1.9301999999999999</v>
      </c>
      <c r="GR127">
        <v>0.14823700000000001</v>
      </c>
      <c r="GS127">
        <v>0</v>
      </c>
      <c r="GT127">
        <v>27.6</v>
      </c>
      <c r="GU127">
        <v>999.9</v>
      </c>
      <c r="GV127">
        <v>52.5</v>
      </c>
      <c r="GW127">
        <v>33.200000000000003</v>
      </c>
      <c r="GX127">
        <v>26.971599999999999</v>
      </c>
      <c r="GY127">
        <v>61.378399999999999</v>
      </c>
      <c r="GZ127">
        <v>33.585700000000003</v>
      </c>
      <c r="HA127">
        <v>1</v>
      </c>
      <c r="HB127">
        <v>0.124431</v>
      </c>
      <c r="HC127">
        <v>-0.18330099999999999</v>
      </c>
      <c r="HD127">
        <v>20.325199999999999</v>
      </c>
      <c r="HE127">
        <v>5.2137000000000002</v>
      </c>
      <c r="HF127">
        <v>11.872199999999999</v>
      </c>
      <c r="HG127">
        <v>4.984</v>
      </c>
      <c r="HH127">
        <v>3.2839999999999998</v>
      </c>
      <c r="HI127">
        <v>9999</v>
      </c>
      <c r="HJ127">
        <v>9999</v>
      </c>
      <c r="HK127">
        <v>9999</v>
      </c>
      <c r="HL127">
        <v>999.9</v>
      </c>
      <c r="HM127">
        <v>1.8545499999999999</v>
      </c>
      <c r="HN127">
        <v>1.86066</v>
      </c>
      <c r="HO127">
        <v>1.85806</v>
      </c>
      <c r="HP127">
        <v>1.85928</v>
      </c>
      <c r="HQ127">
        <v>1.85863</v>
      </c>
      <c r="HR127">
        <v>1.85914</v>
      </c>
      <c r="HS127">
        <v>1.8575999999999999</v>
      </c>
      <c r="HT127">
        <v>1.8609599999999999</v>
      </c>
      <c r="HU127">
        <v>5</v>
      </c>
      <c r="HV127">
        <v>0</v>
      </c>
      <c r="HW127">
        <v>0</v>
      </c>
      <c r="HX127">
        <v>0</v>
      </c>
      <c r="HY127" t="s">
        <v>423</v>
      </c>
      <c r="HZ127" t="s">
        <v>424</v>
      </c>
      <c r="IA127" t="s">
        <v>425</v>
      </c>
      <c r="IB127" t="s">
        <v>425</v>
      </c>
      <c r="IC127" t="s">
        <v>425</v>
      </c>
      <c r="ID127" t="s">
        <v>425</v>
      </c>
      <c r="IE127">
        <v>0</v>
      </c>
      <c r="IF127">
        <v>100</v>
      </c>
      <c r="IG127">
        <v>100</v>
      </c>
      <c r="IH127">
        <v>-2.5299999999999998</v>
      </c>
      <c r="II127">
        <v>-0.30640000000000001</v>
      </c>
      <c r="IJ127">
        <v>-2.528571428571468</v>
      </c>
      <c r="IK127">
        <v>0</v>
      </c>
      <c r="IL127">
        <v>0</v>
      </c>
      <c r="IM127">
        <v>0</v>
      </c>
      <c r="IN127">
        <v>-0.30643333333332728</v>
      </c>
      <c r="IO127">
        <v>0</v>
      </c>
      <c r="IP127">
        <v>0</v>
      </c>
      <c r="IQ127">
        <v>0</v>
      </c>
      <c r="IR127">
        <v>-1</v>
      </c>
      <c r="IS127">
        <v>-1</v>
      </c>
      <c r="IT127">
        <v>-1</v>
      </c>
      <c r="IU127">
        <v>-1</v>
      </c>
      <c r="IV127">
        <v>0.5</v>
      </c>
      <c r="IW127">
        <v>0.6</v>
      </c>
      <c r="IX127">
        <v>2.3815900000000001</v>
      </c>
      <c r="IY127">
        <v>2.4267599999999998</v>
      </c>
      <c r="IZ127">
        <v>1.49414</v>
      </c>
      <c r="JA127">
        <v>2.2912599999999999</v>
      </c>
      <c r="JB127">
        <v>1.54419</v>
      </c>
      <c r="JC127">
        <v>2.4365199999999998</v>
      </c>
      <c r="JD127">
        <v>35.941200000000002</v>
      </c>
      <c r="JE127">
        <v>15.4542</v>
      </c>
      <c r="JF127">
        <v>18</v>
      </c>
      <c r="JG127">
        <v>532.28300000000002</v>
      </c>
      <c r="JH127">
        <v>496.07499999999999</v>
      </c>
      <c r="JI127">
        <v>28.6036</v>
      </c>
      <c r="JJ127">
        <v>29.106000000000002</v>
      </c>
      <c r="JK127">
        <v>30</v>
      </c>
      <c r="JL127">
        <v>29.038499999999999</v>
      </c>
      <c r="JM127">
        <v>28.994599999999998</v>
      </c>
      <c r="JN127">
        <v>47.706600000000002</v>
      </c>
      <c r="JO127">
        <v>15.0184</v>
      </c>
      <c r="JP127">
        <v>100</v>
      </c>
      <c r="JQ127">
        <v>28.609500000000001</v>
      </c>
      <c r="JR127">
        <v>1200</v>
      </c>
      <c r="JS127">
        <v>24.419599999999999</v>
      </c>
      <c r="JT127">
        <v>99.329499999999996</v>
      </c>
      <c r="JU127">
        <v>97.0869</v>
      </c>
    </row>
    <row r="128" spans="1:281" x14ac:dyDescent="0.25">
      <c r="A128">
        <v>112</v>
      </c>
      <c r="B128">
        <v>1693522682.0999999</v>
      </c>
      <c r="C128">
        <v>28546.099999904629</v>
      </c>
      <c r="D128" t="s">
        <v>984</v>
      </c>
      <c r="E128" t="s">
        <v>985</v>
      </c>
      <c r="F128" t="s">
        <v>414</v>
      </c>
      <c r="G128" t="s">
        <v>779</v>
      </c>
      <c r="H128" t="s">
        <v>495</v>
      </c>
      <c r="I128" t="s">
        <v>416</v>
      </c>
      <c r="J128">
        <v>1693522682.0999999</v>
      </c>
      <c r="K128">
        <f t="shared" si="138"/>
        <v>3.478237088494924E-3</v>
      </c>
      <c r="L128">
        <f t="shared" si="139"/>
        <v>3.4782370884949239</v>
      </c>
      <c r="M128">
        <f t="shared" si="140"/>
        <v>44.767424309281402</v>
      </c>
      <c r="N128">
        <f t="shared" si="141"/>
        <v>1440.52</v>
      </c>
      <c r="O128">
        <f t="shared" si="142"/>
        <v>1112.4740988385161</v>
      </c>
      <c r="P128">
        <f t="shared" si="143"/>
        <v>110.73665856291156</v>
      </c>
      <c r="Q128">
        <f t="shared" si="144"/>
        <v>143.39063854123998</v>
      </c>
      <c r="R128">
        <f t="shared" si="145"/>
        <v>0.24973091627457847</v>
      </c>
      <c r="S128">
        <f t="shared" si="146"/>
        <v>2.9214630426926034</v>
      </c>
      <c r="T128">
        <f t="shared" si="147"/>
        <v>0.23844851494401262</v>
      </c>
      <c r="U128">
        <f t="shared" si="148"/>
        <v>0.15000151965228484</v>
      </c>
      <c r="V128">
        <f t="shared" si="149"/>
        <v>344.35229967090027</v>
      </c>
      <c r="W128">
        <f t="shared" si="150"/>
        <v>31.689046147275288</v>
      </c>
      <c r="X128">
        <f t="shared" si="151"/>
        <v>30.011099999999999</v>
      </c>
      <c r="Y128">
        <f t="shared" si="152"/>
        <v>4.2631668830561553</v>
      </c>
      <c r="Z128">
        <f t="shared" si="153"/>
        <v>65.069511799760448</v>
      </c>
      <c r="AA128">
        <f t="shared" si="154"/>
        <v>2.8631443032245003</v>
      </c>
      <c r="AB128">
        <f t="shared" si="155"/>
        <v>4.4001318344531377</v>
      </c>
      <c r="AC128">
        <f t="shared" si="156"/>
        <v>1.400022579831655</v>
      </c>
      <c r="AD128">
        <f t="shared" si="157"/>
        <v>-153.39025560262615</v>
      </c>
      <c r="AE128">
        <f t="shared" si="158"/>
        <v>86.893806813152054</v>
      </c>
      <c r="AF128">
        <f t="shared" si="159"/>
        <v>6.6322542292204893</v>
      </c>
      <c r="AG128">
        <f t="shared" si="160"/>
        <v>284.48810511064664</v>
      </c>
      <c r="AH128">
        <v>0</v>
      </c>
      <c r="AI128">
        <v>0</v>
      </c>
      <c r="AJ128">
        <f t="shared" si="161"/>
        <v>1</v>
      </c>
      <c r="AK128">
        <f t="shared" si="162"/>
        <v>0</v>
      </c>
      <c r="AL128">
        <f t="shared" si="163"/>
        <v>52013.925223060105</v>
      </c>
      <c r="AM128" t="s">
        <v>417</v>
      </c>
      <c r="AN128">
        <v>10366.9</v>
      </c>
      <c r="AO128">
        <v>993.59653846153856</v>
      </c>
      <c r="AP128">
        <v>3431.87</v>
      </c>
      <c r="AQ128">
        <f t="shared" si="164"/>
        <v>0.71047955241266758</v>
      </c>
      <c r="AR128">
        <v>-3.9894345373445681</v>
      </c>
      <c r="AS128" t="s">
        <v>986</v>
      </c>
      <c r="AT128">
        <v>10331.1</v>
      </c>
      <c r="AU128">
        <v>663.33015999999998</v>
      </c>
      <c r="AV128">
        <v>991.2435421347119</v>
      </c>
      <c r="AW128">
        <f t="shared" si="165"/>
        <v>0.33081010689716839</v>
      </c>
      <c r="AX128">
        <v>0.5</v>
      </c>
      <c r="AY128">
        <f t="shared" si="166"/>
        <v>1513.10909983545</v>
      </c>
      <c r="AZ128">
        <f t="shared" si="167"/>
        <v>44.767424309281402</v>
      </c>
      <c r="BA128">
        <f t="shared" si="168"/>
        <v>250.27589153182174</v>
      </c>
      <c r="BB128">
        <f t="shared" si="169"/>
        <v>3.2222963203332969E-2</v>
      </c>
      <c r="BC128">
        <f t="shared" si="170"/>
        <v>2.4621864901225274</v>
      </c>
      <c r="BD128">
        <f t="shared" si="171"/>
        <v>580.08267161799188</v>
      </c>
      <c r="BE128" t="s">
        <v>987</v>
      </c>
      <c r="BF128">
        <v>537.65</v>
      </c>
      <c r="BG128">
        <f t="shared" si="172"/>
        <v>537.65</v>
      </c>
      <c r="BH128">
        <f t="shared" si="173"/>
        <v>0.45760050164651433</v>
      </c>
      <c r="BI128">
        <f t="shared" si="174"/>
        <v>0.72292339214416224</v>
      </c>
      <c r="BJ128">
        <f t="shared" si="175"/>
        <v>0.84327606673483302</v>
      </c>
      <c r="BK128">
        <f t="shared" si="176"/>
        <v>-139.35992096381594</v>
      </c>
      <c r="BL128">
        <f t="shared" si="177"/>
        <v>1.000965025606825</v>
      </c>
      <c r="BM128">
        <f t="shared" si="178"/>
        <v>0.5859521927757797</v>
      </c>
      <c r="BN128">
        <f t="shared" si="179"/>
        <v>0.4140478072242203</v>
      </c>
      <c r="BO128">
        <v>16930</v>
      </c>
      <c r="BP128">
        <v>290.00000000000011</v>
      </c>
      <c r="BQ128">
        <v>893.62</v>
      </c>
      <c r="BR128">
        <v>135</v>
      </c>
      <c r="BS128">
        <v>10331.1</v>
      </c>
      <c r="BT128">
        <v>892.73</v>
      </c>
      <c r="BU128">
        <v>0.89</v>
      </c>
      <c r="BV128">
        <v>300.00000000000011</v>
      </c>
      <c r="BW128">
        <v>38.4</v>
      </c>
      <c r="BX128">
        <v>991.2435421347119</v>
      </c>
      <c r="BY128">
        <v>1.3671981116363769</v>
      </c>
      <c r="BZ128">
        <v>-101.77322107048001</v>
      </c>
      <c r="CA128">
        <v>1.154646809245478</v>
      </c>
      <c r="CB128">
        <v>0.99640890486014122</v>
      </c>
      <c r="CC128">
        <v>-1.124148542825361E-2</v>
      </c>
      <c r="CD128">
        <v>289.99999999999989</v>
      </c>
      <c r="CE128">
        <v>880.5</v>
      </c>
      <c r="CF128">
        <v>695</v>
      </c>
      <c r="CG128">
        <v>10296</v>
      </c>
      <c r="CH128">
        <v>892.4</v>
      </c>
      <c r="CI128">
        <v>-11.9</v>
      </c>
      <c r="CW128">
        <f t="shared" si="180"/>
        <v>1799.91</v>
      </c>
      <c r="CX128">
        <f t="shared" si="181"/>
        <v>1513.10909983545</v>
      </c>
      <c r="CY128">
        <f t="shared" si="182"/>
        <v>0.84065819948522424</v>
      </c>
      <c r="CZ128">
        <f t="shared" si="183"/>
        <v>0.19131639897044866</v>
      </c>
      <c r="DA128">
        <v>6</v>
      </c>
      <c r="DB128">
        <v>0.5</v>
      </c>
      <c r="DC128" t="s">
        <v>420</v>
      </c>
      <c r="DD128">
        <v>2</v>
      </c>
      <c r="DE128">
        <v>1693522682.0999999</v>
      </c>
      <c r="DF128">
        <v>1440.52</v>
      </c>
      <c r="DG128">
        <v>1500.2</v>
      </c>
      <c r="DH128">
        <v>28.763500000000001</v>
      </c>
      <c r="DI128">
        <v>24.7133</v>
      </c>
      <c r="DJ128">
        <v>1443.14</v>
      </c>
      <c r="DK128">
        <v>29.068000000000001</v>
      </c>
      <c r="DL128">
        <v>500.44799999999998</v>
      </c>
      <c r="DM128">
        <v>99.440299999999993</v>
      </c>
      <c r="DN128">
        <v>0.100587</v>
      </c>
      <c r="DO128">
        <v>30.562799999999999</v>
      </c>
      <c r="DP128">
        <v>30.011099999999999</v>
      </c>
      <c r="DQ128">
        <v>999.9</v>
      </c>
      <c r="DR128">
        <v>0</v>
      </c>
      <c r="DS128">
        <v>0</v>
      </c>
      <c r="DT128">
        <v>10010</v>
      </c>
      <c r="DU128">
        <v>0</v>
      </c>
      <c r="DV128">
        <v>72.112099999999998</v>
      </c>
      <c r="DW128">
        <v>-59.688699999999997</v>
      </c>
      <c r="DX128">
        <v>1483.18</v>
      </c>
      <c r="DY128">
        <v>1538.22</v>
      </c>
      <c r="DZ128">
        <v>4.0502099999999999</v>
      </c>
      <c r="EA128">
        <v>1500.2</v>
      </c>
      <c r="EB128">
        <v>24.7133</v>
      </c>
      <c r="EC128">
        <v>2.8602500000000002</v>
      </c>
      <c r="ED128">
        <v>2.4575</v>
      </c>
      <c r="EE128">
        <v>23.236000000000001</v>
      </c>
      <c r="EF128">
        <v>20.747699999999998</v>
      </c>
      <c r="EG128">
        <v>1799.91</v>
      </c>
      <c r="EH128">
        <v>0.97799800000000003</v>
      </c>
      <c r="EI128">
        <v>2.2001900000000001E-2</v>
      </c>
      <c r="EJ128">
        <v>0</v>
      </c>
      <c r="EK128">
        <v>663.21100000000001</v>
      </c>
      <c r="EL128">
        <v>5.0002500000000003</v>
      </c>
      <c r="EM128">
        <v>14448.1</v>
      </c>
      <c r="EN128">
        <v>14821.3</v>
      </c>
      <c r="EO128">
        <v>47.186999999999998</v>
      </c>
      <c r="EP128">
        <v>48</v>
      </c>
      <c r="EQ128">
        <v>47.936999999999998</v>
      </c>
      <c r="ER128">
        <v>47.186999999999998</v>
      </c>
      <c r="ES128">
        <v>48.375</v>
      </c>
      <c r="ET128">
        <v>1755.42</v>
      </c>
      <c r="EU128">
        <v>39.49</v>
      </c>
      <c r="EV128">
        <v>0</v>
      </c>
      <c r="EW128">
        <v>105.7999999523163</v>
      </c>
      <c r="EX128">
        <v>0</v>
      </c>
      <c r="EY128">
        <v>663.33015999999998</v>
      </c>
      <c r="EZ128">
        <v>-0.86407692204609476</v>
      </c>
      <c r="FA128">
        <v>-66.323076558995879</v>
      </c>
      <c r="FB128">
        <v>14461.96</v>
      </c>
      <c r="FC128">
        <v>15</v>
      </c>
      <c r="FD128">
        <v>1693522648.0999999</v>
      </c>
      <c r="FE128" t="s">
        <v>988</v>
      </c>
      <c r="FF128">
        <v>1693522648.0999999</v>
      </c>
      <c r="FG128">
        <v>1693522643.0999999</v>
      </c>
      <c r="FH128">
        <v>126</v>
      </c>
      <c r="FI128">
        <v>-0.1</v>
      </c>
      <c r="FJ128">
        <v>2E-3</v>
      </c>
      <c r="FK128">
        <v>-2.629</v>
      </c>
      <c r="FL128">
        <v>-0.30399999999999999</v>
      </c>
      <c r="FM128">
        <v>1500</v>
      </c>
      <c r="FN128">
        <v>25</v>
      </c>
      <c r="FO128">
        <v>0.15</v>
      </c>
      <c r="FP128">
        <v>7.0000000000000007E-2</v>
      </c>
      <c r="FQ128">
        <v>44.550591268572489</v>
      </c>
      <c r="FR128">
        <v>-0.28941734151301007</v>
      </c>
      <c r="FS128">
        <v>0.14888616590591691</v>
      </c>
      <c r="FT128">
        <v>1</v>
      </c>
      <c r="FU128">
        <v>0.25527049312094419</v>
      </c>
      <c r="FV128">
        <v>-2.978927295003285E-2</v>
      </c>
      <c r="FW128">
        <v>2.7991505372782499E-3</v>
      </c>
      <c r="FX128">
        <v>1</v>
      </c>
      <c r="FY128">
        <v>2</v>
      </c>
      <c r="FZ128">
        <v>2</v>
      </c>
      <c r="GA128" t="s">
        <v>422</v>
      </c>
      <c r="GB128">
        <v>2.9233600000000002</v>
      </c>
      <c r="GC128">
        <v>2.8305699999999998</v>
      </c>
      <c r="GD128">
        <v>0.21559</v>
      </c>
      <c r="GE128">
        <v>0.21712000000000001</v>
      </c>
      <c r="GF128">
        <v>0.13718900000000001</v>
      </c>
      <c r="GG128">
        <v>0.117914</v>
      </c>
      <c r="GH128">
        <v>20639.7</v>
      </c>
      <c r="GI128">
        <v>25001.599999999999</v>
      </c>
      <c r="GJ128">
        <v>23679.3</v>
      </c>
      <c r="GK128">
        <v>29223.599999999999</v>
      </c>
      <c r="GL128">
        <v>27868.5</v>
      </c>
      <c r="GM128">
        <v>36425.699999999997</v>
      </c>
      <c r="GN128">
        <v>33497.699999999997</v>
      </c>
      <c r="GO128">
        <v>43077.1</v>
      </c>
      <c r="GP128">
        <v>2.0407999999999999</v>
      </c>
      <c r="GQ128">
        <v>1.9329000000000001</v>
      </c>
      <c r="GR128">
        <v>0.15002499999999999</v>
      </c>
      <c r="GS128">
        <v>0</v>
      </c>
      <c r="GT128">
        <v>27.564800000000002</v>
      </c>
      <c r="GU128">
        <v>999.9</v>
      </c>
      <c r="GV128">
        <v>52.6</v>
      </c>
      <c r="GW128">
        <v>33.1</v>
      </c>
      <c r="GX128">
        <v>26.874099999999999</v>
      </c>
      <c r="GY128">
        <v>60.988399999999999</v>
      </c>
      <c r="GZ128">
        <v>33.605800000000002</v>
      </c>
      <c r="HA128">
        <v>1</v>
      </c>
      <c r="HB128">
        <v>0.122683</v>
      </c>
      <c r="HC128">
        <v>-0.19095899999999999</v>
      </c>
      <c r="HD128">
        <v>20.325299999999999</v>
      </c>
      <c r="HE128">
        <v>5.2112999999999996</v>
      </c>
      <c r="HF128">
        <v>11.871600000000001</v>
      </c>
      <c r="HG128">
        <v>4.9851999999999999</v>
      </c>
      <c r="HH128">
        <v>3.2839999999999998</v>
      </c>
      <c r="HI128">
        <v>9999</v>
      </c>
      <c r="HJ128">
        <v>9999</v>
      </c>
      <c r="HK128">
        <v>9999</v>
      </c>
      <c r="HL128">
        <v>999.9</v>
      </c>
      <c r="HM128">
        <v>1.8545499999999999</v>
      </c>
      <c r="HN128">
        <v>1.86066</v>
      </c>
      <c r="HO128">
        <v>1.85806</v>
      </c>
      <c r="HP128">
        <v>1.85928</v>
      </c>
      <c r="HQ128">
        <v>1.8586499999999999</v>
      </c>
      <c r="HR128">
        <v>1.8591299999999999</v>
      </c>
      <c r="HS128">
        <v>1.8575999999999999</v>
      </c>
      <c r="HT128">
        <v>1.8609599999999999</v>
      </c>
      <c r="HU128">
        <v>5</v>
      </c>
      <c r="HV128">
        <v>0</v>
      </c>
      <c r="HW128">
        <v>0</v>
      </c>
      <c r="HX128">
        <v>0</v>
      </c>
      <c r="HY128" t="s">
        <v>423</v>
      </c>
      <c r="HZ128" t="s">
        <v>424</v>
      </c>
      <c r="IA128" t="s">
        <v>425</v>
      </c>
      <c r="IB128" t="s">
        <v>425</v>
      </c>
      <c r="IC128" t="s">
        <v>425</v>
      </c>
      <c r="ID128" t="s">
        <v>425</v>
      </c>
      <c r="IE128">
        <v>0</v>
      </c>
      <c r="IF128">
        <v>100</v>
      </c>
      <c r="IG128">
        <v>100</v>
      </c>
      <c r="IH128">
        <v>-2.62</v>
      </c>
      <c r="II128">
        <v>-0.30449999999999999</v>
      </c>
      <c r="IJ128">
        <v>-2.629047619047697</v>
      </c>
      <c r="IK128">
        <v>0</v>
      </c>
      <c r="IL128">
        <v>0</v>
      </c>
      <c r="IM128">
        <v>0</v>
      </c>
      <c r="IN128">
        <v>-0.30449523809524243</v>
      </c>
      <c r="IO128">
        <v>0</v>
      </c>
      <c r="IP128">
        <v>0</v>
      </c>
      <c r="IQ128">
        <v>0</v>
      </c>
      <c r="IR128">
        <v>-1</v>
      </c>
      <c r="IS128">
        <v>-1</v>
      </c>
      <c r="IT128">
        <v>-1</v>
      </c>
      <c r="IU128">
        <v>-1</v>
      </c>
      <c r="IV128">
        <v>0.6</v>
      </c>
      <c r="IW128">
        <v>0.7</v>
      </c>
      <c r="IX128">
        <v>2.8222700000000001</v>
      </c>
      <c r="IY128">
        <v>2.4218799999999998</v>
      </c>
      <c r="IZ128">
        <v>1.49414</v>
      </c>
      <c r="JA128">
        <v>2.2924799999999999</v>
      </c>
      <c r="JB128">
        <v>1.54419</v>
      </c>
      <c r="JC128">
        <v>2.36328</v>
      </c>
      <c r="JD128">
        <v>35.871099999999998</v>
      </c>
      <c r="JE128">
        <v>15.4367</v>
      </c>
      <c r="JF128">
        <v>18</v>
      </c>
      <c r="JG128">
        <v>532.48</v>
      </c>
      <c r="JH128">
        <v>497.82799999999997</v>
      </c>
      <c r="JI128">
        <v>28.593900000000001</v>
      </c>
      <c r="JJ128">
        <v>29.081099999999999</v>
      </c>
      <c r="JK128">
        <v>30</v>
      </c>
      <c r="JL128">
        <v>29.015999999999998</v>
      </c>
      <c r="JM128">
        <v>28.9725</v>
      </c>
      <c r="JN128">
        <v>56.5244</v>
      </c>
      <c r="JO128">
        <v>13.599500000000001</v>
      </c>
      <c r="JP128">
        <v>100</v>
      </c>
      <c r="JQ128">
        <v>28.581800000000001</v>
      </c>
      <c r="JR128">
        <v>1500</v>
      </c>
      <c r="JS128">
        <v>24.718499999999999</v>
      </c>
      <c r="JT128">
        <v>99.330100000000002</v>
      </c>
      <c r="JU128">
        <v>97.083299999999994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2023-08-31T22:58:37Z</dcterms:created>
  <dcterms:modified xsi:type="dcterms:W3CDTF">2023-09-06T16:24:10Z</dcterms:modified>
</cp:coreProperties>
</file>