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GB\Documents\Manuscripts\2024 PNAS RBCSRAF1 sorghum and sugarcane\Data for github repository\"/>
    </mc:Choice>
  </mc:AlternateContent>
  <bookViews>
    <workbookView xWindow="0" yWindow="0" windowWidth="28740" windowHeight="13410"/>
  </bookViews>
  <sheets>
    <sheet name="Sorghum LS quantification" sheetId="1" r:id="rId1"/>
    <sheet name="Sugarcane LS quantificatio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3" i="2" l="1"/>
  <c r="D12" i="2"/>
  <c r="D11" i="2"/>
  <c r="D10" i="2"/>
  <c r="D9" i="2"/>
  <c r="D8" i="2"/>
  <c r="D7" i="2"/>
  <c r="D6" i="2"/>
  <c r="D5" i="2"/>
  <c r="D4" i="2"/>
  <c r="D3" i="2"/>
  <c r="H17" i="2" s="1"/>
  <c r="D2" i="2"/>
  <c r="H17" i="1"/>
  <c r="E9" i="1" s="1"/>
  <c r="D13" i="1"/>
  <c r="E13" i="1" s="1"/>
  <c r="D12" i="1"/>
  <c r="E12" i="1" s="1"/>
  <c r="D11" i="1"/>
  <c r="E11" i="1" s="1"/>
  <c r="F11" i="1" s="1"/>
  <c r="D10" i="1"/>
  <c r="D9" i="1"/>
  <c r="D8" i="1"/>
  <c r="E8" i="1" s="1"/>
  <c r="D7" i="1"/>
  <c r="E7" i="1" s="1"/>
  <c r="D6" i="1"/>
  <c r="E6" i="1" s="1"/>
  <c r="D5" i="1"/>
  <c r="E5" i="1" s="1"/>
  <c r="F5" i="1" s="1"/>
  <c r="D4" i="1"/>
  <c r="E4" i="1" s="1"/>
  <c r="D3" i="1"/>
  <c r="D2" i="1"/>
  <c r="E2" i="1" s="1"/>
  <c r="E8" i="2" l="1"/>
  <c r="F8" i="2" s="1"/>
  <c r="E7" i="2"/>
  <c r="E9" i="2"/>
  <c r="E2" i="2"/>
  <c r="E10" i="2"/>
  <c r="E4" i="2"/>
  <c r="E6" i="2"/>
  <c r="E13" i="2"/>
  <c r="E11" i="2"/>
  <c r="E12" i="2"/>
  <c r="E5" i="2"/>
  <c r="E3" i="2"/>
  <c r="F8" i="1"/>
  <c r="F2" i="1"/>
  <c r="E10" i="1"/>
  <c r="E3" i="1"/>
  <c r="F11" i="2" l="1"/>
  <c r="F2" i="2"/>
  <c r="F5" i="2"/>
</calcChain>
</file>

<file path=xl/sharedStrings.xml><?xml version="1.0" encoding="utf-8"?>
<sst xmlns="http://schemas.openxmlformats.org/spreadsheetml/2006/main" count="29" uniqueCount="11">
  <si>
    <t>Rubisco signal</t>
  </si>
  <si>
    <t>Total signal</t>
  </si>
  <si>
    <t>Raw value</t>
  </si>
  <si>
    <t>Normalized value</t>
  </si>
  <si>
    <t>Wt</t>
  </si>
  <si>
    <t>hn1a</t>
  </si>
  <si>
    <t>zg12a</t>
  </si>
  <si>
    <t>zg5b</t>
  </si>
  <si>
    <t>ave WT value</t>
  </si>
  <si>
    <t>Average Normalized Value</t>
  </si>
  <si>
    <t>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</si>
</sst>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tabSelected="1" workbookViewId="0">
      <selection activeCell="H28" sqref="H28"/>
    </sheetView>
  </sheetViews>
  <sheetFormatPr defaultRowHeight="15" x14ac:dyDescent="0.25"/>
  <cols>
    <col min="1" max="1" width="9.140625" style="1"/>
    <col min="2" max="2" width="12.42578125" style="1" customWidth="1"/>
    <col min="3" max="4" width="9.140625" style="1"/>
    <col min="5" max="5" width="11.42578125" style="1" customWidth="1"/>
    <col min="6" max="6" width="12.42578125" style="1" customWidth="1"/>
    <col min="7" max="16384" width="9.140625" style="1"/>
  </cols>
  <sheetData>
    <row r="1" spans="1:8" ht="45" x14ac:dyDescent="0.25">
      <c r="A1" s="1" t="s">
        <v>10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9</v>
      </c>
    </row>
    <row r="2" spans="1:8" x14ac:dyDescent="0.25">
      <c r="A2" s="1" t="s">
        <v>4</v>
      </c>
      <c r="B2" s="1">
        <v>44000</v>
      </c>
      <c r="C2" s="1">
        <v>1560000</v>
      </c>
      <c r="D2" s="1">
        <f>B2/C2</f>
        <v>2.8205128205128206E-2</v>
      </c>
      <c r="E2" s="1">
        <f>D2/H17</f>
        <v>0.62928834831531599</v>
      </c>
      <c r="F2" s="1">
        <f>AVERAGE(E2:E4)</f>
        <v>1</v>
      </c>
    </row>
    <row r="3" spans="1:8" x14ac:dyDescent="0.25">
      <c r="A3" s="1" t="s">
        <v>4</v>
      </c>
      <c r="B3" s="1">
        <v>65600</v>
      </c>
      <c r="C3" s="1">
        <v>2160000</v>
      </c>
      <c r="D3" s="1">
        <f t="shared" ref="D3:D13" si="0">B3/C3</f>
        <v>3.037037037037037E-2</v>
      </c>
      <c r="E3" s="1">
        <f>D3/H17</f>
        <v>0.67759735283245137</v>
      </c>
    </row>
    <row r="4" spans="1:8" x14ac:dyDescent="0.25">
      <c r="A4" s="1" t="s">
        <v>4</v>
      </c>
      <c r="B4" s="1">
        <v>107000</v>
      </c>
      <c r="C4" s="1">
        <v>1410000</v>
      </c>
      <c r="D4" s="1">
        <f t="shared" si="0"/>
        <v>7.5886524822695034E-2</v>
      </c>
      <c r="E4" s="1">
        <f>D4/H17</f>
        <v>1.693114298852233</v>
      </c>
    </row>
    <row r="5" spans="1:8" x14ac:dyDescent="0.25">
      <c r="A5" s="1" t="s">
        <v>5</v>
      </c>
      <c r="B5" s="1">
        <v>75400</v>
      </c>
      <c r="C5" s="1">
        <v>1460000</v>
      </c>
      <c r="D5" s="1">
        <f t="shared" si="0"/>
        <v>5.1643835616438358E-2</v>
      </c>
      <c r="E5" s="1">
        <f>D5/H17</f>
        <v>1.1522324514670101</v>
      </c>
      <c r="F5" s="1">
        <f>AVERAGE(E5:E7)</f>
        <v>1.4899921409632919</v>
      </c>
    </row>
    <row r="6" spans="1:8" x14ac:dyDescent="0.25">
      <c r="A6" s="1" t="s">
        <v>5</v>
      </c>
      <c r="B6" s="1">
        <v>105000</v>
      </c>
      <c r="C6" s="1">
        <v>1460000</v>
      </c>
      <c r="D6" s="1">
        <f t="shared" si="0"/>
        <v>7.1917808219178078E-2</v>
      </c>
      <c r="E6" s="1">
        <f>D6/H17</f>
        <v>1.604567737454059</v>
      </c>
    </row>
    <row r="7" spans="1:8" x14ac:dyDescent="0.25">
      <c r="A7" s="1" t="s">
        <v>5</v>
      </c>
      <c r="B7" s="1">
        <v>129000</v>
      </c>
      <c r="C7" s="1">
        <v>1680000</v>
      </c>
      <c r="D7" s="1">
        <f t="shared" si="0"/>
        <v>7.678571428571429E-2</v>
      </c>
      <c r="E7" s="1">
        <f>D7/H17</f>
        <v>1.7131762339688066</v>
      </c>
    </row>
    <row r="8" spans="1:8" x14ac:dyDescent="0.25">
      <c r="A8" s="1" t="s">
        <v>6</v>
      </c>
      <c r="B8" s="1">
        <v>156000</v>
      </c>
      <c r="C8" s="1">
        <v>2100000</v>
      </c>
      <c r="D8" s="1">
        <f t="shared" si="0"/>
        <v>7.4285714285714288E-2</v>
      </c>
      <c r="E8" s="1">
        <f>D8/H17</f>
        <v>1.6573984030954036</v>
      </c>
      <c r="F8" s="1">
        <f>AVERAGE(E8:E10)</f>
        <v>1.3546814521026904</v>
      </c>
    </row>
    <row r="9" spans="1:8" x14ac:dyDescent="0.25">
      <c r="A9" s="1" t="s">
        <v>6</v>
      </c>
      <c r="B9" s="1">
        <v>120000</v>
      </c>
      <c r="C9" s="1">
        <v>1610000</v>
      </c>
      <c r="D9" s="1">
        <f t="shared" si="0"/>
        <v>7.4534161490683232E-2</v>
      </c>
      <c r="E9" s="1">
        <f>D9/H17</f>
        <v>1.6629415415672946</v>
      </c>
    </row>
    <row r="10" spans="1:8" x14ac:dyDescent="0.25">
      <c r="A10" s="1" t="s">
        <v>6</v>
      </c>
      <c r="B10" s="1">
        <v>101000</v>
      </c>
      <c r="C10" s="1">
        <v>3030000</v>
      </c>
      <c r="D10" s="1">
        <f t="shared" si="0"/>
        <v>3.3333333333333333E-2</v>
      </c>
      <c r="E10" s="1">
        <f>D10/H17</f>
        <v>0.74370441164537338</v>
      </c>
    </row>
    <row r="11" spans="1:8" x14ac:dyDescent="0.25">
      <c r="A11" s="1" t="s">
        <v>7</v>
      </c>
      <c r="B11" s="1">
        <v>77500</v>
      </c>
      <c r="C11" s="1">
        <v>1160000</v>
      </c>
      <c r="D11" s="1">
        <f t="shared" si="0"/>
        <v>6.6810344827586202E-2</v>
      </c>
      <c r="E11" s="1">
        <f>D11/H17</f>
        <v>1.4906144457547355</v>
      </c>
      <c r="F11" s="1">
        <f>AVERAGE(E11:E13)</f>
        <v>1.3060783367525248</v>
      </c>
    </row>
    <row r="12" spans="1:8" x14ac:dyDescent="0.25">
      <c r="A12" s="1" t="s">
        <v>7</v>
      </c>
      <c r="B12" s="1">
        <v>122000</v>
      </c>
      <c r="C12" s="1">
        <v>1720000</v>
      </c>
      <c r="D12" s="1">
        <f t="shared" si="0"/>
        <v>7.093023255813953E-2</v>
      </c>
      <c r="E12" s="1">
        <f>D12/H17</f>
        <v>1.58253380617562</v>
      </c>
    </row>
    <row r="13" spans="1:8" x14ac:dyDescent="0.25">
      <c r="A13" s="1" t="s">
        <v>7</v>
      </c>
      <c r="B13" s="1">
        <v>80300</v>
      </c>
      <c r="C13" s="1">
        <v>2120000</v>
      </c>
      <c r="D13" s="1">
        <f t="shared" si="0"/>
        <v>3.7877358490566039E-2</v>
      </c>
      <c r="E13" s="1">
        <f>D13/H17</f>
        <v>0.84508675832721913</v>
      </c>
    </row>
    <row r="16" spans="1:8" x14ac:dyDescent="0.25">
      <c r="H16" s="1" t="s">
        <v>8</v>
      </c>
    </row>
    <row r="17" spans="8:8" x14ac:dyDescent="0.25">
      <c r="H17" s="1">
        <f>AVERAGE(D2:D4)</f>
        <v>4.4820674466064532E-2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selection activeCell="E26" sqref="E26"/>
    </sheetView>
  </sheetViews>
  <sheetFormatPr defaultRowHeight="15" x14ac:dyDescent="0.25"/>
  <cols>
    <col min="1" max="4" width="9.140625" style="2"/>
    <col min="5" max="5" width="14.140625" style="2" customWidth="1"/>
    <col min="6" max="6" width="13.5703125" style="2" customWidth="1"/>
    <col min="7" max="16384" width="9.140625" style="2"/>
  </cols>
  <sheetData>
    <row r="1" spans="1:8" ht="45" x14ac:dyDescent="0.25">
      <c r="A1" s="2" t="s">
        <v>10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9</v>
      </c>
    </row>
    <row r="2" spans="1:8" x14ac:dyDescent="0.25">
      <c r="A2" s="2" t="s">
        <v>4</v>
      </c>
      <c r="B2" s="2">
        <v>40400</v>
      </c>
      <c r="C2" s="2">
        <v>916000</v>
      </c>
      <c r="D2" s="2">
        <f>B2/C2</f>
        <v>4.4104803493449779E-2</v>
      </c>
      <c r="E2" s="2">
        <f>D2/H17</f>
        <v>1.0478210329303308</v>
      </c>
      <c r="F2" s="2">
        <f>AVERAGE(E2:E4)</f>
        <v>1.0000000000000002</v>
      </c>
    </row>
    <row r="3" spans="1:8" x14ac:dyDescent="0.25">
      <c r="A3" s="2" t="s">
        <v>4</v>
      </c>
      <c r="B3" s="2">
        <v>31900</v>
      </c>
      <c r="C3" s="2">
        <v>834000</v>
      </c>
      <c r="D3" s="2">
        <f t="shared" ref="D3:D13" si="0">B3/C3</f>
        <v>3.8249400479616308E-2</v>
      </c>
      <c r="E3" s="2">
        <f>D3/H17</f>
        <v>0.90871114130391051</v>
      </c>
    </row>
    <row r="4" spans="1:8" x14ac:dyDescent="0.25">
      <c r="A4" s="2" t="s">
        <v>4</v>
      </c>
      <c r="B4" s="2">
        <v>44800</v>
      </c>
      <c r="C4" s="2">
        <v>1020000</v>
      </c>
      <c r="D4" s="2">
        <f t="shared" si="0"/>
        <v>4.3921568627450981E-2</v>
      </c>
      <c r="E4" s="2">
        <f>D4/H17</f>
        <v>1.043467825765759</v>
      </c>
    </row>
    <row r="5" spans="1:8" x14ac:dyDescent="0.25">
      <c r="A5" s="2">
        <v>3</v>
      </c>
      <c r="B5" s="2">
        <v>50600</v>
      </c>
      <c r="C5" s="2">
        <v>1040000</v>
      </c>
      <c r="D5" s="2">
        <f t="shared" si="0"/>
        <v>4.8653846153846152E-2</v>
      </c>
      <c r="E5" s="2">
        <f>D5/H17</f>
        <v>1.1558950339848548</v>
      </c>
      <c r="F5" s="2">
        <f>AVERAGE(E5:E7)</f>
        <v>1.1995144542534353</v>
      </c>
    </row>
    <row r="6" spans="1:8" x14ac:dyDescent="0.25">
      <c r="A6" s="2">
        <v>3</v>
      </c>
      <c r="B6" s="2">
        <v>52500</v>
      </c>
      <c r="C6" s="2">
        <v>1100000</v>
      </c>
      <c r="D6" s="2">
        <f t="shared" si="0"/>
        <v>4.7727272727272729E-2</v>
      </c>
      <c r="E6" s="2">
        <f>D6/H17</f>
        <v>1.1338819413505763</v>
      </c>
    </row>
    <row r="7" spans="1:8" x14ac:dyDescent="0.25">
      <c r="A7" s="2">
        <v>3</v>
      </c>
      <c r="B7" s="2">
        <v>49800</v>
      </c>
      <c r="C7" s="2">
        <v>904000</v>
      </c>
      <c r="D7" s="2">
        <f t="shared" si="0"/>
        <v>5.508849557522124E-2</v>
      </c>
      <c r="E7" s="2">
        <f>D7/H17</f>
        <v>1.3087663874248749</v>
      </c>
    </row>
    <row r="8" spans="1:8" x14ac:dyDescent="0.25">
      <c r="A8" s="2">
        <v>9</v>
      </c>
      <c r="B8" s="2">
        <v>45700</v>
      </c>
      <c r="C8" s="2">
        <v>1220000</v>
      </c>
      <c r="D8" s="2">
        <f t="shared" si="0"/>
        <v>3.7459016393442623E-2</v>
      </c>
      <c r="E8" s="2">
        <f>D8/H17</f>
        <v>0.88993357051824307</v>
      </c>
      <c r="F8" s="2">
        <f>AVERAGE(E8:E10)</f>
        <v>0.90835314071126261</v>
      </c>
    </row>
    <row r="9" spans="1:8" x14ac:dyDescent="0.25">
      <c r="A9" s="2">
        <v>9</v>
      </c>
      <c r="B9" s="2">
        <v>38900</v>
      </c>
      <c r="C9" s="2">
        <v>1100000</v>
      </c>
      <c r="D9" s="2">
        <f t="shared" si="0"/>
        <v>3.5363636363636361E-2</v>
      </c>
      <c r="E9" s="2">
        <f>D9/H17</f>
        <v>0.84015252416261732</v>
      </c>
    </row>
    <row r="10" spans="1:8" x14ac:dyDescent="0.25">
      <c r="A10" s="2">
        <v>9</v>
      </c>
      <c r="B10" s="2">
        <v>49000</v>
      </c>
      <c r="C10" s="2">
        <v>1170000</v>
      </c>
      <c r="D10" s="2">
        <f t="shared" si="0"/>
        <v>4.1880341880341877E-2</v>
      </c>
      <c r="E10" s="2">
        <f>D10/H17</f>
        <v>0.99497332745292721</v>
      </c>
    </row>
    <row r="11" spans="1:8" x14ac:dyDescent="0.25">
      <c r="A11" s="2">
        <v>25</v>
      </c>
      <c r="B11" s="2">
        <v>41400</v>
      </c>
      <c r="C11" s="2">
        <v>963000</v>
      </c>
      <c r="D11" s="2">
        <f t="shared" si="0"/>
        <v>4.2990654205607479E-2</v>
      </c>
      <c r="E11" s="2">
        <f>D11/H17</f>
        <v>1.0213516018217919</v>
      </c>
      <c r="F11" s="2">
        <f>AVERAGE(E11:E13)</f>
        <v>1.0963219573397478</v>
      </c>
    </row>
    <row r="12" spans="1:8" x14ac:dyDescent="0.25">
      <c r="A12" s="2">
        <v>25</v>
      </c>
      <c r="B12" s="2">
        <v>45300</v>
      </c>
      <c r="C12" s="2">
        <v>943000</v>
      </c>
      <c r="D12" s="2">
        <f t="shared" si="0"/>
        <v>4.8038176033934253E-2</v>
      </c>
      <c r="E12" s="2">
        <f>D12/H17</f>
        <v>1.1412682348633887</v>
      </c>
    </row>
    <row r="13" spans="1:8" x14ac:dyDescent="0.25">
      <c r="A13" s="2">
        <v>25</v>
      </c>
      <c r="B13" s="2">
        <v>65900</v>
      </c>
      <c r="C13" s="2">
        <v>1390000</v>
      </c>
      <c r="D13" s="2">
        <f t="shared" si="0"/>
        <v>4.7410071942446043E-2</v>
      </c>
      <c r="E13" s="2">
        <f>D13/H17</f>
        <v>1.1263460353340633</v>
      </c>
    </row>
    <row r="16" spans="1:8" ht="30" x14ac:dyDescent="0.25">
      <c r="H16" s="2" t="s">
        <v>8</v>
      </c>
    </row>
    <row r="17" spans="8:8" x14ac:dyDescent="0.25">
      <c r="H17" s="2">
        <f>AVERAGE(D2:D4)</f>
        <v>4.2091924200172354E-2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Sorghum LS quantification</vt:lpstr>
      <vt:lpstr>Sugarcane LS quantification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IGB</dc:creator>
  <cp:lastModifiedBy>IGB</cp:lastModifiedBy>
  <dcterms:created xsi:type="dcterms:W3CDTF">2025-01-24T16:48:16Z</dcterms:created>
  <dcterms:modified xsi:type="dcterms:W3CDTF">2025-01-26T21:41:43Z</dcterms:modified>
</cp:coreProperties>
</file>