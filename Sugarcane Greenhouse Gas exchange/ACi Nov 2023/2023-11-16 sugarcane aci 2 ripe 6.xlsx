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ugarcane\2023 Nov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Y44" i="1" l="1"/>
  <c r="CX44" i="1"/>
  <c r="CV44" i="1"/>
  <c r="CW44" i="1" s="1"/>
  <c r="AX44" i="1" s="1"/>
  <c r="AZ44" i="1" s="1"/>
  <c r="BK44" i="1"/>
  <c r="BJ44" i="1"/>
  <c r="BC44" i="1"/>
  <c r="BF44" i="1" s="1"/>
  <c r="BB44" i="1"/>
  <c r="AV44" i="1"/>
  <c r="AP44" i="1"/>
  <c r="AK44" i="1"/>
  <c r="AI44" i="1" s="1"/>
  <c r="AA44" i="1"/>
  <c r="Y44" i="1" s="1"/>
  <c r="Z44" i="1"/>
  <c r="U44" i="1"/>
  <c r="R44" i="1"/>
  <c r="CY43" i="1"/>
  <c r="U43" i="1" s="1"/>
  <c r="CX43" i="1"/>
  <c r="CV43" i="1"/>
  <c r="CW43" i="1" s="1"/>
  <c r="AX43" i="1" s="1"/>
  <c r="AZ43" i="1" s="1"/>
  <c r="BK43" i="1"/>
  <c r="BJ43" i="1"/>
  <c r="BI43" i="1"/>
  <c r="BH43" i="1"/>
  <c r="BL43" i="1" s="1"/>
  <c r="BM43" i="1" s="1"/>
  <c r="BF43" i="1"/>
  <c r="BG43" i="1" s="1"/>
  <c r="BB43" i="1"/>
  <c r="AV43" i="1"/>
  <c r="AP43" i="1"/>
  <c r="BC43" i="1" s="1"/>
  <c r="AK43" i="1"/>
  <c r="AI43" i="1"/>
  <c r="M43" i="1" s="1"/>
  <c r="AA43" i="1"/>
  <c r="Z43" i="1"/>
  <c r="Y43" i="1"/>
  <c r="R43" i="1"/>
  <c r="CY42" i="1"/>
  <c r="U42" i="1" s="1"/>
  <c r="CX42" i="1"/>
  <c r="CV42" i="1"/>
  <c r="CW42" i="1" s="1"/>
  <c r="AX42" i="1" s="1"/>
  <c r="AZ42" i="1" s="1"/>
  <c r="BK42" i="1"/>
  <c r="BJ42" i="1"/>
  <c r="BB42" i="1"/>
  <c r="AY42" i="1"/>
  <c r="BA42" i="1" s="1"/>
  <c r="AV42" i="1"/>
  <c r="AP42" i="1"/>
  <c r="BC42" i="1" s="1"/>
  <c r="BF42" i="1" s="1"/>
  <c r="AK42" i="1"/>
  <c r="AI42" i="1"/>
  <c r="AJ42" i="1" s="1"/>
  <c r="AA42" i="1"/>
  <c r="Z42" i="1"/>
  <c r="Y42" i="1"/>
  <c r="R42" i="1"/>
  <c r="P42" i="1"/>
  <c r="M42" i="1"/>
  <c r="L42" i="1"/>
  <c r="K42" i="1"/>
  <c r="J42" i="1"/>
  <c r="CY41" i="1"/>
  <c r="CX41" i="1"/>
  <c r="CW41" i="1" s="1"/>
  <c r="AX41" i="1" s="1"/>
  <c r="CV41" i="1"/>
  <c r="BK41" i="1"/>
  <c r="BJ41" i="1"/>
  <c r="BH41" i="1"/>
  <c r="BL41" i="1" s="1"/>
  <c r="BM41" i="1" s="1"/>
  <c r="BG41" i="1"/>
  <c r="BF41" i="1"/>
  <c r="BI41" i="1" s="1"/>
  <c r="BB41" i="1"/>
  <c r="AV41" i="1"/>
  <c r="AZ41" i="1" s="1"/>
  <c r="AP41" i="1"/>
  <c r="BC41" i="1" s="1"/>
  <c r="AK41" i="1"/>
  <c r="AI41" i="1" s="1"/>
  <c r="AA41" i="1"/>
  <c r="Z41" i="1"/>
  <c r="Y41" i="1" s="1"/>
  <c r="U41" i="1"/>
  <c r="R41" i="1"/>
  <c r="CY40" i="1"/>
  <c r="CX40" i="1"/>
  <c r="CV40" i="1"/>
  <c r="CW40" i="1" s="1"/>
  <c r="AX40" i="1" s="1"/>
  <c r="AZ40" i="1" s="1"/>
  <c r="BK40" i="1"/>
  <c r="BJ40" i="1"/>
  <c r="BB40" i="1"/>
  <c r="AV40" i="1"/>
  <c r="AP40" i="1"/>
  <c r="BC40" i="1" s="1"/>
  <c r="BF40" i="1" s="1"/>
  <c r="AK40" i="1"/>
  <c r="AI40" i="1" s="1"/>
  <c r="AA40" i="1"/>
  <c r="Z40" i="1"/>
  <c r="Y40" i="1" s="1"/>
  <c r="R40" i="1"/>
  <c r="CY39" i="1"/>
  <c r="CX39" i="1"/>
  <c r="CV39" i="1"/>
  <c r="CW39" i="1" s="1"/>
  <c r="AX39" i="1" s="1"/>
  <c r="AZ39" i="1" s="1"/>
  <c r="BL39" i="1"/>
  <c r="BM39" i="1" s="1"/>
  <c r="BK39" i="1"/>
  <c r="BJ39" i="1"/>
  <c r="BI39" i="1"/>
  <c r="BH39" i="1"/>
  <c r="BF39" i="1"/>
  <c r="BG39" i="1" s="1"/>
  <c r="BB39" i="1"/>
  <c r="AV39" i="1"/>
  <c r="AP39" i="1"/>
  <c r="BC39" i="1" s="1"/>
  <c r="AK39" i="1"/>
  <c r="AJ39" i="1"/>
  <c r="AI39" i="1"/>
  <c r="M39" i="1" s="1"/>
  <c r="AA39" i="1"/>
  <c r="Z39" i="1"/>
  <c r="Y39" i="1" s="1"/>
  <c r="R39" i="1"/>
  <c r="CY38" i="1"/>
  <c r="CX38" i="1"/>
  <c r="CV38" i="1"/>
  <c r="CW38" i="1" s="1"/>
  <c r="AX38" i="1" s="1"/>
  <c r="AZ38" i="1" s="1"/>
  <c r="BK38" i="1"/>
  <c r="BJ38" i="1"/>
  <c r="BB38" i="1"/>
  <c r="AY38" i="1"/>
  <c r="BA38" i="1" s="1"/>
  <c r="AV38" i="1"/>
  <c r="AP38" i="1"/>
  <c r="BC38" i="1" s="1"/>
  <c r="BF38" i="1" s="1"/>
  <c r="AK38" i="1"/>
  <c r="AI38" i="1"/>
  <c r="AJ38" i="1" s="1"/>
  <c r="AA38" i="1"/>
  <c r="Z38" i="1"/>
  <c r="Y38" i="1"/>
  <c r="R38" i="1"/>
  <c r="P38" i="1"/>
  <c r="M38" i="1"/>
  <c r="L38" i="1"/>
  <c r="K38" i="1"/>
  <c r="J38" i="1"/>
  <c r="CY37" i="1"/>
  <c r="CX37" i="1"/>
  <c r="CW37" i="1" s="1"/>
  <c r="AX37" i="1" s="1"/>
  <c r="CV37" i="1"/>
  <c r="BK37" i="1"/>
  <c r="BJ37" i="1"/>
  <c r="BH37" i="1"/>
  <c r="BL37" i="1" s="1"/>
  <c r="BM37" i="1" s="1"/>
  <c r="BG37" i="1"/>
  <c r="BF37" i="1"/>
  <c r="BI37" i="1" s="1"/>
  <c r="BB37" i="1"/>
  <c r="AV37" i="1"/>
  <c r="AZ37" i="1" s="1"/>
  <c r="AP37" i="1"/>
  <c r="BC37" i="1" s="1"/>
  <c r="AK37" i="1"/>
  <c r="AI37" i="1" s="1"/>
  <c r="AA37" i="1"/>
  <c r="Z37" i="1"/>
  <c r="Y37" i="1" s="1"/>
  <c r="U37" i="1"/>
  <c r="R37" i="1"/>
  <c r="CY36" i="1"/>
  <c r="CX36" i="1"/>
  <c r="CV36" i="1"/>
  <c r="CW36" i="1" s="1"/>
  <c r="AX36" i="1" s="1"/>
  <c r="AZ36" i="1" s="1"/>
  <c r="BK36" i="1"/>
  <c r="BJ36" i="1"/>
  <c r="BB36" i="1"/>
  <c r="AV36" i="1"/>
  <c r="AP36" i="1"/>
  <c r="BC36" i="1" s="1"/>
  <c r="BF36" i="1" s="1"/>
  <c r="AK36" i="1"/>
  <c r="AI36" i="1" s="1"/>
  <c r="AA36" i="1"/>
  <c r="Z36" i="1"/>
  <c r="Y36" i="1" s="1"/>
  <c r="R36" i="1"/>
  <c r="CY35" i="1"/>
  <c r="CX35" i="1"/>
  <c r="CV35" i="1"/>
  <c r="CW35" i="1" s="1"/>
  <c r="AX35" i="1" s="1"/>
  <c r="AZ35" i="1" s="1"/>
  <c r="BL35" i="1"/>
  <c r="BM35" i="1" s="1"/>
  <c r="BK35" i="1"/>
  <c r="BJ35" i="1"/>
  <c r="BI35" i="1"/>
  <c r="BH35" i="1"/>
  <c r="BF35" i="1"/>
  <c r="BG35" i="1" s="1"/>
  <c r="BB35" i="1"/>
  <c r="AV35" i="1"/>
  <c r="AP35" i="1"/>
  <c r="BC35" i="1" s="1"/>
  <c r="AK35" i="1"/>
  <c r="AJ35" i="1"/>
  <c r="AI35" i="1"/>
  <c r="M35" i="1" s="1"/>
  <c r="AA35" i="1"/>
  <c r="Z35" i="1"/>
  <c r="Y35" i="1" s="1"/>
  <c r="R35" i="1"/>
  <c r="CY34" i="1"/>
  <c r="CX34" i="1"/>
  <c r="CV34" i="1"/>
  <c r="CW34" i="1" s="1"/>
  <c r="AX34" i="1" s="1"/>
  <c r="AZ34" i="1" s="1"/>
  <c r="BK34" i="1"/>
  <c r="BJ34" i="1"/>
  <c r="BF34" i="1"/>
  <c r="BI34" i="1" s="1"/>
  <c r="BB34" i="1"/>
  <c r="AV34" i="1"/>
  <c r="AP34" i="1"/>
  <c r="BC34" i="1" s="1"/>
  <c r="AK34" i="1"/>
  <c r="AI34" i="1"/>
  <c r="K34" i="1" s="1"/>
  <c r="J34" i="1" s="1"/>
  <c r="AA34" i="1"/>
  <c r="Z34" i="1"/>
  <c r="Y34" i="1"/>
  <c r="R34" i="1"/>
  <c r="P34" i="1"/>
  <c r="L34" i="1"/>
  <c r="AY34" i="1" s="1"/>
  <c r="CY33" i="1"/>
  <c r="CX33" i="1"/>
  <c r="CW33" i="1" s="1"/>
  <c r="AX33" i="1" s="1"/>
  <c r="CV33" i="1"/>
  <c r="BK33" i="1"/>
  <c r="BJ33" i="1"/>
  <c r="BH33" i="1"/>
  <c r="BL33" i="1" s="1"/>
  <c r="BM33" i="1" s="1"/>
  <c r="BG33" i="1"/>
  <c r="BF33" i="1"/>
  <c r="BI33" i="1" s="1"/>
  <c r="BB33" i="1"/>
  <c r="AV33" i="1"/>
  <c r="AZ33" i="1" s="1"/>
  <c r="AP33" i="1"/>
  <c r="BC33" i="1" s="1"/>
  <c r="AK33" i="1"/>
  <c r="AI33" i="1" s="1"/>
  <c r="AA33" i="1"/>
  <c r="Z33" i="1"/>
  <c r="Y33" i="1" s="1"/>
  <c r="U33" i="1"/>
  <c r="R33" i="1"/>
  <c r="CY32" i="1"/>
  <c r="CX32" i="1"/>
  <c r="CV32" i="1"/>
  <c r="CW32" i="1" s="1"/>
  <c r="AX32" i="1" s="1"/>
  <c r="AZ32" i="1" s="1"/>
  <c r="BK32" i="1"/>
  <c r="BJ32" i="1"/>
  <c r="BB32" i="1"/>
  <c r="AV32" i="1"/>
  <c r="AP32" i="1"/>
  <c r="BC32" i="1" s="1"/>
  <c r="BF32" i="1" s="1"/>
  <c r="AK32" i="1"/>
  <c r="AI32" i="1" s="1"/>
  <c r="AA32" i="1"/>
  <c r="Z32" i="1"/>
  <c r="Y32" i="1" s="1"/>
  <c r="R32" i="1"/>
  <c r="CY31" i="1"/>
  <c r="CX31" i="1"/>
  <c r="CV31" i="1"/>
  <c r="CW31" i="1" s="1"/>
  <c r="AX31" i="1" s="1"/>
  <c r="AZ31" i="1" s="1"/>
  <c r="BL31" i="1"/>
  <c r="BM31" i="1" s="1"/>
  <c r="BK31" i="1"/>
  <c r="BJ31" i="1"/>
  <c r="BH31" i="1"/>
  <c r="BF31" i="1"/>
  <c r="BG31" i="1" s="1"/>
  <c r="BC31" i="1"/>
  <c r="BB31" i="1"/>
  <c r="AV31" i="1"/>
  <c r="AP31" i="1"/>
  <c r="AK31" i="1"/>
  <c r="AJ31" i="1"/>
  <c r="AI31" i="1"/>
  <c r="M31" i="1" s="1"/>
  <c r="AA31" i="1"/>
  <c r="Z31" i="1"/>
  <c r="Y31" i="1" s="1"/>
  <c r="R31" i="1"/>
  <c r="CY30" i="1"/>
  <c r="CX30" i="1"/>
  <c r="CV30" i="1"/>
  <c r="CW30" i="1" s="1"/>
  <c r="AX30" i="1" s="1"/>
  <c r="AZ30" i="1" s="1"/>
  <c r="BK30" i="1"/>
  <c r="BJ30" i="1"/>
  <c r="BF30" i="1"/>
  <c r="BI30" i="1" s="1"/>
  <c r="BB30" i="1"/>
  <c r="AV30" i="1"/>
  <c r="AP30" i="1"/>
  <c r="BC30" i="1" s="1"/>
  <c r="AK30" i="1"/>
  <c r="AI30" i="1"/>
  <c r="AJ30" i="1" s="1"/>
  <c r="AA30" i="1"/>
  <c r="Z30" i="1"/>
  <c r="Y30" i="1"/>
  <c r="R30" i="1"/>
  <c r="P30" i="1"/>
  <c r="L30" i="1"/>
  <c r="AY30" i="1" s="1"/>
  <c r="BA30" i="1" s="1"/>
  <c r="K30" i="1"/>
  <c r="J30" i="1"/>
  <c r="CY29" i="1"/>
  <c r="CX29" i="1"/>
  <c r="CW29" i="1" s="1"/>
  <c r="AX29" i="1" s="1"/>
  <c r="CV29" i="1"/>
  <c r="BK29" i="1"/>
  <c r="BJ29" i="1"/>
  <c r="BB29" i="1"/>
  <c r="AV29" i="1"/>
  <c r="AP29" i="1"/>
  <c r="BC29" i="1" s="1"/>
  <c r="BF29" i="1" s="1"/>
  <c r="AK29" i="1"/>
  <c r="AI29" i="1" s="1"/>
  <c r="AA29" i="1"/>
  <c r="Z29" i="1"/>
  <c r="Y29" i="1" s="1"/>
  <c r="U29" i="1"/>
  <c r="R29" i="1"/>
  <c r="CY28" i="1"/>
  <c r="CX28" i="1"/>
  <c r="CV28" i="1"/>
  <c r="CW28" i="1" s="1"/>
  <c r="AX28" i="1" s="1"/>
  <c r="AZ28" i="1" s="1"/>
  <c r="BK28" i="1"/>
  <c r="BJ28" i="1"/>
  <c r="BI28" i="1"/>
  <c r="BF28" i="1"/>
  <c r="BH28" i="1" s="1"/>
  <c r="BL28" i="1" s="1"/>
  <c r="BM28" i="1" s="1"/>
  <c r="BB28" i="1"/>
  <c r="AV28" i="1"/>
  <c r="AP28" i="1"/>
  <c r="BC28" i="1" s="1"/>
  <c r="AK28" i="1"/>
  <c r="AI28" i="1" s="1"/>
  <c r="AA28" i="1"/>
  <c r="Z28" i="1"/>
  <c r="Y28" i="1" s="1"/>
  <c r="R28" i="1"/>
  <c r="CY27" i="1"/>
  <c r="CX27" i="1"/>
  <c r="CW27" i="1"/>
  <c r="AX27" i="1" s="1"/>
  <c r="CV27" i="1"/>
  <c r="BK27" i="1"/>
  <c r="BJ27" i="1"/>
  <c r="BB27" i="1"/>
  <c r="AV27" i="1"/>
  <c r="AZ27" i="1" s="1"/>
  <c r="AP27" i="1"/>
  <c r="BC27" i="1" s="1"/>
  <c r="BF27" i="1" s="1"/>
  <c r="AK27" i="1"/>
  <c r="AI27" i="1" s="1"/>
  <c r="AA27" i="1"/>
  <c r="Z27" i="1"/>
  <c r="Y27" i="1" s="1"/>
  <c r="U27" i="1"/>
  <c r="R27" i="1"/>
  <c r="M27" i="1"/>
  <c r="CY26" i="1"/>
  <c r="CX26" i="1"/>
  <c r="CV26" i="1"/>
  <c r="CW26" i="1" s="1"/>
  <c r="AX26" i="1" s="1"/>
  <c r="AZ26" i="1" s="1"/>
  <c r="BK26" i="1"/>
  <c r="BJ26" i="1"/>
  <c r="BF26" i="1"/>
  <c r="BI26" i="1" s="1"/>
  <c r="BC26" i="1"/>
  <c r="BB26" i="1"/>
  <c r="AV26" i="1"/>
  <c r="AP26" i="1"/>
  <c r="AK26" i="1"/>
  <c r="AI26" i="1" s="1"/>
  <c r="AA26" i="1"/>
  <c r="Y26" i="1" s="1"/>
  <c r="Z26" i="1"/>
  <c r="U26" i="1"/>
  <c r="R26" i="1"/>
  <c r="CY25" i="1"/>
  <c r="CX25" i="1"/>
  <c r="CV25" i="1"/>
  <c r="CW25" i="1" s="1"/>
  <c r="AX25" i="1" s="1"/>
  <c r="AZ25" i="1" s="1"/>
  <c r="BK25" i="1"/>
  <c r="BJ25" i="1"/>
  <c r="BI25" i="1"/>
  <c r="BH25" i="1"/>
  <c r="BL25" i="1" s="1"/>
  <c r="BM25" i="1" s="1"/>
  <c r="BF25" i="1"/>
  <c r="BG25" i="1" s="1"/>
  <c r="BB25" i="1"/>
  <c r="AV25" i="1"/>
  <c r="AP25" i="1"/>
  <c r="BC25" i="1" s="1"/>
  <c r="AK25" i="1"/>
  <c r="AI25" i="1"/>
  <c r="AA25" i="1"/>
  <c r="Z25" i="1"/>
  <c r="Y25" i="1"/>
  <c r="U25" i="1"/>
  <c r="R25" i="1"/>
  <c r="CY24" i="1"/>
  <c r="U24" i="1" s="1"/>
  <c r="CX24" i="1"/>
  <c r="CV24" i="1"/>
  <c r="CW24" i="1" s="1"/>
  <c r="BK24" i="1"/>
  <c r="BJ24" i="1"/>
  <c r="BI24" i="1"/>
  <c r="BB24" i="1"/>
  <c r="AX24" i="1"/>
  <c r="AZ24" i="1" s="1"/>
  <c r="AV24" i="1"/>
  <c r="AP24" i="1"/>
  <c r="BC24" i="1" s="1"/>
  <c r="BF24" i="1" s="1"/>
  <c r="AK24" i="1"/>
  <c r="AI24" i="1"/>
  <c r="AJ24" i="1" s="1"/>
  <c r="AA24" i="1"/>
  <c r="Y24" i="1" s="1"/>
  <c r="Z24" i="1"/>
  <c r="R24" i="1"/>
  <c r="M24" i="1"/>
  <c r="L24" i="1"/>
  <c r="AY24" i="1" s="1"/>
  <c r="BA24" i="1" s="1"/>
  <c r="K24" i="1"/>
  <c r="J24" i="1" s="1"/>
  <c r="CY23" i="1"/>
  <c r="CX23" i="1"/>
  <c r="CV23" i="1"/>
  <c r="CW23" i="1" s="1"/>
  <c r="AX23" i="1" s="1"/>
  <c r="AZ23" i="1" s="1"/>
  <c r="BK23" i="1"/>
  <c r="BJ23" i="1"/>
  <c r="BF23" i="1"/>
  <c r="BI23" i="1" s="1"/>
  <c r="BB23" i="1"/>
  <c r="AV23" i="1"/>
  <c r="AP23" i="1"/>
  <c r="BC23" i="1" s="1"/>
  <c r="AK23" i="1"/>
  <c r="AI23" i="1"/>
  <c r="M23" i="1" s="1"/>
  <c r="AA23" i="1"/>
  <c r="Z23" i="1"/>
  <c r="Y23" i="1"/>
  <c r="R23" i="1"/>
  <c r="CY22" i="1"/>
  <c r="U22" i="1" s="1"/>
  <c r="CX22" i="1"/>
  <c r="CW22" i="1" s="1"/>
  <c r="AX22" i="1" s="1"/>
  <c r="AZ22" i="1" s="1"/>
  <c r="CV22" i="1"/>
  <c r="BK22" i="1"/>
  <c r="BJ22" i="1"/>
  <c r="BB22" i="1"/>
  <c r="AV22" i="1"/>
  <c r="AP22" i="1"/>
  <c r="BC22" i="1" s="1"/>
  <c r="BF22" i="1" s="1"/>
  <c r="AK22" i="1"/>
  <c r="AI22" i="1"/>
  <c r="L22" i="1" s="1"/>
  <c r="AY22" i="1" s="1"/>
  <c r="BA22" i="1" s="1"/>
  <c r="AA22" i="1"/>
  <c r="Z22" i="1"/>
  <c r="Y22" i="1"/>
  <c r="R22" i="1"/>
  <c r="P22" i="1"/>
  <c r="M22" i="1"/>
  <c r="CY21" i="1"/>
  <c r="CX21" i="1"/>
  <c r="CW21" i="1" s="1"/>
  <c r="AX21" i="1" s="1"/>
  <c r="CV21" i="1"/>
  <c r="BK21" i="1"/>
  <c r="BJ21" i="1"/>
  <c r="BH21" i="1"/>
  <c r="BL21" i="1" s="1"/>
  <c r="BM21" i="1" s="1"/>
  <c r="BG21" i="1"/>
  <c r="BF21" i="1"/>
  <c r="BI21" i="1" s="1"/>
  <c r="BB21" i="1"/>
  <c r="AV21" i="1"/>
  <c r="AZ21" i="1" s="1"/>
  <c r="AP21" i="1"/>
  <c r="BC21" i="1" s="1"/>
  <c r="AK21" i="1"/>
  <c r="AI21" i="1" s="1"/>
  <c r="AA21" i="1"/>
  <c r="Z21" i="1"/>
  <c r="Y21" i="1" s="1"/>
  <c r="U21" i="1"/>
  <c r="R21" i="1"/>
  <c r="CY20" i="1"/>
  <c r="CX20" i="1"/>
  <c r="CV20" i="1"/>
  <c r="CW20" i="1" s="1"/>
  <c r="AX20" i="1" s="1"/>
  <c r="AZ20" i="1" s="1"/>
  <c r="BK20" i="1"/>
  <c r="BJ20" i="1"/>
  <c r="BB20" i="1"/>
  <c r="AV20" i="1"/>
  <c r="AP20" i="1"/>
  <c r="BC20" i="1" s="1"/>
  <c r="BF20" i="1" s="1"/>
  <c r="AK20" i="1"/>
  <c r="AI20" i="1" s="1"/>
  <c r="AA20" i="1"/>
  <c r="Z20" i="1"/>
  <c r="Y20" i="1" s="1"/>
  <c r="R20" i="1"/>
  <c r="CY19" i="1"/>
  <c r="CX19" i="1"/>
  <c r="CV19" i="1"/>
  <c r="CW19" i="1" s="1"/>
  <c r="AX19" i="1" s="1"/>
  <c r="AZ19" i="1" s="1"/>
  <c r="BK19" i="1"/>
  <c r="BJ19" i="1"/>
  <c r="BF19" i="1"/>
  <c r="BI19" i="1" s="1"/>
  <c r="BB19" i="1"/>
  <c r="AV19" i="1"/>
  <c r="AP19" i="1"/>
  <c r="BC19" i="1" s="1"/>
  <c r="AK19" i="1"/>
  <c r="AJ19" i="1"/>
  <c r="AI19" i="1"/>
  <c r="M19" i="1" s="1"/>
  <c r="AA19" i="1"/>
  <c r="Z19" i="1"/>
  <c r="Y19" i="1" s="1"/>
  <c r="R19" i="1"/>
  <c r="P19" i="1"/>
  <c r="L19" i="1"/>
  <c r="AY19" i="1" s="1"/>
  <c r="CY18" i="1"/>
  <c r="CX18" i="1"/>
  <c r="CV18" i="1"/>
  <c r="CW18" i="1" s="1"/>
  <c r="AX18" i="1" s="1"/>
  <c r="AZ18" i="1" s="1"/>
  <c r="BK18" i="1"/>
  <c r="BJ18" i="1"/>
  <c r="BB18" i="1"/>
  <c r="AY18" i="1"/>
  <c r="BA18" i="1" s="1"/>
  <c r="AV18" i="1"/>
  <c r="AP18" i="1"/>
  <c r="BC18" i="1" s="1"/>
  <c r="BF18" i="1" s="1"/>
  <c r="AK18" i="1"/>
  <c r="AJ18" i="1"/>
  <c r="AI18" i="1"/>
  <c r="K18" i="1" s="1"/>
  <c r="J18" i="1" s="1"/>
  <c r="AA18" i="1"/>
  <c r="Z18" i="1"/>
  <c r="Y18" i="1" s="1"/>
  <c r="R18" i="1"/>
  <c r="P18" i="1"/>
  <c r="M18" i="1"/>
  <c r="L18" i="1"/>
  <c r="CY17" i="1"/>
  <c r="CX17" i="1"/>
  <c r="CV17" i="1"/>
  <c r="CW17" i="1" s="1"/>
  <c r="AX17" i="1" s="1"/>
  <c r="AZ17" i="1" s="1"/>
  <c r="BK17" i="1"/>
  <c r="BJ17" i="1"/>
  <c r="BH17" i="1"/>
  <c r="BL17" i="1" s="1"/>
  <c r="BM17" i="1" s="1"/>
  <c r="BF17" i="1"/>
  <c r="BI17" i="1" s="1"/>
  <c r="BB17" i="1"/>
  <c r="AV17" i="1"/>
  <c r="AP17" i="1"/>
  <c r="BC17" i="1" s="1"/>
  <c r="AK17" i="1"/>
  <c r="AI17" i="1" s="1"/>
  <c r="AA17" i="1"/>
  <c r="Z17" i="1"/>
  <c r="Y17" i="1" s="1"/>
  <c r="R17" i="1"/>
  <c r="BG18" i="1" l="1"/>
  <c r="BI18" i="1"/>
  <c r="BH18" i="1"/>
  <c r="BL18" i="1" s="1"/>
  <c r="BM18" i="1" s="1"/>
  <c r="BA19" i="1"/>
  <c r="K21" i="1"/>
  <c r="J21" i="1" s="1"/>
  <c r="AJ21" i="1"/>
  <c r="P21" i="1"/>
  <c r="M21" i="1"/>
  <c r="L21" i="1"/>
  <c r="AY21" i="1" s="1"/>
  <c r="BA21" i="1" s="1"/>
  <c r="K17" i="1"/>
  <c r="J17" i="1" s="1"/>
  <c r="AJ17" i="1"/>
  <c r="P17" i="1"/>
  <c r="M17" i="1"/>
  <c r="L17" i="1"/>
  <c r="AY17" i="1" s="1"/>
  <c r="BA17" i="1" s="1"/>
  <c r="AC18" i="1"/>
  <c r="P20" i="1"/>
  <c r="M20" i="1"/>
  <c r="L20" i="1"/>
  <c r="AY20" i="1" s="1"/>
  <c r="BA20" i="1" s="1"/>
  <c r="K20" i="1"/>
  <c r="J20" i="1" s="1"/>
  <c r="AJ20" i="1"/>
  <c r="AC24" i="1"/>
  <c r="BI20" i="1"/>
  <c r="BH20" i="1"/>
  <c r="BL20" i="1" s="1"/>
  <c r="BM20" i="1" s="1"/>
  <c r="BG20" i="1"/>
  <c r="BG22" i="1"/>
  <c r="BI22" i="1"/>
  <c r="BH22" i="1"/>
  <c r="BL22" i="1" s="1"/>
  <c r="BM22" i="1" s="1"/>
  <c r="V24" i="1"/>
  <c r="W24" i="1" s="1"/>
  <c r="P23" i="1"/>
  <c r="P25" i="1"/>
  <c r="M25" i="1"/>
  <c r="L25" i="1"/>
  <c r="AY25" i="1" s="1"/>
  <c r="BA25" i="1" s="1"/>
  <c r="K25" i="1"/>
  <c r="J25" i="1" s="1"/>
  <c r="AJ25" i="1"/>
  <c r="P33" i="1"/>
  <c r="M33" i="1"/>
  <c r="L33" i="1"/>
  <c r="AY33" i="1" s="1"/>
  <c r="BA33" i="1" s="1"/>
  <c r="K33" i="1"/>
  <c r="J33" i="1" s="1"/>
  <c r="AJ33" i="1"/>
  <c r="BI42" i="1"/>
  <c r="BH42" i="1"/>
  <c r="BL42" i="1" s="1"/>
  <c r="BM42" i="1" s="1"/>
  <c r="BG42" i="1"/>
  <c r="V42" i="1"/>
  <c r="W42" i="1" s="1"/>
  <c r="U17" i="1"/>
  <c r="BG17" i="1"/>
  <c r="P41" i="1"/>
  <c r="M41" i="1"/>
  <c r="L41" i="1"/>
  <c r="AY41" i="1" s="1"/>
  <c r="BA41" i="1" s="1"/>
  <c r="K41" i="1"/>
  <c r="J41" i="1" s="1"/>
  <c r="AJ41" i="1"/>
  <c r="AJ23" i="1"/>
  <c r="P29" i="1"/>
  <c r="M29" i="1"/>
  <c r="L29" i="1"/>
  <c r="AY29" i="1" s="1"/>
  <c r="BA29" i="1" s="1"/>
  <c r="K29" i="1"/>
  <c r="J29" i="1" s="1"/>
  <c r="AJ29" i="1"/>
  <c r="AC34" i="1"/>
  <c r="M36" i="1"/>
  <c r="L36" i="1"/>
  <c r="AY36" i="1" s="1"/>
  <c r="BA36" i="1" s="1"/>
  <c r="K36" i="1"/>
  <c r="J36" i="1" s="1"/>
  <c r="AJ36" i="1"/>
  <c r="P36" i="1"/>
  <c r="BI44" i="1"/>
  <c r="BH44" i="1"/>
  <c r="BL44" i="1" s="1"/>
  <c r="BM44" i="1" s="1"/>
  <c r="BG44" i="1"/>
  <c r="K19" i="1"/>
  <c r="J19" i="1" s="1"/>
  <c r="U20" i="1"/>
  <c r="K23" i="1"/>
  <c r="J23" i="1" s="1"/>
  <c r="M28" i="1"/>
  <c r="L28" i="1"/>
  <c r="AY28" i="1" s="1"/>
  <c r="BA28" i="1" s="1"/>
  <c r="K28" i="1"/>
  <c r="J28" i="1" s="1"/>
  <c r="AJ28" i="1"/>
  <c r="P28" i="1"/>
  <c r="BI29" i="1"/>
  <c r="BH29" i="1"/>
  <c r="BL29" i="1" s="1"/>
  <c r="BM29" i="1" s="1"/>
  <c r="BG29" i="1"/>
  <c r="M32" i="1"/>
  <c r="L32" i="1"/>
  <c r="AY32" i="1" s="1"/>
  <c r="BA32" i="1" s="1"/>
  <c r="K32" i="1"/>
  <c r="J32" i="1" s="1"/>
  <c r="AJ32" i="1"/>
  <c r="P32" i="1"/>
  <c r="BI36" i="1"/>
  <c r="BH36" i="1"/>
  <c r="BL36" i="1" s="1"/>
  <c r="BM36" i="1" s="1"/>
  <c r="BG36" i="1"/>
  <c r="AJ22" i="1"/>
  <c r="L23" i="1"/>
  <c r="AY23" i="1" s="1"/>
  <c r="BA23" i="1" s="1"/>
  <c r="AJ26" i="1"/>
  <c r="P26" i="1"/>
  <c r="M26" i="1"/>
  <c r="L26" i="1"/>
  <c r="AY26" i="1" s="1"/>
  <c r="BA26" i="1" s="1"/>
  <c r="AZ29" i="1"/>
  <c r="BI32" i="1"/>
  <c r="BH32" i="1"/>
  <c r="BL32" i="1" s="1"/>
  <c r="BM32" i="1" s="1"/>
  <c r="BG32" i="1"/>
  <c r="BA34" i="1"/>
  <c r="M40" i="1"/>
  <c r="L40" i="1"/>
  <c r="AY40" i="1" s="1"/>
  <c r="BA40" i="1" s="1"/>
  <c r="K40" i="1"/>
  <c r="J40" i="1" s="1"/>
  <c r="AJ40" i="1"/>
  <c r="P40" i="1"/>
  <c r="U19" i="1"/>
  <c r="BG19" i="1"/>
  <c r="K22" i="1"/>
  <c r="J22" i="1" s="1"/>
  <c r="U23" i="1"/>
  <c r="BG23" i="1"/>
  <c r="BI40" i="1"/>
  <c r="BH40" i="1"/>
  <c r="BL40" i="1" s="1"/>
  <c r="BM40" i="1" s="1"/>
  <c r="BG40" i="1"/>
  <c r="S42" i="1"/>
  <c r="Q42" i="1" s="1"/>
  <c r="T42" i="1" s="1"/>
  <c r="N42" i="1" s="1"/>
  <c r="O42" i="1" s="1"/>
  <c r="BH19" i="1"/>
  <c r="BL19" i="1" s="1"/>
  <c r="BM19" i="1" s="1"/>
  <c r="BH23" i="1"/>
  <c r="BL23" i="1" s="1"/>
  <c r="BM23" i="1" s="1"/>
  <c r="P24" i="1"/>
  <c r="K26" i="1"/>
  <c r="J26" i="1" s="1"/>
  <c r="L27" i="1"/>
  <c r="AY27" i="1" s="1"/>
  <c r="BA27" i="1" s="1"/>
  <c r="K27" i="1"/>
  <c r="J27" i="1" s="1"/>
  <c r="AJ27" i="1"/>
  <c r="P27" i="1"/>
  <c r="BI38" i="1"/>
  <c r="BH38" i="1"/>
  <c r="BL38" i="1" s="1"/>
  <c r="BM38" i="1" s="1"/>
  <c r="BG38" i="1"/>
  <c r="M44" i="1"/>
  <c r="L44" i="1"/>
  <c r="AY44" i="1" s="1"/>
  <c r="BA44" i="1" s="1"/>
  <c r="K44" i="1"/>
  <c r="J44" i="1" s="1"/>
  <c r="AJ44" i="1"/>
  <c r="P44" i="1"/>
  <c r="U18" i="1"/>
  <c r="BH24" i="1"/>
  <c r="BL24" i="1" s="1"/>
  <c r="BM24" i="1" s="1"/>
  <c r="BG24" i="1"/>
  <c r="BG27" i="1"/>
  <c r="BI27" i="1"/>
  <c r="BH27" i="1"/>
  <c r="BL27" i="1" s="1"/>
  <c r="BM27" i="1" s="1"/>
  <c r="P37" i="1"/>
  <c r="M37" i="1"/>
  <c r="L37" i="1"/>
  <c r="AY37" i="1" s="1"/>
  <c r="BA37" i="1" s="1"/>
  <c r="K37" i="1"/>
  <c r="J37" i="1" s="1"/>
  <c r="AJ37" i="1"/>
  <c r="BG26" i="1"/>
  <c r="M30" i="1"/>
  <c r="U30" i="1"/>
  <c r="AC30" i="1"/>
  <c r="BG30" i="1"/>
  <c r="BI31" i="1"/>
  <c r="M34" i="1"/>
  <c r="U34" i="1"/>
  <c r="BG34" i="1"/>
  <c r="U38" i="1"/>
  <c r="AC38" i="1"/>
  <c r="AC42" i="1"/>
  <c r="BH26" i="1"/>
  <c r="BL26" i="1" s="1"/>
  <c r="BM26" i="1" s="1"/>
  <c r="BH30" i="1"/>
  <c r="BL30" i="1" s="1"/>
  <c r="BM30" i="1" s="1"/>
  <c r="P31" i="1"/>
  <c r="BH34" i="1"/>
  <c r="BL34" i="1" s="1"/>
  <c r="BM34" i="1" s="1"/>
  <c r="P35" i="1"/>
  <c r="P39" i="1"/>
  <c r="P43" i="1"/>
  <c r="V25" i="1"/>
  <c r="W25" i="1" s="1"/>
  <c r="AD25" i="1" s="1"/>
  <c r="AJ43" i="1"/>
  <c r="U28" i="1"/>
  <c r="BG28" i="1"/>
  <c r="K31" i="1"/>
  <c r="J31" i="1" s="1"/>
  <c r="U32" i="1"/>
  <c r="K35" i="1"/>
  <c r="J35" i="1" s="1"/>
  <c r="U36" i="1"/>
  <c r="K39" i="1"/>
  <c r="J39" i="1" s="1"/>
  <c r="U40" i="1"/>
  <c r="K43" i="1"/>
  <c r="J43" i="1" s="1"/>
  <c r="V43" i="1" s="1"/>
  <c r="W43" i="1" s="1"/>
  <c r="L31" i="1"/>
  <c r="AY31" i="1" s="1"/>
  <c r="BA31" i="1" s="1"/>
  <c r="AJ34" i="1"/>
  <c r="L35" i="1"/>
  <c r="AY35" i="1" s="1"/>
  <c r="BA35" i="1" s="1"/>
  <c r="L39" i="1"/>
  <c r="AY39" i="1" s="1"/>
  <c r="BA39" i="1" s="1"/>
  <c r="L43" i="1"/>
  <c r="AY43" i="1" s="1"/>
  <c r="BA43" i="1" s="1"/>
  <c r="U31" i="1"/>
  <c r="U35" i="1"/>
  <c r="U39" i="1"/>
  <c r="X43" i="1" l="1"/>
  <c r="AB43" i="1" s="1"/>
  <c r="AE43" i="1"/>
  <c r="AD43" i="1"/>
  <c r="V36" i="1"/>
  <c r="W36" i="1" s="1"/>
  <c r="V30" i="1"/>
  <c r="W30" i="1" s="1"/>
  <c r="AC26" i="1"/>
  <c r="AC28" i="1"/>
  <c r="AC35" i="1"/>
  <c r="V38" i="1"/>
  <c r="W38" i="1" s="1"/>
  <c r="V18" i="1"/>
  <c r="W18" i="1" s="1"/>
  <c r="AC40" i="1"/>
  <c r="X24" i="1"/>
  <c r="AB24" i="1" s="1"/>
  <c r="AE24" i="1"/>
  <c r="AF24" i="1" s="1"/>
  <c r="AD24" i="1"/>
  <c r="AC17" i="1"/>
  <c r="V32" i="1"/>
  <c r="W32" i="1" s="1"/>
  <c r="S24" i="1"/>
  <c r="Q24" i="1" s="1"/>
  <c r="T24" i="1" s="1"/>
  <c r="N24" i="1" s="1"/>
  <c r="O24" i="1" s="1"/>
  <c r="AC31" i="1"/>
  <c r="V34" i="1"/>
  <c r="W34" i="1" s="1"/>
  <c r="V23" i="1"/>
  <c r="W23" i="1" s="1"/>
  <c r="V29" i="1"/>
  <c r="W29" i="1" s="1"/>
  <c r="S29" i="1" s="1"/>
  <c r="Q29" i="1" s="1"/>
  <c r="T29" i="1" s="1"/>
  <c r="N29" i="1" s="1"/>
  <c r="O29" i="1" s="1"/>
  <c r="AC29" i="1"/>
  <c r="AC22" i="1"/>
  <c r="AC23" i="1"/>
  <c r="S23" i="1"/>
  <c r="Q23" i="1" s="1"/>
  <c r="T23" i="1" s="1"/>
  <c r="N23" i="1" s="1"/>
  <c r="O23" i="1" s="1"/>
  <c r="V26" i="1"/>
  <c r="W26" i="1" s="1"/>
  <c r="AC25" i="1"/>
  <c r="S25" i="1"/>
  <c r="Q25" i="1" s="1"/>
  <c r="T25" i="1" s="1"/>
  <c r="N25" i="1" s="1"/>
  <c r="O25" i="1" s="1"/>
  <c r="V22" i="1"/>
  <c r="W22" i="1" s="1"/>
  <c r="S22" i="1" s="1"/>
  <c r="Q22" i="1" s="1"/>
  <c r="T22" i="1" s="1"/>
  <c r="N22" i="1" s="1"/>
  <c r="O22" i="1" s="1"/>
  <c r="V44" i="1"/>
  <c r="W44" i="1" s="1"/>
  <c r="AC44" i="1"/>
  <c r="S44" i="1"/>
  <c r="Q44" i="1" s="1"/>
  <c r="T44" i="1" s="1"/>
  <c r="N44" i="1" s="1"/>
  <c r="O44" i="1" s="1"/>
  <c r="V39" i="1"/>
  <c r="W39" i="1" s="1"/>
  <c r="AC43" i="1"/>
  <c r="S43" i="1"/>
  <c r="Q43" i="1" s="1"/>
  <c r="T43" i="1" s="1"/>
  <c r="N43" i="1" s="1"/>
  <c r="O43" i="1" s="1"/>
  <c r="V28" i="1"/>
  <c r="W28" i="1" s="1"/>
  <c r="V37" i="1"/>
  <c r="W37" i="1" s="1"/>
  <c r="AC37" i="1"/>
  <c r="S37" i="1"/>
  <c r="Q37" i="1" s="1"/>
  <c r="T37" i="1" s="1"/>
  <c r="N37" i="1" s="1"/>
  <c r="O37" i="1" s="1"/>
  <c r="V20" i="1"/>
  <c r="W20" i="1" s="1"/>
  <c r="AC36" i="1"/>
  <c r="S36" i="1"/>
  <c r="Q36" i="1" s="1"/>
  <c r="T36" i="1" s="1"/>
  <c r="N36" i="1" s="1"/>
  <c r="O36" i="1" s="1"/>
  <c r="V33" i="1"/>
  <c r="W33" i="1" s="1"/>
  <c r="AC33" i="1"/>
  <c r="S33" i="1"/>
  <c r="Q33" i="1" s="1"/>
  <c r="T33" i="1" s="1"/>
  <c r="N33" i="1" s="1"/>
  <c r="O33" i="1" s="1"/>
  <c r="V35" i="1"/>
  <c r="W35" i="1" s="1"/>
  <c r="S35" i="1" s="1"/>
  <c r="Q35" i="1" s="1"/>
  <c r="T35" i="1" s="1"/>
  <c r="N35" i="1" s="1"/>
  <c r="O35" i="1" s="1"/>
  <c r="V40" i="1"/>
  <c r="W40" i="1" s="1"/>
  <c r="S40" i="1" s="1"/>
  <c r="Q40" i="1" s="1"/>
  <c r="T40" i="1" s="1"/>
  <c r="N40" i="1" s="1"/>
  <c r="O40" i="1" s="1"/>
  <c r="AC27" i="1"/>
  <c r="V19" i="1"/>
  <c r="W19" i="1" s="1"/>
  <c r="AC19" i="1"/>
  <c r="V41" i="1"/>
  <c r="W41" i="1" s="1"/>
  <c r="AC41" i="1"/>
  <c r="S41" i="1"/>
  <c r="Q41" i="1" s="1"/>
  <c r="T41" i="1" s="1"/>
  <c r="N41" i="1" s="1"/>
  <c r="O41" i="1" s="1"/>
  <c r="V17" i="1"/>
  <c r="W17" i="1" s="1"/>
  <c r="S17" i="1" s="1"/>
  <c r="Q17" i="1" s="1"/>
  <c r="T17" i="1" s="1"/>
  <c r="N17" i="1" s="1"/>
  <c r="O17" i="1" s="1"/>
  <c r="V31" i="1"/>
  <c r="W31" i="1" s="1"/>
  <c r="AC39" i="1"/>
  <c r="S39" i="1"/>
  <c r="Q39" i="1" s="1"/>
  <c r="T39" i="1" s="1"/>
  <c r="N39" i="1" s="1"/>
  <c r="O39" i="1" s="1"/>
  <c r="X25" i="1"/>
  <c r="AB25" i="1" s="1"/>
  <c r="AE25" i="1"/>
  <c r="AF25" i="1" s="1"/>
  <c r="AC32" i="1"/>
  <c r="S32" i="1"/>
  <c r="Q32" i="1" s="1"/>
  <c r="T32" i="1" s="1"/>
  <c r="N32" i="1" s="1"/>
  <c r="O32" i="1" s="1"/>
  <c r="V27" i="1"/>
  <c r="W27" i="1" s="1"/>
  <c r="X42" i="1"/>
  <c r="AB42" i="1" s="1"/>
  <c r="AE42" i="1"/>
  <c r="AD42" i="1"/>
  <c r="AC20" i="1"/>
  <c r="S20" i="1"/>
  <c r="Q20" i="1" s="1"/>
  <c r="T20" i="1" s="1"/>
  <c r="N20" i="1" s="1"/>
  <c r="O20" i="1" s="1"/>
  <c r="V21" i="1"/>
  <c r="W21" i="1" s="1"/>
  <c r="AC21" i="1"/>
  <c r="X31" i="1" l="1"/>
  <c r="AB31" i="1" s="1"/>
  <c r="AE31" i="1"/>
  <c r="AF31" i="1" s="1"/>
  <c r="AD31" i="1"/>
  <c r="AE23" i="1"/>
  <c r="X23" i="1"/>
  <c r="AB23" i="1" s="1"/>
  <c r="AD23" i="1"/>
  <c r="X34" i="1"/>
  <c r="AB34" i="1" s="1"/>
  <c r="AE34" i="1"/>
  <c r="AF34" i="1" s="1"/>
  <c r="AD34" i="1"/>
  <c r="S34" i="1"/>
  <c r="Q34" i="1" s="1"/>
  <c r="T34" i="1" s="1"/>
  <c r="N34" i="1" s="1"/>
  <c r="O34" i="1" s="1"/>
  <c r="X38" i="1"/>
  <c r="AB38" i="1" s="1"/>
  <c r="AE38" i="1"/>
  <c r="AD38" i="1"/>
  <c r="S38" i="1"/>
  <c r="Q38" i="1" s="1"/>
  <c r="T38" i="1" s="1"/>
  <c r="N38" i="1" s="1"/>
  <c r="O38" i="1" s="1"/>
  <c r="X30" i="1"/>
  <c r="AB30" i="1" s="1"/>
  <c r="AE30" i="1"/>
  <c r="AF30" i="1" s="1"/>
  <c r="AD30" i="1"/>
  <c r="S30" i="1"/>
  <c r="Q30" i="1" s="1"/>
  <c r="T30" i="1" s="1"/>
  <c r="N30" i="1" s="1"/>
  <c r="O30" i="1" s="1"/>
  <c r="X17" i="1"/>
  <c r="AB17" i="1" s="1"/>
  <c r="AE17" i="1"/>
  <c r="AD17" i="1"/>
  <c r="AE19" i="1"/>
  <c r="AF19" i="1" s="1"/>
  <c r="X19" i="1"/>
  <c r="AB19" i="1" s="1"/>
  <c r="AD19" i="1"/>
  <c r="X37" i="1"/>
  <c r="AB37" i="1" s="1"/>
  <c r="AE37" i="1"/>
  <c r="AF37" i="1" s="1"/>
  <c r="AD37" i="1"/>
  <c r="X27" i="1"/>
  <c r="AB27" i="1" s="1"/>
  <c r="AE27" i="1"/>
  <c r="AD27" i="1"/>
  <c r="X21" i="1"/>
  <c r="AB21" i="1" s="1"/>
  <c r="AE21" i="1"/>
  <c r="AF21" i="1" s="1"/>
  <c r="AD21" i="1"/>
  <c r="S21" i="1"/>
  <c r="Q21" i="1" s="1"/>
  <c r="T21" i="1" s="1"/>
  <c r="N21" i="1" s="1"/>
  <c r="O21" i="1" s="1"/>
  <c r="X33" i="1"/>
  <c r="AB33" i="1" s="1"/>
  <c r="AE33" i="1"/>
  <c r="AD33" i="1"/>
  <c r="AE44" i="1"/>
  <c r="AF44" i="1" s="1"/>
  <c r="X44" i="1"/>
  <c r="AB44" i="1" s="1"/>
  <c r="AD44" i="1"/>
  <c r="S31" i="1"/>
  <c r="Q31" i="1" s="1"/>
  <c r="T31" i="1" s="1"/>
  <c r="N31" i="1" s="1"/>
  <c r="O31" i="1" s="1"/>
  <c r="S27" i="1"/>
  <c r="Q27" i="1" s="1"/>
  <c r="T27" i="1" s="1"/>
  <c r="N27" i="1" s="1"/>
  <c r="O27" i="1" s="1"/>
  <c r="AE28" i="1"/>
  <c r="X28" i="1"/>
  <c r="AB28" i="1" s="1"/>
  <c r="AD28" i="1"/>
  <c r="X22" i="1"/>
  <c r="AB22" i="1" s="1"/>
  <c r="AE22" i="1"/>
  <c r="AF22" i="1" s="1"/>
  <c r="AD22" i="1"/>
  <c r="AE36" i="1"/>
  <c r="AF36" i="1" s="1"/>
  <c r="X36" i="1"/>
  <c r="AB36" i="1" s="1"/>
  <c r="AD36" i="1"/>
  <c r="S28" i="1"/>
  <c r="Q28" i="1" s="1"/>
  <c r="T28" i="1" s="1"/>
  <c r="N28" i="1" s="1"/>
  <c r="O28" i="1" s="1"/>
  <c r="X41" i="1"/>
  <c r="AB41" i="1" s="1"/>
  <c r="AE41" i="1"/>
  <c r="AF41" i="1" s="1"/>
  <c r="AD41" i="1"/>
  <c r="AE40" i="1"/>
  <c r="X40" i="1"/>
  <c r="AB40" i="1" s="1"/>
  <c r="AD40" i="1"/>
  <c r="X20" i="1"/>
  <c r="AB20" i="1" s="1"/>
  <c r="AE20" i="1"/>
  <c r="AF20" i="1" s="1"/>
  <c r="AD20" i="1"/>
  <c r="X29" i="1"/>
  <c r="AB29" i="1" s="1"/>
  <c r="AE29" i="1"/>
  <c r="AF29" i="1" s="1"/>
  <c r="AD29" i="1"/>
  <c r="AF43" i="1"/>
  <c r="AF42" i="1"/>
  <c r="S19" i="1"/>
  <c r="Q19" i="1" s="1"/>
  <c r="T19" i="1" s="1"/>
  <c r="N19" i="1" s="1"/>
  <c r="O19" i="1" s="1"/>
  <c r="X35" i="1"/>
  <c r="AB35" i="1" s="1"/>
  <c r="AE35" i="1"/>
  <c r="AD35" i="1"/>
  <c r="X39" i="1"/>
  <c r="AB39" i="1" s="1"/>
  <c r="AE39" i="1"/>
  <c r="AF39" i="1" s="1"/>
  <c r="AD39" i="1"/>
  <c r="X26" i="1"/>
  <c r="AB26" i="1" s="1"/>
  <c r="AE26" i="1"/>
  <c r="AF26" i="1" s="1"/>
  <c r="AD26" i="1"/>
  <c r="AE32" i="1"/>
  <c r="X32" i="1"/>
  <c r="AB32" i="1" s="1"/>
  <c r="AD32" i="1"/>
  <c r="X18" i="1"/>
  <c r="AB18" i="1" s="1"/>
  <c r="AE18" i="1"/>
  <c r="S18" i="1"/>
  <c r="Q18" i="1" s="1"/>
  <c r="T18" i="1" s="1"/>
  <c r="N18" i="1" s="1"/>
  <c r="O18" i="1" s="1"/>
  <c r="AD18" i="1"/>
  <c r="S26" i="1"/>
  <c r="Q26" i="1" s="1"/>
  <c r="T26" i="1" s="1"/>
  <c r="N26" i="1" s="1"/>
  <c r="O26" i="1" s="1"/>
  <c r="AF40" i="1" l="1"/>
  <c r="AF32" i="1"/>
  <c r="AF35" i="1"/>
  <c r="AF27" i="1"/>
  <c r="AF33" i="1"/>
  <c r="AF17" i="1"/>
  <c r="AF38" i="1"/>
  <c r="AF23" i="1"/>
  <c r="AF28" i="1"/>
  <c r="AF18" i="1"/>
</calcChain>
</file>

<file path=xl/sharedStrings.xml><?xml version="1.0" encoding="utf-8"?>
<sst xmlns="http://schemas.openxmlformats.org/spreadsheetml/2006/main" count="1338" uniqueCount="540">
  <si>
    <t>File opened</t>
  </si>
  <si>
    <t>2023-11-16 11:27:40</t>
  </si>
  <si>
    <t>Console s/n</t>
  </si>
  <si>
    <t>68C-812062</t>
  </si>
  <si>
    <t>Console ver</t>
  </si>
  <si>
    <t>Bluestem v.2.1.08</t>
  </si>
  <si>
    <t>Scripts ver</t>
  </si>
  <si>
    <t>2022.05  2.1.08, Aug 2022</t>
  </si>
  <si>
    <t>Head s/n</t>
  </si>
  <si>
    <t>68H-712052</t>
  </si>
  <si>
    <t>Head ver</t>
  </si>
  <si>
    <t>1.4.22</t>
  </si>
  <si>
    <t>Head cal</t>
  </si>
  <si>
    <t>{"oxygen": "21", "co2azero": "0.884511", "co2aspan1": "0.998745", "co2aspan2": "-0.0206825", "co2aspan2a": "0.292025", "co2aspan2b": "0.289895", "co2aspanconc1": "2490", "co2aspanconc2": "303.6", "co2bzero": "0.888327", "co2bspan1": "0.998975", "co2bspan2": "-0.0218624", "co2bspan2a": "0.292018", "co2bspan2b": "0.289854", "co2bspanconc1": "2490", "co2bspanconc2": "303.6", "h2oazero": "1.01698", "h2oaspan1": "1.01138", "h2oaspan2": "0", "h2oaspan2a": "0.0735416", "h2oaspan2b": "0.0743788", "h2oaspanconc1": "12.1", "h2oaspanconc2": "0", "h2obzero": "1.02816", "h2obspan1": "1.02006", "h2obspan2": "0", "h2obspan2a": "0.0734461", "h2obspan2b": "0.0749195", "h2obspanconc1": "12.1", "h2obspanconc2": "0", "tazero": "-0.152895", "tbzero": "-0.115759", "flowmeterzero": "0.995458", "flowazero": "0.33092", "flowbzero": "0.27125", "chamberpressurezero": "2.66957", "ssa_ref": "29140.5", "ssb_ref": "29296.1"}</t>
  </si>
  <si>
    <t>CO2 rangematch</t>
  </si>
  <si>
    <t>Thu Nov  2 09:36</t>
  </si>
  <si>
    <t>H2O rangematch</t>
  </si>
  <si>
    <t>Thu Nov  2 09:42</t>
  </si>
  <si>
    <t>Chamber type</t>
  </si>
  <si>
    <t>6800-01A</t>
  </si>
  <si>
    <t>Chamber s/n</t>
  </si>
  <si>
    <t>MPF-281815</t>
  </si>
  <si>
    <t>Chamber rev</t>
  </si>
  <si>
    <t>0</t>
  </si>
  <si>
    <t>Chamber cal</t>
  </si>
  <si>
    <t>Fluorometer</t>
  </si>
  <si>
    <t>Flr. Version</t>
  </si>
  <si>
    <t>11:27:40</t>
  </si>
  <si>
    <t>Stability Definition:	gsw (GasEx): Slp&lt;0.05 Std&lt;0.05 Per=15	A (GasEx): Slp&lt;0.7 Std&lt;0.2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</si>
  <si>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</si>
  <si>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</si>
  <si>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</si>
  <si>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</si>
  <si>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</si>
  <si>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</si>
  <si>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</si>
  <si>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</si>
  <si>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</si>
  <si>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</si>
  <si>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</si>
  <si>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</si>
  <si>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</si>
  <si>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</si>
  <si>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</si>
  <si>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</si>
  <si>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</si>
  <si>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</si>
  <si>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</si>
  <si>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</si>
  <si>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</si>
  <si>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</si>
  <si>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</si>
  <si>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</si>
  <si>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</si>
  <si>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</si>
  <si>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</si>
  <si>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</si>
  <si>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</si>
  <si>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</si>
  <si>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</si>
  <si>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</si>
  <si>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</si>
  <si>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</si>
  <si>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</si>
  <si>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</si>
  <si>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</si>
  <si>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</si>
  <si>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</si>
  <si>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</si>
  <si>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</si>
  <si>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</si>
  <si>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</si>
  <si>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</si>
  <si>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</si>
  <si>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</si>
  <si>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</si>
  <si>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</si>
  <si>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</si>
  <si>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</si>
  <si>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</si>
  <si>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</si>
  <si>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1.46399 62.2409 368.034 609.687 849.619 1019.54 1207.89 1361.71</t>
  </si>
  <si>
    <t>Fs_true</t>
  </si>
  <si>
    <t>0.535316 102.264 400.415 601.046 800.908 1001.78 1201.06 1401.63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</si>
  <si>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</si>
  <si>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</si>
  <si>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</si>
  <si>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</si>
  <si>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</si>
  <si>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</si>
  <si>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</si>
  <si>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</si>
  <si>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</si>
  <si>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</si>
  <si>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</si>
  <si>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</si>
  <si>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</si>
  <si>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</si>
  <si>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</si>
  <si>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</si>
  <si>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</si>
  <si>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</si>
  <si>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</si>
  <si>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</si>
  <si>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</si>
  <si>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</si>
  <si>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</si>
  <si>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</si>
  <si>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</si>
  <si>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</si>
  <si>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</si>
  <si>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</si>
  <si>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</si>
  <si>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</si>
  <si>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</si>
  <si>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</si>
  <si>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</si>
  <si>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</si>
  <si>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</si>
  <si>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</si>
  <si>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</si>
  <si>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</si>
  <si>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</si>
  <si>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</si>
  <si>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</si>
  <si>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</si>
  <si>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</si>
  <si>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</si>
  <si>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</si>
  <si>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</si>
  <si>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</si>
  <si>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</si>
  <si>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</si>
  <si>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</si>
  <si>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</si>
  <si>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</si>
  <si>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</si>
  <si>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</si>
  <si>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</si>
  <si>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</si>
  <si>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</si>
  <si>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</si>
  <si>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</si>
  <si>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</si>
  <si>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</si>
  <si>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</si>
  <si>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</si>
  <si>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</si>
  <si>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</si>
  <si>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</si>
  <si>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</si>
  <si>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</si>
  <si>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</si>
  <si>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</si>
  <si>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</si>
  <si>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</si>
  <si>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</si>
  <si>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</si>
  <si>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</si>
  <si>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</si>
  <si>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</si>
  <si>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</si>
  <si>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</si>
  <si>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</si>
  <si>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</si>
  <si>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</si>
  <si>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</si>
  <si>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</si>
  <si>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</si>
  <si>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</si>
  <si>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</si>
  <si>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</si>
  <si>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</si>
  <si>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</si>
  <si>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</si>
  <si>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</si>
  <si>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</si>
  <si>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</si>
  <si>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</si>
  <si>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</si>
  <si>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</si>
  <si>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</si>
  <si>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</si>
  <si>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</si>
  <si>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</si>
  <si>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</si>
  <si>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</si>
  <si>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</si>
  <si>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</si>
  <si>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</si>
  <si>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</si>
  <si>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</si>
  <si>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</si>
  <si>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</si>
  <si>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</si>
  <si>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</si>
  <si>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</si>
  <si>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</si>
  <si>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</si>
  <si>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</si>
  <si>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</si>
  <si>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</si>
  <si>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</si>
  <si>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</si>
  <si>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</si>
  <si>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</si>
  <si>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</si>
  <si>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</si>
  <si>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</si>
  <si>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</si>
  <si>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</si>
  <si>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</si>
  <si>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</si>
  <si>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</si>
  <si>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</si>
  <si>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</si>
  <si>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</si>
  <si>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</si>
  <si>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</si>
  <si>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</si>
  <si>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</si>
  <si>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</si>
  <si>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</si>
  <si>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</si>
  <si>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</si>
  <si>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</si>
  <si>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</si>
  <si>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</si>
  <si>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</si>
  <si>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</si>
  <si>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</si>
  <si>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</si>
  <si>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</si>
  <si>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</si>
  <si>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</si>
  <si>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</si>
  <si>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</si>
  <si>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</si>
  <si>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</si>
  <si>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</si>
  <si>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</si>
  <si>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</si>
  <si>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</si>
  <si>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</si>
  <si>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</si>
  <si>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</si>
  <si>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</si>
  <si>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</si>
  <si>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</si>
  <si>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</si>
  <si>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</si>
  <si>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</si>
  <si>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</si>
  <si>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</si>
  <si>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</si>
  <si>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</si>
  <si>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</si>
  <si>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</si>
  <si>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</si>
  <si>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</si>
  <si>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</si>
  <si>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</si>
  <si>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</si>
  <si>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</si>
  <si>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</si>
  <si>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</si>
  <si>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</si>
  <si>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</si>
  <si>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</si>
  <si>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</si>
  <si>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</si>
  <si>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</si>
  <si>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</si>
  <si>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</si>
  <si>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</si>
  <si>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</si>
  <si>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</si>
  <si>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</si>
  <si>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</si>
  <si>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</si>
  <si>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</si>
  <si>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</si>
  <si>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</si>
  <si>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</si>
  <si>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</si>
  <si>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</si>
  <si>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</si>
  <si>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</si>
  <si>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</si>
  <si>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</si>
  <si>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</si>
  <si>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</si>
  <si>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</si>
  <si>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</si>
  <si>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</si>
  <si>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</si>
  <si>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</si>
  <si>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</si>
  <si>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</si>
  <si>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</si>
  <si>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</si>
  <si>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</si>
  <si>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</si>
  <si>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</si>
  <si>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</si>
  <si>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</si>
  <si>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</si>
  <si>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</si>
  <si>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</si>
  <si>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</si>
  <si>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</si>
  <si>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</si>
  <si>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</si>
  <si>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</si>
  <si>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</si>
  <si>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</si>
  <si>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</si>
  <si>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</si>
  <si>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</si>
  <si>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</si>
  <si>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</si>
  <si>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</si>
  <si>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</si>
  <si>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</si>
  <si>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</si>
  <si>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</si>
  <si>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</si>
  <si>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</si>
  <si>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</si>
  <si>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</si>
  <si>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</si>
  <si>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</si>
  <si>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</si>
  <si>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</si>
  <si>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</si>
  <si>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</si>
  <si>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</si>
  <si>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</si>
  <si>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</si>
  <si>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</si>
  <si>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</si>
  <si>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</si>
  <si>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</si>
  <si>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</si>
  <si>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</si>
  <si>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</si>
  <si>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</si>
  <si>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</si>
  <si>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</si>
  <si>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</si>
  <si>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</si>
  <si>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</si>
  <si>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</si>
  <si>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</si>
  <si>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</si>
  <si>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</si>
  <si>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</si>
  <si>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</si>
  <si>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</si>
  <si>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</si>
  <si>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</si>
  <si>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</si>
  <si>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</si>
  <si>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</si>
  <si>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</si>
  <si>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</si>
  <si>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</si>
  <si>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</si>
  <si>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</si>
  <si>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</si>
  <si>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</si>
  <si>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</si>
  <si>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</si>
  <si>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</si>
  <si>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</si>
  <si>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</si>
  <si>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</si>
  <si>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</si>
  <si>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</si>
  <si>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</si>
  <si>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</si>
  <si>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</si>
  <si>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</si>
  <si>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</si>
  <si>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</si>
  <si>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</si>
  <si>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</si>
  <si>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</si>
  <si>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</si>
  <si>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</si>
  <si>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</si>
  <si>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</si>
  <si>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</si>
  <si>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</si>
  <si>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</si>
  <si>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</si>
  <si>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</si>
  <si>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</si>
  <si>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</si>
  <si>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</si>
  <si>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</si>
  <si>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</si>
  <si>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</si>
  <si>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</si>
  <si>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</si>
  <si>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</si>
  <si>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</si>
  <si>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</si>
  <si>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</si>
  <si>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</si>
  <si>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20231116 11:33:18</t>
  </si>
  <si>
    <t>11:33:18</t>
  </si>
  <si>
    <t>none</t>
  </si>
  <si>
    <t>wt</t>
  </si>
  <si>
    <t>6</t>
  </si>
  <si>
    <t>MPF-279-20231102-15_16_57</t>
  </si>
  <si>
    <t>MPF-316-20231116-11_32_35</t>
  </si>
  <si>
    <t>DARK-317-20231116-11_32_42</t>
  </si>
  <si>
    <t>0: Broadleaf</t>
  </si>
  <si>
    <t>11:32:49</t>
  </si>
  <si>
    <t>2/2</t>
  </si>
  <si>
    <t>11111111</t>
  </si>
  <si>
    <t>oooooooo</t>
  </si>
  <si>
    <t>off</t>
  </si>
  <si>
    <t>20231116 11:34:58</t>
  </si>
  <si>
    <t>11:34:58</t>
  </si>
  <si>
    <t>-</t>
  </si>
  <si>
    <t>11:35:24</t>
  </si>
  <si>
    <t>1/2</t>
  </si>
  <si>
    <t>20231116 11:37:49</t>
  </si>
  <si>
    <t>11:37:49</t>
  </si>
  <si>
    <t>MPF-318-20231116-11_37_06</t>
  </si>
  <si>
    <t>DARK-319-20231116-11_37_13</t>
  </si>
  <si>
    <t>11:37:27</t>
  </si>
  <si>
    <t>20231116 11:40:19</t>
  </si>
  <si>
    <t>11:40:19</t>
  </si>
  <si>
    <t>11:39:40</t>
  </si>
  <si>
    <t>20231116 11:43:13</t>
  </si>
  <si>
    <t>11:43:13</t>
  </si>
  <si>
    <t>MPF-320-20231116-11_42_30</t>
  </si>
  <si>
    <t>DARK-321-20231116-11_42_37</t>
  </si>
  <si>
    <t>11:41:44</t>
  </si>
  <si>
    <t>20231116 11:45:53</t>
  </si>
  <si>
    <t>11:45:53</t>
  </si>
  <si>
    <t>11:44:53</t>
  </si>
  <si>
    <t>20231116 11:48:02</t>
  </si>
  <si>
    <t>11:48:02</t>
  </si>
  <si>
    <t>MPF-322-20231116-11_47_19</t>
  </si>
  <si>
    <t>DARK-323-20231116-11_47_26</t>
  </si>
  <si>
    <t>11:47:26</t>
  </si>
  <si>
    <t>20231116 11:50:19</t>
  </si>
  <si>
    <t>11:50:19</t>
  </si>
  <si>
    <t>11:49:38</t>
  </si>
  <si>
    <t>20231116 11:54:17</t>
  </si>
  <si>
    <t>11:54:17</t>
  </si>
  <si>
    <t>MPF-324-20231116-11_53_34</t>
  </si>
  <si>
    <t>DARK-325-20231116-11_53_41</t>
  </si>
  <si>
    <t>11:51:53</t>
  </si>
  <si>
    <t>20231116 11:57:26</t>
  </si>
  <si>
    <t>11:57:26</t>
  </si>
  <si>
    <t>MPF-326-20231116-11_56_43</t>
  </si>
  <si>
    <t>DARK-327-20231116-11_56_50</t>
  </si>
  <si>
    <t>11:55:54</t>
  </si>
  <si>
    <t>20231116 11:59:50</t>
  </si>
  <si>
    <t>11:59:50</t>
  </si>
  <si>
    <t>11:59:06</t>
  </si>
  <si>
    <t>20231116 12:01:58</t>
  </si>
  <si>
    <t>12:01:58</t>
  </si>
  <si>
    <t>MPF-328-20231116-12_01_15</t>
  </si>
  <si>
    <t>DARK-329-20231116-12_01_22</t>
  </si>
  <si>
    <t>12:01:13</t>
  </si>
  <si>
    <t>20231116 12:04:18</t>
  </si>
  <si>
    <t>12:04:18</t>
  </si>
  <si>
    <t>12:03:31</t>
  </si>
  <si>
    <t>20231116 12:06:14</t>
  </si>
  <si>
    <t>12:06:14</t>
  </si>
  <si>
    <t>MPF-330-20231116-12_05_31</t>
  </si>
  <si>
    <t>DARK-331-20231116-12_05_38</t>
  </si>
  <si>
    <t>12:05:32</t>
  </si>
  <si>
    <t>20231116 12:33:13</t>
  </si>
  <si>
    <t>12:33:13</t>
  </si>
  <si>
    <t>9</t>
  </si>
  <si>
    <t>3</t>
  </si>
  <si>
    <t>MPF-332-20231116-12_32_30</t>
  </si>
  <si>
    <t>DARK-333-20231116-12_32_38</t>
  </si>
  <si>
    <t>12:32:30</t>
  </si>
  <si>
    <t>20231116 12:35:33</t>
  </si>
  <si>
    <t>12:35:33</t>
  </si>
  <si>
    <t>12:36:03</t>
  </si>
  <si>
    <t>20231116 12:39:22</t>
  </si>
  <si>
    <t>12:39:22</t>
  </si>
  <si>
    <t>MPF-334-20231116-12_38_39</t>
  </si>
  <si>
    <t>DARK-335-20231116-12_38_46</t>
  </si>
  <si>
    <t>12:38:45</t>
  </si>
  <si>
    <t>20231116 12:42:42</t>
  </si>
  <si>
    <t>12:42:42</t>
  </si>
  <si>
    <t>MPF-336-20231116-12_41_59</t>
  </si>
  <si>
    <t>DARK-337-20231116-12_42_07</t>
  </si>
  <si>
    <t>12:41:22</t>
  </si>
  <si>
    <t>20231116 12:47:52</t>
  </si>
  <si>
    <t>12:47:52</t>
  </si>
  <si>
    <t>MPF-338-20231116-12_47_09</t>
  </si>
  <si>
    <t>DARK-339-20231116-12_47_16</t>
  </si>
  <si>
    <t>12:44:49</t>
  </si>
  <si>
    <t>20231116 12:49:45</t>
  </si>
  <si>
    <t>12:49:45</t>
  </si>
  <si>
    <t>12:49:22</t>
  </si>
  <si>
    <t>20231116 12:51:46</t>
  </si>
  <si>
    <t>12:51:46</t>
  </si>
  <si>
    <t>MPF-340-20231116-12_51_03</t>
  </si>
  <si>
    <t>DARK-341-20231116-12_51_10</t>
  </si>
  <si>
    <t>12:51:10</t>
  </si>
  <si>
    <t>20231116 12:53:26</t>
  </si>
  <si>
    <t>12:53:26</t>
  </si>
  <si>
    <t>12:53:50</t>
  </si>
  <si>
    <t>20231116 12:58:51</t>
  </si>
  <si>
    <t>12:58:51</t>
  </si>
  <si>
    <t>MPF-342-20231116-12_58_08</t>
  </si>
  <si>
    <t>DARK-343-20231116-12_58_16</t>
  </si>
  <si>
    <t>12:55:28</t>
  </si>
  <si>
    <t>0/2</t>
  </si>
  <si>
    <t>20231116 13:01:11</t>
  </si>
  <si>
    <t>13:01:11</t>
  </si>
  <si>
    <t>13:00:31</t>
  </si>
  <si>
    <t>20231116 13:03:30</t>
  </si>
  <si>
    <t>13:03:30</t>
  </si>
  <si>
    <t>MPF-344-20231116-13_02_47</t>
  </si>
  <si>
    <t>DARK-345-20231116-13_02_54</t>
  </si>
  <si>
    <t>13:02:45</t>
  </si>
  <si>
    <t>20231116 13:05:53</t>
  </si>
  <si>
    <t>13:05:53</t>
  </si>
  <si>
    <t>13:05:11</t>
  </si>
  <si>
    <t>20231116 13:08:04</t>
  </si>
  <si>
    <t>13:08:04</t>
  </si>
  <si>
    <t>MPF-346-20231116-13_07_21</t>
  </si>
  <si>
    <t>DARK-347-20231116-13_07_28</t>
  </si>
  <si>
    <t>13:07:17</t>
  </si>
  <si>
    <t>20231116 13:10:05</t>
  </si>
  <si>
    <t>13:10:05</t>
  </si>
  <si>
    <t>13:09:27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</si>
</sst>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44"/>
  <sheetViews>
    <sheetView tabSelected="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1700155998.5999999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1700155998.5999999</v>
      </c>
      <c r="J17">
        <f t="shared" ref="J17:J44" si="0">(K17)/1000</f>
        <v>3.7115821150424211E-3</v>
      </c>
      <c r="K17">
        <f t="shared" ref="K17:K44" si="1">1000*DK17*AI17*(DG17-DH17)/(100*CZ17*(1000-AI17*DG17))</f>
        <v>3.7115821150424209</v>
      </c>
      <c r="L17">
        <f t="shared" ref="L17:L44" si="2">DK17*AI17*(DF17-DE17*(1000-AI17*DH17)/(1000-AI17*DG17))/(100*CZ17)</f>
        <v>47.668704300707226</v>
      </c>
      <c r="M17">
        <f t="shared" ref="M17:M44" si="3">DE17 - IF(AI17&gt;1, L17*CZ17*100/(AK17*DS17), 0)</f>
        <v>400.86799999999999</v>
      </c>
      <c r="N17">
        <f t="shared" ref="N17:N44" si="4">((T17-J17/2)*M17-L17)/(T17+J17/2)</f>
        <v>70.41600240495454</v>
      </c>
      <c r="O17">
        <f t="shared" ref="O17:O44" si="5">N17*(DL17+DM17)/1000</f>
        <v>6.9978465814075115</v>
      </c>
      <c r="P17">
        <f t="shared" ref="P17:P44" si="6">(DE17 - IF(AI17&gt;1, L17*CZ17*100/(AK17*DS17), 0))*(DL17+DM17)/1000</f>
        <v>39.837716819867204</v>
      </c>
      <c r="Q17">
        <f t="shared" ref="Q17:Q44" si="7">2/((1/S17-1/R17)+SIGN(S17)*SQRT((1/S17-1/R17)*(1/S17-1/R17) + 4*DA17/((DA17+1)*(DA17+1))*(2*1/S17*1/R17-1/R17*1/R17)))</f>
        <v>0.2437149162092061</v>
      </c>
      <c r="R17">
        <f t="shared" ref="R17:R44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3.1319389157490423</v>
      </c>
      <c r="S17">
        <f t="shared" ref="S17:S44" si="9">J17*(1000-(1000*0.61365*EXP(17.502*W17/(240.97+W17))/(DL17+DM17)+DG17)/2)/(1000*0.61365*EXP(17.502*W17/(240.97+W17))/(DL17+DM17)-DG17)</f>
        <v>0.23364782862281724</v>
      </c>
      <c r="T17">
        <f t="shared" ref="T17:T44" si="10">1/((DA17+1)/(Q17/1.6)+1/(R17/1.37)) + DA17/((DA17+1)/(Q17/1.6) + DA17/(R17/1.37))</f>
        <v>0.14689972913225011</v>
      </c>
      <c r="U17">
        <f t="shared" ref="U17:U44" si="11">(CV17*CY17)</f>
        <v>344.34531181141188</v>
      </c>
      <c r="V17">
        <f t="shared" ref="V17:V44" si="12">(DN17+(U17+2*0.95*0.0000000567*(((DN17+$B$7)+273)^4-(DN17+273)^4)-44100*J17)/(1.84*29.3*R17+8*0.95*0.0000000567*(DN17+273)^3))</f>
        <v>30.740218919209134</v>
      </c>
      <c r="W17">
        <f t="shared" ref="W17:W44" si="13">($C$7*DO17+$D$7*DP17+$E$7*V17)</f>
        <v>30</v>
      </c>
      <c r="X17">
        <f t="shared" ref="X17:X44" si="14">0.61365*EXP(17.502*W17/(240.97+W17))</f>
        <v>4.2604497724219392</v>
      </c>
      <c r="Y17">
        <f t="shared" ref="Y17:Y44" si="15">(Z17/AA17*100)</f>
        <v>65.214518996376583</v>
      </c>
      <c r="Z17">
        <f t="shared" ref="Z17:Z44" si="16">DG17*(DL17+DM17)/1000</f>
        <v>2.7373647740899196</v>
      </c>
      <c r="AA17">
        <f t="shared" ref="AA17:AA44" si="17">0.61365*EXP(17.502*DN17/(240.97+DN17))</f>
        <v>4.1974775191426499</v>
      </c>
      <c r="AB17">
        <f t="shared" ref="AB17:AB44" si="18">(X17-DG17*(DL17+DM17)/1000)</f>
        <v>1.5230849983320196</v>
      </c>
      <c r="AC17">
        <f t="shared" ref="AC17:AC44" si="19">(-J17*44100)</f>
        <v>-163.68077127337077</v>
      </c>
      <c r="AD17">
        <f t="shared" ref="AD17:AD44" si="20">2*29.3*R17*0.92*(DN17-W17)</f>
        <v>-43.731914523898411</v>
      </c>
      <c r="AE17">
        <f t="shared" ref="AE17:AE44" si="21">2*0.95*0.0000000567*(((DN17+$B$7)+273)^4-(W17+273)^4)</f>
        <v>-3.100754753887176</v>
      </c>
      <c r="AF17">
        <f t="shared" ref="AF17:AF44" si="22">U17+AE17+AC17+AD17</f>
        <v>133.8318712602555</v>
      </c>
      <c r="AG17">
        <v>5</v>
      </c>
      <c r="AH17">
        <v>1</v>
      </c>
      <c r="AI17">
        <f t="shared" ref="AI17:AI44" si="23">IF(AG17*$H$13&gt;=AK17,1,(AK17/(AK17-AG17*$H$13)))</f>
        <v>1</v>
      </c>
      <c r="AJ17">
        <f t="shared" ref="AJ17:AJ44" si="24">(AI17-1)*100</f>
        <v>0</v>
      </c>
      <c r="AK17">
        <f t="shared" ref="AK17:AK44" si="25">MAX(0,($B$13+$C$13*DS17)/(1+$D$13*DS17)*DL17/(DN17+273)*$E$13)</f>
        <v>52060.884202989029</v>
      </c>
      <c r="AL17" t="s">
        <v>415</v>
      </c>
      <c r="AM17">
        <v>7163.32</v>
      </c>
      <c r="AN17">
        <v>295.04692307692312</v>
      </c>
      <c r="AO17">
        <v>723.15082041179414</v>
      </c>
      <c r="AP17">
        <f t="shared" ref="AP17:AP44" si="26">1-AN17/AO17</f>
        <v>0.59199808013920208</v>
      </c>
      <c r="AQ17">
        <v>-3.795255127542589</v>
      </c>
      <c r="AR17" t="s">
        <v>416</v>
      </c>
      <c r="AS17">
        <v>7236.18</v>
      </c>
      <c r="AT17">
        <v>617.72048000000007</v>
      </c>
      <c r="AU17">
        <v>891.4132298141933</v>
      </c>
      <c r="AV17">
        <f t="shared" ref="AV17:AV44" si="27">1-AT17/AU17</f>
        <v>0.30703240726104308</v>
      </c>
      <c r="AW17">
        <v>0.5</v>
      </c>
      <c r="AX17">
        <f t="shared" ref="AX17:AX44" si="28">CW17</f>
        <v>1513.0758059057057</v>
      </c>
      <c r="AY17">
        <f t="shared" ref="AY17:AY44" si="29">L17</f>
        <v>47.668704300707226</v>
      </c>
      <c r="AZ17">
        <f t="shared" ref="AZ17:AZ44" si="30">AV17*AW17*AX17</f>
        <v>232.2816535278358</v>
      </c>
      <c r="BA17">
        <f t="shared" ref="BA17:BA44" si="31">(AY17-AQ17)/AX17</f>
        <v>3.4012809686983413E-2</v>
      </c>
      <c r="BB17">
        <f t="shared" ref="BB17:BB44" si="32">(AO17-AU17)/AU17</f>
        <v>-0.18875915655578937</v>
      </c>
      <c r="BC17">
        <f t="shared" ref="BC17:BC44" si="33">AN17/(AP17+AN17/AU17)</f>
        <v>319.66568776689246</v>
      </c>
      <c r="BD17" t="s">
        <v>417</v>
      </c>
      <c r="BE17">
        <v>448.09</v>
      </c>
      <c r="BF17">
        <f t="shared" ref="BF17:BF44" si="34">IF(BE17&lt;&gt;0, BE17, BC17)</f>
        <v>448.09</v>
      </c>
      <c r="BG17">
        <f t="shared" ref="BG17:BG44" si="35">1-BF17/AU17</f>
        <v>0.49732628481024443</v>
      </c>
      <c r="BH17">
        <f t="shared" ref="BH17:BH44" si="36">(AU17-AT17)/(AU17-BF17)</f>
        <v>0.61736613695813769</v>
      </c>
      <c r="BI17">
        <f t="shared" ref="BI17:BI44" si="37">(AO17-AU17)/(AO17-BF17)</f>
        <v>-0.6117280140097493</v>
      </c>
      <c r="BJ17">
        <f t="shared" ref="BJ17:BJ44" si="38">(AU17-AT17)/(AU17-AN17)</f>
        <v>0.45893395841151852</v>
      </c>
      <c r="BK17">
        <f t="shared" ref="BK17:BK44" si="39">(AO17-AU17)/(AO17-AN17)</f>
        <v>-0.3930410595416306</v>
      </c>
      <c r="BL17">
        <f t="shared" ref="BL17:BL44" si="40">(BH17*BF17/AT17)</f>
        <v>0.44783296210216611</v>
      </c>
      <c r="BM17">
        <f t="shared" ref="BM17:BM44" si="41">(1-BL17)</f>
        <v>0.55216703789783383</v>
      </c>
      <c r="BN17">
        <v>316</v>
      </c>
      <c r="BO17">
        <v>290.00000000000011</v>
      </c>
      <c r="BP17">
        <v>816.02</v>
      </c>
      <c r="BQ17">
        <v>295</v>
      </c>
      <c r="BR17">
        <v>7236.18</v>
      </c>
      <c r="BS17">
        <v>817.49</v>
      </c>
      <c r="BT17">
        <v>-1.47</v>
      </c>
      <c r="BU17">
        <v>300.00000000000011</v>
      </c>
      <c r="BV17">
        <v>38.1</v>
      </c>
      <c r="BW17">
        <v>891.4132298141933</v>
      </c>
      <c r="BX17">
        <v>1.6112379909275221</v>
      </c>
      <c r="BY17">
        <v>-53.493214934473357</v>
      </c>
      <c r="BZ17">
        <v>0.97736564522758629</v>
      </c>
      <c r="CA17">
        <v>0.99073950395379462</v>
      </c>
      <c r="CB17">
        <v>-7.1360647385984464E-3</v>
      </c>
      <c r="CC17">
        <v>289.99999999999989</v>
      </c>
      <c r="CD17">
        <v>825.09</v>
      </c>
      <c r="CE17">
        <v>775</v>
      </c>
      <c r="CF17">
        <v>7230.75</v>
      </c>
      <c r="CG17">
        <v>817.43</v>
      </c>
      <c r="CH17">
        <v>7.66</v>
      </c>
      <c r="CV17">
        <f t="shared" ref="CV17:CV44" si="42">$B$11*DT17+$C$11*DU17+$F$11*EF17*(1-EI17)</f>
        <v>1799.87</v>
      </c>
      <c r="CW17">
        <f t="shared" ref="CW17:CW44" si="43">CV17*CX17</f>
        <v>1513.0758059057057</v>
      </c>
      <c r="CX17">
        <f t="shared" ref="CX17:CX44" si="44">($B$11*$D$9+$C$11*$D$9+$F$11*((ES17+EK17)/MAX(ES17+EK17+ET17, 0.1)*$I$9+ET17/MAX(ES17+EK17+ET17, 0.1)*$J$9))/($B$11+$C$11+$F$11)</f>
        <v>0.84065838416424843</v>
      </c>
      <c r="CY17">
        <f t="shared" ref="CY17:CY44" si="45">($B$11*$K$9+$C$11*$K$9+$F$11*((ES17+EK17)/MAX(ES17+EK17+ET17, 0.1)*$P$9+ET17/MAX(ES17+EK17+ET17, 0.1)*$Q$9))/($B$11+$C$11+$F$11)</f>
        <v>0.19131676832849701</v>
      </c>
      <c r="CZ17">
        <v>5</v>
      </c>
      <c r="DA17">
        <v>0.5</v>
      </c>
      <c r="DB17" t="s">
        <v>418</v>
      </c>
      <c r="DC17">
        <v>2</v>
      </c>
      <c r="DD17">
        <v>1700155998.5999999</v>
      </c>
      <c r="DE17">
        <v>400.86799999999999</v>
      </c>
      <c r="DF17">
        <v>450.02800000000002</v>
      </c>
      <c r="DG17">
        <v>27.544799999999999</v>
      </c>
      <c r="DH17">
        <v>23.935199999999998</v>
      </c>
      <c r="DI17">
        <v>402.17399999999998</v>
      </c>
      <c r="DJ17">
        <v>29.506</v>
      </c>
      <c r="DK17">
        <v>499.96499999999997</v>
      </c>
      <c r="DL17">
        <v>99.278700000000001</v>
      </c>
      <c r="DM17">
        <v>9.9940399999999999E-2</v>
      </c>
      <c r="DN17">
        <v>29.741</v>
      </c>
      <c r="DO17">
        <v>30</v>
      </c>
      <c r="DP17">
        <v>999.9</v>
      </c>
      <c r="DQ17">
        <v>0</v>
      </c>
      <c r="DR17">
        <v>0</v>
      </c>
      <c r="DS17">
        <v>10008.1</v>
      </c>
      <c r="DT17">
        <v>0</v>
      </c>
      <c r="DU17">
        <v>148.55699999999999</v>
      </c>
      <c r="DV17">
        <v>-49.1601</v>
      </c>
      <c r="DW17">
        <v>412.22300000000001</v>
      </c>
      <c r="DX17">
        <v>461.06400000000002</v>
      </c>
      <c r="DY17">
        <v>3.6096499999999998</v>
      </c>
      <c r="DZ17">
        <v>450.02800000000002</v>
      </c>
      <c r="EA17">
        <v>23.935199999999998</v>
      </c>
      <c r="EB17">
        <v>2.7346200000000001</v>
      </c>
      <c r="EC17">
        <v>2.3762500000000002</v>
      </c>
      <c r="ED17">
        <v>22.494599999999998</v>
      </c>
      <c r="EE17">
        <v>20.2029</v>
      </c>
      <c r="EF17">
        <v>1799.87</v>
      </c>
      <c r="EG17">
        <v>0.97799000000000003</v>
      </c>
      <c r="EH17">
        <v>2.20098E-2</v>
      </c>
      <c r="EI17">
        <v>0</v>
      </c>
      <c r="EJ17">
        <v>617.95299999999997</v>
      </c>
      <c r="EK17">
        <v>5.0010300000000001</v>
      </c>
      <c r="EL17">
        <v>11337.6</v>
      </c>
      <c r="EM17">
        <v>14700</v>
      </c>
      <c r="EN17">
        <v>46.686999999999998</v>
      </c>
      <c r="EO17">
        <v>48.686999999999998</v>
      </c>
      <c r="EP17">
        <v>48.061999999999998</v>
      </c>
      <c r="EQ17">
        <v>47.5</v>
      </c>
      <c r="ER17">
        <v>48.311999999999998</v>
      </c>
      <c r="ES17">
        <v>1755.36</v>
      </c>
      <c r="ET17">
        <v>39.5</v>
      </c>
      <c r="EU17">
        <v>0</v>
      </c>
      <c r="EV17">
        <v>1700155996.5</v>
      </c>
      <c r="EW17">
        <v>0</v>
      </c>
      <c r="EX17">
        <v>617.72048000000007</v>
      </c>
      <c r="EY17">
        <v>-0.72869231528337752</v>
      </c>
      <c r="EZ17">
        <v>10.66923074204907</v>
      </c>
      <c r="FA17">
        <v>11336.888000000001</v>
      </c>
      <c r="FB17">
        <v>15</v>
      </c>
      <c r="FC17">
        <v>1700155969.5999999</v>
      </c>
      <c r="FD17" t="s">
        <v>419</v>
      </c>
      <c r="FE17">
        <v>1700155969.5999999</v>
      </c>
      <c r="FF17">
        <v>1700155969.5999999</v>
      </c>
      <c r="FG17">
        <v>3</v>
      </c>
      <c r="FH17">
        <v>0.05</v>
      </c>
      <c r="FI17">
        <v>1E-3</v>
      </c>
      <c r="FJ17">
        <v>-1.2749999999999999</v>
      </c>
      <c r="FK17">
        <v>-1.9610000000000001</v>
      </c>
      <c r="FL17">
        <v>450</v>
      </c>
      <c r="FM17">
        <v>24</v>
      </c>
      <c r="FN17">
        <v>7.0000000000000007E-2</v>
      </c>
      <c r="FO17">
        <v>0.02</v>
      </c>
      <c r="FP17">
        <v>47.558397745102653</v>
      </c>
      <c r="FQ17">
        <v>0.35586291930649627</v>
      </c>
      <c r="FR17">
        <v>3.522858886873885E-2</v>
      </c>
      <c r="FS17">
        <v>1</v>
      </c>
      <c r="FT17">
        <v>0.24878601203725739</v>
      </c>
      <c r="FU17">
        <v>5.5230440509808996E-3</v>
      </c>
      <c r="FV17">
        <v>3.5787905030362529E-3</v>
      </c>
      <c r="FW17">
        <v>1</v>
      </c>
      <c r="FX17">
        <v>2</v>
      </c>
      <c r="FY17">
        <v>2</v>
      </c>
      <c r="FZ17" t="s">
        <v>420</v>
      </c>
      <c r="GA17">
        <v>2.89459</v>
      </c>
      <c r="GB17">
        <v>2.8180200000000002</v>
      </c>
      <c r="GC17">
        <v>9.0276599999999999E-2</v>
      </c>
      <c r="GD17">
        <v>9.8294800000000002E-2</v>
      </c>
      <c r="GE17">
        <v>0.1371</v>
      </c>
      <c r="GF17">
        <v>0.11784500000000001</v>
      </c>
      <c r="GG17">
        <v>25133.3</v>
      </c>
      <c r="GH17">
        <v>24977.7</v>
      </c>
      <c r="GI17">
        <v>24525.9</v>
      </c>
      <c r="GJ17">
        <v>24756.6</v>
      </c>
      <c r="GK17">
        <v>28165.200000000001</v>
      </c>
      <c r="GL17">
        <v>28359.4</v>
      </c>
      <c r="GM17">
        <v>33212.800000000003</v>
      </c>
      <c r="GN17">
        <v>33073</v>
      </c>
      <c r="GO17">
        <v>1.9007000000000001</v>
      </c>
      <c r="GP17">
        <v>2.49207</v>
      </c>
      <c r="GQ17">
        <v>5.5246099999999999E-2</v>
      </c>
      <c r="GR17">
        <v>0</v>
      </c>
      <c r="GS17">
        <v>29.100200000000001</v>
      </c>
      <c r="GT17">
        <v>999.9</v>
      </c>
      <c r="GU17">
        <v>39.799999999999997</v>
      </c>
      <c r="GV17">
        <v>42.4</v>
      </c>
      <c r="GW17">
        <v>33.750100000000003</v>
      </c>
      <c r="GX17">
        <v>62.634599999999999</v>
      </c>
      <c r="GY17">
        <v>-5.5609000000000002</v>
      </c>
      <c r="GZ17">
        <v>3</v>
      </c>
      <c r="HA17">
        <v>0.74041199999999996</v>
      </c>
      <c r="HB17">
        <v>3.39771</v>
      </c>
      <c r="HC17">
        <v>20.1296</v>
      </c>
      <c r="HD17">
        <v>5.23421</v>
      </c>
      <c r="HE17">
        <v>11.925000000000001</v>
      </c>
      <c r="HF17">
        <v>4.9596499999999999</v>
      </c>
      <c r="HG17">
        <v>3.2887499999999998</v>
      </c>
      <c r="HH17">
        <v>9999</v>
      </c>
      <c r="HI17">
        <v>9999</v>
      </c>
      <c r="HJ17">
        <v>9999</v>
      </c>
      <c r="HK17">
        <v>999.9</v>
      </c>
      <c r="HL17">
        <v>1.8812</v>
      </c>
      <c r="HM17">
        <v>1.87836</v>
      </c>
      <c r="HN17">
        <v>1.88632</v>
      </c>
      <c r="HO17">
        <v>1.8840399999999999</v>
      </c>
      <c r="HP17">
        <v>1.88165</v>
      </c>
      <c r="HQ17">
        <v>1.8806499999999999</v>
      </c>
      <c r="HR17">
        <v>1.8817699999999999</v>
      </c>
      <c r="HS17">
        <v>1.8812800000000001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423</v>
      </c>
      <c r="IB17" t="s">
        <v>423</v>
      </c>
      <c r="IC17" t="s">
        <v>423</v>
      </c>
      <c r="ID17">
        <v>0</v>
      </c>
      <c r="IE17">
        <v>100</v>
      </c>
      <c r="IF17">
        <v>100</v>
      </c>
      <c r="IG17">
        <v>-1.306</v>
      </c>
      <c r="IH17">
        <v>-1.9612000000000001</v>
      </c>
      <c r="II17">
        <v>-1.601655898197206</v>
      </c>
      <c r="IJ17">
        <v>8.9935118796959448E-4</v>
      </c>
      <c r="IK17">
        <v>-5.3495398746875769E-7</v>
      </c>
      <c r="IL17">
        <v>3.209454383910538E-10</v>
      </c>
      <c r="IM17">
        <v>-1.961155000000002</v>
      </c>
      <c r="IN17">
        <v>0</v>
      </c>
      <c r="IO17">
        <v>0</v>
      </c>
      <c r="IP17">
        <v>0</v>
      </c>
      <c r="IQ17">
        <v>1</v>
      </c>
      <c r="IR17">
        <v>2101</v>
      </c>
      <c r="IS17">
        <v>1</v>
      </c>
      <c r="IT17">
        <v>21</v>
      </c>
      <c r="IU17">
        <v>0.5</v>
      </c>
      <c r="IV17">
        <v>0.5</v>
      </c>
      <c r="IW17">
        <v>1.7053199999999999</v>
      </c>
      <c r="IX17">
        <v>2.50366</v>
      </c>
      <c r="IY17">
        <v>2.34375</v>
      </c>
      <c r="IZ17">
        <v>2.9150399999999999</v>
      </c>
      <c r="JA17">
        <v>3.0480999999999998</v>
      </c>
      <c r="JB17">
        <v>2.4011200000000001</v>
      </c>
      <c r="JC17">
        <v>46.473500000000001</v>
      </c>
      <c r="JD17">
        <v>23.903600000000001</v>
      </c>
      <c r="JE17">
        <v>18</v>
      </c>
      <c r="JF17">
        <v>482.35300000000001</v>
      </c>
      <c r="JG17">
        <v>1183.78</v>
      </c>
      <c r="JH17">
        <v>25.225300000000001</v>
      </c>
      <c r="JI17">
        <v>36.169499999999999</v>
      </c>
      <c r="JJ17">
        <v>29.998999999999999</v>
      </c>
      <c r="JK17">
        <v>36.187600000000003</v>
      </c>
      <c r="JL17">
        <v>36.173299999999998</v>
      </c>
      <c r="JM17">
        <v>34.231400000000001</v>
      </c>
      <c r="JN17">
        <v>22.991700000000002</v>
      </c>
      <c r="JO17">
        <v>61.063099999999999</v>
      </c>
      <c r="JP17">
        <v>25.267199999999999</v>
      </c>
      <c r="JQ17">
        <v>450</v>
      </c>
      <c r="JR17">
        <v>23.9328</v>
      </c>
      <c r="JS17">
        <v>99.069500000000005</v>
      </c>
      <c r="JT17">
        <v>98.698499999999996</v>
      </c>
    </row>
    <row r="18" spans="1:280" x14ac:dyDescent="0.25">
      <c r="A18">
        <v>2</v>
      </c>
      <c r="B18">
        <v>1700156098.0999999</v>
      </c>
      <c r="C18">
        <v>99.5</v>
      </c>
      <c r="D18" t="s">
        <v>424</v>
      </c>
      <c r="E18" t="s">
        <v>425</v>
      </c>
      <c r="F18" t="s">
        <v>412</v>
      </c>
      <c r="G18" t="s">
        <v>413</v>
      </c>
      <c r="H18" t="s">
        <v>414</v>
      </c>
      <c r="I18">
        <v>1700156098.0999999</v>
      </c>
      <c r="J18">
        <f t="shared" si="0"/>
        <v>3.5014672976894905E-3</v>
      </c>
      <c r="K18">
        <f t="shared" si="1"/>
        <v>3.5014672976894907</v>
      </c>
      <c r="L18">
        <f t="shared" si="2"/>
        <v>56.31769261786576</v>
      </c>
      <c r="M18">
        <f t="shared" si="3"/>
        <v>1237.569</v>
      </c>
      <c r="N18">
        <f t="shared" si="4"/>
        <v>796.92514511980698</v>
      </c>
      <c r="O18">
        <f t="shared" si="5"/>
        <v>79.198119763994072</v>
      </c>
      <c r="P18">
        <f t="shared" si="6"/>
        <v>122.98913954267488</v>
      </c>
      <c r="Q18">
        <f t="shared" si="7"/>
        <v>0.22482968905975409</v>
      </c>
      <c r="R18">
        <f t="shared" si="8"/>
        <v>3.1323335657159035</v>
      </c>
      <c r="S18">
        <f t="shared" si="9"/>
        <v>0.21623377637957386</v>
      </c>
      <c r="T18">
        <f t="shared" si="10"/>
        <v>0.13589103606672404</v>
      </c>
      <c r="U18">
        <f t="shared" si="11"/>
        <v>344.38399864458103</v>
      </c>
      <c r="V18">
        <f t="shared" si="12"/>
        <v>30.842123144684248</v>
      </c>
      <c r="W18">
        <f t="shared" si="13"/>
        <v>30.019300000000001</v>
      </c>
      <c r="X18">
        <f t="shared" si="14"/>
        <v>4.2651750877035708</v>
      </c>
      <c r="Y18">
        <f t="shared" si="15"/>
        <v>64.432320133242627</v>
      </c>
      <c r="Z18">
        <f t="shared" si="16"/>
        <v>2.71241771578635</v>
      </c>
      <c r="AA18">
        <f t="shared" si="17"/>
        <v>4.2097160402996723</v>
      </c>
      <c r="AB18">
        <f t="shared" si="18"/>
        <v>1.5527573719172207</v>
      </c>
      <c r="AC18">
        <f t="shared" si="19"/>
        <v>-154.41470782810654</v>
      </c>
      <c r="AD18">
        <f t="shared" si="20"/>
        <v>-38.451782610273597</v>
      </c>
      <c r="AE18">
        <f t="shared" si="21"/>
        <v>-2.726974051078936</v>
      </c>
      <c r="AF18">
        <f t="shared" si="22"/>
        <v>148.79053415512197</v>
      </c>
      <c r="AG18">
        <v>4</v>
      </c>
      <c r="AH18">
        <v>1</v>
      </c>
      <c r="AI18">
        <f t="shared" si="23"/>
        <v>1</v>
      </c>
      <c r="AJ18">
        <f t="shared" si="24"/>
        <v>0</v>
      </c>
      <c r="AK18">
        <f t="shared" si="25"/>
        <v>52062.236883421378</v>
      </c>
      <c r="AL18" t="s">
        <v>426</v>
      </c>
      <c r="AM18" t="s">
        <v>426</v>
      </c>
      <c r="AN18">
        <v>0</v>
      </c>
      <c r="AO18">
        <v>0</v>
      </c>
      <c r="AP18" t="e">
        <f t="shared" si="26"/>
        <v>#DIV/0!</v>
      </c>
      <c r="AQ18">
        <v>0</v>
      </c>
      <c r="AR18" t="s">
        <v>426</v>
      </c>
      <c r="AS18" t="s">
        <v>426</v>
      </c>
      <c r="AT18">
        <v>0</v>
      </c>
      <c r="AU18">
        <v>0</v>
      </c>
      <c r="AV18" t="e">
        <f t="shared" si="27"/>
        <v>#DIV/0!</v>
      </c>
      <c r="AW18">
        <v>0.5</v>
      </c>
      <c r="AX18">
        <f t="shared" si="28"/>
        <v>1513.2515993222905</v>
      </c>
      <c r="AY18">
        <f t="shared" si="29"/>
        <v>56.31769261786576</v>
      </c>
      <c r="AZ18" t="e">
        <f t="shared" si="30"/>
        <v>#DIV/0!</v>
      </c>
      <c r="BA18">
        <f t="shared" si="31"/>
        <v>3.7216344356145153E-2</v>
      </c>
      <c r="BB18" t="e">
        <f t="shared" si="32"/>
        <v>#DIV/0!</v>
      </c>
      <c r="BC18" t="e">
        <f t="shared" si="33"/>
        <v>#DIV/0!</v>
      </c>
      <c r="BD18" t="s">
        <v>426</v>
      </c>
      <c r="BE18">
        <v>0</v>
      </c>
      <c r="BF18" t="e">
        <f t="shared" si="34"/>
        <v>#DIV/0!</v>
      </c>
      <c r="BG18" t="e">
        <f t="shared" si="35"/>
        <v>#DIV/0!</v>
      </c>
      <c r="BH18" t="e">
        <f t="shared" si="36"/>
        <v>#DIV/0!</v>
      </c>
      <c r="BI18" t="e">
        <f t="shared" si="37"/>
        <v>#DIV/0!</v>
      </c>
      <c r="BJ18" t="e">
        <f t="shared" si="38"/>
        <v>#DIV/0!</v>
      </c>
      <c r="BK18" t="e">
        <f t="shared" si="39"/>
        <v>#DIV/0!</v>
      </c>
      <c r="BL18" t="e">
        <f t="shared" si="40"/>
        <v>#DIV/0!</v>
      </c>
      <c r="BM18" t="e">
        <f t="shared" si="41"/>
        <v>#DIV/0!</v>
      </c>
      <c r="BN18">
        <v>316</v>
      </c>
      <c r="BO18">
        <v>290.00000000000011</v>
      </c>
      <c r="BP18">
        <v>816.02</v>
      </c>
      <c r="BQ18">
        <v>295</v>
      </c>
      <c r="BR18">
        <v>7236.18</v>
      </c>
      <c r="BS18">
        <v>817.49</v>
      </c>
      <c r="BT18">
        <v>-1.47</v>
      </c>
      <c r="BU18">
        <v>300.00000000000011</v>
      </c>
      <c r="BV18">
        <v>38.1</v>
      </c>
      <c r="BW18">
        <v>891.4132298141933</v>
      </c>
      <c r="BX18">
        <v>1.6112379909275221</v>
      </c>
      <c r="BY18">
        <v>-53.493214934473357</v>
      </c>
      <c r="BZ18">
        <v>0.97736564522758629</v>
      </c>
      <c r="CA18">
        <v>0.99073950395379462</v>
      </c>
      <c r="CB18">
        <v>-7.1360647385984464E-3</v>
      </c>
      <c r="CC18">
        <v>289.99999999999989</v>
      </c>
      <c r="CD18">
        <v>825.09</v>
      </c>
      <c r="CE18">
        <v>775</v>
      </c>
      <c r="CF18">
        <v>7230.75</v>
      </c>
      <c r="CG18">
        <v>817.43</v>
      </c>
      <c r="CH18">
        <v>7.66</v>
      </c>
      <c r="CV18">
        <f t="shared" si="42"/>
        <v>1800.08</v>
      </c>
      <c r="CW18">
        <f t="shared" si="43"/>
        <v>1513.2515993222905</v>
      </c>
      <c r="CX18">
        <f t="shared" si="44"/>
        <v>0.84065797038036671</v>
      </c>
      <c r="CY18">
        <f t="shared" si="45"/>
        <v>0.19131594076073344</v>
      </c>
      <c r="CZ18">
        <v>5</v>
      </c>
      <c r="DA18">
        <v>0.5</v>
      </c>
      <c r="DB18" t="s">
        <v>418</v>
      </c>
      <c r="DC18">
        <v>2</v>
      </c>
      <c r="DD18">
        <v>1700156098.0999999</v>
      </c>
      <c r="DE18">
        <v>1237.569</v>
      </c>
      <c r="DF18">
        <v>1298.22</v>
      </c>
      <c r="DG18">
        <v>27.293500000000002</v>
      </c>
      <c r="DH18">
        <v>23.887599999999999</v>
      </c>
      <c r="DI18">
        <v>1239.04</v>
      </c>
      <c r="DJ18">
        <v>29.2485</v>
      </c>
      <c r="DK18">
        <v>500</v>
      </c>
      <c r="DL18">
        <v>99.279799999999994</v>
      </c>
      <c r="DM18">
        <v>9.9822099999999997E-2</v>
      </c>
      <c r="DN18">
        <v>29.791599999999999</v>
      </c>
      <c r="DO18">
        <v>30.019300000000001</v>
      </c>
      <c r="DP18">
        <v>999.9</v>
      </c>
      <c r="DQ18">
        <v>0</v>
      </c>
      <c r="DR18">
        <v>0</v>
      </c>
      <c r="DS18">
        <v>10010</v>
      </c>
      <c r="DT18">
        <v>0</v>
      </c>
      <c r="DU18">
        <v>138.84299999999999</v>
      </c>
      <c r="DV18">
        <v>-59.879300000000001</v>
      </c>
      <c r="DW18">
        <v>1273.08</v>
      </c>
      <c r="DX18">
        <v>1329.99</v>
      </c>
      <c r="DY18">
        <v>3.39968</v>
      </c>
      <c r="DZ18">
        <v>1298.22</v>
      </c>
      <c r="EA18">
        <v>23.887599999999999</v>
      </c>
      <c r="EB18">
        <v>2.7090800000000002</v>
      </c>
      <c r="EC18">
        <v>2.3715600000000001</v>
      </c>
      <c r="ED18">
        <v>22.340299999999999</v>
      </c>
      <c r="EE18">
        <v>20.1709</v>
      </c>
      <c r="EF18">
        <v>1800.08</v>
      </c>
      <c r="EG18">
        <v>0.97800900000000002</v>
      </c>
      <c r="EH18">
        <v>2.1991E-2</v>
      </c>
      <c r="EI18">
        <v>0</v>
      </c>
      <c r="EJ18">
        <v>610.91499999999996</v>
      </c>
      <c r="EK18">
        <v>5.0010300000000001</v>
      </c>
      <c r="EL18">
        <v>11183.7</v>
      </c>
      <c r="EM18">
        <v>14701.8</v>
      </c>
      <c r="EN18">
        <v>46.561999999999998</v>
      </c>
      <c r="EO18">
        <v>48.5</v>
      </c>
      <c r="EP18">
        <v>47.936999999999998</v>
      </c>
      <c r="EQ18">
        <v>47.311999999999998</v>
      </c>
      <c r="ER18">
        <v>48.186999999999998</v>
      </c>
      <c r="ES18">
        <v>1755.6</v>
      </c>
      <c r="ET18">
        <v>39.479999999999997</v>
      </c>
      <c r="EU18">
        <v>0</v>
      </c>
      <c r="EV18">
        <v>97.799999952316284</v>
      </c>
      <c r="EW18">
        <v>0</v>
      </c>
      <c r="EX18">
        <v>611.29103846153839</v>
      </c>
      <c r="EY18">
        <v>-5.0771624069105323</v>
      </c>
      <c r="EZ18">
        <v>-32.512820629682388</v>
      </c>
      <c r="FA18">
        <v>11185.7</v>
      </c>
      <c r="FB18">
        <v>15</v>
      </c>
      <c r="FC18">
        <v>1700156124.0999999</v>
      </c>
      <c r="FD18" t="s">
        <v>427</v>
      </c>
      <c r="FE18">
        <v>1700156124.0999999</v>
      </c>
      <c r="FF18">
        <v>1700156119.5999999</v>
      </c>
      <c r="FG18">
        <v>4</v>
      </c>
      <c r="FH18">
        <v>-0.84</v>
      </c>
      <c r="FI18">
        <v>6.0000000000000001E-3</v>
      </c>
      <c r="FJ18">
        <v>-1.4710000000000001</v>
      </c>
      <c r="FK18">
        <v>-1.9550000000000001</v>
      </c>
      <c r="FL18">
        <v>1298</v>
      </c>
      <c r="FM18">
        <v>24</v>
      </c>
      <c r="FN18">
        <v>7.0000000000000007E-2</v>
      </c>
      <c r="FO18">
        <v>0.03</v>
      </c>
      <c r="FP18">
        <v>55.558541815332219</v>
      </c>
      <c r="FQ18">
        <v>-0.49328555545840408</v>
      </c>
      <c r="FR18">
        <v>4.9978155474533638E-2</v>
      </c>
      <c r="FS18">
        <v>1</v>
      </c>
      <c r="FT18">
        <v>0.23115846548633309</v>
      </c>
      <c r="FU18">
        <v>-5.0883194052240857E-2</v>
      </c>
      <c r="FV18">
        <v>3.7998045909285461E-3</v>
      </c>
      <c r="FW18">
        <v>0</v>
      </c>
      <c r="FX18">
        <v>1</v>
      </c>
      <c r="FY18">
        <v>2</v>
      </c>
      <c r="FZ18" t="s">
        <v>428</v>
      </c>
      <c r="GA18">
        <v>2.8949500000000001</v>
      </c>
      <c r="GB18">
        <v>2.8179099999999999</v>
      </c>
      <c r="GC18">
        <v>0.19511300000000001</v>
      </c>
      <c r="GD18">
        <v>0.20064599999999999</v>
      </c>
      <c r="GE18">
        <v>0.13632</v>
      </c>
      <c r="GF18">
        <v>0.117713</v>
      </c>
      <c r="GG18">
        <v>22239.9</v>
      </c>
      <c r="GH18">
        <v>22143.7</v>
      </c>
      <c r="GI18">
        <v>24532.400000000001</v>
      </c>
      <c r="GJ18">
        <v>24761.1</v>
      </c>
      <c r="GK18">
        <v>28197.3</v>
      </c>
      <c r="GL18">
        <v>28367.9</v>
      </c>
      <c r="GM18">
        <v>33221.300000000003</v>
      </c>
      <c r="GN18">
        <v>33078.300000000003</v>
      </c>
      <c r="GO18">
        <v>1.9029</v>
      </c>
      <c r="GP18">
        <v>2.4959199999999999</v>
      </c>
      <c r="GQ18">
        <v>5.5305699999999999E-2</v>
      </c>
      <c r="GR18">
        <v>0</v>
      </c>
      <c r="GS18">
        <v>29.118600000000001</v>
      </c>
      <c r="GT18">
        <v>999.9</v>
      </c>
      <c r="GU18">
        <v>38.799999999999997</v>
      </c>
      <c r="GV18">
        <v>42.4</v>
      </c>
      <c r="GW18">
        <v>32.898099999999999</v>
      </c>
      <c r="GX18">
        <v>62.624600000000001</v>
      </c>
      <c r="GY18">
        <v>-5.7492000000000001</v>
      </c>
      <c r="GZ18">
        <v>3</v>
      </c>
      <c r="HA18">
        <v>0.72609500000000005</v>
      </c>
      <c r="HB18">
        <v>2.9103500000000002</v>
      </c>
      <c r="HC18">
        <v>20.138999999999999</v>
      </c>
      <c r="HD18">
        <v>5.2346599999999999</v>
      </c>
      <c r="HE18">
        <v>11.921099999999999</v>
      </c>
      <c r="HF18">
        <v>4.9597499999999997</v>
      </c>
      <c r="HG18">
        <v>3.2889300000000001</v>
      </c>
      <c r="HH18">
        <v>9999</v>
      </c>
      <c r="HI18">
        <v>9999</v>
      </c>
      <c r="HJ18">
        <v>9999</v>
      </c>
      <c r="HK18">
        <v>999.9</v>
      </c>
      <c r="HL18">
        <v>1.8811599999999999</v>
      </c>
      <c r="HM18">
        <v>1.8783799999999999</v>
      </c>
      <c r="HN18">
        <v>1.8863000000000001</v>
      </c>
      <c r="HO18">
        <v>1.8840399999999999</v>
      </c>
      <c r="HP18">
        <v>1.8815999999999999</v>
      </c>
      <c r="HQ18">
        <v>1.88063</v>
      </c>
      <c r="HR18">
        <v>1.88174</v>
      </c>
      <c r="HS18">
        <v>1.8812599999999999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423</v>
      </c>
      <c r="IB18" t="s">
        <v>423</v>
      </c>
      <c r="IC18" t="s">
        <v>423</v>
      </c>
      <c r="ID18">
        <v>0</v>
      </c>
      <c r="IE18">
        <v>100</v>
      </c>
      <c r="IF18">
        <v>100</v>
      </c>
      <c r="IG18">
        <v>-1.4710000000000001</v>
      </c>
      <c r="IH18">
        <v>-1.9550000000000001</v>
      </c>
      <c r="II18">
        <v>-1.601655898197206</v>
      </c>
      <c r="IJ18">
        <v>8.9935118796959448E-4</v>
      </c>
      <c r="IK18">
        <v>-5.3495398746875769E-7</v>
      </c>
      <c r="IL18">
        <v>3.209454383910538E-10</v>
      </c>
      <c r="IM18">
        <v>-1.961155000000002</v>
      </c>
      <c r="IN18">
        <v>0</v>
      </c>
      <c r="IO18">
        <v>0</v>
      </c>
      <c r="IP18">
        <v>0</v>
      </c>
      <c r="IQ18">
        <v>1</v>
      </c>
      <c r="IR18">
        <v>2101</v>
      </c>
      <c r="IS18">
        <v>1</v>
      </c>
      <c r="IT18">
        <v>21</v>
      </c>
      <c r="IU18">
        <v>2.1</v>
      </c>
      <c r="IV18">
        <v>2.1</v>
      </c>
      <c r="IW18">
        <v>3.91479</v>
      </c>
      <c r="IX18">
        <v>2.4414100000000002E-3</v>
      </c>
      <c r="IY18">
        <v>2.34375</v>
      </c>
      <c r="IZ18">
        <v>2.9150399999999999</v>
      </c>
      <c r="JA18">
        <v>3.0480999999999998</v>
      </c>
      <c r="JB18">
        <v>2.3901400000000002</v>
      </c>
      <c r="JC18">
        <v>46.444200000000002</v>
      </c>
      <c r="JD18">
        <v>23.912400000000002</v>
      </c>
      <c r="JE18">
        <v>18</v>
      </c>
      <c r="JF18">
        <v>482.97399999999999</v>
      </c>
      <c r="JG18">
        <v>1187.3399999999999</v>
      </c>
      <c r="JH18">
        <v>25.5641</v>
      </c>
      <c r="JI18">
        <v>36.0441</v>
      </c>
      <c r="JJ18">
        <v>29.999700000000001</v>
      </c>
      <c r="JK18">
        <v>36.072400000000002</v>
      </c>
      <c r="JL18">
        <v>36.0685</v>
      </c>
      <c r="JM18">
        <v>100</v>
      </c>
      <c r="JN18">
        <v>19.889399999999998</v>
      </c>
      <c r="JO18">
        <v>57.656700000000001</v>
      </c>
      <c r="JP18">
        <v>25.555099999999999</v>
      </c>
      <c r="JQ18">
        <v>1500</v>
      </c>
      <c r="JR18">
        <v>24.037600000000001</v>
      </c>
      <c r="JS18">
        <v>99.095299999999995</v>
      </c>
      <c r="JT18">
        <v>98.715199999999996</v>
      </c>
    </row>
    <row r="19" spans="1:280" x14ac:dyDescent="0.25">
      <c r="A19">
        <v>3</v>
      </c>
      <c r="B19">
        <v>1700156269.5999999</v>
      </c>
      <c r="C19">
        <v>271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1700156269.5999999</v>
      </c>
      <c r="J19">
        <f t="shared" si="0"/>
        <v>2.269434225124432E-3</v>
      </c>
      <c r="K19">
        <f t="shared" si="1"/>
        <v>2.2694342251244319</v>
      </c>
      <c r="L19">
        <f t="shared" si="2"/>
        <v>53.148459123094483</v>
      </c>
      <c r="M19">
        <f t="shared" si="3"/>
        <v>1194.1199999999999</v>
      </c>
      <c r="N19">
        <f t="shared" si="4"/>
        <v>567.14677676347321</v>
      </c>
      <c r="O19">
        <f t="shared" si="5"/>
        <v>56.355241884385535</v>
      </c>
      <c r="P19">
        <f t="shared" si="6"/>
        <v>118.65521271761999</v>
      </c>
      <c r="Q19">
        <f t="shared" si="7"/>
        <v>0.14380046127665408</v>
      </c>
      <c r="R19">
        <f t="shared" si="8"/>
        <v>3.1319486930968572</v>
      </c>
      <c r="S19">
        <f t="shared" si="9"/>
        <v>0.14023063840498767</v>
      </c>
      <c r="T19">
        <f t="shared" si="10"/>
        <v>8.7957502219629891E-2</v>
      </c>
      <c r="U19">
        <f t="shared" si="11"/>
        <v>344.36689864451318</v>
      </c>
      <c r="V19">
        <f t="shared" si="12"/>
        <v>30.960003006701957</v>
      </c>
      <c r="W19">
        <f t="shared" si="13"/>
        <v>30.040600000000001</v>
      </c>
      <c r="X19">
        <f t="shared" si="14"/>
        <v>4.270395374241744</v>
      </c>
      <c r="Y19">
        <f t="shared" si="15"/>
        <v>65.268322039495644</v>
      </c>
      <c r="Z19">
        <f t="shared" si="16"/>
        <v>2.7188490812131496</v>
      </c>
      <c r="AA19">
        <f t="shared" si="17"/>
        <v>4.16564881132979</v>
      </c>
      <c r="AB19">
        <f t="shared" si="18"/>
        <v>1.5515462930285944</v>
      </c>
      <c r="AC19">
        <f t="shared" si="19"/>
        <v>-100.08204932798745</v>
      </c>
      <c r="AD19">
        <f t="shared" si="20"/>
        <v>-72.909265027458716</v>
      </c>
      <c r="AE19">
        <f t="shared" si="21"/>
        <v>-5.1671776955117288</v>
      </c>
      <c r="AF19">
        <f t="shared" si="22"/>
        <v>166.20840659355531</v>
      </c>
      <c r="AG19">
        <v>5</v>
      </c>
      <c r="AH19">
        <v>1</v>
      </c>
      <c r="AI19">
        <f t="shared" si="23"/>
        <v>1</v>
      </c>
      <c r="AJ19">
        <f t="shared" si="24"/>
        <v>0</v>
      </c>
      <c r="AK19">
        <f t="shared" si="25"/>
        <v>52083.609246931752</v>
      </c>
      <c r="AL19" t="s">
        <v>415</v>
      </c>
      <c r="AM19">
        <v>7163.32</v>
      </c>
      <c r="AN19">
        <v>295.04692307692312</v>
      </c>
      <c r="AO19">
        <v>723.15082041179414</v>
      </c>
      <c r="AP19">
        <f t="shared" si="26"/>
        <v>0.59199808013920208</v>
      </c>
      <c r="AQ19">
        <v>-3.795255127542589</v>
      </c>
      <c r="AR19" t="s">
        <v>431</v>
      </c>
      <c r="AS19">
        <v>7238.22</v>
      </c>
      <c r="AT19">
        <v>612.51339999999993</v>
      </c>
      <c r="AU19">
        <v>932.81257437415525</v>
      </c>
      <c r="AV19">
        <f t="shared" si="27"/>
        <v>0.34336927178436805</v>
      </c>
      <c r="AW19">
        <v>0.5</v>
      </c>
      <c r="AX19">
        <f t="shared" si="28"/>
        <v>1513.1759993222565</v>
      </c>
      <c r="AY19">
        <f t="shared" si="29"/>
        <v>53.148459123094483</v>
      </c>
      <c r="AZ19">
        <f t="shared" si="30"/>
        <v>259.7890704844333</v>
      </c>
      <c r="BA19">
        <f t="shared" si="31"/>
        <v>3.7631917421464427E-2</v>
      </c>
      <c r="BB19">
        <f t="shared" si="32"/>
        <v>-0.22476300140253561</v>
      </c>
      <c r="BC19">
        <f t="shared" si="33"/>
        <v>324.83555729436495</v>
      </c>
      <c r="BD19" t="s">
        <v>432</v>
      </c>
      <c r="BE19">
        <v>452.64</v>
      </c>
      <c r="BF19">
        <f t="shared" si="34"/>
        <v>452.64</v>
      </c>
      <c r="BG19">
        <f t="shared" si="35"/>
        <v>0.51475782763360978</v>
      </c>
      <c r="BH19">
        <f t="shared" si="36"/>
        <v>0.66705012211833448</v>
      </c>
      <c r="BI19">
        <f t="shared" si="37"/>
        <v>-0.77505865992050327</v>
      </c>
      <c r="BJ19">
        <f t="shared" si="38"/>
        <v>0.50222079806690489</v>
      </c>
      <c r="BK19">
        <f t="shared" si="39"/>
        <v>-0.48974502513897855</v>
      </c>
      <c r="BL19">
        <f t="shared" si="40"/>
        <v>0.49294197853572341</v>
      </c>
      <c r="BM19">
        <f t="shared" si="41"/>
        <v>0.50705802146427659</v>
      </c>
      <c r="BN19">
        <v>318</v>
      </c>
      <c r="BO19">
        <v>290.00000000000011</v>
      </c>
      <c r="BP19">
        <v>839.69</v>
      </c>
      <c r="BQ19">
        <v>295</v>
      </c>
      <c r="BR19">
        <v>7238.22</v>
      </c>
      <c r="BS19">
        <v>841.57</v>
      </c>
      <c r="BT19">
        <v>-1.88</v>
      </c>
      <c r="BU19">
        <v>300.00000000000011</v>
      </c>
      <c r="BV19">
        <v>38</v>
      </c>
      <c r="BW19">
        <v>932.81257437415525</v>
      </c>
      <c r="BX19">
        <v>1.422194848087176</v>
      </c>
      <c r="BY19">
        <v>-66.042438783398239</v>
      </c>
      <c r="BZ19">
        <v>0.86293618046780018</v>
      </c>
      <c r="CA19">
        <v>0.9952422895841162</v>
      </c>
      <c r="CB19">
        <v>-7.138131479421576E-3</v>
      </c>
      <c r="CC19">
        <v>289.99999999999989</v>
      </c>
      <c r="CD19">
        <v>848.63</v>
      </c>
      <c r="CE19">
        <v>885</v>
      </c>
      <c r="CF19">
        <v>7231.21</v>
      </c>
      <c r="CG19">
        <v>841.48</v>
      </c>
      <c r="CH19">
        <v>7.15</v>
      </c>
      <c r="CV19">
        <f t="shared" si="42"/>
        <v>1799.99</v>
      </c>
      <c r="CW19">
        <f t="shared" si="43"/>
        <v>1513.1759993222565</v>
      </c>
      <c r="CX19">
        <f t="shared" si="44"/>
        <v>0.8406580032790496</v>
      </c>
      <c r="CY19">
        <f t="shared" si="45"/>
        <v>0.19131600655809933</v>
      </c>
      <c r="CZ19">
        <v>5</v>
      </c>
      <c r="DA19">
        <v>0.5</v>
      </c>
      <c r="DB19" t="s">
        <v>418</v>
      </c>
      <c r="DC19">
        <v>2</v>
      </c>
      <c r="DD19">
        <v>1700156269.5999999</v>
      </c>
      <c r="DE19">
        <v>1194.1199999999999</v>
      </c>
      <c r="DF19">
        <v>1249.98</v>
      </c>
      <c r="DG19">
        <v>27.361899999999999</v>
      </c>
      <c r="DH19">
        <v>25.154499999999999</v>
      </c>
      <c r="DI19">
        <v>1195.6600000000001</v>
      </c>
      <c r="DJ19">
        <v>29.319199999999999</v>
      </c>
      <c r="DK19">
        <v>499.98599999999999</v>
      </c>
      <c r="DL19">
        <v>99.266300000000001</v>
      </c>
      <c r="DM19">
        <v>9.99385E-2</v>
      </c>
      <c r="DN19">
        <v>29.608799999999999</v>
      </c>
      <c r="DO19">
        <v>30.040600000000001</v>
      </c>
      <c r="DP19">
        <v>999.9</v>
      </c>
      <c r="DQ19">
        <v>0</v>
      </c>
      <c r="DR19">
        <v>0</v>
      </c>
      <c r="DS19">
        <v>10009.4</v>
      </c>
      <c r="DT19">
        <v>0</v>
      </c>
      <c r="DU19">
        <v>157.89699999999999</v>
      </c>
      <c r="DV19">
        <v>-55.863199999999999</v>
      </c>
      <c r="DW19">
        <v>1227.71</v>
      </c>
      <c r="DX19">
        <v>1282.23</v>
      </c>
      <c r="DY19">
        <v>2.2073399999999999</v>
      </c>
      <c r="DZ19">
        <v>1249.98</v>
      </c>
      <c r="EA19">
        <v>25.154499999999999</v>
      </c>
      <c r="EB19">
        <v>2.71611</v>
      </c>
      <c r="EC19">
        <v>2.4969999999999999</v>
      </c>
      <c r="ED19">
        <v>22.382899999999999</v>
      </c>
      <c r="EE19">
        <v>21.006900000000002</v>
      </c>
      <c r="EF19">
        <v>1799.99</v>
      </c>
      <c r="EG19">
        <v>0.97800500000000001</v>
      </c>
      <c r="EH19">
        <v>2.19946E-2</v>
      </c>
      <c r="EI19">
        <v>0</v>
      </c>
      <c r="EJ19">
        <v>612.48</v>
      </c>
      <c r="EK19">
        <v>5.0010300000000001</v>
      </c>
      <c r="EL19">
        <v>11234.2</v>
      </c>
      <c r="EM19">
        <v>14701.1</v>
      </c>
      <c r="EN19">
        <v>46.311999999999998</v>
      </c>
      <c r="EO19">
        <v>48.25</v>
      </c>
      <c r="EP19">
        <v>47.625</v>
      </c>
      <c r="EQ19">
        <v>47.061999999999998</v>
      </c>
      <c r="ER19">
        <v>47.875</v>
      </c>
      <c r="ES19">
        <v>1755.51</v>
      </c>
      <c r="ET19">
        <v>39.479999999999997</v>
      </c>
      <c r="EU19">
        <v>0</v>
      </c>
      <c r="EV19">
        <v>268.79999995231628</v>
      </c>
      <c r="EW19">
        <v>0</v>
      </c>
      <c r="EX19">
        <v>612.51339999999993</v>
      </c>
      <c r="EY19">
        <v>0.62715386710690335</v>
      </c>
      <c r="EZ19">
        <v>43.353846215434757</v>
      </c>
      <c r="FA19">
        <v>11229.092000000001</v>
      </c>
      <c r="FB19">
        <v>15</v>
      </c>
      <c r="FC19">
        <v>1700156247.5999999</v>
      </c>
      <c r="FD19" t="s">
        <v>433</v>
      </c>
      <c r="FE19">
        <v>1700156247.0999999</v>
      </c>
      <c r="FF19">
        <v>1700156247.5999999</v>
      </c>
      <c r="FG19">
        <v>5</v>
      </c>
      <c r="FH19">
        <v>3.5000000000000003E-2</v>
      </c>
      <c r="FI19">
        <v>-2E-3</v>
      </c>
      <c r="FJ19">
        <v>-1.4890000000000001</v>
      </c>
      <c r="FK19">
        <v>-1.9570000000000001</v>
      </c>
      <c r="FL19">
        <v>1250</v>
      </c>
      <c r="FM19">
        <v>25</v>
      </c>
      <c r="FN19">
        <v>0.09</v>
      </c>
      <c r="FO19">
        <v>7.0000000000000007E-2</v>
      </c>
      <c r="FP19">
        <v>53.287134922700169</v>
      </c>
      <c r="FQ19">
        <v>-0.34211648044992632</v>
      </c>
      <c r="FR19">
        <v>0.1570163071606363</v>
      </c>
      <c r="FS19">
        <v>1</v>
      </c>
      <c r="FT19">
        <v>0.14033148076680491</v>
      </c>
      <c r="FU19">
        <v>4.2849856853155253E-2</v>
      </c>
      <c r="FV19">
        <v>3.5772215506114239E-3</v>
      </c>
      <c r="FW19">
        <v>1</v>
      </c>
      <c r="FX19">
        <v>2</v>
      </c>
      <c r="FY19">
        <v>2</v>
      </c>
      <c r="FZ19" t="s">
        <v>420</v>
      </c>
      <c r="GA19">
        <v>2.8953899999999999</v>
      </c>
      <c r="GB19">
        <v>2.8180200000000002</v>
      </c>
      <c r="GC19">
        <v>0.19092999999999999</v>
      </c>
      <c r="GD19">
        <v>0.19614999999999999</v>
      </c>
      <c r="GE19">
        <v>0.13659099999999999</v>
      </c>
      <c r="GF19">
        <v>0.122001</v>
      </c>
      <c r="GG19">
        <v>22365.1</v>
      </c>
      <c r="GH19">
        <v>22275.599999999999</v>
      </c>
      <c r="GI19">
        <v>24542</v>
      </c>
      <c r="GJ19">
        <v>24767.8</v>
      </c>
      <c r="GK19">
        <v>28197.7</v>
      </c>
      <c r="GL19">
        <v>28236.2</v>
      </c>
      <c r="GM19">
        <v>33233.599999999999</v>
      </c>
      <c r="GN19">
        <v>33086.300000000003</v>
      </c>
      <c r="GO19">
        <v>1.9045700000000001</v>
      </c>
      <c r="GP19">
        <v>2.4981300000000002</v>
      </c>
      <c r="GQ19">
        <v>6.5550200000000003E-2</v>
      </c>
      <c r="GR19">
        <v>0</v>
      </c>
      <c r="GS19">
        <v>28.972999999999999</v>
      </c>
      <c r="GT19">
        <v>999.9</v>
      </c>
      <c r="GU19">
        <v>38.1</v>
      </c>
      <c r="GV19">
        <v>42.4</v>
      </c>
      <c r="GW19">
        <v>32.311700000000002</v>
      </c>
      <c r="GX19">
        <v>62.684600000000003</v>
      </c>
      <c r="GY19">
        <v>-5.7011200000000004</v>
      </c>
      <c r="GZ19">
        <v>3</v>
      </c>
      <c r="HA19">
        <v>0.70913599999999999</v>
      </c>
      <c r="HB19">
        <v>3.4111099999999999</v>
      </c>
      <c r="HC19">
        <v>20.130700000000001</v>
      </c>
      <c r="HD19">
        <v>5.2295699999999998</v>
      </c>
      <c r="HE19">
        <v>11.9213</v>
      </c>
      <c r="HF19">
        <v>4.9596</v>
      </c>
      <c r="HG19">
        <v>3.2889499999999998</v>
      </c>
      <c r="HH19">
        <v>9999</v>
      </c>
      <c r="HI19">
        <v>9999</v>
      </c>
      <c r="HJ19">
        <v>9999</v>
      </c>
      <c r="HK19">
        <v>999.9</v>
      </c>
      <c r="HL19">
        <v>1.8811800000000001</v>
      </c>
      <c r="HM19">
        <v>1.87836</v>
      </c>
      <c r="HN19">
        <v>1.88629</v>
      </c>
      <c r="HO19">
        <v>1.8840600000000001</v>
      </c>
      <c r="HP19">
        <v>1.88157</v>
      </c>
      <c r="HQ19">
        <v>1.8806499999999999</v>
      </c>
      <c r="HR19">
        <v>1.8817299999999999</v>
      </c>
      <c r="HS19">
        <v>1.8812800000000001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423</v>
      </c>
      <c r="IB19" t="s">
        <v>423</v>
      </c>
      <c r="IC19" t="s">
        <v>423</v>
      </c>
      <c r="ID19">
        <v>0</v>
      </c>
      <c r="IE19">
        <v>100</v>
      </c>
      <c r="IF19">
        <v>100</v>
      </c>
      <c r="IG19">
        <v>-1.54</v>
      </c>
      <c r="IH19">
        <v>-1.9573</v>
      </c>
      <c r="II19">
        <v>-2.4058359584791789</v>
      </c>
      <c r="IJ19">
        <v>8.9935118796959448E-4</v>
      </c>
      <c r="IK19">
        <v>-5.3495398746875769E-7</v>
      </c>
      <c r="IL19">
        <v>3.209454383910538E-10</v>
      </c>
      <c r="IM19">
        <v>-1.9573250000000011</v>
      </c>
      <c r="IN19">
        <v>0</v>
      </c>
      <c r="IO19">
        <v>0</v>
      </c>
      <c r="IP19">
        <v>0</v>
      </c>
      <c r="IQ19">
        <v>1</v>
      </c>
      <c r="IR19">
        <v>2101</v>
      </c>
      <c r="IS19">
        <v>1</v>
      </c>
      <c r="IT19">
        <v>21</v>
      </c>
      <c r="IU19">
        <v>0.4</v>
      </c>
      <c r="IV19">
        <v>0.4</v>
      </c>
      <c r="IW19">
        <v>3.8085900000000001</v>
      </c>
      <c r="IX19">
        <v>2.4487299999999999</v>
      </c>
      <c r="IY19">
        <v>2.34375</v>
      </c>
      <c r="IZ19">
        <v>2.9150399999999999</v>
      </c>
      <c r="JA19">
        <v>3.0480999999999998</v>
      </c>
      <c r="JB19">
        <v>2.3950200000000001</v>
      </c>
      <c r="JC19">
        <v>46.3566</v>
      </c>
      <c r="JD19">
        <v>23.903600000000001</v>
      </c>
      <c r="JE19">
        <v>18</v>
      </c>
      <c r="JF19">
        <v>482.48099999999999</v>
      </c>
      <c r="JG19">
        <v>1186.54</v>
      </c>
      <c r="JH19">
        <v>25.044499999999999</v>
      </c>
      <c r="JI19">
        <v>35.816099999999999</v>
      </c>
      <c r="JJ19">
        <v>29.9999</v>
      </c>
      <c r="JK19">
        <v>35.857500000000002</v>
      </c>
      <c r="JL19">
        <v>35.860599999999998</v>
      </c>
      <c r="JM19">
        <v>76.325100000000006</v>
      </c>
      <c r="JN19">
        <v>13.0731</v>
      </c>
      <c r="JO19">
        <v>55.394199999999998</v>
      </c>
      <c r="JP19">
        <v>25.0246</v>
      </c>
      <c r="JQ19">
        <v>1250</v>
      </c>
      <c r="JR19">
        <v>25.043299999999999</v>
      </c>
      <c r="JS19">
        <v>99.1327</v>
      </c>
      <c r="JT19">
        <v>98.740399999999994</v>
      </c>
    </row>
    <row r="20" spans="1:280" x14ac:dyDescent="0.25">
      <c r="A20">
        <v>4</v>
      </c>
      <c r="B20">
        <v>1700156419.0999999</v>
      </c>
      <c r="C20">
        <v>420.5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1700156419.0999999</v>
      </c>
      <c r="J20">
        <f t="shared" si="0"/>
        <v>2.4195326708918601E-3</v>
      </c>
      <c r="K20">
        <f t="shared" si="1"/>
        <v>2.4195326708918601</v>
      </c>
      <c r="L20">
        <f t="shared" si="2"/>
        <v>51.90265587257926</v>
      </c>
      <c r="M20">
        <f t="shared" si="3"/>
        <v>945.76300000000003</v>
      </c>
      <c r="N20">
        <f t="shared" si="4"/>
        <v>374.26757500236397</v>
      </c>
      <c r="O20">
        <f t="shared" si="5"/>
        <v>37.189190408468498</v>
      </c>
      <c r="P20">
        <f t="shared" si="6"/>
        <v>93.975975044224015</v>
      </c>
      <c r="Q20">
        <f t="shared" si="7"/>
        <v>0.15326437490063438</v>
      </c>
      <c r="R20">
        <f t="shared" si="8"/>
        <v>3.1294670977399219</v>
      </c>
      <c r="S20">
        <f t="shared" si="9"/>
        <v>0.14921321436141838</v>
      </c>
      <c r="T20">
        <f t="shared" si="10"/>
        <v>9.361332056892277E-2</v>
      </c>
      <c r="U20">
        <f t="shared" si="11"/>
        <v>344.39349864461872</v>
      </c>
      <c r="V20">
        <f t="shared" si="12"/>
        <v>30.798818908569778</v>
      </c>
      <c r="W20">
        <f t="shared" si="13"/>
        <v>29.9819</v>
      </c>
      <c r="X20">
        <f t="shared" si="14"/>
        <v>4.2560224054886646</v>
      </c>
      <c r="Y20">
        <f t="shared" si="15"/>
        <v>65.316350024137421</v>
      </c>
      <c r="Z20">
        <f t="shared" si="16"/>
        <v>2.7011945842560001</v>
      </c>
      <c r="AA20">
        <f t="shared" si="17"/>
        <v>4.1355565386886797</v>
      </c>
      <c r="AB20">
        <f t="shared" si="18"/>
        <v>1.5548278212326645</v>
      </c>
      <c r="AC20">
        <f t="shared" si="19"/>
        <v>-106.70139078633103</v>
      </c>
      <c r="AD20">
        <f t="shared" si="20"/>
        <v>-84.172327673486478</v>
      </c>
      <c r="AE20">
        <f t="shared" si="21"/>
        <v>-5.9646831283967883</v>
      </c>
      <c r="AF20">
        <f t="shared" si="22"/>
        <v>147.55509705640438</v>
      </c>
      <c r="AG20">
        <v>4</v>
      </c>
      <c r="AH20">
        <v>1</v>
      </c>
      <c r="AI20">
        <f t="shared" si="23"/>
        <v>1</v>
      </c>
      <c r="AJ20">
        <f t="shared" si="24"/>
        <v>0</v>
      </c>
      <c r="AK20">
        <f t="shared" si="25"/>
        <v>52042.133877326596</v>
      </c>
      <c r="AL20" t="s">
        <v>426</v>
      </c>
      <c r="AM20" t="s">
        <v>426</v>
      </c>
      <c r="AN20">
        <v>0</v>
      </c>
      <c r="AO20">
        <v>0</v>
      </c>
      <c r="AP20" t="e">
        <f t="shared" si="26"/>
        <v>#DIV/0!</v>
      </c>
      <c r="AQ20">
        <v>0</v>
      </c>
      <c r="AR20" t="s">
        <v>426</v>
      </c>
      <c r="AS20" t="s">
        <v>426</v>
      </c>
      <c r="AT20">
        <v>0</v>
      </c>
      <c r="AU20">
        <v>0</v>
      </c>
      <c r="AV20" t="e">
        <f t="shared" si="27"/>
        <v>#DIV/0!</v>
      </c>
      <c r="AW20">
        <v>0.5</v>
      </c>
      <c r="AX20">
        <f t="shared" si="28"/>
        <v>1513.2935993223093</v>
      </c>
      <c r="AY20">
        <f t="shared" si="29"/>
        <v>51.90265587257926</v>
      </c>
      <c r="AZ20" t="e">
        <f t="shared" si="30"/>
        <v>#DIV/0!</v>
      </c>
      <c r="BA20">
        <f t="shared" si="31"/>
        <v>3.4297809688630526E-2</v>
      </c>
      <c r="BB20" t="e">
        <f t="shared" si="32"/>
        <v>#DIV/0!</v>
      </c>
      <c r="BC20" t="e">
        <f t="shared" si="33"/>
        <v>#DIV/0!</v>
      </c>
      <c r="BD20" t="s">
        <v>426</v>
      </c>
      <c r="BE20">
        <v>0</v>
      </c>
      <c r="BF20" t="e">
        <f t="shared" si="34"/>
        <v>#DIV/0!</v>
      </c>
      <c r="BG20" t="e">
        <f t="shared" si="35"/>
        <v>#DIV/0!</v>
      </c>
      <c r="BH20" t="e">
        <f t="shared" si="36"/>
        <v>#DIV/0!</v>
      </c>
      <c r="BI20" t="e">
        <f t="shared" si="37"/>
        <v>#DIV/0!</v>
      </c>
      <c r="BJ20" t="e">
        <f t="shared" si="38"/>
        <v>#DIV/0!</v>
      </c>
      <c r="BK20" t="e">
        <f t="shared" si="39"/>
        <v>#DIV/0!</v>
      </c>
      <c r="BL20" t="e">
        <f t="shared" si="40"/>
        <v>#DIV/0!</v>
      </c>
      <c r="BM20" t="e">
        <f t="shared" si="41"/>
        <v>#DIV/0!</v>
      </c>
      <c r="BN20">
        <v>318</v>
      </c>
      <c r="BO20">
        <v>290.00000000000011</v>
      </c>
      <c r="BP20">
        <v>839.69</v>
      </c>
      <c r="BQ20">
        <v>295</v>
      </c>
      <c r="BR20">
        <v>7238.22</v>
      </c>
      <c r="BS20">
        <v>841.57</v>
      </c>
      <c r="BT20">
        <v>-1.88</v>
      </c>
      <c r="BU20">
        <v>300.00000000000011</v>
      </c>
      <c r="BV20">
        <v>38</v>
      </c>
      <c r="BW20">
        <v>932.81257437415525</v>
      </c>
      <c r="BX20">
        <v>1.422194848087176</v>
      </c>
      <c r="BY20">
        <v>-66.042438783398239</v>
      </c>
      <c r="BZ20">
        <v>0.86293618046780018</v>
      </c>
      <c r="CA20">
        <v>0.9952422895841162</v>
      </c>
      <c r="CB20">
        <v>-7.138131479421576E-3</v>
      </c>
      <c r="CC20">
        <v>289.99999999999989</v>
      </c>
      <c r="CD20">
        <v>848.63</v>
      </c>
      <c r="CE20">
        <v>885</v>
      </c>
      <c r="CF20">
        <v>7231.21</v>
      </c>
      <c r="CG20">
        <v>841.48</v>
      </c>
      <c r="CH20">
        <v>7.15</v>
      </c>
      <c r="CV20">
        <f t="shared" si="42"/>
        <v>1800.13</v>
      </c>
      <c r="CW20">
        <f t="shared" si="43"/>
        <v>1513.2935993223093</v>
      </c>
      <c r="CX20">
        <f t="shared" si="44"/>
        <v>0.84065795210474203</v>
      </c>
      <c r="CY20">
        <f t="shared" si="45"/>
        <v>0.19131590420948413</v>
      </c>
      <c r="CZ20">
        <v>5</v>
      </c>
      <c r="DA20">
        <v>0.5</v>
      </c>
      <c r="DB20" t="s">
        <v>418</v>
      </c>
      <c r="DC20">
        <v>2</v>
      </c>
      <c r="DD20">
        <v>1700156419.0999999</v>
      </c>
      <c r="DE20">
        <v>945.76300000000003</v>
      </c>
      <c r="DF20">
        <v>999.94799999999998</v>
      </c>
      <c r="DG20">
        <v>27.1845</v>
      </c>
      <c r="DH20">
        <v>24.831</v>
      </c>
      <c r="DI20">
        <v>947.25199999999995</v>
      </c>
      <c r="DJ20">
        <v>29.136700000000001</v>
      </c>
      <c r="DK20">
        <v>500.05500000000001</v>
      </c>
      <c r="DL20">
        <v>99.265100000000004</v>
      </c>
      <c r="DM20">
        <v>0.100148</v>
      </c>
      <c r="DN20">
        <v>29.483000000000001</v>
      </c>
      <c r="DO20">
        <v>29.9819</v>
      </c>
      <c r="DP20">
        <v>999.9</v>
      </c>
      <c r="DQ20">
        <v>0</v>
      </c>
      <c r="DR20">
        <v>0</v>
      </c>
      <c r="DS20">
        <v>9996.8799999999992</v>
      </c>
      <c r="DT20">
        <v>0</v>
      </c>
      <c r="DU20">
        <v>161.262</v>
      </c>
      <c r="DV20">
        <v>-54.185499999999998</v>
      </c>
      <c r="DW20">
        <v>972.19100000000003</v>
      </c>
      <c r="DX20">
        <v>1025.4100000000001</v>
      </c>
      <c r="DY20">
        <v>2.3534600000000001</v>
      </c>
      <c r="DZ20">
        <v>999.94799999999998</v>
      </c>
      <c r="EA20">
        <v>24.831</v>
      </c>
      <c r="EB20">
        <v>2.6984699999999999</v>
      </c>
      <c r="EC20">
        <v>2.4648500000000002</v>
      </c>
      <c r="ED20">
        <v>22.2758</v>
      </c>
      <c r="EE20">
        <v>20.796199999999999</v>
      </c>
      <c r="EF20">
        <v>1800.13</v>
      </c>
      <c r="EG20">
        <v>0.97800500000000001</v>
      </c>
      <c r="EH20">
        <v>2.19946E-2</v>
      </c>
      <c r="EI20">
        <v>0</v>
      </c>
      <c r="EJ20">
        <v>612.76599999999996</v>
      </c>
      <c r="EK20">
        <v>5.0010300000000001</v>
      </c>
      <c r="EL20">
        <v>11237.6</v>
      </c>
      <c r="EM20">
        <v>14702.2</v>
      </c>
      <c r="EN20">
        <v>46.186999999999998</v>
      </c>
      <c r="EO20">
        <v>48.125</v>
      </c>
      <c r="EP20">
        <v>47.5</v>
      </c>
      <c r="EQ20">
        <v>47</v>
      </c>
      <c r="ER20">
        <v>47.75</v>
      </c>
      <c r="ES20">
        <v>1755.65</v>
      </c>
      <c r="ET20">
        <v>39.479999999999997</v>
      </c>
      <c r="EU20">
        <v>0</v>
      </c>
      <c r="EV20">
        <v>147.60000014305109</v>
      </c>
      <c r="EW20">
        <v>0</v>
      </c>
      <c r="EX20">
        <v>612.7604399999999</v>
      </c>
      <c r="EY20">
        <v>-0.51307691627553254</v>
      </c>
      <c r="EZ20">
        <v>7.7230769416848108</v>
      </c>
      <c r="FA20">
        <v>11235.808000000001</v>
      </c>
      <c r="FB20">
        <v>15</v>
      </c>
      <c r="FC20">
        <v>1700156380.5999999</v>
      </c>
      <c r="FD20" t="s">
        <v>436</v>
      </c>
      <c r="FE20">
        <v>1700156380.5999999</v>
      </c>
      <c r="FF20">
        <v>1700156379.5999999</v>
      </c>
      <c r="FG20">
        <v>6</v>
      </c>
      <c r="FH20">
        <v>0.27300000000000002</v>
      </c>
      <c r="FI20">
        <v>5.0000000000000001E-3</v>
      </c>
      <c r="FJ20">
        <v>-1.448</v>
      </c>
      <c r="FK20">
        <v>-1.952</v>
      </c>
      <c r="FL20">
        <v>1000</v>
      </c>
      <c r="FM20">
        <v>25</v>
      </c>
      <c r="FN20">
        <v>0.1</v>
      </c>
      <c r="FO20">
        <v>0.04</v>
      </c>
      <c r="FP20">
        <v>51.841395753804697</v>
      </c>
      <c r="FQ20">
        <v>0.4855688627581719</v>
      </c>
      <c r="FR20">
        <v>4.6581123964837198E-2</v>
      </c>
      <c r="FS20">
        <v>1</v>
      </c>
      <c r="FT20">
        <v>0.15212145211730579</v>
      </c>
      <c r="FU20">
        <v>4.3598769513406042E-2</v>
      </c>
      <c r="FV20">
        <v>3.5566413668601578E-3</v>
      </c>
      <c r="FW20">
        <v>1</v>
      </c>
      <c r="FX20">
        <v>2</v>
      </c>
      <c r="FY20">
        <v>2</v>
      </c>
      <c r="FZ20" t="s">
        <v>420</v>
      </c>
      <c r="GA20">
        <v>2.8958699999999999</v>
      </c>
      <c r="GB20">
        <v>2.81813</v>
      </c>
      <c r="GC20">
        <v>0.16486700000000001</v>
      </c>
      <c r="GD20">
        <v>0.17063999999999999</v>
      </c>
      <c r="GE20">
        <v>0.13605500000000001</v>
      </c>
      <c r="GF20">
        <v>0.120965</v>
      </c>
      <c r="GG20">
        <v>23093.1</v>
      </c>
      <c r="GH20">
        <v>22988</v>
      </c>
      <c r="GI20">
        <v>24548</v>
      </c>
      <c r="GJ20">
        <v>24771.4</v>
      </c>
      <c r="GK20">
        <v>28221.3</v>
      </c>
      <c r="GL20">
        <v>28272.1</v>
      </c>
      <c r="GM20">
        <v>33241.599999999999</v>
      </c>
      <c r="GN20">
        <v>33089.800000000003</v>
      </c>
      <c r="GO20">
        <v>1.90663</v>
      </c>
      <c r="GP20">
        <v>2.50292</v>
      </c>
      <c r="GQ20">
        <v>6.3560900000000004E-2</v>
      </c>
      <c r="GR20">
        <v>0</v>
      </c>
      <c r="GS20">
        <v>28.9466</v>
      </c>
      <c r="GT20">
        <v>999.9</v>
      </c>
      <c r="GU20">
        <v>37.4</v>
      </c>
      <c r="GV20">
        <v>42.3</v>
      </c>
      <c r="GW20">
        <v>31.5534</v>
      </c>
      <c r="GX20">
        <v>62.744599999999998</v>
      </c>
      <c r="GY20">
        <v>-5.5208399999999997</v>
      </c>
      <c r="GZ20">
        <v>3</v>
      </c>
      <c r="HA20">
        <v>0.69603199999999998</v>
      </c>
      <c r="HB20">
        <v>3.0444499999999999</v>
      </c>
      <c r="HC20">
        <v>20.137899999999998</v>
      </c>
      <c r="HD20">
        <v>5.23346</v>
      </c>
      <c r="HE20">
        <v>11.9222</v>
      </c>
      <c r="HF20">
        <v>4.9595500000000001</v>
      </c>
      <c r="HG20">
        <v>3.28898</v>
      </c>
      <c r="HH20">
        <v>9999</v>
      </c>
      <c r="HI20">
        <v>9999</v>
      </c>
      <c r="HJ20">
        <v>9999</v>
      </c>
      <c r="HK20">
        <v>999.9</v>
      </c>
      <c r="HL20">
        <v>1.8812599999999999</v>
      </c>
      <c r="HM20">
        <v>1.8783700000000001</v>
      </c>
      <c r="HN20">
        <v>1.88629</v>
      </c>
      <c r="HO20">
        <v>1.88408</v>
      </c>
      <c r="HP20">
        <v>1.8816200000000001</v>
      </c>
      <c r="HQ20">
        <v>1.8806499999999999</v>
      </c>
      <c r="HR20">
        <v>1.88174</v>
      </c>
      <c r="HS20">
        <v>1.88131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423</v>
      </c>
      <c r="IB20" t="s">
        <v>423</v>
      </c>
      <c r="IC20" t="s">
        <v>423</v>
      </c>
      <c r="ID20">
        <v>0</v>
      </c>
      <c r="IE20">
        <v>100</v>
      </c>
      <c r="IF20">
        <v>100</v>
      </c>
      <c r="IG20">
        <v>-1.4890000000000001</v>
      </c>
      <c r="IH20">
        <v>-1.9521999999999999</v>
      </c>
      <c r="II20">
        <v>-2.1339173607744661</v>
      </c>
      <c r="IJ20">
        <v>8.9935118796959448E-4</v>
      </c>
      <c r="IK20">
        <v>-5.3495398746875769E-7</v>
      </c>
      <c r="IL20">
        <v>3.209454383910538E-10</v>
      </c>
      <c r="IM20">
        <v>-1.952239999999996</v>
      </c>
      <c r="IN20">
        <v>0</v>
      </c>
      <c r="IO20">
        <v>0</v>
      </c>
      <c r="IP20">
        <v>0</v>
      </c>
      <c r="IQ20">
        <v>1</v>
      </c>
      <c r="IR20">
        <v>2101</v>
      </c>
      <c r="IS20">
        <v>1</v>
      </c>
      <c r="IT20">
        <v>21</v>
      </c>
      <c r="IU20">
        <v>0.6</v>
      </c>
      <c r="IV20">
        <v>0.7</v>
      </c>
      <c r="IW20">
        <v>3.2141099999999998</v>
      </c>
      <c r="IX20">
        <v>2.4682599999999999</v>
      </c>
      <c r="IY20">
        <v>2.34375</v>
      </c>
      <c r="IZ20">
        <v>2.9150399999999999</v>
      </c>
      <c r="JA20">
        <v>3.0480999999999998</v>
      </c>
      <c r="JB20">
        <v>2.4255399999999998</v>
      </c>
      <c r="JC20">
        <v>46.298200000000001</v>
      </c>
      <c r="JD20">
        <v>23.912400000000002</v>
      </c>
      <c r="JE20">
        <v>18</v>
      </c>
      <c r="JF20">
        <v>482.709</v>
      </c>
      <c r="JG20">
        <v>1190.42</v>
      </c>
      <c r="JH20">
        <v>25.002600000000001</v>
      </c>
      <c r="JI20">
        <v>35.676000000000002</v>
      </c>
      <c r="JJ20">
        <v>29.999600000000001</v>
      </c>
      <c r="JK20">
        <v>35.704799999999999</v>
      </c>
      <c r="JL20">
        <v>35.703200000000002</v>
      </c>
      <c r="JM20">
        <v>64.441500000000005</v>
      </c>
      <c r="JN20">
        <v>11.994199999999999</v>
      </c>
      <c r="JO20">
        <v>53.883800000000001</v>
      </c>
      <c r="JP20">
        <v>25.009699999999999</v>
      </c>
      <c r="JQ20">
        <v>1000</v>
      </c>
      <c r="JR20">
        <v>24.8277</v>
      </c>
      <c r="JS20">
        <v>99.156899999999993</v>
      </c>
      <c r="JT20">
        <v>98.752499999999998</v>
      </c>
    </row>
    <row r="21" spans="1:280" x14ac:dyDescent="0.25">
      <c r="A21">
        <v>5</v>
      </c>
      <c r="B21">
        <v>1700156593.5999999</v>
      </c>
      <c r="C21">
        <v>595</v>
      </c>
      <c r="D21" t="s">
        <v>437</v>
      </c>
      <c r="E21" t="s">
        <v>438</v>
      </c>
      <c r="F21" t="s">
        <v>412</v>
      </c>
      <c r="G21" t="s">
        <v>413</v>
      </c>
      <c r="H21" t="s">
        <v>414</v>
      </c>
      <c r="I21">
        <v>1700156593.5999999</v>
      </c>
      <c r="J21">
        <f t="shared" si="0"/>
        <v>2.7280922079164897E-3</v>
      </c>
      <c r="K21">
        <f t="shared" si="1"/>
        <v>2.7280922079164895</v>
      </c>
      <c r="L21">
        <f t="shared" si="2"/>
        <v>51.507682271682185</v>
      </c>
      <c r="M21">
        <f t="shared" si="3"/>
        <v>696.53800000000001</v>
      </c>
      <c r="N21">
        <f t="shared" si="4"/>
        <v>196.03402587595329</v>
      </c>
      <c r="O21">
        <f t="shared" si="5"/>
        <v>19.477760459730909</v>
      </c>
      <c r="P21">
        <f t="shared" si="6"/>
        <v>69.207374865039995</v>
      </c>
      <c r="Q21">
        <f t="shared" si="7"/>
        <v>0.17297646395252561</v>
      </c>
      <c r="R21">
        <f t="shared" si="8"/>
        <v>3.1272562592223818</v>
      </c>
      <c r="S21">
        <f t="shared" si="9"/>
        <v>0.16783151261759421</v>
      </c>
      <c r="T21">
        <f t="shared" si="10"/>
        <v>0.10534420182848096</v>
      </c>
      <c r="U21">
        <f t="shared" si="11"/>
        <v>344.36179864414731</v>
      </c>
      <c r="V21">
        <f t="shared" si="12"/>
        <v>30.797873886502462</v>
      </c>
      <c r="W21">
        <f t="shared" si="13"/>
        <v>29.979299999999999</v>
      </c>
      <c r="X21">
        <f t="shared" si="14"/>
        <v>4.2553867595987294</v>
      </c>
      <c r="Y21">
        <f t="shared" si="15"/>
        <v>64.933606501748088</v>
      </c>
      <c r="Z21">
        <f t="shared" si="16"/>
        <v>2.696814085268</v>
      </c>
      <c r="AA21">
        <f t="shared" si="17"/>
        <v>4.1531869713649723</v>
      </c>
      <c r="AB21">
        <f t="shared" si="18"/>
        <v>1.5585726743307293</v>
      </c>
      <c r="AC21">
        <f t="shared" si="19"/>
        <v>-120.3088663691172</v>
      </c>
      <c r="AD21">
        <f t="shared" si="20"/>
        <v>-71.232080166440667</v>
      </c>
      <c r="AE21">
        <f t="shared" si="21"/>
        <v>-5.0530512974282056</v>
      </c>
      <c r="AF21">
        <f t="shared" si="22"/>
        <v>147.76780081116124</v>
      </c>
      <c r="AG21">
        <v>4</v>
      </c>
      <c r="AH21">
        <v>1</v>
      </c>
      <c r="AI21">
        <f t="shared" si="23"/>
        <v>1</v>
      </c>
      <c r="AJ21">
        <f t="shared" si="24"/>
        <v>0</v>
      </c>
      <c r="AK21">
        <f t="shared" si="25"/>
        <v>51973.117625580606</v>
      </c>
      <c r="AL21" t="s">
        <v>415</v>
      </c>
      <c r="AM21">
        <v>7163.32</v>
      </c>
      <c r="AN21">
        <v>295.04692307692312</v>
      </c>
      <c r="AO21">
        <v>723.15082041179414</v>
      </c>
      <c r="AP21">
        <f t="shared" si="26"/>
        <v>0.59199808013920208</v>
      </c>
      <c r="AQ21">
        <v>-3.795255127542589</v>
      </c>
      <c r="AR21" t="s">
        <v>439</v>
      </c>
      <c r="AS21">
        <v>7239.6</v>
      </c>
      <c r="AT21">
        <v>612.48534615384619</v>
      </c>
      <c r="AU21">
        <v>908.20047930646126</v>
      </c>
      <c r="AV21">
        <f t="shared" si="27"/>
        <v>0.32560556825342701</v>
      </c>
      <c r="AW21">
        <v>0.5</v>
      </c>
      <c r="AX21">
        <f t="shared" si="28"/>
        <v>1513.1510993220736</v>
      </c>
      <c r="AY21">
        <f t="shared" si="29"/>
        <v>51.507682271682185</v>
      </c>
      <c r="AZ21">
        <f t="shared" si="30"/>
        <v>246.34521177403079</v>
      </c>
      <c r="BA21">
        <f t="shared" si="31"/>
        <v>3.6548192327918713E-2</v>
      </c>
      <c r="BB21">
        <f t="shared" si="32"/>
        <v>-0.20375419646990117</v>
      </c>
      <c r="BC21">
        <f t="shared" si="33"/>
        <v>321.79872820451266</v>
      </c>
      <c r="BD21" t="s">
        <v>440</v>
      </c>
      <c r="BE21">
        <v>449.59</v>
      </c>
      <c r="BF21">
        <f t="shared" si="34"/>
        <v>449.59</v>
      </c>
      <c r="BG21">
        <f t="shared" si="35"/>
        <v>0.50496612780547623</v>
      </c>
      <c r="BH21">
        <f t="shared" si="36"/>
        <v>0.64480675103589769</v>
      </c>
      <c r="BI21">
        <f t="shared" si="37"/>
        <v>-0.67644795996776808</v>
      </c>
      <c r="BJ21">
        <f t="shared" si="38"/>
        <v>0.48228560390492481</v>
      </c>
      <c r="BK21">
        <f t="shared" si="39"/>
        <v>-0.43225408609143717</v>
      </c>
      <c r="BL21">
        <f t="shared" si="40"/>
        <v>0.47331527034674803</v>
      </c>
      <c r="BM21">
        <f t="shared" si="41"/>
        <v>0.52668472965325197</v>
      </c>
      <c r="BN21">
        <v>320</v>
      </c>
      <c r="BO21">
        <v>290.00000000000011</v>
      </c>
      <c r="BP21">
        <v>824.76</v>
      </c>
      <c r="BQ21">
        <v>275</v>
      </c>
      <c r="BR21">
        <v>7239.6</v>
      </c>
      <c r="BS21">
        <v>827.96</v>
      </c>
      <c r="BT21">
        <v>-3.2</v>
      </c>
      <c r="BU21">
        <v>300.00000000000011</v>
      </c>
      <c r="BV21">
        <v>38</v>
      </c>
      <c r="BW21">
        <v>908.20047930646126</v>
      </c>
      <c r="BX21">
        <v>1.861165787806778</v>
      </c>
      <c r="BY21">
        <v>-58.093871577543872</v>
      </c>
      <c r="BZ21">
        <v>1.1294597557273169</v>
      </c>
      <c r="CA21">
        <v>0.98952710838510105</v>
      </c>
      <c r="CB21">
        <v>-7.1391230255839922E-3</v>
      </c>
      <c r="CC21">
        <v>289.99999999999989</v>
      </c>
      <c r="CD21">
        <v>836.52</v>
      </c>
      <c r="CE21">
        <v>895</v>
      </c>
      <c r="CF21">
        <v>7232.38</v>
      </c>
      <c r="CG21">
        <v>827.88</v>
      </c>
      <c r="CH21">
        <v>8.64</v>
      </c>
      <c r="CV21">
        <f t="shared" si="42"/>
        <v>1799.96</v>
      </c>
      <c r="CW21">
        <f t="shared" si="43"/>
        <v>1513.1510993220736</v>
      </c>
      <c r="CX21">
        <f t="shared" si="44"/>
        <v>0.84065818091628342</v>
      </c>
      <c r="CY21">
        <f t="shared" si="45"/>
        <v>0.19131636183256701</v>
      </c>
      <c r="CZ21">
        <v>5</v>
      </c>
      <c r="DA21">
        <v>0.5</v>
      </c>
      <c r="DB21" t="s">
        <v>418</v>
      </c>
      <c r="DC21">
        <v>2</v>
      </c>
      <c r="DD21">
        <v>1700156593.5999999</v>
      </c>
      <c r="DE21">
        <v>696.53800000000001</v>
      </c>
      <c r="DF21">
        <v>749.94899999999996</v>
      </c>
      <c r="DG21">
        <v>27.142099999999999</v>
      </c>
      <c r="DH21">
        <v>24.4879</v>
      </c>
      <c r="DI21">
        <v>698.01900000000001</v>
      </c>
      <c r="DJ21">
        <v>29.095700000000001</v>
      </c>
      <c r="DK21">
        <v>499.971</v>
      </c>
      <c r="DL21">
        <v>99.258899999999997</v>
      </c>
      <c r="DM21">
        <v>0.10018000000000001</v>
      </c>
      <c r="DN21">
        <v>29.556799999999999</v>
      </c>
      <c r="DO21">
        <v>29.979299999999999</v>
      </c>
      <c r="DP21">
        <v>999.9</v>
      </c>
      <c r="DQ21">
        <v>0</v>
      </c>
      <c r="DR21">
        <v>0</v>
      </c>
      <c r="DS21">
        <v>9986.25</v>
      </c>
      <c r="DT21">
        <v>0</v>
      </c>
      <c r="DU21">
        <v>184.23400000000001</v>
      </c>
      <c r="DV21">
        <v>-53.411299999999997</v>
      </c>
      <c r="DW21">
        <v>715.971</v>
      </c>
      <c r="DX21">
        <v>768.77499999999998</v>
      </c>
      <c r="DY21">
        <v>2.6542599999999998</v>
      </c>
      <c r="DZ21">
        <v>749.94899999999996</v>
      </c>
      <c r="EA21">
        <v>24.4879</v>
      </c>
      <c r="EB21">
        <v>2.6941000000000002</v>
      </c>
      <c r="EC21">
        <v>2.4306399999999999</v>
      </c>
      <c r="ED21">
        <v>22.249099999999999</v>
      </c>
      <c r="EE21">
        <v>20.569299999999998</v>
      </c>
      <c r="EF21">
        <v>1799.96</v>
      </c>
      <c r="EG21">
        <v>0.97800200000000004</v>
      </c>
      <c r="EH21">
        <v>2.1998199999999999E-2</v>
      </c>
      <c r="EI21">
        <v>0</v>
      </c>
      <c r="EJ21">
        <v>612.54600000000005</v>
      </c>
      <c r="EK21">
        <v>5.0010300000000001</v>
      </c>
      <c r="EL21">
        <v>11254.2</v>
      </c>
      <c r="EM21">
        <v>14700.8</v>
      </c>
      <c r="EN21">
        <v>46.186999999999998</v>
      </c>
      <c r="EO21">
        <v>48</v>
      </c>
      <c r="EP21">
        <v>47.436999999999998</v>
      </c>
      <c r="EQ21">
        <v>47</v>
      </c>
      <c r="ER21">
        <v>47.75</v>
      </c>
      <c r="ES21">
        <v>1755.47</v>
      </c>
      <c r="ET21">
        <v>39.49</v>
      </c>
      <c r="EU21">
        <v>0</v>
      </c>
      <c r="EV21">
        <v>322.20000004768372</v>
      </c>
      <c r="EW21">
        <v>0</v>
      </c>
      <c r="EX21">
        <v>612.48534615384619</v>
      </c>
      <c r="EY21">
        <v>-0.37678631883919911</v>
      </c>
      <c r="EZ21">
        <v>-5.3709401965292152</v>
      </c>
      <c r="FA21">
        <v>11254.58076923077</v>
      </c>
      <c r="FB21">
        <v>15</v>
      </c>
      <c r="FC21">
        <v>1700156504.5999999</v>
      </c>
      <c r="FD21" t="s">
        <v>441</v>
      </c>
      <c r="FE21">
        <v>1700156504.5999999</v>
      </c>
      <c r="FF21">
        <v>1700156504.5999999</v>
      </c>
      <c r="FG21">
        <v>7</v>
      </c>
      <c r="FH21">
        <v>0.17599999999999999</v>
      </c>
      <c r="FI21">
        <v>-1E-3</v>
      </c>
      <c r="FJ21">
        <v>-1.448</v>
      </c>
      <c r="FK21">
        <v>-1.954</v>
      </c>
      <c r="FL21">
        <v>750</v>
      </c>
      <c r="FM21">
        <v>25</v>
      </c>
      <c r="FN21">
        <v>0.05</v>
      </c>
      <c r="FO21">
        <v>0.05</v>
      </c>
      <c r="FP21">
        <v>51.396132423513698</v>
      </c>
      <c r="FQ21">
        <v>0.68072923337382218</v>
      </c>
      <c r="FR21">
        <v>6.32978336055285E-2</v>
      </c>
      <c r="FS21">
        <v>1</v>
      </c>
      <c r="FT21">
        <v>0.17331733318519729</v>
      </c>
      <c r="FU21">
        <v>-5.000755135136337E-3</v>
      </c>
      <c r="FV21">
        <v>3.7245537339299182E-4</v>
      </c>
      <c r="FW21">
        <v>1</v>
      </c>
      <c r="FX21">
        <v>2</v>
      </c>
      <c r="FY21">
        <v>2</v>
      </c>
      <c r="FZ21" t="s">
        <v>420</v>
      </c>
      <c r="GA21">
        <v>2.8959899999999998</v>
      </c>
      <c r="GB21">
        <v>2.8180700000000001</v>
      </c>
      <c r="GC21">
        <v>0.13470499999999999</v>
      </c>
      <c r="GD21">
        <v>0.14138000000000001</v>
      </c>
      <c r="GE21">
        <v>0.135966</v>
      </c>
      <c r="GF21">
        <v>0.119854</v>
      </c>
      <c r="GG21">
        <v>23935.3</v>
      </c>
      <c r="GH21">
        <v>23805.200000000001</v>
      </c>
      <c r="GI21">
        <v>24554.799999999999</v>
      </c>
      <c r="GJ21">
        <v>24776.1</v>
      </c>
      <c r="GK21">
        <v>28230.6</v>
      </c>
      <c r="GL21">
        <v>28311.3</v>
      </c>
      <c r="GM21">
        <v>33250.1</v>
      </c>
      <c r="GN21">
        <v>33094.5</v>
      </c>
      <c r="GO21">
        <v>1.9088000000000001</v>
      </c>
      <c r="GP21">
        <v>2.5059800000000001</v>
      </c>
      <c r="GQ21">
        <v>6.2294299999999997E-2</v>
      </c>
      <c r="GR21">
        <v>0</v>
      </c>
      <c r="GS21">
        <v>28.964600000000001</v>
      </c>
      <c r="GT21">
        <v>999.9</v>
      </c>
      <c r="GU21">
        <v>36.9</v>
      </c>
      <c r="GV21">
        <v>42.3</v>
      </c>
      <c r="GW21">
        <v>31.135400000000001</v>
      </c>
      <c r="GX21">
        <v>62.744700000000002</v>
      </c>
      <c r="GY21">
        <v>-5.3004800000000003</v>
      </c>
      <c r="GZ21">
        <v>3</v>
      </c>
      <c r="HA21">
        <v>0.68166400000000005</v>
      </c>
      <c r="HB21">
        <v>2.7559300000000002</v>
      </c>
      <c r="HC21">
        <v>20.142499999999998</v>
      </c>
      <c r="HD21">
        <v>5.2336099999999997</v>
      </c>
      <c r="HE21">
        <v>11.9208</v>
      </c>
      <c r="HF21">
        <v>4.9597499999999997</v>
      </c>
      <c r="HG21">
        <v>3.2889499999999998</v>
      </c>
      <c r="HH21">
        <v>9999</v>
      </c>
      <c r="HI21">
        <v>9999</v>
      </c>
      <c r="HJ21">
        <v>9999</v>
      </c>
      <c r="HK21">
        <v>999.9</v>
      </c>
      <c r="HL21">
        <v>1.8811599999999999</v>
      </c>
      <c r="HM21">
        <v>1.87836</v>
      </c>
      <c r="HN21">
        <v>1.88629</v>
      </c>
      <c r="HO21">
        <v>1.8840600000000001</v>
      </c>
      <c r="HP21">
        <v>1.8816200000000001</v>
      </c>
      <c r="HQ21">
        <v>1.8806499999999999</v>
      </c>
      <c r="HR21">
        <v>1.88175</v>
      </c>
      <c r="HS21">
        <v>1.8812800000000001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423</v>
      </c>
      <c r="IB21" t="s">
        <v>423</v>
      </c>
      <c r="IC21" t="s">
        <v>423</v>
      </c>
      <c r="ID21">
        <v>0</v>
      </c>
      <c r="IE21">
        <v>100</v>
      </c>
      <c r="IF21">
        <v>100</v>
      </c>
      <c r="IG21">
        <v>-1.4810000000000001</v>
      </c>
      <c r="IH21">
        <v>-1.9536</v>
      </c>
      <c r="II21">
        <v>-1.9576880497997069</v>
      </c>
      <c r="IJ21">
        <v>8.9935118796959448E-4</v>
      </c>
      <c r="IK21">
        <v>-5.3495398746875769E-7</v>
      </c>
      <c r="IL21">
        <v>3.209454383910538E-10</v>
      </c>
      <c r="IM21">
        <v>-1.953604999999996</v>
      </c>
      <c r="IN21">
        <v>0</v>
      </c>
      <c r="IO21">
        <v>0</v>
      </c>
      <c r="IP21">
        <v>0</v>
      </c>
      <c r="IQ21">
        <v>1</v>
      </c>
      <c r="IR21">
        <v>2101</v>
      </c>
      <c r="IS21">
        <v>1</v>
      </c>
      <c r="IT21">
        <v>21</v>
      </c>
      <c r="IU21">
        <v>1.5</v>
      </c>
      <c r="IV21">
        <v>1.5</v>
      </c>
      <c r="IW21">
        <v>2.5671400000000002</v>
      </c>
      <c r="IX21">
        <v>2.47803</v>
      </c>
      <c r="IY21">
        <v>2.34375</v>
      </c>
      <c r="IZ21">
        <v>2.9150399999999999</v>
      </c>
      <c r="JA21">
        <v>3.0480999999999998</v>
      </c>
      <c r="JB21">
        <v>2.3791500000000001</v>
      </c>
      <c r="JC21">
        <v>46.269100000000002</v>
      </c>
      <c r="JD21">
        <v>23.903600000000001</v>
      </c>
      <c r="JE21">
        <v>18</v>
      </c>
      <c r="JF21">
        <v>482.90499999999997</v>
      </c>
      <c r="JG21">
        <v>1191.58</v>
      </c>
      <c r="JH21">
        <v>25.341999999999999</v>
      </c>
      <c r="JI21">
        <v>35.515700000000002</v>
      </c>
      <c r="JJ21">
        <v>29.9998</v>
      </c>
      <c r="JK21">
        <v>35.537500000000001</v>
      </c>
      <c r="JL21">
        <v>35.535400000000003</v>
      </c>
      <c r="JM21">
        <v>51.4953</v>
      </c>
      <c r="JN21">
        <v>11.194800000000001</v>
      </c>
      <c r="JO21">
        <v>52.256700000000002</v>
      </c>
      <c r="JP21">
        <v>25.347999999999999</v>
      </c>
      <c r="JQ21">
        <v>750</v>
      </c>
      <c r="JR21">
        <v>24.555099999999999</v>
      </c>
      <c r="JS21">
        <v>99.183099999999996</v>
      </c>
      <c r="JT21">
        <v>98.768500000000003</v>
      </c>
    </row>
    <row r="22" spans="1:280" x14ac:dyDescent="0.25">
      <c r="A22">
        <v>6</v>
      </c>
      <c r="B22">
        <v>1700156753.0999999</v>
      </c>
      <c r="C22">
        <v>754.5</v>
      </c>
      <c r="D22" t="s">
        <v>442</v>
      </c>
      <c r="E22" t="s">
        <v>443</v>
      </c>
      <c r="F22" t="s">
        <v>412</v>
      </c>
      <c r="G22" t="s">
        <v>413</v>
      </c>
      <c r="H22" t="s">
        <v>414</v>
      </c>
      <c r="I22">
        <v>1700156753.0999999</v>
      </c>
      <c r="J22">
        <f t="shared" si="0"/>
        <v>3.4174033337421757E-3</v>
      </c>
      <c r="K22">
        <f t="shared" si="1"/>
        <v>3.4174033337421759</v>
      </c>
      <c r="L22">
        <f t="shared" si="2"/>
        <v>50.724964319176124</v>
      </c>
      <c r="M22">
        <f t="shared" si="3"/>
        <v>547.38</v>
      </c>
      <c r="N22">
        <f t="shared" si="4"/>
        <v>158.09466581857433</v>
      </c>
      <c r="O22">
        <f t="shared" si="5"/>
        <v>15.706503162187108</v>
      </c>
      <c r="P22">
        <f t="shared" si="6"/>
        <v>54.38150399573999</v>
      </c>
      <c r="Q22">
        <f t="shared" si="7"/>
        <v>0.22059097281687159</v>
      </c>
      <c r="R22">
        <f t="shared" si="8"/>
        <v>3.1233661832939488</v>
      </c>
      <c r="S22">
        <f t="shared" si="9"/>
        <v>0.21228688851388558</v>
      </c>
      <c r="T22">
        <f t="shared" si="10"/>
        <v>0.13339934874709042</v>
      </c>
      <c r="U22">
        <f t="shared" si="11"/>
        <v>344.35169864445299</v>
      </c>
      <c r="V22">
        <f t="shared" si="12"/>
        <v>30.763987387029633</v>
      </c>
      <c r="W22">
        <f t="shared" si="13"/>
        <v>29.992899999999999</v>
      </c>
      <c r="X22">
        <f t="shared" si="14"/>
        <v>4.2587125922785471</v>
      </c>
      <c r="Y22">
        <f t="shared" si="15"/>
        <v>64.883739958009627</v>
      </c>
      <c r="Z22">
        <f t="shared" si="16"/>
        <v>2.7155284503759001</v>
      </c>
      <c r="AA22">
        <f t="shared" si="17"/>
        <v>4.185221832362453</v>
      </c>
      <c r="AB22">
        <f t="shared" si="18"/>
        <v>1.5431841419026471</v>
      </c>
      <c r="AC22">
        <f t="shared" si="19"/>
        <v>-150.70748701802995</v>
      </c>
      <c r="AD22">
        <f t="shared" si="20"/>
        <v>-50.970719979841782</v>
      </c>
      <c r="AE22">
        <f t="shared" si="21"/>
        <v>-3.6228934501774592</v>
      </c>
      <c r="AF22">
        <f t="shared" si="22"/>
        <v>139.0505981964038</v>
      </c>
      <c r="AG22">
        <v>4</v>
      </c>
      <c r="AH22">
        <v>1</v>
      </c>
      <c r="AI22">
        <f t="shared" si="23"/>
        <v>1</v>
      </c>
      <c r="AJ22">
        <f t="shared" si="24"/>
        <v>0</v>
      </c>
      <c r="AK22">
        <f t="shared" si="25"/>
        <v>51851.219248943693</v>
      </c>
      <c r="AL22" t="s">
        <v>426</v>
      </c>
      <c r="AM22" t="s">
        <v>426</v>
      </c>
      <c r="AN22">
        <v>0</v>
      </c>
      <c r="AO22">
        <v>0</v>
      </c>
      <c r="AP22" t="e">
        <f t="shared" si="26"/>
        <v>#DIV/0!</v>
      </c>
      <c r="AQ22">
        <v>0</v>
      </c>
      <c r="AR22" t="s">
        <v>426</v>
      </c>
      <c r="AS22" t="s">
        <v>426</v>
      </c>
      <c r="AT22">
        <v>0</v>
      </c>
      <c r="AU22">
        <v>0</v>
      </c>
      <c r="AV22" t="e">
        <f t="shared" si="27"/>
        <v>#DIV/0!</v>
      </c>
      <c r="AW22">
        <v>0.5</v>
      </c>
      <c r="AX22">
        <f t="shared" si="28"/>
        <v>1513.1087993222263</v>
      </c>
      <c r="AY22">
        <f t="shared" si="29"/>
        <v>50.724964319176124</v>
      </c>
      <c r="AZ22" t="e">
        <f t="shared" si="30"/>
        <v>#DIV/0!</v>
      </c>
      <c r="BA22">
        <f t="shared" si="31"/>
        <v>3.3523672813149712E-2</v>
      </c>
      <c r="BB22" t="e">
        <f t="shared" si="32"/>
        <v>#DIV/0!</v>
      </c>
      <c r="BC22" t="e">
        <f t="shared" si="33"/>
        <v>#DIV/0!</v>
      </c>
      <c r="BD22" t="s">
        <v>426</v>
      </c>
      <c r="BE22">
        <v>0</v>
      </c>
      <c r="BF22" t="e">
        <f t="shared" si="34"/>
        <v>#DIV/0!</v>
      </c>
      <c r="BG22" t="e">
        <f t="shared" si="35"/>
        <v>#DIV/0!</v>
      </c>
      <c r="BH22" t="e">
        <f t="shared" si="36"/>
        <v>#DIV/0!</v>
      </c>
      <c r="BI22" t="e">
        <f t="shared" si="37"/>
        <v>#DIV/0!</v>
      </c>
      <c r="BJ22" t="e">
        <f t="shared" si="38"/>
        <v>#DIV/0!</v>
      </c>
      <c r="BK22" t="e">
        <f t="shared" si="39"/>
        <v>#DIV/0!</v>
      </c>
      <c r="BL22" t="e">
        <f t="shared" si="40"/>
        <v>#DIV/0!</v>
      </c>
      <c r="BM22" t="e">
        <f t="shared" si="41"/>
        <v>#DIV/0!</v>
      </c>
      <c r="BN22">
        <v>320</v>
      </c>
      <c r="BO22">
        <v>290.00000000000011</v>
      </c>
      <c r="BP22">
        <v>824.76</v>
      </c>
      <c r="BQ22">
        <v>275</v>
      </c>
      <c r="BR22">
        <v>7239.6</v>
      </c>
      <c r="BS22">
        <v>827.96</v>
      </c>
      <c r="BT22">
        <v>-3.2</v>
      </c>
      <c r="BU22">
        <v>300.00000000000011</v>
      </c>
      <c r="BV22">
        <v>38</v>
      </c>
      <c r="BW22">
        <v>908.20047930646126</v>
      </c>
      <c r="BX22">
        <v>1.861165787806778</v>
      </c>
      <c r="BY22">
        <v>-58.093871577543872</v>
      </c>
      <c r="BZ22">
        <v>1.1294597557273169</v>
      </c>
      <c r="CA22">
        <v>0.98952710838510105</v>
      </c>
      <c r="CB22">
        <v>-7.1391230255839922E-3</v>
      </c>
      <c r="CC22">
        <v>289.99999999999989</v>
      </c>
      <c r="CD22">
        <v>836.52</v>
      </c>
      <c r="CE22">
        <v>895</v>
      </c>
      <c r="CF22">
        <v>7232.38</v>
      </c>
      <c r="CG22">
        <v>827.88</v>
      </c>
      <c r="CH22">
        <v>8.64</v>
      </c>
      <c r="CV22">
        <f t="shared" si="42"/>
        <v>1799.91</v>
      </c>
      <c r="CW22">
        <f t="shared" si="43"/>
        <v>1513.1087993222263</v>
      </c>
      <c r="CX22">
        <f t="shared" si="44"/>
        <v>0.84065803252508531</v>
      </c>
      <c r="CY22">
        <f t="shared" si="45"/>
        <v>0.19131606505017082</v>
      </c>
      <c r="CZ22">
        <v>5</v>
      </c>
      <c r="DA22">
        <v>0.5</v>
      </c>
      <c r="DB22" t="s">
        <v>418</v>
      </c>
      <c r="DC22">
        <v>2</v>
      </c>
      <c r="DD22">
        <v>1700156753.0999999</v>
      </c>
      <c r="DE22">
        <v>547.38</v>
      </c>
      <c r="DF22">
        <v>599.98199999999997</v>
      </c>
      <c r="DG22">
        <v>27.333300000000001</v>
      </c>
      <c r="DH22">
        <v>24.008900000000001</v>
      </c>
      <c r="DI22">
        <v>548.76199999999994</v>
      </c>
      <c r="DJ22">
        <v>29.2821</v>
      </c>
      <c r="DK22">
        <v>499.93900000000002</v>
      </c>
      <c r="DL22">
        <v>99.248599999999996</v>
      </c>
      <c r="DM22">
        <v>0.100123</v>
      </c>
      <c r="DN22">
        <v>29.690200000000001</v>
      </c>
      <c r="DO22">
        <v>29.992899999999999</v>
      </c>
      <c r="DP22">
        <v>999.9</v>
      </c>
      <c r="DQ22">
        <v>0</v>
      </c>
      <c r="DR22">
        <v>0</v>
      </c>
      <c r="DS22">
        <v>9967.5</v>
      </c>
      <c r="DT22">
        <v>0</v>
      </c>
      <c r="DU22">
        <v>189.07599999999999</v>
      </c>
      <c r="DV22">
        <v>-52.602800000000002</v>
      </c>
      <c r="DW22">
        <v>562.76199999999994</v>
      </c>
      <c r="DX22">
        <v>614.74199999999996</v>
      </c>
      <c r="DY22">
        <v>3.3244199999999999</v>
      </c>
      <c r="DZ22">
        <v>599.98199999999997</v>
      </c>
      <c r="EA22">
        <v>24.008900000000001</v>
      </c>
      <c r="EB22">
        <v>2.71279</v>
      </c>
      <c r="EC22">
        <v>2.3828499999999999</v>
      </c>
      <c r="ED22">
        <v>22.3628</v>
      </c>
      <c r="EE22">
        <v>20.247699999999998</v>
      </c>
      <c r="EF22">
        <v>1799.91</v>
      </c>
      <c r="EG22">
        <v>0.97800500000000001</v>
      </c>
      <c r="EH22">
        <v>2.19946E-2</v>
      </c>
      <c r="EI22">
        <v>0</v>
      </c>
      <c r="EJ22">
        <v>611.20899999999995</v>
      </c>
      <c r="EK22">
        <v>5.0010300000000001</v>
      </c>
      <c r="EL22">
        <v>11260.1</v>
      </c>
      <c r="EM22">
        <v>14700.4</v>
      </c>
      <c r="EN22">
        <v>46.375</v>
      </c>
      <c r="EO22">
        <v>48.25</v>
      </c>
      <c r="EP22">
        <v>47.811999999999998</v>
      </c>
      <c r="EQ22">
        <v>47.436999999999998</v>
      </c>
      <c r="ER22">
        <v>48.061999999999998</v>
      </c>
      <c r="ES22">
        <v>1755.43</v>
      </c>
      <c r="ET22">
        <v>39.479999999999997</v>
      </c>
      <c r="EU22">
        <v>0</v>
      </c>
      <c r="EV22">
        <v>157.79999995231631</v>
      </c>
      <c r="EW22">
        <v>0</v>
      </c>
      <c r="EX22">
        <v>611.24434615384621</v>
      </c>
      <c r="EY22">
        <v>-0.69671795830024208</v>
      </c>
      <c r="EZ22">
        <v>56.40683762639167</v>
      </c>
      <c r="FA22">
        <v>11254.55</v>
      </c>
      <c r="FB22">
        <v>15</v>
      </c>
      <c r="FC22">
        <v>1700156693.5999999</v>
      </c>
      <c r="FD22" t="s">
        <v>444</v>
      </c>
      <c r="FE22">
        <v>1700156693.5999999</v>
      </c>
      <c r="FF22">
        <v>1700156693.5999999</v>
      </c>
      <c r="FG22">
        <v>8</v>
      </c>
      <c r="FH22">
        <v>0.189</v>
      </c>
      <c r="FI22">
        <v>5.0000000000000001E-3</v>
      </c>
      <c r="FJ22">
        <v>-1.351</v>
      </c>
      <c r="FK22">
        <v>-1.9490000000000001</v>
      </c>
      <c r="FL22">
        <v>600</v>
      </c>
      <c r="FM22">
        <v>25</v>
      </c>
      <c r="FN22">
        <v>0.05</v>
      </c>
      <c r="FO22">
        <v>0.03</v>
      </c>
      <c r="FP22">
        <v>50.642714282168782</v>
      </c>
      <c r="FQ22">
        <v>0.64614356933309547</v>
      </c>
      <c r="FR22">
        <v>6.7260858152063022E-2</v>
      </c>
      <c r="FS22">
        <v>1</v>
      </c>
      <c r="FT22">
        <v>0.21990503904248579</v>
      </c>
      <c r="FU22">
        <v>3.3989005002258418E-2</v>
      </c>
      <c r="FV22">
        <v>2.7426117088788079E-3</v>
      </c>
      <c r="FW22">
        <v>1</v>
      </c>
      <c r="FX22">
        <v>2</v>
      </c>
      <c r="FY22">
        <v>2</v>
      </c>
      <c r="FZ22" t="s">
        <v>420</v>
      </c>
      <c r="GA22">
        <v>2.89615</v>
      </c>
      <c r="GB22">
        <v>2.8178399999999999</v>
      </c>
      <c r="GC22">
        <v>0.11387</v>
      </c>
      <c r="GD22">
        <v>0.12128800000000001</v>
      </c>
      <c r="GE22">
        <v>0.13658200000000001</v>
      </c>
      <c r="GF22">
        <v>0.11826100000000001</v>
      </c>
      <c r="GG22">
        <v>24517.200000000001</v>
      </c>
      <c r="GH22">
        <v>24365.9</v>
      </c>
      <c r="GI22">
        <v>24559.9</v>
      </c>
      <c r="GJ22">
        <v>24779.1</v>
      </c>
      <c r="GK22">
        <v>28215.599999999999</v>
      </c>
      <c r="GL22">
        <v>28365.200000000001</v>
      </c>
      <c r="GM22">
        <v>33256.699999999997</v>
      </c>
      <c r="GN22">
        <v>33097.9</v>
      </c>
      <c r="GO22">
        <v>1.91065</v>
      </c>
      <c r="GP22">
        <v>2.5066000000000002</v>
      </c>
      <c r="GQ22">
        <v>5.7898499999999999E-2</v>
      </c>
      <c r="GR22">
        <v>0</v>
      </c>
      <c r="GS22">
        <v>29.049900000000001</v>
      </c>
      <c r="GT22">
        <v>999.9</v>
      </c>
      <c r="GU22">
        <v>36.5</v>
      </c>
      <c r="GV22">
        <v>42.2</v>
      </c>
      <c r="GW22">
        <v>30.634899999999998</v>
      </c>
      <c r="GX22">
        <v>62.6447</v>
      </c>
      <c r="GY22">
        <v>-5.1642599999999996</v>
      </c>
      <c r="GZ22">
        <v>3</v>
      </c>
      <c r="HA22">
        <v>0.67251499999999997</v>
      </c>
      <c r="HB22">
        <v>2.6240899999999998</v>
      </c>
      <c r="HC22">
        <v>20.145499999999998</v>
      </c>
      <c r="HD22">
        <v>5.2330100000000002</v>
      </c>
      <c r="HE22">
        <v>11.920199999999999</v>
      </c>
      <c r="HF22">
        <v>4.9595000000000002</v>
      </c>
      <c r="HG22">
        <v>3.2890000000000001</v>
      </c>
      <c r="HH22">
        <v>9999</v>
      </c>
      <c r="HI22">
        <v>9999</v>
      </c>
      <c r="HJ22">
        <v>9999</v>
      </c>
      <c r="HK22">
        <v>999.9</v>
      </c>
      <c r="HL22">
        <v>1.8811</v>
      </c>
      <c r="HM22">
        <v>1.87836</v>
      </c>
      <c r="HN22">
        <v>1.88629</v>
      </c>
      <c r="HO22">
        <v>1.8840300000000001</v>
      </c>
      <c r="HP22">
        <v>1.88158</v>
      </c>
      <c r="HQ22">
        <v>1.88063</v>
      </c>
      <c r="HR22">
        <v>1.8817200000000001</v>
      </c>
      <c r="HS22">
        <v>1.8812599999999999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423</v>
      </c>
      <c r="IB22" t="s">
        <v>423</v>
      </c>
      <c r="IC22" t="s">
        <v>423</v>
      </c>
      <c r="ID22">
        <v>0</v>
      </c>
      <c r="IE22">
        <v>100</v>
      </c>
      <c r="IF22">
        <v>100</v>
      </c>
      <c r="IG22">
        <v>-1.3819999999999999</v>
      </c>
      <c r="IH22">
        <v>-1.9488000000000001</v>
      </c>
      <c r="II22">
        <v>-1.7681399119769989</v>
      </c>
      <c r="IJ22">
        <v>8.9935118796959448E-4</v>
      </c>
      <c r="IK22">
        <v>-5.3495398746875769E-7</v>
      </c>
      <c r="IL22">
        <v>3.209454383910538E-10</v>
      </c>
      <c r="IM22">
        <v>-1.948814999999996</v>
      </c>
      <c r="IN22">
        <v>0</v>
      </c>
      <c r="IO22">
        <v>0</v>
      </c>
      <c r="IP22">
        <v>0</v>
      </c>
      <c r="IQ22">
        <v>1</v>
      </c>
      <c r="IR22">
        <v>2101</v>
      </c>
      <c r="IS22">
        <v>1</v>
      </c>
      <c r="IT22">
        <v>21</v>
      </c>
      <c r="IU22">
        <v>1</v>
      </c>
      <c r="IV22">
        <v>1</v>
      </c>
      <c r="IW22">
        <v>2.1508799999999999</v>
      </c>
      <c r="IX22">
        <v>2.48291</v>
      </c>
      <c r="IY22">
        <v>2.34375</v>
      </c>
      <c r="IZ22">
        <v>2.9150399999999999</v>
      </c>
      <c r="JA22">
        <v>3.0480999999999998</v>
      </c>
      <c r="JB22">
        <v>2.4157700000000002</v>
      </c>
      <c r="JC22">
        <v>46.210799999999999</v>
      </c>
      <c r="JD22">
        <v>23.9299</v>
      </c>
      <c r="JE22">
        <v>18</v>
      </c>
      <c r="JF22">
        <v>483.23</v>
      </c>
      <c r="JG22">
        <v>1190.01</v>
      </c>
      <c r="JH22">
        <v>25.636299999999999</v>
      </c>
      <c r="JI22">
        <v>35.404499999999999</v>
      </c>
      <c r="JJ22">
        <v>29.9999</v>
      </c>
      <c r="JK22">
        <v>35.416400000000003</v>
      </c>
      <c r="JL22">
        <v>35.407899999999998</v>
      </c>
      <c r="JM22">
        <v>43.151600000000002</v>
      </c>
      <c r="JN22">
        <v>11.5059</v>
      </c>
      <c r="JO22">
        <v>50.697400000000002</v>
      </c>
      <c r="JP22">
        <v>25.6389</v>
      </c>
      <c r="JQ22">
        <v>600</v>
      </c>
      <c r="JR22">
        <v>24.0457</v>
      </c>
      <c r="JS22">
        <v>99.203299999999999</v>
      </c>
      <c r="JT22">
        <v>98.779300000000006</v>
      </c>
    </row>
    <row r="23" spans="1:280" x14ac:dyDescent="0.25">
      <c r="A23">
        <v>7</v>
      </c>
      <c r="B23">
        <v>1700156882.0999999</v>
      </c>
      <c r="C23">
        <v>883.5</v>
      </c>
      <c r="D23" t="s">
        <v>445</v>
      </c>
      <c r="E23" t="s">
        <v>446</v>
      </c>
      <c r="F23" t="s">
        <v>412</v>
      </c>
      <c r="G23" t="s">
        <v>413</v>
      </c>
      <c r="H23" t="s">
        <v>414</v>
      </c>
      <c r="I23">
        <v>1700156882.0999999</v>
      </c>
      <c r="J23">
        <f t="shared" si="0"/>
        <v>3.5196948286500543E-3</v>
      </c>
      <c r="K23">
        <f t="shared" si="1"/>
        <v>3.5196948286500542</v>
      </c>
      <c r="L23">
        <f t="shared" si="2"/>
        <v>47.527439069837421</v>
      </c>
      <c r="M23">
        <f t="shared" si="3"/>
        <v>450.99200000000002</v>
      </c>
      <c r="N23">
        <f t="shared" si="4"/>
        <v>103.36104697340049</v>
      </c>
      <c r="O23">
        <f t="shared" si="5"/>
        <v>10.26883805149709</v>
      </c>
      <c r="P23">
        <f t="shared" si="6"/>
        <v>44.805697563344005</v>
      </c>
      <c r="Q23">
        <f t="shared" si="7"/>
        <v>0.23105878537437999</v>
      </c>
      <c r="R23">
        <f t="shared" si="8"/>
        <v>3.1292743629955941</v>
      </c>
      <c r="S23">
        <f t="shared" si="9"/>
        <v>0.22198180112579513</v>
      </c>
      <c r="T23">
        <f t="shared" si="10"/>
        <v>0.13952444517351559</v>
      </c>
      <c r="U23">
        <f t="shared" si="11"/>
        <v>344.35419864411722</v>
      </c>
      <c r="V23">
        <f t="shared" si="12"/>
        <v>30.777110130108042</v>
      </c>
      <c r="W23">
        <f t="shared" si="13"/>
        <v>30.007000000000001</v>
      </c>
      <c r="X23">
        <f t="shared" si="14"/>
        <v>4.2621630897810396</v>
      </c>
      <c r="Y23">
        <f t="shared" si="15"/>
        <v>65.375945512917781</v>
      </c>
      <c r="Z23">
        <f t="shared" si="16"/>
        <v>2.7424355100279998</v>
      </c>
      <c r="AA23">
        <f t="shared" si="17"/>
        <v>4.1948693644302493</v>
      </c>
      <c r="AB23">
        <f t="shared" si="18"/>
        <v>1.5197275797530398</v>
      </c>
      <c r="AC23">
        <f t="shared" si="19"/>
        <v>-155.21854194346739</v>
      </c>
      <c r="AD23">
        <f t="shared" si="20"/>
        <v>-46.697665641924409</v>
      </c>
      <c r="AE23">
        <f t="shared" si="21"/>
        <v>-3.3137945380518623</v>
      </c>
      <c r="AF23">
        <f t="shared" si="22"/>
        <v>139.12419652067356</v>
      </c>
      <c r="AG23">
        <v>4</v>
      </c>
      <c r="AH23">
        <v>1</v>
      </c>
      <c r="AI23">
        <f t="shared" si="23"/>
        <v>1</v>
      </c>
      <c r="AJ23">
        <f t="shared" si="24"/>
        <v>0</v>
      </c>
      <c r="AK23">
        <f t="shared" si="25"/>
        <v>51994.401636079579</v>
      </c>
      <c r="AL23" t="s">
        <v>415</v>
      </c>
      <c r="AM23">
        <v>7163.32</v>
      </c>
      <c r="AN23">
        <v>295.04692307692312</v>
      </c>
      <c r="AO23">
        <v>723.15082041179414</v>
      </c>
      <c r="AP23">
        <f t="shared" si="26"/>
        <v>0.59199808013920208</v>
      </c>
      <c r="AQ23">
        <v>-3.795255127542589</v>
      </c>
      <c r="AR23" t="s">
        <v>447</v>
      </c>
      <c r="AS23">
        <v>7234.65</v>
      </c>
      <c r="AT23">
        <v>610.73843999999997</v>
      </c>
      <c r="AU23">
        <v>880.89856954050936</v>
      </c>
      <c r="AV23">
        <f t="shared" si="27"/>
        <v>0.30668698858420118</v>
      </c>
      <c r="AW23">
        <v>0.5</v>
      </c>
      <c r="AX23">
        <f t="shared" si="28"/>
        <v>1513.1174993220586</v>
      </c>
      <c r="AY23">
        <f t="shared" si="29"/>
        <v>47.527439069837421</v>
      </c>
      <c r="AZ23">
        <f t="shared" si="30"/>
        <v>232.02672462056961</v>
      </c>
      <c r="BA23">
        <f t="shared" si="31"/>
        <v>3.3918512092005262E-2</v>
      </c>
      <c r="BB23">
        <f t="shared" si="32"/>
        <v>-0.17907595106097055</v>
      </c>
      <c r="BC23">
        <f t="shared" si="33"/>
        <v>318.30321661631899</v>
      </c>
      <c r="BD23" t="s">
        <v>448</v>
      </c>
      <c r="BE23">
        <v>447.84</v>
      </c>
      <c r="BF23">
        <f t="shared" si="34"/>
        <v>447.84</v>
      </c>
      <c r="BG23">
        <f t="shared" si="35"/>
        <v>0.49161002698233414</v>
      </c>
      <c r="BH23">
        <f t="shared" si="36"/>
        <v>0.62384201247225968</v>
      </c>
      <c r="BI23">
        <f t="shared" si="37"/>
        <v>-0.57298056390506247</v>
      </c>
      <c r="BJ23">
        <f t="shared" si="38"/>
        <v>0.46114085566080465</v>
      </c>
      <c r="BK23">
        <f t="shared" si="39"/>
        <v>-0.36848005848758231</v>
      </c>
      <c r="BL23">
        <f t="shared" si="40"/>
        <v>0.45744853863394741</v>
      </c>
      <c r="BM23">
        <f t="shared" si="41"/>
        <v>0.54255146136605259</v>
      </c>
      <c r="BN23">
        <v>322</v>
      </c>
      <c r="BO23">
        <v>290.00000000000011</v>
      </c>
      <c r="BP23">
        <v>807.05</v>
      </c>
      <c r="BQ23">
        <v>295</v>
      </c>
      <c r="BR23">
        <v>7234.65</v>
      </c>
      <c r="BS23">
        <v>808.7</v>
      </c>
      <c r="BT23">
        <v>-1.65</v>
      </c>
      <c r="BU23">
        <v>300.00000000000011</v>
      </c>
      <c r="BV23">
        <v>38.1</v>
      </c>
      <c r="BW23">
        <v>880.89856954050936</v>
      </c>
      <c r="BX23">
        <v>1.318089207309417</v>
      </c>
      <c r="BY23">
        <v>-52.236284596790533</v>
      </c>
      <c r="BZ23">
        <v>0.79936012535439305</v>
      </c>
      <c r="CA23">
        <v>0.99348581476154918</v>
      </c>
      <c r="CB23">
        <v>-7.1349385984427229E-3</v>
      </c>
      <c r="CC23">
        <v>289.99999999999989</v>
      </c>
      <c r="CD23">
        <v>817.43</v>
      </c>
      <c r="CE23">
        <v>835</v>
      </c>
      <c r="CF23">
        <v>7228.13</v>
      </c>
      <c r="CG23">
        <v>808.63</v>
      </c>
      <c r="CH23">
        <v>8.8000000000000007</v>
      </c>
      <c r="CV23">
        <f t="shared" si="42"/>
        <v>1799.92</v>
      </c>
      <c r="CW23">
        <f t="shared" si="43"/>
        <v>1513.1174993220586</v>
      </c>
      <c r="CX23">
        <f t="shared" si="44"/>
        <v>0.84065819554316779</v>
      </c>
      <c r="CY23">
        <f t="shared" si="45"/>
        <v>0.19131639108633561</v>
      </c>
      <c r="CZ23">
        <v>5</v>
      </c>
      <c r="DA23">
        <v>0.5</v>
      </c>
      <c r="DB23" t="s">
        <v>418</v>
      </c>
      <c r="DC23">
        <v>2</v>
      </c>
      <c r="DD23">
        <v>1700156882.0999999</v>
      </c>
      <c r="DE23">
        <v>450.99200000000002</v>
      </c>
      <c r="DF23">
        <v>500.11200000000002</v>
      </c>
      <c r="DG23">
        <v>27.603999999999999</v>
      </c>
      <c r="DH23">
        <v>24.181100000000001</v>
      </c>
      <c r="DI23">
        <v>452.38200000000001</v>
      </c>
      <c r="DJ23">
        <v>29.553000000000001</v>
      </c>
      <c r="DK23">
        <v>499.947</v>
      </c>
      <c r="DL23">
        <v>99.249200000000002</v>
      </c>
      <c r="DM23">
        <v>0.100007</v>
      </c>
      <c r="DN23">
        <v>29.7302</v>
      </c>
      <c r="DO23">
        <v>30.007000000000001</v>
      </c>
      <c r="DP23">
        <v>999.9</v>
      </c>
      <c r="DQ23">
        <v>0</v>
      </c>
      <c r="DR23">
        <v>0</v>
      </c>
      <c r="DS23">
        <v>9997.5</v>
      </c>
      <c r="DT23">
        <v>0</v>
      </c>
      <c r="DU23">
        <v>204.35300000000001</v>
      </c>
      <c r="DV23">
        <v>-49.120199999999997</v>
      </c>
      <c r="DW23">
        <v>463.79500000000002</v>
      </c>
      <c r="DX23">
        <v>512.505</v>
      </c>
      <c r="DY23">
        <v>3.4228700000000001</v>
      </c>
      <c r="DZ23">
        <v>500.11200000000002</v>
      </c>
      <c r="EA23">
        <v>24.181100000000001</v>
      </c>
      <c r="EB23">
        <v>2.7396699999999998</v>
      </c>
      <c r="EC23">
        <v>2.3999600000000001</v>
      </c>
      <c r="ED23">
        <v>22.524999999999999</v>
      </c>
      <c r="EE23">
        <v>20.363499999999998</v>
      </c>
      <c r="EF23">
        <v>1799.92</v>
      </c>
      <c r="EG23">
        <v>0.97799700000000001</v>
      </c>
      <c r="EH23">
        <v>2.2002600000000001E-2</v>
      </c>
      <c r="EI23">
        <v>0</v>
      </c>
      <c r="EJ23">
        <v>610.47</v>
      </c>
      <c r="EK23">
        <v>5.0010300000000001</v>
      </c>
      <c r="EL23">
        <v>11222.6</v>
      </c>
      <c r="EM23">
        <v>14700.5</v>
      </c>
      <c r="EN23">
        <v>47.25</v>
      </c>
      <c r="EO23">
        <v>49.186999999999998</v>
      </c>
      <c r="EP23">
        <v>48.686999999999998</v>
      </c>
      <c r="EQ23">
        <v>48.25</v>
      </c>
      <c r="ER23">
        <v>48.936999999999998</v>
      </c>
      <c r="ES23">
        <v>1755.43</v>
      </c>
      <c r="ET23">
        <v>39.49</v>
      </c>
      <c r="EU23">
        <v>0</v>
      </c>
      <c r="EV23">
        <v>286.79999995231628</v>
      </c>
      <c r="EW23">
        <v>0</v>
      </c>
      <c r="EX23">
        <v>610.73843999999997</v>
      </c>
      <c r="EY23">
        <v>-1.4997692307640911</v>
      </c>
      <c r="EZ23">
        <v>-225.94615409111401</v>
      </c>
      <c r="FA23">
        <v>11265.255999999999</v>
      </c>
      <c r="FB23">
        <v>15</v>
      </c>
      <c r="FC23">
        <v>1700156846.5999999</v>
      </c>
      <c r="FD23" t="s">
        <v>449</v>
      </c>
      <c r="FE23">
        <v>1700156846.5999999</v>
      </c>
      <c r="FF23">
        <v>1700156844.0999999</v>
      </c>
      <c r="FG23">
        <v>9</v>
      </c>
      <c r="FH23">
        <v>5.0999999999999997E-2</v>
      </c>
      <c r="FI23">
        <v>0</v>
      </c>
      <c r="FJ23">
        <v>-1.36</v>
      </c>
      <c r="FK23">
        <v>-1.9490000000000001</v>
      </c>
      <c r="FL23">
        <v>500</v>
      </c>
      <c r="FM23">
        <v>24</v>
      </c>
      <c r="FN23">
        <v>0.03</v>
      </c>
      <c r="FO23">
        <v>0.05</v>
      </c>
      <c r="FP23">
        <v>47.32703190344855</v>
      </c>
      <c r="FQ23">
        <v>0.41026302580749041</v>
      </c>
      <c r="FR23">
        <v>3.9855072794125743E-2</v>
      </c>
      <c r="FS23">
        <v>1</v>
      </c>
      <c r="FT23">
        <v>0.22715568964069921</v>
      </c>
      <c r="FU23">
        <v>4.972433566838326E-2</v>
      </c>
      <c r="FV23">
        <v>4.1906003632306956E-3</v>
      </c>
      <c r="FW23">
        <v>1</v>
      </c>
      <c r="FX23">
        <v>2</v>
      </c>
      <c r="FY23">
        <v>2</v>
      </c>
      <c r="FZ23" t="s">
        <v>420</v>
      </c>
      <c r="GA23">
        <v>2.8962300000000001</v>
      </c>
      <c r="GB23">
        <v>2.81799</v>
      </c>
      <c r="GC23">
        <v>9.8868399999999995E-2</v>
      </c>
      <c r="GD23">
        <v>0.106461</v>
      </c>
      <c r="GE23">
        <v>0.137459</v>
      </c>
      <c r="GF23">
        <v>0.11885999999999999</v>
      </c>
      <c r="GG23">
        <v>24933</v>
      </c>
      <c r="GH23">
        <v>24777.5</v>
      </c>
      <c r="GI23">
        <v>24560.6</v>
      </c>
      <c r="GJ23">
        <v>24779.5</v>
      </c>
      <c r="GK23">
        <v>28187.200000000001</v>
      </c>
      <c r="GL23">
        <v>28345.599999999999</v>
      </c>
      <c r="GM23">
        <v>33257.199999999997</v>
      </c>
      <c r="GN23">
        <v>33097.599999999999</v>
      </c>
      <c r="GO23">
        <v>1.9114199999999999</v>
      </c>
      <c r="GP23">
        <v>2.5069300000000001</v>
      </c>
      <c r="GQ23">
        <v>5.1282300000000003E-2</v>
      </c>
      <c r="GR23">
        <v>0</v>
      </c>
      <c r="GS23">
        <v>29.171900000000001</v>
      </c>
      <c r="GT23">
        <v>999.9</v>
      </c>
      <c r="GU23">
        <v>36.299999999999997</v>
      </c>
      <c r="GV23">
        <v>42.2</v>
      </c>
      <c r="GW23">
        <v>30.471699999999998</v>
      </c>
      <c r="GX23">
        <v>62.524700000000003</v>
      </c>
      <c r="GY23">
        <v>-5.1482400000000004</v>
      </c>
      <c r="GZ23">
        <v>3</v>
      </c>
      <c r="HA23">
        <v>0.67234000000000005</v>
      </c>
      <c r="HB23">
        <v>3.0976300000000001</v>
      </c>
      <c r="HC23">
        <v>20.1371</v>
      </c>
      <c r="HD23">
        <v>5.2300199999999997</v>
      </c>
      <c r="HE23">
        <v>11.920400000000001</v>
      </c>
      <c r="HF23">
        <v>4.9592000000000001</v>
      </c>
      <c r="HG23">
        <v>3.2884000000000002</v>
      </c>
      <c r="HH23">
        <v>9999</v>
      </c>
      <c r="HI23">
        <v>9999</v>
      </c>
      <c r="HJ23">
        <v>9999</v>
      </c>
      <c r="HK23">
        <v>999.9</v>
      </c>
      <c r="HL23">
        <v>1.8811100000000001</v>
      </c>
      <c r="HM23">
        <v>1.87836</v>
      </c>
      <c r="HN23">
        <v>1.88629</v>
      </c>
      <c r="HO23">
        <v>1.8840300000000001</v>
      </c>
      <c r="HP23">
        <v>1.8815599999999999</v>
      </c>
      <c r="HQ23">
        <v>1.88059</v>
      </c>
      <c r="HR23">
        <v>1.8817200000000001</v>
      </c>
      <c r="HS23">
        <v>1.8812599999999999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423</v>
      </c>
      <c r="IB23" t="s">
        <v>423</v>
      </c>
      <c r="IC23" t="s">
        <v>423</v>
      </c>
      <c r="ID23">
        <v>0</v>
      </c>
      <c r="IE23">
        <v>100</v>
      </c>
      <c r="IF23">
        <v>100</v>
      </c>
      <c r="IG23">
        <v>-1.39</v>
      </c>
      <c r="IH23">
        <v>-1.9490000000000001</v>
      </c>
      <c r="II23">
        <v>-1.7173035618222019</v>
      </c>
      <c r="IJ23">
        <v>8.9935118796959448E-4</v>
      </c>
      <c r="IK23">
        <v>-5.3495398746875769E-7</v>
      </c>
      <c r="IL23">
        <v>3.209454383910538E-10</v>
      </c>
      <c r="IM23">
        <v>-1.9490285714285669</v>
      </c>
      <c r="IN23">
        <v>0</v>
      </c>
      <c r="IO23">
        <v>0</v>
      </c>
      <c r="IP23">
        <v>0</v>
      </c>
      <c r="IQ23">
        <v>1</v>
      </c>
      <c r="IR23">
        <v>2101</v>
      </c>
      <c r="IS23">
        <v>1</v>
      </c>
      <c r="IT23">
        <v>21</v>
      </c>
      <c r="IU23">
        <v>0.6</v>
      </c>
      <c r="IV23">
        <v>0.6</v>
      </c>
      <c r="IW23">
        <v>1.8591299999999999</v>
      </c>
      <c r="IX23">
        <v>2.4841299999999999</v>
      </c>
      <c r="IY23">
        <v>2.34375</v>
      </c>
      <c r="IZ23">
        <v>2.9162599999999999</v>
      </c>
      <c r="JA23">
        <v>3.0480999999999998</v>
      </c>
      <c r="JB23">
        <v>2.4206500000000002</v>
      </c>
      <c r="JC23">
        <v>46.152700000000003</v>
      </c>
      <c r="JD23">
        <v>23.947399999999998</v>
      </c>
      <c r="JE23">
        <v>18</v>
      </c>
      <c r="JF23">
        <v>483.36500000000001</v>
      </c>
      <c r="JG23">
        <v>1189.28</v>
      </c>
      <c r="JH23">
        <v>25.253699999999998</v>
      </c>
      <c r="JI23">
        <v>35.377000000000002</v>
      </c>
      <c r="JJ23">
        <v>30.0002</v>
      </c>
      <c r="JK23">
        <v>35.365699999999997</v>
      </c>
      <c r="JL23">
        <v>35.346699999999998</v>
      </c>
      <c r="JM23">
        <v>37.310200000000002</v>
      </c>
      <c r="JN23">
        <v>9.9606300000000001</v>
      </c>
      <c r="JO23">
        <v>49.866300000000003</v>
      </c>
      <c r="JP23">
        <v>25.2407</v>
      </c>
      <c r="JQ23">
        <v>500</v>
      </c>
      <c r="JR23">
        <v>24.046800000000001</v>
      </c>
      <c r="JS23">
        <v>99.205200000000005</v>
      </c>
      <c r="JT23">
        <v>98.779499999999999</v>
      </c>
    </row>
    <row r="24" spans="1:280" x14ac:dyDescent="0.25">
      <c r="A24">
        <v>8</v>
      </c>
      <c r="B24">
        <v>1700157019.0999999</v>
      </c>
      <c r="C24">
        <v>1020.5</v>
      </c>
      <c r="D24" t="s">
        <v>450</v>
      </c>
      <c r="E24" t="s">
        <v>451</v>
      </c>
      <c r="F24" t="s">
        <v>412</v>
      </c>
      <c r="G24" t="s">
        <v>413</v>
      </c>
      <c r="H24" t="s">
        <v>414</v>
      </c>
      <c r="I24">
        <v>1700157019.0999999</v>
      </c>
      <c r="J24">
        <f t="shared" si="0"/>
        <v>3.7135252693351497E-3</v>
      </c>
      <c r="K24">
        <f t="shared" si="1"/>
        <v>3.7135252693351499</v>
      </c>
      <c r="L24">
        <f t="shared" si="2"/>
        <v>42.74831548777366</v>
      </c>
      <c r="M24">
        <f t="shared" si="3"/>
        <v>355.97399999999999</v>
      </c>
      <c r="N24">
        <f t="shared" si="4"/>
        <v>62.358844671752983</v>
      </c>
      <c r="O24">
        <f t="shared" si="5"/>
        <v>6.1951370778660557</v>
      </c>
      <c r="P24">
        <f t="shared" si="6"/>
        <v>35.364794485284001</v>
      </c>
      <c r="Q24">
        <f t="shared" si="7"/>
        <v>0.24603683134991028</v>
      </c>
      <c r="R24">
        <f t="shared" si="8"/>
        <v>3.1256589036475502</v>
      </c>
      <c r="S24">
        <f t="shared" si="9"/>
        <v>0.23576166777350663</v>
      </c>
      <c r="T24">
        <f t="shared" si="10"/>
        <v>0.14823846621253434</v>
      </c>
      <c r="U24">
        <f t="shared" si="11"/>
        <v>344.3288986443626</v>
      </c>
      <c r="V24">
        <f t="shared" si="12"/>
        <v>30.817277927234098</v>
      </c>
      <c r="W24">
        <f t="shared" si="13"/>
        <v>29.9999</v>
      </c>
      <c r="X24">
        <f t="shared" si="14"/>
        <v>4.2604253008088762</v>
      </c>
      <c r="Y24">
        <f t="shared" si="15"/>
        <v>65.249826464716094</v>
      </c>
      <c r="Z24">
        <f t="shared" si="16"/>
        <v>2.7508170006306001</v>
      </c>
      <c r="AA24">
        <f t="shared" si="17"/>
        <v>4.2158227073877459</v>
      </c>
      <c r="AB24">
        <f t="shared" si="18"/>
        <v>1.5096083001782761</v>
      </c>
      <c r="AC24">
        <f t="shared" si="19"/>
        <v>-163.76646437768011</v>
      </c>
      <c r="AD24">
        <f t="shared" si="20"/>
        <v>-30.854276727142029</v>
      </c>
      <c r="AE24">
        <f t="shared" si="21"/>
        <v>-2.1928997146709475</v>
      </c>
      <c r="AF24">
        <f t="shared" si="22"/>
        <v>147.51525782486951</v>
      </c>
      <c r="AG24">
        <v>4</v>
      </c>
      <c r="AH24">
        <v>1</v>
      </c>
      <c r="AI24">
        <f t="shared" si="23"/>
        <v>1</v>
      </c>
      <c r="AJ24">
        <f t="shared" si="24"/>
        <v>0</v>
      </c>
      <c r="AK24">
        <f t="shared" si="25"/>
        <v>51887.678907354239</v>
      </c>
      <c r="AL24" t="s">
        <v>426</v>
      </c>
      <c r="AM24" t="s">
        <v>426</v>
      </c>
      <c r="AN24">
        <v>0</v>
      </c>
      <c r="AO24">
        <v>0</v>
      </c>
      <c r="AP24" t="e">
        <f t="shared" si="26"/>
        <v>#DIV/0!</v>
      </c>
      <c r="AQ24">
        <v>0</v>
      </c>
      <c r="AR24" t="s">
        <v>426</v>
      </c>
      <c r="AS24" t="s">
        <v>426</v>
      </c>
      <c r="AT24">
        <v>0</v>
      </c>
      <c r="AU24">
        <v>0</v>
      </c>
      <c r="AV24" t="e">
        <f t="shared" si="27"/>
        <v>#DIV/0!</v>
      </c>
      <c r="AW24">
        <v>0.5</v>
      </c>
      <c r="AX24">
        <f t="shared" si="28"/>
        <v>1513.0079993221811</v>
      </c>
      <c r="AY24">
        <f t="shared" si="29"/>
        <v>42.74831548777366</v>
      </c>
      <c r="AZ24" t="e">
        <f t="shared" si="30"/>
        <v>#DIV/0!</v>
      </c>
      <c r="BA24">
        <f t="shared" si="31"/>
        <v>2.8253859534731248E-2</v>
      </c>
      <c r="BB24" t="e">
        <f t="shared" si="32"/>
        <v>#DIV/0!</v>
      </c>
      <c r="BC24" t="e">
        <f t="shared" si="33"/>
        <v>#DIV/0!</v>
      </c>
      <c r="BD24" t="s">
        <v>426</v>
      </c>
      <c r="BE24">
        <v>0</v>
      </c>
      <c r="BF24" t="e">
        <f t="shared" si="34"/>
        <v>#DIV/0!</v>
      </c>
      <c r="BG24" t="e">
        <f t="shared" si="35"/>
        <v>#DIV/0!</v>
      </c>
      <c r="BH24" t="e">
        <f t="shared" si="36"/>
        <v>#DIV/0!</v>
      </c>
      <c r="BI24" t="e">
        <f t="shared" si="37"/>
        <v>#DIV/0!</v>
      </c>
      <c r="BJ24" t="e">
        <f t="shared" si="38"/>
        <v>#DIV/0!</v>
      </c>
      <c r="BK24" t="e">
        <f t="shared" si="39"/>
        <v>#DIV/0!</v>
      </c>
      <c r="BL24" t="e">
        <f t="shared" si="40"/>
        <v>#DIV/0!</v>
      </c>
      <c r="BM24" t="e">
        <f t="shared" si="41"/>
        <v>#DIV/0!</v>
      </c>
      <c r="BN24">
        <v>322</v>
      </c>
      <c r="BO24">
        <v>290.00000000000011</v>
      </c>
      <c r="BP24">
        <v>807.05</v>
      </c>
      <c r="BQ24">
        <v>295</v>
      </c>
      <c r="BR24">
        <v>7234.65</v>
      </c>
      <c r="BS24">
        <v>808.7</v>
      </c>
      <c r="BT24">
        <v>-1.65</v>
      </c>
      <c r="BU24">
        <v>300.00000000000011</v>
      </c>
      <c r="BV24">
        <v>38.1</v>
      </c>
      <c r="BW24">
        <v>880.89856954050936</v>
      </c>
      <c r="BX24">
        <v>1.318089207309417</v>
      </c>
      <c r="BY24">
        <v>-52.236284596790533</v>
      </c>
      <c r="BZ24">
        <v>0.79936012535439305</v>
      </c>
      <c r="CA24">
        <v>0.99348581476154918</v>
      </c>
      <c r="CB24">
        <v>-7.1349385984427229E-3</v>
      </c>
      <c r="CC24">
        <v>289.99999999999989</v>
      </c>
      <c r="CD24">
        <v>817.43</v>
      </c>
      <c r="CE24">
        <v>835</v>
      </c>
      <c r="CF24">
        <v>7228.13</v>
      </c>
      <c r="CG24">
        <v>808.63</v>
      </c>
      <c r="CH24">
        <v>8.8000000000000007</v>
      </c>
      <c r="CV24">
        <f t="shared" si="42"/>
        <v>1799.79</v>
      </c>
      <c r="CW24">
        <f t="shared" si="43"/>
        <v>1513.0079993221811</v>
      </c>
      <c r="CX24">
        <f t="shared" si="44"/>
        <v>0.84065807639901391</v>
      </c>
      <c r="CY24">
        <f t="shared" si="45"/>
        <v>0.19131615279802788</v>
      </c>
      <c r="CZ24">
        <v>5</v>
      </c>
      <c r="DA24">
        <v>0.5</v>
      </c>
      <c r="DB24" t="s">
        <v>418</v>
      </c>
      <c r="DC24">
        <v>2</v>
      </c>
      <c r="DD24">
        <v>1700157019.0999999</v>
      </c>
      <c r="DE24">
        <v>355.97399999999999</v>
      </c>
      <c r="DF24">
        <v>400.04300000000001</v>
      </c>
      <c r="DG24">
        <v>27.6891</v>
      </c>
      <c r="DH24">
        <v>24.078499999999998</v>
      </c>
      <c r="DI24">
        <v>357.37400000000002</v>
      </c>
      <c r="DJ24">
        <v>29.6357</v>
      </c>
      <c r="DK24">
        <v>500.01400000000001</v>
      </c>
      <c r="DL24">
        <v>99.246399999999994</v>
      </c>
      <c r="DM24">
        <v>0.10016600000000001</v>
      </c>
      <c r="DN24">
        <v>29.816800000000001</v>
      </c>
      <c r="DO24">
        <v>29.9999</v>
      </c>
      <c r="DP24">
        <v>999.9</v>
      </c>
      <c r="DQ24">
        <v>0</v>
      </c>
      <c r="DR24">
        <v>0</v>
      </c>
      <c r="DS24">
        <v>9979.3799999999992</v>
      </c>
      <c r="DT24">
        <v>0</v>
      </c>
      <c r="DU24">
        <v>181.08199999999999</v>
      </c>
      <c r="DV24">
        <v>-44.069200000000002</v>
      </c>
      <c r="DW24">
        <v>366.11099999999999</v>
      </c>
      <c r="DX24">
        <v>409.91300000000001</v>
      </c>
      <c r="DY24">
        <v>3.6106400000000001</v>
      </c>
      <c r="DZ24">
        <v>400.04300000000001</v>
      </c>
      <c r="EA24">
        <v>24.078499999999998</v>
      </c>
      <c r="EB24">
        <v>2.7480500000000001</v>
      </c>
      <c r="EC24">
        <v>2.3896999999999999</v>
      </c>
      <c r="ED24">
        <v>22.575299999999999</v>
      </c>
      <c r="EE24">
        <v>20.2942</v>
      </c>
      <c r="EF24">
        <v>1799.79</v>
      </c>
      <c r="EG24">
        <v>0.97800500000000001</v>
      </c>
      <c r="EH24">
        <v>2.1995299999999999E-2</v>
      </c>
      <c r="EI24">
        <v>0</v>
      </c>
      <c r="EJ24">
        <v>611.83399999999995</v>
      </c>
      <c r="EK24">
        <v>5.0010300000000001</v>
      </c>
      <c r="EL24">
        <v>11286.2</v>
      </c>
      <c r="EM24">
        <v>14699.4</v>
      </c>
      <c r="EN24">
        <v>47.875</v>
      </c>
      <c r="EO24">
        <v>49.75</v>
      </c>
      <c r="EP24">
        <v>49.375</v>
      </c>
      <c r="EQ24">
        <v>48.75</v>
      </c>
      <c r="ER24">
        <v>49.436999999999998</v>
      </c>
      <c r="ES24">
        <v>1755.31</v>
      </c>
      <c r="ET24">
        <v>39.479999999999997</v>
      </c>
      <c r="EU24">
        <v>0</v>
      </c>
      <c r="EV24">
        <v>135</v>
      </c>
      <c r="EW24">
        <v>0</v>
      </c>
      <c r="EX24">
        <v>612.11252000000002</v>
      </c>
      <c r="EY24">
        <v>-1.336846156823251</v>
      </c>
      <c r="EZ24">
        <v>-13.653846132437421</v>
      </c>
      <c r="FA24">
        <v>11291.556</v>
      </c>
      <c r="FB24">
        <v>15</v>
      </c>
      <c r="FC24">
        <v>1700156978.0999999</v>
      </c>
      <c r="FD24" t="s">
        <v>452</v>
      </c>
      <c r="FE24">
        <v>1700156978.0999999</v>
      </c>
      <c r="FF24">
        <v>1700156975.0999999</v>
      </c>
      <c r="FG24">
        <v>10</v>
      </c>
      <c r="FH24">
        <v>4.9000000000000002E-2</v>
      </c>
      <c r="FI24">
        <v>2E-3</v>
      </c>
      <c r="FJ24">
        <v>-1.373</v>
      </c>
      <c r="FK24">
        <v>-1.9470000000000001</v>
      </c>
      <c r="FL24">
        <v>400</v>
      </c>
      <c r="FM24">
        <v>24</v>
      </c>
      <c r="FN24">
        <v>0.05</v>
      </c>
      <c r="FO24">
        <v>0.03</v>
      </c>
      <c r="FP24">
        <v>42.617973494302937</v>
      </c>
      <c r="FQ24">
        <v>0.51580146145760164</v>
      </c>
      <c r="FR24">
        <v>5.5616123876678678E-2</v>
      </c>
      <c r="FS24">
        <v>1</v>
      </c>
      <c r="FT24">
        <v>0.2456110904398148</v>
      </c>
      <c r="FU24">
        <v>3.9533731336314319E-2</v>
      </c>
      <c r="FV24">
        <v>4.3833683174412724E-3</v>
      </c>
      <c r="FW24">
        <v>1</v>
      </c>
      <c r="FX24">
        <v>2</v>
      </c>
      <c r="FY24">
        <v>2</v>
      </c>
      <c r="FZ24" t="s">
        <v>420</v>
      </c>
      <c r="GA24">
        <v>2.8964599999999998</v>
      </c>
      <c r="GB24">
        <v>2.81799</v>
      </c>
      <c r="GC24">
        <v>8.2503999999999994E-2</v>
      </c>
      <c r="GD24">
        <v>9.0064000000000005E-2</v>
      </c>
      <c r="GE24">
        <v>0.13772899999999999</v>
      </c>
      <c r="GF24">
        <v>0.118523</v>
      </c>
      <c r="GG24">
        <v>25387.4</v>
      </c>
      <c r="GH24">
        <v>25231.8</v>
      </c>
      <c r="GI24">
        <v>24562.2</v>
      </c>
      <c r="GJ24">
        <v>24779.200000000001</v>
      </c>
      <c r="GK24">
        <v>28180</v>
      </c>
      <c r="GL24">
        <v>28355.3</v>
      </c>
      <c r="GM24">
        <v>33259.300000000003</v>
      </c>
      <c r="GN24">
        <v>33096.400000000001</v>
      </c>
      <c r="GO24">
        <v>1.91205</v>
      </c>
      <c r="GP24">
        <v>2.5086300000000001</v>
      </c>
      <c r="GQ24">
        <v>5.2385000000000001E-2</v>
      </c>
      <c r="GR24">
        <v>0</v>
      </c>
      <c r="GS24">
        <v>29.146799999999999</v>
      </c>
      <c r="GT24">
        <v>999.9</v>
      </c>
      <c r="GU24">
        <v>36</v>
      </c>
      <c r="GV24">
        <v>42.1</v>
      </c>
      <c r="GW24">
        <v>30.058199999999999</v>
      </c>
      <c r="GX24">
        <v>62.654699999999998</v>
      </c>
      <c r="GY24">
        <v>-5.0400600000000004</v>
      </c>
      <c r="GZ24">
        <v>3</v>
      </c>
      <c r="HA24">
        <v>0.66909600000000002</v>
      </c>
      <c r="HB24">
        <v>2.8213200000000001</v>
      </c>
      <c r="HC24">
        <v>20.1419</v>
      </c>
      <c r="HD24">
        <v>5.2336099999999997</v>
      </c>
      <c r="HE24">
        <v>11.9207</v>
      </c>
      <c r="HF24">
        <v>4.9596499999999999</v>
      </c>
      <c r="HG24">
        <v>3.28898</v>
      </c>
      <c r="HH24">
        <v>9999</v>
      </c>
      <c r="HI24">
        <v>9999</v>
      </c>
      <c r="HJ24">
        <v>9999</v>
      </c>
      <c r="HK24">
        <v>999.9</v>
      </c>
      <c r="HL24">
        <v>1.8811</v>
      </c>
      <c r="HM24">
        <v>1.87836</v>
      </c>
      <c r="HN24">
        <v>1.8862699999999999</v>
      </c>
      <c r="HO24">
        <v>1.8839999999999999</v>
      </c>
      <c r="HP24">
        <v>1.8815599999999999</v>
      </c>
      <c r="HQ24">
        <v>1.8805000000000001</v>
      </c>
      <c r="HR24">
        <v>1.88171</v>
      </c>
      <c r="HS24">
        <v>1.88124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423</v>
      </c>
      <c r="IB24" t="s">
        <v>423</v>
      </c>
      <c r="IC24" t="s">
        <v>423</v>
      </c>
      <c r="ID24">
        <v>0</v>
      </c>
      <c r="IE24">
        <v>100</v>
      </c>
      <c r="IF24">
        <v>100</v>
      </c>
      <c r="IG24">
        <v>-1.4</v>
      </c>
      <c r="IH24">
        <v>-1.9466000000000001</v>
      </c>
      <c r="II24">
        <v>-1.6680636993821041</v>
      </c>
      <c r="IJ24">
        <v>8.9935118796959448E-4</v>
      </c>
      <c r="IK24">
        <v>-5.3495398746875769E-7</v>
      </c>
      <c r="IL24">
        <v>3.209454383910538E-10</v>
      </c>
      <c r="IM24">
        <v>-1.9465749999999959</v>
      </c>
      <c r="IN24">
        <v>0</v>
      </c>
      <c r="IO24">
        <v>0</v>
      </c>
      <c r="IP24">
        <v>0</v>
      </c>
      <c r="IQ24">
        <v>1</v>
      </c>
      <c r="IR24">
        <v>2101</v>
      </c>
      <c r="IS24">
        <v>1</v>
      </c>
      <c r="IT24">
        <v>21</v>
      </c>
      <c r="IU24">
        <v>0.7</v>
      </c>
      <c r="IV24">
        <v>0.7</v>
      </c>
      <c r="IW24">
        <v>1.5527299999999999</v>
      </c>
      <c r="IX24">
        <v>2.49634</v>
      </c>
      <c r="IY24">
        <v>2.34375</v>
      </c>
      <c r="IZ24">
        <v>2.9150399999999999</v>
      </c>
      <c r="JA24">
        <v>3.0480999999999998</v>
      </c>
      <c r="JB24">
        <v>2.34497</v>
      </c>
      <c r="JC24">
        <v>46.152700000000003</v>
      </c>
      <c r="JD24">
        <v>23.947399999999998</v>
      </c>
      <c r="JE24">
        <v>18</v>
      </c>
      <c r="JF24">
        <v>483.47500000000002</v>
      </c>
      <c r="JG24">
        <v>1190.77</v>
      </c>
      <c r="JH24">
        <v>25.447099999999999</v>
      </c>
      <c r="JI24">
        <v>35.347700000000003</v>
      </c>
      <c r="JJ24">
        <v>29.9998</v>
      </c>
      <c r="JK24">
        <v>35.325000000000003</v>
      </c>
      <c r="JL24">
        <v>35.296999999999997</v>
      </c>
      <c r="JM24">
        <v>31.186499999999999</v>
      </c>
      <c r="JN24">
        <v>8.9396100000000001</v>
      </c>
      <c r="JO24">
        <v>48.8523</v>
      </c>
      <c r="JP24">
        <v>25.4557</v>
      </c>
      <c r="JQ24">
        <v>400</v>
      </c>
      <c r="JR24">
        <v>23.966000000000001</v>
      </c>
      <c r="JS24">
        <v>99.211600000000004</v>
      </c>
      <c r="JT24">
        <v>98.777100000000004</v>
      </c>
    </row>
    <row r="25" spans="1:280" x14ac:dyDescent="0.25">
      <c r="A25">
        <v>9</v>
      </c>
      <c r="B25">
        <v>1700157257.5</v>
      </c>
      <c r="C25">
        <v>1258.900000095367</v>
      </c>
      <c r="D25" t="s">
        <v>453</v>
      </c>
      <c r="E25" t="s">
        <v>454</v>
      </c>
      <c r="F25" t="s">
        <v>412</v>
      </c>
      <c r="G25" t="s">
        <v>413</v>
      </c>
      <c r="H25" t="s">
        <v>414</v>
      </c>
      <c r="I25">
        <v>1700157257.5</v>
      </c>
      <c r="J25">
        <f t="shared" si="0"/>
        <v>4.9175262287714811E-3</v>
      </c>
      <c r="K25">
        <f t="shared" si="1"/>
        <v>4.9175262287714814</v>
      </c>
      <c r="L25">
        <f t="shared" si="2"/>
        <v>39.726629027749901</v>
      </c>
      <c r="M25">
        <f t="shared" si="3"/>
        <v>259.01900000000001</v>
      </c>
      <c r="N25">
        <f t="shared" si="4"/>
        <v>57.183451088404638</v>
      </c>
      <c r="O25">
        <f t="shared" si="5"/>
        <v>5.6801551410310731</v>
      </c>
      <c r="P25">
        <f t="shared" si="6"/>
        <v>25.72891416085</v>
      </c>
      <c r="Q25">
        <f t="shared" si="7"/>
        <v>0.33749917238089966</v>
      </c>
      <c r="R25">
        <f t="shared" si="8"/>
        <v>3.1283214411375035</v>
      </c>
      <c r="S25">
        <f t="shared" si="9"/>
        <v>0.31849703083569381</v>
      </c>
      <c r="T25">
        <f t="shared" si="10"/>
        <v>0.20067870189163439</v>
      </c>
      <c r="U25">
        <f t="shared" si="11"/>
        <v>344.3788986442151</v>
      </c>
      <c r="V25">
        <f t="shared" si="12"/>
        <v>30.796064744947966</v>
      </c>
      <c r="W25">
        <f t="shared" si="13"/>
        <v>30.0123</v>
      </c>
      <c r="X25">
        <f t="shared" si="14"/>
        <v>4.2634607151818038</v>
      </c>
      <c r="Y25">
        <f t="shared" si="15"/>
        <v>65.012333031957553</v>
      </c>
      <c r="Z25">
        <f t="shared" si="16"/>
        <v>2.7842006987799999</v>
      </c>
      <c r="AA25">
        <f t="shared" si="17"/>
        <v>4.2825731194901042</v>
      </c>
      <c r="AB25">
        <f t="shared" si="18"/>
        <v>1.4792600164018039</v>
      </c>
      <c r="AC25">
        <f t="shared" si="19"/>
        <v>-216.86290668882231</v>
      </c>
      <c r="AD25">
        <f t="shared" si="20"/>
        <v>13.138151705145678</v>
      </c>
      <c r="AE25">
        <f t="shared" si="21"/>
        <v>0.93429140825262647</v>
      </c>
      <c r="AF25">
        <f t="shared" si="22"/>
        <v>141.58843506879111</v>
      </c>
      <c r="AG25">
        <v>3</v>
      </c>
      <c r="AH25">
        <v>1</v>
      </c>
      <c r="AI25">
        <f t="shared" si="23"/>
        <v>1</v>
      </c>
      <c r="AJ25">
        <f t="shared" si="24"/>
        <v>0</v>
      </c>
      <c r="AK25">
        <f t="shared" si="25"/>
        <v>51908.100906400417</v>
      </c>
      <c r="AL25" t="s">
        <v>415</v>
      </c>
      <c r="AM25">
        <v>7163.32</v>
      </c>
      <c r="AN25">
        <v>295.04692307692312</v>
      </c>
      <c r="AO25">
        <v>723.15082041179414</v>
      </c>
      <c r="AP25">
        <f t="shared" si="26"/>
        <v>0.59199808013920208</v>
      </c>
      <c r="AQ25">
        <v>-3.795255127542589</v>
      </c>
      <c r="AR25" t="s">
        <v>455</v>
      </c>
      <c r="AS25">
        <v>7227.17</v>
      </c>
      <c r="AT25">
        <v>612.62419999999997</v>
      </c>
      <c r="AU25">
        <v>830.70597989392024</v>
      </c>
      <c r="AV25">
        <f t="shared" si="27"/>
        <v>0.26252583365509052</v>
      </c>
      <c r="AW25">
        <v>0.5</v>
      </c>
      <c r="AX25">
        <f t="shared" si="28"/>
        <v>1513.2266993221076</v>
      </c>
      <c r="AY25">
        <f t="shared" si="29"/>
        <v>39.726629027749901</v>
      </c>
      <c r="AZ25">
        <f t="shared" si="30"/>
        <v>198.63055037433864</v>
      </c>
      <c r="BA25">
        <f t="shared" si="31"/>
        <v>2.8760980872720089E-2</v>
      </c>
      <c r="BB25">
        <f t="shared" si="32"/>
        <v>-0.12947440139513708</v>
      </c>
      <c r="BC25">
        <f t="shared" si="33"/>
        <v>311.50228165999408</v>
      </c>
      <c r="BD25" t="s">
        <v>456</v>
      </c>
      <c r="BE25">
        <v>446.03</v>
      </c>
      <c r="BF25">
        <f t="shared" si="34"/>
        <v>446.03</v>
      </c>
      <c r="BG25">
        <f t="shared" si="35"/>
        <v>0.46307115779164454</v>
      </c>
      <c r="BH25">
        <f t="shared" si="36"/>
        <v>0.56692331024687148</v>
      </c>
      <c r="BI25">
        <f t="shared" si="37"/>
        <v>-0.38811648768324947</v>
      </c>
      <c r="BJ25">
        <f t="shared" si="38"/>
        <v>0.40712796156161296</v>
      </c>
      <c r="BK25">
        <f t="shared" si="39"/>
        <v>-0.25123611383055083</v>
      </c>
      <c r="BL25">
        <f t="shared" si="40"/>
        <v>0.41275679946925387</v>
      </c>
      <c r="BM25">
        <f t="shared" si="41"/>
        <v>0.58724320053074619</v>
      </c>
      <c r="BN25">
        <v>324</v>
      </c>
      <c r="BO25">
        <v>290.00000000000011</v>
      </c>
      <c r="BP25">
        <v>769.92</v>
      </c>
      <c r="BQ25">
        <v>285</v>
      </c>
      <c r="BR25">
        <v>7227.17</v>
      </c>
      <c r="BS25">
        <v>771.88</v>
      </c>
      <c r="BT25">
        <v>-1.96</v>
      </c>
      <c r="BU25">
        <v>300.00000000000011</v>
      </c>
      <c r="BV25">
        <v>38.1</v>
      </c>
      <c r="BW25">
        <v>830.70597989392024</v>
      </c>
      <c r="BX25">
        <v>1.2628401301151411</v>
      </c>
      <c r="BY25">
        <v>-42.512247215475767</v>
      </c>
      <c r="BZ25">
        <v>0.76505949222626179</v>
      </c>
      <c r="CA25">
        <v>0.99101330900278883</v>
      </c>
      <c r="CB25">
        <v>-7.1276751946607398E-3</v>
      </c>
      <c r="CC25">
        <v>289.99999999999989</v>
      </c>
      <c r="CD25">
        <v>778.01</v>
      </c>
      <c r="CE25">
        <v>885</v>
      </c>
      <c r="CF25">
        <v>7219.72</v>
      </c>
      <c r="CG25">
        <v>771.82</v>
      </c>
      <c r="CH25">
        <v>6.19</v>
      </c>
      <c r="CV25">
        <f t="shared" si="42"/>
        <v>1800.05</v>
      </c>
      <c r="CW25">
        <f t="shared" si="43"/>
        <v>1513.2266993221076</v>
      </c>
      <c r="CX25">
        <f t="shared" si="44"/>
        <v>0.84065814800817074</v>
      </c>
      <c r="CY25">
        <f t="shared" si="45"/>
        <v>0.19131629601634126</v>
      </c>
      <c r="CZ25">
        <v>5</v>
      </c>
      <c r="DA25">
        <v>0.5</v>
      </c>
      <c r="DB25" t="s">
        <v>418</v>
      </c>
      <c r="DC25">
        <v>2</v>
      </c>
      <c r="DD25">
        <v>1700157257.5</v>
      </c>
      <c r="DE25">
        <v>259.01900000000001</v>
      </c>
      <c r="DF25">
        <v>300.01600000000002</v>
      </c>
      <c r="DG25">
        <v>28.029199999999999</v>
      </c>
      <c r="DH25">
        <v>23.2499</v>
      </c>
      <c r="DI25">
        <v>260.25200000000001</v>
      </c>
      <c r="DJ25">
        <v>29.976199999999999</v>
      </c>
      <c r="DK25">
        <v>500.041</v>
      </c>
      <c r="DL25">
        <v>99.231999999999999</v>
      </c>
      <c r="DM25">
        <v>0.10015</v>
      </c>
      <c r="DN25">
        <v>30.090199999999999</v>
      </c>
      <c r="DO25">
        <v>30.0123</v>
      </c>
      <c r="DP25">
        <v>999.9</v>
      </c>
      <c r="DQ25">
        <v>0</v>
      </c>
      <c r="DR25">
        <v>0</v>
      </c>
      <c r="DS25">
        <v>9994.3799999999992</v>
      </c>
      <c r="DT25">
        <v>0</v>
      </c>
      <c r="DU25">
        <v>182.51599999999999</v>
      </c>
      <c r="DV25">
        <v>-40.997300000000003</v>
      </c>
      <c r="DW25">
        <v>266.488</v>
      </c>
      <c r="DX25">
        <v>307.15699999999998</v>
      </c>
      <c r="DY25">
        <v>4.7793599999999996</v>
      </c>
      <c r="DZ25">
        <v>300.01600000000002</v>
      </c>
      <c r="EA25">
        <v>23.2499</v>
      </c>
      <c r="EB25">
        <v>2.7814000000000001</v>
      </c>
      <c r="EC25">
        <v>2.3071299999999999</v>
      </c>
      <c r="ED25">
        <v>22.774100000000001</v>
      </c>
      <c r="EE25">
        <v>19.726299999999998</v>
      </c>
      <c r="EF25">
        <v>1800.05</v>
      </c>
      <c r="EG25">
        <v>0.97799999999999998</v>
      </c>
      <c r="EH25">
        <v>2.19998E-2</v>
      </c>
      <c r="EI25">
        <v>0</v>
      </c>
      <c r="EJ25">
        <v>612.71900000000005</v>
      </c>
      <c r="EK25">
        <v>5.0010300000000001</v>
      </c>
      <c r="EL25">
        <v>11345</v>
      </c>
      <c r="EM25">
        <v>14701.5</v>
      </c>
      <c r="EN25">
        <v>48.75</v>
      </c>
      <c r="EO25">
        <v>50.561999999999998</v>
      </c>
      <c r="EP25">
        <v>50.186999999999998</v>
      </c>
      <c r="EQ25">
        <v>49.5</v>
      </c>
      <c r="ER25">
        <v>50.375</v>
      </c>
      <c r="ES25">
        <v>1755.56</v>
      </c>
      <c r="ET25">
        <v>39.49</v>
      </c>
      <c r="EU25">
        <v>0</v>
      </c>
      <c r="EV25">
        <v>373.79999995231628</v>
      </c>
      <c r="EW25">
        <v>0</v>
      </c>
      <c r="EX25">
        <v>612.62419999999997</v>
      </c>
      <c r="EY25">
        <v>-0.91046153823743214</v>
      </c>
      <c r="EZ25">
        <v>-49.169230715563891</v>
      </c>
      <c r="FA25">
        <v>11349.608</v>
      </c>
      <c r="FB25">
        <v>15</v>
      </c>
      <c r="FC25">
        <v>1700157113.5999999</v>
      </c>
      <c r="FD25" t="s">
        <v>457</v>
      </c>
      <c r="FE25">
        <v>1700157111.0999999</v>
      </c>
      <c r="FF25">
        <v>1700157113.5999999</v>
      </c>
      <c r="FG25">
        <v>11</v>
      </c>
      <c r="FH25">
        <v>0.23100000000000001</v>
      </c>
      <c r="FI25">
        <v>0</v>
      </c>
      <c r="FJ25">
        <v>-1.206</v>
      </c>
      <c r="FK25">
        <v>-1.9470000000000001</v>
      </c>
      <c r="FL25">
        <v>300</v>
      </c>
      <c r="FM25">
        <v>24</v>
      </c>
      <c r="FN25">
        <v>0.05</v>
      </c>
      <c r="FO25">
        <v>0.03</v>
      </c>
      <c r="FP25">
        <v>39.58714320514931</v>
      </c>
      <c r="FQ25">
        <v>0.69469387902481239</v>
      </c>
      <c r="FR25">
        <v>5.7618540736431717E-2</v>
      </c>
      <c r="FS25">
        <v>1</v>
      </c>
      <c r="FT25">
        <v>0.32741948580179098</v>
      </c>
      <c r="FU25">
        <v>4.5963782965935493E-2</v>
      </c>
      <c r="FV25">
        <v>3.671139376802351E-3</v>
      </c>
      <c r="FW25">
        <v>1</v>
      </c>
      <c r="FX25">
        <v>2</v>
      </c>
      <c r="FY25">
        <v>2</v>
      </c>
      <c r="FZ25" t="s">
        <v>420</v>
      </c>
      <c r="GA25">
        <v>2.8966699999999999</v>
      </c>
      <c r="GB25">
        <v>2.8180999999999998</v>
      </c>
      <c r="GC25">
        <v>6.3705100000000001E-2</v>
      </c>
      <c r="GD25">
        <v>7.1689600000000006E-2</v>
      </c>
      <c r="GE25">
        <v>0.13880799999999999</v>
      </c>
      <c r="GF25">
        <v>0.115703</v>
      </c>
      <c r="GG25">
        <v>25910.400000000001</v>
      </c>
      <c r="GH25">
        <v>25743.1</v>
      </c>
      <c r="GI25">
        <v>24565.3</v>
      </c>
      <c r="GJ25">
        <v>24781.200000000001</v>
      </c>
      <c r="GK25">
        <v>28147.200000000001</v>
      </c>
      <c r="GL25">
        <v>28447.3</v>
      </c>
      <c r="GM25">
        <v>33262.800000000003</v>
      </c>
      <c r="GN25">
        <v>33098</v>
      </c>
      <c r="GO25">
        <v>1.9142699999999999</v>
      </c>
      <c r="GP25">
        <v>2.5083299999999999</v>
      </c>
      <c r="GQ25">
        <v>4.4066500000000002E-2</v>
      </c>
      <c r="GR25">
        <v>0</v>
      </c>
      <c r="GS25">
        <v>29.294699999999999</v>
      </c>
      <c r="GT25">
        <v>999.9</v>
      </c>
      <c r="GU25">
        <v>35.5</v>
      </c>
      <c r="GV25">
        <v>42.1</v>
      </c>
      <c r="GW25">
        <v>29.645600000000002</v>
      </c>
      <c r="GX25">
        <v>62.644799999999996</v>
      </c>
      <c r="GY25">
        <v>-4.8357400000000004</v>
      </c>
      <c r="GZ25">
        <v>3</v>
      </c>
      <c r="HA25">
        <v>0.66284299999999996</v>
      </c>
      <c r="HB25">
        <v>2.7822300000000002</v>
      </c>
      <c r="HC25">
        <v>20.142800000000001</v>
      </c>
      <c r="HD25">
        <v>5.2336099999999997</v>
      </c>
      <c r="HE25">
        <v>11.920199999999999</v>
      </c>
      <c r="HF25">
        <v>4.9596999999999998</v>
      </c>
      <c r="HG25">
        <v>3.2889300000000001</v>
      </c>
      <c r="HH25">
        <v>9999</v>
      </c>
      <c r="HI25">
        <v>9999</v>
      </c>
      <c r="HJ25">
        <v>9999</v>
      </c>
      <c r="HK25">
        <v>999.9</v>
      </c>
      <c r="HL25">
        <v>1.8811</v>
      </c>
      <c r="HM25">
        <v>1.8783300000000001</v>
      </c>
      <c r="HN25">
        <v>1.88626</v>
      </c>
      <c r="HO25">
        <v>1.8839999999999999</v>
      </c>
      <c r="HP25">
        <v>1.8815599999999999</v>
      </c>
      <c r="HQ25">
        <v>1.88049</v>
      </c>
      <c r="HR25">
        <v>1.8816999999999999</v>
      </c>
      <c r="HS25">
        <v>1.8812500000000001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423</v>
      </c>
      <c r="IB25" t="s">
        <v>423</v>
      </c>
      <c r="IC25" t="s">
        <v>423</v>
      </c>
      <c r="ID25">
        <v>0</v>
      </c>
      <c r="IE25">
        <v>100</v>
      </c>
      <c r="IF25">
        <v>100</v>
      </c>
      <c r="IG25">
        <v>-1.2330000000000001</v>
      </c>
      <c r="IH25">
        <v>-1.9470000000000001</v>
      </c>
      <c r="II25">
        <v>-1.4369805503398749</v>
      </c>
      <c r="IJ25">
        <v>8.9935118796959448E-4</v>
      </c>
      <c r="IK25">
        <v>-5.3495398746875769E-7</v>
      </c>
      <c r="IL25">
        <v>3.209454383910538E-10</v>
      </c>
      <c r="IM25">
        <v>-1.946989999999996</v>
      </c>
      <c r="IN25">
        <v>0</v>
      </c>
      <c r="IO25">
        <v>0</v>
      </c>
      <c r="IP25">
        <v>0</v>
      </c>
      <c r="IQ25">
        <v>1</v>
      </c>
      <c r="IR25">
        <v>2101</v>
      </c>
      <c r="IS25">
        <v>1</v>
      </c>
      <c r="IT25">
        <v>21</v>
      </c>
      <c r="IU25">
        <v>2.4</v>
      </c>
      <c r="IV25">
        <v>2.4</v>
      </c>
      <c r="IW25">
        <v>1.22803</v>
      </c>
      <c r="IX25">
        <v>2.50122</v>
      </c>
      <c r="IY25">
        <v>2.34375</v>
      </c>
      <c r="IZ25">
        <v>2.9162599999999999</v>
      </c>
      <c r="JA25">
        <v>3.0480999999999998</v>
      </c>
      <c r="JB25">
        <v>2.3779300000000001</v>
      </c>
      <c r="JC25">
        <v>46.0657</v>
      </c>
      <c r="JD25">
        <v>23.9649</v>
      </c>
      <c r="JE25">
        <v>18</v>
      </c>
      <c r="JF25">
        <v>484.38099999999997</v>
      </c>
      <c r="JG25">
        <v>1188.8800000000001</v>
      </c>
      <c r="JH25">
        <v>25.790900000000001</v>
      </c>
      <c r="JI25">
        <v>35.279699999999998</v>
      </c>
      <c r="JJ25">
        <v>30</v>
      </c>
      <c r="JK25">
        <v>35.247100000000003</v>
      </c>
      <c r="JL25">
        <v>35.222200000000001</v>
      </c>
      <c r="JM25">
        <v>24.699400000000001</v>
      </c>
      <c r="JN25">
        <v>10.245900000000001</v>
      </c>
      <c r="JO25">
        <v>46.278199999999998</v>
      </c>
      <c r="JP25">
        <v>25.783799999999999</v>
      </c>
      <c r="JQ25">
        <v>300</v>
      </c>
      <c r="JR25">
        <v>23.359500000000001</v>
      </c>
      <c r="JS25">
        <v>99.222899999999996</v>
      </c>
      <c r="JT25">
        <v>98.783100000000005</v>
      </c>
    </row>
    <row r="26" spans="1:280" x14ac:dyDescent="0.25">
      <c r="A26">
        <v>10</v>
      </c>
      <c r="B26">
        <v>1700157446.5</v>
      </c>
      <c r="C26">
        <v>1447.900000095367</v>
      </c>
      <c r="D26" t="s">
        <v>458</v>
      </c>
      <c r="E26" t="s">
        <v>459</v>
      </c>
      <c r="F26" t="s">
        <v>412</v>
      </c>
      <c r="G26" t="s">
        <v>413</v>
      </c>
      <c r="H26" t="s">
        <v>414</v>
      </c>
      <c r="I26">
        <v>1700157446.5</v>
      </c>
      <c r="J26">
        <f t="shared" si="0"/>
        <v>5.6113808140530949E-3</v>
      </c>
      <c r="K26">
        <f t="shared" si="1"/>
        <v>5.6113808140530947</v>
      </c>
      <c r="L26">
        <f t="shared" si="2"/>
        <v>29.740081198038354</v>
      </c>
      <c r="M26">
        <f t="shared" si="3"/>
        <v>169.303</v>
      </c>
      <c r="N26">
        <f t="shared" si="4"/>
        <v>39.641139814131925</v>
      </c>
      <c r="O26">
        <f t="shared" si="5"/>
        <v>3.937118563405468</v>
      </c>
      <c r="P26">
        <f t="shared" si="6"/>
        <v>16.815005503515</v>
      </c>
      <c r="Q26">
        <f t="shared" si="7"/>
        <v>0.39669911861812007</v>
      </c>
      <c r="R26">
        <f t="shared" si="8"/>
        <v>3.1270782872045406</v>
      </c>
      <c r="S26">
        <f t="shared" si="9"/>
        <v>0.37071175741395451</v>
      </c>
      <c r="T26">
        <f t="shared" si="10"/>
        <v>0.23388769622190381</v>
      </c>
      <c r="U26">
        <f t="shared" si="11"/>
        <v>344.38209864457349</v>
      </c>
      <c r="V26">
        <f t="shared" si="12"/>
        <v>30.663787859545419</v>
      </c>
      <c r="W26">
        <f t="shared" si="13"/>
        <v>29.9422</v>
      </c>
      <c r="X26">
        <f t="shared" si="14"/>
        <v>4.2463255908790947</v>
      </c>
      <c r="Y26">
        <f t="shared" si="15"/>
        <v>65.155721056654372</v>
      </c>
      <c r="Z26">
        <f t="shared" si="16"/>
        <v>2.7962570624714997</v>
      </c>
      <c r="AA26">
        <f t="shared" si="17"/>
        <v>4.2916523938705105</v>
      </c>
      <c r="AB26">
        <f t="shared" si="18"/>
        <v>1.4500685284075949</v>
      </c>
      <c r="AC26">
        <f t="shared" si="19"/>
        <v>-247.46189389974148</v>
      </c>
      <c r="AD26">
        <f t="shared" si="20"/>
        <v>31.17174455019552</v>
      </c>
      <c r="AE26">
        <f t="shared" si="21"/>
        <v>2.2172286047727292</v>
      </c>
      <c r="AF26">
        <f t="shared" si="22"/>
        <v>130.30917789980026</v>
      </c>
      <c r="AG26">
        <v>3</v>
      </c>
      <c r="AH26">
        <v>1</v>
      </c>
      <c r="AI26">
        <f t="shared" si="23"/>
        <v>1</v>
      </c>
      <c r="AJ26">
        <f t="shared" si="24"/>
        <v>0</v>
      </c>
      <c r="AK26">
        <f t="shared" si="25"/>
        <v>51869.971793957084</v>
      </c>
      <c r="AL26" t="s">
        <v>415</v>
      </c>
      <c r="AM26">
        <v>7163.32</v>
      </c>
      <c r="AN26">
        <v>295.04692307692312</v>
      </c>
      <c r="AO26">
        <v>723.15082041179414</v>
      </c>
      <c r="AP26">
        <f t="shared" si="26"/>
        <v>0.59199808013920208</v>
      </c>
      <c r="AQ26">
        <v>-3.795255127542589</v>
      </c>
      <c r="AR26" t="s">
        <v>460</v>
      </c>
      <c r="AS26">
        <v>7224.44</v>
      </c>
      <c r="AT26">
        <v>624.6128846153847</v>
      </c>
      <c r="AU26">
        <v>790.85266848284903</v>
      </c>
      <c r="AV26">
        <f t="shared" si="27"/>
        <v>0.21020322810110048</v>
      </c>
      <c r="AW26">
        <v>0.5</v>
      </c>
      <c r="AX26">
        <f t="shared" si="28"/>
        <v>1513.2431993222865</v>
      </c>
      <c r="AY26">
        <f t="shared" si="29"/>
        <v>29.740081198038354</v>
      </c>
      <c r="AZ26">
        <f t="shared" si="30"/>
        <v>159.04430269979082</v>
      </c>
      <c r="BA26">
        <f t="shared" si="31"/>
        <v>2.2161233792823195E-2</v>
      </c>
      <c r="BB26">
        <f t="shared" si="32"/>
        <v>-8.5606144822059374E-2</v>
      </c>
      <c r="BC26">
        <f t="shared" si="33"/>
        <v>305.72512878068108</v>
      </c>
      <c r="BD26" t="s">
        <v>461</v>
      </c>
      <c r="BE26">
        <v>449.41</v>
      </c>
      <c r="BF26">
        <f t="shared" si="34"/>
        <v>449.41</v>
      </c>
      <c r="BG26">
        <f t="shared" si="35"/>
        <v>0.43173992083489288</v>
      </c>
      <c r="BH26">
        <f t="shared" si="36"/>
        <v>0.48687466216840064</v>
      </c>
      <c r="BI26">
        <f t="shared" si="37"/>
        <v>-0.24732098036825328</v>
      </c>
      <c r="BJ26">
        <f t="shared" si="38"/>
        <v>0.33529216917678223</v>
      </c>
      <c r="BK26">
        <f t="shared" si="39"/>
        <v>-0.15814349855847543</v>
      </c>
      <c r="BL26">
        <f t="shared" si="40"/>
        <v>0.3503071219221397</v>
      </c>
      <c r="BM26">
        <f t="shared" si="41"/>
        <v>0.64969287807786036</v>
      </c>
      <c r="BN26">
        <v>326</v>
      </c>
      <c r="BO26">
        <v>290.00000000000011</v>
      </c>
      <c r="BP26">
        <v>746.31</v>
      </c>
      <c r="BQ26">
        <v>295</v>
      </c>
      <c r="BR26">
        <v>7224.44</v>
      </c>
      <c r="BS26">
        <v>747.55</v>
      </c>
      <c r="BT26">
        <v>-1.24</v>
      </c>
      <c r="BU26">
        <v>300.00000000000011</v>
      </c>
      <c r="BV26">
        <v>38.1</v>
      </c>
      <c r="BW26">
        <v>790.85266848284903</v>
      </c>
      <c r="BX26">
        <v>1.1946038379548589</v>
      </c>
      <c r="BY26">
        <v>-31.281695978324951</v>
      </c>
      <c r="BZ26">
        <v>0.72344572875466351</v>
      </c>
      <c r="CA26">
        <v>0.9852451878143812</v>
      </c>
      <c r="CB26">
        <v>-7.1249310344827571E-3</v>
      </c>
      <c r="CC26">
        <v>289.99999999999989</v>
      </c>
      <c r="CD26">
        <v>752.34</v>
      </c>
      <c r="CE26">
        <v>735</v>
      </c>
      <c r="CF26">
        <v>7219.42</v>
      </c>
      <c r="CG26">
        <v>747.52</v>
      </c>
      <c r="CH26">
        <v>4.82</v>
      </c>
      <c r="CV26">
        <f t="shared" si="42"/>
        <v>1800.07</v>
      </c>
      <c r="CW26">
        <f t="shared" si="43"/>
        <v>1513.2431993222865</v>
      </c>
      <c r="CX26">
        <f t="shared" si="44"/>
        <v>0.84065797403561338</v>
      </c>
      <c r="CY26">
        <f t="shared" si="45"/>
        <v>0.19131594807122695</v>
      </c>
      <c r="CZ26">
        <v>5</v>
      </c>
      <c r="DA26">
        <v>0.5</v>
      </c>
      <c r="DB26" t="s">
        <v>418</v>
      </c>
      <c r="DC26">
        <v>2</v>
      </c>
      <c r="DD26">
        <v>1700157446.5</v>
      </c>
      <c r="DE26">
        <v>169.303</v>
      </c>
      <c r="DF26">
        <v>199.99199999999999</v>
      </c>
      <c r="DG26">
        <v>28.154299999999999</v>
      </c>
      <c r="DH26">
        <v>22.7011</v>
      </c>
      <c r="DI26">
        <v>170.572</v>
      </c>
      <c r="DJ26">
        <v>30.1008</v>
      </c>
      <c r="DK26">
        <v>500.01799999999997</v>
      </c>
      <c r="DL26">
        <v>99.218800000000002</v>
      </c>
      <c r="DM26">
        <v>0.100205</v>
      </c>
      <c r="DN26">
        <v>30.127099999999999</v>
      </c>
      <c r="DO26">
        <v>29.9422</v>
      </c>
      <c r="DP26">
        <v>999.9</v>
      </c>
      <c r="DQ26">
        <v>0</v>
      </c>
      <c r="DR26">
        <v>0</v>
      </c>
      <c r="DS26">
        <v>9989.3799999999992</v>
      </c>
      <c r="DT26">
        <v>0</v>
      </c>
      <c r="DU26">
        <v>160.876</v>
      </c>
      <c r="DV26">
        <v>-30.688700000000001</v>
      </c>
      <c r="DW26">
        <v>174.208</v>
      </c>
      <c r="DX26">
        <v>204.63800000000001</v>
      </c>
      <c r="DY26">
        <v>5.4531499999999999</v>
      </c>
      <c r="DZ26">
        <v>199.99199999999999</v>
      </c>
      <c r="EA26">
        <v>22.7011</v>
      </c>
      <c r="EB26">
        <v>2.7934299999999999</v>
      </c>
      <c r="EC26">
        <v>2.25238</v>
      </c>
      <c r="ED26">
        <v>22.845300000000002</v>
      </c>
      <c r="EE26">
        <v>19.3398</v>
      </c>
      <c r="EF26">
        <v>1800.07</v>
      </c>
      <c r="EG26">
        <v>0.97800699999999996</v>
      </c>
      <c r="EH26">
        <v>2.1992500000000002E-2</v>
      </c>
      <c r="EI26">
        <v>0</v>
      </c>
      <c r="EJ26">
        <v>624.36099999999999</v>
      </c>
      <c r="EK26">
        <v>5.0010300000000001</v>
      </c>
      <c r="EL26">
        <v>11527.2</v>
      </c>
      <c r="EM26">
        <v>14701.7</v>
      </c>
      <c r="EN26">
        <v>49.311999999999998</v>
      </c>
      <c r="EO26">
        <v>51</v>
      </c>
      <c r="EP26">
        <v>50.875</v>
      </c>
      <c r="EQ26">
        <v>49.875</v>
      </c>
      <c r="ER26">
        <v>50.75</v>
      </c>
      <c r="ES26">
        <v>1755.59</v>
      </c>
      <c r="ET26">
        <v>39.479999999999997</v>
      </c>
      <c r="EU26">
        <v>0</v>
      </c>
      <c r="EV26">
        <v>187.20000004768369</v>
      </c>
      <c r="EW26">
        <v>0</v>
      </c>
      <c r="EX26">
        <v>624.6128846153847</v>
      </c>
      <c r="EY26">
        <v>-0.3925128247742814</v>
      </c>
      <c r="EZ26">
        <v>-67.935042843606581</v>
      </c>
      <c r="FA26">
        <v>11553.38846153846</v>
      </c>
      <c r="FB26">
        <v>15</v>
      </c>
      <c r="FC26">
        <v>1700157354</v>
      </c>
      <c r="FD26" t="s">
        <v>462</v>
      </c>
      <c r="FE26">
        <v>1700157353</v>
      </c>
      <c r="FF26">
        <v>1700157354</v>
      </c>
      <c r="FG26">
        <v>12</v>
      </c>
      <c r="FH26">
        <v>2.9000000000000001E-2</v>
      </c>
      <c r="FI26">
        <v>0</v>
      </c>
      <c r="FJ26">
        <v>-1.246</v>
      </c>
      <c r="FK26">
        <v>-1.9470000000000001</v>
      </c>
      <c r="FL26">
        <v>200</v>
      </c>
      <c r="FM26">
        <v>23</v>
      </c>
      <c r="FN26">
        <v>0.05</v>
      </c>
      <c r="FO26">
        <v>0.02</v>
      </c>
      <c r="FP26">
        <v>29.681981044707911</v>
      </c>
      <c r="FQ26">
        <v>0.49913866308185251</v>
      </c>
      <c r="FR26">
        <v>4.3396707514338259E-2</v>
      </c>
      <c r="FS26">
        <v>1</v>
      </c>
      <c r="FT26">
        <v>0.39459093407925538</v>
      </c>
      <c r="FU26">
        <v>4.7313072767540203E-2</v>
      </c>
      <c r="FV26">
        <v>4.3506122654109834E-3</v>
      </c>
      <c r="FW26">
        <v>1</v>
      </c>
      <c r="FX26">
        <v>2</v>
      </c>
      <c r="FY26">
        <v>2</v>
      </c>
      <c r="FZ26" t="s">
        <v>420</v>
      </c>
      <c r="GA26">
        <v>2.8966599999999998</v>
      </c>
      <c r="GB26">
        <v>2.81812</v>
      </c>
      <c r="GC26">
        <v>4.3999099999999999E-2</v>
      </c>
      <c r="GD26">
        <v>5.0758200000000003E-2</v>
      </c>
      <c r="GE26">
        <v>0.13919200000000001</v>
      </c>
      <c r="GF26">
        <v>0.11380700000000001</v>
      </c>
      <c r="GG26">
        <v>26455.9</v>
      </c>
      <c r="GH26">
        <v>26324.9</v>
      </c>
      <c r="GI26">
        <v>24566.1</v>
      </c>
      <c r="GJ26">
        <v>24783.200000000001</v>
      </c>
      <c r="GK26">
        <v>28135.3</v>
      </c>
      <c r="GL26">
        <v>28509.599999999999</v>
      </c>
      <c r="GM26">
        <v>33263.699999999997</v>
      </c>
      <c r="GN26">
        <v>33099.5</v>
      </c>
      <c r="GO26">
        <v>1.9148000000000001</v>
      </c>
      <c r="GP26">
        <v>2.5092300000000001</v>
      </c>
      <c r="GQ26">
        <v>4.1775399999999997E-2</v>
      </c>
      <c r="GR26">
        <v>0</v>
      </c>
      <c r="GS26">
        <v>29.262</v>
      </c>
      <c r="GT26">
        <v>999.9</v>
      </c>
      <c r="GU26">
        <v>34.9</v>
      </c>
      <c r="GV26">
        <v>42.1</v>
      </c>
      <c r="GW26">
        <v>29.148499999999999</v>
      </c>
      <c r="GX26">
        <v>62.764800000000001</v>
      </c>
      <c r="GY26">
        <v>-4.7756400000000001</v>
      </c>
      <c r="GZ26">
        <v>3</v>
      </c>
      <c r="HA26">
        <v>0.65963899999999998</v>
      </c>
      <c r="HB26">
        <v>2.3627099999999999</v>
      </c>
      <c r="HC26">
        <v>20.148900000000001</v>
      </c>
      <c r="HD26">
        <v>5.23421</v>
      </c>
      <c r="HE26">
        <v>11.9201</v>
      </c>
      <c r="HF26">
        <v>4.9598000000000004</v>
      </c>
      <c r="HG26">
        <v>3.2889300000000001</v>
      </c>
      <c r="HH26">
        <v>9999</v>
      </c>
      <c r="HI26">
        <v>9999</v>
      </c>
      <c r="HJ26">
        <v>9999</v>
      </c>
      <c r="HK26">
        <v>999.9</v>
      </c>
      <c r="HL26">
        <v>1.8811</v>
      </c>
      <c r="HM26">
        <v>1.87832</v>
      </c>
      <c r="HN26">
        <v>1.88622</v>
      </c>
      <c r="HO26">
        <v>1.8839999999999999</v>
      </c>
      <c r="HP26">
        <v>1.8815500000000001</v>
      </c>
      <c r="HQ26">
        <v>1.8805099999999999</v>
      </c>
      <c r="HR26">
        <v>1.88171</v>
      </c>
      <c r="HS26">
        <v>1.88123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423</v>
      </c>
      <c r="IB26" t="s">
        <v>423</v>
      </c>
      <c r="IC26" t="s">
        <v>423</v>
      </c>
      <c r="ID26">
        <v>0</v>
      </c>
      <c r="IE26">
        <v>100</v>
      </c>
      <c r="IF26">
        <v>100</v>
      </c>
      <c r="IG26">
        <v>-1.2689999999999999</v>
      </c>
      <c r="IH26">
        <v>-1.9464999999999999</v>
      </c>
      <c r="II26">
        <v>-1.407697576191218</v>
      </c>
      <c r="IJ26">
        <v>8.9935118796959448E-4</v>
      </c>
      <c r="IK26">
        <v>-5.3495398746875769E-7</v>
      </c>
      <c r="IL26">
        <v>3.209454383910538E-10</v>
      </c>
      <c r="IM26">
        <v>-1.9465400000000019</v>
      </c>
      <c r="IN26">
        <v>0</v>
      </c>
      <c r="IO26">
        <v>0</v>
      </c>
      <c r="IP26">
        <v>0</v>
      </c>
      <c r="IQ26">
        <v>1</v>
      </c>
      <c r="IR26">
        <v>2101</v>
      </c>
      <c r="IS26">
        <v>1</v>
      </c>
      <c r="IT26">
        <v>21</v>
      </c>
      <c r="IU26">
        <v>1.6</v>
      </c>
      <c r="IV26">
        <v>1.5</v>
      </c>
      <c r="IW26">
        <v>0.88622999999999996</v>
      </c>
      <c r="IX26">
        <v>2.50854</v>
      </c>
      <c r="IY26">
        <v>2.34375</v>
      </c>
      <c r="IZ26">
        <v>2.9162599999999999</v>
      </c>
      <c r="JA26">
        <v>3.0480999999999998</v>
      </c>
      <c r="JB26">
        <v>2.4218799999999998</v>
      </c>
      <c r="JC26">
        <v>46.0077</v>
      </c>
      <c r="JD26">
        <v>23.991199999999999</v>
      </c>
      <c r="JE26">
        <v>18</v>
      </c>
      <c r="JF26">
        <v>484.483</v>
      </c>
      <c r="JG26">
        <v>1189.3599999999999</v>
      </c>
      <c r="JH26">
        <v>25.9575</v>
      </c>
      <c r="JI26">
        <v>35.256999999999998</v>
      </c>
      <c r="JJ26">
        <v>29.9998</v>
      </c>
      <c r="JK26">
        <v>35.214300000000001</v>
      </c>
      <c r="JL26">
        <v>35.180100000000003</v>
      </c>
      <c r="JM26">
        <v>17.8309</v>
      </c>
      <c r="JN26">
        <v>10.9702</v>
      </c>
      <c r="JO26">
        <v>44.478000000000002</v>
      </c>
      <c r="JP26">
        <v>25.988600000000002</v>
      </c>
      <c r="JQ26">
        <v>200</v>
      </c>
      <c r="JR26">
        <v>22.688600000000001</v>
      </c>
      <c r="JS26">
        <v>99.225800000000007</v>
      </c>
      <c r="JT26">
        <v>98.789100000000005</v>
      </c>
    </row>
    <row r="27" spans="1:280" x14ac:dyDescent="0.25">
      <c r="A27">
        <v>11</v>
      </c>
      <c r="B27">
        <v>1700157590.5</v>
      </c>
      <c r="C27">
        <v>1591.900000095367</v>
      </c>
      <c r="D27" t="s">
        <v>463</v>
      </c>
      <c r="E27" t="s">
        <v>464</v>
      </c>
      <c r="F27" t="s">
        <v>412</v>
      </c>
      <c r="G27" t="s">
        <v>413</v>
      </c>
      <c r="H27" t="s">
        <v>414</v>
      </c>
      <c r="I27">
        <v>1700157590.5</v>
      </c>
      <c r="J27">
        <f t="shared" si="0"/>
        <v>5.8998215927676149E-3</v>
      </c>
      <c r="K27">
        <f t="shared" si="1"/>
        <v>5.8998215927676148</v>
      </c>
      <c r="L27">
        <f t="shared" si="2"/>
        <v>19.157854012677259</v>
      </c>
      <c r="M27">
        <f t="shared" si="3"/>
        <v>100.28</v>
      </c>
      <c r="N27">
        <f t="shared" si="4"/>
        <v>22.046643239050407</v>
      </c>
      <c r="O27">
        <f t="shared" si="5"/>
        <v>2.1893227924142127</v>
      </c>
      <c r="P27">
        <f t="shared" si="6"/>
        <v>9.958218457240001</v>
      </c>
      <c r="Q27">
        <f t="shared" si="7"/>
        <v>0.42484360286920098</v>
      </c>
      <c r="R27">
        <f t="shared" si="8"/>
        <v>3.1292458933652303</v>
      </c>
      <c r="S27">
        <f t="shared" si="9"/>
        <v>0.39520480226616433</v>
      </c>
      <c r="T27">
        <f t="shared" si="10"/>
        <v>0.24949340673052067</v>
      </c>
      <c r="U27">
        <f t="shared" si="11"/>
        <v>344.38389864354349</v>
      </c>
      <c r="V27">
        <f t="shared" si="12"/>
        <v>30.714321838398511</v>
      </c>
      <c r="W27">
        <f t="shared" si="13"/>
        <v>29.9939</v>
      </c>
      <c r="X27">
        <f t="shared" si="14"/>
        <v>4.2589572281822958</v>
      </c>
      <c r="Y27">
        <f t="shared" si="15"/>
        <v>65.470942212165923</v>
      </c>
      <c r="Z27">
        <f t="shared" si="16"/>
        <v>2.8294031486759001</v>
      </c>
      <c r="AA27">
        <f t="shared" si="17"/>
        <v>4.3216166639345159</v>
      </c>
      <c r="AB27">
        <f t="shared" si="18"/>
        <v>1.4295540795063957</v>
      </c>
      <c r="AC27">
        <f t="shared" si="19"/>
        <v>-260.18213224105182</v>
      </c>
      <c r="AD27">
        <f t="shared" si="20"/>
        <v>42.935143721490583</v>
      </c>
      <c r="AE27">
        <f t="shared" si="21"/>
        <v>3.0544515039423401</v>
      </c>
      <c r="AF27">
        <f t="shared" si="22"/>
        <v>130.19136162792461</v>
      </c>
      <c r="AG27">
        <v>3</v>
      </c>
      <c r="AH27">
        <v>1</v>
      </c>
      <c r="AI27">
        <f t="shared" si="23"/>
        <v>1</v>
      </c>
      <c r="AJ27">
        <f t="shared" si="24"/>
        <v>0</v>
      </c>
      <c r="AK27">
        <f t="shared" si="25"/>
        <v>51903.86600816717</v>
      </c>
      <c r="AL27" t="s">
        <v>426</v>
      </c>
      <c r="AM27" t="s">
        <v>426</v>
      </c>
      <c r="AN27">
        <v>0</v>
      </c>
      <c r="AO27">
        <v>0</v>
      </c>
      <c r="AP27" t="e">
        <f t="shared" si="26"/>
        <v>#DIV/0!</v>
      </c>
      <c r="AQ27">
        <v>0</v>
      </c>
      <c r="AR27" t="s">
        <v>426</v>
      </c>
      <c r="AS27" t="s">
        <v>426</v>
      </c>
      <c r="AT27">
        <v>0</v>
      </c>
      <c r="AU27">
        <v>0</v>
      </c>
      <c r="AV27" t="e">
        <f t="shared" si="27"/>
        <v>#DIV/0!</v>
      </c>
      <c r="AW27">
        <v>0.5</v>
      </c>
      <c r="AX27">
        <f t="shared" si="28"/>
        <v>1513.2440993217717</v>
      </c>
      <c r="AY27">
        <f t="shared" si="29"/>
        <v>19.157854012677259</v>
      </c>
      <c r="AZ27" t="e">
        <f t="shared" si="30"/>
        <v>#DIV/0!</v>
      </c>
      <c r="BA27">
        <f t="shared" si="31"/>
        <v>1.2660121404909961E-2</v>
      </c>
      <c r="BB27" t="e">
        <f t="shared" si="32"/>
        <v>#DIV/0!</v>
      </c>
      <c r="BC27" t="e">
        <f t="shared" si="33"/>
        <v>#DIV/0!</v>
      </c>
      <c r="BD27" t="s">
        <v>426</v>
      </c>
      <c r="BE27">
        <v>0</v>
      </c>
      <c r="BF27" t="e">
        <f t="shared" si="34"/>
        <v>#DIV/0!</v>
      </c>
      <c r="BG27" t="e">
        <f t="shared" si="35"/>
        <v>#DIV/0!</v>
      </c>
      <c r="BH27" t="e">
        <f t="shared" si="36"/>
        <v>#DIV/0!</v>
      </c>
      <c r="BI27" t="e">
        <f t="shared" si="37"/>
        <v>#DIV/0!</v>
      </c>
      <c r="BJ27" t="e">
        <f t="shared" si="38"/>
        <v>#DIV/0!</v>
      </c>
      <c r="BK27" t="e">
        <f t="shared" si="39"/>
        <v>#DIV/0!</v>
      </c>
      <c r="BL27" t="e">
        <f t="shared" si="40"/>
        <v>#DIV/0!</v>
      </c>
      <c r="BM27" t="e">
        <f t="shared" si="41"/>
        <v>#DIV/0!</v>
      </c>
      <c r="BN27">
        <v>326</v>
      </c>
      <c r="BO27">
        <v>290.00000000000011</v>
      </c>
      <c r="BP27">
        <v>746.31</v>
      </c>
      <c r="BQ27">
        <v>295</v>
      </c>
      <c r="BR27">
        <v>7224.44</v>
      </c>
      <c r="BS27">
        <v>747.55</v>
      </c>
      <c r="BT27">
        <v>-1.24</v>
      </c>
      <c r="BU27">
        <v>300.00000000000011</v>
      </c>
      <c r="BV27">
        <v>38.1</v>
      </c>
      <c r="BW27">
        <v>790.85266848284903</v>
      </c>
      <c r="BX27">
        <v>1.1946038379548589</v>
      </c>
      <c r="BY27">
        <v>-31.281695978324951</v>
      </c>
      <c r="BZ27">
        <v>0.72344572875466351</v>
      </c>
      <c r="CA27">
        <v>0.9852451878143812</v>
      </c>
      <c r="CB27">
        <v>-7.1249310344827571E-3</v>
      </c>
      <c r="CC27">
        <v>289.99999999999989</v>
      </c>
      <c r="CD27">
        <v>752.34</v>
      </c>
      <c r="CE27">
        <v>735</v>
      </c>
      <c r="CF27">
        <v>7219.42</v>
      </c>
      <c r="CG27">
        <v>747.52</v>
      </c>
      <c r="CH27">
        <v>4.82</v>
      </c>
      <c r="CV27">
        <f t="shared" si="42"/>
        <v>1800.07</v>
      </c>
      <c r="CW27">
        <f t="shared" si="43"/>
        <v>1513.2440993217717</v>
      </c>
      <c r="CX27">
        <f t="shared" si="44"/>
        <v>0.84065847401588367</v>
      </c>
      <c r="CY27">
        <f t="shared" si="45"/>
        <v>0.19131694803176738</v>
      </c>
      <c r="CZ27">
        <v>5</v>
      </c>
      <c r="DA27">
        <v>0.5</v>
      </c>
      <c r="DB27" t="s">
        <v>418</v>
      </c>
      <c r="DC27">
        <v>2</v>
      </c>
      <c r="DD27">
        <v>1700157590.5</v>
      </c>
      <c r="DE27">
        <v>100.28</v>
      </c>
      <c r="DF27">
        <v>120.027</v>
      </c>
      <c r="DG27">
        <v>28.4923</v>
      </c>
      <c r="DH27">
        <v>22.761299999999999</v>
      </c>
      <c r="DI27">
        <v>101.627</v>
      </c>
      <c r="DJ27">
        <v>30.439299999999999</v>
      </c>
      <c r="DK27">
        <v>500.06299999999999</v>
      </c>
      <c r="DL27">
        <v>99.204099999999997</v>
      </c>
      <c r="DM27">
        <v>0.100033</v>
      </c>
      <c r="DN27">
        <v>30.2484</v>
      </c>
      <c r="DO27">
        <v>29.9939</v>
      </c>
      <c r="DP27">
        <v>999.9</v>
      </c>
      <c r="DQ27">
        <v>0</v>
      </c>
      <c r="DR27">
        <v>0</v>
      </c>
      <c r="DS27">
        <v>10001.9</v>
      </c>
      <c r="DT27">
        <v>0</v>
      </c>
      <c r="DU27">
        <v>176.88300000000001</v>
      </c>
      <c r="DV27">
        <v>-19.7468</v>
      </c>
      <c r="DW27">
        <v>103.221</v>
      </c>
      <c r="DX27">
        <v>122.82299999999999</v>
      </c>
      <c r="DY27">
        <v>5.7309900000000003</v>
      </c>
      <c r="DZ27">
        <v>120.027</v>
      </c>
      <c r="EA27">
        <v>22.761299999999999</v>
      </c>
      <c r="EB27">
        <v>2.8265600000000002</v>
      </c>
      <c r="EC27">
        <v>2.2580200000000001</v>
      </c>
      <c r="ED27">
        <v>23.04</v>
      </c>
      <c r="EE27">
        <v>19.38</v>
      </c>
      <c r="EF27">
        <v>1800.07</v>
      </c>
      <c r="EG27">
        <v>0.97799199999999997</v>
      </c>
      <c r="EH27">
        <v>2.2007700000000002E-2</v>
      </c>
      <c r="EI27">
        <v>0</v>
      </c>
      <c r="EJ27">
        <v>644.04</v>
      </c>
      <c r="EK27">
        <v>5.0010300000000001</v>
      </c>
      <c r="EL27">
        <v>11936.2</v>
      </c>
      <c r="EM27">
        <v>14701.7</v>
      </c>
      <c r="EN27">
        <v>49.686999999999998</v>
      </c>
      <c r="EO27">
        <v>51.311999999999998</v>
      </c>
      <c r="EP27">
        <v>51.125</v>
      </c>
      <c r="EQ27">
        <v>50.186999999999998</v>
      </c>
      <c r="ER27">
        <v>51.061999999999998</v>
      </c>
      <c r="ES27">
        <v>1755.56</v>
      </c>
      <c r="ET27">
        <v>39.51</v>
      </c>
      <c r="EU27">
        <v>0</v>
      </c>
      <c r="EV27">
        <v>142.20000004768369</v>
      </c>
      <c r="EW27">
        <v>0</v>
      </c>
      <c r="EX27">
        <v>643.78596000000005</v>
      </c>
      <c r="EY27">
        <v>-0.59430769989802368</v>
      </c>
      <c r="EZ27">
        <v>429.77692246625321</v>
      </c>
      <c r="FA27">
        <v>11882.288</v>
      </c>
      <c r="FB27">
        <v>15</v>
      </c>
      <c r="FC27">
        <v>1700157546</v>
      </c>
      <c r="FD27" t="s">
        <v>465</v>
      </c>
      <c r="FE27">
        <v>1700157545</v>
      </c>
      <c r="FF27">
        <v>1700157546</v>
      </c>
      <c r="FG27">
        <v>13</v>
      </c>
      <c r="FH27">
        <v>-2.5000000000000001E-2</v>
      </c>
      <c r="FI27">
        <v>0</v>
      </c>
      <c r="FJ27">
        <v>-1.331</v>
      </c>
      <c r="FK27">
        <v>-1.9470000000000001</v>
      </c>
      <c r="FL27">
        <v>120</v>
      </c>
      <c r="FM27">
        <v>23</v>
      </c>
      <c r="FN27">
        <v>0.11</v>
      </c>
      <c r="FO27">
        <v>0.01</v>
      </c>
      <c r="FP27">
        <v>19.075432804924631</v>
      </c>
      <c r="FQ27">
        <v>0.31355693365207049</v>
      </c>
      <c r="FR27">
        <v>2.6697929839969159E-2</v>
      </c>
      <c r="FS27">
        <v>1</v>
      </c>
      <c r="FT27">
        <v>0.4234903688927697</v>
      </c>
      <c r="FU27">
        <v>2.8110483475231662E-2</v>
      </c>
      <c r="FV27">
        <v>2.6848314005378962E-3</v>
      </c>
      <c r="FW27">
        <v>1</v>
      </c>
      <c r="FX27">
        <v>2</v>
      </c>
      <c r="FY27">
        <v>2</v>
      </c>
      <c r="FZ27" t="s">
        <v>420</v>
      </c>
      <c r="GA27">
        <v>2.8968699999999998</v>
      </c>
      <c r="GB27">
        <v>2.8180499999999999</v>
      </c>
      <c r="GC27">
        <v>2.7117100000000002E-2</v>
      </c>
      <c r="GD27">
        <v>3.1805699999999999E-2</v>
      </c>
      <c r="GE27">
        <v>0.14024600000000001</v>
      </c>
      <c r="GF27">
        <v>0.114009</v>
      </c>
      <c r="GG27">
        <v>26924.2</v>
      </c>
      <c r="GH27">
        <v>26851.1</v>
      </c>
      <c r="GI27">
        <v>24567.9</v>
      </c>
      <c r="GJ27">
        <v>24784.5</v>
      </c>
      <c r="GK27">
        <v>28102.6</v>
      </c>
      <c r="GL27">
        <v>28504.2</v>
      </c>
      <c r="GM27">
        <v>33266.1</v>
      </c>
      <c r="GN27">
        <v>33101</v>
      </c>
      <c r="GO27">
        <v>1.9157</v>
      </c>
      <c r="GP27">
        <v>2.51057</v>
      </c>
      <c r="GQ27">
        <v>4.1849900000000002E-2</v>
      </c>
      <c r="GR27">
        <v>0</v>
      </c>
      <c r="GS27">
        <v>29.3125</v>
      </c>
      <c r="GT27">
        <v>999.9</v>
      </c>
      <c r="GU27">
        <v>34.5</v>
      </c>
      <c r="GV27">
        <v>42.1</v>
      </c>
      <c r="GW27">
        <v>28.821100000000001</v>
      </c>
      <c r="GX27">
        <v>62.584800000000001</v>
      </c>
      <c r="GY27">
        <v>-4.8597799999999998</v>
      </c>
      <c r="GZ27">
        <v>3</v>
      </c>
      <c r="HA27">
        <v>0.65861999999999998</v>
      </c>
      <c r="HB27">
        <v>2.9431699999999998</v>
      </c>
      <c r="HC27">
        <v>20.14</v>
      </c>
      <c r="HD27">
        <v>5.2345100000000002</v>
      </c>
      <c r="HE27">
        <v>11.920400000000001</v>
      </c>
      <c r="HF27">
        <v>4.9597499999999997</v>
      </c>
      <c r="HG27">
        <v>3.28898</v>
      </c>
      <c r="HH27">
        <v>9999</v>
      </c>
      <c r="HI27">
        <v>9999</v>
      </c>
      <c r="HJ27">
        <v>9999</v>
      </c>
      <c r="HK27">
        <v>999.9</v>
      </c>
      <c r="HL27">
        <v>1.8810800000000001</v>
      </c>
      <c r="HM27">
        <v>1.8782300000000001</v>
      </c>
      <c r="HN27">
        <v>1.88619</v>
      </c>
      <c r="HO27">
        <v>1.88398</v>
      </c>
      <c r="HP27">
        <v>1.8815200000000001</v>
      </c>
      <c r="HQ27">
        <v>1.88049</v>
      </c>
      <c r="HR27">
        <v>1.88168</v>
      </c>
      <c r="HS27">
        <v>1.8811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423</v>
      </c>
      <c r="IB27" t="s">
        <v>423</v>
      </c>
      <c r="IC27" t="s">
        <v>423</v>
      </c>
      <c r="ID27">
        <v>0</v>
      </c>
      <c r="IE27">
        <v>100</v>
      </c>
      <c r="IF27">
        <v>100</v>
      </c>
      <c r="IG27">
        <v>-1.347</v>
      </c>
      <c r="IH27">
        <v>-1.9470000000000001</v>
      </c>
      <c r="II27">
        <v>-1.43258955770621</v>
      </c>
      <c r="IJ27">
        <v>8.9935118796959448E-4</v>
      </c>
      <c r="IK27">
        <v>-5.3495398746875769E-7</v>
      </c>
      <c r="IL27">
        <v>3.209454383910538E-10</v>
      </c>
      <c r="IM27">
        <v>-1.9469300000000049</v>
      </c>
      <c r="IN27">
        <v>0</v>
      </c>
      <c r="IO27">
        <v>0</v>
      </c>
      <c r="IP27">
        <v>0</v>
      </c>
      <c r="IQ27">
        <v>1</v>
      </c>
      <c r="IR27">
        <v>2101</v>
      </c>
      <c r="IS27">
        <v>1</v>
      </c>
      <c r="IT27">
        <v>21</v>
      </c>
      <c r="IU27">
        <v>0.8</v>
      </c>
      <c r="IV27">
        <v>0.7</v>
      </c>
      <c r="IW27">
        <v>0.59936500000000004</v>
      </c>
      <c r="IX27">
        <v>2.52197</v>
      </c>
      <c r="IY27">
        <v>2.34375</v>
      </c>
      <c r="IZ27">
        <v>2.9162599999999999</v>
      </c>
      <c r="JA27">
        <v>3.0480999999999998</v>
      </c>
      <c r="JB27">
        <v>2.3815900000000001</v>
      </c>
      <c r="JC27">
        <v>45.9499</v>
      </c>
      <c r="JD27">
        <v>24.017499999999998</v>
      </c>
      <c r="JE27">
        <v>18</v>
      </c>
      <c r="JF27">
        <v>484.791</v>
      </c>
      <c r="JG27">
        <v>1190.55</v>
      </c>
      <c r="JH27">
        <v>25.717400000000001</v>
      </c>
      <c r="JI27">
        <v>35.215000000000003</v>
      </c>
      <c r="JJ27">
        <v>30</v>
      </c>
      <c r="JK27">
        <v>35.175400000000003</v>
      </c>
      <c r="JL27">
        <v>35.141300000000001</v>
      </c>
      <c r="JM27">
        <v>12.065200000000001</v>
      </c>
      <c r="JN27">
        <v>8.9004300000000001</v>
      </c>
      <c r="JO27">
        <v>43.285200000000003</v>
      </c>
      <c r="JP27">
        <v>25.7255</v>
      </c>
      <c r="JQ27">
        <v>120</v>
      </c>
      <c r="JR27">
        <v>22.602499999999999</v>
      </c>
      <c r="JS27">
        <v>99.233000000000004</v>
      </c>
      <c r="JT27">
        <v>98.793899999999994</v>
      </c>
    </row>
    <row r="28" spans="1:280" x14ac:dyDescent="0.25">
      <c r="A28">
        <v>12</v>
      </c>
      <c r="B28">
        <v>1700157718</v>
      </c>
      <c r="C28">
        <v>1719.400000095367</v>
      </c>
      <c r="D28" t="s">
        <v>466</v>
      </c>
      <c r="E28" t="s">
        <v>467</v>
      </c>
      <c r="F28" t="s">
        <v>412</v>
      </c>
      <c r="G28" t="s">
        <v>413</v>
      </c>
      <c r="H28" t="s">
        <v>414</v>
      </c>
      <c r="I28">
        <v>1700157718</v>
      </c>
      <c r="J28">
        <f t="shared" si="0"/>
        <v>6.0764311524714697E-3</v>
      </c>
      <c r="K28">
        <f t="shared" si="1"/>
        <v>6.0764311524714696</v>
      </c>
      <c r="L28">
        <f t="shared" si="2"/>
        <v>11.820453881422782</v>
      </c>
      <c r="M28">
        <f t="shared" si="3"/>
        <v>57.819400000000002</v>
      </c>
      <c r="N28">
        <f t="shared" si="4"/>
        <v>11.249504499898208</v>
      </c>
      <c r="O28">
        <f t="shared" si="5"/>
        <v>1.1170880205514815</v>
      </c>
      <c r="P28">
        <f t="shared" si="6"/>
        <v>5.7415292465600398</v>
      </c>
      <c r="Q28">
        <f t="shared" si="7"/>
        <v>0.44086062878613791</v>
      </c>
      <c r="R28">
        <f t="shared" si="8"/>
        <v>3.1318744273020274</v>
      </c>
      <c r="S28">
        <f t="shared" si="9"/>
        <v>0.40905924315826853</v>
      </c>
      <c r="T28">
        <f t="shared" si="10"/>
        <v>0.25832783118187619</v>
      </c>
      <c r="U28">
        <f t="shared" si="11"/>
        <v>344.38519864389434</v>
      </c>
      <c r="V28">
        <f t="shared" si="12"/>
        <v>30.686596609692771</v>
      </c>
      <c r="W28">
        <f t="shared" si="13"/>
        <v>29.991700000000002</v>
      </c>
      <c r="X28">
        <f t="shared" si="14"/>
        <v>4.2584190453593012</v>
      </c>
      <c r="Y28">
        <f t="shared" si="15"/>
        <v>65.565222116711894</v>
      </c>
      <c r="Z28">
        <f t="shared" si="16"/>
        <v>2.8360291031873399</v>
      </c>
      <c r="AA28">
        <f t="shared" si="17"/>
        <v>4.3255082673844329</v>
      </c>
      <c r="AB28">
        <f t="shared" si="18"/>
        <v>1.4223899421719612</v>
      </c>
      <c r="AC28">
        <f t="shared" si="19"/>
        <v>-267.97061382399181</v>
      </c>
      <c r="AD28">
        <f t="shared" si="20"/>
        <v>45.993545287569745</v>
      </c>
      <c r="AE28">
        <f t="shared" si="21"/>
        <v>3.2695017531283668</v>
      </c>
      <c r="AF28">
        <f t="shared" si="22"/>
        <v>125.67763186060061</v>
      </c>
      <c r="AG28">
        <v>2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51967.775891826685</v>
      </c>
      <c r="AL28" t="s">
        <v>415</v>
      </c>
      <c r="AM28">
        <v>7163.32</v>
      </c>
      <c r="AN28">
        <v>295.04692307692312</v>
      </c>
      <c r="AO28">
        <v>723.15082041179414</v>
      </c>
      <c r="AP28">
        <f t="shared" si="26"/>
        <v>0.59199808013920208</v>
      </c>
      <c r="AQ28">
        <v>-3.795255127542589</v>
      </c>
      <c r="AR28" t="s">
        <v>468</v>
      </c>
      <c r="AS28">
        <v>7221.67</v>
      </c>
      <c r="AT28">
        <v>659.89396000000011</v>
      </c>
      <c r="AU28">
        <v>745.64656121717314</v>
      </c>
      <c r="AV28">
        <f t="shared" si="27"/>
        <v>0.11500435417712218</v>
      </c>
      <c r="AW28">
        <v>0.5</v>
      </c>
      <c r="AX28">
        <f t="shared" si="28"/>
        <v>1513.252199321947</v>
      </c>
      <c r="AY28">
        <f t="shared" si="29"/>
        <v>11.820453881422782</v>
      </c>
      <c r="AZ28">
        <f t="shared" si="30"/>
        <v>87.015295945065148</v>
      </c>
      <c r="BA28">
        <f t="shared" si="31"/>
        <v>1.0319303693040993E-2</v>
      </c>
      <c r="BB28">
        <f t="shared" si="32"/>
        <v>-3.0169442166617877E-2</v>
      </c>
      <c r="BC28">
        <f t="shared" si="33"/>
        <v>298.72397331918182</v>
      </c>
      <c r="BD28" t="s">
        <v>469</v>
      </c>
      <c r="BE28">
        <v>468.27</v>
      </c>
      <c r="BF28">
        <f t="shared" si="34"/>
        <v>468.27</v>
      </c>
      <c r="BG28">
        <f t="shared" si="35"/>
        <v>0.37199468976882455</v>
      </c>
      <c r="BH28">
        <f t="shared" si="36"/>
        <v>0.3091559028667627</v>
      </c>
      <c r="BI28">
        <f t="shared" si="37"/>
        <v>-8.82598414782019E-2</v>
      </c>
      <c r="BJ28">
        <f t="shared" si="38"/>
        <v>0.19030774541031117</v>
      </c>
      <c r="BK28">
        <f t="shared" si="39"/>
        <v>-5.254738614954118E-2</v>
      </c>
      <c r="BL28">
        <f t="shared" si="40"/>
        <v>0.21938136035586528</v>
      </c>
      <c r="BM28">
        <f t="shared" si="41"/>
        <v>0.78061863964413469</v>
      </c>
      <c r="BN28">
        <v>328</v>
      </c>
      <c r="BO28">
        <v>290.00000000000011</v>
      </c>
      <c r="BP28">
        <v>723.96</v>
      </c>
      <c r="BQ28">
        <v>285</v>
      </c>
      <c r="BR28">
        <v>7221.67</v>
      </c>
      <c r="BS28">
        <v>724.88</v>
      </c>
      <c r="BT28">
        <v>-0.92</v>
      </c>
      <c r="BU28">
        <v>300.00000000000011</v>
      </c>
      <c r="BV28">
        <v>38.1</v>
      </c>
      <c r="BW28">
        <v>745.64656121717314</v>
      </c>
      <c r="BX28">
        <v>1.12383733364422</v>
      </c>
      <c r="BY28">
        <v>-14.99754692308195</v>
      </c>
      <c r="BZ28">
        <v>0.68032157745646016</v>
      </c>
      <c r="CA28">
        <v>0.94552240960859579</v>
      </c>
      <c r="CB28">
        <v>-7.1221848720800854E-3</v>
      </c>
      <c r="CC28">
        <v>289.99999999999989</v>
      </c>
      <c r="CD28">
        <v>725.9</v>
      </c>
      <c r="CE28">
        <v>735</v>
      </c>
      <c r="CF28">
        <v>7216.53</v>
      </c>
      <c r="CG28">
        <v>724.86</v>
      </c>
      <c r="CH28">
        <v>1.04</v>
      </c>
      <c r="CV28">
        <f t="shared" si="42"/>
        <v>1800.08</v>
      </c>
      <c r="CW28">
        <f t="shared" si="43"/>
        <v>1513.252199321947</v>
      </c>
      <c r="CX28">
        <f t="shared" si="44"/>
        <v>0.8406583036986951</v>
      </c>
      <c r="CY28">
        <f t="shared" si="45"/>
        <v>0.19131660739739031</v>
      </c>
      <c r="CZ28">
        <v>5</v>
      </c>
      <c r="DA28">
        <v>0.5</v>
      </c>
      <c r="DB28" t="s">
        <v>418</v>
      </c>
      <c r="DC28">
        <v>2</v>
      </c>
      <c r="DD28">
        <v>1700157718</v>
      </c>
      <c r="DE28">
        <v>57.819400000000002</v>
      </c>
      <c r="DF28">
        <v>69.990799999999993</v>
      </c>
      <c r="DG28">
        <v>28.559899999999999</v>
      </c>
      <c r="DH28">
        <v>22.6572</v>
      </c>
      <c r="DI28">
        <v>59.144500000000001</v>
      </c>
      <c r="DJ28">
        <v>30.505500000000001</v>
      </c>
      <c r="DK28">
        <v>500.01600000000002</v>
      </c>
      <c r="DL28">
        <v>99.201099999999997</v>
      </c>
      <c r="DM28">
        <v>9.9986599999999995E-2</v>
      </c>
      <c r="DN28">
        <v>30.264099999999999</v>
      </c>
      <c r="DO28">
        <v>29.991700000000002</v>
      </c>
      <c r="DP28">
        <v>999.9</v>
      </c>
      <c r="DQ28">
        <v>0</v>
      </c>
      <c r="DR28">
        <v>0</v>
      </c>
      <c r="DS28">
        <v>10015.6</v>
      </c>
      <c r="DT28">
        <v>0</v>
      </c>
      <c r="DU28">
        <v>166.81200000000001</v>
      </c>
      <c r="DV28">
        <v>-12.1713</v>
      </c>
      <c r="DW28">
        <v>59.519300000000001</v>
      </c>
      <c r="DX28">
        <v>71.613299999999995</v>
      </c>
      <c r="DY28">
        <v>5.9026899999999998</v>
      </c>
      <c r="DZ28">
        <v>69.990799999999993</v>
      </c>
      <c r="EA28">
        <v>22.6572</v>
      </c>
      <c r="EB28">
        <v>2.83317</v>
      </c>
      <c r="EC28">
        <v>2.24762</v>
      </c>
      <c r="ED28">
        <v>23.078600000000002</v>
      </c>
      <c r="EE28">
        <v>19.305800000000001</v>
      </c>
      <c r="EF28">
        <v>1800.08</v>
      </c>
      <c r="EG28">
        <v>0.97799599999999998</v>
      </c>
      <c r="EH28">
        <v>2.2004099999999999E-2</v>
      </c>
      <c r="EI28">
        <v>0</v>
      </c>
      <c r="EJ28">
        <v>659.95299999999997</v>
      </c>
      <c r="EK28">
        <v>5.0010300000000001</v>
      </c>
      <c r="EL28">
        <v>12159</v>
      </c>
      <c r="EM28">
        <v>14701.7</v>
      </c>
      <c r="EN28">
        <v>49.875</v>
      </c>
      <c r="EO28">
        <v>51.625</v>
      </c>
      <c r="EP28">
        <v>51.375</v>
      </c>
      <c r="EQ28">
        <v>50.5</v>
      </c>
      <c r="ER28">
        <v>51.375</v>
      </c>
      <c r="ES28">
        <v>1755.58</v>
      </c>
      <c r="ET28">
        <v>39.5</v>
      </c>
      <c r="EU28">
        <v>0</v>
      </c>
      <c r="EV28">
        <v>269.39999985694891</v>
      </c>
      <c r="EW28">
        <v>0</v>
      </c>
      <c r="EX28">
        <v>659.89396000000011</v>
      </c>
      <c r="EY28">
        <v>-0.8608461540626513</v>
      </c>
      <c r="EZ28">
        <v>98.300000062042599</v>
      </c>
      <c r="FA28">
        <v>12136.476000000001</v>
      </c>
      <c r="FB28">
        <v>15</v>
      </c>
      <c r="FC28">
        <v>1700157673</v>
      </c>
      <c r="FD28" t="s">
        <v>470</v>
      </c>
      <c r="FE28">
        <v>1700157670.5</v>
      </c>
      <c r="FF28">
        <v>1700157673</v>
      </c>
      <c r="FG28">
        <v>14</v>
      </c>
      <c r="FH28">
        <v>5.6000000000000001E-2</v>
      </c>
      <c r="FI28">
        <v>1E-3</v>
      </c>
      <c r="FJ28">
        <v>-1.3149999999999999</v>
      </c>
      <c r="FK28">
        <v>-1.946</v>
      </c>
      <c r="FL28">
        <v>70</v>
      </c>
      <c r="FM28">
        <v>22</v>
      </c>
      <c r="FN28">
        <v>0.13</v>
      </c>
      <c r="FO28">
        <v>0.02</v>
      </c>
      <c r="FP28">
        <v>11.78192133130649</v>
      </c>
      <c r="FQ28">
        <v>0.25101338971768461</v>
      </c>
      <c r="FR28">
        <v>3.1636193646760083E-2</v>
      </c>
      <c r="FS28">
        <v>1</v>
      </c>
      <c r="FT28">
        <v>0.43796281290652223</v>
      </c>
      <c r="FU28">
        <v>4.5490734276426033E-2</v>
      </c>
      <c r="FV28">
        <v>4.8969785758236802E-3</v>
      </c>
      <c r="FW28">
        <v>1</v>
      </c>
      <c r="FX28">
        <v>2</v>
      </c>
      <c r="FY28">
        <v>2</v>
      </c>
      <c r="FZ28" t="s">
        <v>420</v>
      </c>
      <c r="GA28">
        <v>2.8967299999999998</v>
      </c>
      <c r="GB28">
        <v>2.81813</v>
      </c>
      <c r="GC28">
        <v>1.6016699999999998E-2</v>
      </c>
      <c r="GD28">
        <v>1.8930099999999998E-2</v>
      </c>
      <c r="GE28">
        <v>0.14045099999999999</v>
      </c>
      <c r="GF28">
        <v>0.113648</v>
      </c>
      <c r="GG28">
        <v>27230.9</v>
      </c>
      <c r="GH28">
        <v>27207.3</v>
      </c>
      <c r="GI28">
        <v>24568.1</v>
      </c>
      <c r="GJ28">
        <v>24784.6</v>
      </c>
      <c r="GK28">
        <v>28095.8</v>
      </c>
      <c r="GL28">
        <v>28515.4</v>
      </c>
      <c r="GM28">
        <v>33265.9</v>
      </c>
      <c r="GN28">
        <v>33100.400000000001</v>
      </c>
      <c r="GO28">
        <v>1.9160999999999999</v>
      </c>
      <c r="GP28">
        <v>2.5097499999999999</v>
      </c>
      <c r="GQ28">
        <v>3.2227499999999999E-2</v>
      </c>
      <c r="GR28">
        <v>0</v>
      </c>
      <c r="GS28">
        <v>29.466999999999999</v>
      </c>
      <c r="GT28">
        <v>999.9</v>
      </c>
      <c r="GU28">
        <v>34.200000000000003</v>
      </c>
      <c r="GV28">
        <v>42</v>
      </c>
      <c r="GW28">
        <v>28.419899999999998</v>
      </c>
      <c r="GX28">
        <v>62.504800000000003</v>
      </c>
      <c r="GY28">
        <v>-4.72356</v>
      </c>
      <c r="GZ28">
        <v>3</v>
      </c>
      <c r="HA28">
        <v>0.65659800000000001</v>
      </c>
      <c r="HB28">
        <v>1.9293800000000001</v>
      </c>
      <c r="HC28">
        <v>20.154699999999998</v>
      </c>
      <c r="HD28">
        <v>5.23346</v>
      </c>
      <c r="HE28">
        <v>11.9201</v>
      </c>
      <c r="HF28">
        <v>4.9596</v>
      </c>
      <c r="HG28">
        <v>3.28898</v>
      </c>
      <c r="HH28">
        <v>9999</v>
      </c>
      <c r="HI28">
        <v>9999</v>
      </c>
      <c r="HJ28">
        <v>9999</v>
      </c>
      <c r="HK28">
        <v>999.9</v>
      </c>
      <c r="HL28">
        <v>1.881</v>
      </c>
      <c r="HM28">
        <v>1.8782000000000001</v>
      </c>
      <c r="HN28">
        <v>1.8861399999999999</v>
      </c>
      <c r="HO28">
        <v>1.8838600000000001</v>
      </c>
      <c r="HP28">
        <v>1.8814200000000001</v>
      </c>
      <c r="HQ28">
        <v>1.88049</v>
      </c>
      <c r="HR28">
        <v>1.88158</v>
      </c>
      <c r="HS28">
        <v>1.8811100000000001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423</v>
      </c>
      <c r="IB28" t="s">
        <v>423</v>
      </c>
      <c r="IC28" t="s">
        <v>423</v>
      </c>
      <c r="ID28">
        <v>0</v>
      </c>
      <c r="IE28">
        <v>100</v>
      </c>
      <c r="IF28">
        <v>100</v>
      </c>
      <c r="IG28">
        <v>-1.325</v>
      </c>
      <c r="IH28">
        <v>-1.9456</v>
      </c>
      <c r="II28">
        <v>-1.3765000000000001</v>
      </c>
      <c r="IJ28">
        <v>8.9935099999999995E-4</v>
      </c>
      <c r="IK28">
        <v>-5.3495399999999996E-7</v>
      </c>
      <c r="IL28">
        <v>3.2094500000000002E-10</v>
      </c>
      <c r="IM28">
        <v>-1.945644999999999</v>
      </c>
      <c r="IN28">
        <v>0</v>
      </c>
      <c r="IO28">
        <v>0</v>
      </c>
      <c r="IP28">
        <v>0</v>
      </c>
      <c r="IQ28">
        <v>1</v>
      </c>
      <c r="IR28">
        <v>2101</v>
      </c>
      <c r="IS28">
        <v>1</v>
      </c>
      <c r="IT28">
        <v>21</v>
      </c>
      <c r="IU28">
        <v>0.8</v>
      </c>
      <c r="IV28">
        <v>0.8</v>
      </c>
      <c r="IW28">
        <v>0.41503899999999999</v>
      </c>
      <c r="IX28">
        <v>2.5378400000000001</v>
      </c>
      <c r="IY28">
        <v>2.34375</v>
      </c>
      <c r="IZ28">
        <v>2.9162599999999999</v>
      </c>
      <c r="JA28">
        <v>3.0480999999999998</v>
      </c>
      <c r="JB28">
        <v>2.4243199999999998</v>
      </c>
      <c r="JC28">
        <v>45.805599999999998</v>
      </c>
      <c r="JD28">
        <v>24.026199999999999</v>
      </c>
      <c r="JE28">
        <v>18</v>
      </c>
      <c r="JF28">
        <v>485.012</v>
      </c>
      <c r="JG28">
        <v>1189.0999999999999</v>
      </c>
      <c r="JH28">
        <v>25.612100000000002</v>
      </c>
      <c r="JI28">
        <v>35.224899999999998</v>
      </c>
      <c r="JJ28">
        <v>29.998000000000001</v>
      </c>
      <c r="JK28">
        <v>35.168799999999997</v>
      </c>
      <c r="JL28">
        <v>35.128300000000003</v>
      </c>
      <c r="JM28">
        <v>8.3960500000000007</v>
      </c>
      <c r="JN28">
        <v>7.1563800000000004</v>
      </c>
      <c r="JO28">
        <v>42.307600000000001</v>
      </c>
      <c r="JP28">
        <v>25.7925</v>
      </c>
      <c r="JQ28">
        <v>70</v>
      </c>
      <c r="JR28">
        <v>22.5227</v>
      </c>
      <c r="JS28">
        <v>99.233000000000004</v>
      </c>
      <c r="JT28">
        <v>98.793000000000006</v>
      </c>
    </row>
    <row r="29" spans="1:280" x14ac:dyDescent="0.25">
      <c r="A29">
        <v>13</v>
      </c>
      <c r="B29">
        <v>1700157858.5</v>
      </c>
      <c r="C29">
        <v>1859.900000095367</v>
      </c>
      <c r="D29" t="s">
        <v>471</v>
      </c>
      <c r="E29" t="s">
        <v>472</v>
      </c>
      <c r="F29" t="s">
        <v>412</v>
      </c>
      <c r="G29" t="s">
        <v>413</v>
      </c>
      <c r="H29" t="s">
        <v>414</v>
      </c>
      <c r="I29">
        <v>1700157858.5</v>
      </c>
      <c r="J29">
        <f t="shared" si="0"/>
        <v>6.4521405642991138E-3</v>
      </c>
      <c r="K29">
        <f t="shared" si="1"/>
        <v>6.4521405642991141</v>
      </c>
      <c r="L29">
        <f t="shared" si="2"/>
        <v>5.3382498181578448</v>
      </c>
      <c r="M29">
        <f t="shared" si="3"/>
        <v>24.4802</v>
      </c>
      <c r="N29">
        <f t="shared" si="4"/>
        <v>4.6818011436091949</v>
      </c>
      <c r="O29">
        <f t="shared" si="5"/>
        <v>0.46491459364494075</v>
      </c>
      <c r="P29">
        <f t="shared" si="6"/>
        <v>2.4309452465495203</v>
      </c>
      <c r="Q29">
        <f t="shared" si="7"/>
        <v>0.47022318333539231</v>
      </c>
      <c r="R29">
        <f t="shared" si="8"/>
        <v>3.1292181883021066</v>
      </c>
      <c r="S29">
        <f t="shared" si="9"/>
        <v>0.4342018401489115</v>
      </c>
      <c r="T29">
        <f t="shared" si="10"/>
        <v>0.27438221256269574</v>
      </c>
      <c r="U29">
        <f t="shared" si="11"/>
        <v>344.34851180829048</v>
      </c>
      <c r="V29">
        <f t="shared" si="12"/>
        <v>30.637737611344246</v>
      </c>
      <c r="W29">
        <f t="shared" si="13"/>
        <v>29.994499999999999</v>
      </c>
      <c r="X29">
        <f t="shared" si="14"/>
        <v>4.2591040156030502</v>
      </c>
      <c r="Y29">
        <f t="shared" si="15"/>
        <v>65.409089988967068</v>
      </c>
      <c r="Z29">
        <f t="shared" si="16"/>
        <v>2.8362087103158795</v>
      </c>
      <c r="AA29">
        <f t="shared" si="17"/>
        <v>4.3361078877481392</v>
      </c>
      <c r="AB29">
        <f t="shared" si="18"/>
        <v>1.4228953052871707</v>
      </c>
      <c r="AC29">
        <f t="shared" si="19"/>
        <v>-284.53939888559091</v>
      </c>
      <c r="AD29">
        <f t="shared" si="20"/>
        <v>52.68576294522628</v>
      </c>
      <c r="AE29">
        <f t="shared" si="21"/>
        <v>3.7492488067280503</v>
      </c>
      <c r="AF29">
        <f t="shared" si="22"/>
        <v>116.24412467465393</v>
      </c>
      <c r="AG29">
        <v>2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51893.139870919396</v>
      </c>
      <c r="AL29" t="s">
        <v>426</v>
      </c>
      <c r="AM29" t="s">
        <v>426</v>
      </c>
      <c r="AN29">
        <v>0</v>
      </c>
      <c r="AO29">
        <v>0</v>
      </c>
      <c r="AP29" t="e">
        <f t="shared" si="26"/>
        <v>#DIV/0!</v>
      </c>
      <c r="AQ29">
        <v>0</v>
      </c>
      <c r="AR29" t="s">
        <v>426</v>
      </c>
      <c r="AS29" t="s">
        <v>426</v>
      </c>
      <c r="AT29">
        <v>0</v>
      </c>
      <c r="AU29">
        <v>0</v>
      </c>
      <c r="AV29" t="e">
        <f t="shared" si="27"/>
        <v>#DIV/0!</v>
      </c>
      <c r="AW29">
        <v>0.5</v>
      </c>
      <c r="AX29">
        <f t="shared" si="28"/>
        <v>1513.0923059041452</v>
      </c>
      <c r="AY29">
        <f t="shared" si="29"/>
        <v>5.3382498181578448</v>
      </c>
      <c r="AZ29" t="e">
        <f t="shared" si="30"/>
        <v>#DIV/0!</v>
      </c>
      <c r="BA29">
        <f t="shared" si="31"/>
        <v>3.5280397615715751E-3</v>
      </c>
      <c r="BB29" t="e">
        <f t="shared" si="32"/>
        <v>#DIV/0!</v>
      </c>
      <c r="BC29" t="e">
        <f t="shared" si="33"/>
        <v>#DIV/0!</v>
      </c>
      <c r="BD29" t="s">
        <v>426</v>
      </c>
      <c r="BE29">
        <v>0</v>
      </c>
      <c r="BF29" t="e">
        <f t="shared" si="34"/>
        <v>#DIV/0!</v>
      </c>
      <c r="BG29" t="e">
        <f t="shared" si="35"/>
        <v>#DIV/0!</v>
      </c>
      <c r="BH29" t="e">
        <f t="shared" si="36"/>
        <v>#DIV/0!</v>
      </c>
      <c r="BI29" t="e">
        <f t="shared" si="37"/>
        <v>#DIV/0!</v>
      </c>
      <c r="BJ29" t="e">
        <f t="shared" si="38"/>
        <v>#DIV/0!</v>
      </c>
      <c r="BK29" t="e">
        <f t="shared" si="39"/>
        <v>#DIV/0!</v>
      </c>
      <c r="BL29" t="e">
        <f t="shared" si="40"/>
        <v>#DIV/0!</v>
      </c>
      <c r="BM29" t="e">
        <f t="shared" si="41"/>
        <v>#DIV/0!</v>
      </c>
      <c r="BN29">
        <v>328</v>
      </c>
      <c r="BO29">
        <v>290.00000000000011</v>
      </c>
      <c r="BP29">
        <v>723.96</v>
      </c>
      <c r="BQ29">
        <v>285</v>
      </c>
      <c r="BR29">
        <v>7221.67</v>
      </c>
      <c r="BS29">
        <v>724.88</v>
      </c>
      <c r="BT29">
        <v>-0.92</v>
      </c>
      <c r="BU29">
        <v>300.00000000000011</v>
      </c>
      <c r="BV29">
        <v>38.1</v>
      </c>
      <c r="BW29">
        <v>745.64656121717314</v>
      </c>
      <c r="BX29">
        <v>1.12383733364422</v>
      </c>
      <c r="BY29">
        <v>-14.99754692308195</v>
      </c>
      <c r="BZ29">
        <v>0.68032157745646016</v>
      </c>
      <c r="CA29">
        <v>0.94552240960859579</v>
      </c>
      <c r="CB29">
        <v>-7.1221848720800854E-3</v>
      </c>
      <c r="CC29">
        <v>289.99999999999989</v>
      </c>
      <c r="CD29">
        <v>725.9</v>
      </c>
      <c r="CE29">
        <v>735</v>
      </c>
      <c r="CF29">
        <v>7216.53</v>
      </c>
      <c r="CG29">
        <v>724.86</v>
      </c>
      <c r="CH29">
        <v>1.04</v>
      </c>
      <c r="CV29">
        <f t="shared" si="42"/>
        <v>1799.89</v>
      </c>
      <c r="CW29">
        <f t="shared" si="43"/>
        <v>1513.0923059041452</v>
      </c>
      <c r="CX29">
        <f t="shared" si="44"/>
        <v>0.84065821017070219</v>
      </c>
      <c r="CY29">
        <f t="shared" si="45"/>
        <v>0.19131642034140445</v>
      </c>
      <c r="CZ29">
        <v>5</v>
      </c>
      <c r="DA29">
        <v>0.5</v>
      </c>
      <c r="DB29" t="s">
        <v>418</v>
      </c>
      <c r="DC29">
        <v>2</v>
      </c>
      <c r="DD29">
        <v>1700157858.5</v>
      </c>
      <c r="DE29">
        <v>24.4802</v>
      </c>
      <c r="DF29">
        <v>29.977399999999999</v>
      </c>
      <c r="DG29">
        <v>28.561299999999999</v>
      </c>
      <c r="DH29">
        <v>22.292300000000001</v>
      </c>
      <c r="DI29">
        <v>25.7423</v>
      </c>
      <c r="DJ29">
        <v>30.508700000000001</v>
      </c>
      <c r="DK29">
        <v>499.90899999999999</v>
      </c>
      <c r="DL29">
        <v>99.202699999999993</v>
      </c>
      <c r="DM29">
        <v>9.9807599999999996E-2</v>
      </c>
      <c r="DN29">
        <v>30.306799999999999</v>
      </c>
      <c r="DO29">
        <v>29.994499999999999</v>
      </c>
      <c r="DP29">
        <v>999.9</v>
      </c>
      <c r="DQ29">
        <v>0</v>
      </c>
      <c r="DR29">
        <v>0</v>
      </c>
      <c r="DS29">
        <v>10001.9</v>
      </c>
      <c r="DT29">
        <v>0</v>
      </c>
      <c r="DU29">
        <v>139.99299999999999</v>
      </c>
      <c r="DV29">
        <v>-5.4972399999999997</v>
      </c>
      <c r="DW29">
        <v>25.1999</v>
      </c>
      <c r="DX29">
        <v>30.660900000000002</v>
      </c>
      <c r="DY29">
        <v>6.2690299999999999</v>
      </c>
      <c r="DZ29">
        <v>29.977399999999999</v>
      </c>
      <c r="EA29">
        <v>22.292300000000001</v>
      </c>
      <c r="EB29">
        <v>2.8333599999999999</v>
      </c>
      <c r="EC29">
        <v>2.2114600000000002</v>
      </c>
      <c r="ED29">
        <v>23.079799999999999</v>
      </c>
      <c r="EE29">
        <v>19.0456</v>
      </c>
      <c r="EF29">
        <v>1799.89</v>
      </c>
      <c r="EG29">
        <v>0.97799599999999998</v>
      </c>
      <c r="EH29">
        <v>2.2004099999999999E-2</v>
      </c>
      <c r="EI29">
        <v>0</v>
      </c>
      <c r="EJ29">
        <v>673.63099999999997</v>
      </c>
      <c r="EK29">
        <v>5.0010300000000001</v>
      </c>
      <c r="EL29">
        <v>12356.5</v>
      </c>
      <c r="EM29">
        <v>14700.1</v>
      </c>
      <c r="EN29">
        <v>50.061999999999998</v>
      </c>
      <c r="EO29">
        <v>51.811999999999998</v>
      </c>
      <c r="EP29">
        <v>51.686999999999998</v>
      </c>
      <c r="EQ29">
        <v>50.686999999999998</v>
      </c>
      <c r="ER29">
        <v>51.686999999999998</v>
      </c>
      <c r="ES29">
        <v>1755.39</v>
      </c>
      <c r="ET29">
        <v>39.49</v>
      </c>
      <c r="EU29">
        <v>0</v>
      </c>
      <c r="EV29">
        <v>138.79999995231631</v>
      </c>
      <c r="EW29">
        <v>0</v>
      </c>
      <c r="EX29">
        <v>673.41244000000006</v>
      </c>
      <c r="EY29">
        <v>0.62630768825148175</v>
      </c>
      <c r="EZ29">
        <v>-50.784615293013267</v>
      </c>
      <c r="FA29">
        <v>12361.932000000001</v>
      </c>
      <c r="FB29">
        <v>15</v>
      </c>
      <c r="FC29">
        <v>1700157811</v>
      </c>
      <c r="FD29" t="s">
        <v>473</v>
      </c>
      <c r="FE29">
        <v>1700157811</v>
      </c>
      <c r="FF29">
        <v>1700157809.5</v>
      </c>
      <c r="FG29">
        <v>15</v>
      </c>
      <c r="FH29">
        <v>9.1999999999999998E-2</v>
      </c>
      <c r="FI29">
        <v>-2E-3</v>
      </c>
      <c r="FJ29">
        <v>-1.2569999999999999</v>
      </c>
      <c r="FK29">
        <v>-1.9470000000000001</v>
      </c>
      <c r="FL29">
        <v>30</v>
      </c>
      <c r="FM29">
        <v>22</v>
      </c>
      <c r="FN29">
        <v>0.62</v>
      </c>
      <c r="FO29">
        <v>0.03</v>
      </c>
      <c r="FP29">
        <v>5.3532401037020776</v>
      </c>
      <c r="FQ29">
        <v>-0.13651088844608039</v>
      </c>
      <c r="FR29">
        <v>1.9403682114107548E-2</v>
      </c>
      <c r="FS29">
        <v>1</v>
      </c>
      <c r="FT29">
        <v>0.46907772198845682</v>
      </c>
      <c r="FU29">
        <v>2.554793945879651E-2</v>
      </c>
      <c r="FV29">
        <v>2.8196806941417512E-3</v>
      </c>
      <c r="FW29">
        <v>1</v>
      </c>
      <c r="FX29">
        <v>2</v>
      </c>
      <c r="FY29">
        <v>2</v>
      </c>
      <c r="FZ29" t="s">
        <v>420</v>
      </c>
      <c r="GA29">
        <v>2.89642</v>
      </c>
      <c r="GB29">
        <v>2.8178299999999998</v>
      </c>
      <c r="GC29">
        <v>7.0184499999999999E-3</v>
      </c>
      <c r="GD29">
        <v>8.1907999999999998E-3</v>
      </c>
      <c r="GE29">
        <v>0.140462</v>
      </c>
      <c r="GF29">
        <v>0.112382</v>
      </c>
      <c r="GG29">
        <v>27479.200000000001</v>
      </c>
      <c r="GH29">
        <v>27503.4</v>
      </c>
      <c r="GI29">
        <v>24568</v>
      </c>
      <c r="GJ29">
        <v>24783.8</v>
      </c>
      <c r="GK29">
        <v>28095.4</v>
      </c>
      <c r="GL29">
        <v>28555.1</v>
      </c>
      <c r="GM29">
        <v>33265.800000000003</v>
      </c>
      <c r="GN29">
        <v>33099.1</v>
      </c>
      <c r="GO29">
        <v>1.9160999999999999</v>
      </c>
      <c r="GP29">
        <v>2.5095499999999999</v>
      </c>
      <c r="GQ29">
        <v>3.1366900000000003E-2</v>
      </c>
      <c r="GR29">
        <v>0</v>
      </c>
      <c r="GS29">
        <v>29.483899999999998</v>
      </c>
      <c r="GT29">
        <v>999.9</v>
      </c>
      <c r="GU29">
        <v>33.9</v>
      </c>
      <c r="GV29">
        <v>42</v>
      </c>
      <c r="GW29">
        <v>28.172000000000001</v>
      </c>
      <c r="GX29">
        <v>62.664900000000003</v>
      </c>
      <c r="GY29">
        <v>-4.6794900000000004</v>
      </c>
      <c r="GZ29">
        <v>3</v>
      </c>
      <c r="HA29">
        <v>0.66054100000000004</v>
      </c>
      <c r="HB29">
        <v>3.1607500000000002</v>
      </c>
      <c r="HC29">
        <v>20.136199999999999</v>
      </c>
      <c r="HD29">
        <v>5.2351099999999997</v>
      </c>
      <c r="HE29">
        <v>11.9216</v>
      </c>
      <c r="HF29">
        <v>4.9596499999999999</v>
      </c>
      <c r="HG29">
        <v>3.28898</v>
      </c>
      <c r="HH29">
        <v>9999</v>
      </c>
      <c r="HI29">
        <v>9999</v>
      </c>
      <c r="HJ29">
        <v>9999</v>
      </c>
      <c r="HK29">
        <v>999.9</v>
      </c>
      <c r="HL29">
        <v>1.8809899999999999</v>
      </c>
      <c r="HM29">
        <v>1.8782000000000001</v>
      </c>
      <c r="HN29">
        <v>1.8861399999999999</v>
      </c>
      <c r="HO29">
        <v>1.8838699999999999</v>
      </c>
      <c r="HP29">
        <v>1.8814200000000001</v>
      </c>
      <c r="HQ29">
        <v>1.88046</v>
      </c>
      <c r="HR29">
        <v>1.88158</v>
      </c>
      <c r="HS29">
        <v>1.8811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423</v>
      </c>
      <c r="IB29" t="s">
        <v>423</v>
      </c>
      <c r="IC29" t="s">
        <v>423</v>
      </c>
      <c r="ID29">
        <v>0</v>
      </c>
      <c r="IE29">
        <v>100</v>
      </c>
      <c r="IF29">
        <v>100</v>
      </c>
      <c r="IG29">
        <v>-1.262</v>
      </c>
      <c r="IH29">
        <v>-1.9474</v>
      </c>
      <c r="II29">
        <v>-1.2849256502500159</v>
      </c>
      <c r="IJ29">
        <v>8.9935118796959448E-4</v>
      </c>
      <c r="IK29">
        <v>-5.3495398746875769E-7</v>
      </c>
      <c r="IL29">
        <v>3.209454383910538E-10</v>
      </c>
      <c r="IM29">
        <v>-1.9473450000000021</v>
      </c>
      <c r="IN29">
        <v>0</v>
      </c>
      <c r="IO29">
        <v>0</v>
      </c>
      <c r="IP29">
        <v>0</v>
      </c>
      <c r="IQ29">
        <v>1</v>
      </c>
      <c r="IR29">
        <v>2101</v>
      </c>
      <c r="IS29">
        <v>1</v>
      </c>
      <c r="IT29">
        <v>21</v>
      </c>
      <c r="IU29">
        <v>0.8</v>
      </c>
      <c r="IV29">
        <v>0.8</v>
      </c>
      <c r="IW29">
        <v>0.26977499999999999</v>
      </c>
      <c r="IX29">
        <v>2.5512700000000001</v>
      </c>
      <c r="IY29">
        <v>2.34375</v>
      </c>
      <c r="IZ29">
        <v>2.9162599999999999</v>
      </c>
      <c r="JA29">
        <v>3.0480999999999998</v>
      </c>
      <c r="JB29">
        <v>2.4084500000000002</v>
      </c>
      <c r="JC29">
        <v>45.661799999999999</v>
      </c>
      <c r="JD29">
        <v>24.026199999999999</v>
      </c>
      <c r="JE29">
        <v>18</v>
      </c>
      <c r="JF29">
        <v>485.02600000000001</v>
      </c>
      <c r="JG29">
        <v>1188.76</v>
      </c>
      <c r="JH29">
        <v>25.529299999999999</v>
      </c>
      <c r="JI29">
        <v>35.2376</v>
      </c>
      <c r="JJ29">
        <v>30</v>
      </c>
      <c r="JK29">
        <v>35.170699999999997</v>
      </c>
      <c r="JL29">
        <v>35.125100000000003</v>
      </c>
      <c r="JM29">
        <v>5.4687900000000003</v>
      </c>
      <c r="JN29">
        <v>7.5776500000000002</v>
      </c>
      <c r="JO29">
        <v>41.16</v>
      </c>
      <c r="JP29">
        <v>25.534700000000001</v>
      </c>
      <c r="JQ29">
        <v>30</v>
      </c>
      <c r="JR29">
        <v>22.213899999999999</v>
      </c>
      <c r="JS29">
        <v>99.232699999999994</v>
      </c>
      <c r="JT29">
        <v>98.789400000000001</v>
      </c>
    </row>
    <row r="30" spans="1:280" x14ac:dyDescent="0.25">
      <c r="A30">
        <v>14</v>
      </c>
      <c r="B30">
        <v>1700157974.5</v>
      </c>
      <c r="C30">
        <v>1975.900000095367</v>
      </c>
      <c r="D30" t="s">
        <v>474</v>
      </c>
      <c r="E30" t="s">
        <v>475</v>
      </c>
      <c r="F30" t="s">
        <v>412</v>
      </c>
      <c r="G30" t="s">
        <v>413</v>
      </c>
      <c r="H30" t="s">
        <v>414</v>
      </c>
      <c r="I30">
        <v>1700157974.5</v>
      </c>
      <c r="J30">
        <f t="shared" si="0"/>
        <v>6.5700961272308518E-3</v>
      </c>
      <c r="K30">
        <f t="shared" si="1"/>
        <v>6.570096127230852</v>
      </c>
      <c r="L30">
        <f t="shared" si="2"/>
        <v>1.908781325090682</v>
      </c>
      <c r="M30">
        <f t="shared" si="3"/>
        <v>8.0675299999999996</v>
      </c>
      <c r="N30">
        <f t="shared" si="4"/>
        <v>1.1319802407723536</v>
      </c>
      <c r="O30">
        <f t="shared" si="5"/>
        <v>0.1124052329993626</v>
      </c>
      <c r="P30">
        <f t="shared" si="6"/>
        <v>0.80110284324451897</v>
      </c>
      <c r="Q30">
        <f t="shared" si="7"/>
        <v>0.47975033951550983</v>
      </c>
      <c r="R30">
        <f t="shared" si="8"/>
        <v>3.130375508875106</v>
      </c>
      <c r="S30">
        <f t="shared" si="9"/>
        <v>0.44232947238949749</v>
      </c>
      <c r="T30">
        <f t="shared" si="10"/>
        <v>0.27957439939256834</v>
      </c>
      <c r="U30">
        <f t="shared" si="11"/>
        <v>344.37699864420756</v>
      </c>
      <c r="V30">
        <f t="shared" si="12"/>
        <v>30.624804779060653</v>
      </c>
      <c r="W30">
        <f t="shared" si="13"/>
        <v>29.981999999999999</v>
      </c>
      <c r="X30">
        <f t="shared" si="14"/>
        <v>4.2560468550599557</v>
      </c>
      <c r="Y30">
        <f t="shared" si="15"/>
        <v>65.293553314751875</v>
      </c>
      <c r="Z30">
        <f t="shared" si="16"/>
        <v>2.8337635421362504</v>
      </c>
      <c r="AA30">
        <f t="shared" si="17"/>
        <v>4.3400357282990969</v>
      </c>
      <c r="AB30">
        <f t="shared" si="18"/>
        <v>1.4222833129237054</v>
      </c>
      <c r="AC30">
        <f t="shared" si="19"/>
        <v>-289.74123921088056</v>
      </c>
      <c r="AD30">
        <f t="shared" si="20"/>
        <v>57.481292390382428</v>
      </c>
      <c r="AE30">
        <f t="shared" si="21"/>
        <v>4.0890651914406151</v>
      </c>
      <c r="AF30">
        <f t="shared" si="22"/>
        <v>116.20611701515006</v>
      </c>
      <c r="AG30">
        <v>2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51919.713598940776</v>
      </c>
      <c r="AL30" t="s">
        <v>415</v>
      </c>
      <c r="AM30">
        <v>7163.32</v>
      </c>
      <c r="AN30">
        <v>295.04692307692312</v>
      </c>
      <c r="AO30">
        <v>723.15082041179414</v>
      </c>
      <c r="AP30">
        <f t="shared" si="26"/>
        <v>0.59199808013920208</v>
      </c>
      <c r="AQ30">
        <v>-3.795255127542589</v>
      </c>
      <c r="AR30" t="s">
        <v>476</v>
      </c>
      <c r="AS30">
        <v>7228.11</v>
      </c>
      <c r="AT30">
        <v>681.83603846153846</v>
      </c>
      <c r="AU30">
        <v>728.10113683020825</v>
      </c>
      <c r="AV30">
        <f t="shared" si="27"/>
        <v>6.3542131756702203E-2</v>
      </c>
      <c r="AW30">
        <v>0.5</v>
      </c>
      <c r="AX30">
        <f t="shared" si="28"/>
        <v>1513.2182993221038</v>
      </c>
      <c r="AY30">
        <f t="shared" si="29"/>
        <v>1.908781325090682</v>
      </c>
      <c r="AZ30">
        <f t="shared" si="30"/>
        <v>48.076558276088974</v>
      </c>
      <c r="BA30">
        <f t="shared" si="31"/>
        <v>3.7694736147379283E-3</v>
      </c>
      <c r="BB30">
        <f t="shared" si="32"/>
        <v>-6.7989406526205E-3</v>
      </c>
      <c r="BC30">
        <f t="shared" si="33"/>
        <v>295.86765428086358</v>
      </c>
      <c r="BD30" t="s">
        <v>477</v>
      </c>
      <c r="BE30">
        <v>493.52</v>
      </c>
      <c r="BF30">
        <f t="shared" si="34"/>
        <v>493.52</v>
      </c>
      <c r="BG30">
        <f t="shared" si="35"/>
        <v>0.32218207741229243</v>
      </c>
      <c r="BH30">
        <f t="shared" si="36"/>
        <v>0.19722429089495305</v>
      </c>
      <c r="BI30">
        <f t="shared" si="37"/>
        <v>-2.1557717772974733E-2</v>
      </c>
      <c r="BJ30">
        <f t="shared" si="38"/>
        <v>0.10683442603569128</v>
      </c>
      <c r="BK30">
        <f t="shared" si="39"/>
        <v>-1.1563352843157773E-2</v>
      </c>
      <c r="BL30">
        <f t="shared" si="40"/>
        <v>0.14275298833147218</v>
      </c>
      <c r="BM30">
        <f t="shared" si="41"/>
        <v>0.85724701166852779</v>
      </c>
      <c r="BN30">
        <v>330</v>
      </c>
      <c r="BO30">
        <v>290.00000000000011</v>
      </c>
      <c r="BP30">
        <v>714.87</v>
      </c>
      <c r="BQ30">
        <v>125</v>
      </c>
      <c r="BR30">
        <v>7228.11</v>
      </c>
      <c r="BS30">
        <v>714.06</v>
      </c>
      <c r="BT30">
        <v>0.81</v>
      </c>
      <c r="BU30">
        <v>300.00000000000011</v>
      </c>
      <c r="BV30">
        <v>38.1</v>
      </c>
      <c r="BW30">
        <v>728.10113683020825</v>
      </c>
      <c r="BX30">
        <v>0.92570493159094969</v>
      </c>
      <c r="BY30">
        <v>-10.145629659930449</v>
      </c>
      <c r="BZ30">
        <v>0.56024897288083775</v>
      </c>
      <c r="CA30">
        <v>0.92133530355134041</v>
      </c>
      <c r="CB30">
        <v>-7.1204182424916586E-3</v>
      </c>
      <c r="CC30">
        <v>289.99999999999989</v>
      </c>
      <c r="CD30">
        <v>714.01</v>
      </c>
      <c r="CE30">
        <v>725</v>
      </c>
      <c r="CF30">
        <v>7215.01</v>
      </c>
      <c r="CG30">
        <v>714.04</v>
      </c>
      <c r="CH30">
        <v>-0.03</v>
      </c>
      <c r="CV30">
        <f t="shared" si="42"/>
        <v>1800.04</v>
      </c>
      <c r="CW30">
        <f t="shared" si="43"/>
        <v>1513.2182993221038</v>
      </c>
      <c r="CX30">
        <f t="shared" si="44"/>
        <v>0.84065815166446511</v>
      </c>
      <c r="CY30">
        <f t="shared" si="45"/>
        <v>0.19131630332893024</v>
      </c>
      <c r="CZ30">
        <v>5</v>
      </c>
      <c r="DA30">
        <v>0.5</v>
      </c>
      <c r="DB30" t="s">
        <v>418</v>
      </c>
      <c r="DC30">
        <v>2</v>
      </c>
      <c r="DD30">
        <v>1700157974.5</v>
      </c>
      <c r="DE30">
        <v>8.0675299999999996</v>
      </c>
      <c r="DF30">
        <v>10.0291</v>
      </c>
      <c r="DG30">
        <v>28.537500000000001</v>
      </c>
      <c r="DH30">
        <v>22.1556</v>
      </c>
      <c r="DI30">
        <v>9.2736199999999993</v>
      </c>
      <c r="DJ30">
        <v>30.4818</v>
      </c>
      <c r="DK30">
        <v>500.05500000000001</v>
      </c>
      <c r="DL30">
        <v>99.199700000000007</v>
      </c>
      <c r="DM30">
        <v>9.9942299999999998E-2</v>
      </c>
      <c r="DN30">
        <v>30.322600000000001</v>
      </c>
      <c r="DO30">
        <v>29.981999999999999</v>
      </c>
      <c r="DP30">
        <v>999.9</v>
      </c>
      <c r="DQ30">
        <v>0</v>
      </c>
      <c r="DR30">
        <v>0</v>
      </c>
      <c r="DS30">
        <v>10008.1</v>
      </c>
      <c r="DT30">
        <v>0</v>
      </c>
      <c r="DU30">
        <v>153.23099999999999</v>
      </c>
      <c r="DV30">
        <v>-1.9616100000000001</v>
      </c>
      <c r="DW30">
        <v>8.3045200000000001</v>
      </c>
      <c r="DX30">
        <v>10.256399999999999</v>
      </c>
      <c r="DY30">
        <v>6.3819100000000004</v>
      </c>
      <c r="DZ30">
        <v>10.0291</v>
      </c>
      <c r="EA30">
        <v>22.1556</v>
      </c>
      <c r="EB30">
        <v>2.8309099999999998</v>
      </c>
      <c r="EC30">
        <v>2.1978300000000002</v>
      </c>
      <c r="ED30">
        <v>23.0655</v>
      </c>
      <c r="EE30">
        <v>18.9465</v>
      </c>
      <c r="EF30">
        <v>1800.04</v>
      </c>
      <c r="EG30">
        <v>0.97799999999999998</v>
      </c>
      <c r="EH30">
        <v>2.2000499999999999E-2</v>
      </c>
      <c r="EI30">
        <v>0</v>
      </c>
      <c r="EJ30">
        <v>681.62099999999998</v>
      </c>
      <c r="EK30">
        <v>5.0010300000000001</v>
      </c>
      <c r="EL30">
        <v>12507.4</v>
      </c>
      <c r="EM30">
        <v>14701.5</v>
      </c>
      <c r="EN30">
        <v>50.186999999999998</v>
      </c>
      <c r="EO30">
        <v>51.936999999999998</v>
      </c>
      <c r="EP30">
        <v>51.811999999999998</v>
      </c>
      <c r="EQ30">
        <v>50.811999999999998</v>
      </c>
      <c r="ER30">
        <v>51.75</v>
      </c>
      <c r="ES30">
        <v>1755.55</v>
      </c>
      <c r="ET30">
        <v>39.49</v>
      </c>
      <c r="EU30">
        <v>0</v>
      </c>
      <c r="EV30">
        <v>254.5999999046326</v>
      </c>
      <c r="EW30">
        <v>0</v>
      </c>
      <c r="EX30">
        <v>681.83603846153846</v>
      </c>
      <c r="EY30">
        <v>-1.022393158869747</v>
      </c>
      <c r="EZ30">
        <v>-17.705982910226592</v>
      </c>
      <c r="FA30">
        <v>12508.95</v>
      </c>
      <c r="FB30">
        <v>15</v>
      </c>
      <c r="FC30">
        <v>1700157932.5</v>
      </c>
      <c r="FD30" t="s">
        <v>478</v>
      </c>
      <c r="FE30">
        <v>1700157927.5</v>
      </c>
      <c r="FF30">
        <v>1700157932.5</v>
      </c>
      <c r="FG30">
        <v>16</v>
      </c>
      <c r="FH30">
        <v>7.0999999999999994E-2</v>
      </c>
      <c r="FI30">
        <v>3.0000000000000001E-3</v>
      </c>
      <c r="FJ30">
        <v>-1.204</v>
      </c>
      <c r="FK30">
        <v>-1.944</v>
      </c>
      <c r="FL30">
        <v>10</v>
      </c>
      <c r="FM30">
        <v>22</v>
      </c>
      <c r="FN30">
        <v>0.35</v>
      </c>
      <c r="FO30">
        <v>0.01</v>
      </c>
      <c r="FP30">
        <v>1.8938197367200631</v>
      </c>
      <c r="FQ30">
        <v>-0.13640378985307089</v>
      </c>
      <c r="FR30">
        <v>1.6250348526113009E-2</v>
      </c>
      <c r="FS30">
        <v>1</v>
      </c>
      <c r="FT30">
        <v>0.48017191909197449</v>
      </c>
      <c r="FU30">
        <v>3.9244519085853108E-2</v>
      </c>
      <c r="FV30">
        <v>3.3677909559584008E-3</v>
      </c>
      <c r="FW30">
        <v>1</v>
      </c>
      <c r="FX30">
        <v>2</v>
      </c>
      <c r="FY30">
        <v>2</v>
      </c>
      <c r="FZ30" t="s">
        <v>420</v>
      </c>
      <c r="GA30">
        <v>2.8968500000000001</v>
      </c>
      <c r="GB30">
        <v>2.8180200000000002</v>
      </c>
      <c r="GC30">
        <v>2.5320299999999998E-3</v>
      </c>
      <c r="GD30">
        <v>2.7469700000000001E-3</v>
      </c>
      <c r="GE30">
        <v>0.140379</v>
      </c>
      <c r="GF30">
        <v>0.111905</v>
      </c>
      <c r="GG30">
        <v>27604.1</v>
      </c>
      <c r="GH30">
        <v>27653.9</v>
      </c>
      <c r="GI30">
        <v>24568.9</v>
      </c>
      <c r="GJ30">
        <v>24783.8</v>
      </c>
      <c r="GK30">
        <v>28099</v>
      </c>
      <c r="GL30">
        <v>28569.5</v>
      </c>
      <c r="GM30">
        <v>33266.9</v>
      </c>
      <c r="GN30">
        <v>33098.1</v>
      </c>
      <c r="GO30">
        <v>1.91635</v>
      </c>
      <c r="GP30">
        <v>2.5082</v>
      </c>
      <c r="GQ30">
        <v>4.11645E-2</v>
      </c>
      <c r="GR30">
        <v>0</v>
      </c>
      <c r="GS30">
        <v>29.311699999999998</v>
      </c>
      <c r="GT30">
        <v>999.9</v>
      </c>
      <c r="GU30">
        <v>33.700000000000003</v>
      </c>
      <c r="GV30">
        <v>42</v>
      </c>
      <c r="GW30">
        <v>28.0059</v>
      </c>
      <c r="GX30">
        <v>62.584899999999998</v>
      </c>
      <c r="GY30">
        <v>-4.6995199999999997</v>
      </c>
      <c r="GZ30">
        <v>3</v>
      </c>
      <c r="HA30">
        <v>0.65800800000000004</v>
      </c>
      <c r="HB30">
        <v>2.7237200000000001</v>
      </c>
      <c r="HC30">
        <v>20.1431</v>
      </c>
      <c r="HD30">
        <v>5.2307699999999997</v>
      </c>
      <c r="HE30">
        <v>11.9201</v>
      </c>
      <c r="HF30">
        <v>4.9596999999999998</v>
      </c>
      <c r="HG30">
        <v>3.2890000000000001</v>
      </c>
      <c r="HH30">
        <v>9999</v>
      </c>
      <c r="HI30">
        <v>9999</v>
      </c>
      <c r="HJ30">
        <v>9999</v>
      </c>
      <c r="HK30">
        <v>999.9</v>
      </c>
      <c r="HL30">
        <v>1.8809800000000001</v>
      </c>
      <c r="HM30">
        <v>1.8782000000000001</v>
      </c>
      <c r="HN30">
        <v>1.8861399999999999</v>
      </c>
      <c r="HO30">
        <v>1.88388</v>
      </c>
      <c r="HP30">
        <v>1.88141</v>
      </c>
      <c r="HQ30">
        <v>1.88046</v>
      </c>
      <c r="HR30">
        <v>1.8815599999999999</v>
      </c>
      <c r="HS30">
        <v>1.8811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423</v>
      </c>
      <c r="IB30" t="s">
        <v>423</v>
      </c>
      <c r="IC30" t="s">
        <v>423</v>
      </c>
      <c r="ID30">
        <v>0</v>
      </c>
      <c r="IE30">
        <v>100</v>
      </c>
      <c r="IF30">
        <v>100</v>
      </c>
      <c r="IG30">
        <v>-1.206</v>
      </c>
      <c r="IH30">
        <v>-1.9442999999999999</v>
      </c>
      <c r="II30">
        <v>-1.214381656360991</v>
      </c>
      <c r="IJ30">
        <v>8.9935118796959448E-4</v>
      </c>
      <c r="IK30">
        <v>-5.3495398746875769E-7</v>
      </c>
      <c r="IL30">
        <v>3.209454383910538E-10</v>
      </c>
      <c r="IM30">
        <v>-1.9442750000000011</v>
      </c>
      <c r="IN30">
        <v>0</v>
      </c>
      <c r="IO30">
        <v>0</v>
      </c>
      <c r="IP30">
        <v>0</v>
      </c>
      <c r="IQ30">
        <v>1</v>
      </c>
      <c r="IR30">
        <v>2101</v>
      </c>
      <c r="IS30">
        <v>1</v>
      </c>
      <c r="IT30">
        <v>21</v>
      </c>
      <c r="IU30">
        <v>0.8</v>
      </c>
      <c r="IV30">
        <v>0.7</v>
      </c>
      <c r="IW30">
        <v>0.19775400000000001</v>
      </c>
      <c r="IX30">
        <v>2.5647000000000002</v>
      </c>
      <c r="IY30">
        <v>2.34375</v>
      </c>
      <c r="IZ30">
        <v>2.9162599999999999</v>
      </c>
      <c r="JA30">
        <v>3.0480999999999998</v>
      </c>
      <c r="JB30">
        <v>2.3828100000000001</v>
      </c>
      <c r="JC30">
        <v>45.575800000000001</v>
      </c>
      <c r="JD30">
        <v>24.026199999999999</v>
      </c>
      <c r="JE30">
        <v>18</v>
      </c>
      <c r="JF30">
        <v>485.08100000000002</v>
      </c>
      <c r="JG30">
        <v>1186.5</v>
      </c>
      <c r="JH30">
        <v>26.025500000000001</v>
      </c>
      <c r="JI30">
        <v>35.215000000000003</v>
      </c>
      <c r="JJ30">
        <v>30.0001</v>
      </c>
      <c r="JK30">
        <v>35.155900000000003</v>
      </c>
      <c r="JL30">
        <v>35.109299999999998</v>
      </c>
      <c r="JM30">
        <v>4.02813</v>
      </c>
      <c r="JN30">
        <v>7.5311399999999997</v>
      </c>
      <c r="JO30">
        <v>40.536000000000001</v>
      </c>
      <c r="JP30">
        <v>26.060500000000001</v>
      </c>
      <c r="JQ30">
        <v>10</v>
      </c>
      <c r="JR30">
        <v>22.001999999999999</v>
      </c>
      <c r="JS30">
        <v>99.236199999999997</v>
      </c>
      <c r="JT30">
        <v>98.787700000000001</v>
      </c>
    </row>
    <row r="31" spans="1:280" x14ac:dyDescent="0.25">
      <c r="A31">
        <v>15</v>
      </c>
      <c r="B31">
        <v>1700159593.5999999</v>
      </c>
      <c r="C31">
        <v>3595</v>
      </c>
      <c r="D31" t="s">
        <v>479</v>
      </c>
      <c r="E31" t="s">
        <v>480</v>
      </c>
      <c r="F31" t="s">
        <v>412</v>
      </c>
      <c r="G31" t="s">
        <v>481</v>
      </c>
      <c r="H31" t="s">
        <v>482</v>
      </c>
      <c r="I31">
        <v>1700159593.5999999</v>
      </c>
      <c r="J31">
        <f t="shared" si="0"/>
        <v>4.2545884670501495E-3</v>
      </c>
      <c r="K31">
        <f t="shared" si="1"/>
        <v>4.2545884670501497</v>
      </c>
      <c r="L31">
        <f t="shared" si="2"/>
        <v>50.686609428823019</v>
      </c>
      <c r="M31">
        <f t="shared" si="3"/>
        <v>401.80500000000001</v>
      </c>
      <c r="N31">
        <f t="shared" si="4"/>
        <v>98.426573621064946</v>
      </c>
      <c r="O31">
        <f t="shared" si="5"/>
        <v>9.7654515577581318</v>
      </c>
      <c r="P31">
        <f t="shared" si="6"/>
        <v>39.865324157999993</v>
      </c>
      <c r="Q31">
        <f t="shared" si="7"/>
        <v>0.28430887933705207</v>
      </c>
      <c r="R31">
        <f t="shared" si="8"/>
        <v>3.2335400203384914</v>
      </c>
      <c r="S31">
        <f t="shared" si="9"/>
        <v>0.27111545373475043</v>
      </c>
      <c r="T31">
        <f t="shared" si="10"/>
        <v>0.17058150702573346</v>
      </c>
      <c r="U31">
        <f t="shared" si="11"/>
        <v>344.35099864375877</v>
      </c>
      <c r="V31">
        <f t="shared" si="12"/>
        <v>30.658378171296288</v>
      </c>
      <c r="W31">
        <f t="shared" si="13"/>
        <v>29.983899999999998</v>
      </c>
      <c r="X31">
        <f t="shared" si="14"/>
        <v>4.2565114201725756</v>
      </c>
      <c r="Y31">
        <f t="shared" si="15"/>
        <v>65.337069599932576</v>
      </c>
      <c r="Z31">
        <f t="shared" si="16"/>
        <v>2.7545425459200001</v>
      </c>
      <c r="AA31">
        <f t="shared" si="17"/>
        <v>4.215895452285241</v>
      </c>
      <c r="AB31">
        <f t="shared" si="18"/>
        <v>1.5019688742525754</v>
      </c>
      <c r="AC31">
        <f t="shared" si="19"/>
        <v>-187.62735139691159</v>
      </c>
      <c r="AD31">
        <f t="shared" si="20"/>
        <v>-29.077678477358063</v>
      </c>
      <c r="AE31">
        <f t="shared" si="21"/>
        <v>-1.9975271969463133</v>
      </c>
      <c r="AF31">
        <f t="shared" si="22"/>
        <v>125.64844157254282</v>
      </c>
      <c r="AG31">
        <v>72</v>
      </c>
      <c r="AH31">
        <v>14</v>
      </c>
      <c r="AI31">
        <f t="shared" si="23"/>
        <v>1</v>
      </c>
      <c r="AJ31">
        <f t="shared" si="24"/>
        <v>0</v>
      </c>
      <c r="AK31">
        <f t="shared" si="25"/>
        <v>51915.736095132968</v>
      </c>
      <c r="AL31" t="s">
        <v>415</v>
      </c>
      <c r="AM31">
        <v>7163.32</v>
      </c>
      <c r="AN31">
        <v>295.04692307692312</v>
      </c>
      <c r="AO31">
        <v>723.15082041179414</v>
      </c>
      <c r="AP31">
        <f t="shared" si="26"/>
        <v>0.59199808013920208</v>
      </c>
      <c r="AQ31">
        <v>-3.795255127542589</v>
      </c>
      <c r="AR31" t="s">
        <v>483</v>
      </c>
      <c r="AS31">
        <v>7266.63</v>
      </c>
      <c r="AT31">
        <v>684.26016000000016</v>
      </c>
      <c r="AU31">
        <v>959.7710899008066</v>
      </c>
      <c r="AV31">
        <f t="shared" si="27"/>
        <v>0.28705900063032819</v>
      </c>
      <c r="AW31">
        <v>0.5</v>
      </c>
      <c r="AX31">
        <f t="shared" si="28"/>
        <v>1513.1009993218795</v>
      </c>
      <c r="AY31">
        <f t="shared" si="29"/>
        <v>50.686609428823019</v>
      </c>
      <c r="AZ31">
        <f t="shared" si="30"/>
        <v>217.17463035904481</v>
      </c>
      <c r="BA31">
        <f t="shared" si="31"/>
        <v>3.6006760011910992E-2</v>
      </c>
      <c r="BB31">
        <f t="shared" si="32"/>
        <v>-0.24653823393812313</v>
      </c>
      <c r="BC31">
        <f t="shared" si="33"/>
        <v>328.0442633046269</v>
      </c>
      <c r="BD31" t="s">
        <v>484</v>
      </c>
      <c r="BE31">
        <v>470.04</v>
      </c>
      <c r="BF31">
        <f t="shared" si="34"/>
        <v>470.04</v>
      </c>
      <c r="BG31">
        <f t="shared" si="35"/>
        <v>0.51025822204273807</v>
      </c>
      <c r="BH31">
        <f t="shared" si="36"/>
        <v>0.56257594337457784</v>
      </c>
      <c r="BI31">
        <f t="shared" si="37"/>
        <v>-0.93484849483734966</v>
      </c>
      <c r="BJ31">
        <f t="shared" si="38"/>
        <v>0.4144740685707643</v>
      </c>
      <c r="BK31">
        <f t="shared" si="39"/>
        <v>-0.55271692447107901</v>
      </c>
      <c r="BL31">
        <f t="shared" si="40"/>
        <v>0.38645125331246305</v>
      </c>
      <c r="BM31">
        <f t="shared" si="41"/>
        <v>0.61354874668753689</v>
      </c>
      <c r="BN31">
        <v>332</v>
      </c>
      <c r="BO31">
        <v>290.00000000000011</v>
      </c>
      <c r="BP31">
        <v>884.55</v>
      </c>
      <c r="BQ31">
        <v>295</v>
      </c>
      <c r="BR31">
        <v>7266.63</v>
      </c>
      <c r="BS31">
        <v>885.41</v>
      </c>
      <c r="BT31">
        <v>-0.86</v>
      </c>
      <c r="BU31">
        <v>300.00000000000011</v>
      </c>
      <c r="BV31">
        <v>38</v>
      </c>
      <c r="BW31">
        <v>959.7710899008066</v>
      </c>
      <c r="BX31">
        <v>1.17368756627049</v>
      </c>
      <c r="BY31">
        <v>-54.037877343227308</v>
      </c>
      <c r="BZ31">
        <v>0.714947225971446</v>
      </c>
      <c r="CA31">
        <v>0.99512262620348479</v>
      </c>
      <c r="CB31">
        <v>-7.1662765294771974E-3</v>
      </c>
      <c r="CC31">
        <v>289.99999999999989</v>
      </c>
      <c r="CD31">
        <v>895.65</v>
      </c>
      <c r="CE31">
        <v>895</v>
      </c>
      <c r="CF31">
        <v>7259.68</v>
      </c>
      <c r="CG31">
        <v>885.34</v>
      </c>
      <c r="CH31">
        <v>10.31</v>
      </c>
      <c r="CV31">
        <f t="shared" si="42"/>
        <v>1799.9</v>
      </c>
      <c r="CW31">
        <f t="shared" si="43"/>
        <v>1513.1009993218795</v>
      </c>
      <c r="CX31">
        <f t="shared" si="44"/>
        <v>0.8406583695326848</v>
      </c>
      <c r="CY31">
        <f t="shared" si="45"/>
        <v>0.19131673906536961</v>
      </c>
      <c r="CZ31">
        <v>4.5999999999999996</v>
      </c>
      <c r="DA31">
        <v>0.5</v>
      </c>
      <c r="DB31" t="s">
        <v>418</v>
      </c>
      <c r="DC31">
        <v>2</v>
      </c>
      <c r="DD31">
        <v>1700159593.5999999</v>
      </c>
      <c r="DE31">
        <v>401.80500000000001</v>
      </c>
      <c r="DF31">
        <v>450.005</v>
      </c>
      <c r="DG31">
        <v>27.763200000000001</v>
      </c>
      <c r="DH31">
        <v>23.957999999999998</v>
      </c>
      <c r="DI31">
        <v>403.44400000000002</v>
      </c>
      <c r="DJ31">
        <v>29.708500000000001</v>
      </c>
      <c r="DK31">
        <v>500.04599999999999</v>
      </c>
      <c r="DL31">
        <v>99.115600000000001</v>
      </c>
      <c r="DM31">
        <v>0.1</v>
      </c>
      <c r="DN31">
        <v>29.8171</v>
      </c>
      <c r="DO31">
        <v>29.983899999999998</v>
      </c>
      <c r="DP31">
        <v>999.9</v>
      </c>
      <c r="DQ31">
        <v>0</v>
      </c>
      <c r="DR31">
        <v>0</v>
      </c>
      <c r="DS31">
        <v>9998.75</v>
      </c>
      <c r="DT31">
        <v>0</v>
      </c>
      <c r="DU31">
        <v>115.81699999999999</v>
      </c>
      <c r="DV31">
        <v>-48.1997</v>
      </c>
      <c r="DW31">
        <v>413.279</v>
      </c>
      <c r="DX31">
        <v>461.05</v>
      </c>
      <c r="DY31">
        <v>3.8052600000000001</v>
      </c>
      <c r="DZ31">
        <v>450.005</v>
      </c>
      <c r="EA31">
        <v>23.957999999999998</v>
      </c>
      <c r="EB31">
        <v>2.75177</v>
      </c>
      <c r="EC31">
        <v>2.3746100000000001</v>
      </c>
      <c r="ED31">
        <v>22.5976</v>
      </c>
      <c r="EE31">
        <v>20.191600000000001</v>
      </c>
      <c r="EF31">
        <v>1799.9</v>
      </c>
      <c r="EG31">
        <v>0.97799400000000003</v>
      </c>
      <c r="EH31">
        <v>2.2005899999999998E-2</v>
      </c>
      <c r="EI31">
        <v>0</v>
      </c>
      <c r="EJ31">
        <v>683.70500000000004</v>
      </c>
      <c r="EK31">
        <v>5.0010300000000001</v>
      </c>
      <c r="EL31">
        <v>12478.3</v>
      </c>
      <c r="EM31">
        <v>14700.3</v>
      </c>
      <c r="EN31">
        <v>46.25</v>
      </c>
      <c r="EO31">
        <v>48.186999999999998</v>
      </c>
      <c r="EP31">
        <v>47.625</v>
      </c>
      <c r="EQ31">
        <v>47.125</v>
      </c>
      <c r="ER31">
        <v>47.875</v>
      </c>
      <c r="ES31">
        <v>1755.4</v>
      </c>
      <c r="ET31">
        <v>39.5</v>
      </c>
      <c r="EU31">
        <v>0</v>
      </c>
      <c r="EV31">
        <v>1617.2000000476839</v>
      </c>
      <c r="EW31">
        <v>0</v>
      </c>
      <c r="EX31">
        <v>684.26016000000016</v>
      </c>
      <c r="EY31">
        <v>-0.62638462443928822</v>
      </c>
      <c r="EZ31">
        <v>266.06923040406667</v>
      </c>
      <c r="FA31">
        <v>12415.564</v>
      </c>
      <c r="FB31">
        <v>15</v>
      </c>
      <c r="FC31">
        <v>1700159550.5999999</v>
      </c>
      <c r="FD31" t="s">
        <v>485</v>
      </c>
      <c r="FE31">
        <v>1700159547.0999999</v>
      </c>
      <c r="FF31">
        <v>1700159550.5999999</v>
      </c>
      <c r="FG31">
        <v>19</v>
      </c>
      <c r="FH31">
        <v>-0.10199999999999999</v>
      </c>
      <c r="FI31">
        <v>-8.0000000000000002E-3</v>
      </c>
      <c r="FJ31">
        <v>-1.609</v>
      </c>
      <c r="FK31">
        <v>-1.9450000000000001</v>
      </c>
      <c r="FL31">
        <v>450</v>
      </c>
      <c r="FM31">
        <v>24</v>
      </c>
      <c r="FN31">
        <v>0.05</v>
      </c>
      <c r="FO31">
        <v>0.03</v>
      </c>
      <c r="FP31">
        <v>50.786054644499274</v>
      </c>
      <c r="FQ31">
        <v>-0.63788786079393256</v>
      </c>
      <c r="FR31">
        <v>5.7162015401113007E-2</v>
      </c>
      <c r="FS31">
        <v>1</v>
      </c>
      <c r="FT31">
        <v>0.284664018015715</v>
      </c>
      <c r="FU31">
        <v>3.3665350495233129E-2</v>
      </c>
      <c r="FV31">
        <v>3.6774610405549721E-3</v>
      </c>
      <c r="FW31">
        <v>1</v>
      </c>
      <c r="FX31">
        <v>2</v>
      </c>
      <c r="FY31">
        <v>2</v>
      </c>
      <c r="FZ31" t="s">
        <v>420</v>
      </c>
      <c r="GA31">
        <v>2.8973399999999998</v>
      </c>
      <c r="GB31">
        <v>2.81799</v>
      </c>
      <c r="GC31">
        <v>9.0645400000000001E-2</v>
      </c>
      <c r="GD31">
        <v>9.8453399999999996E-2</v>
      </c>
      <c r="GE31">
        <v>0.13791400000000001</v>
      </c>
      <c r="GF31">
        <v>0.11808399999999999</v>
      </c>
      <c r="GG31">
        <v>25182.9</v>
      </c>
      <c r="GH31">
        <v>25007.5</v>
      </c>
      <c r="GI31">
        <v>24581.599999999999</v>
      </c>
      <c r="GJ31">
        <v>24786</v>
      </c>
      <c r="GK31">
        <v>28190.400000000001</v>
      </c>
      <c r="GL31">
        <v>28367.3</v>
      </c>
      <c r="GM31">
        <v>33281.1</v>
      </c>
      <c r="GN31">
        <v>33095.1</v>
      </c>
      <c r="GO31">
        <v>1.7853300000000001</v>
      </c>
      <c r="GP31">
        <v>2.5182799999999999</v>
      </c>
      <c r="GQ31">
        <v>5.3442999999999997E-2</v>
      </c>
      <c r="GR31">
        <v>0</v>
      </c>
      <c r="GS31">
        <v>29.113499999999998</v>
      </c>
      <c r="GT31">
        <v>999.9</v>
      </c>
      <c r="GU31">
        <v>37.1</v>
      </c>
      <c r="GV31">
        <v>41.1</v>
      </c>
      <c r="GW31">
        <v>29.421299999999999</v>
      </c>
      <c r="GX31">
        <v>62.366</v>
      </c>
      <c r="GY31">
        <v>-4.5953499999999998</v>
      </c>
      <c r="GZ31">
        <v>3</v>
      </c>
      <c r="HA31">
        <v>0.63678900000000005</v>
      </c>
      <c r="HB31">
        <v>2.8342299999999998</v>
      </c>
      <c r="HC31">
        <v>20.1418</v>
      </c>
      <c r="HD31">
        <v>5.2351099999999997</v>
      </c>
      <c r="HE31">
        <v>11.920500000000001</v>
      </c>
      <c r="HF31">
        <v>4.9596499999999999</v>
      </c>
      <c r="HG31">
        <v>3.2890000000000001</v>
      </c>
      <c r="HH31">
        <v>9999</v>
      </c>
      <c r="HI31">
        <v>9999</v>
      </c>
      <c r="HJ31">
        <v>9999</v>
      </c>
      <c r="HK31">
        <v>999.9</v>
      </c>
      <c r="HL31">
        <v>1.8809499999999999</v>
      </c>
      <c r="HM31">
        <v>1.87819</v>
      </c>
      <c r="HN31">
        <v>1.8861399999999999</v>
      </c>
      <c r="HO31">
        <v>1.88385</v>
      </c>
      <c r="HP31">
        <v>1.88141</v>
      </c>
      <c r="HQ31">
        <v>1.88039</v>
      </c>
      <c r="HR31">
        <v>1.8815599999999999</v>
      </c>
      <c r="HS31">
        <v>1.8810899999999999</v>
      </c>
      <c r="HT31">
        <v>5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423</v>
      </c>
      <c r="IB31" t="s">
        <v>423</v>
      </c>
      <c r="IC31" t="s">
        <v>423</v>
      </c>
      <c r="ID31">
        <v>0</v>
      </c>
      <c r="IE31">
        <v>100</v>
      </c>
      <c r="IF31">
        <v>100</v>
      </c>
      <c r="IG31">
        <v>-1.639</v>
      </c>
      <c r="IH31">
        <v>-1.9453</v>
      </c>
      <c r="II31">
        <v>-1.9357593041782379</v>
      </c>
      <c r="IJ31">
        <v>8.9935118796959448E-4</v>
      </c>
      <c r="IK31">
        <v>-5.3495398746875769E-7</v>
      </c>
      <c r="IL31">
        <v>3.209454383910538E-10</v>
      </c>
      <c r="IM31">
        <v>-1.9453</v>
      </c>
      <c r="IN31">
        <v>0</v>
      </c>
      <c r="IO31">
        <v>0</v>
      </c>
      <c r="IP31">
        <v>0</v>
      </c>
      <c r="IQ31">
        <v>1</v>
      </c>
      <c r="IR31">
        <v>2101</v>
      </c>
      <c r="IS31">
        <v>1</v>
      </c>
      <c r="IT31">
        <v>21</v>
      </c>
      <c r="IU31">
        <v>0.8</v>
      </c>
      <c r="IV31">
        <v>0.7</v>
      </c>
      <c r="IW31">
        <v>1.7089799999999999</v>
      </c>
      <c r="IX31">
        <v>2.51709</v>
      </c>
      <c r="IY31">
        <v>2.34375</v>
      </c>
      <c r="IZ31">
        <v>2.9174799999999999</v>
      </c>
      <c r="JA31">
        <v>3.0480999999999998</v>
      </c>
      <c r="JB31">
        <v>2.4011200000000001</v>
      </c>
      <c r="JC31">
        <v>44.669199999999996</v>
      </c>
      <c r="JD31">
        <v>24.043700000000001</v>
      </c>
      <c r="JE31">
        <v>18</v>
      </c>
      <c r="JF31">
        <v>400.75200000000001</v>
      </c>
      <c r="JG31">
        <v>1195.71</v>
      </c>
      <c r="JH31">
        <v>25.607199999999999</v>
      </c>
      <c r="JI31">
        <v>34.970999999999997</v>
      </c>
      <c r="JJ31">
        <v>30.0001</v>
      </c>
      <c r="JK31">
        <v>34.888399999999997</v>
      </c>
      <c r="JL31">
        <v>34.835999999999999</v>
      </c>
      <c r="JM31">
        <v>34.310299999999998</v>
      </c>
      <c r="JN31">
        <v>7.9839200000000003</v>
      </c>
      <c r="JO31">
        <v>50.024500000000003</v>
      </c>
      <c r="JP31">
        <v>25.611499999999999</v>
      </c>
      <c r="JQ31">
        <v>450</v>
      </c>
      <c r="JR31">
        <v>23.887899999999998</v>
      </c>
      <c r="JS31">
        <v>99.2821</v>
      </c>
      <c r="JT31">
        <v>98.7864</v>
      </c>
    </row>
    <row r="32" spans="1:280" x14ac:dyDescent="0.25">
      <c r="A32">
        <v>16</v>
      </c>
      <c r="B32">
        <v>1700159733.0999999</v>
      </c>
      <c r="C32">
        <v>3734.5</v>
      </c>
      <c r="D32" t="s">
        <v>486</v>
      </c>
      <c r="E32" t="s">
        <v>487</v>
      </c>
      <c r="F32" t="s">
        <v>412</v>
      </c>
      <c r="G32" t="s">
        <v>481</v>
      </c>
      <c r="H32" t="s">
        <v>482</v>
      </c>
      <c r="I32">
        <v>1700159733.0999999</v>
      </c>
      <c r="J32">
        <f t="shared" si="0"/>
        <v>2.643497392701445E-3</v>
      </c>
      <c r="K32">
        <f t="shared" si="1"/>
        <v>2.6434973927014451</v>
      </c>
      <c r="L32">
        <f t="shared" si="2"/>
        <v>57.746471181699306</v>
      </c>
      <c r="M32">
        <f t="shared" si="3"/>
        <v>1240.866</v>
      </c>
      <c r="N32">
        <f t="shared" si="4"/>
        <v>650.03065627702733</v>
      </c>
      <c r="O32">
        <f t="shared" si="5"/>
        <v>64.492881916786487</v>
      </c>
      <c r="P32">
        <f t="shared" si="6"/>
        <v>123.11269267037399</v>
      </c>
      <c r="Q32">
        <f t="shared" si="7"/>
        <v>0.16715437574029557</v>
      </c>
      <c r="R32">
        <f t="shared" si="8"/>
        <v>3.2312010571091641</v>
      </c>
      <c r="S32">
        <f t="shared" si="9"/>
        <v>0.16249482940495946</v>
      </c>
      <c r="T32">
        <f t="shared" si="10"/>
        <v>0.10196709119066358</v>
      </c>
      <c r="U32">
        <f t="shared" si="11"/>
        <v>344.36429864381148</v>
      </c>
      <c r="V32">
        <f t="shared" si="12"/>
        <v>30.991101556781331</v>
      </c>
      <c r="W32">
        <f t="shared" si="13"/>
        <v>30.071300000000001</v>
      </c>
      <c r="X32">
        <f t="shared" si="14"/>
        <v>4.2779292452675017</v>
      </c>
      <c r="Y32">
        <f t="shared" si="15"/>
        <v>64.721269018115805</v>
      </c>
      <c r="Z32">
        <f t="shared" si="16"/>
        <v>2.7208065213386998</v>
      </c>
      <c r="AA32">
        <f t="shared" si="17"/>
        <v>4.2038831478677157</v>
      </c>
      <c r="AB32">
        <f t="shared" si="18"/>
        <v>1.5571227239288019</v>
      </c>
      <c r="AC32">
        <f t="shared" si="19"/>
        <v>-116.57823501813373</v>
      </c>
      <c r="AD32">
        <f t="shared" si="20"/>
        <v>-52.922115360546513</v>
      </c>
      <c r="AE32">
        <f t="shared" si="21"/>
        <v>-3.6388637425716288</v>
      </c>
      <c r="AF32">
        <f t="shared" si="22"/>
        <v>171.2250845225596</v>
      </c>
      <c r="AG32">
        <v>73</v>
      </c>
      <c r="AH32">
        <v>15</v>
      </c>
      <c r="AI32">
        <f t="shared" si="23"/>
        <v>1</v>
      </c>
      <c r="AJ32">
        <f t="shared" si="24"/>
        <v>0</v>
      </c>
      <c r="AK32">
        <f t="shared" si="25"/>
        <v>51867.934217429152</v>
      </c>
      <c r="AL32" t="s">
        <v>426</v>
      </c>
      <c r="AM32" t="s">
        <v>426</v>
      </c>
      <c r="AN32">
        <v>0</v>
      </c>
      <c r="AO32">
        <v>0</v>
      </c>
      <c r="AP32" t="e">
        <f t="shared" si="26"/>
        <v>#DIV/0!</v>
      </c>
      <c r="AQ32">
        <v>0</v>
      </c>
      <c r="AR32" t="s">
        <v>426</v>
      </c>
      <c r="AS32" t="s">
        <v>426</v>
      </c>
      <c r="AT32">
        <v>0</v>
      </c>
      <c r="AU32">
        <v>0</v>
      </c>
      <c r="AV32" t="e">
        <f t="shared" si="27"/>
        <v>#DIV/0!</v>
      </c>
      <c r="AW32">
        <v>0.5</v>
      </c>
      <c r="AX32">
        <f t="shared" si="28"/>
        <v>1513.1597993219059</v>
      </c>
      <c r="AY32">
        <f t="shared" si="29"/>
        <v>57.746471181699306</v>
      </c>
      <c r="AZ32" t="e">
        <f t="shared" si="30"/>
        <v>#DIV/0!</v>
      </c>
      <c r="BA32">
        <f t="shared" si="31"/>
        <v>3.8162837267800336E-2</v>
      </c>
      <c r="BB32" t="e">
        <f t="shared" si="32"/>
        <v>#DIV/0!</v>
      </c>
      <c r="BC32" t="e">
        <f t="shared" si="33"/>
        <v>#DIV/0!</v>
      </c>
      <c r="BD32" t="s">
        <v>426</v>
      </c>
      <c r="BE32">
        <v>0</v>
      </c>
      <c r="BF32" t="e">
        <f t="shared" si="34"/>
        <v>#DIV/0!</v>
      </c>
      <c r="BG32" t="e">
        <f t="shared" si="35"/>
        <v>#DIV/0!</v>
      </c>
      <c r="BH32" t="e">
        <f t="shared" si="36"/>
        <v>#DIV/0!</v>
      </c>
      <c r="BI32" t="e">
        <f t="shared" si="37"/>
        <v>#DIV/0!</v>
      </c>
      <c r="BJ32" t="e">
        <f t="shared" si="38"/>
        <v>#DIV/0!</v>
      </c>
      <c r="BK32" t="e">
        <f t="shared" si="39"/>
        <v>#DIV/0!</v>
      </c>
      <c r="BL32" t="e">
        <f t="shared" si="40"/>
        <v>#DIV/0!</v>
      </c>
      <c r="BM32" t="e">
        <f t="shared" si="41"/>
        <v>#DIV/0!</v>
      </c>
      <c r="BN32">
        <v>332</v>
      </c>
      <c r="BO32">
        <v>290.00000000000011</v>
      </c>
      <c r="BP32">
        <v>884.55</v>
      </c>
      <c r="BQ32">
        <v>295</v>
      </c>
      <c r="BR32">
        <v>7266.63</v>
      </c>
      <c r="BS32">
        <v>885.41</v>
      </c>
      <c r="BT32">
        <v>-0.86</v>
      </c>
      <c r="BU32">
        <v>300.00000000000011</v>
      </c>
      <c r="BV32">
        <v>38</v>
      </c>
      <c r="BW32">
        <v>959.7710899008066</v>
      </c>
      <c r="BX32">
        <v>1.17368756627049</v>
      </c>
      <c r="BY32">
        <v>-54.037877343227308</v>
      </c>
      <c r="BZ32">
        <v>0.714947225971446</v>
      </c>
      <c r="CA32">
        <v>0.99512262620348479</v>
      </c>
      <c r="CB32">
        <v>-7.1662765294771974E-3</v>
      </c>
      <c r="CC32">
        <v>289.99999999999989</v>
      </c>
      <c r="CD32">
        <v>895.65</v>
      </c>
      <c r="CE32">
        <v>895</v>
      </c>
      <c r="CF32">
        <v>7259.68</v>
      </c>
      <c r="CG32">
        <v>885.34</v>
      </c>
      <c r="CH32">
        <v>10.31</v>
      </c>
      <c r="CV32">
        <f t="shared" si="42"/>
        <v>1799.97</v>
      </c>
      <c r="CW32">
        <f t="shared" si="43"/>
        <v>1513.1597993219059</v>
      </c>
      <c r="CX32">
        <f t="shared" si="44"/>
        <v>0.84065834392901317</v>
      </c>
      <c r="CY32">
        <f t="shared" si="45"/>
        <v>0.19131668785802625</v>
      </c>
      <c r="CZ32">
        <v>4.5999999999999996</v>
      </c>
      <c r="DA32">
        <v>0.5</v>
      </c>
      <c r="DB32" t="s">
        <v>418</v>
      </c>
      <c r="DC32">
        <v>2</v>
      </c>
      <c r="DD32">
        <v>1700159733.0999999</v>
      </c>
      <c r="DE32">
        <v>1240.866</v>
      </c>
      <c r="DF32">
        <v>1297.01</v>
      </c>
      <c r="DG32">
        <v>27.423300000000001</v>
      </c>
      <c r="DH32">
        <v>25.058</v>
      </c>
      <c r="DI32">
        <v>1242.92</v>
      </c>
      <c r="DJ32">
        <v>29.372299999999999</v>
      </c>
      <c r="DK32">
        <v>500.005</v>
      </c>
      <c r="DL32">
        <v>99.115099999999998</v>
      </c>
      <c r="DM32">
        <v>0.100039</v>
      </c>
      <c r="DN32">
        <v>29.767499999999998</v>
      </c>
      <c r="DO32">
        <v>30.071300000000001</v>
      </c>
      <c r="DP32">
        <v>999.9</v>
      </c>
      <c r="DQ32">
        <v>0</v>
      </c>
      <c r="DR32">
        <v>0</v>
      </c>
      <c r="DS32">
        <v>9987.5</v>
      </c>
      <c r="DT32">
        <v>0</v>
      </c>
      <c r="DU32">
        <v>141.089</v>
      </c>
      <c r="DV32">
        <v>-55.122599999999998</v>
      </c>
      <c r="DW32">
        <v>1276.9100000000001</v>
      </c>
      <c r="DX32">
        <v>1330.35</v>
      </c>
      <c r="DY32">
        <v>2.3690199999999999</v>
      </c>
      <c r="DZ32">
        <v>1297.01</v>
      </c>
      <c r="EA32">
        <v>25.058</v>
      </c>
      <c r="EB32">
        <v>2.7184300000000001</v>
      </c>
      <c r="EC32">
        <v>2.4836200000000002</v>
      </c>
      <c r="ED32">
        <v>22.396899999999999</v>
      </c>
      <c r="EE32">
        <v>20.919599999999999</v>
      </c>
      <c r="EF32">
        <v>1799.97</v>
      </c>
      <c r="EG32">
        <v>0.97799400000000003</v>
      </c>
      <c r="EH32">
        <v>2.2006000000000001E-2</v>
      </c>
      <c r="EI32">
        <v>0</v>
      </c>
      <c r="EJ32">
        <v>674.81</v>
      </c>
      <c r="EK32">
        <v>5.0010300000000001</v>
      </c>
      <c r="EL32">
        <v>12332.2</v>
      </c>
      <c r="EM32">
        <v>14700.9</v>
      </c>
      <c r="EN32">
        <v>46.186999999999998</v>
      </c>
      <c r="EO32">
        <v>48.125</v>
      </c>
      <c r="EP32">
        <v>47.5</v>
      </c>
      <c r="EQ32">
        <v>47</v>
      </c>
      <c r="ER32">
        <v>47.811999999999998</v>
      </c>
      <c r="ES32">
        <v>1755.47</v>
      </c>
      <c r="ET32">
        <v>39.5</v>
      </c>
      <c r="EU32">
        <v>0</v>
      </c>
      <c r="EV32">
        <v>137.5999999046326</v>
      </c>
      <c r="EW32">
        <v>0</v>
      </c>
      <c r="EX32">
        <v>674.75392307692323</v>
      </c>
      <c r="EY32">
        <v>-1.156854702476376</v>
      </c>
      <c r="EZ32">
        <v>-19.911111092842571</v>
      </c>
      <c r="FA32">
        <v>12333.307692307701</v>
      </c>
      <c r="FB32">
        <v>15</v>
      </c>
      <c r="FC32">
        <v>1700159763.0999999</v>
      </c>
      <c r="FD32" t="s">
        <v>488</v>
      </c>
      <c r="FE32">
        <v>1700159763.0999999</v>
      </c>
      <c r="FF32">
        <v>1700159751.0999999</v>
      </c>
      <c r="FG32">
        <v>20</v>
      </c>
      <c r="FH32">
        <v>-1.085</v>
      </c>
      <c r="FI32">
        <v>-4.0000000000000001E-3</v>
      </c>
      <c r="FJ32">
        <v>-2.0539999999999998</v>
      </c>
      <c r="FK32">
        <v>-1.9490000000000001</v>
      </c>
      <c r="FL32">
        <v>1296</v>
      </c>
      <c r="FM32">
        <v>25</v>
      </c>
      <c r="FN32">
        <v>0.08</v>
      </c>
      <c r="FO32">
        <v>0.04</v>
      </c>
      <c r="FP32">
        <v>56.590132759560881</v>
      </c>
      <c r="FQ32">
        <v>-0.15531997960525609</v>
      </c>
      <c r="FR32">
        <v>5.6076527315840577E-2</v>
      </c>
      <c r="FS32">
        <v>1</v>
      </c>
      <c r="FT32">
        <v>0.16955017328898689</v>
      </c>
      <c r="FU32">
        <v>-4.2239983134572057E-2</v>
      </c>
      <c r="FV32">
        <v>4.4745633626368207E-3</v>
      </c>
      <c r="FW32">
        <v>1</v>
      </c>
      <c r="FX32">
        <v>2</v>
      </c>
      <c r="FY32">
        <v>2</v>
      </c>
      <c r="FZ32" t="s">
        <v>420</v>
      </c>
      <c r="GA32">
        <v>2.8972199999999999</v>
      </c>
      <c r="GB32">
        <v>2.81793</v>
      </c>
      <c r="GC32">
        <v>0.195631</v>
      </c>
      <c r="GD32">
        <v>0.20072599999999999</v>
      </c>
      <c r="GE32">
        <v>0.13684399999999999</v>
      </c>
      <c r="GF32">
        <v>0.12177</v>
      </c>
      <c r="GG32">
        <v>22271.7</v>
      </c>
      <c r="GH32">
        <v>22167.1</v>
      </c>
      <c r="GI32">
        <v>24580.5</v>
      </c>
      <c r="GJ32">
        <v>24785.1</v>
      </c>
      <c r="GK32">
        <v>28225</v>
      </c>
      <c r="GL32">
        <v>28247.200000000001</v>
      </c>
      <c r="GM32">
        <v>33280.400000000001</v>
      </c>
      <c r="GN32">
        <v>33093.5</v>
      </c>
      <c r="GO32">
        <v>1.78495</v>
      </c>
      <c r="GP32">
        <v>2.5198</v>
      </c>
      <c r="GQ32">
        <v>6.3408199999999998E-2</v>
      </c>
      <c r="GR32">
        <v>0</v>
      </c>
      <c r="GS32">
        <v>29.038599999999999</v>
      </c>
      <c r="GT32">
        <v>999.9</v>
      </c>
      <c r="GU32">
        <v>37.200000000000003</v>
      </c>
      <c r="GV32">
        <v>41.1</v>
      </c>
      <c r="GW32">
        <v>29.5032</v>
      </c>
      <c r="GX32">
        <v>62.375999999999998</v>
      </c>
      <c r="GY32">
        <v>-4.8637800000000002</v>
      </c>
      <c r="GZ32">
        <v>3</v>
      </c>
      <c r="HA32">
        <v>0.64225600000000005</v>
      </c>
      <c r="HB32">
        <v>3.8104300000000002</v>
      </c>
      <c r="HC32">
        <v>20.122800000000002</v>
      </c>
      <c r="HD32">
        <v>5.2340600000000004</v>
      </c>
      <c r="HE32">
        <v>11.9213</v>
      </c>
      <c r="HF32">
        <v>4.9596999999999998</v>
      </c>
      <c r="HG32">
        <v>3.28898</v>
      </c>
      <c r="HH32">
        <v>9999</v>
      </c>
      <c r="HI32">
        <v>9999</v>
      </c>
      <c r="HJ32">
        <v>9999</v>
      </c>
      <c r="HK32">
        <v>999.9</v>
      </c>
      <c r="HL32">
        <v>1.8809499999999999</v>
      </c>
      <c r="HM32">
        <v>1.87819</v>
      </c>
      <c r="HN32">
        <v>1.8861300000000001</v>
      </c>
      <c r="HO32">
        <v>1.88385</v>
      </c>
      <c r="HP32">
        <v>1.88141</v>
      </c>
      <c r="HQ32">
        <v>1.88035</v>
      </c>
      <c r="HR32">
        <v>1.8815599999999999</v>
      </c>
      <c r="HS32">
        <v>1.88107</v>
      </c>
      <c r="HT32">
        <v>5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423</v>
      </c>
      <c r="IB32" t="s">
        <v>423</v>
      </c>
      <c r="IC32" t="s">
        <v>423</v>
      </c>
      <c r="ID32">
        <v>0</v>
      </c>
      <c r="IE32">
        <v>100</v>
      </c>
      <c r="IF32">
        <v>100</v>
      </c>
      <c r="IG32">
        <v>-2.0539999999999998</v>
      </c>
      <c r="IH32">
        <v>-1.9490000000000001</v>
      </c>
      <c r="II32">
        <v>-1.9357593041782379</v>
      </c>
      <c r="IJ32">
        <v>8.9935118796959448E-4</v>
      </c>
      <c r="IK32">
        <v>-5.3495398746875769E-7</v>
      </c>
      <c r="IL32">
        <v>3.209454383910538E-10</v>
      </c>
      <c r="IM32">
        <v>-1.9453</v>
      </c>
      <c r="IN32">
        <v>0</v>
      </c>
      <c r="IO32">
        <v>0</v>
      </c>
      <c r="IP32">
        <v>0</v>
      </c>
      <c r="IQ32">
        <v>1</v>
      </c>
      <c r="IR32">
        <v>2101</v>
      </c>
      <c r="IS32">
        <v>1</v>
      </c>
      <c r="IT32">
        <v>21</v>
      </c>
      <c r="IU32">
        <v>3.1</v>
      </c>
      <c r="IV32">
        <v>3</v>
      </c>
      <c r="IW32">
        <v>3.9196800000000001</v>
      </c>
      <c r="IX32">
        <v>2.4414100000000002E-3</v>
      </c>
      <c r="IY32">
        <v>2.34375</v>
      </c>
      <c r="IZ32">
        <v>2.9199199999999998</v>
      </c>
      <c r="JA32">
        <v>3.0480999999999998</v>
      </c>
      <c r="JB32">
        <v>2.3303199999999999</v>
      </c>
      <c r="JC32">
        <v>44.641199999999998</v>
      </c>
      <c r="JD32">
        <v>24.026199999999999</v>
      </c>
      <c r="JE32">
        <v>18</v>
      </c>
      <c r="JF32">
        <v>400.62799999999999</v>
      </c>
      <c r="JG32">
        <v>1198.31</v>
      </c>
      <c r="JH32">
        <v>24.890799999999999</v>
      </c>
      <c r="JI32">
        <v>34.978400000000001</v>
      </c>
      <c r="JJ32">
        <v>30.0001</v>
      </c>
      <c r="JK32">
        <v>34.903700000000001</v>
      </c>
      <c r="JL32">
        <v>34.855200000000004</v>
      </c>
      <c r="JM32">
        <v>100</v>
      </c>
      <c r="JN32">
        <v>0</v>
      </c>
      <c r="JO32">
        <v>50.809600000000003</v>
      </c>
      <c r="JP32">
        <v>24.841799999999999</v>
      </c>
      <c r="JQ32">
        <v>1500</v>
      </c>
      <c r="JR32">
        <v>25.290199999999999</v>
      </c>
      <c r="JS32">
        <v>99.279200000000003</v>
      </c>
      <c r="JT32">
        <v>98.7821</v>
      </c>
    </row>
    <row r="33" spans="1:280" x14ac:dyDescent="0.25">
      <c r="A33">
        <v>17</v>
      </c>
      <c r="B33">
        <v>1700159962.5999999</v>
      </c>
      <c r="C33">
        <v>3964</v>
      </c>
      <c r="D33" t="s">
        <v>489</v>
      </c>
      <c r="E33" t="s">
        <v>490</v>
      </c>
      <c r="F33" t="s">
        <v>412</v>
      </c>
      <c r="G33" t="s">
        <v>481</v>
      </c>
      <c r="H33" t="s">
        <v>482</v>
      </c>
      <c r="I33">
        <v>1700159962.5999999</v>
      </c>
      <c r="J33">
        <f t="shared" si="0"/>
        <v>2.3471521516218864E-3</v>
      </c>
      <c r="K33">
        <f t="shared" si="1"/>
        <v>2.3471521516218865</v>
      </c>
      <c r="L33">
        <f t="shared" si="2"/>
        <v>54.57691865320912</v>
      </c>
      <c r="M33">
        <f t="shared" si="3"/>
        <v>1197.22</v>
      </c>
      <c r="N33">
        <f t="shared" si="4"/>
        <v>569.8515372799576</v>
      </c>
      <c r="O33">
        <f t="shared" si="5"/>
        <v>56.528306029964575</v>
      </c>
      <c r="P33">
        <f t="shared" si="6"/>
        <v>118.76219351488001</v>
      </c>
      <c r="Q33">
        <f t="shared" si="7"/>
        <v>0.14761250502578965</v>
      </c>
      <c r="R33">
        <f t="shared" si="8"/>
        <v>3.2313639030514176</v>
      </c>
      <c r="S33">
        <f t="shared" si="9"/>
        <v>0.14396614047669318</v>
      </c>
      <c r="T33">
        <f t="shared" si="10"/>
        <v>9.0298946950553377E-2</v>
      </c>
      <c r="U33">
        <f t="shared" si="11"/>
        <v>344.35479864377385</v>
      </c>
      <c r="V33">
        <f t="shared" si="12"/>
        <v>30.825785396895416</v>
      </c>
      <c r="W33">
        <f t="shared" si="13"/>
        <v>29.9941</v>
      </c>
      <c r="X33">
        <f t="shared" si="14"/>
        <v>4.2590061568326636</v>
      </c>
      <c r="Y33">
        <f t="shared" si="15"/>
        <v>65.066106657347049</v>
      </c>
      <c r="Z33">
        <f t="shared" si="16"/>
        <v>2.6984418645600003</v>
      </c>
      <c r="AA33">
        <f t="shared" si="17"/>
        <v>4.1472311825427175</v>
      </c>
      <c r="AB33">
        <f t="shared" si="18"/>
        <v>1.5605642922726632</v>
      </c>
      <c r="AC33">
        <f t="shared" si="19"/>
        <v>-103.50940988652519</v>
      </c>
      <c r="AD33">
        <f t="shared" si="20"/>
        <v>-80.519534180632462</v>
      </c>
      <c r="AE33">
        <f t="shared" si="21"/>
        <v>-5.5275826506264751</v>
      </c>
      <c r="AF33">
        <f t="shared" si="22"/>
        <v>154.79827192598972</v>
      </c>
      <c r="AG33">
        <v>73</v>
      </c>
      <c r="AH33">
        <v>15</v>
      </c>
      <c r="AI33">
        <f t="shared" si="23"/>
        <v>1</v>
      </c>
      <c r="AJ33">
        <f t="shared" si="24"/>
        <v>0</v>
      </c>
      <c r="AK33">
        <f t="shared" si="25"/>
        <v>51911.887305568787</v>
      </c>
      <c r="AL33" t="s">
        <v>415</v>
      </c>
      <c r="AM33">
        <v>7163.32</v>
      </c>
      <c r="AN33">
        <v>295.04692307692312</v>
      </c>
      <c r="AO33">
        <v>723.15082041179414</v>
      </c>
      <c r="AP33">
        <f t="shared" si="26"/>
        <v>0.59199808013920208</v>
      </c>
      <c r="AQ33">
        <v>-3.795255127542589</v>
      </c>
      <c r="AR33" t="s">
        <v>491</v>
      </c>
      <c r="AS33">
        <v>7266.9</v>
      </c>
      <c r="AT33">
        <v>672.94342307692318</v>
      </c>
      <c r="AU33">
        <v>973.07843174427251</v>
      </c>
      <c r="AV33">
        <f t="shared" si="27"/>
        <v>0.30843866113582252</v>
      </c>
      <c r="AW33">
        <v>0.5</v>
      </c>
      <c r="AX33">
        <f t="shared" si="28"/>
        <v>1513.1177993218869</v>
      </c>
      <c r="AY33">
        <f t="shared" si="29"/>
        <v>54.57691865320912</v>
      </c>
      <c r="AZ33">
        <f t="shared" si="30"/>
        <v>233.35201408181248</v>
      </c>
      <c r="BA33">
        <f t="shared" si="31"/>
        <v>3.8577415325437028E-2</v>
      </c>
      <c r="BB33">
        <f t="shared" si="32"/>
        <v>-0.25684220632089805</v>
      </c>
      <c r="BC33">
        <f t="shared" si="33"/>
        <v>329.5848120351468</v>
      </c>
      <c r="BD33" t="s">
        <v>492</v>
      </c>
      <c r="BE33">
        <v>474.89</v>
      </c>
      <c r="BF33">
        <f t="shared" si="34"/>
        <v>474.89</v>
      </c>
      <c r="BG33">
        <f t="shared" si="35"/>
        <v>0.51197150763197441</v>
      </c>
      <c r="BH33">
        <f t="shared" si="36"/>
        <v>0.60245278602015606</v>
      </c>
      <c r="BI33">
        <f t="shared" si="37"/>
        <v>-1.0067138701866829</v>
      </c>
      <c r="BJ33">
        <f t="shared" si="38"/>
        <v>0.44265643237916141</v>
      </c>
      <c r="BK33">
        <f t="shared" si="39"/>
        <v>-0.58380129890987709</v>
      </c>
      <c r="BL33">
        <f t="shared" si="40"/>
        <v>0.42514540411877744</v>
      </c>
      <c r="BM33">
        <f t="shared" si="41"/>
        <v>0.57485459588122256</v>
      </c>
      <c r="BN33">
        <v>334</v>
      </c>
      <c r="BO33">
        <v>290.00000000000011</v>
      </c>
      <c r="BP33">
        <v>889.78</v>
      </c>
      <c r="BQ33">
        <v>295</v>
      </c>
      <c r="BR33">
        <v>7266.9</v>
      </c>
      <c r="BS33">
        <v>891.17</v>
      </c>
      <c r="BT33">
        <v>-1.39</v>
      </c>
      <c r="BU33">
        <v>300.00000000000011</v>
      </c>
      <c r="BV33">
        <v>38</v>
      </c>
      <c r="BW33">
        <v>973.07843174427251</v>
      </c>
      <c r="BX33">
        <v>1.2749814531199659</v>
      </c>
      <c r="BY33">
        <v>-59.524318661395597</v>
      </c>
      <c r="BZ33">
        <v>0.77667730921353595</v>
      </c>
      <c r="CA33">
        <v>0.99525555941598054</v>
      </c>
      <c r="CB33">
        <v>-7.1666044493882116E-3</v>
      </c>
      <c r="CC33">
        <v>289.99999999999989</v>
      </c>
      <c r="CD33">
        <v>901.41</v>
      </c>
      <c r="CE33">
        <v>895</v>
      </c>
      <c r="CF33">
        <v>7259.97</v>
      </c>
      <c r="CG33">
        <v>891.09</v>
      </c>
      <c r="CH33">
        <v>10.32</v>
      </c>
      <c r="CV33">
        <f t="shared" si="42"/>
        <v>1799.92</v>
      </c>
      <c r="CW33">
        <f t="shared" si="43"/>
        <v>1513.1177993218869</v>
      </c>
      <c r="CX33">
        <f t="shared" si="44"/>
        <v>0.84065836221714674</v>
      </c>
      <c r="CY33">
        <f t="shared" si="45"/>
        <v>0.19131672443429365</v>
      </c>
      <c r="CZ33">
        <v>4.5999999999999996</v>
      </c>
      <c r="DA33">
        <v>0.5</v>
      </c>
      <c r="DB33" t="s">
        <v>418</v>
      </c>
      <c r="DC33">
        <v>2</v>
      </c>
      <c r="DD33">
        <v>1700159962.5999999</v>
      </c>
      <c r="DE33">
        <v>1197.22</v>
      </c>
      <c r="DF33">
        <v>1250.01</v>
      </c>
      <c r="DG33">
        <v>27.202500000000001</v>
      </c>
      <c r="DH33">
        <v>25.1021</v>
      </c>
      <c r="DI33">
        <v>1199.46</v>
      </c>
      <c r="DJ33">
        <v>29.1539</v>
      </c>
      <c r="DK33">
        <v>500.05700000000002</v>
      </c>
      <c r="DL33">
        <v>99.098100000000002</v>
      </c>
      <c r="DM33">
        <v>0.100204</v>
      </c>
      <c r="DN33">
        <v>29.5319</v>
      </c>
      <c r="DO33">
        <v>29.9941</v>
      </c>
      <c r="DP33">
        <v>999.9</v>
      </c>
      <c r="DQ33">
        <v>0</v>
      </c>
      <c r="DR33">
        <v>0</v>
      </c>
      <c r="DS33">
        <v>9990</v>
      </c>
      <c r="DT33">
        <v>0</v>
      </c>
      <c r="DU33">
        <v>144.73500000000001</v>
      </c>
      <c r="DV33">
        <v>-52.7881</v>
      </c>
      <c r="DW33">
        <v>1230.7</v>
      </c>
      <c r="DX33">
        <v>1282.19</v>
      </c>
      <c r="DY33">
        <v>2.1004299999999998</v>
      </c>
      <c r="DZ33">
        <v>1250.01</v>
      </c>
      <c r="EA33">
        <v>25.1021</v>
      </c>
      <c r="EB33">
        <v>2.6957200000000001</v>
      </c>
      <c r="EC33">
        <v>2.4875699999999998</v>
      </c>
      <c r="ED33">
        <v>22.259</v>
      </c>
      <c r="EE33">
        <v>20.945399999999999</v>
      </c>
      <c r="EF33">
        <v>1799.92</v>
      </c>
      <c r="EG33">
        <v>0.97799400000000003</v>
      </c>
      <c r="EH33">
        <v>2.2006000000000001E-2</v>
      </c>
      <c r="EI33">
        <v>0</v>
      </c>
      <c r="EJ33">
        <v>672.649</v>
      </c>
      <c r="EK33">
        <v>5.0010300000000001</v>
      </c>
      <c r="EL33">
        <v>12286.8</v>
      </c>
      <c r="EM33">
        <v>14700.4</v>
      </c>
      <c r="EN33">
        <v>46.186999999999998</v>
      </c>
      <c r="EO33">
        <v>48.125</v>
      </c>
      <c r="EP33">
        <v>47.5</v>
      </c>
      <c r="EQ33">
        <v>47.061999999999998</v>
      </c>
      <c r="ER33">
        <v>47.811999999999998</v>
      </c>
      <c r="ES33">
        <v>1755.42</v>
      </c>
      <c r="ET33">
        <v>39.5</v>
      </c>
      <c r="EU33">
        <v>0</v>
      </c>
      <c r="EV33">
        <v>366.79999995231628</v>
      </c>
      <c r="EW33">
        <v>0</v>
      </c>
      <c r="EX33">
        <v>672.94342307692318</v>
      </c>
      <c r="EY33">
        <v>-0.96741879773457284</v>
      </c>
      <c r="EZ33">
        <v>-61.463247848964841</v>
      </c>
      <c r="FA33">
        <v>12290.00769230769</v>
      </c>
      <c r="FB33">
        <v>15</v>
      </c>
      <c r="FC33">
        <v>1700159925.0999999</v>
      </c>
      <c r="FD33" t="s">
        <v>493</v>
      </c>
      <c r="FE33">
        <v>1700159920.5999999</v>
      </c>
      <c r="FF33">
        <v>1700159925.0999999</v>
      </c>
      <c r="FG33">
        <v>21</v>
      </c>
      <c r="FH33">
        <v>-8.4000000000000005E-2</v>
      </c>
      <c r="FI33">
        <v>-2E-3</v>
      </c>
      <c r="FJ33">
        <v>-2.1890000000000001</v>
      </c>
      <c r="FK33">
        <v>-1.9510000000000001</v>
      </c>
      <c r="FL33">
        <v>1250</v>
      </c>
      <c r="FM33">
        <v>25</v>
      </c>
      <c r="FN33">
        <v>0.05</v>
      </c>
      <c r="FO33">
        <v>0.04</v>
      </c>
      <c r="FP33">
        <v>54.708057913461033</v>
      </c>
      <c r="FQ33">
        <v>-0.42601799754004283</v>
      </c>
      <c r="FR33">
        <v>6.4566507952480076E-2</v>
      </c>
      <c r="FS33">
        <v>1</v>
      </c>
      <c r="FT33">
        <v>0.15242041310020729</v>
      </c>
      <c r="FU33">
        <v>-3.7596318337049198E-2</v>
      </c>
      <c r="FV33">
        <v>2.7688190724377971E-3</v>
      </c>
      <c r="FW33">
        <v>1</v>
      </c>
      <c r="FX33">
        <v>2</v>
      </c>
      <c r="FY33">
        <v>2</v>
      </c>
      <c r="FZ33" t="s">
        <v>420</v>
      </c>
      <c r="GA33">
        <v>2.8971300000000002</v>
      </c>
      <c r="GB33">
        <v>2.81812</v>
      </c>
      <c r="GC33">
        <v>0.19131799999999999</v>
      </c>
      <c r="GD33">
        <v>0.196191</v>
      </c>
      <c r="GE33">
        <v>0.136102</v>
      </c>
      <c r="GF33">
        <v>0.121877</v>
      </c>
      <c r="GG33">
        <v>22387</v>
      </c>
      <c r="GH33">
        <v>22288.5</v>
      </c>
      <c r="GI33">
        <v>24575.9</v>
      </c>
      <c r="GJ33">
        <v>24780.3</v>
      </c>
      <c r="GK33">
        <v>28244</v>
      </c>
      <c r="GL33">
        <v>28237.8</v>
      </c>
      <c r="GM33">
        <v>33273.5</v>
      </c>
      <c r="GN33">
        <v>33086.199999999997</v>
      </c>
      <c r="GO33">
        <v>1.78382</v>
      </c>
      <c r="GP33">
        <v>2.5184000000000002</v>
      </c>
      <c r="GQ33">
        <v>6.4767900000000003E-2</v>
      </c>
      <c r="GR33">
        <v>0</v>
      </c>
      <c r="GS33">
        <v>28.9392</v>
      </c>
      <c r="GT33">
        <v>999.9</v>
      </c>
      <c r="GU33">
        <v>37.799999999999997</v>
      </c>
      <c r="GV33">
        <v>41</v>
      </c>
      <c r="GW33">
        <v>29.825700000000001</v>
      </c>
      <c r="GX33">
        <v>62.4861</v>
      </c>
      <c r="GY33">
        <v>-4.9398999999999997</v>
      </c>
      <c r="GZ33">
        <v>3</v>
      </c>
      <c r="HA33">
        <v>0.64725600000000005</v>
      </c>
      <c r="HB33">
        <v>3.1966399999999999</v>
      </c>
      <c r="HC33">
        <v>20.135899999999999</v>
      </c>
      <c r="HD33">
        <v>5.2346599999999999</v>
      </c>
      <c r="HE33">
        <v>11.9216</v>
      </c>
      <c r="HF33">
        <v>4.9597499999999997</v>
      </c>
      <c r="HG33">
        <v>3.28898</v>
      </c>
      <c r="HH33">
        <v>9999</v>
      </c>
      <c r="HI33">
        <v>9999</v>
      </c>
      <c r="HJ33">
        <v>9999</v>
      </c>
      <c r="HK33">
        <v>999.9</v>
      </c>
      <c r="HL33">
        <v>1.8809499999999999</v>
      </c>
      <c r="HM33">
        <v>1.8781699999999999</v>
      </c>
      <c r="HN33">
        <v>1.8861399999999999</v>
      </c>
      <c r="HO33">
        <v>1.88385</v>
      </c>
      <c r="HP33">
        <v>1.88141</v>
      </c>
      <c r="HQ33">
        <v>1.88039</v>
      </c>
      <c r="HR33">
        <v>1.8815599999999999</v>
      </c>
      <c r="HS33">
        <v>1.88106</v>
      </c>
      <c r="HT33">
        <v>5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423</v>
      </c>
      <c r="IB33" t="s">
        <v>423</v>
      </c>
      <c r="IC33" t="s">
        <v>423</v>
      </c>
      <c r="ID33">
        <v>0</v>
      </c>
      <c r="IE33">
        <v>100</v>
      </c>
      <c r="IF33">
        <v>100</v>
      </c>
      <c r="IG33">
        <v>-2.2400000000000002</v>
      </c>
      <c r="IH33">
        <v>-1.9514</v>
      </c>
      <c r="II33">
        <v>-3.1060382352021301</v>
      </c>
      <c r="IJ33">
        <v>8.9935118796959448E-4</v>
      </c>
      <c r="IK33">
        <v>-5.3495398746875769E-7</v>
      </c>
      <c r="IL33">
        <v>3.209454383910538E-10</v>
      </c>
      <c r="IM33">
        <v>-1.9513649999999989</v>
      </c>
      <c r="IN33">
        <v>0</v>
      </c>
      <c r="IO33">
        <v>0</v>
      </c>
      <c r="IP33">
        <v>0</v>
      </c>
      <c r="IQ33">
        <v>1</v>
      </c>
      <c r="IR33">
        <v>2101</v>
      </c>
      <c r="IS33">
        <v>1</v>
      </c>
      <c r="IT33">
        <v>21</v>
      </c>
      <c r="IU33">
        <v>0.7</v>
      </c>
      <c r="IV33">
        <v>0.6</v>
      </c>
      <c r="IW33">
        <v>3.8110400000000002</v>
      </c>
      <c r="IX33">
        <v>2.4548299999999998</v>
      </c>
      <c r="IY33">
        <v>2.34375</v>
      </c>
      <c r="IZ33">
        <v>2.9174799999999999</v>
      </c>
      <c r="JA33">
        <v>3.0480999999999998</v>
      </c>
      <c r="JB33">
        <v>2.3962400000000001</v>
      </c>
      <c r="JC33">
        <v>44.557299999999998</v>
      </c>
      <c r="JD33">
        <v>24.035</v>
      </c>
      <c r="JE33">
        <v>18</v>
      </c>
      <c r="JF33">
        <v>400.48700000000002</v>
      </c>
      <c r="JG33">
        <v>1197.6600000000001</v>
      </c>
      <c r="JH33">
        <v>25.001200000000001</v>
      </c>
      <c r="JI33">
        <v>35.082999999999998</v>
      </c>
      <c r="JJ33">
        <v>30.0002</v>
      </c>
      <c r="JK33">
        <v>34.986199999999997</v>
      </c>
      <c r="JL33">
        <v>34.925600000000003</v>
      </c>
      <c r="JM33">
        <v>76.374600000000001</v>
      </c>
      <c r="JN33">
        <v>2.3823500000000002</v>
      </c>
      <c r="JO33">
        <v>51.682099999999998</v>
      </c>
      <c r="JP33">
        <v>24.998899999999999</v>
      </c>
      <c r="JQ33">
        <v>1250</v>
      </c>
      <c r="JR33">
        <v>25.067499999999999</v>
      </c>
      <c r="JS33">
        <v>99.259500000000003</v>
      </c>
      <c r="JT33">
        <v>98.761499999999998</v>
      </c>
    </row>
    <row r="34" spans="1:280" x14ac:dyDescent="0.25">
      <c r="A34">
        <v>18</v>
      </c>
      <c r="B34">
        <v>1700160162.5999999</v>
      </c>
      <c r="C34">
        <v>4164</v>
      </c>
      <c r="D34" t="s">
        <v>494</v>
      </c>
      <c r="E34" t="s">
        <v>495</v>
      </c>
      <c r="F34" t="s">
        <v>412</v>
      </c>
      <c r="G34" t="s">
        <v>481</v>
      </c>
      <c r="H34" t="s">
        <v>482</v>
      </c>
      <c r="I34">
        <v>1700160162.5999999</v>
      </c>
      <c r="J34">
        <f t="shared" si="0"/>
        <v>2.2043350739516143E-3</v>
      </c>
      <c r="K34">
        <f t="shared" si="1"/>
        <v>2.2043350739516145</v>
      </c>
      <c r="L34">
        <f t="shared" si="2"/>
        <v>52.468099311990798</v>
      </c>
      <c r="M34">
        <f t="shared" si="3"/>
        <v>949.80100000000004</v>
      </c>
      <c r="N34">
        <f t="shared" si="4"/>
        <v>311.44936164157798</v>
      </c>
      <c r="O34">
        <f t="shared" si="5"/>
        <v>30.894729768960314</v>
      </c>
      <c r="P34">
        <f t="shared" si="6"/>
        <v>94.217066538918601</v>
      </c>
      <c r="Q34">
        <f t="shared" si="7"/>
        <v>0.13772192917144074</v>
      </c>
      <c r="R34">
        <f t="shared" si="8"/>
        <v>3.2358672666848856</v>
      </c>
      <c r="S34">
        <f t="shared" si="9"/>
        <v>0.13454647958717397</v>
      </c>
      <c r="T34">
        <f t="shared" si="10"/>
        <v>8.437075317154713E-2</v>
      </c>
      <c r="U34">
        <f t="shared" si="11"/>
        <v>344.35289864376631</v>
      </c>
      <c r="V34">
        <f t="shared" si="12"/>
        <v>30.916432148430264</v>
      </c>
      <c r="W34">
        <f t="shared" si="13"/>
        <v>30.0121</v>
      </c>
      <c r="X34">
        <f t="shared" si="14"/>
        <v>4.2634117419352417</v>
      </c>
      <c r="Y34">
        <f t="shared" si="15"/>
        <v>64.769625517224625</v>
      </c>
      <c r="Z34">
        <f t="shared" si="16"/>
        <v>2.6952321887451598</v>
      </c>
      <c r="AA34">
        <f t="shared" si="17"/>
        <v>4.1612594904202407</v>
      </c>
      <c r="AB34">
        <f t="shared" si="18"/>
        <v>1.568179553190082</v>
      </c>
      <c r="AC34">
        <f t="shared" si="19"/>
        <v>-97.211176761266188</v>
      </c>
      <c r="AD34">
        <f t="shared" si="20"/>
        <v>-73.548995275967229</v>
      </c>
      <c r="AE34">
        <f t="shared" si="21"/>
        <v>-5.0439488052728914</v>
      </c>
      <c r="AF34">
        <f t="shared" si="22"/>
        <v>168.54877780125997</v>
      </c>
      <c r="AG34">
        <v>73</v>
      </c>
      <c r="AH34">
        <v>15</v>
      </c>
      <c r="AI34">
        <f t="shared" si="23"/>
        <v>1</v>
      </c>
      <c r="AJ34">
        <f t="shared" si="24"/>
        <v>0</v>
      </c>
      <c r="AK34">
        <f t="shared" si="25"/>
        <v>52010.272571752459</v>
      </c>
      <c r="AL34" t="s">
        <v>415</v>
      </c>
      <c r="AM34">
        <v>7163.32</v>
      </c>
      <c r="AN34">
        <v>295.04692307692312</v>
      </c>
      <c r="AO34">
        <v>723.15082041179414</v>
      </c>
      <c r="AP34">
        <f t="shared" si="26"/>
        <v>0.59199808013920208</v>
      </c>
      <c r="AQ34">
        <v>-3.795255127542589</v>
      </c>
      <c r="AR34" t="s">
        <v>496</v>
      </c>
      <c r="AS34">
        <v>7266.84</v>
      </c>
      <c r="AT34">
        <v>672.78156000000001</v>
      </c>
      <c r="AU34">
        <v>952.03225648474449</v>
      </c>
      <c r="AV34">
        <f t="shared" si="27"/>
        <v>0.29332062499209999</v>
      </c>
      <c r="AW34">
        <v>0.5</v>
      </c>
      <c r="AX34">
        <f t="shared" si="28"/>
        <v>1513.1093993218831</v>
      </c>
      <c r="AY34">
        <f t="shared" si="29"/>
        <v>52.468099311990798</v>
      </c>
      <c r="AZ34">
        <f t="shared" si="30"/>
        <v>221.91309734525788</v>
      </c>
      <c r="BA34">
        <f t="shared" si="31"/>
        <v>3.7183930299255583E-2</v>
      </c>
      <c r="BB34">
        <f t="shared" si="32"/>
        <v>-0.24041353064870441</v>
      </c>
      <c r="BC34">
        <f t="shared" si="33"/>
        <v>327.13536328627026</v>
      </c>
      <c r="BD34" t="s">
        <v>497</v>
      </c>
      <c r="BE34">
        <v>471.48</v>
      </c>
      <c r="BF34">
        <f t="shared" si="34"/>
        <v>471.48</v>
      </c>
      <c r="BG34">
        <f t="shared" si="35"/>
        <v>0.50476467914976042</v>
      </c>
      <c r="BH34">
        <f t="shared" si="36"/>
        <v>0.58110370457413407</v>
      </c>
      <c r="BI34">
        <f t="shared" si="37"/>
        <v>-0.90944764950678492</v>
      </c>
      <c r="BJ34">
        <f t="shared" si="38"/>
        <v>0.42504860045543907</v>
      </c>
      <c r="BK34">
        <f t="shared" si="39"/>
        <v>-0.53463992619042877</v>
      </c>
      <c r="BL34">
        <f t="shared" si="40"/>
        <v>0.4072328834824378</v>
      </c>
      <c r="BM34">
        <f t="shared" si="41"/>
        <v>0.5927671165175622</v>
      </c>
      <c r="BN34">
        <v>336</v>
      </c>
      <c r="BO34">
        <v>290.00000000000011</v>
      </c>
      <c r="BP34">
        <v>875.73</v>
      </c>
      <c r="BQ34">
        <v>285</v>
      </c>
      <c r="BR34">
        <v>7266.84</v>
      </c>
      <c r="BS34">
        <v>876.89</v>
      </c>
      <c r="BT34">
        <v>-1.1599999999999999</v>
      </c>
      <c r="BU34">
        <v>300.00000000000011</v>
      </c>
      <c r="BV34">
        <v>38</v>
      </c>
      <c r="BW34">
        <v>952.03225648474449</v>
      </c>
      <c r="BX34">
        <v>1.4371557489063871</v>
      </c>
      <c r="BY34">
        <v>-54.602310908732242</v>
      </c>
      <c r="BZ34">
        <v>0.87546315243401418</v>
      </c>
      <c r="CA34">
        <v>0.99285344280587817</v>
      </c>
      <c r="CB34">
        <v>-7.1665121245828647E-3</v>
      </c>
      <c r="CC34">
        <v>289.99999999999989</v>
      </c>
      <c r="CD34">
        <v>887.01</v>
      </c>
      <c r="CE34">
        <v>865</v>
      </c>
      <c r="CF34">
        <v>7260.15</v>
      </c>
      <c r="CG34">
        <v>876.82</v>
      </c>
      <c r="CH34">
        <v>10.19</v>
      </c>
      <c r="CV34">
        <f t="shared" si="42"/>
        <v>1799.91</v>
      </c>
      <c r="CW34">
        <f t="shared" si="43"/>
        <v>1513.1093993218831</v>
      </c>
      <c r="CX34">
        <f t="shared" si="44"/>
        <v>0.8406583658748954</v>
      </c>
      <c r="CY34">
        <f t="shared" si="45"/>
        <v>0.191316731749791</v>
      </c>
      <c r="CZ34">
        <v>4.5999999999999996</v>
      </c>
      <c r="DA34">
        <v>0.5</v>
      </c>
      <c r="DB34" t="s">
        <v>418</v>
      </c>
      <c r="DC34">
        <v>2</v>
      </c>
      <c r="DD34">
        <v>1700160162.5999999</v>
      </c>
      <c r="DE34">
        <v>949.80100000000004</v>
      </c>
      <c r="DF34">
        <v>999.98800000000006</v>
      </c>
      <c r="DG34">
        <v>27.1706</v>
      </c>
      <c r="DH34">
        <v>25.1981</v>
      </c>
      <c r="DI34">
        <v>951.96299999999997</v>
      </c>
      <c r="DJ34">
        <v>29.124500000000001</v>
      </c>
      <c r="DK34">
        <v>500.09800000000001</v>
      </c>
      <c r="DL34">
        <v>99.096800000000002</v>
      </c>
      <c r="DM34">
        <v>9.98386E-2</v>
      </c>
      <c r="DN34">
        <v>29.590499999999999</v>
      </c>
      <c r="DO34">
        <v>30.0121</v>
      </c>
      <c r="DP34">
        <v>999.9</v>
      </c>
      <c r="DQ34">
        <v>0</v>
      </c>
      <c r="DR34">
        <v>0</v>
      </c>
      <c r="DS34">
        <v>10011.9</v>
      </c>
      <c r="DT34">
        <v>0</v>
      </c>
      <c r="DU34">
        <v>110.634</v>
      </c>
      <c r="DV34">
        <v>-50.186900000000001</v>
      </c>
      <c r="DW34">
        <v>976.32799999999997</v>
      </c>
      <c r="DX34">
        <v>1025.8399999999999</v>
      </c>
      <c r="DY34">
        <v>1.9724699999999999</v>
      </c>
      <c r="DZ34">
        <v>999.98800000000006</v>
      </c>
      <c r="EA34">
        <v>25.1981</v>
      </c>
      <c r="EB34">
        <v>2.69252</v>
      </c>
      <c r="EC34">
        <v>2.4970500000000002</v>
      </c>
      <c r="ED34">
        <v>22.2395</v>
      </c>
      <c r="EE34">
        <v>21.007300000000001</v>
      </c>
      <c r="EF34">
        <v>1799.91</v>
      </c>
      <c r="EG34">
        <v>0.97799400000000003</v>
      </c>
      <c r="EH34">
        <v>2.2006000000000001E-2</v>
      </c>
      <c r="EI34">
        <v>0</v>
      </c>
      <c r="EJ34">
        <v>672.59299999999996</v>
      </c>
      <c r="EK34">
        <v>5.0010300000000001</v>
      </c>
      <c r="EL34">
        <v>12235</v>
      </c>
      <c r="EM34">
        <v>14700.4</v>
      </c>
      <c r="EN34">
        <v>46.186999999999998</v>
      </c>
      <c r="EO34">
        <v>48.061999999999998</v>
      </c>
      <c r="EP34">
        <v>47.561999999999998</v>
      </c>
      <c r="EQ34">
        <v>47.125</v>
      </c>
      <c r="ER34">
        <v>47.75</v>
      </c>
      <c r="ES34">
        <v>1755.41</v>
      </c>
      <c r="ET34">
        <v>39.5</v>
      </c>
      <c r="EU34">
        <v>0</v>
      </c>
      <c r="EV34">
        <v>198</v>
      </c>
      <c r="EW34">
        <v>0</v>
      </c>
      <c r="EX34">
        <v>672.78156000000001</v>
      </c>
      <c r="EY34">
        <v>-1.5023076960608071</v>
      </c>
      <c r="EZ34">
        <v>-63.307692342236919</v>
      </c>
      <c r="FA34">
        <v>12242.52</v>
      </c>
      <c r="FB34">
        <v>15</v>
      </c>
      <c r="FC34">
        <v>1700160082.0999999</v>
      </c>
      <c r="FD34" t="s">
        <v>498</v>
      </c>
      <c r="FE34">
        <v>1700160082.0999999</v>
      </c>
      <c r="FF34">
        <v>1700160077.0999999</v>
      </c>
      <c r="FG34">
        <v>22</v>
      </c>
      <c r="FH34">
        <v>0.29499999999999998</v>
      </c>
      <c r="FI34">
        <v>-3.0000000000000001E-3</v>
      </c>
      <c r="FJ34">
        <v>-2.1230000000000002</v>
      </c>
      <c r="FK34">
        <v>-1.954</v>
      </c>
      <c r="FL34">
        <v>1000</v>
      </c>
      <c r="FM34">
        <v>26</v>
      </c>
      <c r="FN34">
        <v>0.04</v>
      </c>
      <c r="FO34">
        <v>7.0000000000000007E-2</v>
      </c>
      <c r="FP34">
        <v>52.406933647428353</v>
      </c>
      <c r="FQ34">
        <v>0.64429655346191506</v>
      </c>
      <c r="FR34">
        <v>5.5846737238957403E-2</v>
      </c>
      <c r="FS34">
        <v>1</v>
      </c>
      <c r="FT34">
        <v>0.1386820261951402</v>
      </c>
      <c r="FU34">
        <v>-8.2636107515382268E-3</v>
      </c>
      <c r="FV34">
        <v>7.2734306411228469E-4</v>
      </c>
      <c r="FW34">
        <v>1</v>
      </c>
      <c r="FX34">
        <v>2</v>
      </c>
      <c r="FY34">
        <v>2</v>
      </c>
      <c r="FZ34" t="s">
        <v>420</v>
      </c>
      <c r="GA34">
        <v>2.89724</v>
      </c>
      <c r="GB34">
        <v>2.8179500000000002</v>
      </c>
      <c r="GC34">
        <v>0.16536000000000001</v>
      </c>
      <c r="GD34">
        <v>0.17063300000000001</v>
      </c>
      <c r="GE34">
        <v>0.13599900000000001</v>
      </c>
      <c r="GF34">
        <v>0.122185</v>
      </c>
      <c r="GG34">
        <v>23106.7</v>
      </c>
      <c r="GH34">
        <v>22997.599999999999</v>
      </c>
      <c r="GI34">
        <v>24575.599999999999</v>
      </c>
      <c r="GJ34">
        <v>24779.200000000001</v>
      </c>
      <c r="GK34">
        <v>28247.200000000001</v>
      </c>
      <c r="GL34">
        <v>28226.1</v>
      </c>
      <c r="GM34">
        <v>33273.300000000003</v>
      </c>
      <c r="GN34">
        <v>33084.1</v>
      </c>
      <c r="GO34">
        <v>1.7839799999999999</v>
      </c>
      <c r="GP34">
        <v>2.5162</v>
      </c>
      <c r="GQ34">
        <v>7.1868299999999996E-2</v>
      </c>
      <c r="GR34">
        <v>0</v>
      </c>
      <c r="GS34">
        <v>28.8414</v>
      </c>
      <c r="GT34">
        <v>999.9</v>
      </c>
      <c r="GU34">
        <v>38.299999999999997</v>
      </c>
      <c r="GV34">
        <v>40.9</v>
      </c>
      <c r="GW34">
        <v>30.0609</v>
      </c>
      <c r="GX34">
        <v>62.646099999999997</v>
      </c>
      <c r="GY34">
        <v>-5.0400600000000004</v>
      </c>
      <c r="GZ34">
        <v>3</v>
      </c>
      <c r="HA34">
        <v>0.64539100000000005</v>
      </c>
      <c r="HB34">
        <v>2.6436199999999999</v>
      </c>
      <c r="HC34">
        <v>20.145099999999999</v>
      </c>
      <c r="HD34">
        <v>5.2340600000000004</v>
      </c>
      <c r="HE34">
        <v>11.920999999999999</v>
      </c>
      <c r="HF34">
        <v>4.9596</v>
      </c>
      <c r="HG34">
        <v>3.2890000000000001</v>
      </c>
      <c r="HH34">
        <v>9999</v>
      </c>
      <c r="HI34">
        <v>9999</v>
      </c>
      <c r="HJ34">
        <v>9999</v>
      </c>
      <c r="HK34">
        <v>999.9</v>
      </c>
      <c r="HL34">
        <v>1.88097</v>
      </c>
      <c r="HM34">
        <v>1.8781600000000001</v>
      </c>
      <c r="HN34">
        <v>1.88612</v>
      </c>
      <c r="HO34">
        <v>1.88385</v>
      </c>
      <c r="HP34">
        <v>1.88141</v>
      </c>
      <c r="HQ34">
        <v>1.8803799999999999</v>
      </c>
      <c r="HR34">
        <v>1.8815599999999999</v>
      </c>
      <c r="HS34">
        <v>1.88106</v>
      </c>
      <c r="HT34">
        <v>5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423</v>
      </c>
      <c r="IB34" t="s">
        <v>423</v>
      </c>
      <c r="IC34" t="s">
        <v>423</v>
      </c>
      <c r="ID34">
        <v>0</v>
      </c>
      <c r="IE34">
        <v>100</v>
      </c>
      <c r="IF34">
        <v>100</v>
      </c>
      <c r="IG34">
        <v>-2.1619999999999999</v>
      </c>
      <c r="IH34">
        <v>-1.9539</v>
      </c>
      <c r="II34">
        <v>-2.810219830097723</v>
      </c>
      <c r="IJ34">
        <v>8.9935118796959448E-4</v>
      </c>
      <c r="IK34">
        <v>-5.3495398746875769E-7</v>
      </c>
      <c r="IL34">
        <v>3.209454383910538E-10</v>
      </c>
      <c r="IM34">
        <v>-1.9539499999999921</v>
      </c>
      <c r="IN34">
        <v>0</v>
      </c>
      <c r="IO34">
        <v>0</v>
      </c>
      <c r="IP34">
        <v>0</v>
      </c>
      <c r="IQ34">
        <v>1</v>
      </c>
      <c r="IR34">
        <v>2101</v>
      </c>
      <c r="IS34">
        <v>1</v>
      </c>
      <c r="IT34">
        <v>21</v>
      </c>
      <c r="IU34">
        <v>1.3</v>
      </c>
      <c r="IV34">
        <v>1.4</v>
      </c>
      <c r="IW34">
        <v>3.2153299999999998</v>
      </c>
      <c r="IX34">
        <v>2.4670399999999999</v>
      </c>
      <c r="IY34">
        <v>2.34375</v>
      </c>
      <c r="IZ34">
        <v>2.9199199999999998</v>
      </c>
      <c r="JA34">
        <v>3.0480999999999998</v>
      </c>
      <c r="JB34">
        <v>2.3779300000000001</v>
      </c>
      <c r="JC34">
        <v>44.557299999999998</v>
      </c>
      <c r="JD34">
        <v>24.035</v>
      </c>
      <c r="JE34">
        <v>18</v>
      </c>
      <c r="JF34">
        <v>400.70800000000003</v>
      </c>
      <c r="JG34">
        <v>1195.0899999999999</v>
      </c>
      <c r="JH34">
        <v>25.560600000000001</v>
      </c>
      <c r="JI34">
        <v>35.082999999999998</v>
      </c>
      <c r="JJ34">
        <v>30.0002</v>
      </c>
      <c r="JK34">
        <v>35.007300000000001</v>
      </c>
      <c r="JL34">
        <v>34.9572</v>
      </c>
      <c r="JM34">
        <v>64.467699999999994</v>
      </c>
      <c r="JN34">
        <v>5.3569599999999999</v>
      </c>
      <c r="JO34">
        <v>52.942900000000002</v>
      </c>
      <c r="JP34">
        <v>25.561199999999999</v>
      </c>
      <c r="JQ34">
        <v>1000</v>
      </c>
      <c r="JR34">
        <v>25.139900000000001</v>
      </c>
      <c r="JS34">
        <v>99.258600000000001</v>
      </c>
      <c r="JT34">
        <v>98.756</v>
      </c>
    </row>
    <row r="35" spans="1:280" x14ac:dyDescent="0.25">
      <c r="A35">
        <v>19</v>
      </c>
      <c r="B35">
        <v>1700160472.0999999</v>
      </c>
      <c r="C35">
        <v>4473.5</v>
      </c>
      <c r="D35" t="s">
        <v>499</v>
      </c>
      <c r="E35" t="s">
        <v>500</v>
      </c>
      <c r="F35" t="s">
        <v>412</v>
      </c>
      <c r="G35" t="s">
        <v>481</v>
      </c>
      <c r="H35" t="s">
        <v>482</v>
      </c>
      <c r="I35">
        <v>1700160472.0999999</v>
      </c>
      <c r="J35">
        <f t="shared" si="0"/>
        <v>3.2375159779237765E-3</v>
      </c>
      <c r="K35">
        <f t="shared" si="1"/>
        <v>3.2375159779237763</v>
      </c>
      <c r="L35">
        <f t="shared" si="2"/>
        <v>55.608801425869245</v>
      </c>
      <c r="M35">
        <f t="shared" si="3"/>
        <v>696.72900000000004</v>
      </c>
      <c r="N35">
        <f t="shared" si="4"/>
        <v>246.82138529249053</v>
      </c>
      <c r="O35">
        <f t="shared" si="5"/>
        <v>24.482107123330739</v>
      </c>
      <c r="P35">
        <f t="shared" si="6"/>
        <v>69.1082500558758</v>
      </c>
      <c r="Q35">
        <f t="shared" si="7"/>
        <v>0.20943069069597806</v>
      </c>
      <c r="R35">
        <f t="shared" si="8"/>
        <v>3.237267069165096</v>
      </c>
      <c r="S35">
        <f t="shared" si="9"/>
        <v>0.20218430871699428</v>
      </c>
      <c r="T35">
        <f t="shared" si="10"/>
        <v>0.12699536367526135</v>
      </c>
      <c r="U35">
        <f t="shared" si="11"/>
        <v>344.41049864364902</v>
      </c>
      <c r="V35">
        <f t="shared" si="12"/>
        <v>30.895399626121769</v>
      </c>
      <c r="W35">
        <f t="shared" si="13"/>
        <v>30.006499999999999</v>
      </c>
      <c r="X35">
        <f t="shared" si="14"/>
        <v>4.262040690059484</v>
      </c>
      <c r="Y35">
        <f t="shared" si="15"/>
        <v>64.759245513801204</v>
      </c>
      <c r="Z35">
        <f t="shared" si="16"/>
        <v>2.7297267287750602</v>
      </c>
      <c r="AA35">
        <f t="shared" si="17"/>
        <v>4.2151922974354488</v>
      </c>
      <c r="AB35">
        <f t="shared" si="18"/>
        <v>1.5323139612844239</v>
      </c>
      <c r="AC35">
        <f t="shared" si="19"/>
        <v>-142.77445462643854</v>
      </c>
      <c r="AD35">
        <f t="shared" si="20"/>
        <v>-33.561646371372859</v>
      </c>
      <c r="AE35">
        <f t="shared" si="21"/>
        <v>-2.3031292849212526</v>
      </c>
      <c r="AF35">
        <f t="shared" si="22"/>
        <v>165.77126836091639</v>
      </c>
      <c r="AG35">
        <v>71</v>
      </c>
      <c r="AH35">
        <v>14</v>
      </c>
      <c r="AI35">
        <f t="shared" si="23"/>
        <v>1</v>
      </c>
      <c r="AJ35">
        <f t="shared" si="24"/>
        <v>0</v>
      </c>
      <c r="AK35">
        <f t="shared" si="25"/>
        <v>52005.397923822951</v>
      </c>
      <c r="AL35" t="s">
        <v>415</v>
      </c>
      <c r="AM35">
        <v>7163.32</v>
      </c>
      <c r="AN35">
        <v>295.04692307692312</v>
      </c>
      <c r="AO35">
        <v>723.15082041179414</v>
      </c>
      <c r="AP35">
        <f t="shared" si="26"/>
        <v>0.59199808013920208</v>
      </c>
      <c r="AQ35">
        <v>-3.795255127542589</v>
      </c>
      <c r="AR35" t="s">
        <v>501</v>
      </c>
      <c r="AS35">
        <v>7268.36</v>
      </c>
      <c r="AT35">
        <v>667.15953846153855</v>
      </c>
      <c r="AU35">
        <v>952.95408264365676</v>
      </c>
      <c r="AV35">
        <f t="shared" si="27"/>
        <v>0.29990379325441952</v>
      </c>
      <c r="AW35">
        <v>0.5</v>
      </c>
      <c r="AX35">
        <f t="shared" si="28"/>
        <v>1513.3616993218245</v>
      </c>
      <c r="AY35">
        <f t="shared" si="29"/>
        <v>55.608801425869245</v>
      </c>
      <c r="AZ35">
        <f t="shared" si="30"/>
        <v>226.93145709628473</v>
      </c>
      <c r="BA35">
        <f t="shared" si="31"/>
        <v>3.9253046102615312E-2</v>
      </c>
      <c r="BB35">
        <f t="shared" si="32"/>
        <v>-0.24114830548220043</v>
      </c>
      <c r="BC35">
        <f t="shared" si="33"/>
        <v>327.24413720083282</v>
      </c>
      <c r="BD35" t="s">
        <v>502</v>
      </c>
      <c r="BE35">
        <v>475.71</v>
      </c>
      <c r="BF35">
        <f t="shared" si="34"/>
        <v>475.71</v>
      </c>
      <c r="BG35">
        <f t="shared" si="35"/>
        <v>0.50080490900432528</v>
      </c>
      <c r="BH35">
        <f t="shared" si="36"/>
        <v>0.59884355736582706</v>
      </c>
      <c r="BI35">
        <f t="shared" si="37"/>
        <v>-0.92872009496824781</v>
      </c>
      <c r="BJ35">
        <f t="shared" si="38"/>
        <v>0.43439950459017485</v>
      </c>
      <c r="BK35">
        <f t="shared" si="39"/>
        <v>-0.53679320291752941</v>
      </c>
      <c r="BL35">
        <f t="shared" si="40"/>
        <v>0.42699812001701676</v>
      </c>
      <c r="BM35">
        <f t="shared" si="41"/>
        <v>0.57300187998298324</v>
      </c>
      <c r="BN35">
        <v>338</v>
      </c>
      <c r="BO35">
        <v>290.00000000000011</v>
      </c>
      <c r="BP35">
        <v>873.74</v>
      </c>
      <c r="BQ35">
        <v>275</v>
      </c>
      <c r="BR35">
        <v>7268.36</v>
      </c>
      <c r="BS35">
        <v>874.75</v>
      </c>
      <c r="BT35">
        <v>-1.01</v>
      </c>
      <c r="BU35">
        <v>300.00000000000011</v>
      </c>
      <c r="BV35">
        <v>38</v>
      </c>
      <c r="BW35">
        <v>952.95408264365676</v>
      </c>
      <c r="BX35">
        <v>1.4697098322851729</v>
      </c>
      <c r="BY35">
        <v>-56.838715858744898</v>
      </c>
      <c r="BZ35">
        <v>0.89543955277859988</v>
      </c>
      <c r="CA35">
        <v>0.99309864364761857</v>
      </c>
      <c r="CB35">
        <v>-7.1676502780867613E-3</v>
      </c>
      <c r="CC35">
        <v>289.99999999999989</v>
      </c>
      <c r="CD35">
        <v>883.32</v>
      </c>
      <c r="CE35">
        <v>885</v>
      </c>
      <c r="CF35">
        <v>7261.09</v>
      </c>
      <c r="CG35">
        <v>874.68</v>
      </c>
      <c r="CH35">
        <v>8.64</v>
      </c>
      <c r="CV35">
        <f t="shared" si="42"/>
        <v>1800.21</v>
      </c>
      <c r="CW35">
        <f t="shared" si="43"/>
        <v>1513.3616993218245</v>
      </c>
      <c r="CX35">
        <f t="shared" si="44"/>
        <v>0.84065842280724168</v>
      </c>
      <c r="CY35">
        <f t="shared" si="45"/>
        <v>0.19131684561448331</v>
      </c>
      <c r="CZ35">
        <v>4.5999999999999996</v>
      </c>
      <c r="DA35">
        <v>0.5</v>
      </c>
      <c r="DB35" t="s">
        <v>418</v>
      </c>
      <c r="DC35">
        <v>2</v>
      </c>
      <c r="DD35">
        <v>1700160472.0999999</v>
      </c>
      <c r="DE35">
        <v>696.72900000000004</v>
      </c>
      <c r="DF35">
        <v>749.96900000000005</v>
      </c>
      <c r="DG35">
        <v>27.520299999999999</v>
      </c>
      <c r="DH35">
        <v>24.6235</v>
      </c>
      <c r="DI35">
        <v>698.79100000000005</v>
      </c>
      <c r="DJ35">
        <v>29.4771</v>
      </c>
      <c r="DK35">
        <v>499.95600000000002</v>
      </c>
      <c r="DL35">
        <v>99.089600000000004</v>
      </c>
      <c r="DM35">
        <v>9.9970199999999995E-2</v>
      </c>
      <c r="DN35">
        <v>29.8142</v>
      </c>
      <c r="DO35">
        <v>30.006499999999999</v>
      </c>
      <c r="DP35">
        <v>999.9</v>
      </c>
      <c r="DQ35">
        <v>0</v>
      </c>
      <c r="DR35">
        <v>0</v>
      </c>
      <c r="DS35">
        <v>10019.4</v>
      </c>
      <c r="DT35">
        <v>0</v>
      </c>
      <c r="DU35">
        <v>260.666</v>
      </c>
      <c r="DV35">
        <v>-53.239899999999999</v>
      </c>
      <c r="DW35">
        <v>716.44500000000005</v>
      </c>
      <c r="DX35">
        <v>768.90200000000004</v>
      </c>
      <c r="DY35">
        <v>2.8968500000000001</v>
      </c>
      <c r="DZ35">
        <v>749.96900000000005</v>
      </c>
      <c r="EA35">
        <v>24.6235</v>
      </c>
      <c r="EB35">
        <v>2.7269800000000002</v>
      </c>
      <c r="EC35">
        <v>2.4399299999999999</v>
      </c>
      <c r="ED35">
        <v>22.448599999999999</v>
      </c>
      <c r="EE35">
        <v>20.6313</v>
      </c>
      <c r="EF35">
        <v>1800.21</v>
      </c>
      <c r="EG35">
        <v>0.97799400000000003</v>
      </c>
      <c r="EH35">
        <v>2.2006000000000001E-2</v>
      </c>
      <c r="EI35">
        <v>0</v>
      </c>
      <c r="EJ35">
        <v>666.745</v>
      </c>
      <c r="EK35">
        <v>5.0010300000000001</v>
      </c>
      <c r="EL35">
        <v>12208</v>
      </c>
      <c r="EM35">
        <v>14702.8</v>
      </c>
      <c r="EN35">
        <v>46.061999999999998</v>
      </c>
      <c r="EO35">
        <v>48</v>
      </c>
      <c r="EP35">
        <v>47.375</v>
      </c>
      <c r="EQ35">
        <v>46.936999999999998</v>
      </c>
      <c r="ER35">
        <v>47.686999999999998</v>
      </c>
      <c r="ES35">
        <v>1755.7</v>
      </c>
      <c r="ET35">
        <v>39.51</v>
      </c>
      <c r="EU35">
        <v>0</v>
      </c>
      <c r="EV35">
        <v>307.40000009536737</v>
      </c>
      <c r="EW35">
        <v>0</v>
      </c>
      <c r="EX35">
        <v>667.15953846153855</v>
      </c>
      <c r="EY35">
        <v>-3.3369572774555381</v>
      </c>
      <c r="EZ35">
        <v>-42.417093984913613</v>
      </c>
      <c r="FA35">
        <v>12212.073076923079</v>
      </c>
      <c r="FB35">
        <v>15</v>
      </c>
      <c r="FC35">
        <v>1700160289.0999999</v>
      </c>
      <c r="FD35" t="s">
        <v>503</v>
      </c>
      <c r="FE35">
        <v>1700160289.0999999</v>
      </c>
      <c r="FF35">
        <v>1700160278.0999999</v>
      </c>
      <c r="FG35">
        <v>23</v>
      </c>
      <c r="FH35">
        <v>0.27200000000000002</v>
      </c>
      <c r="FI35">
        <v>-3.0000000000000001E-3</v>
      </c>
      <c r="FJ35">
        <v>-2.028</v>
      </c>
      <c r="FK35">
        <v>-1.9570000000000001</v>
      </c>
      <c r="FL35">
        <v>750</v>
      </c>
      <c r="FM35">
        <v>26</v>
      </c>
      <c r="FN35">
        <v>0.09</v>
      </c>
      <c r="FO35">
        <v>7.0000000000000007E-2</v>
      </c>
      <c r="FP35">
        <v>55.43667228404869</v>
      </c>
      <c r="FQ35">
        <v>1.4464666185769339</v>
      </c>
      <c r="FR35">
        <v>0.11468504777044761</v>
      </c>
      <c r="FS35">
        <v>0</v>
      </c>
      <c r="FT35">
        <v>0.20635796118540481</v>
      </c>
      <c r="FU35">
        <v>2.845088315155011E-3</v>
      </c>
      <c r="FV35">
        <v>1.0309719890085551E-3</v>
      </c>
      <c r="FW35">
        <v>1</v>
      </c>
      <c r="FX35">
        <v>1</v>
      </c>
      <c r="FY35">
        <v>2</v>
      </c>
      <c r="FZ35" t="s">
        <v>428</v>
      </c>
      <c r="GA35">
        <v>2.8968699999999998</v>
      </c>
      <c r="GB35">
        <v>2.8181400000000001</v>
      </c>
      <c r="GC35">
        <v>0.134741</v>
      </c>
      <c r="GD35">
        <v>0.14132</v>
      </c>
      <c r="GE35">
        <v>0.137104</v>
      </c>
      <c r="GF35">
        <v>0.120255</v>
      </c>
      <c r="GG35">
        <v>23955.4</v>
      </c>
      <c r="GH35">
        <v>23811.200000000001</v>
      </c>
      <c r="GI35">
        <v>24575.5</v>
      </c>
      <c r="GJ35">
        <v>24779.1</v>
      </c>
      <c r="GK35">
        <v>28210.3</v>
      </c>
      <c r="GL35">
        <v>28287</v>
      </c>
      <c r="GM35">
        <v>33272.5</v>
      </c>
      <c r="GN35">
        <v>33082.699999999997</v>
      </c>
      <c r="GO35">
        <v>1.78738</v>
      </c>
      <c r="GP35">
        <v>2.5163000000000002</v>
      </c>
      <c r="GQ35">
        <v>6.1076100000000001E-2</v>
      </c>
      <c r="GR35">
        <v>0</v>
      </c>
      <c r="GS35">
        <v>29.011800000000001</v>
      </c>
      <c r="GT35">
        <v>999.9</v>
      </c>
      <c r="GU35">
        <v>38.700000000000003</v>
      </c>
      <c r="GV35">
        <v>40.799999999999997</v>
      </c>
      <c r="GW35">
        <v>30.217300000000002</v>
      </c>
      <c r="GX35">
        <v>62.516199999999998</v>
      </c>
      <c r="GY35">
        <v>-4.8878199999999996</v>
      </c>
      <c r="GZ35">
        <v>3</v>
      </c>
      <c r="HA35">
        <v>0.64670000000000005</v>
      </c>
      <c r="HB35">
        <v>2.74756</v>
      </c>
      <c r="HC35">
        <v>20.1434</v>
      </c>
      <c r="HD35">
        <v>5.2315199999999997</v>
      </c>
      <c r="HE35">
        <v>11.920999999999999</v>
      </c>
      <c r="HF35">
        <v>4.9591500000000002</v>
      </c>
      <c r="HG35">
        <v>3.2884799999999998</v>
      </c>
      <c r="HH35">
        <v>9999</v>
      </c>
      <c r="HI35">
        <v>9999</v>
      </c>
      <c r="HJ35">
        <v>9999</v>
      </c>
      <c r="HK35">
        <v>999.9</v>
      </c>
      <c r="HL35">
        <v>1.8809499999999999</v>
      </c>
      <c r="HM35">
        <v>1.87815</v>
      </c>
      <c r="HN35">
        <v>1.88611</v>
      </c>
      <c r="HO35">
        <v>1.88385</v>
      </c>
      <c r="HP35">
        <v>1.8814</v>
      </c>
      <c r="HQ35">
        <v>1.88035</v>
      </c>
      <c r="HR35">
        <v>1.8815599999999999</v>
      </c>
      <c r="HS35">
        <v>1.88106</v>
      </c>
      <c r="HT35">
        <v>5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423</v>
      </c>
      <c r="IB35" t="s">
        <v>423</v>
      </c>
      <c r="IC35" t="s">
        <v>423</v>
      </c>
      <c r="ID35">
        <v>0</v>
      </c>
      <c r="IE35">
        <v>100</v>
      </c>
      <c r="IF35">
        <v>100</v>
      </c>
      <c r="IG35">
        <v>-2.0619999999999998</v>
      </c>
      <c r="IH35">
        <v>-1.9568000000000001</v>
      </c>
      <c r="II35">
        <v>-2.5386797651624091</v>
      </c>
      <c r="IJ35">
        <v>8.9935118796959448E-4</v>
      </c>
      <c r="IK35">
        <v>-5.3495398746875769E-7</v>
      </c>
      <c r="IL35">
        <v>3.209454383910538E-10</v>
      </c>
      <c r="IM35">
        <v>-1.9567599999999961</v>
      </c>
      <c r="IN35">
        <v>0</v>
      </c>
      <c r="IO35">
        <v>0</v>
      </c>
      <c r="IP35">
        <v>0</v>
      </c>
      <c r="IQ35">
        <v>1</v>
      </c>
      <c r="IR35">
        <v>2101</v>
      </c>
      <c r="IS35">
        <v>1</v>
      </c>
      <c r="IT35">
        <v>21</v>
      </c>
      <c r="IU35">
        <v>3</v>
      </c>
      <c r="IV35">
        <v>3.2</v>
      </c>
      <c r="IW35">
        <v>2.5659200000000002</v>
      </c>
      <c r="IX35">
        <v>2.47559</v>
      </c>
      <c r="IY35">
        <v>2.34375</v>
      </c>
      <c r="IZ35">
        <v>2.9186999999999999</v>
      </c>
      <c r="JA35">
        <v>3.0480999999999998</v>
      </c>
      <c r="JB35">
        <v>2.3986800000000001</v>
      </c>
      <c r="JC35">
        <v>44.529299999999999</v>
      </c>
      <c r="JD35">
        <v>24.035</v>
      </c>
      <c r="JE35">
        <v>18</v>
      </c>
      <c r="JF35">
        <v>402.82100000000003</v>
      </c>
      <c r="JG35">
        <v>1195.75</v>
      </c>
      <c r="JH35">
        <v>25.671900000000001</v>
      </c>
      <c r="JI35">
        <v>35.086300000000001</v>
      </c>
      <c r="JJ35">
        <v>29.999400000000001</v>
      </c>
      <c r="JK35">
        <v>35.026699999999998</v>
      </c>
      <c r="JL35">
        <v>34.9833</v>
      </c>
      <c r="JM35">
        <v>51.471699999999998</v>
      </c>
      <c r="JN35">
        <v>9.4486799999999995</v>
      </c>
      <c r="JO35">
        <v>53.817500000000003</v>
      </c>
      <c r="JP35">
        <v>25.682700000000001</v>
      </c>
      <c r="JQ35">
        <v>750</v>
      </c>
      <c r="JR35">
        <v>24.6967</v>
      </c>
      <c r="JS35">
        <v>99.257000000000005</v>
      </c>
      <c r="JT35">
        <v>98.753299999999996</v>
      </c>
    </row>
    <row r="36" spans="1:280" x14ac:dyDescent="0.25">
      <c r="A36">
        <v>20</v>
      </c>
      <c r="B36">
        <v>1700160585.0999999</v>
      </c>
      <c r="C36">
        <v>4586.5</v>
      </c>
      <c r="D36" t="s">
        <v>504</v>
      </c>
      <c r="E36" t="s">
        <v>505</v>
      </c>
      <c r="F36" t="s">
        <v>412</v>
      </c>
      <c r="G36" t="s">
        <v>481</v>
      </c>
      <c r="H36" t="s">
        <v>482</v>
      </c>
      <c r="I36">
        <v>1700160585.0999999</v>
      </c>
      <c r="J36">
        <f t="shared" si="0"/>
        <v>3.0148589356969765E-3</v>
      </c>
      <c r="K36">
        <f t="shared" si="1"/>
        <v>3.0148589356969766</v>
      </c>
      <c r="L36">
        <f t="shared" si="2"/>
        <v>52.145832845075375</v>
      </c>
      <c r="M36">
        <f t="shared" si="3"/>
        <v>550.48800000000006</v>
      </c>
      <c r="N36">
        <f t="shared" si="4"/>
        <v>105.09729915884643</v>
      </c>
      <c r="O36">
        <f t="shared" si="5"/>
        <v>10.424865318176062</v>
      </c>
      <c r="P36">
        <f t="shared" si="6"/>
        <v>54.604288646832003</v>
      </c>
      <c r="Q36">
        <f t="shared" si="7"/>
        <v>0.19638130928476782</v>
      </c>
      <c r="R36">
        <f t="shared" si="8"/>
        <v>3.231764496532251</v>
      </c>
      <c r="S36">
        <f t="shared" si="9"/>
        <v>0.18998451219786899</v>
      </c>
      <c r="T36">
        <f t="shared" si="10"/>
        <v>0.1192976892947428</v>
      </c>
      <c r="U36">
        <f t="shared" si="11"/>
        <v>344.35349864342294</v>
      </c>
      <c r="V36">
        <f t="shared" si="12"/>
        <v>30.845626885502011</v>
      </c>
      <c r="W36">
        <f t="shared" si="13"/>
        <v>29.995699999999999</v>
      </c>
      <c r="X36">
        <f t="shared" si="14"/>
        <v>4.2593976036717143</v>
      </c>
      <c r="Y36">
        <f t="shared" si="15"/>
        <v>65.413592952661631</v>
      </c>
      <c r="Z36">
        <f t="shared" si="16"/>
        <v>2.7408577890938002</v>
      </c>
      <c r="AA36">
        <f t="shared" si="17"/>
        <v>4.1900431781469303</v>
      </c>
      <c r="AB36">
        <f t="shared" si="18"/>
        <v>1.5185398145779141</v>
      </c>
      <c r="AC36">
        <f t="shared" si="19"/>
        <v>-132.95527906423666</v>
      </c>
      <c r="AD36">
        <f t="shared" si="20"/>
        <v>-49.742918391826663</v>
      </c>
      <c r="AE36">
        <f t="shared" si="21"/>
        <v>-3.4174194377445133</v>
      </c>
      <c r="AF36">
        <f t="shared" si="22"/>
        <v>158.2378817496151</v>
      </c>
      <c r="AG36">
        <v>69</v>
      </c>
      <c r="AH36">
        <v>14</v>
      </c>
      <c r="AI36">
        <f t="shared" si="23"/>
        <v>1</v>
      </c>
      <c r="AJ36">
        <f t="shared" si="24"/>
        <v>0</v>
      </c>
      <c r="AK36">
        <f t="shared" si="25"/>
        <v>51890.833392870125</v>
      </c>
      <c r="AL36" t="s">
        <v>426</v>
      </c>
      <c r="AM36" t="s">
        <v>426</v>
      </c>
      <c r="AN36">
        <v>0</v>
      </c>
      <c r="AO36">
        <v>0</v>
      </c>
      <c r="AP36" t="e">
        <f t="shared" si="26"/>
        <v>#DIV/0!</v>
      </c>
      <c r="AQ36">
        <v>0</v>
      </c>
      <c r="AR36" t="s">
        <v>426</v>
      </c>
      <c r="AS36" t="s">
        <v>426</v>
      </c>
      <c r="AT36">
        <v>0</v>
      </c>
      <c r="AU36">
        <v>0</v>
      </c>
      <c r="AV36" t="e">
        <f t="shared" si="27"/>
        <v>#DIV/0!</v>
      </c>
      <c r="AW36">
        <v>0.5</v>
      </c>
      <c r="AX36">
        <f t="shared" si="28"/>
        <v>1513.1096993217116</v>
      </c>
      <c r="AY36">
        <f t="shared" si="29"/>
        <v>52.145832845075375</v>
      </c>
      <c r="AZ36" t="e">
        <f t="shared" si="30"/>
        <v>#DIV/0!</v>
      </c>
      <c r="BA36">
        <f t="shared" si="31"/>
        <v>3.446269154738154E-2</v>
      </c>
      <c r="BB36" t="e">
        <f t="shared" si="32"/>
        <v>#DIV/0!</v>
      </c>
      <c r="BC36" t="e">
        <f t="shared" si="33"/>
        <v>#DIV/0!</v>
      </c>
      <c r="BD36" t="s">
        <v>426</v>
      </c>
      <c r="BE36">
        <v>0</v>
      </c>
      <c r="BF36" t="e">
        <f t="shared" si="34"/>
        <v>#DIV/0!</v>
      </c>
      <c r="BG36" t="e">
        <f t="shared" si="35"/>
        <v>#DIV/0!</v>
      </c>
      <c r="BH36" t="e">
        <f t="shared" si="36"/>
        <v>#DIV/0!</v>
      </c>
      <c r="BI36" t="e">
        <f t="shared" si="37"/>
        <v>#DIV/0!</v>
      </c>
      <c r="BJ36" t="e">
        <f t="shared" si="38"/>
        <v>#DIV/0!</v>
      </c>
      <c r="BK36" t="e">
        <f t="shared" si="39"/>
        <v>#DIV/0!</v>
      </c>
      <c r="BL36" t="e">
        <f t="shared" si="40"/>
        <v>#DIV/0!</v>
      </c>
      <c r="BM36" t="e">
        <f t="shared" si="41"/>
        <v>#DIV/0!</v>
      </c>
      <c r="BN36">
        <v>338</v>
      </c>
      <c r="BO36">
        <v>290.00000000000011</v>
      </c>
      <c r="BP36">
        <v>873.74</v>
      </c>
      <c r="BQ36">
        <v>275</v>
      </c>
      <c r="BR36">
        <v>7268.36</v>
      </c>
      <c r="BS36">
        <v>874.75</v>
      </c>
      <c r="BT36">
        <v>-1.01</v>
      </c>
      <c r="BU36">
        <v>300.00000000000011</v>
      </c>
      <c r="BV36">
        <v>38</v>
      </c>
      <c r="BW36">
        <v>952.95408264365676</v>
      </c>
      <c r="BX36">
        <v>1.4697098322851729</v>
      </c>
      <c r="BY36">
        <v>-56.838715858744898</v>
      </c>
      <c r="BZ36">
        <v>0.89543955277859988</v>
      </c>
      <c r="CA36">
        <v>0.99309864364761857</v>
      </c>
      <c r="CB36">
        <v>-7.1676502780867613E-3</v>
      </c>
      <c r="CC36">
        <v>289.99999999999989</v>
      </c>
      <c r="CD36">
        <v>883.32</v>
      </c>
      <c r="CE36">
        <v>885</v>
      </c>
      <c r="CF36">
        <v>7261.09</v>
      </c>
      <c r="CG36">
        <v>874.68</v>
      </c>
      <c r="CH36">
        <v>8.64</v>
      </c>
      <c r="CV36">
        <f t="shared" si="42"/>
        <v>1799.91</v>
      </c>
      <c r="CW36">
        <f t="shared" si="43"/>
        <v>1513.1096993217116</v>
      </c>
      <c r="CX36">
        <f t="shared" si="44"/>
        <v>0.8406585325498005</v>
      </c>
      <c r="CY36">
        <f t="shared" si="45"/>
        <v>0.19131706509960106</v>
      </c>
      <c r="CZ36">
        <v>4.5999999999999996</v>
      </c>
      <c r="DA36">
        <v>0.5</v>
      </c>
      <c r="DB36" t="s">
        <v>418</v>
      </c>
      <c r="DC36">
        <v>2</v>
      </c>
      <c r="DD36">
        <v>1700160585.0999999</v>
      </c>
      <c r="DE36">
        <v>550.48800000000006</v>
      </c>
      <c r="DF36">
        <v>599.98299999999995</v>
      </c>
      <c r="DG36">
        <v>27.631699999999999</v>
      </c>
      <c r="DH36">
        <v>24.934999999999999</v>
      </c>
      <c r="DI36">
        <v>552.34900000000005</v>
      </c>
      <c r="DJ36">
        <v>29.586500000000001</v>
      </c>
      <c r="DK36">
        <v>500.06099999999998</v>
      </c>
      <c r="DL36">
        <v>99.092500000000001</v>
      </c>
      <c r="DM36">
        <v>0.10001400000000001</v>
      </c>
      <c r="DN36">
        <v>29.7102</v>
      </c>
      <c r="DO36">
        <v>29.995699999999999</v>
      </c>
      <c r="DP36">
        <v>999.9</v>
      </c>
      <c r="DQ36">
        <v>0</v>
      </c>
      <c r="DR36">
        <v>0</v>
      </c>
      <c r="DS36">
        <v>9992.5</v>
      </c>
      <c r="DT36">
        <v>0</v>
      </c>
      <c r="DU36">
        <v>262.13099999999997</v>
      </c>
      <c r="DV36">
        <v>-49.494799999999998</v>
      </c>
      <c r="DW36">
        <v>566.13099999999997</v>
      </c>
      <c r="DX36">
        <v>615.32600000000002</v>
      </c>
      <c r="DY36">
        <v>2.6967699999999999</v>
      </c>
      <c r="DZ36">
        <v>599.98299999999995</v>
      </c>
      <c r="EA36">
        <v>24.934999999999999</v>
      </c>
      <c r="EB36">
        <v>2.7381000000000002</v>
      </c>
      <c r="EC36">
        <v>2.4708700000000001</v>
      </c>
      <c r="ED36">
        <v>22.515599999999999</v>
      </c>
      <c r="EE36">
        <v>20.835899999999999</v>
      </c>
      <c r="EF36">
        <v>1799.91</v>
      </c>
      <c r="EG36">
        <v>0.97799000000000003</v>
      </c>
      <c r="EH36">
        <v>2.2009600000000001E-2</v>
      </c>
      <c r="EI36">
        <v>0</v>
      </c>
      <c r="EJ36">
        <v>668.04100000000005</v>
      </c>
      <c r="EK36">
        <v>5.0010300000000001</v>
      </c>
      <c r="EL36">
        <v>12217.3</v>
      </c>
      <c r="EM36">
        <v>14700.3</v>
      </c>
      <c r="EN36">
        <v>46.061999999999998</v>
      </c>
      <c r="EO36">
        <v>48.061999999999998</v>
      </c>
      <c r="EP36">
        <v>47.436999999999998</v>
      </c>
      <c r="EQ36">
        <v>47</v>
      </c>
      <c r="ER36">
        <v>47.686999999999998</v>
      </c>
      <c r="ES36">
        <v>1755.4</v>
      </c>
      <c r="ET36">
        <v>39.51</v>
      </c>
      <c r="EU36">
        <v>0</v>
      </c>
      <c r="EV36">
        <v>111.2000000476837</v>
      </c>
      <c r="EW36">
        <v>0</v>
      </c>
      <c r="EX36">
        <v>667.71557692307692</v>
      </c>
      <c r="EY36">
        <v>1.4368888714883199</v>
      </c>
      <c r="EZ36">
        <v>9.9658119306461685</v>
      </c>
      <c r="FA36">
        <v>12217.29615384615</v>
      </c>
      <c r="FB36">
        <v>15</v>
      </c>
      <c r="FC36">
        <v>1700160562.0999999</v>
      </c>
      <c r="FD36" t="s">
        <v>506</v>
      </c>
      <c r="FE36">
        <v>1700160562.0999999</v>
      </c>
      <c r="FF36">
        <v>1700160557.5999999</v>
      </c>
      <c r="FG36">
        <v>24</v>
      </c>
      <c r="FH36">
        <v>0.28999999999999998</v>
      </c>
      <c r="FI36">
        <v>2E-3</v>
      </c>
      <c r="FJ36">
        <v>-1.831</v>
      </c>
      <c r="FK36">
        <v>-1.9550000000000001</v>
      </c>
      <c r="FL36">
        <v>600</v>
      </c>
      <c r="FM36">
        <v>25</v>
      </c>
      <c r="FN36">
        <v>0.05</v>
      </c>
      <c r="FO36">
        <v>0.05</v>
      </c>
      <c r="FP36">
        <v>52.254097227574178</v>
      </c>
      <c r="FQ36">
        <v>-0.51423028469138554</v>
      </c>
      <c r="FR36">
        <v>6.5791475243089578E-2</v>
      </c>
      <c r="FS36">
        <v>1</v>
      </c>
      <c r="FT36">
        <v>0.19145258590968439</v>
      </c>
      <c r="FU36">
        <v>4.916063472221955E-2</v>
      </c>
      <c r="FV36">
        <v>4.5971547560670319E-3</v>
      </c>
      <c r="FW36">
        <v>1</v>
      </c>
      <c r="FX36">
        <v>2</v>
      </c>
      <c r="FY36">
        <v>2</v>
      </c>
      <c r="FZ36" t="s">
        <v>420</v>
      </c>
      <c r="GA36">
        <v>2.8970699999999998</v>
      </c>
      <c r="GB36">
        <v>2.8179500000000002</v>
      </c>
      <c r="GC36">
        <v>0.11433</v>
      </c>
      <c r="GD36">
        <v>0.121229</v>
      </c>
      <c r="GE36">
        <v>0.13744799999999999</v>
      </c>
      <c r="GF36">
        <v>0.121295</v>
      </c>
      <c r="GG36">
        <v>24518.6</v>
      </c>
      <c r="GH36">
        <v>24367.7</v>
      </c>
      <c r="GI36">
        <v>24573.4</v>
      </c>
      <c r="GJ36">
        <v>24778.2</v>
      </c>
      <c r="GK36">
        <v>28196.6</v>
      </c>
      <c r="GL36">
        <v>28252.3</v>
      </c>
      <c r="GM36">
        <v>33269.4</v>
      </c>
      <c r="GN36">
        <v>33081.1</v>
      </c>
      <c r="GO36">
        <v>1.78983</v>
      </c>
      <c r="GP36">
        <v>2.5171199999999998</v>
      </c>
      <c r="GQ36">
        <v>5.7298700000000001E-2</v>
      </c>
      <c r="GR36">
        <v>0</v>
      </c>
      <c r="GS36">
        <v>29.0625</v>
      </c>
      <c r="GT36">
        <v>999.9</v>
      </c>
      <c r="GU36">
        <v>38.799999999999997</v>
      </c>
      <c r="GV36">
        <v>40.799999999999997</v>
      </c>
      <c r="GW36">
        <v>30.292999999999999</v>
      </c>
      <c r="GX36">
        <v>62.526200000000003</v>
      </c>
      <c r="GY36">
        <v>-4.9879800000000003</v>
      </c>
      <c r="GZ36">
        <v>3</v>
      </c>
      <c r="HA36">
        <v>0.65144299999999999</v>
      </c>
      <c r="HB36">
        <v>3.3738800000000002</v>
      </c>
      <c r="HC36">
        <v>20.1326</v>
      </c>
      <c r="HD36">
        <v>5.23346</v>
      </c>
      <c r="HE36">
        <v>11.9232</v>
      </c>
      <c r="HF36">
        <v>4.9598500000000003</v>
      </c>
      <c r="HG36">
        <v>3.28898</v>
      </c>
      <c r="HH36">
        <v>9999</v>
      </c>
      <c r="HI36">
        <v>9999</v>
      </c>
      <c r="HJ36">
        <v>9999</v>
      </c>
      <c r="HK36">
        <v>999.9</v>
      </c>
      <c r="HL36">
        <v>1.8809499999999999</v>
      </c>
      <c r="HM36">
        <v>1.8781699999999999</v>
      </c>
      <c r="HN36">
        <v>1.88612</v>
      </c>
      <c r="HO36">
        <v>1.88385</v>
      </c>
      <c r="HP36">
        <v>1.88141</v>
      </c>
      <c r="HQ36">
        <v>1.8803399999999999</v>
      </c>
      <c r="HR36">
        <v>1.88157</v>
      </c>
      <c r="HS36">
        <v>1.8811</v>
      </c>
      <c r="HT36">
        <v>5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423</v>
      </c>
      <c r="IB36" t="s">
        <v>423</v>
      </c>
      <c r="IC36" t="s">
        <v>423</v>
      </c>
      <c r="ID36">
        <v>0</v>
      </c>
      <c r="IE36">
        <v>100</v>
      </c>
      <c r="IF36">
        <v>100</v>
      </c>
      <c r="IG36">
        <v>-1.861</v>
      </c>
      <c r="IH36">
        <v>-1.9548000000000001</v>
      </c>
      <c r="II36">
        <v>-2.248715846442177</v>
      </c>
      <c r="IJ36">
        <v>8.9935118796959448E-4</v>
      </c>
      <c r="IK36">
        <v>-5.3495398746875769E-7</v>
      </c>
      <c r="IL36">
        <v>3.209454383910538E-10</v>
      </c>
      <c r="IM36">
        <v>-1.9547299999999941</v>
      </c>
      <c r="IN36">
        <v>0</v>
      </c>
      <c r="IO36">
        <v>0</v>
      </c>
      <c r="IP36">
        <v>0</v>
      </c>
      <c r="IQ36">
        <v>1</v>
      </c>
      <c r="IR36">
        <v>2101</v>
      </c>
      <c r="IS36">
        <v>1</v>
      </c>
      <c r="IT36">
        <v>21</v>
      </c>
      <c r="IU36">
        <v>0.4</v>
      </c>
      <c r="IV36">
        <v>0.5</v>
      </c>
      <c r="IW36">
        <v>2.1520999999999999</v>
      </c>
      <c r="IX36">
        <v>2.47925</v>
      </c>
      <c r="IY36">
        <v>2.34375</v>
      </c>
      <c r="IZ36">
        <v>2.9186999999999999</v>
      </c>
      <c r="JA36">
        <v>3.0480999999999998</v>
      </c>
      <c r="JB36">
        <v>2.3767100000000001</v>
      </c>
      <c r="JC36">
        <v>44.5852</v>
      </c>
      <c r="JD36">
        <v>24.035</v>
      </c>
      <c r="JE36">
        <v>18</v>
      </c>
      <c r="JF36">
        <v>404.404</v>
      </c>
      <c r="JG36">
        <v>1197.26</v>
      </c>
      <c r="JH36">
        <v>24.924800000000001</v>
      </c>
      <c r="JI36">
        <v>35.115200000000002</v>
      </c>
      <c r="JJ36">
        <v>30.0001</v>
      </c>
      <c r="JK36">
        <v>35.049300000000002</v>
      </c>
      <c r="JL36">
        <v>34.999400000000001</v>
      </c>
      <c r="JM36">
        <v>43.1646</v>
      </c>
      <c r="JN36">
        <v>7.4590100000000001</v>
      </c>
      <c r="JO36">
        <v>53.645200000000003</v>
      </c>
      <c r="JP36">
        <v>24.925000000000001</v>
      </c>
      <c r="JQ36">
        <v>600</v>
      </c>
      <c r="JR36">
        <v>24.9054</v>
      </c>
      <c r="JS36">
        <v>99.248199999999997</v>
      </c>
      <c r="JT36">
        <v>98.749099999999999</v>
      </c>
    </row>
    <row r="37" spans="1:280" x14ac:dyDescent="0.25">
      <c r="A37">
        <v>21</v>
      </c>
      <c r="B37">
        <v>1700160706.0999999</v>
      </c>
      <c r="C37">
        <v>4707.5</v>
      </c>
      <c r="D37" t="s">
        <v>507</v>
      </c>
      <c r="E37" t="s">
        <v>508</v>
      </c>
      <c r="F37" t="s">
        <v>412</v>
      </c>
      <c r="G37" t="s">
        <v>481</v>
      </c>
      <c r="H37" t="s">
        <v>482</v>
      </c>
      <c r="I37">
        <v>1700160706.0999999</v>
      </c>
      <c r="J37">
        <f t="shared" si="0"/>
        <v>3.4840139349728554E-3</v>
      </c>
      <c r="K37">
        <f t="shared" si="1"/>
        <v>3.4840139349728556</v>
      </c>
      <c r="L37">
        <f t="shared" si="2"/>
        <v>47.968551801481759</v>
      </c>
      <c r="M37">
        <f t="shared" si="3"/>
        <v>454.42099999999999</v>
      </c>
      <c r="N37">
        <f t="shared" si="4"/>
        <v>99.930557362904693</v>
      </c>
      <c r="O37">
        <f t="shared" si="5"/>
        <v>9.9115064056488968</v>
      </c>
      <c r="P37">
        <f t="shared" si="6"/>
        <v>45.071265198740001</v>
      </c>
      <c r="Q37">
        <f t="shared" si="7"/>
        <v>0.22826184676268768</v>
      </c>
      <c r="R37">
        <f t="shared" si="8"/>
        <v>3.2340469893473927</v>
      </c>
      <c r="S37">
        <f t="shared" si="9"/>
        <v>0.21967426755587541</v>
      </c>
      <c r="T37">
        <f t="shared" si="10"/>
        <v>0.13804105891492435</v>
      </c>
      <c r="U37">
        <f t="shared" si="11"/>
        <v>344.38709864390188</v>
      </c>
      <c r="V37">
        <f t="shared" si="12"/>
        <v>30.741200746716729</v>
      </c>
      <c r="W37">
        <f t="shared" si="13"/>
        <v>29.989799999999999</v>
      </c>
      <c r="X37">
        <f t="shared" si="14"/>
        <v>4.2579542988007386</v>
      </c>
      <c r="Y37">
        <f t="shared" si="15"/>
        <v>65.375631337084471</v>
      </c>
      <c r="Z37">
        <f t="shared" si="16"/>
        <v>2.7404026702300004</v>
      </c>
      <c r="AA37">
        <f t="shared" si="17"/>
        <v>4.1917800473698845</v>
      </c>
      <c r="AB37">
        <f t="shared" si="18"/>
        <v>1.5175516285707382</v>
      </c>
      <c r="AC37">
        <f t="shared" si="19"/>
        <v>-153.64501453230292</v>
      </c>
      <c r="AD37">
        <f t="shared" si="20"/>
        <v>-47.494013607312937</v>
      </c>
      <c r="AE37">
        <f t="shared" si="21"/>
        <v>-3.2606340812306027</v>
      </c>
      <c r="AF37">
        <f t="shared" si="22"/>
        <v>139.98743642305544</v>
      </c>
      <c r="AG37">
        <v>70</v>
      </c>
      <c r="AH37">
        <v>14</v>
      </c>
      <c r="AI37">
        <f t="shared" si="23"/>
        <v>1</v>
      </c>
      <c r="AJ37">
        <f t="shared" si="24"/>
        <v>0</v>
      </c>
      <c r="AK37">
        <f t="shared" si="25"/>
        <v>51944.360784245364</v>
      </c>
      <c r="AL37" t="s">
        <v>415</v>
      </c>
      <c r="AM37">
        <v>7163.32</v>
      </c>
      <c r="AN37">
        <v>295.04692307692312</v>
      </c>
      <c r="AO37">
        <v>723.15082041179414</v>
      </c>
      <c r="AP37">
        <f t="shared" si="26"/>
        <v>0.59199808013920208</v>
      </c>
      <c r="AQ37">
        <v>-3.795255127542589</v>
      </c>
      <c r="AR37" t="s">
        <v>509</v>
      </c>
      <c r="AS37">
        <v>7267.41</v>
      </c>
      <c r="AT37">
        <v>672.50383999999985</v>
      </c>
      <c r="AU37">
        <v>923.84112327593436</v>
      </c>
      <c r="AV37">
        <f t="shared" si="27"/>
        <v>0.27205682551204713</v>
      </c>
      <c r="AW37">
        <v>0.5</v>
      </c>
      <c r="AX37">
        <f t="shared" si="28"/>
        <v>1513.2605993219506</v>
      </c>
      <c r="AY37">
        <f t="shared" si="29"/>
        <v>47.968551801481759</v>
      </c>
      <c r="AZ37">
        <f t="shared" si="30"/>
        <v>205.84643741199389</v>
      </c>
      <c r="BA37">
        <f t="shared" si="31"/>
        <v>3.4206802815204634E-2</v>
      </c>
      <c r="BB37">
        <f t="shared" si="32"/>
        <v>-0.21723464977667781</v>
      </c>
      <c r="BC37">
        <f t="shared" si="33"/>
        <v>323.74076441982703</v>
      </c>
      <c r="BD37" t="s">
        <v>510</v>
      </c>
      <c r="BE37">
        <v>471.13</v>
      </c>
      <c r="BF37">
        <f t="shared" si="34"/>
        <v>471.13</v>
      </c>
      <c r="BG37">
        <f t="shared" si="35"/>
        <v>0.49003136131310521</v>
      </c>
      <c r="BH37">
        <f t="shared" si="36"/>
        <v>0.55518247808269683</v>
      </c>
      <c r="BI37">
        <f t="shared" si="37"/>
        <v>-0.79632429787435233</v>
      </c>
      <c r="BJ37">
        <f t="shared" si="38"/>
        <v>0.3997131067627327</v>
      </c>
      <c r="BK37">
        <f t="shared" si="39"/>
        <v>-0.46878877794274421</v>
      </c>
      <c r="BL37">
        <f t="shared" si="40"/>
        <v>0.38893922285871413</v>
      </c>
      <c r="BM37">
        <f t="shared" si="41"/>
        <v>0.61106077714128593</v>
      </c>
      <c r="BN37">
        <v>340</v>
      </c>
      <c r="BO37">
        <v>290.00000000000011</v>
      </c>
      <c r="BP37">
        <v>855.53</v>
      </c>
      <c r="BQ37">
        <v>295</v>
      </c>
      <c r="BR37">
        <v>7267.41</v>
      </c>
      <c r="BS37">
        <v>857.46</v>
      </c>
      <c r="BT37">
        <v>-1.93</v>
      </c>
      <c r="BU37">
        <v>300.00000000000011</v>
      </c>
      <c r="BV37">
        <v>38</v>
      </c>
      <c r="BW37">
        <v>923.84112327593436</v>
      </c>
      <c r="BX37">
        <v>1.2896869211770099</v>
      </c>
      <c r="BY37">
        <v>-48.243480479486948</v>
      </c>
      <c r="BZ37">
        <v>0.78569403726811748</v>
      </c>
      <c r="CA37">
        <v>0.99262818741773973</v>
      </c>
      <c r="CB37">
        <v>-7.1670478309232436E-3</v>
      </c>
      <c r="CC37">
        <v>289.99999999999989</v>
      </c>
      <c r="CD37">
        <v>866.66</v>
      </c>
      <c r="CE37">
        <v>855</v>
      </c>
      <c r="CF37">
        <v>7260.85</v>
      </c>
      <c r="CG37">
        <v>857.4</v>
      </c>
      <c r="CH37">
        <v>9.26</v>
      </c>
      <c r="CV37">
        <f t="shared" si="42"/>
        <v>1800.09</v>
      </c>
      <c r="CW37">
        <f t="shared" si="43"/>
        <v>1513.2605993219506</v>
      </c>
      <c r="CX37">
        <f t="shared" si="44"/>
        <v>0.84065830004163722</v>
      </c>
      <c r="CY37">
        <f t="shared" si="45"/>
        <v>0.19131660008327467</v>
      </c>
      <c r="CZ37">
        <v>4.5999999999999996</v>
      </c>
      <c r="DA37">
        <v>0.5</v>
      </c>
      <c r="DB37" t="s">
        <v>418</v>
      </c>
      <c r="DC37">
        <v>2</v>
      </c>
      <c r="DD37">
        <v>1700160706.0999999</v>
      </c>
      <c r="DE37">
        <v>454.42099999999999</v>
      </c>
      <c r="DF37">
        <v>500.01400000000001</v>
      </c>
      <c r="DG37">
        <v>27.6295</v>
      </c>
      <c r="DH37">
        <v>24.5124</v>
      </c>
      <c r="DI37">
        <v>456.21199999999999</v>
      </c>
      <c r="DJ37">
        <v>29.582699999999999</v>
      </c>
      <c r="DK37">
        <v>499.94099999999997</v>
      </c>
      <c r="DL37">
        <v>99.0839</v>
      </c>
      <c r="DM37">
        <v>0.10004</v>
      </c>
      <c r="DN37">
        <v>29.717400000000001</v>
      </c>
      <c r="DO37">
        <v>29.989799999999999</v>
      </c>
      <c r="DP37">
        <v>999.9</v>
      </c>
      <c r="DQ37">
        <v>0</v>
      </c>
      <c r="DR37">
        <v>0</v>
      </c>
      <c r="DS37">
        <v>10004.4</v>
      </c>
      <c r="DT37">
        <v>0</v>
      </c>
      <c r="DU37">
        <v>249.62100000000001</v>
      </c>
      <c r="DV37">
        <v>-45.593200000000003</v>
      </c>
      <c r="DW37">
        <v>467.33300000000003</v>
      </c>
      <c r="DX37">
        <v>512.57799999999997</v>
      </c>
      <c r="DY37">
        <v>3.1171000000000002</v>
      </c>
      <c r="DZ37">
        <v>500.01400000000001</v>
      </c>
      <c r="EA37">
        <v>24.5124</v>
      </c>
      <c r="EB37">
        <v>2.7376399999999999</v>
      </c>
      <c r="EC37">
        <v>2.4287899999999998</v>
      </c>
      <c r="ED37">
        <v>22.512799999999999</v>
      </c>
      <c r="EE37">
        <v>20.556999999999999</v>
      </c>
      <c r="EF37">
        <v>1800.09</v>
      </c>
      <c r="EG37">
        <v>0.97799400000000003</v>
      </c>
      <c r="EH37">
        <v>2.2006000000000001E-2</v>
      </c>
      <c r="EI37">
        <v>0</v>
      </c>
      <c r="EJ37">
        <v>672.41200000000003</v>
      </c>
      <c r="EK37">
        <v>5.0010300000000001</v>
      </c>
      <c r="EL37">
        <v>12298.1</v>
      </c>
      <c r="EM37">
        <v>14701.8</v>
      </c>
      <c r="EN37">
        <v>46.125</v>
      </c>
      <c r="EO37">
        <v>48.125</v>
      </c>
      <c r="EP37">
        <v>47.5</v>
      </c>
      <c r="EQ37">
        <v>47.061999999999998</v>
      </c>
      <c r="ER37">
        <v>47.75</v>
      </c>
      <c r="ES37">
        <v>1755.59</v>
      </c>
      <c r="ET37">
        <v>39.5</v>
      </c>
      <c r="EU37">
        <v>0</v>
      </c>
      <c r="EV37">
        <v>231.79999995231631</v>
      </c>
      <c r="EW37">
        <v>0</v>
      </c>
      <c r="EX37">
        <v>672.50383999999985</v>
      </c>
      <c r="EY37">
        <v>0.77169230551362256</v>
      </c>
      <c r="EZ37">
        <v>28.846153973453859</v>
      </c>
      <c r="FA37">
        <v>12294.468000000001</v>
      </c>
      <c r="FB37">
        <v>15</v>
      </c>
      <c r="FC37">
        <v>1700160670.5999999</v>
      </c>
      <c r="FD37" t="s">
        <v>511</v>
      </c>
      <c r="FE37">
        <v>1700160670.5999999</v>
      </c>
      <c r="FF37">
        <v>1700160664.5999999</v>
      </c>
      <c r="FG37">
        <v>25</v>
      </c>
      <c r="FH37">
        <v>0.127</v>
      </c>
      <c r="FI37">
        <v>2E-3</v>
      </c>
      <c r="FJ37">
        <v>-1.764</v>
      </c>
      <c r="FK37">
        <v>-1.9530000000000001</v>
      </c>
      <c r="FL37">
        <v>500</v>
      </c>
      <c r="FM37">
        <v>25</v>
      </c>
      <c r="FN37">
        <v>0.03</v>
      </c>
      <c r="FO37">
        <v>0.03</v>
      </c>
      <c r="FP37">
        <v>47.962997688190917</v>
      </c>
      <c r="FQ37">
        <v>0.45395335332313591</v>
      </c>
      <c r="FR37">
        <v>4.2122045434605307E-2</v>
      </c>
      <c r="FS37">
        <v>1</v>
      </c>
      <c r="FT37">
        <v>0.22283806397502609</v>
      </c>
      <c r="FU37">
        <v>4.8903108075565832E-2</v>
      </c>
      <c r="FV37">
        <v>3.7646405765723199E-3</v>
      </c>
      <c r="FW37">
        <v>1</v>
      </c>
      <c r="FX37">
        <v>2</v>
      </c>
      <c r="FY37">
        <v>2</v>
      </c>
      <c r="FZ37" t="s">
        <v>420</v>
      </c>
      <c r="GA37">
        <v>2.89663</v>
      </c>
      <c r="GB37">
        <v>2.8180800000000001</v>
      </c>
      <c r="GC37">
        <v>9.93975E-2</v>
      </c>
      <c r="GD37">
        <v>0.10635500000000001</v>
      </c>
      <c r="GE37">
        <v>0.13741</v>
      </c>
      <c r="GF37">
        <v>0.119862</v>
      </c>
      <c r="GG37">
        <v>24929</v>
      </c>
      <c r="GH37">
        <v>24776</v>
      </c>
      <c r="GI37">
        <v>24570.6</v>
      </c>
      <c r="GJ37">
        <v>24774.3</v>
      </c>
      <c r="GK37">
        <v>28195</v>
      </c>
      <c r="GL37">
        <v>28294</v>
      </c>
      <c r="GM37">
        <v>33265.800000000003</v>
      </c>
      <c r="GN37">
        <v>33075.699999999997</v>
      </c>
      <c r="GO37">
        <v>1.7882800000000001</v>
      </c>
      <c r="GP37">
        <v>2.51458</v>
      </c>
      <c r="GQ37">
        <v>5.5532900000000003E-2</v>
      </c>
      <c r="GR37">
        <v>0</v>
      </c>
      <c r="GS37">
        <v>29.0854</v>
      </c>
      <c r="GT37">
        <v>999.9</v>
      </c>
      <c r="GU37">
        <v>38.700000000000003</v>
      </c>
      <c r="GV37">
        <v>40.799999999999997</v>
      </c>
      <c r="GW37">
        <v>30.216000000000001</v>
      </c>
      <c r="GX37">
        <v>62.516199999999998</v>
      </c>
      <c r="GY37">
        <v>-4.7115400000000003</v>
      </c>
      <c r="GZ37">
        <v>3</v>
      </c>
      <c r="HA37">
        <v>0.655142</v>
      </c>
      <c r="HB37">
        <v>3.0164499999999999</v>
      </c>
      <c r="HC37">
        <v>20.138200000000001</v>
      </c>
      <c r="HD37">
        <v>5.2316700000000003</v>
      </c>
      <c r="HE37">
        <v>11.922000000000001</v>
      </c>
      <c r="HF37">
        <v>4.9593999999999996</v>
      </c>
      <c r="HG37">
        <v>3.2884500000000001</v>
      </c>
      <c r="HH37">
        <v>9999</v>
      </c>
      <c r="HI37">
        <v>9999</v>
      </c>
      <c r="HJ37">
        <v>9999</v>
      </c>
      <c r="HK37">
        <v>999.9</v>
      </c>
      <c r="HL37">
        <v>1.88096</v>
      </c>
      <c r="HM37">
        <v>1.8781699999999999</v>
      </c>
      <c r="HN37">
        <v>1.88612</v>
      </c>
      <c r="HO37">
        <v>1.88385</v>
      </c>
      <c r="HP37">
        <v>1.88141</v>
      </c>
      <c r="HQ37">
        <v>1.8804000000000001</v>
      </c>
      <c r="HR37">
        <v>1.88157</v>
      </c>
      <c r="HS37">
        <v>1.8811</v>
      </c>
      <c r="HT37">
        <v>5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423</v>
      </c>
      <c r="IB37" t="s">
        <v>423</v>
      </c>
      <c r="IC37" t="s">
        <v>423</v>
      </c>
      <c r="ID37">
        <v>0</v>
      </c>
      <c r="IE37">
        <v>100</v>
      </c>
      <c r="IF37">
        <v>100</v>
      </c>
      <c r="IG37">
        <v>-1.7909999999999999</v>
      </c>
      <c r="IH37">
        <v>-1.9532</v>
      </c>
      <c r="II37">
        <v>-2.1212577292327919</v>
      </c>
      <c r="IJ37">
        <v>8.9935118796959448E-4</v>
      </c>
      <c r="IK37">
        <v>-5.3495398746875769E-7</v>
      </c>
      <c r="IL37">
        <v>3.209454383910538E-10</v>
      </c>
      <c r="IM37">
        <v>-1.9531799999999999</v>
      </c>
      <c r="IN37">
        <v>0</v>
      </c>
      <c r="IO37">
        <v>0</v>
      </c>
      <c r="IP37">
        <v>0</v>
      </c>
      <c r="IQ37">
        <v>1</v>
      </c>
      <c r="IR37">
        <v>2101</v>
      </c>
      <c r="IS37">
        <v>1</v>
      </c>
      <c r="IT37">
        <v>21</v>
      </c>
      <c r="IU37">
        <v>0.6</v>
      </c>
      <c r="IV37">
        <v>0.7</v>
      </c>
      <c r="IW37">
        <v>1.8591299999999999</v>
      </c>
      <c r="IX37">
        <v>2.4877899999999999</v>
      </c>
      <c r="IY37">
        <v>2.34375</v>
      </c>
      <c r="IZ37">
        <v>2.9186999999999999</v>
      </c>
      <c r="JA37">
        <v>3.0480999999999998</v>
      </c>
      <c r="JB37">
        <v>2.34863</v>
      </c>
      <c r="JC37">
        <v>44.613199999999999</v>
      </c>
      <c r="JD37">
        <v>24.035</v>
      </c>
      <c r="JE37">
        <v>18</v>
      </c>
      <c r="JF37">
        <v>403.78699999999998</v>
      </c>
      <c r="JG37">
        <v>1194.3399999999999</v>
      </c>
      <c r="JH37">
        <v>25.333300000000001</v>
      </c>
      <c r="JI37">
        <v>35.177999999999997</v>
      </c>
      <c r="JJ37">
        <v>30.0002</v>
      </c>
      <c r="JK37">
        <v>35.0961</v>
      </c>
      <c r="JL37">
        <v>35.038699999999999</v>
      </c>
      <c r="JM37">
        <v>37.299500000000002</v>
      </c>
      <c r="JN37">
        <v>10.100300000000001</v>
      </c>
      <c r="JO37">
        <v>53.3904</v>
      </c>
      <c r="JP37">
        <v>25.3416</v>
      </c>
      <c r="JQ37">
        <v>500</v>
      </c>
      <c r="JR37">
        <v>24.383299999999998</v>
      </c>
      <c r="JS37">
        <v>99.237099999999998</v>
      </c>
      <c r="JT37">
        <v>98.7333</v>
      </c>
    </row>
    <row r="38" spans="1:280" x14ac:dyDescent="0.25">
      <c r="A38">
        <v>22</v>
      </c>
      <c r="B38">
        <v>1700160806</v>
      </c>
      <c r="C38">
        <v>4807.4000000953674</v>
      </c>
      <c r="D38" t="s">
        <v>512</v>
      </c>
      <c r="E38" t="s">
        <v>513</v>
      </c>
      <c r="F38" t="s">
        <v>412</v>
      </c>
      <c r="G38" t="s">
        <v>481</v>
      </c>
      <c r="H38" t="s">
        <v>482</v>
      </c>
      <c r="I38">
        <v>1700160806</v>
      </c>
      <c r="J38">
        <f t="shared" si="0"/>
        <v>3.0299652085134529E-3</v>
      </c>
      <c r="K38">
        <f t="shared" si="1"/>
        <v>3.029965208513453</v>
      </c>
      <c r="L38">
        <f t="shared" si="2"/>
        <v>38.908562678580793</v>
      </c>
      <c r="M38">
        <f t="shared" si="3"/>
        <v>363.17899999999997</v>
      </c>
      <c r="N38">
        <f t="shared" si="4"/>
        <v>27.23400061257178</v>
      </c>
      <c r="O38">
        <f t="shared" si="5"/>
        <v>2.7012333985429851</v>
      </c>
      <c r="P38">
        <f t="shared" si="6"/>
        <v>36.022296481721398</v>
      </c>
      <c r="Q38">
        <f t="shared" si="7"/>
        <v>0.19346507801787988</v>
      </c>
      <c r="R38">
        <f t="shared" si="8"/>
        <v>3.235647940391742</v>
      </c>
      <c r="S38">
        <f t="shared" si="9"/>
        <v>0.18726081716570608</v>
      </c>
      <c r="T38">
        <f t="shared" si="10"/>
        <v>0.11757886456119307</v>
      </c>
      <c r="U38">
        <f t="shared" si="11"/>
        <v>344.36049864379646</v>
      </c>
      <c r="V38">
        <f t="shared" si="12"/>
        <v>30.854804932979246</v>
      </c>
      <c r="W38">
        <f t="shared" si="13"/>
        <v>30.014800000000001</v>
      </c>
      <c r="X38">
        <f t="shared" si="14"/>
        <v>4.2640729221306986</v>
      </c>
      <c r="Y38">
        <f t="shared" si="15"/>
        <v>64.760130462517907</v>
      </c>
      <c r="Z38">
        <f t="shared" si="16"/>
        <v>2.7156649104746999</v>
      </c>
      <c r="AA38">
        <f t="shared" si="17"/>
        <v>4.1934210000495318</v>
      </c>
      <c r="AB38">
        <f t="shared" si="18"/>
        <v>1.5484080116559986</v>
      </c>
      <c r="AC38">
        <f t="shared" si="19"/>
        <v>-133.62146569544328</v>
      </c>
      <c r="AD38">
        <f t="shared" si="20"/>
        <v>-50.692337162153557</v>
      </c>
      <c r="AE38">
        <f t="shared" si="21"/>
        <v>-3.4790364817300286</v>
      </c>
      <c r="AF38">
        <f t="shared" si="22"/>
        <v>156.5676593044696</v>
      </c>
      <c r="AG38">
        <v>70</v>
      </c>
      <c r="AH38">
        <v>14</v>
      </c>
      <c r="AI38">
        <f t="shared" si="23"/>
        <v>1</v>
      </c>
      <c r="AJ38">
        <f t="shared" si="24"/>
        <v>0</v>
      </c>
      <c r="AK38">
        <f t="shared" si="25"/>
        <v>51981.793497073471</v>
      </c>
      <c r="AL38" t="s">
        <v>426</v>
      </c>
      <c r="AM38" t="s">
        <v>426</v>
      </c>
      <c r="AN38">
        <v>0</v>
      </c>
      <c r="AO38">
        <v>0</v>
      </c>
      <c r="AP38" t="e">
        <f t="shared" si="26"/>
        <v>#DIV/0!</v>
      </c>
      <c r="AQ38">
        <v>0</v>
      </c>
      <c r="AR38" t="s">
        <v>426</v>
      </c>
      <c r="AS38" t="s">
        <v>426</v>
      </c>
      <c r="AT38">
        <v>0</v>
      </c>
      <c r="AU38">
        <v>0</v>
      </c>
      <c r="AV38" t="e">
        <f t="shared" si="27"/>
        <v>#DIV/0!</v>
      </c>
      <c r="AW38">
        <v>0.5</v>
      </c>
      <c r="AX38">
        <f t="shared" si="28"/>
        <v>1513.1429993218981</v>
      </c>
      <c r="AY38">
        <f t="shared" si="29"/>
        <v>38.908562678580793</v>
      </c>
      <c r="AZ38" t="e">
        <f t="shared" si="30"/>
        <v>#DIV/0!</v>
      </c>
      <c r="BA38">
        <f t="shared" si="31"/>
        <v>2.5713738024771834E-2</v>
      </c>
      <c r="BB38" t="e">
        <f t="shared" si="32"/>
        <v>#DIV/0!</v>
      </c>
      <c r="BC38" t="e">
        <f t="shared" si="33"/>
        <v>#DIV/0!</v>
      </c>
      <c r="BD38" t="s">
        <v>426</v>
      </c>
      <c r="BE38">
        <v>0</v>
      </c>
      <c r="BF38" t="e">
        <f t="shared" si="34"/>
        <v>#DIV/0!</v>
      </c>
      <c r="BG38" t="e">
        <f t="shared" si="35"/>
        <v>#DIV/0!</v>
      </c>
      <c r="BH38" t="e">
        <f t="shared" si="36"/>
        <v>#DIV/0!</v>
      </c>
      <c r="BI38" t="e">
        <f t="shared" si="37"/>
        <v>#DIV/0!</v>
      </c>
      <c r="BJ38" t="e">
        <f t="shared" si="38"/>
        <v>#DIV/0!</v>
      </c>
      <c r="BK38" t="e">
        <f t="shared" si="39"/>
        <v>#DIV/0!</v>
      </c>
      <c r="BL38" t="e">
        <f t="shared" si="40"/>
        <v>#DIV/0!</v>
      </c>
      <c r="BM38" t="e">
        <f t="shared" si="41"/>
        <v>#DIV/0!</v>
      </c>
      <c r="BN38">
        <v>340</v>
      </c>
      <c r="BO38">
        <v>290.00000000000011</v>
      </c>
      <c r="BP38">
        <v>855.53</v>
      </c>
      <c r="BQ38">
        <v>295</v>
      </c>
      <c r="BR38">
        <v>7267.41</v>
      </c>
      <c r="BS38">
        <v>857.46</v>
      </c>
      <c r="BT38">
        <v>-1.93</v>
      </c>
      <c r="BU38">
        <v>300.00000000000011</v>
      </c>
      <c r="BV38">
        <v>38</v>
      </c>
      <c r="BW38">
        <v>923.84112327593436</v>
      </c>
      <c r="BX38">
        <v>1.2896869211770099</v>
      </c>
      <c r="BY38">
        <v>-48.243480479486948</v>
      </c>
      <c r="BZ38">
        <v>0.78569403726811748</v>
      </c>
      <c r="CA38">
        <v>0.99262818741773973</v>
      </c>
      <c r="CB38">
        <v>-7.1670478309232436E-3</v>
      </c>
      <c r="CC38">
        <v>289.99999999999989</v>
      </c>
      <c r="CD38">
        <v>866.66</v>
      </c>
      <c r="CE38">
        <v>855</v>
      </c>
      <c r="CF38">
        <v>7260.85</v>
      </c>
      <c r="CG38">
        <v>857.4</v>
      </c>
      <c r="CH38">
        <v>9.26</v>
      </c>
      <c r="CV38">
        <f t="shared" si="42"/>
        <v>1799.95</v>
      </c>
      <c r="CW38">
        <f t="shared" si="43"/>
        <v>1513.1429993218981</v>
      </c>
      <c r="CX38">
        <f t="shared" si="44"/>
        <v>0.84065835124414456</v>
      </c>
      <c r="CY38">
        <f t="shared" si="45"/>
        <v>0.19131670248828936</v>
      </c>
      <c r="CZ38">
        <v>4.5999999999999996</v>
      </c>
      <c r="DA38">
        <v>0.5</v>
      </c>
      <c r="DB38" t="s">
        <v>418</v>
      </c>
      <c r="DC38">
        <v>2</v>
      </c>
      <c r="DD38">
        <v>1700160806</v>
      </c>
      <c r="DE38">
        <v>363.17899999999997</v>
      </c>
      <c r="DF38">
        <v>399.988</v>
      </c>
      <c r="DG38">
        <v>27.3795</v>
      </c>
      <c r="DH38">
        <v>24.668199999999999</v>
      </c>
      <c r="DI38">
        <v>364.92399999999998</v>
      </c>
      <c r="DJ38">
        <v>29.339500000000001</v>
      </c>
      <c r="DK38">
        <v>499.99</v>
      </c>
      <c r="DL38">
        <v>99.086299999999994</v>
      </c>
      <c r="DM38">
        <v>9.9766599999999997E-2</v>
      </c>
      <c r="DN38">
        <v>29.7242</v>
      </c>
      <c r="DO38">
        <v>30.014800000000001</v>
      </c>
      <c r="DP38">
        <v>999.9</v>
      </c>
      <c r="DQ38">
        <v>0</v>
      </c>
      <c r="DR38">
        <v>0</v>
      </c>
      <c r="DS38">
        <v>10011.9</v>
      </c>
      <c r="DT38">
        <v>0</v>
      </c>
      <c r="DU38">
        <v>189.755</v>
      </c>
      <c r="DV38">
        <v>-36.913200000000003</v>
      </c>
      <c r="DW38">
        <v>373.298</v>
      </c>
      <c r="DX38">
        <v>410.10500000000002</v>
      </c>
      <c r="DY38">
        <v>2.7180300000000002</v>
      </c>
      <c r="DZ38">
        <v>399.988</v>
      </c>
      <c r="EA38">
        <v>24.668199999999999</v>
      </c>
      <c r="EB38">
        <v>2.7136</v>
      </c>
      <c r="EC38">
        <v>2.44428</v>
      </c>
      <c r="ED38">
        <v>22.367699999999999</v>
      </c>
      <c r="EE38">
        <v>20.6602</v>
      </c>
      <c r="EF38">
        <v>1799.95</v>
      </c>
      <c r="EG38">
        <v>0.97799400000000003</v>
      </c>
      <c r="EH38">
        <v>2.2006000000000001E-2</v>
      </c>
      <c r="EI38">
        <v>0</v>
      </c>
      <c r="EJ38">
        <v>685.29499999999996</v>
      </c>
      <c r="EK38">
        <v>5.0010300000000001</v>
      </c>
      <c r="EL38">
        <v>12392.2</v>
      </c>
      <c r="EM38">
        <v>14700.6</v>
      </c>
      <c r="EN38">
        <v>46.186999999999998</v>
      </c>
      <c r="EO38">
        <v>48.186999999999998</v>
      </c>
      <c r="EP38">
        <v>47.561999999999998</v>
      </c>
      <c r="EQ38">
        <v>47.061999999999998</v>
      </c>
      <c r="ER38">
        <v>47.811999999999998</v>
      </c>
      <c r="ES38">
        <v>1755.45</v>
      </c>
      <c r="ET38">
        <v>39.5</v>
      </c>
      <c r="EU38">
        <v>0</v>
      </c>
      <c r="EV38">
        <v>97.799999952316284</v>
      </c>
      <c r="EW38">
        <v>0</v>
      </c>
      <c r="EX38">
        <v>685.29138461538446</v>
      </c>
      <c r="EY38">
        <v>-0.543999994062905</v>
      </c>
      <c r="EZ38">
        <v>-497.85641002659128</v>
      </c>
      <c r="FA38">
        <v>12470.75</v>
      </c>
      <c r="FB38">
        <v>15</v>
      </c>
      <c r="FC38">
        <v>1700160830.5</v>
      </c>
      <c r="FD38" t="s">
        <v>514</v>
      </c>
      <c r="FE38">
        <v>1700160830.5</v>
      </c>
      <c r="FF38">
        <v>1700160823</v>
      </c>
      <c r="FG38">
        <v>26</v>
      </c>
      <c r="FH38">
        <v>0.08</v>
      </c>
      <c r="FI38">
        <v>-7.0000000000000001E-3</v>
      </c>
      <c r="FJ38">
        <v>-1.7450000000000001</v>
      </c>
      <c r="FK38">
        <v>-1.96</v>
      </c>
      <c r="FL38">
        <v>400</v>
      </c>
      <c r="FM38">
        <v>25</v>
      </c>
      <c r="FN38">
        <v>0.11</v>
      </c>
      <c r="FO38">
        <v>0.05</v>
      </c>
      <c r="FP38">
        <v>39.022534073102378</v>
      </c>
      <c r="FQ38">
        <v>0.13769517593306971</v>
      </c>
      <c r="FR38">
        <v>2.7898231823263859E-2</v>
      </c>
      <c r="FS38">
        <v>1</v>
      </c>
      <c r="FT38">
        <v>0.19349771091061871</v>
      </c>
      <c r="FU38">
        <v>5.7914008565909314E-3</v>
      </c>
      <c r="FV38">
        <v>5.6456058554139399E-4</v>
      </c>
      <c r="FW38">
        <v>1</v>
      </c>
      <c r="FX38">
        <v>2</v>
      </c>
      <c r="FY38">
        <v>2</v>
      </c>
      <c r="FZ38" t="s">
        <v>420</v>
      </c>
      <c r="GA38">
        <v>2.8966400000000001</v>
      </c>
      <c r="GB38">
        <v>2.8178700000000001</v>
      </c>
      <c r="GC38">
        <v>8.3776600000000007E-2</v>
      </c>
      <c r="GD38">
        <v>8.9965900000000001E-2</v>
      </c>
      <c r="GE38">
        <v>0.136628</v>
      </c>
      <c r="GF38">
        <v>0.12037399999999999</v>
      </c>
      <c r="GG38">
        <v>25358.6</v>
      </c>
      <c r="GH38">
        <v>25227</v>
      </c>
      <c r="GI38">
        <v>24568.3</v>
      </c>
      <c r="GJ38">
        <v>24771.4</v>
      </c>
      <c r="GK38">
        <v>28217.9</v>
      </c>
      <c r="GL38">
        <v>28273.9</v>
      </c>
      <c r="GM38">
        <v>33262.300000000003</v>
      </c>
      <c r="GN38">
        <v>33071.300000000003</v>
      </c>
      <c r="GO38">
        <v>1.7871699999999999</v>
      </c>
      <c r="GP38">
        <v>2.5129199999999998</v>
      </c>
      <c r="GQ38">
        <v>5.3908699999999997E-2</v>
      </c>
      <c r="GR38">
        <v>0</v>
      </c>
      <c r="GS38">
        <v>29.136900000000001</v>
      </c>
      <c r="GT38">
        <v>999.9</v>
      </c>
      <c r="GU38">
        <v>38.700000000000003</v>
      </c>
      <c r="GV38">
        <v>40.799999999999997</v>
      </c>
      <c r="GW38">
        <v>30.2166</v>
      </c>
      <c r="GX38">
        <v>62.326300000000003</v>
      </c>
      <c r="GY38">
        <v>-4.8517599999999996</v>
      </c>
      <c r="GZ38">
        <v>3</v>
      </c>
      <c r="HA38">
        <v>0.66248499999999999</v>
      </c>
      <c r="HB38">
        <v>3.5567199999999999</v>
      </c>
      <c r="HC38">
        <v>20.128499999999999</v>
      </c>
      <c r="HD38">
        <v>5.2337600000000002</v>
      </c>
      <c r="HE38">
        <v>11.9229</v>
      </c>
      <c r="HF38">
        <v>4.9597499999999997</v>
      </c>
      <c r="HG38">
        <v>3.2889499999999998</v>
      </c>
      <c r="HH38">
        <v>9999</v>
      </c>
      <c r="HI38">
        <v>9999</v>
      </c>
      <c r="HJ38">
        <v>9999</v>
      </c>
      <c r="HK38">
        <v>999.9</v>
      </c>
      <c r="HL38">
        <v>1.88096</v>
      </c>
      <c r="HM38">
        <v>1.8781699999999999</v>
      </c>
      <c r="HN38">
        <v>1.8861300000000001</v>
      </c>
      <c r="HO38">
        <v>1.8838600000000001</v>
      </c>
      <c r="HP38">
        <v>1.88141</v>
      </c>
      <c r="HQ38">
        <v>1.88042</v>
      </c>
      <c r="HR38">
        <v>1.88158</v>
      </c>
      <c r="HS38">
        <v>1.8811</v>
      </c>
      <c r="HT38">
        <v>5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423</v>
      </c>
      <c r="IB38" t="s">
        <v>423</v>
      </c>
      <c r="IC38" t="s">
        <v>423</v>
      </c>
      <c r="ID38">
        <v>0</v>
      </c>
      <c r="IE38">
        <v>100</v>
      </c>
      <c r="IF38">
        <v>100</v>
      </c>
      <c r="IG38">
        <v>-1.7450000000000001</v>
      </c>
      <c r="IH38">
        <v>-1.96</v>
      </c>
      <c r="II38">
        <v>-2.1212577292327919</v>
      </c>
      <c r="IJ38">
        <v>8.9935118796959448E-4</v>
      </c>
      <c r="IK38">
        <v>-5.3495398746875769E-7</v>
      </c>
      <c r="IL38">
        <v>3.209454383910538E-10</v>
      </c>
      <c r="IM38">
        <v>-1.9531799999999999</v>
      </c>
      <c r="IN38">
        <v>0</v>
      </c>
      <c r="IO38">
        <v>0</v>
      </c>
      <c r="IP38">
        <v>0</v>
      </c>
      <c r="IQ38">
        <v>1</v>
      </c>
      <c r="IR38">
        <v>2101</v>
      </c>
      <c r="IS38">
        <v>1</v>
      </c>
      <c r="IT38">
        <v>21</v>
      </c>
      <c r="IU38">
        <v>2.2999999999999998</v>
      </c>
      <c r="IV38">
        <v>2.4</v>
      </c>
      <c r="IW38">
        <v>1.5527299999999999</v>
      </c>
      <c r="IX38">
        <v>2.4877899999999999</v>
      </c>
      <c r="IY38">
        <v>2.34375</v>
      </c>
      <c r="IZ38">
        <v>2.9199199999999998</v>
      </c>
      <c r="JA38">
        <v>3.0480999999999998</v>
      </c>
      <c r="JB38">
        <v>2.4169900000000002</v>
      </c>
      <c r="JC38">
        <v>44.669199999999996</v>
      </c>
      <c r="JD38">
        <v>24.035</v>
      </c>
      <c r="JE38">
        <v>18</v>
      </c>
      <c r="JF38">
        <v>403.44</v>
      </c>
      <c r="JG38">
        <v>1192.8699999999999</v>
      </c>
      <c r="JH38">
        <v>24.9575</v>
      </c>
      <c r="JI38">
        <v>35.233699999999999</v>
      </c>
      <c r="JJ38">
        <v>30.0001</v>
      </c>
      <c r="JK38">
        <v>35.143900000000002</v>
      </c>
      <c r="JL38">
        <v>35.085500000000003</v>
      </c>
      <c r="JM38">
        <v>31.183499999999999</v>
      </c>
      <c r="JN38">
        <v>8.35487</v>
      </c>
      <c r="JO38">
        <v>53.0197</v>
      </c>
      <c r="JP38">
        <v>24.955500000000001</v>
      </c>
      <c r="JQ38">
        <v>400</v>
      </c>
      <c r="JR38">
        <v>24.741700000000002</v>
      </c>
      <c r="JS38">
        <v>99.227000000000004</v>
      </c>
      <c r="JT38">
        <v>98.720699999999994</v>
      </c>
    </row>
    <row r="39" spans="1:280" x14ac:dyDescent="0.25">
      <c r="A39">
        <v>23</v>
      </c>
      <c r="B39">
        <v>1700161131.5</v>
      </c>
      <c r="C39">
        <v>5132.9000000953674</v>
      </c>
      <c r="D39" t="s">
        <v>515</v>
      </c>
      <c r="E39" t="s">
        <v>516</v>
      </c>
      <c r="F39" t="s">
        <v>412</v>
      </c>
      <c r="G39" t="s">
        <v>481</v>
      </c>
      <c r="H39" t="s">
        <v>482</v>
      </c>
      <c r="I39">
        <v>1700161131.5</v>
      </c>
      <c r="J39">
        <f t="shared" si="0"/>
        <v>4.9718262764552471E-3</v>
      </c>
      <c r="K39">
        <f t="shared" si="1"/>
        <v>4.9718262764552472</v>
      </c>
      <c r="L39">
        <f t="shared" si="2"/>
        <v>39.127104465494831</v>
      </c>
      <c r="M39">
        <f t="shared" si="3"/>
        <v>262.84899999999999</v>
      </c>
      <c r="N39">
        <f t="shared" si="4"/>
        <v>66.621231580473435</v>
      </c>
      <c r="O39">
        <f t="shared" si="5"/>
        <v>6.6074938081104637</v>
      </c>
      <c r="P39">
        <f t="shared" si="6"/>
        <v>26.069364056564098</v>
      </c>
      <c r="Q39">
        <f t="shared" si="7"/>
        <v>0.34201223096856975</v>
      </c>
      <c r="R39">
        <f t="shared" si="8"/>
        <v>3.2384734421997128</v>
      </c>
      <c r="S39">
        <f t="shared" si="9"/>
        <v>0.32313815979224031</v>
      </c>
      <c r="T39">
        <f t="shared" si="10"/>
        <v>0.20357026512900303</v>
      </c>
      <c r="U39">
        <f t="shared" si="11"/>
        <v>344.36429864381148</v>
      </c>
      <c r="V39">
        <f t="shared" si="12"/>
        <v>30.5710686463073</v>
      </c>
      <c r="W39">
        <f t="shared" si="13"/>
        <v>29.9194</v>
      </c>
      <c r="X39">
        <f t="shared" si="14"/>
        <v>4.2407653484465921</v>
      </c>
      <c r="Y39">
        <f t="shared" si="15"/>
        <v>65.358681591905508</v>
      </c>
      <c r="Z39">
        <f t="shared" si="16"/>
        <v>2.76869898712431</v>
      </c>
      <c r="AA39">
        <f t="shared" si="17"/>
        <v>4.236161011343297</v>
      </c>
      <c r="AB39">
        <f t="shared" si="18"/>
        <v>1.4720663613222822</v>
      </c>
      <c r="AC39">
        <f t="shared" si="19"/>
        <v>-219.25753879167641</v>
      </c>
      <c r="AD39">
        <f t="shared" si="20"/>
        <v>-3.2997997660797131</v>
      </c>
      <c r="AE39">
        <f t="shared" si="21"/>
        <v>-0.22635968121712435</v>
      </c>
      <c r="AF39">
        <f t="shared" si="22"/>
        <v>121.58060040483825</v>
      </c>
      <c r="AG39">
        <v>70</v>
      </c>
      <c r="AH39">
        <v>14</v>
      </c>
      <c r="AI39">
        <f t="shared" si="23"/>
        <v>1</v>
      </c>
      <c r="AJ39">
        <f t="shared" si="24"/>
        <v>0</v>
      </c>
      <c r="AK39">
        <f t="shared" si="25"/>
        <v>52019.416356600101</v>
      </c>
      <c r="AL39" t="s">
        <v>415</v>
      </c>
      <c r="AM39">
        <v>7163.32</v>
      </c>
      <c r="AN39">
        <v>295.04692307692312</v>
      </c>
      <c r="AO39">
        <v>723.15082041179414</v>
      </c>
      <c r="AP39">
        <f t="shared" si="26"/>
        <v>0.59199808013920208</v>
      </c>
      <c r="AQ39">
        <v>-3.795255127542589</v>
      </c>
      <c r="AR39" t="s">
        <v>517</v>
      </c>
      <c r="AS39">
        <v>7266.55</v>
      </c>
      <c r="AT39">
        <v>684.19</v>
      </c>
      <c r="AU39">
        <v>880.12094005078779</v>
      </c>
      <c r="AV39">
        <f t="shared" si="27"/>
        <v>0.22261820067533156</v>
      </c>
      <c r="AW39">
        <v>0.5</v>
      </c>
      <c r="AX39">
        <f t="shared" si="28"/>
        <v>1513.1597993219059</v>
      </c>
      <c r="AY39">
        <f t="shared" si="29"/>
        <v>39.127104465494831</v>
      </c>
      <c r="AZ39">
        <f t="shared" si="30"/>
        <v>168.42845592964423</v>
      </c>
      <c r="BA39">
        <f t="shared" si="31"/>
        <v>2.8366045418515791E-2</v>
      </c>
      <c r="BB39">
        <f t="shared" si="32"/>
        <v>-0.17835062489245582</v>
      </c>
      <c r="BC39">
        <f t="shared" si="33"/>
        <v>318.20162733525666</v>
      </c>
      <c r="BD39" t="s">
        <v>518</v>
      </c>
      <c r="BE39">
        <v>477.5</v>
      </c>
      <c r="BF39">
        <f t="shared" si="34"/>
        <v>477.5</v>
      </c>
      <c r="BG39">
        <f t="shared" si="35"/>
        <v>0.45746092579907749</v>
      </c>
      <c r="BH39">
        <f t="shared" si="36"/>
        <v>0.48663872282964826</v>
      </c>
      <c r="BI39">
        <f t="shared" si="37"/>
        <v>-0.63899692814320119</v>
      </c>
      <c r="BJ39">
        <f t="shared" si="38"/>
        <v>0.33488231294937165</v>
      </c>
      <c r="BK39">
        <f t="shared" si="39"/>
        <v>-0.36666360810120968</v>
      </c>
      <c r="BL39">
        <f t="shared" si="40"/>
        <v>0.33962786674923201</v>
      </c>
      <c r="BM39">
        <f t="shared" si="41"/>
        <v>0.66037213325076793</v>
      </c>
      <c r="BN39">
        <v>342</v>
      </c>
      <c r="BO39">
        <v>290.00000000000011</v>
      </c>
      <c r="BP39">
        <v>825.79</v>
      </c>
      <c r="BQ39">
        <v>295</v>
      </c>
      <c r="BR39">
        <v>7266.55</v>
      </c>
      <c r="BS39">
        <v>827.16</v>
      </c>
      <c r="BT39">
        <v>-1.37</v>
      </c>
      <c r="BU39">
        <v>300.00000000000011</v>
      </c>
      <c r="BV39">
        <v>38</v>
      </c>
      <c r="BW39">
        <v>880.12094005078779</v>
      </c>
      <c r="BX39">
        <v>1.7678529382710699</v>
      </c>
      <c r="BY39">
        <v>-38.487026691286772</v>
      </c>
      <c r="BZ39">
        <v>1.076872567982387</v>
      </c>
      <c r="CA39">
        <v>0.97854933969311775</v>
      </c>
      <c r="CB39">
        <v>-7.1660387096774284E-3</v>
      </c>
      <c r="CC39">
        <v>289.99999999999989</v>
      </c>
      <c r="CD39">
        <v>832.87</v>
      </c>
      <c r="CE39">
        <v>795</v>
      </c>
      <c r="CF39">
        <v>7260.87</v>
      </c>
      <c r="CG39">
        <v>827.11</v>
      </c>
      <c r="CH39">
        <v>5.76</v>
      </c>
      <c r="CV39">
        <f t="shared" si="42"/>
        <v>1799.97</v>
      </c>
      <c r="CW39">
        <f t="shared" si="43"/>
        <v>1513.1597993219059</v>
      </c>
      <c r="CX39">
        <f t="shared" si="44"/>
        <v>0.84065834392901317</v>
      </c>
      <c r="CY39">
        <f t="shared" si="45"/>
        <v>0.19131668785802625</v>
      </c>
      <c r="CZ39">
        <v>4.5999999999999996</v>
      </c>
      <c r="DA39">
        <v>0.5</v>
      </c>
      <c r="DB39" t="s">
        <v>418</v>
      </c>
      <c r="DC39">
        <v>2</v>
      </c>
      <c r="DD39">
        <v>1700161131.5</v>
      </c>
      <c r="DE39">
        <v>262.84899999999999</v>
      </c>
      <c r="DF39">
        <v>300.05500000000001</v>
      </c>
      <c r="DG39">
        <v>27.915900000000001</v>
      </c>
      <c r="DH39">
        <v>23.468699999999998</v>
      </c>
      <c r="DI39">
        <v>264.45999999999998</v>
      </c>
      <c r="DJ39">
        <v>29.877600000000001</v>
      </c>
      <c r="DK39">
        <v>499.90899999999999</v>
      </c>
      <c r="DL39">
        <v>99.080100000000002</v>
      </c>
      <c r="DM39">
        <v>9.9900900000000001E-2</v>
      </c>
      <c r="DN39">
        <v>29.900500000000001</v>
      </c>
      <c r="DO39">
        <v>29.9194</v>
      </c>
      <c r="DP39">
        <v>999.9</v>
      </c>
      <c r="DQ39">
        <v>0</v>
      </c>
      <c r="DR39">
        <v>0</v>
      </c>
      <c r="DS39">
        <v>10026.200000000001</v>
      </c>
      <c r="DT39">
        <v>0</v>
      </c>
      <c r="DU39">
        <v>234.672</v>
      </c>
      <c r="DV39">
        <v>-37.2059</v>
      </c>
      <c r="DW39">
        <v>270.39800000000002</v>
      </c>
      <c r="DX39">
        <v>307.26600000000002</v>
      </c>
      <c r="DY39">
        <v>4.4472800000000001</v>
      </c>
      <c r="DZ39">
        <v>300.05500000000001</v>
      </c>
      <c r="EA39">
        <v>23.468699999999998</v>
      </c>
      <c r="EB39">
        <v>2.7659099999999999</v>
      </c>
      <c r="EC39">
        <v>2.3252799999999998</v>
      </c>
      <c r="ED39">
        <v>22.682099999999998</v>
      </c>
      <c r="EE39">
        <v>19.852599999999999</v>
      </c>
      <c r="EF39">
        <v>1799.97</v>
      </c>
      <c r="EG39">
        <v>0.97799400000000003</v>
      </c>
      <c r="EH39">
        <v>2.2005799999999999E-2</v>
      </c>
      <c r="EI39">
        <v>0</v>
      </c>
      <c r="EJ39">
        <v>683.34799999999996</v>
      </c>
      <c r="EK39">
        <v>5.0010300000000001</v>
      </c>
      <c r="EL39">
        <v>12458.7</v>
      </c>
      <c r="EM39">
        <v>14700.8</v>
      </c>
      <c r="EN39">
        <v>46.186999999999998</v>
      </c>
      <c r="EO39">
        <v>48.186999999999998</v>
      </c>
      <c r="EP39">
        <v>47.5</v>
      </c>
      <c r="EQ39">
        <v>47.061999999999998</v>
      </c>
      <c r="ER39">
        <v>47.811999999999998</v>
      </c>
      <c r="ES39">
        <v>1755.47</v>
      </c>
      <c r="ET39">
        <v>39.5</v>
      </c>
      <c r="EU39">
        <v>0</v>
      </c>
      <c r="EV39">
        <v>423.60000014305109</v>
      </c>
      <c r="EW39">
        <v>0</v>
      </c>
      <c r="EX39">
        <v>684.19</v>
      </c>
      <c r="EY39">
        <v>-7.4956923073796418</v>
      </c>
      <c r="EZ39">
        <v>337.22307638876458</v>
      </c>
      <c r="FA39">
        <v>12401.52</v>
      </c>
      <c r="FB39">
        <v>15</v>
      </c>
      <c r="FC39">
        <v>1700160928</v>
      </c>
      <c r="FD39" t="s">
        <v>519</v>
      </c>
      <c r="FE39">
        <v>1700160928</v>
      </c>
      <c r="FF39">
        <v>1700160925.5</v>
      </c>
      <c r="FG39">
        <v>27</v>
      </c>
      <c r="FH39">
        <v>0.224</v>
      </c>
      <c r="FI39">
        <v>-2E-3</v>
      </c>
      <c r="FJ39">
        <v>-1.585</v>
      </c>
      <c r="FK39">
        <v>-1.962</v>
      </c>
      <c r="FL39">
        <v>300</v>
      </c>
      <c r="FM39">
        <v>24</v>
      </c>
      <c r="FN39">
        <v>0.12</v>
      </c>
      <c r="FO39">
        <v>0.03</v>
      </c>
      <c r="FP39">
        <v>38.619683357055187</v>
      </c>
      <c r="FQ39">
        <v>3.440047017652299</v>
      </c>
      <c r="FR39">
        <v>0.25903390763694423</v>
      </c>
      <c r="FS39">
        <v>0</v>
      </c>
      <c r="FT39">
        <v>0.32932767915625177</v>
      </c>
      <c r="FU39">
        <v>6.6182052854473553E-2</v>
      </c>
      <c r="FV39">
        <v>5.0014824105508856E-3</v>
      </c>
      <c r="FW39">
        <v>0</v>
      </c>
      <c r="FX39">
        <v>0</v>
      </c>
      <c r="FY39">
        <v>2</v>
      </c>
      <c r="FZ39" t="s">
        <v>520</v>
      </c>
      <c r="GA39">
        <v>2.8963199999999998</v>
      </c>
      <c r="GB39">
        <v>2.81813</v>
      </c>
      <c r="GC39">
        <v>6.4478499999999994E-2</v>
      </c>
      <c r="GD39">
        <v>7.1601300000000007E-2</v>
      </c>
      <c r="GE39">
        <v>0.138297</v>
      </c>
      <c r="GF39">
        <v>0.11629100000000001</v>
      </c>
      <c r="GG39">
        <v>25890.400000000001</v>
      </c>
      <c r="GH39">
        <v>25734.1</v>
      </c>
      <c r="GI39">
        <v>24566.6</v>
      </c>
      <c r="GJ39">
        <v>24770.1</v>
      </c>
      <c r="GK39">
        <v>28161.4</v>
      </c>
      <c r="GL39">
        <v>28403.1</v>
      </c>
      <c r="GM39">
        <v>33259.699999999997</v>
      </c>
      <c r="GN39">
        <v>33068.5</v>
      </c>
      <c r="GO39">
        <v>1.7856799999999999</v>
      </c>
      <c r="GP39">
        <v>2.5101499999999999</v>
      </c>
      <c r="GQ39">
        <v>5.2504200000000001E-2</v>
      </c>
      <c r="GR39">
        <v>0</v>
      </c>
      <c r="GS39">
        <v>29.064299999999999</v>
      </c>
      <c r="GT39">
        <v>999.9</v>
      </c>
      <c r="GU39">
        <v>38.1</v>
      </c>
      <c r="GV39">
        <v>40.799999999999997</v>
      </c>
      <c r="GW39">
        <v>29.748799999999999</v>
      </c>
      <c r="GX39">
        <v>62.466299999999997</v>
      </c>
      <c r="GY39">
        <v>-4.5873400000000002</v>
      </c>
      <c r="GZ39">
        <v>3</v>
      </c>
      <c r="HA39">
        <v>0.66085400000000005</v>
      </c>
      <c r="HB39">
        <v>2.1243400000000001</v>
      </c>
      <c r="HC39">
        <v>20.151399999999999</v>
      </c>
      <c r="HD39">
        <v>5.2313700000000001</v>
      </c>
      <c r="HE39">
        <v>11.9213</v>
      </c>
      <c r="HF39">
        <v>4.9592999999999998</v>
      </c>
      <c r="HG39">
        <v>3.2883</v>
      </c>
      <c r="HH39">
        <v>9999</v>
      </c>
      <c r="HI39">
        <v>9999</v>
      </c>
      <c r="HJ39">
        <v>9999</v>
      </c>
      <c r="HK39">
        <v>999.9</v>
      </c>
      <c r="HL39">
        <v>1.88096</v>
      </c>
      <c r="HM39">
        <v>1.87818</v>
      </c>
      <c r="HN39">
        <v>1.8861399999999999</v>
      </c>
      <c r="HO39">
        <v>1.8838699999999999</v>
      </c>
      <c r="HP39">
        <v>1.88141</v>
      </c>
      <c r="HQ39">
        <v>1.88039</v>
      </c>
      <c r="HR39">
        <v>1.8815599999999999</v>
      </c>
      <c r="HS39">
        <v>1.8810899999999999</v>
      </c>
      <c r="HT39">
        <v>5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423</v>
      </c>
      <c r="IB39" t="s">
        <v>423</v>
      </c>
      <c r="IC39" t="s">
        <v>423</v>
      </c>
      <c r="ID39">
        <v>0</v>
      </c>
      <c r="IE39">
        <v>100</v>
      </c>
      <c r="IF39">
        <v>100</v>
      </c>
      <c r="IG39">
        <v>-1.611</v>
      </c>
      <c r="IH39">
        <v>-1.9617</v>
      </c>
      <c r="II39">
        <v>-1.8166743858500991</v>
      </c>
      <c r="IJ39">
        <v>8.9935118796959448E-4</v>
      </c>
      <c r="IK39">
        <v>-5.3495398746875769E-7</v>
      </c>
      <c r="IL39">
        <v>3.209454383910538E-10</v>
      </c>
      <c r="IM39">
        <v>-1.961665</v>
      </c>
      <c r="IN39">
        <v>0</v>
      </c>
      <c r="IO39">
        <v>0</v>
      </c>
      <c r="IP39">
        <v>0</v>
      </c>
      <c r="IQ39">
        <v>1</v>
      </c>
      <c r="IR39">
        <v>2101</v>
      </c>
      <c r="IS39">
        <v>1</v>
      </c>
      <c r="IT39">
        <v>21</v>
      </c>
      <c r="IU39">
        <v>3.4</v>
      </c>
      <c r="IV39">
        <v>3.4</v>
      </c>
      <c r="IW39">
        <v>1.22803</v>
      </c>
      <c r="IX39">
        <v>2.50244</v>
      </c>
      <c r="IY39">
        <v>2.34375</v>
      </c>
      <c r="IZ39">
        <v>2.9186999999999999</v>
      </c>
      <c r="JA39">
        <v>3.0480999999999998</v>
      </c>
      <c r="JB39">
        <v>2.3571800000000001</v>
      </c>
      <c r="JC39">
        <v>44.725299999999997</v>
      </c>
      <c r="JD39">
        <v>24.035</v>
      </c>
      <c r="JE39">
        <v>18</v>
      </c>
      <c r="JF39">
        <v>403.06299999999999</v>
      </c>
      <c r="JG39">
        <v>1190.58</v>
      </c>
      <c r="JH39">
        <v>26.171199999999999</v>
      </c>
      <c r="JI39">
        <v>35.286099999999998</v>
      </c>
      <c r="JJ39">
        <v>29.9998</v>
      </c>
      <c r="JK39">
        <v>35.2241</v>
      </c>
      <c r="JL39">
        <v>35.1736</v>
      </c>
      <c r="JM39">
        <v>24.689900000000002</v>
      </c>
      <c r="JN39">
        <v>12.4777</v>
      </c>
      <c r="JO39">
        <v>50.683500000000002</v>
      </c>
      <c r="JP39">
        <v>26.1936</v>
      </c>
      <c r="JQ39">
        <v>300</v>
      </c>
      <c r="JR39">
        <v>23.336300000000001</v>
      </c>
      <c r="JS39">
        <v>99.219899999999996</v>
      </c>
      <c r="JT39">
        <v>98.713999999999999</v>
      </c>
    </row>
    <row r="40" spans="1:280" x14ac:dyDescent="0.25">
      <c r="A40">
        <v>24</v>
      </c>
      <c r="B40">
        <v>1700161271</v>
      </c>
      <c r="C40">
        <v>5272.4000000953674</v>
      </c>
      <c r="D40" t="s">
        <v>521</v>
      </c>
      <c r="E40" t="s">
        <v>522</v>
      </c>
      <c r="F40" t="s">
        <v>412</v>
      </c>
      <c r="G40" t="s">
        <v>481</v>
      </c>
      <c r="H40" t="s">
        <v>482</v>
      </c>
      <c r="I40">
        <v>1700161271</v>
      </c>
      <c r="J40">
        <f t="shared" si="0"/>
        <v>5.537532615122992E-3</v>
      </c>
      <c r="K40">
        <f t="shared" si="1"/>
        <v>5.5375326151229922</v>
      </c>
      <c r="L40">
        <f t="shared" si="2"/>
        <v>30.401900902171509</v>
      </c>
      <c r="M40">
        <f t="shared" si="3"/>
        <v>171.18299999999999</v>
      </c>
      <c r="N40">
        <f t="shared" si="4"/>
        <v>36.062890978744875</v>
      </c>
      <c r="O40">
        <f t="shared" si="5"/>
        <v>3.5763099589032312</v>
      </c>
      <c r="P40">
        <f t="shared" si="6"/>
        <v>16.975995298207199</v>
      </c>
      <c r="Q40">
        <f t="shared" si="7"/>
        <v>0.38758604388241868</v>
      </c>
      <c r="R40">
        <f t="shared" si="8"/>
        <v>3.238239327164723</v>
      </c>
      <c r="S40">
        <f t="shared" si="9"/>
        <v>0.36353500772558101</v>
      </c>
      <c r="T40">
        <f t="shared" si="10"/>
        <v>0.22924579151739272</v>
      </c>
      <c r="U40">
        <f t="shared" si="11"/>
        <v>344.37759864386425</v>
      </c>
      <c r="V40">
        <f t="shared" si="12"/>
        <v>30.614796982499005</v>
      </c>
      <c r="W40">
        <f t="shared" si="13"/>
        <v>29.9986</v>
      </c>
      <c r="X40">
        <f t="shared" si="14"/>
        <v>4.2601071809863846</v>
      </c>
      <c r="Y40">
        <f t="shared" si="15"/>
        <v>65.505025695105218</v>
      </c>
      <c r="Z40">
        <f t="shared" si="16"/>
        <v>2.8033206001108804</v>
      </c>
      <c r="AA40">
        <f t="shared" si="17"/>
        <v>4.2795504167252849</v>
      </c>
      <c r="AB40">
        <f t="shared" si="18"/>
        <v>1.4567865808755043</v>
      </c>
      <c r="AC40">
        <f t="shared" si="19"/>
        <v>-244.20518832692395</v>
      </c>
      <c r="AD40">
        <f t="shared" si="20"/>
        <v>13.844190717464079</v>
      </c>
      <c r="AE40">
        <f t="shared" si="21"/>
        <v>0.95095987795851944</v>
      </c>
      <c r="AF40">
        <f t="shared" si="22"/>
        <v>114.96756091236287</v>
      </c>
      <c r="AG40">
        <v>69</v>
      </c>
      <c r="AH40">
        <v>14</v>
      </c>
      <c r="AI40">
        <f t="shared" si="23"/>
        <v>1</v>
      </c>
      <c r="AJ40">
        <f t="shared" si="24"/>
        <v>0</v>
      </c>
      <c r="AK40">
        <f t="shared" si="25"/>
        <v>51983.091107086017</v>
      </c>
      <c r="AL40" t="s">
        <v>426</v>
      </c>
      <c r="AM40" t="s">
        <v>426</v>
      </c>
      <c r="AN40">
        <v>0</v>
      </c>
      <c r="AO40">
        <v>0</v>
      </c>
      <c r="AP40" t="e">
        <f t="shared" si="26"/>
        <v>#DIV/0!</v>
      </c>
      <c r="AQ40">
        <v>0</v>
      </c>
      <c r="AR40" t="s">
        <v>426</v>
      </c>
      <c r="AS40" t="s">
        <v>426</v>
      </c>
      <c r="AT40">
        <v>0</v>
      </c>
      <c r="AU40">
        <v>0</v>
      </c>
      <c r="AV40" t="e">
        <f t="shared" si="27"/>
        <v>#DIV/0!</v>
      </c>
      <c r="AW40">
        <v>0.5</v>
      </c>
      <c r="AX40">
        <f t="shared" si="28"/>
        <v>1513.2185993219321</v>
      </c>
      <c r="AY40">
        <f t="shared" si="29"/>
        <v>30.401900902171509</v>
      </c>
      <c r="AZ40" t="e">
        <f t="shared" si="30"/>
        <v>#DIV/0!</v>
      </c>
      <c r="BA40">
        <f t="shared" si="31"/>
        <v>2.0090885028636637E-2</v>
      </c>
      <c r="BB40" t="e">
        <f t="shared" si="32"/>
        <v>#DIV/0!</v>
      </c>
      <c r="BC40" t="e">
        <f t="shared" si="33"/>
        <v>#DIV/0!</v>
      </c>
      <c r="BD40" t="s">
        <v>426</v>
      </c>
      <c r="BE40">
        <v>0</v>
      </c>
      <c r="BF40" t="e">
        <f t="shared" si="34"/>
        <v>#DIV/0!</v>
      </c>
      <c r="BG40" t="e">
        <f t="shared" si="35"/>
        <v>#DIV/0!</v>
      </c>
      <c r="BH40" t="e">
        <f t="shared" si="36"/>
        <v>#DIV/0!</v>
      </c>
      <c r="BI40" t="e">
        <f t="shared" si="37"/>
        <v>#DIV/0!</v>
      </c>
      <c r="BJ40" t="e">
        <f t="shared" si="38"/>
        <v>#DIV/0!</v>
      </c>
      <c r="BK40" t="e">
        <f t="shared" si="39"/>
        <v>#DIV/0!</v>
      </c>
      <c r="BL40" t="e">
        <f t="shared" si="40"/>
        <v>#DIV/0!</v>
      </c>
      <c r="BM40" t="e">
        <f t="shared" si="41"/>
        <v>#DIV/0!</v>
      </c>
      <c r="BN40">
        <v>342</v>
      </c>
      <c r="BO40">
        <v>290.00000000000011</v>
      </c>
      <c r="BP40">
        <v>825.79</v>
      </c>
      <c r="BQ40">
        <v>295</v>
      </c>
      <c r="BR40">
        <v>7266.55</v>
      </c>
      <c r="BS40">
        <v>827.16</v>
      </c>
      <c r="BT40">
        <v>-1.37</v>
      </c>
      <c r="BU40">
        <v>300.00000000000011</v>
      </c>
      <c r="BV40">
        <v>38</v>
      </c>
      <c r="BW40">
        <v>880.12094005078779</v>
      </c>
      <c r="BX40">
        <v>1.7678529382710699</v>
      </c>
      <c r="BY40">
        <v>-38.487026691286772</v>
      </c>
      <c r="BZ40">
        <v>1.076872567982387</v>
      </c>
      <c r="CA40">
        <v>0.97854933969311775</v>
      </c>
      <c r="CB40">
        <v>-7.1660387096774284E-3</v>
      </c>
      <c r="CC40">
        <v>289.99999999999989</v>
      </c>
      <c r="CD40">
        <v>832.87</v>
      </c>
      <c r="CE40">
        <v>795</v>
      </c>
      <c r="CF40">
        <v>7260.87</v>
      </c>
      <c r="CG40">
        <v>827.11</v>
      </c>
      <c r="CH40">
        <v>5.76</v>
      </c>
      <c r="CV40">
        <f t="shared" si="42"/>
        <v>1800.04</v>
      </c>
      <c r="CW40">
        <f t="shared" si="43"/>
        <v>1513.2185993219321</v>
      </c>
      <c r="CX40">
        <f t="shared" si="44"/>
        <v>0.84065831832733273</v>
      </c>
      <c r="CY40">
        <f t="shared" si="45"/>
        <v>0.19131663665466558</v>
      </c>
      <c r="CZ40">
        <v>4.5999999999999996</v>
      </c>
      <c r="DA40">
        <v>0.5</v>
      </c>
      <c r="DB40" t="s">
        <v>418</v>
      </c>
      <c r="DC40">
        <v>2</v>
      </c>
      <c r="DD40">
        <v>1700161271</v>
      </c>
      <c r="DE40">
        <v>171.18299999999999</v>
      </c>
      <c r="DF40">
        <v>200.023</v>
      </c>
      <c r="DG40">
        <v>28.2682</v>
      </c>
      <c r="DH40">
        <v>23.318000000000001</v>
      </c>
      <c r="DI40">
        <v>172.79599999999999</v>
      </c>
      <c r="DJ40">
        <v>30.225300000000001</v>
      </c>
      <c r="DK40">
        <v>500.03199999999998</v>
      </c>
      <c r="DL40">
        <v>99.068899999999999</v>
      </c>
      <c r="DM40">
        <v>9.9798399999999995E-2</v>
      </c>
      <c r="DN40">
        <v>30.0779</v>
      </c>
      <c r="DO40">
        <v>29.9986</v>
      </c>
      <c r="DP40">
        <v>999.9</v>
      </c>
      <c r="DQ40">
        <v>0</v>
      </c>
      <c r="DR40">
        <v>0</v>
      </c>
      <c r="DS40">
        <v>10026.200000000001</v>
      </c>
      <c r="DT40">
        <v>0</v>
      </c>
      <c r="DU40">
        <v>225.87700000000001</v>
      </c>
      <c r="DV40">
        <v>-28.839500000000001</v>
      </c>
      <c r="DW40">
        <v>176.16300000000001</v>
      </c>
      <c r="DX40">
        <v>204.798</v>
      </c>
      <c r="DY40">
        <v>4.95024</v>
      </c>
      <c r="DZ40">
        <v>200.023</v>
      </c>
      <c r="EA40">
        <v>23.318000000000001</v>
      </c>
      <c r="EB40">
        <v>2.8005</v>
      </c>
      <c r="EC40">
        <v>2.3100800000000001</v>
      </c>
      <c r="ED40">
        <v>22.887</v>
      </c>
      <c r="EE40">
        <v>19.7469</v>
      </c>
      <c r="EF40">
        <v>1800.04</v>
      </c>
      <c r="EG40">
        <v>0.97799400000000003</v>
      </c>
      <c r="EH40">
        <v>2.2006000000000001E-2</v>
      </c>
      <c r="EI40">
        <v>0</v>
      </c>
      <c r="EJ40">
        <v>696.50400000000002</v>
      </c>
      <c r="EK40">
        <v>5.0010300000000001</v>
      </c>
      <c r="EL40">
        <v>12703.4</v>
      </c>
      <c r="EM40">
        <v>14701.4</v>
      </c>
      <c r="EN40">
        <v>46.186999999999998</v>
      </c>
      <c r="EO40">
        <v>48.125</v>
      </c>
      <c r="EP40">
        <v>47.5</v>
      </c>
      <c r="EQ40">
        <v>47</v>
      </c>
      <c r="ER40">
        <v>47.811999999999998</v>
      </c>
      <c r="ES40">
        <v>1755.54</v>
      </c>
      <c r="ET40">
        <v>39.5</v>
      </c>
      <c r="EU40">
        <v>0</v>
      </c>
      <c r="EV40">
        <v>137.60000014305109</v>
      </c>
      <c r="EW40">
        <v>0</v>
      </c>
      <c r="EX40">
        <v>696.70484615384623</v>
      </c>
      <c r="EY40">
        <v>-1.26830769230538</v>
      </c>
      <c r="EZ40">
        <v>101.64444509074271</v>
      </c>
      <c r="FA40">
        <v>12653.780769230771</v>
      </c>
      <c r="FB40">
        <v>15</v>
      </c>
      <c r="FC40">
        <v>1700161231</v>
      </c>
      <c r="FD40" t="s">
        <v>523</v>
      </c>
      <c r="FE40">
        <v>1700161229.5</v>
      </c>
      <c r="FF40">
        <v>1700161231</v>
      </c>
      <c r="FG40">
        <v>28</v>
      </c>
      <c r="FH40">
        <v>6.3E-2</v>
      </c>
      <c r="FI40">
        <v>5.0000000000000001E-3</v>
      </c>
      <c r="FJ40">
        <v>-1.591</v>
      </c>
      <c r="FK40">
        <v>-1.9570000000000001</v>
      </c>
      <c r="FL40">
        <v>200</v>
      </c>
      <c r="FM40">
        <v>23</v>
      </c>
      <c r="FN40">
        <v>0.05</v>
      </c>
      <c r="FO40">
        <v>0.02</v>
      </c>
      <c r="FP40">
        <v>30.26696459108198</v>
      </c>
      <c r="FQ40">
        <v>0.58223416166419895</v>
      </c>
      <c r="FR40">
        <v>5.8928994137078333E-2</v>
      </c>
      <c r="FS40">
        <v>1</v>
      </c>
      <c r="FT40">
        <v>0.38328282995386648</v>
      </c>
      <c r="FU40">
        <v>4.1843946000753973E-2</v>
      </c>
      <c r="FV40">
        <v>3.0669554684709722E-3</v>
      </c>
      <c r="FW40">
        <v>1</v>
      </c>
      <c r="FX40">
        <v>2</v>
      </c>
      <c r="FY40">
        <v>2</v>
      </c>
      <c r="FZ40" t="s">
        <v>420</v>
      </c>
      <c r="GA40">
        <v>2.8966599999999998</v>
      </c>
      <c r="GB40">
        <v>2.8180299999999998</v>
      </c>
      <c r="GC40">
        <v>4.4451600000000001E-2</v>
      </c>
      <c r="GD40">
        <v>5.0691800000000002E-2</v>
      </c>
      <c r="GE40">
        <v>0.139373</v>
      </c>
      <c r="GF40">
        <v>0.11576</v>
      </c>
      <c r="GG40">
        <v>26444</v>
      </c>
      <c r="GH40">
        <v>26312.1</v>
      </c>
      <c r="GI40">
        <v>24566.7</v>
      </c>
      <c r="GJ40">
        <v>24769.5</v>
      </c>
      <c r="GK40">
        <v>28126.400000000001</v>
      </c>
      <c r="GL40">
        <v>28419</v>
      </c>
      <c r="GM40">
        <v>33260</v>
      </c>
      <c r="GN40">
        <v>33067.199999999997</v>
      </c>
      <c r="GO40">
        <v>1.7886500000000001</v>
      </c>
      <c r="GP40">
        <v>2.51098</v>
      </c>
      <c r="GQ40">
        <v>4.7184499999999997E-2</v>
      </c>
      <c r="GR40">
        <v>0</v>
      </c>
      <c r="GS40">
        <v>29.2302</v>
      </c>
      <c r="GT40">
        <v>999.9</v>
      </c>
      <c r="GU40">
        <v>37.799999999999997</v>
      </c>
      <c r="GV40">
        <v>40.799999999999997</v>
      </c>
      <c r="GW40">
        <v>29.5183</v>
      </c>
      <c r="GX40">
        <v>62.506300000000003</v>
      </c>
      <c r="GY40">
        <v>-4.7115400000000003</v>
      </c>
      <c r="GZ40">
        <v>3</v>
      </c>
      <c r="HA40">
        <v>0.66365099999999999</v>
      </c>
      <c r="HB40">
        <v>2.9198300000000001</v>
      </c>
      <c r="HC40">
        <v>20.140499999999999</v>
      </c>
      <c r="HD40">
        <v>5.23062</v>
      </c>
      <c r="HE40">
        <v>11.9223</v>
      </c>
      <c r="HF40">
        <v>4.9597499999999997</v>
      </c>
      <c r="HG40">
        <v>3.2890000000000001</v>
      </c>
      <c r="HH40">
        <v>9999</v>
      </c>
      <c r="HI40">
        <v>9999</v>
      </c>
      <c r="HJ40">
        <v>9999</v>
      </c>
      <c r="HK40">
        <v>999.9</v>
      </c>
      <c r="HL40">
        <v>1.8809800000000001</v>
      </c>
      <c r="HM40">
        <v>1.87818</v>
      </c>
      <c r="HN40">
        <v>1.88612</v>
      </c>
      <c r="HO40">
        <v>1.88385</v>
      </c>
      <c r="HP40">
        <v>1.88141</v>
      </c>
      <c r="HQ40">
        <v>1.8804000000000001</v>
      </c>
      <c r="HR40">
        <v>1.8815599999999999</v>
      </c>
      <c r="HS40">
        <v>1.8811</v>
      </c>
      <c r="HT40">
        <v>5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423</v>
      </c>
      <c r="IB40" t="s">
        <v>423</v>
      </c>
      <c r="IC40" t="s">
        <v>423</v>
      </c>
      <c r="ID40">
        <v>0</v>
      </c>
      <c r="IE40">
        <v>100</v>
      </c>
      <c r="IF40">
        <v>100</v>
      </c>
      <c r="IG40">
        <v>-1.613</v>
      </c>
      <c r="IH40">
        <v>-1.9571000000000001</v>
      </c>
      <c r="II40">
        <v>-1.753480215424835</v>
      </c>
      <c r="IJ40">
        <v>8.9935118796959448E-4</v>
      </c>
      <c r="IK40">
        <v>-5.3495398746875769E-7</v>
      </c>
      <c r="IL40">
        <v>3.209454383910538E-10</v>
      </c>
      <c r="IM40">
        <v>-1.9571100000000039</v>
      </c>
      <c r="IN40">
        <v>0</v>
      </c>
      <c r="IO40">
        <v>0</v>
      </c>
      <c r="IP40">
        <v>0</v>
      </c>
      <c r="IQ40">
        <v>1</v>
      </c>
      <c r="IR40">
        <v>2101</v>
      </c>
      <c r="IS40">
        <v>1</v>
      </c>
      <c r="IT40">
        <v>21</v>
      </c>
      <c r="IU40">
        <v>0.7</v>
      </c>
      <c r="IV40">
        <v>0.7</v>
      </c>
      <c r="IW40">
        <v>0.88622999999999996</v>
      </c>
      <c r="IX40">
        <v>2.50366</v>
      </c>
      <c r="IY40">
        <v>2.34375</v>
      </c>
      <c r="IZ40">
        <v>2.9186999999999999</v>
      </c>
      <c r="JA40">
        <v>3.0480999999999998</v>
      </c>
      <c r="JB40">
        <v>2.3754900000000001</v>
      </c>
      <c r="JC40">
        <v>44.781500000000001</v>
      </c>
      <c r="JD40">
        <v>24.035</v>
      </c>
      <c r="JE40">
        <v>18</v>
      </c>
      <c r="JF40">
        <v>404.83499999999998</v>
      </c>
      <c r="JG40">
        <v>1191.96</v>
      </c>
      <c r="JH40">
        <v>25.908100000000001</v>
      </c>
      <c r="JI40">
        <v>35.276400000000002</v>
      </c>
      <c r="JJ40">
        <v>30.0001</v>
      </c>
      <c r="JK40">
        <v>35.227400000000003</v>
      </c>
      <c r="JL40">
        <v>35.183300000000003</v>
      </c>
      <c r="JM40">
        <v>17.8339</v>
      </c>
      <c r="JN40">
        <v>12.2364</v>
      </c>
      <c r="JO40">
        <v>49.497100000000003</v>
      </c>
      <c r="JP40">
        <v>25.9038</v>
      </c>
      <c r="JQ40">
        <v>200</v>
      </c>
      <c r="JR40">
        <v>23.1738</v>
      </c>
      <c r="JS40">
        <v>99.220500000000001</v>
      </c>
      <c r="JT40">
        <v>98.710599999999999</v>
      </c>
    </row>
    <row r="41" spans="1:280" x14ac:dyDescent="0.25">
      <c r="A41">
        <v>25</v>
      </c>
      <c r="B41">
        <v>1700161410</v>
      </c>
      <c r="C41">
        <v>5411.4000000953674</v>
      </c>
      <c r="D41" t="s">
        <v>524</v>
      </c>
      <c r="E41" t="s">
        <v>525</v>
      </c>
      <c r="F41" t="s">
        <v>412</v>
      </c>
      <c r="G41" t="s">
        <v>481</v>
      </c>
      <c r="H41" t="s">
        <v>482</v>
      </c>
      <c r="I41">
        <v>1700161410</v>
      </c>
      <c r="J41">
        <f t="shared" si="0"/>
        <v>6.2891756603146729E-3</v>
      </c>
      <c r="K41">
        <f t="shared" si="1"/>
        <v>6.2891756603146725</v>
      </c>
      <c r="L41">
        <f t="shared" si="2"/>
        <v>19.972258573076431</v>
      </c>
      <c r="M41">
        <f t="shared" si="3"/>
        <v>101.05800000000001</v>
      </c>
      <c r="N41">
        <f t="shared" si="4"/>
        <v>23.090314484979132</v>
      </c>
      <c r="O41">
        <f t="shared" si="5"/>
        <v>2.2897171855019205</v>
      </c>
      <c r="P41">
        <f t="shared" si="6"/>
        <v>10.021268418972001</v>
      </c>
      <c r="Q41">
        <f t="shared" si="7"/>
        <v>0.44507940409789121</v>
      </c>
      <c r="R41">
        <f t="shared" si="8"/>
        <v>3.2351737327106838</v>
      </c>
      <c r="S41">
        <f t="shared" si="9"/>
        <v>0.41364632955739311</v>
      </c>
      <c r="T41">
        <f t="shared" si="10"/>
        <v>0.26116786355056643</v>
      </c>
      <c r="U41">
        <f t="shared" si="11"/>
        <v>344.362398643804</v>
      </c>
      <c r="V41">
        <f t="shared" si="12"/>
        <v>30.470464963685945</v>
      </c>
      <c r="W41">
        <f t="shared" si="13"/>
        <v>29.9879</v>
      </c>
      <c r="X41">
        <f t="shared" si="14"/>
        <v>4.2574895964460433</v>
      </c>
      <c r="Y41">
        <f t="shared" si="15"/>
        <v>65.383992201146953</v>
      </c>
      <c r="Z41">
        <f t="shared" si="16"/>
        <v>2.8034621860674003</v>
      </c>
      <c r="AA41">
        <f t="shared" si="17"/>
        <v>4.2876889154196096</v>
      </c>
      <c r="AB41">
        <f t="shared" si="18"/>
        <v>1.454027410378643</v>
      </c>
      <c r="AC41">
        <f t="shared" si="19"/>
        <v>-277.35264661987708</v>
      </c>
      <c r="AD41">
        <f t="shared" si="20"/>
        <v>21.470447880809445</v>
      </c>
      <c r="AE41">
        <f t="shared" si="21"/>
        <v>1.476370036626137</v>
      </c>
      <c r="AF41">
        <f t="shared" si="22"/>
        <v>89.956569941362488</v>
      </c>
      <c r="AG41">
        <v>69</v>
      </c>
      <c r="AH41">
        <v>14</v>
      </c>
      <c r="AI41">
        <f t="shared" si="23"/>
        <v>1</v>
      </c>
      <c r="AJ41">
        <f t="shared" si="24"/>
        <v>0</v>
      </c>
      <c r="AK41">
        <f t="shared" si="25"/>
        <v>51903.56604128136</v>
      </c>
      <c r="AL41" t="s">
        <v>415</v>
      </c>
      <c r="AM41">
        <v>7163.32</v>
      </c>
      <c r="AN41">
        <v>295.04692307692312</v>
      </c>
      <c r="AO41">
        <v>723.15082041179414</v>
      </c>
      <c r="AP41">
        <f t="shared" si="26"/>
        <v>0.59199808013920208</v>
      </c>
      <c r="AQ41">
        <v>-3.795255127542589</v>
      </c>
      <c r="AR41" t="s">
        <v>526</v>
      </c>
      <c r="AS41">
        <v>7266.38</v>
      </c>
      <c r="AT41">
        <v>720.3770384615384</v>
      </c>
      <c r="AU41">
        <v>838.98600581351695</v>
      </c>
      <c r="AV41">
        <f t="shared" si="27"/>
        <v>0.14137180659762039</v>
      </c>
      <c r="AW41">
        <v>0.5</v>
      </c>
      <c r="AX41">
        <f t="shared" si="28"/>
        <v>1513.1513993219019</v>
      </c>
      <c r="AY41">
        <f t="shared" si="29"/>
        <v>19.972258573076431</v>
      </c>
      <c r="AZ41">
        <f t="shared" si="30"/>
        <v>106.95847348892728</v>
      </c>
      <c r="BA41">
        <f t="shared" si="31"/>
        <v>1.5707293871102458E-2</v>
      </c>
      <c r="BB41">
        <f t="shared" si="32"/>
        <v>-0.13806569430130605</v>
      </c>
      <c r="BC41">
        <f t="shared" si="33"/>
        <v>312.65935878432072</v>
      </c>
      <c r="BD41" t="s">
        <v>527</v>
      </c>
      <c r="BE41">
        <v>494.31</v>
      </c>
      <c r="BF41">
        <f t="shared" si="34"/>
        <v>494.31</v>
      </c>
      <c r="BG41">
        <f t="shared" si="35"/>
        <v>0.41082449936611787</v>
      </c>
      <c r="BH41">
        <f t="shared" si="36"/>
        <v>0.34411727347261473</v>
      </c>
      <c r="BI41">
        <f t="shared" si="37"/>
        <v>-0.50618235502424735</v>
      </c>
      <c r="BJ41">
        <f t="shared" si="38"/>
        <v>0.21805560790971099</v>
      </c>
      <c r="BK41">
        <f t="shared" si="39"/>
        <v>-0.27057727370118828</v>
      </c>
      <c r="BL41">
        <f t="shared" si="40"/>
        <v>0.23612719502209678</v>
      </c>
      <c r="BM41">
        <f t="shared" si="41"/>
        <v>0.76387280497790322</v>
      </c>
      <c r="BN41">
        <v>344</v>
      </c>
      <c r="BO41">
        <v>290.00000000000011</v>
      </c>
      <c r="BP41">
        <v>811.62</v>
      </c>
      <c r="BQ41">
        <v>295</v>
      </c>
      <c r="BR41">
        <v>7266.38</v>
      </c>
      <c r="BS41">
        <v>812.04</v>
      </c>
      <c r="BT41">
        <v>-0.42</v>
      </c>
      <c r="BU41">
        <v>300.00000000000011</v>
      </c>
      <c r="BV41">
        <v>38</v>
      </c>
      <c r="BW41">
        <v>838.98600581351695</v>
      </c>
      <c r="BX41">
        <v>1.247412863424082</v>
      </c>
      <c r="BY41">
        <v>-19.576381750567801</v>
      </c>
      <c r="BZ41">
        <v>0.75983531145920891</v>
      </c>
      <c r="CA41">
        <v>0.95952486026969608</v>
      </c>
      <c r="CB41">
        <v>-7.1658000000000034E-3</v>
      </c>
      <c r="CC41">
        <v>289.99999999999989</v>
      </c>
      <c r="CD41">
        <v>816.57</v>
      </c>
      <c r="CE41">
        <v>855</v>
      </c>
      <c r="CF41">
        <v>7259.79</v>
      </c>
      <c r="CG41">
        <v>812.02</v>
      </c>
      <c r="CH41">
        <v>4.55</v>
      </c>
      <c r="CV41">
        <f t="shared" si="42"/>
        <v>1799.96</v>
      </c>
      <c r="CW41">
        <f t="shared" si="43"/>
        <v>1513.1513993219019</v>
      </c>
      <c r="CX41">
        <f t="shared" si="44"/>
        <v>0.84065834758655855</v>
      </c>
      <c r="CY41">
        <f t="shared" si="45"/>
        <v>0.19131669517311717</v>
      </c>
      <c r="CZ41">
        <v>4.5999999999999996</v>
      </c>
      <c r="DA41">
        <v>0.5</v>
      </c>
      <c r="DB41" t="s">
        <v>418</v>
      </c>
      <c r="DC41">
        <v>2</v>
      </c>
      <c r="DD41">
        <v>1700161410</v>
      </c>
      <c r="DE41">
        <v>101.05800000000001</v>
      </c>
      <c r="DF41">
        <v>120.018</v>
      </c>
      <c r="DG41">
        <v>28.271100000000001</v>
      </c>
      <c r="DH41">
        <v>22.648399999999999</v>
      </c>
      <c r="DI41">
        <v>102.66500000000001</v>
      </c>
      <c r="DJ41">
        <v>30.2303</v>
      </c>
      <c r="DK41">
        <v>499.97899999999998</v>
      </c>
      <c r="DL41">
        <v>99.063599999999994</v>
      </c>
      <c r="DM41">
        <v>9.9933999999999995E-2</v>
      </c>
      <c r="DN41">
        <v>30.111000000000001</v>
      </c>
      <c r="DO41">
        <v>29.9879</v>
      </c>
      <c r="DP41">
        <v>999.9</v>
      </c>
      <c r="DQ41">
        <v>0</v>
      </c>
      <c r="DR41">
        <v>0</v>
      </c>
      <c r="DS41">
        <v>10011.9</v>
      </c>
      <c r="DT41">
        <v>0</v>
      </c>
      <c r="DU41">
        <v>240.416</v>
      </c>
      <c r="DV41">
        <v>-18.959900000000001</v>
      </c>
      <c r="DW41">
        <v>103.998</v>
      </c>
      <c r="DX41">
        <v>122.79900000000001</v>
      </c>
      <c r="DY41">
        <v>5.6227200000000002</v>
      </c>
      <c r="DZ41">
        <v>120.018</v>
      </c>
      <c r="EA41">
        <v>22.648399999999999</v>
      </c>
      <c r="EB41">
        <v>2.80064</v>
      </c>
      <c r="EC41">
        <v>2.24363</v>
      </c>
      <c r="ED41">
        <v>22.887799999999999</v>
      </c>
      <c r="EE41">
        <v>19.2773</v>
      </c>
      <c r="EF41">
        <v>1799.96</v>
      </c>
      <c r="EG41">
        <v>0.97799400000000003</v>
      </c>
      <c r="EH41">
        <v>2.2006000000000001E-2</v>
      </c>
      <c r="EI41">
        <v>0</v>
      </c>
      <c r="EJ41">
        <v>720.40200000000004</v>
      </c>
      <c r="EK41">
        <v>5.0010300000000001</v>
      </c>
      <c r="EL41">
        <v>13124.7</v>
      </c>
      <c r="EM41">
        <v>14700.7</v>
      </c>
      <c r="EN41">
        <v>46.25</v>
      </c>
      <c r="EO41">
        <v>48.186999999999998</v>
      </c>
      <c r="EP41">
        <v>47.561999999999998</v>
      </c>
      <c r="EQ41">
        <v>47.125</v>
      </c>
      <c r="ER41">
        <v>47.875</v>
      </c>
      <c r="ES41">
        <v>1755.46</v>
      </c>
      <c r="ET41">
        <v>39.5</v>
      </c>
      <c r="EU41">
        <v>0</v>
      </c>
      <c r="EV41">
        <v>276.79999995231628</v>
      </c>
      <c r="EW41">
        <v>0</v>
      </c>
      <c r="EX41">
        <v>720.3770384615384</v>
      </c>
      <c r="EY41">
        <v>-0.28974360592277337</v>
      </c>
      <c r="EZ41">
        <v>-10.58461552035206</v>
      </c>
      <c r="FA41">
        <v>13131.36153846154</v>
      </c>
      <c r="FB41">
        <v>15</v>
      </c>
      <c r="FC41">
        <v>1700161365</v>
      </c>
      <c r="FD41" t="s">
        <v>528</v>
      </c>
      <c r="FE41">
        <v>1700161361</v>
      </c>
      <c r="FF41">
        <v>1700161365</v>
      </c>
      <c r="FG41">
        <v>29</v>
      </c>
      <c r="FH41">
        <v>0.06</v>
      </c>
      <c r="FI41">
        <v>-2E-3</v>
      </c>
      <c r="FJ41">
        <v>-1.5920000000000001</v>
      </c>
      <c r="FK41">
        <v>-1.9590000000000001</v>
      </c>
      <c r="FL41">
        <v>120</v>
      </c>
      <c r="FM41">
        <v>23</v>
      </c>
      <c r="FN41">
        <v>0.13</v>
      </c>
      <c r="FO41">
        <v>0.02</v>
      </c>
      <c r="FP41">
        <v>19.886458422164399</v>
      </c>
      <c r="FQ41">
        <v>0.46732375841653728</v>
      </c>
      <c r="FR41">
        <v>3.8869871534892082E-2</v>
      </c>
      <c r="FS41">
        <v>1</v>
      </c>
      <c r="FT41">
        <v>0.44622446753587841</v>
      </c>
      <c r="FU41">
        <v>4.1517997081545702E-2</v>
      </c>
      <c r="FV41">
        <v>4.0734378269488341E-3</v>
      </c>
      <c r="FW41">
        <v>1</v>
      </c>
      <c r="FX41">
        <v>2</v>
      </c>
      <c r="FY41">
        <v>2</v>
      </c>
      <c r="FZ41" t="s">
        <v>420</v>
      </c>
      <c r="GA41">
        <v>2.8964400000000001</v>
      </c>
      <c r="GB41">
        <v>2.8180399999999999</v>
      </c>
      <c r="GC41">
        <v>2.7338100000000001E-2</v>
      </c>
      <c r="GD41">
        <v>3.1753700000000003E-2</v>
      </c>
      <c r="GE41">
        <v>0.139373</v>
      </c>
      <c r="GF41">
        <v>0.113444</v>
      </c>
      <c r="GG41">
        <v>26914.9</v>
      </c>
      <c r="GH41">
        <v>26835.9</v>
      </c>
      <c r="GI41">
        <v>24565.200000000001</v>
      </c>
      <c r="GJ41">
        <v>24769.7</v>
      </c>
      <c r="GK41">
        <v>28124.7</v>
      </c>
      <c r="GL41">
        <v>28493.7</v>
      </c>
      <c r="GM41">
        <v>33257.800000000003</v>
      </c>
      <c r="GN41">
        <v>33067.300000000003</v>
      </c>
      <c r="GO41">
        <v>1.7886299999999999</v>
      </c>
      <c r="GP41">
        <v>2.5103499999999999</v>
      </c>
      <c r="GQ41">
        <v>4.0382099999999997E-2</v>
      </c>
      <c r="GR41">
        <v>0</v>
      </c>
      <c r="GS41">
        <v>29.330400000000001</v>
      </c>
      <c r="GT41">
        <v>999.9</v>
      </c>
      <c r="GU41">
        <v>37.299999999999997</v>
      </c>
      <c r="GV41">
        <v>40.799999999999997</v>
      </c>
      <c r="GW41">
        <v>29.128499999999999</v>
      </c>
      <c r="GX41">
        <v>62.706299999999999</v>
      </c>
      <c r="GY41">
        <v>-4.5232400000000004</v>
      </c>
      <c r="GZ41">
        <v>3</v>
      </c>
      <c r="HA41">
        <v>0.66501500000000002</v>
      </c>
      <c r="HB41">
        <v>2.5995599999999999</v>
      </c>
      <c r="HC41">
        <v>20.145600000000002</v>
      </c>
      <c r="HD41">
        <v>5.23421</v>
      </c>
      <c r="HE41">
        <v>11.921099999999999</v>
      </c>
      <c r="HF41">
        <v>4.9598000000000004</v>
      </c>
      <c r="HG41">
        <v>3.2890000000000001</v>
      </c>
      <c r="HH41">
        <v>9999</v>
      </c>
      <c r="HI41">
        <v>9999</v>
      </c>
      <c r="HJ41">
        <v>9999</v>
      </c>
      <c r="HK41">
        <v>999.9</v>
      </c>
      <c r="HL41">
        <v>1.88096</v>
      </c>
      <c r="HM41">
        <v>1.87819</v>
      </c>
      <c r="HN41">
        <v>1.88612</v>
      </c>
      <c r="HO41">
        <v>1.8838600000000001</v>
      </c>
      <c r="HP41">
        <v>1.8813899999999999</v>
      </c>
      <c r="HQ41">
        <v>1.88039</v>
      </c>
      <c r="HR41">
        <v>1.88157</v>
      </c>
      <c r="HS41">
        <v>1.8811</v>
      </c>
      <c r="HT41">
        <v>5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423</v>
      </c>
      <c r="IB41" t="s">
        <v>423</v>
      </c>
      <c r="IC41" t="s">
        <v>423</v>
      </c>
      <c r="ID41">
        <v>0</v>
      </c>
      <c r="IE41">
        <v>100</v>
      </c>
      <c r="IF41">
        <v>100</v>
      </c>
      <c r="IG41">
        <v>-1.607</v>
      </c>
      <c r="IH41">
        <v>-1.9592000000000001</v>
      </c>
      <c r="II41">
        <v>-1.6936055969979</v>
      </c>
      <c r="IJ41">
        <v>8.9935118796959448E-4</v>
      </c>
      <c r="IK41">
        <v>-5.3495398746875769E-7</v>
      </c>
      <c r="IL41">
        <v>3.209454383910538E-10</v>
      </c>
      <c r="IM41">
        <v>-1.9592095238095231</v>
      </c>
      <c r="IN41">
        <v>0</v>
      </c>
      <c r="IO41">
        <v>0</v>
      </c>
      <c r="IP41">
        <v>0</v>
      </c>
      <c r="IQ41">
        <v>1</v>
      </c>
      <c r="IR41">
        <v>2101</v>
      </c>
      <c r="IS41">
        <v>1</v>
      </c>
      <c r="IT41">
        <v>21</v>
      </c>
      <c r="IU41">
        <v>0.8</v>
      </c>
      <c r="IV41">
        <v>0.8</v>
      </c>
      <c r="IW41">
        <v>0.59936500000000004</v>
      </c>
      <c r="IX41">
        <v>2.51953</v>
      </c>
      <c r="IY41">
        <v>2.34375</v>
      </c>
      <c r="IZ41">
        <v>2.9186999999999999</v>
      </c>
      <c r="JA41">
        <v>3.0480999999999998</v>
      </c>
      <c r="JB41">
        <v>2.3913600000000002</v>
      </c>
      <c r="JC41">
        <v>44.809600000000003</v>
      </c>
      <c r="JD41">
        <v>24.035</v>
      </c>
      <c r="JE41">
        <v>18</v>
      </c>
      <c r="JF41">
        <v>404.98500000000001</v>
      </c>
      <c r="JG41">
        <v>1191.47</v>
      </c>
      <c r="JH41">
        <v>26.127800000000001</v>
      </c>
      <c r="JI41">
        <v>35.315300000000001</v>
      </c>
      <c r="JJ41">
        <v>30.0002</v>
      </c>
      <c r="JK41">
        <v>35.253399999999999</v>
      </c>
      <c r="JL41">
        <v>35.2044</v>
      </c>
      <c r="JM41">
        <v>12.068</v>
      </c>
      <c r="JN41">
        <v>13.3559</v>
      </c>
      <c r="JO41">
        <v>48.193100000000001</v>
      </c>
      <c r="JP41">
        <v>26.139500000000002</v>
      </c>
      <c r="JQ41">
        <v>120</v>
      </c>
      <c r="JR41">
        <v>22.539000000000001</v>
      </c>
      <c r="JS41">
        <v>99.214200000000005</v>
      </c>
      <c r="JT41">
        <v>98.711100000000002</v>
      </c>
    </row>
    <row r="42" spans="1:280" x14ac:dyDescent="0.25">
      <c r="A42">
        <v>26</v>
      </c>
      <c r="B42">
        <v>1700161553.5</v>
      </c>
      <c r="C42">
        <v>5554.9000000953674</v>
      </c>
      <c r="D42" t="s">
        <v>529</v>
      </c>
      <c r="E42" t="s">
        <v>530</v>
      </c>
      <c r="F42" t="s">
        <v>412</v>
      </c>
      <c r="G42" t="s">
        <v>481</v>
      </c>
      <c r="H42" t="s">
        <v>482</v>
      </c>
      <c r="I42">
        <v>1700161553.5</v>
      </c>
      <c r="J42">
        <f t="shared" si="0"/>
        <v>6.3715249217802215E-3</v>
      </c>
      <c r="K42">
        <f t="shared" si="1"/>
        <v>6.3715249217802219</v>
      </c>
      <c r="L42">
        <f t="shared" si="2"/>
        <v>11.974995377912352</v>
      </c>
      <c r="M42">
        <f t="shared" si="3"/>
        <v>58.646999999999998</v>
      </c>
      <c r="N42">
        <f t="shared" si="4"/>
        <v>12.817462959227965</v>
      </c>
      <c r="O42">
        <f t="shared" si="5"/>
        <v>1.2710034675181494</v>
      </c>
      <c r="P42">
        <f t="shared" si="6"/>
        <v>5.8155456034199995</v>
      </c>
      <c r="Q42">
        <f t="shared" si="7"/>
        <v>0.45437615002956649</v>
      </c>
      <c r="R42">
        <f t="shared" si="8"/>
        <v>3.2307346471791849</v>
      </c>
      <c r="S42">
        <f t="shared" si="9"/>
        <v>0.42162646751191041</v>
      </c>
      <c r="T42">
        <f t="shared" si="10"/>
        <v>0.26626199977624665</v>
      </c>
      <c r="U42">
        <f t="shared" si="11"/>
        <v>344.34149864372108</v>
      </c>
      <c r="V42">
        <f t="shared" si="12"/>
        <v>30.460006596155413</v>
      </c>
      <c r="W42">
        <f t="shared" si="13"/>
        <v>29.9925</v>
      </c>
      <c r="X42">
        <f t="shared" si="14"/>
        <v>4.2586147413460793</v>
      </c>
      <c r="Y42">
        <f t="shared" si="15"/>
        <v>65.586261136030501</v>
      </c>
      <c r="Z42">
        <f t="shared" si="16"/>
        <v>2.8135392861520003</v>
      </c>
      <c r="AA42">
        <f t="shared" si="17"/>
        <v>4.2898302745395451</v>
      </c>
      <c r="AB42">
        <f t="shared" si="18"/>
        <v>1.445075455194079</v>
      </c>
      <c r="AC42">
        <f t="shared" si="19"/>
        <v>-280.98424905050774</v>
      </c>
      <c r="AD42">
        <f t="shared" si="20"/>
        <v>22.155106593198067</v>
      </c>
      <c r="AE42">
        <f t="shared" si="21"/>
        <v>1.5256428278555969</v>
      </c>
      <c r="AF42">
        <f t="shared" si="22"/>
        <v>87.037999014267029</v>
      </c>
      <c r="AG42">
        <v>69</v>
      </c>
      <c r="AH42">
        <v>14</v>
      </c>
      <c r="AI42">
        <f t="shared" si="23"/>
        <v>1</v>
      </c>
      <c r="AJ42">
        <f t="shared" si="24"/>
        <v>0</v>
      </c>
      <c r="AK42">
        <f t="shared" si="25"/>
        <v>51795.326498320195</v>
      </c>
      <c r="AL42" t="s">
        <v>426</v>
      </c>
      <c r="AM42" t="s">
        <v>426</v>
      </c>
      <c r="AN42">
        <v>0</v>
      </c>
      <c r="AO42">
        <v>0</v>
      </c>
      <c r="AP42" t="e">
        <f t="shared" si="26"/>
        <v>#DIV/0!</v>
      </c>
      <c r="AQ42">
        <v>0</v>
      </c>
      <c r="AR42" t="s">
        <v>426</v>
      </c>
      <c r="AS42" t="s">
        <v>426</v>
      </c>
      <c r="AT42">
        <v>0</v>
      </c>
      <c r="AU42">
        <v>0</v>
      </c>
      <c r="AV42" t="e">
        <f t="shared" si="27"/>
        <v>#DIV/0!</v>
      </c>
      <c r="AW42">
        <v>0.5</v>
      </c>
      <c r="AX42">
        <f t="shared" si="28"/>
        <v>1513.0589993218603</v>
      </c>
      <c r="AY42">
        <f t="shared" si="29"/>
        <v>11.974995377912352</v>
      </c>
      <c r="AZ42" t="e">
        <f t="shared" si="30"/>
        <v>#DIV/0!</v>
      </c>
      <c r="BA42">
        <f t="shared" si="31"/>
        <v>7.91442725186489E-3</v>
      </c>
      <c r="BB42" t="e">
        <f t="shared" si="32"/>
        <v>#DIV/0!</v>
      </c>
      <c r="BC42" t="e">
        <f t="shared" si="33"/>
        <v>#DIV/0!</v>
      </c>
      <c r="BD42" t="s">
        <v>426</v>
      </c>
      <c r="BE42">
        <v>0</v>
      </c>
      <c r="BF42" t="e">
        <f t="shared" si="34"/>
        <v>#DIV/0!</v>
      </c>
      <c r="BG42" t="e">
        <f t="shared" si="35"/>
        <v>#DIV/0!</v>
      </c>
      <c r="BH42" t="e">
        <f t="shared" si="36"/>
        <v>#DIV/0!</v>
      </c>
      <c r="BI42" t="e">
        <f t="shared" si="37"/>
        <v>#DIV/0!</v>
      </c>
      <c r="BJ42" t="e">
        <f t="shared" si="38"/>
        <v>#DIV/0!</v>
      </c>
      <c r="BK42" t="e">
        <f t="shared" si="39"/>
        <v>#DIV/0!</v>
      </c>
      <c r="BL42" t="e">
        <f t="shared" si="40"/>
        <v>#DIV/0!</v>
      </c>
      <c r="BM42" t="e">
        <f t="shared" si="41"/>
        <v>#DIV/0!</v>
      </c>
      <c r="BN42">
        <v>344</v>
      </c>
      <c r="BO42">
        <v>290.00000000000011</v>
      </c>
      <c r="BP42">
        <v>811.62</v>
      </c>
      <c r="BQ42">
        <v>295</v>
      </c>
      <c r="BR42">
        <v>7266.38</v>
      </c>
      <c r="BS42">
        <v>812.04</v>
      </c>
      <c r="BT42">
        <v>-0.42</v>
      </c>
      <c r="BU42">
        <v>300.00000000000011</v>
      </c>
      <c r="BV42">
        <v>38</v>
      </c>
      <c r="BW42">
        <v>838.98600581351695</v>
      </c>
      <c r="BX42">
        <v>1.247412863424082</v>
      </c>
      <c r="BY42">
        <v>-19.576381750567801</v>
      </c>
      <c r="BZ42">
        <v>0.75983531145920891</v>
      </c>
      <c r="CA42">
        <v>0.95952486026969608</v>
      </c>
      <c r="CB42">
        <v>-7.1658000000000034E-3</v>
      </c>
      <c r="CC42">
        <v>289.99999999999989</v>
      </c>
      <c r="CD42">
        <v>816.57</v>
      </c>
      <c r="CE42">
        <v>855</v>
      </c>
      <c r="CF42">
        <v>7259.79</v>
      </c>
      <c r="CG42">
        <v>812.02</v>
      </c>
      <c r="CH42">
        <v>4.55</v>
      </c>
      <c r="CV42">
        <f t="shared" si="42"/>
        <v>1799.85</v>
      </c>
      <c r="CW42">
        <f t="shared" si="43"/>
        <v>1513.0589993218603</v>
      </c>
      <c r="CX42">
        <f t="shared" si="44"/>
        <v>0.84065838782224089</v>
      </c>
      <c r="CY42">
        <f t="shared" si="45"/>
        <v>0.1913167756444821</v>
      </c>
      <c r="CZ42">
        <v>4.5999999999999996</v>
      </c>
      <c r="DA42">
        <v>0.5</v>
      </c>
      <c r="DB42" t="s">
        <v>418</v>
      </c>
      <c r="DC42">
        <v>2</v>
      </c>
      <c r="DD42">
        <v>1700161553.5</v>
      </c>
      <c r="DE42">
        <v>58.646999999999998</v>
      </c>
      <c r="DF42">
        <v>70.009</v>
      </c>
      <c r="DG42">
        <v>28.373200000000001</v>
      </c>
      <c r="DH42">
        <v>22.677099999999999</v>
      </c>
      <c r="DI42">
        <v>60.143099999999997</v>
      </c>
      <c r="DJ42">
        <v>30.331800000000001</v>
      </c>
      <c r="DK42">
        <v>499.94600000000003</v>
      </c>
      <c r="DL42">
        <v>99.061800000000005</v>
      </c>
      <c r="DM42">
        <v>0.10006</v>
      </c>
      <c r="DN42">
        <v>30.119700000000002</v>
      </c>
      <c r="DO42">
        <v>29.9925</v>
      </c>
      <c r="DP42">
        <v>999.9</v>
      </c>
      <c r="DQ42">
        <v>0</v>
      </c>
      <c r="DR42">
        <v>0</v>
      </c>
      <c r="DS42">
        <v>9990.6200000000008</v>
      </c>
      <c r="DT42">
        <v>0</v>
      </c>
      <c r="DU42">
        <v>219.488</v>
      </c>
      <c r="DV42">
        <v>-11.362</v>
      </c>
      <c r="DW42">
        <v>60.3596</v>
      </c>
      <c r="DX42">
        <v>71.633499999999998</v>
      </c>
      <c r="DY42">
        <v>5.6961599999999999</v>
      </c>
      <c r="DZ42">
        <v>70.009</v>
      </c>
      <c r="EA42">
        <v>22.677099999999999</v>
      </c>
      <c r="EB42">
        <v>2.8107000000000002</v>
      </c>
      <c r="EC42">
        <v>2.2464300000000001</v>
      </c>
      <c r="ED42">
        <v>22.947099999999999</v>
      </c>
      <c r="EE42">
        <v>19.2973</v>
      </c>
      <c r="EF42">
        <v>1799.85</v>
      </c>
      <c r="EG42">
        <v>0.97799400000000003</v>
      </c>
      <c r="EH42">
        <v>2.2006000000000001E-2</v>
      </c>
      <c r="EI42">
        <v>0</v>
      </c>
      <c r="EJ42">
        <v>738.13</v>
      </c>
      <c r="EK42">
        <v>5.0010300000000001</v>
      </c>
      <c r="EL42">
        <v>13352.9</v>
      </c>
      <c r="EM42">
        <v>14699.8</v>
      </c>
      <c r="EN42">
        <v>46.311999999999998</v>
      </c>
      <c r="EO42">
        <v>48.311999999999998</v>
      </c>
      <c r="EP42">
        <v>47.625</v>
      </c>
      <c r="EQ42">
        <v>47.186999999999998</v>
      </c>
      <c r="ER42">
        <v>47.936999999999998</v>
      </c>
      <c r="ES42">
        <v>1755.35</v>
      </c>
      <c r="ET42">
        <v>39.5</v>
      </c>
      <c r="EU42">
        <v>0</v>
      </c>
      <c r="EV42">
        <v>141.60000014305109</v>
      </c>
      <c r="EW42">
        <v>0</v>
      </c>
      <c r="EX42">
        <v>738.16723999999999</v>
      </c>
      <c r="EY42">
        <v>0.21384614788240039</v>
      </c>
      <c r="EZ42">
        <v>-491.15384515750458</v>
      </c>
      <c r="FA42">
        <v>13392.696</v>
      </c>
      <c r="FB42">
        <v>15</v>
      </c>
      <c r="FC42">
        <v>1700161511.5</v>
      </c>
      <c r="FD42" t="s">
        <v>531</v>
      </c>
      <c r="FE42">
        <v>1700161505.5</v>
      </c>
      <c r="FF42">
        <v>1700161511.5</v>
      </c>
      <c r="FG42">
        <v>30</v>
      </c>
      <c r="FH42">
        <v>0.14499999999999999</v>
      </c>
      <c r="FI42">
        <v>1E-3</v>
      </c>
      <c r="FJ42">
        <v>-1.4870000000000001</v>
      </c>
      <c r="FK42">
        <v>-1.9590000000000001</v>
      </c>
      <c r="FL42">
        <v>70</v>
      </c>
      <c r="FM42">
        <v>23</v>
      </c>
      <c r="FN42">
        <v>0.1</v>
      </c>
      <c r="FO42">
        <v>0.03</v>
      </c>
      <c r="FP42">
        <v>11.986722386880951</v>
      </c>
      <c r="FQ42">
        <v>0.29985578264262158</v>
      </c>
      <c r="FR42">
        <v>2.4839786739773169E-2</v>
      </c>
      <c r="FS42">
        <v>1</v>
      </c>
      <c r="FT42">
        <v>0.45465920857404929</v>
      </c>
      <c r="FU42">
        <v>3.850521077345935E-2</v>
      </c>
      <c r="FV42">
        <v>4.1369081784775781E-3</v>
      </c>
      <c r="FW42">
        <v>1</v>
      </c>
      <c r="FX42">
        <v>2</v>
      </c>
      <c r="FY42">
        <v>2</v>
      </c>
      <c r="FZ42" t="s">
        <v>420</v>
      </c>
      <c r="GA42">
        <v>2.89622</v>
      </c>
      <c r="GB42">
        <v>2.8179799999999999</v>
      </c>
      <c r="GC42">
        <v>1.6253500000000001E-2</v>
      </c>
      <c r="GD42">
        <v>1.8902100000000002E-2</v>
      </c>
      <c r="GE42">
        <v>0.13967299999999999</v>
      </c>
      <c r="GF42">
        <v>0.11353000000000001</v>
      </c>
      <c r="GG42">
        <v>27218.3</v>
      </c>
      <c r="GH42">
        <v>27188.9</v>
      </c>
      <c r="GI42">
        <v>24562.9</v>
      </c>
      <c r="GJ42">
        <v>24767.8</v>
      </c>
      <c r="GK42">
        <v>28112.3</v>
      </c>
      <c r="GL42">
        <v>28488.9</v>
      </c>
      <c r="GM42">
        <v>33254.400000000001</v>
      </c>
      <c r="GN42">
        <v>33064.800000000003</v>
      </c>
      <c r="GO42">
        <v>1.7872699999999999</v>
      </c>
      <c r="GP42">
        <v>2.5089999999999999</v>
      </c>
      <c r="GQ42">
        <v>3.5058699999999998E-2</v>
      </c>
      <c r="GR42">
        <v>0</v>
      </c>
      <c r="GS42">
        <v>29.421700000000001</v>
      </c>
      <c r="GT42">
        <v>999.9</v>
      </c>
      <c r="GU42">
        <v>36.9</v>
      </c>
      <c r="GV42">
        <v>40.799999999999997</v>
      </c>
      <c r="GW42">
        <v>28.818200000000001</v>
      </c>
      <c r="GX42">
        <v>62.266300000000001</v>
      </c>
      <c r="GY42">
        <v>-4.5593000000000004</v>
      </c>
      <c r="GZ42">
        <v>3</v>
      </c>
      <c r="HA42">
        <v>0.67123999999999995</v>
      </c>
      <c r="HB42">
        <v>2.3450500000000001</v>
      </c>
      <c r="HC42">
        <v>20.147300000000001</v>
      </c>
      <c r="HD42">
        <v>5.2331599999999998</v>
      </c>
      <c r="HE42">
        <v>11.923500000000001</v>
      </c>
      <c r="HF42">
        <v>4.9596999999999998</v>
      </c>
      <c r="HG42">
        <v>3.2890000000000001</v>
      </c>
      <c r="HH42">
        <v>9999</v>
      </c>
      <c r="HI42">
        <v>9999</v>
      </c>
      <c r="HJ42">
        <v>9999</v>
      </c>
      <c r="HK42">
        <v>999.9</v>
      </c>
      <c r="HL42">
        <v>1.88096</v>
      </c>
      <c r="HM42">
        <v>1.8781699999999999</v>
      </c>
      <c r="HN42">
        <v>1.88612</v>
      </c>
      <c r="HO42">
        <v>1.88385</v>
      </c>
      <c r="HP42">
        <v>1.88141</v>
      </c>
      <c r="HQ42">
        <v>1.8804000000000001</v>
      </c>
      <c r="HR42">
        <v>1.8815599999999999</v>
      </c>
      <c r="HS42">
        <v>1.8810899999999999</v>
      </c>
      <c r="HT42">
        <v>5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423</v>
      </c>
      <c r="IB42" t="s">
        <v>423</v>
      </c>
      <c r="IC42" t="s">
        <v>423</v>
      </c>
      <c r="ID42">
        <v>0</v>
      </c>
      <c r="IE42">
        <v>100</v>
      </c>
      <c r="IF42">
        <v>100</v>
      </c>
      <c r="IG42">
        <v>-1.496</v>
      </c>
      <c r="IH42">
        <v>-1.9585999999999999</v>
      </c>
      <c r="II42">
        <v>-1.548285691391978</v>
      </c>
      <c r="IJ42">
        <v>8.9935118796959448E-4</v>
      </c>
      <c r="IK42">
        <v>-5.3495398746875769E-7</v>
      </c>
      <c r="IL42">
        <v>3.209454383910538E-10</v>
      </c>
      <c r="IM42">
        <v>-1.9585050000000019</v>
      </c>
      <c r="IN42">
        <v>0</v>
      </c>
      <c r="IO42">
        <v>0</v>
      </c>
      <c r="IP42">
        <v>0</v>
      </c>
      <c r="IQ42">
        <v>1</v>
      </c>
      <c r="IR42">
        <v>2101</v>
      </c>
      <c r="IS42">
        <v>1</v>
      </c>
      <c r="IT42">
        <v>21</v>
      </c>
      <c r="IU42">
        <v>0.8</v>
      </c>
      <c r="IV42">
        <v>0.7</v>
      </c>
      <c r="IW42">
        <v>0.41626000000000002</v>
      </c>
      <c r="IX42">
        <v>2.5341800000000001</v>
      </c>
      <c r="IY42">
        <v>2.34375</v>
      </c>
      <c r="IZ42">
        <v>2.9186999999999999</v>
      </c>
      <c r="JA42">
        <v>3.0480999999999998</v>
      </c>
      <c r="JB42">
        <v>2.4096700000000002</v>
      </c>
      <c r="JC42">
        <v>44.837699999999998</v>
      </c>
      <c r="JD42">
        <v>24.043700000000001</v>
      </c>
      <c r="JE42">
        <v>18</v>
      </c>
      <c r="JF42">
        <v>404.49599999999998</v>
      </c>
      <c r="JG42">
        <v>1190.33</v>
      </c>
      <c r="JH42">
        <v>25.762699999999999</v>
      </c>
      <c r="JI42">
        <v>35.379199999999997</v>
      </c>
      <c r="JJ42">
        <v>29.9999</v>
      </c>
      <c r="JK42">
        <v>35.302199999999999</v>
      </c>
      <c r="JL42">
        <v>35.246200000000002</v>
      </c>
      <c r="JM42">
        <v>8.4067399999999992</v>
      </c>
      <c r="JN42">
        <v>11.841100000000001</v>
      </c>
      <c r="JO42">
        <v>46.913600000000002</v>
      </c>
      <c r="JP42">
        <v>26.106100000000001</v>
      </c>
      <c r="JQ42">
        <v>70</v>
      </c>
      <c r="JR42">
        <v>22.559699999999999</v>
      </c>
      <c r="JS42">
        <v>99.204499999999996</v>
      </c>
      <c r="JT42">
        <v>98.703500000000005</v>
      </c>
    </row>
    <row r="43" spans="1:280" x14ac:dyDescent="0.25">
      <c r="A43">
        <v>27</v>
      </c>
      <c r="B43">
        <v>1700161684</v>
      </c>
      <c r="C43">
        <v>5685.4000000953674</v>
      </c>
      <c r="D43" t="s">
        <v>532</v>
      </c>
      <c r="E43" t="s">
        <v>533</v>
      </c>
      <c r="F43" t="s">
        <v>412</v>
      </c>
      <c r="G43" t="s">
        <v>481</v>
      </c>
      <c r="H43" t="s">
        <v>482</v>
      </c>
      <c r="I43">
        <v>1700161684</v>
      </c>
      <c r="J43">
        <f t="shared" si="0"/>
        <v>6.7558894044244741E-3</v>
      </c>
      <c r="K43">
        <f t="shared" si="1"/>
        <v>6.7558894044244742</v>
      </c>
      <c r="L43">
        <f t="shared" si="2"/>
        <v>5.4996262645573548</v>
      </c>
      <c r="M43">
        <f t="shared" si="3"/>
        <v>24.793199999999999</v>
      </c>
      <c r="N43">
        <f t="shared" si="4"/>
        <v>4.9743605682833696</v>
      </c>
      <c r="O43">
        <f t="shared" si="5"/>
        <v>0.49324861025579259</v>
      </c>
      <c r="P43">
        <f t="shared" si="6"/>
        <v>2.4584489354807997</v>
      </c>
      <c r="Q43">
        <f t="shared" si="7"/>
        <v>0.48421476441465899</v>
      </c>
      <c r="R43">
        <f t="shared" si="8"/>
        <v>3.2261284459665927</v>
      </c>
      <c r="S43">
        <f t="shared" si="9"/>
        <v>0.44716170684178941</v>
      </c>
      <c r="T43">
        <f t="shared" si="10"/>
        <v>0.28256848527238432</v>
      </c>
      <c r="U43">
        <f t="shared" si="11"/>
        <v>344.40799864398474</v>
      </c>
      <c r="V43">
        <f t="shared" si="12"/>
        <v>30.409645834450576</v>
      </c>
      <c r="W43">
        <f t="shared" si="13"/>
        <v>29.974799999999998</v>
      </c>
      <c r="X43">
        <f t="shared" si="14"/>
        <v>4.2542867987702957</v>
      </c>
      <c r="Y43">
        <f t="shared" si="15"/>
        <v>65.342617833701269</v>
      </c>
      <c r="Z43">
        <f t="shared" si="16"/>
        <v>2.8095284371571996</v>
      </c>
      <c r="AA43">
        <f t="shared" si="17"/>
        <v>4.299687600988876</v>
      </c>
      <c r="AB43">
        <f t="shared" si="18"/>
        <v>1.4447583616130961</v>
      </c>
      <c r="AC43">
        <f t="shared" si="19"/>
        <v>-297.93472273511929</v>
      </c>
      <c r="AD43">
        <f t="shared" si="20"/>
        <v>32.159109100428466</v>
      </c>
      <c r="AE43">
        <f t="shared" si="21"/>
        <v>2.2179442598070609</v>
      </c>
      <c r="AF43">
        <f t="shared" si="22"/>
        <v>80.850329269100953</v>
      </c>
      <c r="AG43">
        <v>69</v>
      </c>
      <c r="AH43">
        <v>14</v>
      </c>
      <c r="AI43">
        <f t="shared" si="23"/>
        <v>1</v>
      </c>
      <c r="AJ43">
        <f t="shared" si="24"/>
        <v>0</v>
      </c>
      <c r="AK43">
        <f t="shared" si="25"/>
        <v>51677.76770063852</v>
      </c>
      <c r="AL43" t="s">
        <v>415</v>
      </c>
      <c r="AM43">
        <v>7163.32</v>
      </c>
      <c r="AN43">
        <v>295.04692307692312</v>
      </c>
      <c r="AO43">
        <v>723.15082041179414</v>
      </c>
      <c r="AP43">
        <f t="shared" si="26"/>
        <v>0.59199808013920208</v>
      </c>
      <c r="AQ43">
        <v>-3.795255127542589</v>
      </c>
      <c r="AR43" t="s">
        <v>534</v>
      </c>
      <c r="AS43">
        <v>7267.23</v>
      </c>
      <c r="AT43">
        <v>754.40492307692307</v>
      </c>
      <c r="AU43">
        <v>811.76468362752462</v>
      </c>
      <c r="AV43">
        <f t="shared" si="27"/>
        <v>7.0660576528506436E-2</v>
      </c>
      <c r="AW43">
        <v>0.5</v>
      </c>
      <c r="AX43">
        <f t="shared" si="28"/>
        <v>1513.3529993219922</v>
      </c>
      <c r="AY43">
        <f t="shared" si="29"/>
        <v>5.4996262645573548</v>
      </c>
      <c r="AZ43">
        <f t="shared" si="30"/>
        <v>53.467197711618191</v>
      </c>
      <c r="BA43">
        <f t="shared" si="31"/>
        <v>6.1419122942659166E-3</v>
      </c>
      <c r="BB43">
        <f t="shared" si="32"/>
        <v>-0.10916200840339912</v>
      </c>
      <c r="BC43">
        <f t="shared" si="33"/>
        <v>308.80036934761466</v>
      </c>
      <c r="BD43" t="s">
        <v>535</v>
      </c>
      <c r="BE43">
        <v>522.79</v>
      </c>
      <c r="BF43">
        <f t="shared" si="34"/>
        <v>522.79</v>
      </c>
      <c r="BG43">
        <f t="shared" si="35"/>
        <v>0.35598331567737884</v>
      </c>
      <c r="BH43">
        <f t="shared" si="36"/>
        <v>0.1984940681673544</v>
      </c>
      <c r="BI43">
        <f t="shared" si="37"/>
        <v>-0.44227141331127356</v>
      </c>
      <c r="BJ43">
        <f t="shared" si="38"/>
        <v>0.11100791366157112</v>
      </c>
      <c r="BK43">
        <f t="shared" si="39"/>
        <v>-0.20699148913941098</v>
      </c>
      <c r="BL43">
        <f t="shared" si="40"/>
        <v>0.13755307093433455</v>
      </c>
      <c r="BM43">
        <f t="shared" si="41"/>
        <v>0.86244692906566545</v>
      </c>
      <c r="BN43">
        <v>346</v>
      </c>
      <c r="BO43">
        <v>290.00000000000011</v>
      </c>
      <c r="BP43">
        <v>796.37</v>
      </c>
      <c r="BQ43">
        <v>245</v>
      </c>
      <c r="BR43">
        <v>7267.23</v>
      </c>
      <c r="BS43">
        <v>796.4</v>
      </c>
      <c r="BT43">
        <v>-0.03</v>
      </c>
      <c r="BU43">
        <v>300.00000000000011</v>
      </c>
      <c r="BV43">
        <v>38</v>
      </c>
      <c r="BW43">
        <v>811.76468362752462</v>
      </c>
      <c r="BX43">
        <v>0.89877060584752821</v>
      </c>
      <c r="BY43">
        <v>-11.16774345393171</v>
      </c>
      <c r="BZ43">
        <v>0.54742448082687756</v>
      </c>
      <c r="CA43">
        <v>0.93696265878309515</v>
      </c>
      <c r="CB43">
        <v>-7.1651174638487263E-3</v>
      </c>
      <c r="CC43">
        <v>289.99999999999989</v>
      </c>
      <c r="CD43">
        <v>796.8</v>
      </c>
      <c r="CE43">
        <v>725</v>
      </c>
      <c r="CF43">
        <v>7261.38</v>
      </c>
      <c r="CG43">
        <v>796.39</v>
      </c>
      <c r="CH43">
        <v>0.41</v>
      </c>
      <c r="CV43">
        <f t="shared" si="42"/>
        <v>1800.2</v>
      </c>
      <c r="CW43">
        <f t="shared" si="43"/>
        <v>1513.3529993219922</v>
      </c>
      <c r="CX43">
        <f t="shared" si="44"/>
        <v>0.84065825981668274</v>
      </c>
      <c r="CY43">
        <f t="shared" si="45"/>
        <v>0.1913165196333656</v>
      </c>
      <c r="CZ43">
        <v>4.5999999999999996</v>
      </c>
      <c r="DA43">
        <v>0.5</v>
      </c>
      <c r="DB43" t="s">
        <v>418</v>
      </c>
      <c r="DC43">
        <v>2</v>
      </c>
      <c r="DD43">
        <v>1700161684</v>
      </c>
      <c r="DE43">
        <v>24.793199999999999</v>
      </c>
      <c r="DF43">
        <v>30.008500000000002</v>
      </c>
      <c r="DG43">
        <v>28.3338</v>
      </c>
      <c r="DH43">
        <v>22.2927</v>
      </c>
      <c r="DI43">
        <v>26.321899999999999</v>
      </c>
      <c r="DJ43">
        <v>30.291899999999998</v>
      </c>
      <c r="DK43">
        <v>499.85199999999998</v>
      </c>
      <c r="DL43">
        <v>99.058099999999996</v>
      </c>
      <c r="DM43">
        <v>0.100094</v>
      </c>
      <c r="DN43">
        <v>30.159700000000001</v>
      </c>
      <c r="DO43">
        <v>29.974799999999998</v>
      </c>
      <c r="DP43">
        <v>999.9</v>
      </c>
      <c r="DQ43">
        <v>0</v>
      </c>
      <c r="DR43">
        <v>0</v>
      </c>
      <c r="DS43">
        <v>9968.75</v>
      </c>
      <c r="DT43">
        <v>0</v>
      </c>
      <c r="DU43">
        <v>241.041</v>
      </c>
      <c r="DV43">
        <v>-5.2153499999999999</v>
      </c>
      <c r="DW43">
        <v>25.516100000000002</v>
      </c>
      <c r="DX43">
        <v>30.692699999999999</v>
      </c>
      <c r="DY43">
        <v>6.0411099999999998</v>
      </c>
      <c r="DZ43">
        <v>30.008500000000002</v>
      </c>
      <c r="EA43">
        <v>22.2927</v>
      </c>
      <c r="EB43">
        <v>2.8066900000000001</v>
      </c>
      <c r="EC43">
        <v>2.2082700000000002</v>
      </c>
      <c r="ED43">
        <v>22.923500000000001</v>
      </c>
      <c r="EE43">
        <v>19.022500000000001</v>
      </c>
      <c r="EF43">
        <v>1800.2</v>
      </c>
      <c r="EG43">
        <v>0.97799800000000003</v>
      </c>
      <c r="EH43">
        <v>2.2002299999999999E-2</v>
      </c>
      <c r="EI43">
        <v>0</v>
      </c>
      <c r="EJ43">
        <v>754.10599999999999</v>
      </c>
      <c r="EK43">
        <v>5.0010300000000001</v>
      </c>
      <c r="EL43">
        <v>13680.9</v>
      </c>
      <c r="EM43">
        <v>14702.8</v>
      </c>
      <c r="EN43">
        <v>46.375</v>
      </c>
      <c r="EO43">
        <v>48.375</v>
      </c>
      <c r="EP43">
        <v>47.686999999999998</v>
      </c>
      <c r="EQ43">
        <v>47.186999999999998</v>
      </c>
      <c r="ER43">
        <v>48</v>
      </c>
      <c r="ES43">
        <v>1755.7</v>
      </c>
      <c r="ET43">
        <v>39.5</v>
      </c>
      <c r="EU43">
        <v>0</v>
      </c>
      <c r="EV43">
        <v>271.79999995231628</v>
      </c>
      <c r="EW43">
        <v>0</v>
      </c>
      <c r="EX43">
        <v>754.40492307692307</v>
      </c>
      <c r="EY43">
        <v>-0.56738461258901152</v>
      </c>
      <c r="EZ43">
        <v>250.18119665100909</v>
      </c>
      <c r="FA43">
        <v>13659.276923076921</v>
      </c>
      <c r="FB43">
        <v>15</v>
      </c>
      <c r="FC43">
        <v>1700161637</v>
      </c>
      <c r="FD43" t="s">
        <v>536</v>
      </c>
      <c r="FE43">
        <v>1700161631</v>
      </c>
      <c r="FF43">
        <v>1700161637</v>
      </c>
      <c r="FG43">
        <v>31</v>
      </c>
      <c r="FH43">
        <v>-4.0000000000000001E-3</v>
      </c>
      <c r="FI43">
        <v>0</v>
      </c>
      <c r="FJ43">
        <v>-1.524</v>
      </c>
      <c r="FK43">
        <v>-1.958</v>
      </c>
      <c r="FL43">
        <v>30</v>
      </c>
      <c r="FM43">
        <v>22</v>
      </c>
      <c r="FN43">
        <v>0.27</v>
      </c>
      <c r="FO43">
        <v>0.02</v>
      </c>
      <c r="FP43">
        <v>5.5217113792654082</v>
      </c>
      <c r="FQ43">
        <v>-0.2320228337023478</v>
      </c>
      <c r="FR43">
        <v>2.2664259733628369E-2</v>
      </c>
      <c r="FS43">
        <v>1</v>
      </c>
      <c r="FT43">
        <v>0.4848714999264635</v>
      </c>
      <c r="FU43">
        <v>4.1655202188845657E-2</v>
      </c>
      <c r="FV43">
        <v>3.8446518436653148E-3</v>
      </c>
      <c r="FW43">
        <v>1</v>
      </c>
      <c r="FX43">
        <v>2</v>
      </c>
      <c r="FY43">
        <v>2</v>
      </c>
      <c r="FZ43" t="s">
        <v>420</v>
      </c>
      <c r="GA43">
        <v>2.8958699999999999</v>
      </c>
      <c r="GB43">
        <v>2.8178200000000002</v>
      </c>
      <c r="GC43">
        <v>7.1616400000000004E-3</v>
      </c>
      <c r="GD43">
        <v>8.1833300000000008E-3</v>
      </c>
      <c r="GE43">
        <v>0.13952800000000001</v>
      </c>
      <c r="GF43">
        <v>0.112181</v>
      </c>
      <c r="GG43">
        <v>27467.5</v>
      </c>
      <c r="GH43">
        <v>27483</v>
      </c>
      <c r="GI43">
        <v>24561.599999999999</v>
      </c>
      <c r="GJ43">
        <v>24766.1</v>
      </c>
      <c r="GK43">
        <v>28115.7</v>
      </c>
      <c r="GL43">
        <v>28529.8</v>
      </c>
      <c r="GM43">
        <v>33252.5</v>
      </c>
      <c r="GN43">
        <v>33061.800000000003</v>
      </c>
      <c r="GO43">
        <v>1.7871699999999999</v>
      </c>
      <c r="GP43">
        <v>2.5083500000000001</v>
      </c>
      <c r="GQ43">
        <v>3.3482900000000003E-2</v>
      </c>
      <c r="GR43">
        <v>0</v>
      </c>
      <c r="GS43">
        <v>29.4297</v>
      </c>
      <c r="GT43">
        <v>999.9</v>
      </c>
      <c r="GU43">
        <v>36.5</v>
      </c>
      <c r="GV43">
        <v>40.9</v>
      </c>
      <c r="GW43">
        <v>28.6585</v>
      </c>
      <c r="GX43">
        <v>62.546300000000002</v>
      </c>
      <c r="GY43">
        <v>-4.4591399999999997</v>
      </c>
      <c r="GZ43">
        <v>3</v>
      </c>
      <c r="HA43">
        <v>0.67457800000000001</v>
      </c>
      <c r="HB43">
        <v>2.70939</v>
      </c>
      <c r="HC43">
        <v>20.143599999999999</v>
      </c>
      <c r="HD43">
        <v>5.2339099999999998</v>
      </c>
      <c r="HE43">
        <v>11.9232</v>
      </c>
      <c r="HF43">
        <v>4.9596999999999998</v>
      </c>
      <c r="HG43">
        <v>3.2890000000000001</v>
      </c>
      <c r="HH43">
        <v>9999</v>
      </c>
      <c r="HI43">
        <v>9999</v>
      </c>
      <c r="HJ43">
        <v>9999</v>
      </c>
      <c r="HK43">
        <v>999.9</v>
      </c>
      <c r="HL43">
        <v>1.8809499999999999</v>
      </c>
      <c r="HM43">
        <v>1.87818</v>
      </c>
      <c r="HN43">
        <v>1.88612</v>
      </c>
      <c r="HO43">
        <v>1.88385</v>
      </c>
      <c r="HP43">
        <v>1.88141</v>
      </c>
      <c r="HQ43">
        <v>1.8804000000000001</v>
      </c>
      <c r="HR43">
        <v>1.8815599999999999</v>
      </c>
      <c r="HS43">
        <v>1.8810899999999999</v>
      </c>
      <c r="HT43">
        <v>5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423</v>
      </c>
      <c r="IB43" t="s">
        <v>423</v>
      </c>
      <c r="IC43" t="s">
        <v>423</v>
      </c>
      <c r="ID43">
        <v>0</v>
      </c>
      <c r="IE43">
        <v>100</v>
      </c>
      <c r="IF43">
        <v>100</v>
      </c>
      <c r="IG43">
        <v>-1.5289999999999999</v>
      </c>
      <c r="IH43">
        <v>-1.9581</v>
      </c>
      <c r="II43">
        <v>-1.552016906648779</v>
      </c>
      <c r="IJ43">
        <v>8.9935118796959448E-4</v>
      </c>
      <c r="IK43">
        <v>-5.3495398746875769E-7</v>
      </c>
      <c r="IL43">
        <v>3.209454383910538E-10</v>
      </c>
      <c r="IM43">
        <v>-1.958100000000002</v>
      </c>
      <c r="IN43">
        <v>0</v>
      </c>
      <c r="IO43">
        <v>0</v>
      </c>
      <c r="IP43">
        <v>0</v>
      </c>
      <c r="IQ43">
        <v>1</v>
      </c>
      <c r="IR43">
        <v>2101</v>
      </c>
      <c r="IS43">
        <v>1</v>
      </c>
      <c r="IT43">
        <v>21</v>
      </c>
      <c r="IU43">
        <v>0.9</v>
      </c>
      <c r="IV43">
        <v>0.8</v>
      </c>
      <c r="IW43">
        <v>0.26977499999999999</v>
      </c>
      <c r="IX43">
        <v>2.5500500000000001</v>
      </c>
      <c r="IY43">
        <v>2.34375</v>
      </c>
      <c r="IZ43">
        <v>2.9199199999999998</v>
      </c>
      <c r="JA43">
        <v>3.0480999999999998</v>
      </c>
      <c r="JB43">
        <v>2.34985</v>
      </c>
      <c r="JC43">
        <v>44.865900000000003</v>
      </c>
      <c r="JD43">
        <v>24.035</v>
      </c>
      <c r="JE43">
        <v>18</v>
      </c>
      <c r="JF43">
        <v>404.745</v>
      </c>
      <c r="JG43">
        <v>1190.25</v>
      </c>
      <c r="JH43">
        <v>26.080500000000001</v>
      </c>
      <c r="JI43">
        <v>35.433300000000003</v>
      </c>
      <c r="JJ43">
        <v>30.0001</v>
      </c>
      <c r="JK43">
        <v>35.351199999999999</v>
      </c>
      <c r="JL43">
        <v>35.290500000000002</v>
      </c>
      <c r="JM43">
        <v>5.4854500000000002</v>
      </c>
      <c r="JN43">
        <v>12.3017</v>
      </c>
      <c r="JO43">
        <v>45.6083</v>
      </c>
      <c r="JP43">
        <v>26.0886</v>
      </c>
      <c r="JQ43">
        <v>30</v>
      </c>
      <c r="JR43">
        <v>22.251100000000001</v>
      </c>
      <c r="JS43">
        <v>99.198800000000006</v>
      </c>
      <c r="JT43">
        <v>98.695499999999996</v>
      </c>
    </row>
    <row r="44" spans="1:280" x14ac:dyDescent="0.25">
      <c r="A44">
        <v>28</v>
      </c>
      <c r="B44">
        <v>1700161805</v>
      </c>
      <c r="C44">
        <v>5806.4000000953674</v>
      </c>
      <c r="D44" t="s">
        <v>537</v>
      </c>
      <c r="E44" t="s">
        <v>538</v>
      </c>
      <c r="F44" t="s">
        <v>412</v>
      </c>
      <c r="G44" t="s">
        <v>481</v>
      </c>
      <c r="H44" t="s">
        <v>482</v>
      </c>
      <c r="I44">
        <v>1700161805</v>
      </c>
      <c r="J44">
        <f t="shared" si="0"/>
        <v>6.9811953735531493E-3</v>
      </c>
      <c r="K44">
        <f t="shared" si="1"/>
        <v>6.9811953735531489</v>
      </c>
      <c r="L44">
        <f t="shared" si="2"/>
        <v>2.1053913111937033</v>
      </c>
      <c r="M44">
        <f t="shared" si="3"/>
        <v>8.0138800000000003</v>
      </c>
      <c r="N44">
        <f t="shared" si="4"/>
        <v>0.73632838420606184</v>
      </c>
      <c r="O44">
        <f t="shared" si="5"/>
        <v>7.3011965590715253E-2</v>
      </c>
      <c r="P44">
        <f t="shared" si="6"/>
        <v>0.79463068837012008</v>
      </c>
      <c r="Q44">
        <f t="shared" si="7"/>
        <v>0.50422334251126399</v>
      </c>
      <c r="R44">
        <f t="shared" si="8"/>
        <v>3.2343887295530567</v>
      </c>
      <c r="S44">
        <f t="shared" si="9"/>
        <v>0.46427402505701848</v>
      </c>
      <c r="T44">
        <f t="shared" si="10"/>
        <v>0.29349634067904962</v>
      </c>
      <c r="U44">
        <f t="shared" si="11"/>
        <v>344.36809864382661</v>
      </c>
      <c r="V44">
        <f t="shared" si="12"/>
        <v>30.43171425418819</v>
      </c>
      <c r="W44">
        <f t="shared" si="13"/>
        <v>30.006399999999999</v>
      </c>
      <c r="X44">
        <f t="shared" si="14"/>
        <v>4.2620162104827797</v>
      </c>
      <c r="Y44">
        <f t="shared" si="15"/>
        <v>65.399552088182404</v>
      </c>
      <c r="Z44">
        <f t="shared" si="16"/>
        <v>2.8242930215969002</v>
      </c>
      <c r="AA44">
        <f t="shared" si="17"/>
        <v>4.3185204354132658</v>
      </c>
      <c r="AB44">
        <f t="shared" si="18"/>
        <v>1.4377231888858795</v>
      </c>
      <c r="AC44">
        <f t="shared" si="19"/>
        <v>-307.8707159736939</v>
      </c>
      <c r="AD44">
        <f t="shared" si="20"/>
        <v>40.018457810569259</v>
      </c>
      <c r="AE44">
        <f t="shared" si="21"/>
        <v>2.7544070612032985</v>
      </c>
      <c r="AF44">
        <f t="shared" si="22"/>
        <v>79.270247541905292</v>
      </c>
      <c r="AG44">
        <v>69</v>
      </c>
      <c r="AH44">
        <v>14</v>
      </c>
      <c r="AI44">
        <f t="shared" si="23"/>
        <v>1</v>
      </c>
      <c r="AJ44">
        <f t="shared" si="24"/>
        <v>0</v>
      </c>
      <c r="AK44">
        <f t="shared" si="25"/>
        <v>51863.170951697939</v>
      </c>
      <c r="AL44" t="s">
        <v>426</v>
      </c>
      <c r="AM44" t="s">
        <v>426</v>
      </c>
      <c r="AN44">
        <v>0</v>
      </c>
      <c r="AO44">
        <v>0</v>
      </c>
      <c r="AP44" t="e">
        <f t="shared" si="26"/>
        <v>#DIV/0!</v>
      </c>
      <c r="AQ44">
        <v>0</v>
      </c>
      <c r="AR44" t="s">
        <v>426</v>
      </c>
      <c r="AS44" t="s">
        <v>426</v>
      </c>
      <c r="AT44">
        <v>0</v>
      </c>
      <c r="AU44">
        <v>0</v>
      </c>
      <c r="AV44" t="e">
        <f t="shared" si="27"/>
        <v>#DIV/0!</v>
      </c>
      <c r="AW44">
        <v>0.5</v>
      </c>
      <c r="AX44">
        <f t="shared" si="28"/>
        <v>1513.1765993219133</v>
      </c>
      <c r="AY44">
        <f t="shared" si="29"/>
        <v>2.1053913111937033</v>
      </c>
      <c r="AZ44" t="e">
        <f t="shared" si="30"/>
        <v>#DIV/0!</v>
      </c>
      <c r="BA44">
        <f t="shared" si="31"/>
        <v>1.3913718412888318E-3</v>
      </c>
      <c r="BB44" t="e">
        <f t="shared" si="32"/>
        <v>#DIV/0!</v>
      </c>
      <c r="BC44" t="e">
        <f t="shared" si="33"/>
        <v>#DIV/0!</v>
      </c>
      <c r="BD44" t="s">
        <v>426</v>
      </c>
      <c r="BE44">
        <v>0</v>
      </c>
      <c r="BF44" t="e">
        <f t="shared" si="34"/>
        <v>#DIV/0!</v>
      </c>
      <c r="BG44" t="e">
        <f t="shared" si="35"/>
        <v>#DIV/0!</v>
      </c>
      <c r="BH44" t="e">
        <f t="shared" si="36"/>
        <v>#DIV/0!</v>
      </c>
      <c r="BI44" t="e">
        <f t="shared" si="37"/>
        <v>#DIV/0!</v>
      </c>
      <c r="BJ44" t="e">
        <f t="shared" si="38"/>
        <v>#DIV/0!</v>
      </c>
      <c r="BK44" t="e">
        <f t="shared" si="39"/>
        <v>#DIV/0!</v>
      </c>
      <c r="BL44" t="e">
        <f t="shared" si="40"/>
        <v>#DIV/0!</v>
      </c>
      <c r="BM44" t="e">
        <f t="shared" si="41"/>
        <v>#DIV/0!</v>
      </c>
      <c r="BN44">
        <v>346</v>
      </c>
      <c r="BO44">
        <v>290.00000000000011</v>
      </c>
      <c r="BP44">
        <v>796.37</v>
      </c>
      <c r="BQ44">
        <v>245</v>
      </c>
      <c r="BR44">
        <v>7267.23</v>
      </c>
      <c r="BS44">
        <v>796.4</v>
      </c>
      <c r="BT44">
        <v>-0.03</v>
      </c>
      <c r="BU44">
        <v>300.00000000000011</v>
      </c>
      <c r="BV44">
        <v>38</v>
      </c>
      <c r="BW44">
        <v>811.76468362752462</v>
      </c>
      <c r="BX44">
        <v>0.89877060584752821</v>
      </c>
      <c r="BY44">
        <v>-11.16774345393171</v>
      </c>
      <c r="BZ44">
        <v>0.54742448082687756</v>
      </c>
      <c r="CA44">
        <v>0.93696265878309515</v>
      </c>
      <c r="CB44">
        <v>-7.1651174638487263E-3</v>
      </c>
      <c r="CC44">
        <v>289.99999999999989</v>
      </c>
      <c r="CD44">
        <v>796.8</v>
      </c>
      <c r="CE44">
        <v>725</v>
      </c>
      <c r="CF44">
        <v>7261.38</v>
      </c>
      <c r="CG44">
        <v>796.39</v>
      </c>
      <c r="CH44">
        <v>0.41</v>
      </c>
      <c r="CV44">
        <f t="shared" si="42"/>
        <v>1799.99</v>
      </c>
      <c r="CW44">
        <f t="shared" si="43"/>
        <v>1513.1765993219133</v>
      </c>
      <c r="CX44">
        <f t="shared" si="44"/>
        <v>0.8406583366140441</v>
      </c>
      <c r="CY44">
        <f t="shared" si="45"/>
        <v>0.19131667322808826</v>
      </c>
      <c r="CZ44">
        <v>4.5999999999999996</v>
      </c>
      <c r="DA44">
        <v>0.5</v>
      </c>
      <c r="DB44" t="s">
        <v>418</v>
      </c>
      <c r="DC44">
        <v>2</v>
      </c>
      <c r="DD44">
        <v>1700161805</v>
      </c>
      <c r="DE44">
        <v>8.0138800000000003</v>
      </c>
      <c r="DF44">
        <v>10.0021</v>
      </c>
      <c r="DG44">
        <v>28.4831</v>
      </c>
      <c r="DH44">
        <v>22.244</v>
      </c>
      <c r="DI44">
        <v>9.4915699999999994</v>
      </c>
      <c r="DJ44">
        <v>30.4435</v>
      </c>
      <c r="DK44">
        <v>500.053</v>
      </c>
      <c r="DL44">
        <v>99.056700000000006</v>
      </c>
      <c r="DM44">
        <v>0.10009899999999999</v>
      </c>
      <c r="DN44">
        <v>30.235900000000001</v>
      </c>
      <c r="DO44">
        <v>30.006399999999999</v>
      </c>
      <c r="DP44">
        <v>999.9</v>
      </c>
      <c r="DQ44">
        <v>0</v>
      </c>
      <c r="DR44">
        <v>0</v>
      </c>
      <c r="DS44">
        <v>10008.799999999999</v>
      </c>
      <c r="DT44">
        <v>0</v>
      </c>
      <c r="DU44">
        <v>253.18600000000001</v>
      </c>
      <c r="DV44">
        <v>-1.9882</v>
      </c>
      <c r="DW44">
        <v>8.2488299999999999</v>
      </c>
      <c r="DX44">
        <v>10.2296</v>
      </c>
      <c r="DY44">
        <v>6.2390800000000004</v>
      </c>
      <c r="DZ44">
        <v>10.0021</v>
      </c>
      <c r="EA44">
        <v>22.244</v>
      </c>
      <c r="EB44">
        <v>2.8214399999999999</v>
      </c>
      <c r="EC44">
        <v>2.2034199999999999</v>
      </c>
      <c r="ED44">
        <v>23.010100000000001</v>
      </c>
      <c r="EE44">
        <v>18.987200000000001</v>
      </c>
      <c r="EF44">
        <v>1799.99</v>
      </c>
      <c r="EG44">
        <v>0.97799400000000003</v>
      </c>
      <c r="EH44">
        <v>2.2006000000000001E-2</v>
      </c>
      <c r="EI44">
        <v>0</v>
      </c>
      <c r="EJ44">
        <v>763.51499999999999</v>
      </c>
      <c r="EK44">
        <v>5.0010300000000001</v>
      </c>
      <c r="EL44">
        <v>13844.6</v>
      </c>
      <c r="EM44">
        <v>14701</v>
      </c>
      <c r="EN44">
        <v>46.436999999999998</v>
      </c>
      <c r="EO44">
        <v>48.311999999999998</v>
      </c>
      <c r="EP44">
        <v>47.75</v>
      </c>
      <c r="EQ44">
        <v>47.25</v>
      </c>
      <c r="ER44">
        <v>48.061999999999998</v>
      </c>
      <c r="ES44">
        <v>1755.49</v>
      </c>
      <c r="ET44">
        <v>39.5</v>
      </c>
      <c r="EU44">
        <v>0</v>
      </c>
      <c r="EV44">
        <v>118.7999999523163</v>
      </c>
      <c r="EW44">
        <v>0</v>
      </c>
      <c r="EX44">
        <v>763.2944</v>
      </c>
      <c r="EY44">
        <v>0.38938462067527668</v>
      </c>
      <c r="EZ44">
        <v>133.1461540886873</v>
      </c>
      <c r="FA44">
        <v>13832.128000000001</v>
      </c>
      <c r="FB44">
        <v>15</v>
      </c>
      <c r="FC44">
        <v>1700161767.5</v>
      </c>
      <c r="FD44" t="s">
        <v>539</v>
      </c>
      <c r="FE44">
        <v>1700161763.5</v>
      </c>
      <c r="FF44">
        <v>1700161767.5</v>
      </c>
      <c r="FG44">
        <v>32</v>
      </c>
      <c r="FH44">
        <v>6.6000000000000003E-2</v>
      </c>
      <c r="FI44">
        <v>-2E-3</v>
      </c>
      <c r="FJ44">
        <v>-1.476</v>
      </c>
      <c r="FK44">
        <v>-1.96</v>
      </c>
      <c r="FL44">
        <v>10</v>
      </c>
      <c r="FM44">
        <v>22</v>
      </c>
      <c r="FN44">
        <v>0.37</v>
      </c>
      <c r="FO44">
        <v>0.02</v>
      </c>
      <c r="FP44">
        <v>2.062345880767753</v>
      </c>
      <c r="FQ44">
        <v>-2.3603282363337402E-2</v>
      </c>
      <c r="FR44">
        <v>2.3649418118940311E-2</v>
      </c>
      <c r="FS44">
        <v>1</v>
      </c>
      <c r="FT44">
        <v>0.5030644929642748</v>
      </c>
      <c r="FU44">
        <v>4.7658093679808299E-2</v>
      </c>
      <c r="FV44">
        <v>5.4416973769572368E-3</v>
      </c>
      <c r="FW44">
        <v>1</v>
      </c>
      <c r="FX44">
        <v>2</v>
      </c>
      <c r="FY44">
        <v>2</v>
      </c>
      <c r="FZ44" t="s">
        <v>420</v>
      </c>
      <c r="GA44">
        <v>2.8963299999999998</v>
      </c>
      <c r="GB44">
        <v>2.8181799999999999</v>
      </c>
      <c r="GC44">
        <v>2.5860200000000001E-3</v>
      </c>
      <c r="GD44">
        <v>2.7338599999999998E-3</v>
      </c>
      <c r="GE44">
        <v>0.13999200000000001</v>
      </c>
      <c r="GF44">
        <v>0.112002</v>
      </c>
      <c r="GG44">
        <v>27591.5</v>
      </c>
      <c r="GH44">
        <v>27631.599999999999</v>
      </c>
      <c r="GI44">
        <v>24559.7</v>
      </c>
      <c r="GJ44">
        <v>24764.5</v>
      </c>
      <c r="GK44">
        <v>28098.7</v>
      </c>
      <c r="GL44">
        <v>28533.7</v>
      </c>
      <c r="GM44">
        <v>33250.199999999997</v>
      </c>
      <c r="GN44">
        <v>33059.5</v>
      </c>
      <c r="GO44">
        <v>1.7870299999999999</v>
      </c>
      <c r="GP44">
        <v>2.50502</v>
      </c>
      <c r="GQ44">
        <v>3.5770200000000002E-2</v>
      </c>
      <c r="GR44">
        <v>0</v>
      </c>
      <c r="GS44">
        <v>29.423999999999999</v>
      </c>
      <c r="GT44">
        <v>999.9</v>
      </c>
      <c r="GU44">
        <v>36.1</v>
      </c>
      <c r="GV44">
        <v>40.9</v>
      </c>
      <c r="GW44">
        <v>28.346399999999999</v>
      </c>
      <c r="GX44">
        <v>62.2363</v>
      </c>
      <c r="GY44">
        <v>-4.4831700000000003</v>
      </c>
      <c r="GZ44">
        <v>3</v>
      </c>
      <c r="HA44">
        <v>0.67644800000000005</v>
      </c>
      <c r="HB44">
        <v>2.7089599999999998</v>
      </c>
      <c r="HC44">
        <v>20.1433</v>
      </c>
      <c r="HD44">
        <v>5.23421</v>
      </c>
      <c r="HE44">
        <v>11.922499999999999</v>
      </c>
      <c r="HF44">
        <v>4.9598000000000004</v>
      </c>
      <c r="HG44">
        <v>3.2890000000000001</v>
      </c>
      <c r="HH44">
        <v>9999</v>
      </c>
      <c r="HI44">
        <v>9999</v>
      </c>
      <c r="HJ44">
        <v>9999</v>
      </c>
      <c r="HK44">
        <v>999.9</v>
      </c>
      <c r="HL44">
        <v>1.88096</v>
      </c>
      <c r="HM44">
        <v>1.8782000000000001</v>
      </c>
      <c r="HN44">
        <v>1.8861399999999999</v>
      </c>
      <c r="HO44">
        <v>1.88385</v>
      </c>
      <c r="HP44">
        <v>1.88141</v>
      </c>
      <c r="HQ44">
        <v>1.8804000000000001</v>
      </c>
      <c r="HR44">
        <v>1.8815900000000001</v>
      </c>
      <c r="HS44">
        <v>1.8811</v>
      </c>
      <c r="HT44">
        <v>5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423</v>
      </c>
      <c r="IB44" t="s">
        <v>423</v>
      </c>
      <c r="IC44" t="s">
        <v>423</v>
      </c>
      <c r="ID44">
        <v>0</v>
      </c>
      <c r="IE44">
        <v>100</v>
      </c>
      <c r="IF44">
        <v>100</v>
      </c>
      <c r="IG44">
        <v>-1.478</v>
      </c>
      <c r="IH44">
        <v>-1.9603999999999999</v>
      </c>
      <c r="II44">
        <v>-1.4861816520556781</v>
      </c>
      <c r="IJ44">
        <v>8.9935118796959448E-4</v>
      </c>
      <c r="IK44">
        <v>-5.3495398746875769E-7</v>
      </c>
      <c r="IL44">
        <v>3.209454383910538E-10</v>
      </c>
      <c r="IM44">
        <v>-1.9604249999999941</v>
      </c>
      <c r="IN44">
        <v>0</v>
      </c>
      <c r="IO44">
        <v>0</v>
      </c>
      <c r="IP44">
        <v>0</v>
      </c>
      <c r="IQ44">
        <v>1</v>
      </c>
      <c r="IR44">
        <v>2101</v>
      </c>
      <c r="IS44">
        <v>1</v>
      </c>
      <c r="IT44">
        <v>21</v>
      </c>
      <c r="IU44">
        <v>0.7</v>
      </c>
      <c r="IV44">
        <v>0.6</v>
      </c>
      <c r="IW44">
        <v>0.19897500000000001</v>
      </c>
      <c r="IX44">
        <v>2.5598100000000001</v>
      </c>
      <c r="IY44">
        <v>2.34375</v>
      </c>
      <c r="IZ44">
        <v>2.9199199999999998</v>
      </c>
      <c r="JA44">
        <v>3.0480999999999998</v>
      </c>
      <c r="JB44">
        <v>2.4133300000000002</v>
      </c>
      <c r="JC44">
        <v>44.893999999999998</v>
      </c>
      <c r="JD44">
        <v>24.035</v>
      </c>
      <c r="JE44">
        <v>18</v>
      </c>
      <c r="JF44">
        <v>404.84100000000001</v>
      </c>
      <c r="JG44">
        <v>1186.0899999999999</v>
      </c>
      <c r="JH44">
        <v>26.296199999999999</v>
      </c>
      <c r="JI44">
        <v>35.455100000000002</v>
      </c>
      <c r="JJ44">
        <v>30.0002</v>
      </c>
      <c r="JK44">
        <v>35.380600000000001</v>
      </c>
      <c r="JL44">
        <v>35.323099999999997</v>
      </c>
      <c r="JM44">
        <v>4.04854</v>
      </c>
      <c r="JN44">
        <v>11.242699999999999</v>
      </c>
      <c r="JO44">
        <v>44.5777</v>
      </c>
      <c r="JP44">
        <v>26.293700000000001</v>
      </c>
      <c r="JQ44">
        <v>10</v>
      </c>
      <c r="JR44">
        <v>22.151399999999999</v>
      </c>
      <c r="JS44">
        <v>99.191599999999994</v>
      </c>
      <c r="JT44">
        <v>98.688900000000004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2023-11-16T19:11:57Z</dcterms:created>
  <dcterms:modified xsi:type="dcterms:W3CDTF">2023-11-16T23:53:24Z</dcterms:modified>
</cp:coreProperties>
</file>